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workbookPr showInkAnnotation="0" codeName="EstaPasta_de_trabalho" autoCompressPictures="0"/>
  <mc:AlternateContent xmlns:mc="http://schemas.openxmlformats.org/markup-compatibility/2006">
    <mc:Choice Requires="x15">
      <x15ac:absPath xmlns:x15ac="http://schemas.microsoft.com/office/spreadsheetml/2010/11/ac" url="C:\Users\leona\PycharmProjects\FAS-Controle-de-Versao\"/>
    </mc:Choice>
  </mc:AlternateContent>
  <xr:revisionPtr revIDLastSave="0" documentId="13_ncr:1_{B65E3FAA-FE4E-4099-84AB-E2D98AE46EB5}" xr6:coauthVersionLast="45" xr6:coauthVersionMax="45" xr10:uidLastSave="{00000000-0000-0000-0000-000000000000}"/>
  <bookViews>
    <workbookView xWindow="-108" yWindow="-108" windowWidth="23256" windowHeight="12576" tabRatio="871" firstSheet="1" activeTab="21" xr2:uid="{00000000-000D-0000-FFFF-FFFF00000000}"/>
  </bookViews>
  <sheets>
    <sheet name="Identificadores" sheetId="9" r:id="rId1"/>
    <sheet name="OCRs" sheetId="27" r:id="rId2"/>
    <sheet name="TCTL" sheetId="26" r:id="rId3"/>
    <sheet name="LT" sheetId="4" r:id="rId4"/>
    <sheet name="Trafo" sheetId="5" r:id="rId5"/>
    <sheet name="T_Terra" sheetId="8" r:id="rId6"/>
    <sheet name="B_CAP" sheetId="13" r:id="rId7"/>
    <sheet name="Disjuntor" sheetId="6" r:id="rId8"/>
    <sheet name="Secc" sheetId="7" r:id="rId9"/>
    <sheet name="ECE" sheetId="18" r:id="rId10"/>
    <sheet name="CS" sheetId="21" r:id="rId11"/>
    <sheet name="CE" sheetId="20" r:id="rId12"/>
    <sheet name="BCS" sheetId="22" r:id="rId13"/>
    <sheet name="Reator" sheetId="11" r:id="rId14"/>
    <sheet name="Prep. Reen." sheetId="1" r:id="rId15"/>
    <sheet name="SAs" sheetId="16" r:id="rId16"/>
    <sheet name="BARRA" sheetId="17" r:id="rId17"/>
    <sheet name="SD" sheetId="25" r:id="rId18"/>
    <sheet name="SEP" sheetId="30" r:id="rId19"/>
    <sheet name="P_Eolico" sheetId="29" r:id="rId20"/>
    <sheet name="P_Solar" sheetId="28" r:id="rId21"/>
    <sheet name="P. Interface" sheetId="32" r:id="rId22"/>
    <sheet name="PADRAO" sheetId="2" r:id="rId23"/>
    <sheet name="Controle de Alterações" sheetId="19" r:id="rId24"/>
  </sheets>
  <definedNames>
    <definedName name="_xlnm._FilterDatabase" localSheetId="6" hidden="1">B_CAP!$A$6:$CI$484</definedName>
    <definedName name="_xlnm._FilterDatabase" localSheetId="16" hidden="1">BARRA!$A$6:$CI$501</definedName>
    <definedName name="_xlnm._FilterDatabase" localSheetId="12" hidden="1">BCS!$A$6:$CI$49</definedName>
    <definedName name="_xlnm._FilterDatabase" localSheetId="11" hidden="1">CE!$A$6:$CI$91</definedName>
    <definedName name="_xlnm._FilterDatabase" localSheetId="10" hidden="1">CS!$A$6:$CI$534</definedName>
    <definedName name="_xlnm._FilterDatabase" localSheetId="7" hidden="1">Disjuntor!$A$6:$CI$476</definedName>
    <definedName name="_xlnm._FilterDatabase" localSheetId="9" hidden="1">ECE!$A$6:$CI$43</definedName>
    <definedName name="_xlnm._FilterDatabase" localSheetId="3" hidden="1">LT!$A$4:$AW$619</definedName>
    <definedName name="_xlnm._FilterDatabase" localSheetId="21" hidden="1">'P. Interface'!$A$6:$CI$282</definedName>
    <definedName name="_xlnm._FilterDatabase" localSheetId="14" hidden="1">'Prep. Reen.'!$A$6:$CI$460</definedName>
    <definedName name="_xlnm._FilterDatabase" localSheetId="13" hidden="1">Reator!$A$6:$CI$6</definedName>
    <definedName name="_xlnm._FilterDatabase" localSheetId="15" hidden="1">SAs!$A$6:$CI$454</definedName>
    <definedName name="_xlnm._FilterDatabase" localSheetId="17" hidden="1">SD!$A$6:$CI$466</definedName>
    <definedName name="_xlnm._FilterDatabase" localSheetId="8" hidden="1">Secc!$A$6:$CH$449</definedName>
    <definedName name="_xlnm._FilterDatabase" localSheetId="5" hidden="1">T_Terra!$A$4:$AW$494</definedName>
    <definedName name="_xlnm._FilterDatabase" localSheetId="4" hidden="1">Trafo!$A$4:$AW$755</definedName>
    <definedName name="_xlnm.Print_Area" localSheetId="1">OCRs!$A$1:$I$96</definedName>
    <definedName name="_xlnm.Print_Area" localSheetId="14">'Prep. Reen.'!$J$4:$U$63</definedName>
    <definedName name="_xlnm.Print_Area" localSheetId="2">TCTL!#REF!</definedName>
    <definedName name="_xlnm.Print_Titles" localSheetId="14">'Prep. Reen.'!$4:$6</definedName>
  </definedNames>
  <calcPr calcId="18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A22" i="11" l="1"/>
  <c r="A21" i="11"/>
  <c r="A20" i="11"/>
  <c r="A19" i="11"/>
  <c r="A49" i="6"/>
  <c r="A61" i="11"/>
  <c r="A62" i="11"/>
  <c r="A63" i="11"/>
  <c r="A63" i="17"/>
  <c r="A62" i="17"/>
  <c r="A61" i="17"/>
  <c r="A60" i="17"/>
  <c r="A59" i="17"/>
  <c r="A56" i="17"/>
  <c r="A53" i="17"/>
  <c r="A52" i="17"/>
  <c r="A48" i="17"/>
  <c r="A47" i="17"/>
  <c r="A46" i="17"/>
  <c r="A45" i="17"/>
  <c r="A36" i="17"/>
  <c r="A35" i="17"/>
  <c r="A34" i="17"/>
  <c r="A31" i="8"/>
  <c r="A28" i="8"/>
  <c r="A27" i="8"/>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52" i="25"/>
  <c r="A51" i="25"/>
  <c r="A114" i="17"/>
  <c r="A110" i="17"/>
  <c r="A104" i="17"/>
  <c r="A103" i="17"/>
  <c r="A102" i="17"/>
  <c r="A101" i="17"/>
  <c r="A100" i="17"/>
  <c r="A99" i="17"/>
  <c r="A98" i="17"/>
  <c r="A97" i="17"/>
  <c r="A96" i="17"/>
  <c r="A95" i="17"/>
  <c r="A94" i="17"/>
  <c r="A93" i="17"/>
  <c r="A92" i="17"/>
  <c r="A91" i="17"/>
  <c r="A90" i="17"/>
  <c r="A89" i="17"/>
  <c r="A88" i="17"/>
  <c r="A87" i="17"/>
  <c r="A86" i="17"/>
  <c r="A85" i="17"/>
  <c r="A84" i="17"/>
  <c r="A83" i="17"/>
  <c r="A82" i="17"/>
  <c r="A81" i="17"/>
  <c r="A80" i="17"/>
  <c r="A79" i="17"/>
  <c r="A78" i="17"/>
  <c r="A77" i="17"/>
  <c r="A76" i="17"/>
  <c r="A75" i="17"/>
  <c r="A74" i="17"/>
  <c r="A73" i="17"/>
  <c r="A72" i="17"/>
  <c r="A71" i="17"/>
  <c r="A70" i="17"/>
  <c r="A69" i="17"/>
  <c r="A68" i="17"/>
  <c r="A67" i="17"/>
  <c r="A66" i="17"/>
  <c r="A65" i="17"/>
  <c r="A64" i="17"/>
  <c r="A133" i="16"/>
  <c r="A134" i="16"/>
  <c r="A135" i="16"/>
  <c r="A136" i="16"/>
  <c r="A137" i="16"/>
  <c r="A138" i="16"/>
  <c r="A139" i="16"/>
  <c r="A140" i="16"/>
  <c r="A152" i="16"/>
  <c r="A151" i="16"/>
  <c r="A150" i="16"/>
  <c r="A149" i="16"/>
  <c r="A148" i="16"/>
  <c r="A132" i="16"/>
  <c r="A131" i="16"/>
  <c r="A130" i="16"/>
  <c r="A129" i="16"/>
  <c r="A128" i="16"/>
  <c r="A127" i="16"/>
  <c r="A126" i="16"/>
  <c r="A125" i="16"/>
  <c r="A124" i="16"/>
  <c r="A123" i="16"/>
  <c r="A122" i="16"/>
  <c r="A121" i="16"/>
  <c r="A120" i="16"/>
  <c r="A119" i="16"/>
  <c r="A118" i="16"/>
  <c r="A117" i="16"/>
  <c r="A116" i="16"/>
  <c r="A115" i="16"/>
  <c r="A114" i="16"/>
  <c r="A113" i="16"/>
  <c r="A112" i="16"/>
  <c r="A111" i="16"/>
  <c r="A110" i="16"/>
  <c r="A109" i="16"/>
  <c r="A108" i="16"/>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143" i="11" l="1"/>
  <c r="A142" i="11"/>
  <c r="A140" i="11"/>
  <c r="A138" i="11"/>
  <c r="A276" i="11"/>
  <c r="A275" i="11"/>
  <c r="A274" i="11"/>
  <c r="A273" i="11"/>
  <c r="A272" i="11"/>
  <c r="A271" i="11"/>
  <c r="A270" i="11"/>
  <c r="A269" i="11"/>
  <c r="A268" i="11"/>
  <c r="A267" i="11"/>
  <c r="A266" i="11"/>
  <c r="A265" i="11"/>
  <c r="A264" i="11"/>
  <c r="A263" i="11"/>
  <c r="A262" i="11"/>
  <c r="A261" i="11"/>
  <c r="A260" i="11"/>
  <c r="A259" i="11"/>
  <c r="A258" i="11"/>
  <c r="A257" i="11"/>
  <c r="A256" i="11"/>
  <c r="A255" i="11"/>
  <c r="A254" i="11"/>
  <c r="A253" i="11"/>
  <c r="A252" i="11"/>
  <c r="A251" i="11"/>
  <c r="A250" i="11"/>
  <c r="A249" i="11"/>
  <c r="A248" i="11"/>
  <c r="A247" i="11"/>
  <c r="A246" i="11"/>
  <c r="A245" i="11"/>
  <c r="A244" i="11"/>
  <c r="A243" i="11"/>
  <c r="A242" i="11"/>
  <c r="A241" i="11"/>
  <c r="A240" i="11"/>
  <c r="A239" i="11"/>
  <c r="A238" i="11"/>
  <c r="A237" i="11"/>
  <c r="A236" i="11"/>
  <c r="A235" i="11"/>
  <c r="A234" i="11"/>
  <c r="A233" i="11"/>
  <c r="A232" i="11"/>
  <c r="A231" i="11"/>
  <c r="A230" i="11"/>
  <c r="A229" i="11"/>
  <c r="A228" i="11"/>
  <c r="A227" i="11"/>
  <c r="A226" i="11"/>
  <c r="A225" i="11"/>
  <c r="A224" i="11"/>
  <c r="A223" i="11"/>
  <c r="A222" i="11"/>
  <c r="A221" i="11"/>
  <c r="A220" i="11"/>
  <c r="A219" i="11"/>
  <c r="A218" i="11"/>
  <c r="A217" i="11"/>
  <c r="A216" i="11"/>
  <c r="A215" i="11"/>
  <c r="A214" i="11"/>
  <c r="A213" i="11"/>
  <c r="A212" i="11"/>
  <c r="A211" i="11"/>
  <c r="A210" i="11"/>
  <c r="A209" i="11"/>
  <c r="A208" i="11"/>
  <c r="A207" i="11"/>
  <c r="A206" i="11"/>
  <c r="A205" i="11"/>
  <c r="A204" i="11"/>
  <c r="A203" i="11"/>
  <c r="A202" i="11"/>
  <c r="A201" i="11"/>
  <c r="A200" i="11"/>
  <c r="A199" i="11"/>
  <c r="A198" i="11"/>
  <c r="A197" i="11"/>
  <c r="A196" i="11"/>
  <c r="A195" i="11"/>
  <c r="A194" i="11"/>
  <c r="A193" i="11"/>
  <c r="A192" i="11"/>
  <c r="A191" i="11"/>
  <c r="A190" i="11"/>
  <c r="A189" i="11"/>
  <c r="A188" i="11"/>
  <c r="A187" i="11"/>
  <c r="A186" i="11"/>
  <c r="A185" i="11"/>
  <c r="A184" i="11"/>
  <c r="A183" i="11"/>
  <c r="A182" i="11"/>
  <c r="A181" i="11"/>
  <c r="A180" i="11"/>
  <c r="A179" i="11"/>
  <c r="A178" i="11"/>
  <c r="A177" i="11"/>
  <c r="A176" i="11"/>
  <c r="A175" i="11"/>
  <c r="A174" i="11"/>
  <c r="A173" i="11"/>
  <c r="A172" i="11"/>
  <c r="A171" i="11"/>
  <c r="A170" i="11"/>
  <c r="A169" i="11"/>
  <c r="A168" i="11"/>
  <c r="A167" i="11"/>
  <c r="A166" i="11"/>
  <c r="A165" i="11"/>
  <c r="A164" i="11"/>
  <c r="A163" i="11"/>
  <c r="A162" i="11"/>
  <c r="A161" i="11"/>
  <c r="A160" i="11"/>
  <c r="A159" i="11"/>
  <c r="A158" i="11"/>
  <c r="A157" i="11"/>
  <c r="A156" i="11"/>
  <c r="A155" i="11"/>
  <c r="A154" i="11"/>
  <c r="A153" i="11"/>
  <c r="A152" i="11"/>
  <c r="A151" i="11"/>
  <c r="A150" i="11"/>
  <c r="A149" i="11"/>
  <c r="A148" i="11"/>
  <c r="A147" i="11"/>
  <c r="A146" i="11"/>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72" i="20"/>
  <c r="A70" i="20"/>
  <c r="A62" i="20"/>
  <c r="A87" i="20"/>
  <c r="A86" i="20"/>
  <c r="A85" i="20"/>
  <c r="A84" i="20"/>
  <c r="A83" i="20"/>
  <c r="A82" i="20"/>
  <c r="A81" i="20"/>
  <c r="A80" i="20"/>
  <c r="A79" i="20"/>
  <c r="A78" i="20"/>
  <c r="A77" i="20"/>
  <c r="A76" i="20"/>
  <c r="A7" i="21"/>
  <c r="A8" i="21"/>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 r="A56" i="21"/>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85" i="21"/>
  <c r="A86" i="21"/>
  <c r="A87" i="21"/>
  <c r="A88" i="21"/>
  <c r="A89" i="21"/>
  <c r="A90" i="21"/>
  <c r="A91" i="21"/>
  <c r="A92" i="21"/>
  <c r="A93" i="21"/>
  <c r="A94" i="21"/>
  <c r="A95" i="21"/>
  <c r="A96" i="21"/>
  <c r="A97" i="21"/>
  <c r="A98" i="21"/>
  <c r="A99" i="21"/>
  <c r="A100" i="21"/>
  <c r="A101" i="21"/>
  <c r="A102" i="21"/>
  <c r="A103" i="21"/>
  <c r="A104" i="21"/>
  <c r="A105" i="21"/>
  <c r="A106" i="21"/>
  <c r="A107" i="21"/>
  <c r="A108" i="21"/>
  <c r="A109" i="21"/>
  <c r="A110" i="21"/>
  <c r="A111" i="21"/>
  <c r="A112" i="21"/>
  <c r="A113" i="21"/>
  <c r="A114" i="21"/>
  <c r="A115" i="21"/>
  <c r="A116" i="21"/>
  <c r="AW155" i="21"/>
  <c r="A155" i="21"/>
  <c r="AW154" i="21"/>
  <c r="A154" i="21"/>
  <c r="A129" i="21"/>
  <c r="A128" i="21"/>
  <c r="A127" i="21"/>
  <c r="A126" i="21"/>
  <c r="A125" i="21"/>
  <c r="A124" i="21"/>
  <c r="A123" i="21"/>
  <c r="A122" i="21"/>
  <c r="A121" i="21"/>
  <c r="A120" i="21"/>
  <c r="A119" i="21"/>
  <c r="A118" i="21"/>
  <c r="A117" i="21"/>
  <c r="A17" i="18"/>
  <c r="A18" i="18"/>
  <c r="A19" i="18"/>
  <c r="A20" i="18"/>
  <c r="A21" i="18"/>
  <c r="A22" i="18"/>
  <c r="A23" i="18"/>
  <c r="A24" i="18"/>
  <c r="A25" i="18"/>
  <c r="A26" i="18"/>
  <c r="A27" i="18"/>
  <c r="A28" i="18"/>
  <c r="A29" i="18"/>
  <c r="A30" i="18"/>
  <c r="A31" i="18"/>
  <c r="A32" i="18"/>
  <c r="A33" i="18"/>
  <c r="A34" i="18"/>
  <c r="A35" i="18"/>
  <c r="A36" i="18"/>
  <c r="A37" i="18"/>
  <c r="A38" i="18"/>
  <c r="A39" i="18"/>
  <c r="A40" i="18"/>
  <c r="A41" i="18"/>
  <c r="A42" i="18"/>
  <c r="A43" i="18"/>
  <c r="A44"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W56" i="18"/>
  <c r="A9" i="7"/>
  <c r="A10" i="7"/>
  <c r="A11" i="7"/>
  <c r="A12" i="7"/>
  <c r="A13" i="7"/>
  <c r="A14" i="7"/>
  <c r="A15" i="7"/>
  <c r="A16" i="7"/>
  <c r="A17" i="7"/>
  <c r="A18" i="7"/>
  <c r="A19" i="7"/>
  <c r="A20" i="7"/>
  <c r="A21" i="7"/>
  <c r="A22" i="7"/>
  <c r="A23" i="7"/>
  <c r="A24" i="7"/>
  <c r="A25" i="7"/>
  <c r="A26" i="7"/>
  <c r="A27" i="7"/>
  <c r="A28" i="7"/>
  <c r="A29" i="7"/>
  <c r="A30" i="7"/>
  <c r="A31" i="7"/>
  <c r="A146" i="6"/>
  <c r="A145" i="6"/>
  <c r="A144" i="6"/>
  <c r="A143" i="6"/>
  <c r="A142" i="6"/>
  <c r="A141"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04" i="13"/>
  <c r="A103"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A427" i="5"/>
  <c r="A428" i="5"/>
  <c r="A429" i="5"/>
  <c r="A430" i="5"/>
  <c r="A431" i="5"/>
  <c r="A432" i="5"/>
  <c r="A433" i="5"/>
  <c r="A434" i="5"/>
  <c r="A435" i="5"/>
  <c r="A436" i="5"/>
  <c r="A437" i="5"/>
  <c r="A438" i="5"/>
  <c r="A439" i="5"/>
  <c r="A440" i="5"/>
  <c r="A441" i="5"/>
  <c r="A442" i="5"/>
  <c r="A443" i="5"/>
  <c r="A444" i="5"/>
  <c r="A445" i="5"/>
  <c r="A446" i="5"/>
  <c r="A447" i="5"/>
  <c r="A448" i="5"/>
  <c r="A449" i="5"/>
  <c r="A450" i="5"/>
  <c r="A451" i="5"/>
  <c r="A452" i="5"/>
  <c r="A453" i="5"/>
  <c r="A454" i="5"/>
  <c r="A455" i="5"/>
  <c r="A456" i="5"/>
  <c r="A457" i="5"/>
  <c r="A458" i="5"/>
  <c r="A459" i="5"/>
  <c r="A460" i="5"/>
  <c r="A461" i="5"/>
  <c r="A462" i="5"/>
  <c r="A463" i="5"/>
  <c r="A464" i="5"/>
  <c r="A465" i="5"/>
  <c r="A466" i="5"/>
  <c r="A467" i="5"/>
  <c r="A468" i="5"/>
  <c r="A469" i="5"/>
  <c r="A470" i="5"/>
  <c r="A471" i="5"/>
  <c r="A472" i="5"/>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500" i="5"/>
  <c r="A501" i="5"/>
  <c r="A502" i="5"/>
  <c r="A503" i="5"/>
  <c r="A504" i="5"/>
  <c r="A505" i="5"/>
  <c r="A506" i="5"/>
  <c r="A507" i="5"/>
  <c r="A508" i="5"/>
  <c r="A509" i="5"/>
  <c r="A510" i="5"/>
  <c r="A511" i="5"/>
  <c r="A512" i="5"/>
  <c r="A513" i="5"/>
  <c r="A514"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8" i="5"/>
  <c r="A589" i="5"/>
  <c r="A590" i="5"/>
  <c r="A591" i="5"/>
  <c r="A592" i="5"/>
  <c r="A593" i="5"/>
  <c r="A594" i="5"/>
  <c r="A595" i="5"/>
  <c r="A596" i="5"/>
  <c r="A597" i="5"/>
  <c r="A598" i="5"/>
  <c r="A599" i="5"/>
  <c r="A600" i="5"/>
  <c r="A601" i="5"/>
  <c r="A602" i="5"/>
  <c r="A603" i="5"/>
  <c r="A604" i="5"/>
  <c r="A605" i="5"/>
  <c r="A606" i="5"/>
  <c r="A607" i="5"/>
  <c r="A608" i="5"/>
  <c r="A609" i="5"/>
  <c r="A610" i="5"/>
  <c r="A611" i="5"/>
  <c r="A612" i="5"/>
  <c r="A613" i="5"/>
  <c r="A614" i="5"/>
  <c r="A615" i="5"/>
  <c r="A616" i="5"/>
  <c r="A617" i="5"/>
  <c r="A618" i="5"/>
  <c r="A619" i="5"/>
  <c r="A620" i="5"/>
  <c r="A621" i="5"/>
  <c r="A622" i="5"/>
  <c r="A623" i="5"/>
  <c r="A624" i="5"/>
  <c r="A625" i="5"/>
  <c r="A626" i="5"/>
  <c r="A627" i="5"/>
  <c r="A628" i="5"/>
  <c r="A629" i="5"/>
  <c r="A630" i="5"/>
  <c r="A631" i="5"/>
  <c r="A632" i="5"/>
  <c r="A633" i="5"/>
  <c r="A634" i="5"/>
  <c r="A635" i="5"/>
  <c r="A636" i="5"/>
  <c r="A637" i="5"/>
  <c r="A638" i="5"/>
  <c r="A639" i="5"/>
  <c r="A640" i="5"/>
  <c r="A641" i="5"/>
  <c r="A642" i="5"/>
  <c r="A643" i="5"/>
  <c r="A644" i="5"/>
  <c r="A645" i="5"/>
  <c r="A646" i="5"/>
  <c r="A647" i="5"/>
  <c r="A648" i="5"/>
  <c r="A649" i="5"/>
  <c r="A650" i="5"/>
  <c r="A651" i="5"/>
  <c r="A652" i="5"/>
  <c r="A653" i="5"/>
  <c r="A654" i="5"/>
  <c r="A655" i="5"/>
  <c r="A656" i="5"/>
  <c r="A657" i="5"/>
  <c r="A658" i="5"/>
  <c r="A659" i="5"/>
  <c r="A660" i="5"/>
  <c r="A661" i="5"/>
  <c r="A662" i="5"/>
  <c r="A663" i="5"/>
  <c r="A664" i="5"/>
  <c r="A665" i="5"/>
  <c r="A666" i="5"/>
  <c r="A667" i="5"/>
  <c r="A668" i="5"/>
  <c r="A669" i="5"/>
  <c r="A670" i="5"/>
  <c r="A671" i="5"/>
  <c r="A672" i="5"/>
  <c r="A673" i="5"/>
  <c r="A674" i="5"/>
  <c r="A675" i="5"/>
  <c r="A676" i="5"/>
  <c r="A677" i="5"/>
  <c r="A678" i="5"/>
  <c r="A679" i="5"/>
  <c r="A680" i="5"/>
  <c r="A681" i="5"/>
  <c r="A682" i="5"/>
  <c r="A683" i="5"/>
  <c r="A684" i="5"/>
  <c r="A685" i="5"/>
  <c r="A686" i="5"/>
  <c r="A687" i="5"/>
  <c r="A688" i="5"/>
  <c r="A689" i="5"/>
  <c r="A690" i="5"/>
  <c r="A691" i="5"/>
  <c r="A692" i="5"/>
  <c r="A693" i="5"/>
  <c r="A694" i="5"/>
  <c r="A695" i="5"/>
  <c r="A696" i="5"/>
  <c r="A697" i="5"/>
  <c r="A698" i="5"/>
  <c r="A699" i="5"/>
  <c r="A700" i="5"/>
  <c r="A701" i="5"/>
  <c r="A702" i="5"/>
  <c r="A703" i="5"/>
  <c r="A704" i="5"/>
  <c r="A705" i="5"/>
  <c r="A706" i="5"/>
  <c r="A707" i="5"/>
  <c r="A708" i="5"/>
  <c r="A709" i="5"/>
  <c r="A710" i="5"/>
  <c r="A711" i="5"/>
  <c r="A712" i="5"/>
  <c r="A713" i="5"/>
  <c r="A714" i="5"/>
  <c r="A715" i="5"/>
  <c r="A716" i="5"/>
  <c r="A717" i="5"/>
  <c r="A718" i="5"/>
  <c r="A719" i="5"/>
  <c r="A720" i="5"/>
  <c r="A721" i="5"/>
  <c r="A722" i="5"/>
  <c r="A723" i="5"/>
  <c r="A724" i="5"/>
  <c r="A725" i="5"/>
  <c r="A726" i="5"/>
  <c r="A727" i="5"/>
  <c r="A728" i="5"/>
  <c r="A729" i="5"/>
  <c r="A730" i="5"/>
  <c r="A731" i="5"/>
  <c r="A732" i="5"/>
  <c r="A733" i="5"/>
  <c r="A734" i="5"/>
  <c r="A735" i="5"/>
  <c r="A736" i="5"/>
  <c r="A737" i="5"/>
  <c r="A738" i="5"/>
  <c r="A739" i="5"/>
  <c r="A740" i="5"/>
  <c r="A741" i="5"/>
  <c r="A742" i="5"/>
  <c r="A743" i="5"/>
  <c r="A744" i="5"/>
  <c r="A745" i="5"/>
  <c r="A746" i="5"/>
  <c r="A747" i="5"/>
  <c r="A748" i="5"/>
  <c r="A749" i="5"/>
  <c r="A750" i="5"/>
  <c r="A751" i="5"/>
  <c r="A752" i="5"/>
  <c r="A753" i="5"/>
  <c r="A754" i="5"/>
  <c r="A755" i="5"/>
  <c r="A756" i="5"/>
  <c r="A757" i="5"/>
  <c r="A758" i="5"/>
  <c r="A759" i="5"/>
  <c r="A760" i="5"/>
  <c r="A761" i="5"/>
  <c r="A762" i="5"/>
  <c r="A763" i="5"/>
  <c r="A764" i="5"/>
  <c r="A765" i="5"/>
  <c r="A766" i="5"/>
  <c r="A767" i="5"/>
  <c r="A768" i="5"/>
  <c r="A769" i="5"/>
  <c r="A770" i="5"/>
  <c r="A771" i="5"/>
  <c r="A772" i="5"/>
  <c r="A773" i="5"/>
  <c r="A774" i="5"/>
  <c r="A775" i="5"/>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W67" i="1" l="1"/>
  <c r="AW47" i="1"/>
  <c r="AW7" i="5"/>
  <c r="AW8" i="5"/>
  <c r="AW9" i="5"/>
  <c r="AW10" i="5"/>
  <c r="AW11" i="5"/>
  <c r="AW12" i="5"/>
  <c r="AW13" i="5"/>
  <c r="AW14" i="5"/>
  <c r="AW15" i="5"/>
  <c r="AW16" i="5"/>
  <c r="AW17" i="5"/>
  <c r="AW18" i="5"/>
  <c r="AW19" i="5"/>
  <c r="AW20" i="5"/>
  <c r="AW21" i="5"/>
  <c r="AW22" i="5"/>
  <c r="AW23" i="5"/>
  <c r="AW24" i="5"/>
  <c r="AW25" i="5"/>
  <c r="AW26" i="5"/>
  <c r="AW27" i="5"/>
  <c r="AW28" i="5"/>
  <c r="AW29" i="5"/>
  <c r="AW30" i="5"/>
  <c r="AW31" i="5"/>
  <c r="AW32" i="5"/>
  <c r="AW33" i="5"/>
  <c r="AW34" i="5"/>
  <c r="AW35" i="5"/>
  <c r="AW36" i="5"/>
  <c r="AW37" i="5"/>
  <c r="AW38" i="5"/>
  <c r="AW39" i="5"/>
  <c r="AW40" i="5"/>
  <c r="AW41" i="5"/>
  <c r="AW42" i="5"/>
  <c r="AW43" i="5"/>
  <c r="AW44" i="5"/>
  <c r="AW45" i="5"/>
  <c r="AW46" i="5"/>
  <c r="AW47" i="5"/>
  <c r="AW48" i="5"/>
  <c r="AW49" i="5"/>
  <c r="AW50" i="5"/>
  <c r="AW51" i="5"/>
  <c r="AW52" i="5"/>
  <c r="AW53" i="5"/>
  <c r="AW54" i="5"/>
  <c r="AW55" i="5"/>
  <c r="AW56" i="5"/>
  <c r="AW57" i="5"/>
  <c r="AW58" i="5"/>
  <c r="AW59" i="5"/>
  <c r="AW60" i="5"/>
  <c r="AW61" i="5"/>
  <c r="AW62" i="5"/>
  <c r="AW63" i="5"/>
  <c r="AW64" i="5"/>
  <c r="AW65" i="5"/>
  <c r="AW66" i="5"/>
  <c r="AW67" i="5"/>
  <c r="AW68" i="5"/>
  <c r="AW69" i="5"/>
  <c r="AW70" i="5"/>
  <c r="AW71" i="5"/>
  <c r="AW72" i="5"/>
  <c r="AW73" i="5"/>
  <c r="AW74" i="5"/>
  <c r="AW75" i="5"/>
  <c r="AW76" i="5"/>
  <c r="AW77" i="5"/>
  <c r="AW78" i="5"/>
  <c r="AW79" i="5"/>
  <c r="AW80" i="5"/>
  <c r="AW81" i="5"/>
  <c r="AW82" i="5"/>
  <c r="AW83" i="5"/>
  <c r="AW84" i="5"/>
  <c r="AW85" i="5"/>
  <c r="AW86" i="5"/>
  <c r="AW87" i="5"/>
  <c r="AW88" i="5"/>
  <c r="AW89" i="5"/>
  <c r="AW90" i="5"/>
  <c r="AW91" i="5"/>
  <c r="AW92" i="5"/>
  <c r="AW93" i="5"/>
  <c r="AW94" i="5"/>
  <c r="AW95" i="5"/>
  <c r="AW96" i="5"/>
  <c r="AW97" i="5"/>
  <c r="AW98" i="5"/>
  <c r="AW99" i="5"/>
  <c r="AW100" i="5"/>
  <c r="AW101" i="5"/>
  <c r="AW102" i="5"/>
  <c r="AW103" i="5"/>
  <c r="AW104" i="5"/>
  <c r="AW105" i="5"/>
  <c r="AW106" i="5"/>
  <c r="AW107" i="5"/>
  <c r="AW108" i="5"/>
  <c r="AW109" i="5"/>
  <c r="AW110" i="5"/>
  <c r="AW111" i="5"/>
  <c r="AW112" i="5"/>
  <c r="AW113" i="5"/>
  <c r="AW114" i="5"/>
  <c r="AW115" i="5"/>
  <c r="AW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4" i="5"/>
  <c r="AW255"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1" i="5"/>
  <c r="AW294"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40" i="5"/>
  <c r="AW741" i="5"/>
  <c r="AW742" i="5"/>
  <c r="AW743" i="5"/>
  <c r="AW744" i="5"/>
  <c r="AW745" i="5"/>
  <c r="AW746" i="5"/>
  <c r="AW750" i="5"/>
  <c r="AW751" i="5"/>
  <c r="AW752" i="5"/>
  <c r="AW753" i="5"/>
  <c r="AW754" i="5"/>
  <c r="AW755" i="5"/>
  <c r="AW65" i="11" l="1"/>
  <c r="A65" i="11"/>
  <c r="AW39" i="32" l="1"/>
  <c r="AW35" i="17"/>
  <c r="AW45" i="17"/>
  <c r="AW46" i="17"/>
  <c r="AW141" i="11"/>
  <c r="A141" i="11"/>
  <c r="AW139" i="11"/>
  <c r="A139" i="11"/>
  <c r="AW138" i="11"/>
  <c r="AW137" i="11"/>
  <c r="A137" i="11"/>
  <c r="AW136" i="11"/>
  <c r="A136" i="11"/>
  <c r="AW75" i="11"/>
  <c r="AW43" i="22" l="1"/>
  <c r="AW70" i="20"/>
  <c r="AW62" i="20"/>
  <c r="AW47" i="21"/>
  <c r="AW54" i="21"/>
  <c r="AW42" i="18"/>
  <c r="AW25" i="13"/>
  <c r="AW47" i="13"/>
  <c r="AW28" i="8"/>
  <c r="AW127" i="4"/>
  <c r="AW34" i="17" l="1"/>
  <c r="AW33" i="17"/>
  <c r="A33" i="17"/>
  <c r="AW32" i="17"/>
  <c r="A32" i="17"/>
  <c r="AW77" i="16"/>
  <c r="A77" i="16"/>
  <c r="AW76" i="16"/>
  <c r="A76" i="16"/>
  <c r="AW75" i="16"/>
  <c r="A75" i="16"/>
  <c r="AW89" i="11"/>
  <c r="A89" i="11"/>
  <c r="AW88" i="11"/>
  <c r="A88" i="11"/>
  <c r="AW87" i="11"/>
  <c r="A87" i="11"/>
  <c r="AW41" i="22"/>
  <c r="AW40" i="22"/>
  <c r="AW39" i="22"/>
  <c r="AW60" i="20"/>
  <c r="A60" i="20"/>
  <c r="AW59" i="20"/>
  <c r="A59" i="20"/>
  <c r="AW58" i="20"/>
  <c r="A58" i="20"/>
  <c r="AW46" i="21"/>
  <c r="AW45" i="21"/>
  <c r="AW44" i="21"/>
  <c r="AW38" i="18"/>
  <c r="AW37" i="18"/>
  <c r="AW36" i="18"/>
  <c r="AW36" i="13"/>
  <c r="A36" i="13"/>
  <c r="AW35" i="13"/>
  <c r="A35" i="13"/>
  <c r="AW34" i="13"/>
  <c r="A34" i="13"/>
  <c r="AW42" i="8"/>
  <c r="A42" i="8"/>
  <c r="AW41" i="8"/>
  <c r="A41" i="8"/>
  <c r="AW40" i="8"/>
  <c r="A40" i="8"/>
  <c r="AW112" i="4"/>
  <c r="AW111" i="4"/>
  <c r="AW110" i="4"/>
  <c r="A37" i="32" l="1"/>
  <c r="AW37" i="32"/>
  <c r="A38" i="32"/>
  <c r="AW38" i="32"/>
  <c r="AW31" i="32"/>
  <c r="A31" i="32"/>
  <c r="AW33" i="32"/>
  <c r="A33" i="32"/>
  <c r="AW22" i="32"/>
  <c r="A22" i="32"/>
  <c r="AW23" i="32"/>
  <c r="A23" i="32"/>
  <c r="AW24" i="32"/>
  <c r="AN24" i="32"/>
  <c r="A24" i="32"/>
  <c r="AW21" i="32"/>
  <c r="A21" i="32"/>
  <c r="AW20" i="32"/>
  <c r="A20" i="32"/>
  <c r="AW19" i="32"/>
  <c r="A19" i="32"/>
  <c r="AW18" i="32"/>
  <c r="A18" i="32"/>
  <c r="AW17" i="32"/>
  <c r="A17" i="32"/>
  <c r="AW13" i="32"/>
  <c r="A13" i="32"/>
  <c r="AW12" i="32"/>
  <c r="A12" i="32"/>
  <c r="AW11" i="32"/>
  <c r="A11" i="32"/>
  <c r="AW10" i="32"/>
  <c r="A10" i="32"/>
  <c r="AW9" i="32"/>
  <c r="A9" i="32"/>
  <c r="AW8" i="32"/>
  <c r="A8" i="32"/>
  <c r="AW54" i="32"/>
  <c r="A54" i="32"/>
  <c r="AW53" i="32"/>
  <c r="A53" i="32"/>
  <c r="AW52" i="32"/>
  <c r="A52" i="32"/>
  <c r="AW282" i="32" l="1"/>
  <c r="AW281" i="32"/>
  <c r="AW280" i="32"/>
  <c r="AW279" i="32"/>
  <c r="AW278" i="32"/>
  <c r="AW277" i="32"/>
  <c r="AW276" i="32"/>
  <c r="AW275" i="32"/>
  <c r="AW274" i="32"/>
  <c r="AW273" i="32"/>
  <c r="AW272" i="32"/>
  <c r="AW271" i="32"/>
  <c r="AW270" i="32"/>
  <c r="AW269" i="32"/>
  <c r="AW268" i="32"/>
  <c r="AW267" i="32"/>
  <c r="AW266" i="32"/>
  <c r="AW265" i="32"/>
  <c r="AW264" i="32"/>
  <c r="AW263" i="32"/>
  <c r="AW262" i="32"/>
  <c r="AW261" i="32"/>
  <c r="AW260" i="32"/>
  <c r="AW259" i="32"/>
  <c r="AW258" i="32"/>
  <c r="AW257" i="32"/>
  <c r="AW256" i="32"/>
  <c r="AW255" i="32"/>
  <c r="AW254" i="32"/>
  <c r="AW253" i="32"/>
  <c r="AW252" i="32"/>
  <c r="AW251" i="32"/>
  <c r="AW250" i="32"/>
  <c r="AW249" i="32"/>
  <c r="AW248" i="32"/>
  <c r="AW247" i="32"/>
  <c r="AW246" i="32"/>
  <c r="AW245" i="32"/>
  <c r="AW244" i="32"/>
  <c r="AW243" i="32"/>
  <c r="AW242" i="32"/>
  <c r="AW241" i="32"/>
  <c r="AW240" i="32"/>
  <c r="AW239" i="32"/>
  <c r="AW238" i="32"/>
  <c r="AW237" i="32"/>
  <c r="AW236" i="32"/>
  <c r="AW235" i="32"/>
  <c r="AW234" i="32"/>
  <c r="AW233" i="32"/>
  <c r="AW232" i="32"/>
  <c r="AW231" i="32"/>
  <c r="AW230" i="32"/>
  <c r="AW229" i="32"/>
  <c r="AW228" i="32"/>
  <c r="AW227" i="32"/>
  <c r="AW226" i="32"/>
  <c r="AW225" i="32"/>
  <c r="AW224" i="32"/>
  <c r="AW223" i="32"/>
  <c r="AW222" i="32"/>
  <c r="AW221" i="32"/>
  <c r="AW220" i="32"/>
  <c r="AW219" i="32"/>
  <c r="AW218" i="32"/>
  <c r="AW217" i="32"/>
  <c r="AW216" i="32"/>
  <c r="AW215" i="32"/>
  <c r="AW214" i="32"/>
  <c r="AW213" i="32"/>
  <c r="AW212" i="32"/>
  <c r="AW211" i="32"/>
  <c r="AW210" i="32"/>
  <c r="AW209"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57" i="32"/>
  <c r="AW56" i="32"/>
  <c r="A56" i="32"/>
  <c r="AW55" i="32"/>
  <c r="A55" i="32"/>
  <c r="AW51" i="32"/>
  <c r="A51" i="32"/>
  <c r="AW50" i="32"/>
  <c r="A50" i="32"/>
  <c r="AW49" i="32"/>
  <c r="A49" i="32"/>
  <c r="AW48" i="32"/>
  <c r="A48" i="32"/>
  <c r="AW47" i="32"/>
  <c r="A47" i="32"/>
  <c r="AW46" i="32"/>
  <c r="A46" i="32"/>
  <c r="AW45" i="32"/>
  <c r="A45" i="32"/>
  <c r="AW44" i="32"/>
  <c r="A44" i="32"/>
  <c r="AW42" i="32"/>
  <c r="A42" i="32"/>
  <c r="AW40" i="32"/>
  <c r="A40" i="32"/>
  <c r="AW36" i="32"/>
  <c r="A36" i="32"/>
  <c r="AW35" i="32"/>
  <c r="A35" i="32"/>
  <c r="AW34" i="32"/>
  <c r="A34" i="32"/>
  <c r="AW32" i="32"/>
  <c r="A32" i="32"/>
  <c r="AW30" i="32"/>
  <c r="A30" i="32"/>
  <c r="AW29" i="32"/>
  <c r="A29" i="32"/>
  <c r="AW28" i="32"/>
  <c r="A28" i="32"/>
  <c r="AW27" i="32"/>
  <c r="A27" i="32"/>
  <c r="AW26" i="32"/>
  <c r="A26" i="32"/>
  <c r="AW25" i="32"/>
  <c r="A25" i="32"/>
  <c r="AW7" i="32"/>
  <c r="A7" i="32"/>
  <c r="AW515" i="28" l="1"/>
  <c r="AW514" i="28"/>
  <c r="AW513" i="28"/>
  <c r="AW512" i="28"/>
  <c r="AW511" i="28"/>
  <c r="AW510" i="28"/>
  <c r="AW509" i="28"/>
  <c r="AW508" i="28"/>
  <c r="AW507" i="28"/>
  <c r="AW506" i="28"/>
  <c r="AW505" i="28"/>
  <c r="AW504" i="28"/>
  <c r="AW503" i="28"/>
  <c r="AW502" i="28"/>
  <c r="AW501" i="28"/>
  <c r="AW500" i="28"/>
  <c r="AW499" i="28"/>
  <c r="AW498" i="28"/>
  <c r="AW497" i="28"/>
  <c r="AW496" i="28"/>
  <c r="AW495" i="28"/>
  <c r="AW494" i="28"/>
  <c r="AW493" i="28"/>
  <c r="AW492" i="28"/>
  <c r="AW491" i="28"/>
  <c r="AW490" i="28"/>
  <c r="AW489" i="28"/>
  <c r="AW488" i="28"/>
  <c r="AW487" i="28"/>
  <c r="AW486" i="28"/>
  <c r="AW485" i="28"/>
  <c r="AW484" i="28"/>
  <c r="AW483" i="28"/>
  <c r="AW482" i="28"/>
  <c r="AW481" i="28"/>
  <c r="AW480" i="28"/>
  <c r="AW479" i="28"/>
  <c r="AW478" i="28"/>
  <c r="AW477" i="28"/>
  <c r="AW476" i="28"/>
  <c r="AW475" i="28"/>
  <c r="AW474" i="28"/>
  <c r="AW473" i="28"/>
  <c r="AW472" i="28"/>
  <c r="AW471" i="28"/>
  <c r="AW470" i="28"/>
  <c r="AW469" i="28"/>
  <c r="AW468" i="28"/>
  <c r="AW467" i="28"/>
  <c r="AW466" i="28"/>
  <c r="AW465" i="28"/>
  <c r="AW464" i="28"/>
  <c r="AW463" i="28"/>
  <c r="AW462" i="28"/>
  <c r="AW461" i="28"/>
  <c r="AW460" i="28"/>
  <c r="AW459" i="28"/>
  <c r="AW458" i="28"/>
  <c r="AW457" i="28"/>
  <c r="AW456" i="28"/>
  <c r="AW455" i="28"/>
  <c r="AW454" i="28"/>
  <c r="AW453" i="28"/>
  <c r="AW452" i="28"/>
  <c r="AW451" i="28"/>
  <c r="AW450" i="28"/>
  <c r="AW449" i="28"/>
  <c r="AW448" i="28"/>
  <c r="AW447" i="28"/>
  <c r="AW446" i="28"/>
  <c r="AW445" i="28"/>
  <c r="AW444" i="28"/>
  <c r="AW443" i="28"/>
  <c r="AW442" i="28"/>
  <c r="AW441" i="28"/>
  <c r="AW440" i="28"/>
  <c r="AW439" i="28"/>
  <c r="AW438" i="28"/>
  <c r="AW437" i="28"/>
  <c r="AW436" i="28"/>
  <c r="AW435" i="28"/>
  <c r="AW434" i="28"/>
  <c r="AW433" i="28"/>
  <c r="AW432" i="28"/>
  <c r="AW431" i="28"/>
  <c r="AW430" i="28"/>
  <c r="AW429" i="28"/>
  <c r="AW428" i="28"/>
  <c r="AW427" i="28"/>
  <c r="AW426" i="28"/>
  <c r="AW425" i="28"/>
  <c r="AW424" i="28"/>
  <c r="AW423" i="28"/>
  <c r="AW422" i="28"/>
  <c r="AW421" i="28"/>
  <c r="AW420" i="28"/>
  <c r="AW419" i="28"/>
  <c r="AW418" i="28"/>
  <c r="AW417" i="28"/>
  <c r="AW416" i="28"/>
  <c r="AW415" i="28"/>
  <c r="AW414" i="28"/>
  <c r="AW413" i="28"/>
  <c r="AW412" i="28"/>
  <c r="AW411" i="28"/>
  <c r="AW410" i="28"/>
  <c r="AW409" i="28"/>
  <c r="AW408" i="28"/>
  <c r="AW407" i="28"/>
  <c r="AW406" i="28"/>
  <c r="AW405" i="28"/>
  <c r="AW404" i="28"/>
  <c r="AW403" i="28"/>
  <c r="AW402" i="28"/>
  <c r="AW401" i="28"/>
  <c r="AW400" i="28"/>
  <c r="AW399" i="28"/>
  <c r="AW398" i="28"/>
  <c r="AW397" i="28"/>
  <c r="AW396" i="28"/>
  <c r="AW395" i="28"/>
  <c r="AW394" i="28"/>
  <c r="AW393" i="28"/>
  <c r="AW392" i="28"/>
  <c r="AW391" i="28"/>
  <c r="AW390" i="28"/>
  <c r="AW389" i="28"/>
  <c r="AW388" i="28"/>
  <c r="AW387" i="28"/>
  <c r="AW386" i="28"/>
  <c r="AW385" i="28"/>
  <c r="AW384" i="28"/>
  <c r="AW383" i="28"/>
  <c r="AW382" i="28"/>
  <c r="AW381" i="28"/>
  <c r="AW380" i="28"/>
  <c r="AW379" i="28"/>
  <c r="AW378" i="28"/>
  <c r="AW377" i="28"/>
  <c r="AW376" i="28"/>
  <c r="AW375" i="28"/>
  <c r="AW374" i="28"/>
  <c r="AW373" i="28"/>
  <c r="AW372" i="28"/>
  <c r="AW371" i="28"/>
  <c r="AW370" i="28"/>
  <c r="AW369" i="28"/>
  <c r="AW368" i="28"/>
  <c r="AW367" i="28"/>
  <c r="AW366" i="28"/>
  <c r="AW365" i="28"/>
  <c r="AW364" i="28"/>
  <c r="AW363" i="28"/>
  <c r="AW362" i="28"/>
  <c r="AW361" i="28"/>
  <c r="AW360" i="28"/>
  <c r="AW359" i="28"/>
  <c r="AW358" i="28"/>
  <c r="AW357" i="28"/>
  <c r="AW356" i="28"/>
  <c r="AW355" i="28"/>
  <c r="AW354" i="28"/>
  <c r="AW353" i="28"/>
  <c r="AW352" i="28"/>
  <c r="AW351" i="28"/>
  <c r="AW350" i="28"/>
  <c r="AW349" i="28"/>
  <c r="AW348" i="28"/>
  <c r="AW347" i="28"/>
  <c r="AW346" i="28"/>
  <c r="AW345" i="28"/>
  <c r="AW344" i="28"/>
  <c r="AW343" i="28"/>
  <c r="AW342" i="28"/>
  <c r="AW341" i="28"/>
  <c r="AW340" i="28"/>
  <c r="AW339" i="28"/>
  <c r="AW338" i="28"/>
  <c r="AW337" i="28"/>
  <c r="AW336" i="28"/>
  <c r="AW335" i="28"/>
  <c r="AW334" i="28"/>
  <c r="AW333" i="28"/>
  <c r="AW332" i="28"/>
  <c r="AW331" i="28"/>
  <c r="AW330" i="28"/>
  <c r="AW329" i="28"/>
  <c r="AW328" i="28"/>
  <c r="AW327" i="28"/>
  <c r="AW326" i="28"/>
  <c r="AW325" i="28"/>
  <c r="AW324" i="28"/>
  <c r="AW323" i="28"/>
  <c r="AW322" i="28"/>
  <c r="AW321" i="28"/>
  <c r="AW320" i="28"/>
  <c r="AW319" i="28"/>
  <c r="AW318" i="28"/>
  <c r="AW317" i="28"/>
  <c r="AW316" i="28"/>
  <c r="AW315" i="28"/>
  <c r="AW314" i="28"/>
  <c r="AW313" i="28"/>
  <c r="AW312" i="28"/>
  <c r="AW311" i="28"/>
  <c r="AW310" i="28"/>
  <c r="AW309" i="28"/>
  <c r="AW308" i="28"/>
  <c r="AW307" i="28"/>
  <c r="AW306" i="28"/>
  <c r="AW305" i="28"/>
  <c r="AW304" i="28"/>
  <c r="AW303" i="28"/>
  <c r="AW302" i="28"/>
  <c r="AW301" i="28"/>
  <c r="AW300" i="28"/>
  <c r="AW299" i="28"/>
  <c r="AW298" i="28"/>
  <c r="AW297" i="28"/>
  <c r="AW296" i="28"/>
  <c r="AW295" i="28"/>
  <c r="AW294" i="28"/>
  <c r="AW293" i="28"/>
  <c r="AW292" i="28"/>
  <c r="AW291" i="28"/>
  <c r="AW290" i="28"/>
  <c r="AW289" i="28"/>
  <c r="AW288" i="28"/>
  <c r="AW287" i="28"/>
  <c r="AW286" i="28"/>
  <c r="AW285" i="28"/>
  <c r="AW284" i="28"/>
  <c r="AW283" i="28"/>
  <c r="AW282" i="28"/>
  <c r="AW281" i="28"/>
  <c r="AW280" i="28"/>
  <c r="AW279" i="28"/>
  <c r="AW278" i="28"/>
  <c r="AW277" i="28"/>
  <c r="AW276" i="28"/>
  <c r="AW275" i="28"/>
  <c r="AW274" i="28"/>
  <c r="AW273" i="28"/>
  <c r="AW272" i="28"/>
  <c r="AW271" i="28"/>
  <c r="AW270" i="28"/>
  <c r="AW269" i="28"/>
  <c r="AW268" i="28"/>
  <c r="AW267" i="28"/>
  <c r="AW266" i="28"/>
  <c r="AW265" i="28"/>
  <c r="AW264" i="28"/>
  <c r="AW263" i="28"/>
  <c r="AW262" i="28"/>
  <c r="AW261" i="28"/>
  <c r="AW260" i="28"/>
  <c r="AW259" i="28"/>
  <c r="AW258" i="28"/>
  <c r="AW257" i="28"/>
  <c r="AW256" i="28"/>
  <c r="AW255" i="28"/>
  <c r="AW254" i="28"/>
  <c r="AW253" i="28"/>
  <c r="AW252" i="28"/>
  <c r="AW251" i="28"/>
  <c r="AW250" i="28"/>
  <c r="AW249" i="28"/>
  <c r="AW248" i="28"/>
  <c r="AW247" i="28"/>
  <c r="AW246" i="28"/>
  <c r="AW245" i="28"/>
  <c r="AW244" i="28"/>
  <c r="AW243" i="28"/>
  <c r="AW242" i="28"/>
  <c r="AW241" i="28"/>
  <c r="AW240" i="28"/>
  <c r="AW239" i="28"/>
  <c r="AW238" i="28"/>
  <c r="AW237" i="28"/>
  <c r="AW236" i="28"/>
  <c r="AW235" i="28"/>
  <c r="AW234" i="28"/>
  <c r="AW233" i="28"/>
  <c r="AW232" i="28"/>
  <c r="AW231" i="28"/>
  <c r="AW230" i="28"/>
  <c r="AW229" i="28"/>
  <c r="AW228" i="28"/>
  <c r="AW227" i="28"/>
  <c r="AW226" i="28"/>
  <c r="AW225" i="28"/>
  <c r="AW224" i="28"/>
  <c r="AW223" i="28"/>
  <c r="AW222" i="28"/>
  <c r="AW221" i="28"/>
  <c r="AW220" i="28"/>
  <c r="AW219" i="28"/>
  <c r="AW218" i="28"/>
  <c r="AW217" i="28"/>
  <c r="AW216" i="28"/>
  <c r="AW215" i="28"/>
  <c r="AW214" i="28"/>
  <c r="AW213" i="28"/>
  <c r="AW212" i="28"/>
  <c r="AW211" i="28"/>
  <c r="AW210" i="28"/>
  <c r="AW209" i="28"/>
  <c r="AW208" i="28"/>
  <c r="AW207" i="28"/>
  <c r="AW206" i="28"/>
  <c r="AW205" i="28"/>
  <c r="AW204" i="28"/>
  <c r="AW203" i="28"/>
  <c r="AW202" i="28"/>
  <c r="AW201" i="28"/>
  <c r="AW200" i="28"/>
  <c r="AW199" i="28"/>
  <c r="AW198" i="28"/>
  <c r="AW197" i="28"/>
  <c r="AW196" i="28"/>
  <c r="AW195" i="28"/>
  <c r="AW194" i="28"/>
  <c r="AW193" i="28"/>
  <c r="AW192" i="28"/>
  <c r="AW191" i="28"/>
  <c r="AW190" i="28"/>
  <c r="AW189" i="28"/>
  <c r="AW188" i="28"/>
  <c r="AW187" i="28"/>
  <c r="AW186" i="28"/>
  <c r="AW185" i="28"/>
  <c r="AW184" i="28"/>
  <c r="AW183" i="28"/>
  <c r="AW182" i="28"/>
  <c r="AW181" i="28"/>
  <c r="AW180" i="28"/>
  <c r="AW179" i="28"/>
  <c r="AW178" i="28"/>
  <c r="AW177" i="28"/>
  <c r="AW176" i="28"/>
  <c r="AW175" i="28"/>
  <c r="AW174" i="28"/>
  <c r="AW173" i="28"/>
  <c r="AW172" i="28"/>
  <c r="AW171" i="28"/>
  <c r="AW170" i="28"/>
  <c r="AW169" i="28"/>
  <c r="AW168" i="28"/>
  <c r="AW167" i="28"/>
  <c r="AW166" i="28"/>
  <c r="AW165" i="28"/>
  <c r="AW164" i="28"/>
  <c r="AW163" i="28"/>
  <c r="AW162" i="28"/>
  <c r="AW161" i="28"/>
  <c r="AW160" i="28"/>
  <c r="AW159" i="28"/>
  <c r="AW158" i="28"/>
  <c r="AW157" i="28"/>
  <c r="AW156" i="28"/>
  <c r="AW155" i="28"/>
  <c r="AW154" i="28"/>
  <c r="AW153" i="28"/>
  <c r="AW152" i="28"/>
  <c r="AW151" i="28"/>
  <c r="AW150" i="28"/>
  <c r="AW149" i="28"/>
  <c r="AW148" i="28"/>
  <c r="AW147" i="28"/>
  <c r="AW146" i="28"/>
  <c r="AW145" i="28"/>
  <c r="AW144" i="28"/>
  <c r="AW143" i="28"/>
  <c r="AW142" i="28"/>
  <c r="AW141" i="28"/>
  <c r="AW140" i="28"/>
  <c r="AW139" i="28"/>
  <c r="AW138" i="28"/>
  <c r="AW137" i="28"/>
  <c r="AW136" i="28"/>
  <c r="AW135" i="28"/>
  <c r="AW134" i="28"/>
  <c r="AW133" i="28"/>
  <c r="AW132" i="28"/>
  <c r="AW131" i="28"/>
  <c r="AW130" i="28"/>
  <c r="AW129" i="28"/>
  <c r="AW128" i="28"/>
  <c r="AW127" i="28"/>
  <c r="AW126" i="28"/>
  <c r="AW125" i="28"/>
  <c r="AW124" i="28"/>
  <c r="AW123" i="28"/>
  <c r="AW122" i="28"/>
  <c r="AW121" i="28"/>
  <c r="AW120" i="28"/>
  <c r="AW119" i="28"/>
  <c r="AW118" i="28"/>
  <c r="AW117" i="28"/>
  <c r="AW116" i="28"/>
  <c r="AW115" i="28"/>
  <c r="AW114" i="28"/>
  <c r="AW113" i="28"/>
  <c r="AW112" i="28"/>
  <c r="AW111" i="28"/>
  <c r="AW110" i="28"/>
  <c r="AW109" i="28"/>
  <c r="AW108" i="28"/>
  <c r="AW107" i="28"/>
  <c r="AW106" i="28"/>
  <c r="AW105" i="28"/>
  <c r="AW104" i="28"/>
  <c r="AW103" i="28"/>
  <c r="AW102" i="28"/>
  <c r="AW101" i="28"/>
  <c r="AW100" i="28"/>
  <c r="AW99" i="28"/>
  <c r="A99" i="28"/>
  <c r="AW98" i="28"/>
  <c r="A98" i="28"/>
  <c r="A97" i="28"/>
  <c r="A96" i="28"/>
  <c r="A95" i="28"/>
  <c r="A94" i="28"/>
  <c r="A93" i="28"/>
  <c r="A92" i="28"/>
  <c r="A91" i="28"/>
  <c r="A90" i="28"/>
  <c r="A89" i="28"/>
  <c r="A88" i="28"/>
  <c r="A87" i="28"/>
  <c r="A86" i="28"/>
  <c r="A85" i="28"/>
  <c r="A84" i="28"/>
  <c r="A83" i="28"/>
  <c r="A82" i="28"/>
  <c r="A81" i="28"/>
  <c r="A80" i="28"/>
  <c r="A79" i="28"/>
  <c r="A78" i="28"/>
  <c r="A77" i="28"/>
  <c r="A76" i="28"/>
  <c r="A75" i="28"/>
  <c r="A74" i="28"/>
  <c r="A73" i="28"/>
  <c r="A72" i="28"/>
  <c r="A71" i="28"/>
  <c r="A70" i="28"/>
  <c r="A69" i="28"/>
  <c r="A68" i="28"/>
  <c r="A67" i="28"/>
  <c r="A66" i="28"/>
  <c r="A65" i="28"/>
  <c r="A64" i="28"/>
  <c r="A63" i="28"/>
  <c r="A62" i="28"/>
  <c r="A61" i="28"/>
  <c r="A60" i="28"/>
  <c r="A59" i="28"/>
  <c r="A58" i="28"/>
  <c r="A57" i="28"/>
  <c r="A56" i="28"/>
  <c r="A55" i="28"/>
  <c r="A54" i="28"/>
  <c r="A53" i="28"/>
  <c r="A52" i="28"/>
  <c r="A51" i="28"/>
  <c r="A50" i="28"/>
  <c r="A49" i="28"/>
  <c r="A48" i="28"/>
  <c r="A47" i="28"/>
  <c r="A46" i="28"/>
  <c r="A45" i="28"/>
  <c r="A44" i="28"/>
  <c r="A43" i="28"/>
  <c r="A42" i="28"/>
  <c r="A41" i="28"/>
  <c r="A40" i="28"/>
  <c r="A39" i="28"/>
  <c r="A38" i="28"/>
  <c r="A37" i="28"/>
  <c r="A36" i="28"/>
  <c r="A35" i="28"/>
  <c r="A34" i="28"/>
  <c r="AW33" i="28"/>
  <c r="A33" i="28"/>
  <c r="AW32" i="28"/>
  <c r="A32" i="28"/>
  <c r="AW31" i="28"/>
  <c r="A31" i="28"/>
  <c r="AW30" i="28"/>
  <c r="A30" i="28"/>
  <c r="AW29" i="28"/>
  <c r="A29" i="28"/>
  <c r="AW28" i="28"/>
  <c r="A28" i="28"/>
  <c r="AW27" i="28"/>
  <c r="A27" i="28"/>
  <c r="AW26" i="28"/>
  <c r="A26" i="28"/>
  <c r="AW25" i="28"/>
  <c r="A25" i="28"/>
  <c r="AW24" i="28"/>
  <c r="A24" i="28"/>
  <c r="AW23" i="28"/>
  <c r="A23" i="28"/>
  <c r="AW22" i="28"/>
  <c r="A22" i="28"/>
  <c r="AW21" i="28"/>
  <c r="A21" i="28"/>
  <c r="AW20" i="28"/>
  <c r="A20" i="28"/>
  <c r="AW19" i="28"/>
  <c r="A19" i="28"/>
  <c r="AW18" i="28"/>
  <c r="A18" i="28"/>
  <c r="AW17" i="28"/>
  <c r="A17" i="28"/>
  <c r="AW16" i="28"/>
  <c r="A16" i="28"/>
  <c r="AW15" i="28"/>
  <c r="A15" i="28"/>
  <c r="AW14" i="28"/>
  <c r="A14" i="28"/>
  <c r="AW13" i="28"/>
  <c r="A13" i="28"/>
  <c r="AW12" i="28"/>
  <c r="A12" i="28"/>
  <c r="AW11" i="28"/>
  <c r="A11" i="28"/>
  <c r="A10" i="28"/>
  <c r="A9" i="28"/>
  <c r="AW8" i="28"/>
  <c r="A8" i="28"/>
  <c r="AW7" i="28"/>
  <c r="A7" i="28"/>
  <c r="AW515" i="29"/>
  <c r="AW514" i="29"/>
  <c r="AW513" i="29"/>
  <c r="AW512" i="29"/>
  <c r="AW511" i="29"/>
  <c r="AW510" i="29"/>
  <c r="AW509" i="29"/>
  <c r="AW508" i="29"/>
  <c r="AW507" i="29"/>
  <c r="AW506" i="29"/>
  <c r="AW505" i="29"/>
  <c r="AW504" i="29"/>
  <c r="AW503" i="29"/>
  <c r="AW502" i="29"/>
  <c r="AW501" i="29"/>
  <c r="AW500" i="29"/>
  <c r="AW499" i="29"/>
  <c r="AW498" i="29"/>
  <c r="AW497" i="29"/>
  <c r="AW496" i="29"/>
  <c r="AW495" i="29"/>
  <c r="AW494" i="29"/>
  <c r="AW493" i="29"/>
  <c r="AW492" i="29"/>
  <c r="AW491" i="29"/>
  <c r="AW490" i="29"/>
  <c r="AW489" i="29"/>
  <c r="AW488" i="29"/>
  <c r="AW487" i="29"/>
  <c r="AW486" i="29"/>
  <c r="AW485" i="29"/>
  <c r="AW484" i="29"/>
  <c r="AW483" i="29"/>
  <c r="AW482" i="29"/>
  <c r="AW481" i="29"/>
  <c r="AW480" i="29"/>
  <c r="AW479" i="29"/>
  <c r="AW478" i="29"/>
  <c r="AW477" i="29"/>
  <c r="AW476" i="29"/>
  <c r="AW475" i="29"/>
  <c r="AW474" i="29"/>
  <c r="AW473" i="29"/>
  <c r="AW472" i="29"/>
  <c r="AW471" i="29"/>
  <c r="AW470" i="29"/>
  <c r="AW469" i="29"/>
  <c r="AW468" i="29"/>
  <c r="AW467" i="29"/>
  <c r="AW466" i="29"/>
  <c r="AW465" i="29"/>
  <c r="AW464" i="29"/>
  <c r="AW463" i="29"/>
  <c r="AW462" i="29"/>
  <c r="AW461" i="29"/>
  <c r="AW460" i="29"/>
  <c r="AW459" i="29"/>
  <c r="AW458" i="29"/>
  <c r="AW457" i="29"/>
  <c r="AW456" i="29"/>
  <c r="AW455" i="29"/>
  <c r="AW454" i="29"/>
  <c r="AW453" i="29"/>
  <c r="AW452" i="29"/>
  <c r="AW451" i="29"/>
  <c r="AW450" i="29"/>
  <c r="AW449" i="29"/>
  <c r="AW448" i="29"/>
  <c r="AW447" i="29"/>
  <c r="AW446" i="29"/>
  <c r="AW445" i="29"/>
  <c r="AW444" i="29"/>
  <c r="AW443" i="29"/>
  <c r="AW442" i="29"/>
  <c r="AW441" i="29"/>
  <c r="AW440" i="29"/>
  <c r="AW439" i="29"/>
  <c r="AW438" i="29"/>
  <c r="AW437" i="29"/>
  <c r="AW436" i="29"/>
  <c r="AW435" i="29"/>
  <c r="AW434" i="29"/>
  <c r="AW433" i="29"/>
  <c r="AW432" i="29"/>
  <c r="AW431" i="29"/>
  <c r="AW430" i="29"/>
  <c r="AW429" i="29"/>
  <c r="AW428" i="29"/>
  <c r="AW427" i="29"/>
  <c r="AW426" i="29"/>
  <c r="AW425" i="29"/>
  <c r="AW424" i="29"/>
  <c r="AW423" i="29"/>
  <c r="AW422" i="29"/>
  <c r="AW421" i="29"/>
  <c r="AW420" i="29"/>
  <c r="AW419" i="29"/>
  <c r="AW418" i="29"/>
  <c r="AW417" i="29"/>
  <c r="AW416" i="29"/>
  <c r="AW415" i="29"/>
  <c r="AW414" i="29"/>
  <c r="AW413" i="29"/>
  <c r="AW412" i="29"/>
  <c r="AW411" i="29"/>
  <c r="AW410" i="29"/>
  <c r="AW409" i="29"/>
  <c r="AW408" i="29"/>
  <c r="AW407" i="29"/>
  <c r="AW406" i="29"/>
  <c r="AW405" i="29"/>
  <c r="AW404" i="29"/>
  <c r="AW403" i="29"/>
  <c r="AW402" i="29"/>
  <c r="AW401" i="29"/>
  <c r="AW400" i="29"/>
  <c r="AW399" i="29"/>
  <c r="AW398" i="29"/>
  <c r="AW397" i="29"/>
  <c r="AW396" i="29"/>
  <c r="AW395" i="29"/>
  <c r="AW394" i="29"/>
  <c r="AW393" i="29"/>
  <c r="AW392" i="29"/>
  <c r="AW391" i="29"/>
  <c r="AW390" i="29"/>
  <c r="AW389" i="29"/>
  <c r="AW388" i="29"/>
  <c r="AW387" i="29"/>
  <c r="AW386" i="29"/>
  <c r="AW385" i="29"/>
  <c r="AW384" i="29"/>
  <c r="AW383" i="29"/>
  <c r="AW382" i="29"/>
  <c r="AW381" i="29"/>
  <c r="AW380" i="29"/>
  <c r="AW379" i="29"/>
  <c r="AW378" i="29"/>
  <c r="AW377" i="29"/>
  <c r="AW376" i="29"/>
  <c r="AW375" i="29"/>
  <c r="AW374" i="29"/>
  <c r="AW373" i="29"/>
  <c r="AW372" i="29"/>
  <c r="AW371" i="29"/>
  <c r="AW370" i="29"/>
  <c r="AW369" i="29"/>
  <c r="AW368" i="29"/>
  <c r="AW367" i="29"/>
  <c r="AW366" i="29"/>
  <c r="AW365" i="29"/>
  <c r="AW364" i="29"/>
  <c r="AW363" i="29"/>
  <c r="AW362" i="29"/>
  <c r="AW361" i="29"/>
  <c r="AW360" i="29"/>
  <c r="AW359" i="29"/>
  <c r="AW358" i="29"/>
  <c r="AW357" i="29"/>
  <c r="AW356" i="29"/>
  <c r="AW355" i="29"/>
  <c r="AW354" i="29"/>
  <c r="AW353" i="29"/>
  <c r="AW352" i="29"/>
  <c r="AW351" i="29"/>
  <c r="AW350" i="29"/>
  <c r="AW349" i="29"/>
  <c r="AW348" i="29"/>
  <c r="AW347" i="29"/>
  <c r="AW346" i="29"/>
  <c r="AW345" i="29"/>
  <c r="AW344" i="29"/>
  <c r="AW343" i="29"/>
  <c r="AW342" i="29"/>
  <c r="AW341" i="29"/>
  <c r="AW340" i="29"/>
  <c r="AW339" i="29"/>
  <c r="AW338" i="29"/>
  <c r="AW337" i="29"/>
  <c r="AW336" i="29"/>
  <c r="AW335" i="29"/>
  <c r="AW334" i="29"/>
  <c r="AW333" i="29"/>
  <c r="AW332" i="29"/>
  <c r="AW331" i="29"/>
  <c r="AW330" i="29"/>
  <c r="AW329" i="29"/>
  <c r="AW328" i="29"/>
  <c r="AW327" i="29"/>
  <c r="AW326" i="29"/>
  <c r="AW325" i="29"/>
  <c r="AW324" i="29"/>
  <c r="AW323" i="29"/>
  <c r="AW322" i="29"/>
  <c r="AW321" i="29"/>
  <c r="AW320" i="29"/>
  <c r="AW319" i="29"/>
  <c r="AW318" i="29"/>
  <c r="AW317" i="29"/>
  <c r="AW316" i="29"/>
  <c r="AW315" i="29"/>
  <c r="AW314" i="29"/>
  <c r="AW313" i="29"/>
  <c r="AW312" i="29"/>
  <c r="AW311" i="29"/>
  <c r="AW310" i="29"/>
  <c r="AW309" i="29"/>
  <c r="AW308" i="29"/>
  <c r="AW307" i="29"/>
  <c r="AW306" i="29"/>
  <c r="AW305" i="29"/>
  <c r="AW304" i="29"/>
  <c r="AW303" i="29"/>
  <c r="AW302" i="29"/>
  <c r="AW301" i="29"/>
  <c r="AW300" i="29"/>
  <c r="AW299" i="29"/>
  <c r="AW298" i="29"/>
  <c r="AW297" i="29"/>
  <c r="AW296" i="29"/>
  <c r="AW295" i="29"/>
  <c r="AW294" i="29"/>
  <c r="AW293" i="29"/>
  <c r="AW292" i="29"/>
  <c r="AW291" i="29"/>
  <c r="AW290" i="29"/>
  <c r="AW289" i="29"/>
  <c r="AW288" i="29"/>
  <c r="AW287" i="29"/>
  <c r="AW286" i="29"/>
  <c r="AW285" i="29"/>
  <c r="AW284" i="29"/>
  <c r="AW283" i="29"/>
  <c r="AW282" i="29"/>
  <c r="AW281" i="29"/>
  <c r="AW280" i="29"/>
  <c r="AW279" i="29"/>
  <c r="AW278" i="29"/>
  <c r="AW277" i="29"/>
  <c r="AW276" i="29"/>
  <c r="AW275" i="29"/>
  <c r="AW274" i="29"/>
  <c r="AW273" i="29"/>
  <c r="AW272" i="29"/>
  <c r="AW271" i="29"/>
  <c r="AW270" i="29"/>
  <c r="AW269" i="29"/>
  <c r="AW268" i="29"/>
  <c r="AW267" i="29"/>
  <c r="AW266" i="29"/>
  <c r="AW265" i="29"/>
  <c r="AW264" i="29"/>
  <c r="AW263" i="29"/>
  <c r="AW262" i="29"/>
  <c r="AW261" i="29"/>
  <c r="AW260" i="29"/>
  <c r="AW259" i="29"/>
  <c r="AW258" i="29"/>
  <c r="AW257" i="29"/>
  <c r="AW256" i="29"/>
  <c r="AW255" i="29"/>
  <c r="AW254" i="29"/>
  <c r="AW253" i="29"/>
  <c r="AW252" i="29"/>
  <c r="AW251" i="29"/>
  <c r="AW250" i="29"/>
  <c r="AW249" i="29"/>
  <c r="AW248" i="29"/>
  <c r="AW247" i="29"/>
  <c r="AW246" i="29"/>
  <c r="AW245" i="29"/>
  <c r="AW244" i="29"/>
  <c r="AW243" i="29"/>
  <c r="AW242" i="29"/>
  <c r="AW241" i="29"/>
  <c r="AW240" i="29"/>
  <c r="AW239" i="29"/>
  <c r="AW238" i="29"/>
  <c r="AW237" i="29"/>
  <c r="AW236" i="29"/>
  <c r="AW235" i="29"/>
  <c r="AW234" i="29"/>
  <c r="AW233" i="29"/>
  <c r="AW232" i="29"/>
  <c r="AW231" i="29"/>
  <c r="AW230" i="29"/>
  <c r="AW229" i="29"/>
  <c r="AW228" i="29"/>
  <c r="AW227" i="29"/>
  <c r="AW226" i="29"/>
  <c r="AW225" i="29"/>
  <c r="AW224" i="29"/>
  <c r="AW223" i="29"/>
  <c r="AW222" i="29"/>
  <c r="AW221" i="29"/>
  <c r="AW220" i="29"/>
  <c r="AW219" i="29"/>
  <c r="AW218" i="29"/>
  <c r="AW217" i="29"/>
  <c r="AW216" i="29"/>
  <c r="AW215" i="29"/>
  <c r="AW214" i="29"/>
  <c r="AW213" i="29"/>
  <c r="AW212" i="29"/>
  <c r="AW211" i="29"/>
  <c r="AW210" i="29"/>
  <c r="AW209" i="29"/>
  <c r="AW208" i="29"/>
  <c r="AW207" i="29"/>
  <c r="AW206" i="29"/>
  <c r="AW205" i="29"/>
  <c r="AW204" i="29"/>
  <c r="AW203" i="29"/>
  <c r="AW202" i="29"/>
  <c r="AW201" i="29"/>
  <c r="AW200" i="29"/>
  <c r="AW199" i="29"/>
  <c r="AW198" i="29"/>
  <c r="AW197" i="29"/>
  <c r="AW196" i="29"/>
  <c r="AW195" i="29"/>
  <c r="AW194" i="29"/>
  <c r="AW193" i="29"/>
  <c r="AW192" i="29"/>
  <c r="AW191" i="29"/>
  <c r="AW190" i="29"/>
  <c r="AW189" i="29"/>
  <c r="AW188" i="29"/>
  <c r="AW187" i="29"/>
  <c r="AW186" i="29"/>
  <c r="AW185" i="29"/>
  <c r="AW184" i="29"/>
  <c r="AW183" i="29"/>
  <c r="AW182" i="29"/>
  <c r="AW181" i="29"/>
  <c r="AW180" i="29"/>
  <c r="AW179" i="29"/>
  <c r="AW178" i="29"/>
  <c r="AW177" i="29"/>
  <c r="AW176" i="29"/>
  <c r="AW175" i="29"/>
  <c r="AW174" i="29"/>
  <c r="AW173" i="29"/>
  <c r="AW172" i="29"/>
  <c r="AW171" i="29"/>
  <c r="AW170" i="29"/>
  <c r="AW169" i="29"/>
  <c r="AW168" i="29"/>
  <c r="AW167" i="29"/>
  <c r="AW166" i="29"/>
  <c r="AW165" i="29"/>
  <c r="AW164" i="29"/>
  <c r="AW163" i="29"/>
  <c r="AW162" i="29"/>
  <c r="AW161" i="29"/>
  <c r="AW160" i="29"/>
  <c r="AW159" i="29"/>
  <c r="AW158" i="29"/>
  <c r="AW157" i="29"/>
  <c r="AW156" i="29"/>
  <c r="AW155" i="29"/>
  <c r="AW154" i="29"/>
  <c r="AW153" i="29"/>
  <c r="AW152" i="29"/>
  <c r="AW151" i="29"/>
  <c r="AW150" i="29"/>
  <c r="AW149" i="29"/>
  <c r="AW148" i="29"/>
  <c r="AW147" i="29"/>
  <c r="AW146" i="29"/>
  <c r="AW145" i="29"/>
  <c r="AW144" i="29"/>
  <c r="AW143" i="29"/>
  <c r="AW142" i="29"/>
  <c r="AW141" i="29"/>
  <c r="AW140" i="29"/>
  <c r="AW139" i="29"/>
  <c r="AW138" i="29"/>
  <c r="AW137" i="29"/>
  <c r="AW136" i="29"/>
  <c r="AW135" i="29"/>
  <c r="AW134" i="29"/>
  <c r="AW133" i="29"/>
  <c r="AW132" i="29"/>
  <c r="AW131" i="29"/>
  <c r="AW130" i="29"/>
  <c r="AW129" i="29"/>
  <c r="AW128" i="29"/>
  <c r="AW127" i="29"/>
  <c r="AW126" i="29"/>
  <c r="AW125" i="29"/>
  <c r="AW124" i="29"/>
  <c r="AW123" i="29"/>
  <c r="AW122" i="29"/>
  <c r="AW121" i="29"/>
  <c r="AW120" i="29"/>
  <c r="AW119" i="29"/>
  <c r="AW118" i="29"/>
  <c r="AW117" i="29"/>
  <c r="AW116" i="29"/>
  <c r="AW115" i="29"/>
  <c r="AW114" i="29"/>
  <c r="AW113" i="29"/>
  <c r="AW112" i="29"/>
  <c r="AW111" i="29"/>
  <c r="AW110" i="29"/>
  <c r="AW109" i="29"/>
  <c r="AW108" i="29"/>
  <c r="AW107" i="29"/>
  <c r="AW106" i="29"/>
  <c r="AW105" i="29"/>
  <c r="AW104" i="29"/>
  <c r="AW103" i="29"/>
  <c r="AW101" i="29"/>
  <c r="A101" i="29"/>
  <c r="AW100" i="29"/>
  <c r="A100" i="29"/>
  <c r="A98" i="29"/>
  <c r="A97" i="29"/>
  <c r="AW96" i="29"/>
  <c r="A96" i="29"/>
  <c r="AW95" i="29"/>
  <c r="A95" i="29"/>
  <c r="AW94" i="29"/>
  <c r="A94" i="29"/>
  <c r="AW93" i="29"/>
  <c r="A93" i="29"/>
  <c r="AW92" i="29"/>
  <c r="A92" i="29"/>
  <c r="A91" i="29"/>
  <c r="AW89" i="29"/>
  <c r="A89" i="29"/>
  <c r="AW88" i="29"/>
  <c r="A88" i="29"/>
  <c r="A87" i="29"/>
  <c r="A86" i="29"/>
  <c r="AW85" i="29"/>
  <c r="A85" i="29"/>
  <c r="AW84" i="29"/>
  <c r="A84" i="29"/>
  <c r="AW83" i="29"/>
  <c r="A83" i="29"/>
  <c r="AW82" i="29"/>
  <c r="A82" i="29"/>
  <c r="AW81" i="29"/>
  <c r="A81" i="29"/>
  <c r="AW80" i="29"/>
  <c r="A80" i="29"/>
  <c r="AW79" i="29"/>
  <c r="A79" i="29"/>
  <c r="AW78" i="29"/>
  <c r="A78" i="29"/>
  <c r="AW77" i="29"/>
  <c r="A77" i="29"/>
  <c r="AW76" i="29"/>
  <c r="A76" i="29"/>
  <c r="AW75" i="29"/>
  <c r="A75" i="29"/>
  <c r="AW74" i="29"/>
  <c r="A74" i="29"/>
  <c r="AW73" i="29"/>
  <c r="A73" i="29"/>
  <c r="AW72" i="29"/>
  <c r="A72" i="29"/>
  <c r="AW71" i="29"/>
  <c r="A71" i="29"/>
  <c r="AW70" i="29"/>
  <c r="A70" i="29"/>
  <c r="AW69" i="29"/>
  <c r="A69" i="29"/>
  <c r="AW66" i="29"/>
  <c r="A66" i="29"/>
  <c r="AW65" i="29"/>
  <c r="A65" i="29"/>
  <c r="AW64" i="29"/>
  <c r="A64" i="29"/>
  <c r="A63" i="29"/>
  <c r="A62" i="29"/>
  <c r="A59" i="29"/>
  <c r="AW7" i="29"/>
  <c r="A7" i="29"/>
  <c r="AW459" i="30"/>
  <c r="AW458" i="30"/>
  <c r="AW457" i="30"/>
  <c r="AW456" i="30"/>
  <c r="AW455" i="30"/>
  <c r="AW454" i="30"/>
  <c r="AW453" i="30"/>
  <c r="AW452" i="30"/>
  <c r="AW451" i="30"/>
  <c r="AW450" i="30"/>
  <c r="AW449" i="30"/>
  <c r="AW448" i="30"/>
  <c r="AW447" i="30"/>
  <c r="AW446" i="30"/>
  <c r="AW445" i="30"/>
  <c r="AW444" i="30"/>
  <c r="AW443" i="30"/>
  <c r="AW442" i="30"/>
  <c r="AW441" i="30"/>
  <c r="AW440" i="30"/>
  <c r="AW439" i="30"/>
  <c r="AW438" i="30"/>
  <c r="AW437" i="30"/>
  <c r="AW436" i="30"/>
  <c r="AW435" i="30"/>
  <c r="AW434" i="30"/>
  <c r="AW433" i="30"/>
  <c r="AW432" i="30"/>
  <c r="AW431" i="30"/>
  <c r="AW430" i="30"/>
  <c r="AW429" i="30"/>
  <c r="AW428" i="30"/>
  <c r="AW427" i="30"/>
  <c r="AW426" i="30"/>
  <c r="AW425" i="30"/>
  <c r="AW424" i="30"/>
  <c r="AW423" i="30"/>
  <c r="AW422" i="30"/>
  <c r="AW421" i="30"/>
  <c r="AW420" i="30"/>
  <c r="AW419" i="30"/>
  <c r="AW418" i="30"/>
  <c r="AW417" i="30"/>
  <c r="AW416" i="30"/>
  <c r="AW415" i="30"/>
  <c r="AW414" i="30"/>
  <c r="AW413" i="30"/>
  <c r="AW412" i="30"/>
  <c r="AW411" i="30"/>
  <c r="AW410" i="30"/>
  <c r="AW409" i="30"/>
  <c r="AW408" i="30"/>
  <c r="AW407" i="30"/>
  <c r="AW406" i="30"/>
  <c r="AW405" i="30"/>
  <c r="AW404" i="30"/>
  <c r="AW403" i="30"/>
  <c r="AW402" i="30"/>
  <c r="AW401" i="30"/>
  <c r="AW400" i="30"/>
  <c r="AW399" i="30"/>
  <c r="AW398" i="30"/>
  <c r="AW397" i="30"/>
  <c r="AW396" i="30"/>
  <c r="AW395" i="30"/>
  <c r="AW394" i="30"/>
  <c r="AW393" i="30"/>
  <c r="AW392" i="30"/>
  <c r="AW391" i="30"/>
  <c r="AW390" i="30"/>
  <c r="AW389" i="30"/>
  <c r="AW388" i="30"/>
  <c r="AW387" i="30"/>
  <c r="AW386" i="30"/>
  <c r="AW385" i="30"/>
  <c r="AW384" i="30"/>
  <c r="AW383" i="30"/>
  <c r="AW382" i="30"/>
  <c r="AW381" i="30"/>
  <c r="AW380" i="30"/>
  <c r="AW379" i="30"/>
  <c r="AW378" i="30"/>
  <c r="AW377" i="30"/>
  <c r="AW376" i="30"/>
  <c r="AW375" i="30"/>
  <c r="AW374" i="30"/>
  <c r="AW373" i="30"/>
  <c r="AW372" i="30"/>
  <c r="AW371" i="30"/>
  <c r="AW370" i="30"/>
  <c r="AW369" i="30"/>
  <c r="AW368" i="30"/>
  <c r="AW367" i="30"/>
  <c r="AW366" i="30"/>
  <c r="AW365" i="30"/>
  <c r="AW364" i="30"/>
  <c r="AW363" i="30"/>
  <c r="AW362" i="30"/>
  <c r="AW361" i="30"/>
  <c r="AW360" i="30"/>
  <c r="AW359" i="30"/>
  <c r="AW358" i="30"/>
  <c r="AW357" i="30"/>
  <c r="AW356" i="30"/>
  <c r="AW355" i="30"/>
  <c r="AW354" i="30"/>
  <c r="AW353" i="30"/>
  <c r="AW352" i="30"/>
  <c r="AW351" i="30"/>
  <c r="AW350" i="30"/>
  <c r="AW349" i="30"/>
  <c r="AW348" i="30"/>
  <c r="AW347" i="30"/>
  <c r="AW346" i="30"/>
  <c r="AW345" i="30"/>
  <c r="AW344" i="30"/>
  <c r="AW343" i="30"/>
  <c r="AW342" i="30"/>
  <c r="AW341" i="30"/>
  <c r="AW340" i="30"/>
  <c r="AW339" i="30"/>
  <c r="AW338" i="30"/>
  <c r="AW337" i="30"/>
  <c r="AW336" i="30"/>
  <c r="AW335" i="30"/>
  <c r="AW334" i="30"/>
  <c r="AW333" i="30"/>
  <c r="AW332" i="30"/>
  <c r="AW331" i="30"/>
  <c r="AW330" i="30"/>
  <c r="AW329" i="30"/>
  <c r="AW328" i="30"/>
  <c r="AW327" i="30"/>
  <c r="AW326" i="30"/>
  <c r="AW325" i="30"/>
  <c r="AW324" i="30"/>
  <c r="AW323" i="30"/>
  <c r="AW322" i="30"/>
  <c r="AW321" i="30"/>
  <c r="AW320" i="30"/>
  <c r="AW319" i="30"/>
  <c r="AW318" i="30"/>
  <c r="AW317" i="30"/>
  <c r="AW316" i="30"/>
  <c r="AW315" i="30"/>
  <c r="AW314" i="30"/>
  <c r="AW313" i="30"/>
  <c r="AW312" i="30"/>
  <c r="AW311" i="30"/>
  <c r="AW310" i="30"/>
  <c r="AW309" i="30"/>
  <c r="AW308" i="30"/>
  <c r="AW307" i="30"/>
  <c r="AW306" i="30"/>
  <c r="AW305" i="30"/>
  <c r="AW304" i="30"/>
  <c r="AW303" i="30"/>
  <c r="AW302" i="30"/>
  <c r="AW301" i="30"/>
  <c r="AW300" i="30"/>
  <c r="AW299" i="30"/>
  <c r="AW298" i="30"/>
  <c r="AW297" i="30"/>
  <c r="AW296" i="30"/>
  <c r="AW295" i="30"/>
  <c r="AW294" i="30"/>
  <c r="AW293" i="30"/>
  <c r="AW292" i="30"/>
  <c r="AW291" i="30"/>
  <c r="AW290" i="30"/>
  <c r="AW289" i="30"/>
  <c r="AW288" i="30"/>
  <c r="AW287" i="30"/>
  <c r="AW286" i="30"/>
  <c r="AW285" i="30"/>
  <c r="AW284" i="30"/>
  <c r="AW283" i="30"/>
  <c r="AW282" i="30"/>
  <c r="AW281" i="30"/>
  <c r="AW280" i="30"/>
  <c r="AW279" i="30"/>
  <c r="AW278" i="30"/>
  <c r="AW277" i="30"/>
  <c r="AW276" i="30"/>
  <c r="AW275" i="30"/>
  <c r="AW274" i="30"/>
  <c r="AW273" i="30"/>
  <c r="AW272" i="30"/>
  <c r="AW271" i="30"/>
  <c r="AW270" i="30"/>
  <c r="AW269" i="30"/>
  <c r="AW268" i="30"/>
  <c r="AW267" i="30"/>
  <c r="AW266" i="30"/>
  <c r="AW265" i="30"/>
  <c r="AW264" i="30"/>
  <c r="AW263" i="30"/>
  <c r="AW262" i="30"/>
  <c r="AW261" i="30"/>
  <c r="AW260" i="30"/>
  <c r="AW259" i="30"/>
  <c r="AW258" i="30"/>
  <c r="AW257" i="30"/>
  <c r="AW256" i="30"/>
  <c r="AW255" i="30"/>
  <c r="AW254" i="30"/>
  <c r="AW253" i="30"/>
  <c r="AW252" i="30"/>
  <c r="AW251" i="30"/>
  <c r="AW250" i="30"/>
  <c r="AW249" i="30"/>
  <c r="AW248" i="30"/>
  <c r="AW247" i="30"/>
  <c r="AW246" i="30"/>
  <c r="AW245" i="30"/>
  <c r="AW244" i="30"/>
  <c r="AW243" i="30"/>
  <c r="AW242" i="30"/>
  <c r="AW241" i="30"/>
  <c r="AW240" i="30"/>
  <c r="AW239" i="30"/>
  <c r="AW238" i="30"/>
  <c r="AW237" i="30"/>
  <c r="AW236" i="30"/>
  <c r="AW235" i="30"/>
  <c r="AW234" i="30"/>
  <c r="AW233" i="30"/>
  <c r="AW232" i="30"/>
  <c r="AW231" i="30"/>
  <c r="AW230" i="30"/>
  <c r="AW229" i="30"/>
  <c r="AW228" i="30"/>
  <c r="AW227" i="30"/>
  <c r="AW226" i="30"/>
  <c r="AW225" i="30"/>
  <c r="AW224" i="30"/>
  <c r="AW223" i="30"/>
  <c r="AW222" i="30"/>
  <c r="AW221" i="30"/>
  <c r="AW220" i="30"/>
  <c r="AW219" i="30"/>
  <c r="AW218" i="30"/>
  <c r="AW217" i="30"/>
  <c r="AW216" i="30"/>
  <c r="AW215" i="30"/>
  <c r="AW214" i="30"/>
  <c r="AW213" i="30"/>
  <c r="AW212" i="30"/>
  <c r="AW211" i="30"/>
  <c r="AW210" i="30"/>
  <c r="AW209" i="30"/>
  <c r="AW208" i="30"/>
  <c r="AW207" i="30"/>
  <c r="AW206" i="30"/>
  <c r="AW205" i="30"/>
  <c r="AW204" i="30"/>
  <c r="AW203" i="30"/>
  <c r="AW202" i="30"/>
  <c r="AW201" i="30"/>
  <c r="AW200" i="30"/>
  <c r="AW199" i="30"/>
  <c r="AW198" i="30"/>
  <c r="AW197" i="30"/>
  <c r="AW196" i="30"/>
  <c r="AW195" i="30"/>
  <c r="AW194" i="30"/>
  <c r="AW193" i="30"/>
  <c r="AW192" i="30"/>
  <c r="AW191" i="30"/>
  <c r="AW190" i="30"/>
  <c r="AW189" i="30"/>
  <c r="AW188" i="30"/>
  <c r="AW187" i="30"/>
  <c r="AW186" i="30"/>
  <c r="AW185" i="30"/>
  <c r="AW184" i="30"/>
  <c r="AW183" i="30"/>
  <c r="AW182" i="30"/>
  <c r="AW181" i="30"/>
  <c r="AW180" i="30"/>
  <c r="AW179" i="30"/>
  <c r="AW178" i="30"/>
  <c r="AW177" i="30"/>
  <c r="AW176" i="30"/>
  <c r="AW175" i="30"/>
  <c r="AW174" i="30"/>
  <c r="AW173" i="30"/>
  <c r="AW172" i="30"/>
  <c r="AW171" i="30"/>
  <c r="AW170" i="30"/>
  <c r="AW169" i="30"/>
  <c r="AW168" i="30"/>
  <c r="AW167" i="30"/>
  <c r="AW166" i="30"/>
  <c r="AW165" i="30"/>
  <c r="AW164" i="30"/>
  <c r="AW163" i="30"/>
  <c r="AW162" i="30"/>
  <c r="AW161" i="30"/>
  <c r="AW160" i="30"/>
  <c r="AW159" i="30"/>
  <c r="AW158" i="30"/>
  <c r="AW157" i="30"/>
  <c r="AW156" i="30"/>
  <c r="AW155" i="30"/>
  <c r="AW154" i="30"/>
  <c r="AW153" i="30"/>
  <c r="AW152" i="30"/>
  <c r="AW151" i="30"/>
  <c r="AW150" i="30"/>
  <c r="AW149" i="30"/>
  <c r="AW148" i="30"/>
  <c r="AW147" i="30"/>
  <c r="AW146" i="30"/>
  <c r="AW145" i="30"/>
  <c r="AW144" i="30"/>
  <c r="AW143" i="30"/>
  <c r="AW142" i="30"/>
  <c r="AW141" i="30"/>
  <c r="AW140" i="30"/>
  <c r="AW139" i="30"/>
  <c r="AW138" i="30"/>
  <c r="AW137" i="30"/>
  <c r="AW136" i="30"/>
  <c r="AW135" i="30"/>
  <c r="AW134" i="30"/>
  <c r="AW133" i="30"/>
  <c r="AW132" i="30"/>
  <c r="AW131" i="30"/>
  <c r="AW130" i="30"/>
  <c r="AW129" i="30"/>
  <c r="AW128" i="30"/>
  <c r="AW127" i="30"/>
  <c r="AW126" i="30"/>
  <c r="AW125" i="30"/>
  <c r="AW124" i="30"/>
  <c r="AW123" i="30"/>
  <c r="AW122" i="30"/>
  <c r="AW121" i="30"/>
  <c r="AW120" i="30"/>
  <c r="AW119" i="30"/>
  <c r="AW118" i="30"/>
  <c r="AW117" i="30"/>
  <c r="AW116" i="30"/>
  <c r="AW115" i="30"/>
  <c r="AW114" i="30"/>
  <c r="AW113" i="30"/>
  <c r="AW112" i="30"/>
  <c r="AW111" i="30"/>
  <c r="AW110" i="30"/>
  <c r="AW109" i="30"/>
  <c r="AW108" i="30"/>
  <c r="AW107" i="30"/>
  <c r="AW106" i="30"/>
  <c r="AW105" i="30"/>
  <c r="AW104" i="30"/>
  <c r="AW103" i="30"/>
  <c r="AW102" i="30"/>
  <c r="AW101" i="30"/>
  <c r="AW100" i="30"/>
  <c r="AW99" i="30"/>
  <c r="AW98" i="30"/>
  <c r="AW97" i="30"/>
  <c r="AW96" i="30"/>
  <c r="AW95" i="30"/>
  <c r="AW94" i="30"/>
  <c r="AW93" i="30"/>
  <c r="AW92" i="30"/>
  <c r="AW91" i="30"/>
  <c r="AW90" i="30"/>
  <c r="AW89" i="30"/>
  <c r="AW88" i="30"/>
  <c r="AW87" i="30"/>
  <c r="AW86" i="30"/>
  <c r="AW85" i="30"/>
  <c r="AW84" i="30"/>
  <c r="AW83" i="30"/>
  <c r="AW82" i="30"/>
  <c r="AW81" i="30"/>
  <c r="AW80" i="30"/>
  <c r="AW79" i="30"/>
  <c r="AW78" i="30"/>
  <c r="AW77" i="30"/>
  <c r="AW76" i="30"/>
  <c r="AW75" i="30"/>
  <c r="AW74" i="30"/>
  <c r="AW73" i="30"/>
  <c r="AW72" i="30"/>
  <c r="AW71" i="30"/>
  <c r="AW70" i="30"/>
  <c r="AW69" i="30"/>
  <c r="AW68" i="30"/>
  <c r="AW67" i="30"/>
  <c r="AW66" i="30"/>
  <c r="AW65" i="30"/>
  <c r="AW64" i="30"/>
  <c r="AW63" i="30"/>
  <c r="AW62" i="30"/>
  <c r="AW61" i="30"/>
  <c r="AW60" i="30"/>
  <c r="AW59" i="30"/>
  <c r="AW58" i="30"/>
  <c r="AW57" i="30"/>
  <c r="AW56" i="30"/>
  <c r="AW55" i="30"/>
  <c r="AW54" i="30"/>
  <c r="AW53" i="30"/>
  <c r="AW52" i="30"/>
  <c r="AW51" i="30"/>
  <c r="AW50" i="30"/>
  <c r="AW49" i="30"/>
  <c r="AW48" i="30"/>
  <c r="AW47" i="30"/>
  <c r="AW43" i="30"/>
  <c r="AW42" i="30"/>
  <c r="AW41" i="30"/>
  <c r="AW40" i="30"/>
  <c r="AW39" i="30"/>
  <c r="AW7" i="30"/>
  <c r="A7" i="30"/>
  <c r="AW37" i="1"/>
  <c r="AW57" i="1"/>
  <c r="AW56" i="1"/>
  <c r="AW55" i="1"/>
  <c r="AW29" i="1"/>
  <c r="AW30" i="1"/>
  <c r="AW31" i="1"/>
  <c r="AW60" i="17"/>
  <c r="AW59" i="17"/>
  <c r="AW13" i="6"/>
  <c r="AW43" i="4"/>
  <c r="AW41" i="4"/>
  <c r="AW45" i="4"/>
  <c r="AW137" i="4"/>
  <c r="AW132" i="4"/>
  <c r="AW98" i="4"/>
  <c r="AW100" i="4"/>
  <c r="AW95" i="4"/>
  <c r="AW66" i="16"/>
  <c r="A66" i="16"/>
  <c r="AW65" i="16"/>
  <c r="A65" i="16"/>
  <c r="AW143" i="16"/>
  <c r="A143" i="16"/>
  <c r="AW142" i="16"/>
  <c r="A142" i="16"/>
  <c r="AW92" i="4"/>
  <c r="AW46" i="6"/>
  <c r="AW8" i="18"/>
  <c r="A8" i="18"/>
  <c r="AW69" i="18"/>
  <c r="AW28" i="18"/>
  <c r="AW27" i="18"/>
  <c r="AW26" i="18"/>
  <c r="AW25" i="18"/>
  <c r="AW24" i="18"/>
  <c r="AW23" i="18"/>
  <c r="AW20" i="18"/>
  <c r="AW17" i="18"/>
  <c r="AW14" i="18"/>
  <c r="A14" i="18"/>
  <c r="AW11" i="18"/>
  <c r="A11" i="18"/>
  <c r="AW22" i="18"/>
  <c r="AW19" i="18"/>
  <c r="AW16" i="18"/>
  <c r="A16" i="18"/>
  <c r="AW13" i="18"/>
  <c r="A13" i="18"/>
  <c r="AW10" i="18"/>
  <c r="A10" i="18"/>
  <c r="AW30" i="4"/>
  <c r="AW31" i="4"/>
  <c r="AW13" i="17"/>
  <c r="A13" i="17"/>
  <c r="AW12" i="17"/>
  <c r="A12" i="17"/>
  <c r="AW12" i="4"/>
  <c r="A12" i="4"/>
  <c r="AW34" i="8"/>
  <c r="A34" i="8"/>
  <c r="AW9" i="16"/>
  <c r="A9" i="16"/>
  <c r="AW16" i="7"/>
  <c r="AW24" i="6"/>
  <c r="AW23" i="6"/>
  <c r="AW138" i="6"/>
  <c r="AW112" i="17"/>
  <c r="A112" i="17"/>
  <c r="AW11" i="6"/>
  <c r="A11" i="6"/>
  <c r="AW17" i="6"/>
  <c r="AW25" i="8"/>
  <c r="A25" i="8"/>
  <c r="AW72" i="16"/>
  <c r="A72" i="16"/>
  <c r="AW12" i="16"/>
  <c r="A12" i="16"/>
  <c r="AW86" i="16"/>
  <c r="A86" i="16"/>
  <c r="AW81" i="11"/>
  <c r="A81" i="11"/>
  <c r="AW45" i="22"/>
  <c r="AW44" i="22"/>
  <c r="AW88" i="21"/>
  <c r="AW43" i="13"/>
  <c r="A43" i="13"/>
  <c r="AW39" i="6"/>
  <c r="AW14" i="7"/>
  <c r="AW38" i="6"/>
  <c r="AW22" i="6"/>
  <c r="AW20" i="6"/>
  <c r="AW21" i="6"/>
  <c r="AW88" i="4"/>
  <c r="AW87" i="4"/>
  <c r="AW89" i="4"/>
  <c r="AW90" i="4"/>
  <c r="AW103" i="4"/>
  <c r="AW102" i="4"/>
  <c r="AW22" i="17"/>
  <c r="A22" i="17"/>
  <c r="AW20" i="17"/>
  <c r="A20" i="17"/>
  <c r="AW11" i="8"/>
  <c r="A11" i="8"/>
  <c r="AW83" i="11"/>
  <c r="A83" i="11"/>
  <c r="AW36" i="8"/>
  <c r="A36" i="8"/>
  <c r="AW21" i="17"/>
  <c r="A21" i="17"/>
  <c r="AW42" i="6"/>
  <c r="AW55" i="11"/>
  <c r="A55" i="11"/>
  <c r="AW54" i="11"/>
  <c r="A54" i="11"/>
  <c r="AW53" i="11"/>
  <c r="A53" i="11"/>
  <c r="AW26" i="16"/>
  <c r="A26" i="16"/>
  <c r="AW73" i="11"/>
  <c r="A73" i="11"/>
  <c r="AW23" i="13"/>
  <c r="A23" i="13"/>
  <c r="AW14" i="13"/>
  <c r="A14" i="13"/>
  <c r="AW17" i="17"/>
  <c r="A17" i="17"/>
  <c r="AW44" i="6"/>
  <c r="AW121" i="4"/>
  <c r="AW51" i="11"/>
  <c r="A51" i="11"/>
  <c r="AW18" i="8"/>
  <c r="A18" i="8"/>
  <c r="AW41" i="6"/>
  <c r="AW40" i="6"/>
  <c r="AW394" i="4"/>
  <c r="AW136" i="4"/>
  <c r="AW57" i="17"/>
  <c r="A57" i="17"/>
  <c r="AW135" i="4"/>
  <c r="AW55" i="17"/>
  <c r="AN55" i="17"/>
  <c r="A55" i="17"/>
  <c r="AW115" i="21"/>
  <c r="AW114" i="21"/>
  <c r="AW90" i="21"/>
  <c r="AW113" i="21"/>
  <c r="AW19" i="21"/>
  <c r="AW21" i="21"/>
  <c r="AW112" i="21"/>
  <c r="AW111" i="21"/>
  <c r="AW110" i="21"/>
  <c r="AW109" i="21"/>
  <c r="AW108" i="21"/>
  <c r="AW107" i="21"/>
  <c r="AW106" i="21"/>
  <c r="AW105" i="21"/>
  <c r="AW104" i="21"/>
  <c r="AW103" i="21"/>
  <c r="AW102" i="21"/>
  <c r="AW101" i="21"/>
  <c r="AW100" i="21"/>
  <c r="AW99" i="21"/>
  <c r="AW98" i="21"/>
  <c r="AW97" i="21"/>
  <c r="AW96" i="21"/>
  <c r="AW95" i="21"/>
  <c r="AW94" i="21"/>
  <c r="AW153" i="21"/>
  <c r="A153" i="21"/>
  <c r="AW93" i="21"/>
  <c r="AW92" i="21"/>
  <c r="AW91" i="21"/>
  <c r="AW136" i="21"/>
  <c r="A136" i="21"/>
  <c r="AW89" i="21"/>
  <c r="AW84" i="21"/>
  <c r="AW73" i="21"/>
  <c r="AW86" i="21"/>
  <c r="AW13" i="25"/>
  <c r="A13" i="25"/>
  <c r="AW25" i="21"/>
  <c r="AW150" i="21"/>
  <c r="A150" i="21"/>
  <c r="AW87" i="21"/>
  <c r="AW85" i="21"/>
  <c r="AW83" i="21"/>
  <c r="AW82" i="21"/>
  <c r="AW81" i="21"/>
  <c r="AW80" i="21"/>
  <c r="AW79" i="21"/>
  <c r="AW78" i="21"/>
  <c r="AW77" i="21"/>
  <c r="AW76" i="21"/>
  <c r="AW75" i="21"/>
  <c r="AW74" i="21"/>
  <c r="AW72" i="21"/>
  <c r="AW71" i="21"/>
  <c r="AW70" i="21"/>
  <c r="AW69" i="21"/>
  <c r="AW68" i="21"/>
  <c r="AW66" i="21"/>
  <c r="AW65" i="21"/>
  <c r="AW138" i="21"/>
  <c r="A138" i="21"/>
  <c r="AW137" i="21"/>
  <c r="A137" i="21"/>
  <c r="AW139" i="21"/>
  <c r="A139" i="21"/>
  <c r="AW135" i="21"/>
  <c r="A135" i="21"/>
  <c r="AW134" i="21"/>
  <c r="A134" i="21"/>
  <c r="AW133" i="21"/>
  <c r="A133" i="21"/>
  <c r="AW148" i="21"/>
  <c r="A148" i="21"/>
  <c r="AW144" i="21"/>
  <c r="A144" i="21"/>
  <c r="AW143" i="21"/>
  <c r="A143" i="21"/>
  <c r="AW142" i="21"/>
  <c r="A142" i="21"/>
  <c r="AW113" i="17"/>
  <c r="A113" i="17"/>
  <c r="AW25" i="16"/>
  <c r="A25" i="16"/>
  <c r="AW59" i="11"/>
  <c r="A59" i="11"/>
  <c r="AW58" i="11"/>
  <c r="A58" i="11"/>
  <c r="AW57" i="11"/>
  <c r="A57" i="11"/>
  <c r="AW134" i="4"/>
  <c r="AW133" i="4"/>
  <c r="AW97" i="20"/>
  <c r="A97" i="20"/>
  <c r="AW96" i="20"/>
  <c r="A96" i="20"/>
  <c r="AW95" i="20"/>
  <c r="A95" i="20"/>
  <c r="AW94" i="20"/>
  <c r="A94" i="20"/>
  <c r="AW91" i="20"/>
  <c r="A91" i="20"/>
  <c r="AW90" i="20"/>
  <c r="A90" i="20"/>
  <c r="AW35" i="6"/>
  <c r="AW67" i="21"/>
  <c r="AW152" i="21"/>
  <c r="A152" i="21"/>
  <c r="AW64" i="21"/>
  <c r="AW60" i="21"/>
  <c r="AW132" i="21"/>
  <c r="A132" i="21"/>
  <c r="AW131" i="21"/>
  <c r="A131" i="21"/>
  <c r="AW151" i="21"/>
  <c r="A151" i="21"/>
  <c r="AW147" i="21"/>
  <c r="A147" i="21"/>
  <c r="AW146" i="21"/>
  <c r="A146" i="21"/>
  <c r="AW149" i="21"/>
  <c r="A149" i="21"/>
  <c r="AW145" i="21"/>
  <c r="A145" i="21"/>
  <c r="AW44" i="13"/>
  <c r="A44" i="13"/>
  <c r="AW42" i="13"/>
  <c r="A42" i="13"/>
  <c r="AW17" i="7"/>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7" i="25"/>
  <c r="AW7" i="25"/>
  <c r="A8" i="25"/>
  <c r="AW8" i="25"/>
  <c r="A9" i="25"/>
  <c r="AW9" i="25"/>
  <c r="A10" i="25"/>
  <c r="AW10" i="25"/>
  <c r="A11" i="25"/>
  <c r="AW11" i="25"/>
  <c r="A12" i="25"/>
  <c r="AW12" i="25"/>
  <c r="A14" i="25"/>
  <c r="AW14" i="25"/>
  <c r="A15" i="25"/>
  <c r="AW15" i="25"/>
  <c r="A16" i="25"/>
  <c r="AW16" i="25"/>
  <c r="A17" i="25"/>
  <c r="AW17" i="25"/>
  <c r="A18" i="25"/>
  <c r="AW18" i="25"/>
  <c r="A19" i="25"/>
  <c r="AW19" i="25"/>
  <c r="A49" i="25"/>
  <c r="AW49" i="25"/>
  <c r="A50" i="25"/>
  <c r="AW50" i="25"/>
  <c r="AW53" i="25"/>
  <c r="AW54" i="25"/>
  <c r="AW55" i="25"/>
  <c r="AW56" i="25"/>
  <c r="AW57" i="25"/>
  <c r="AW58" i="25"/>
  <c r="AW59" i="25"/>
  <c r="AW60" i="25"/>
  <c r="AW61" i="25"/>
  <c r="AW62" i="25"/>
  <c r="AW63" i="25"/>
  <c r="AW64" i="25"/>
  <c r="AW65" i="25"/>
  <c r="AW66" i="25"/>
  <c r="AW67" i="25"/>
  <c r="AW68" i="25"/>
  <c r="AW69" i="25"/>
  <c r="AW70" i="25"/>
  <c r="AW71" i="25"/>
  <c r="AW72" i="25"/>
  <c r="AW73" i="25"/>
  <c r="AW74" i="25"/>
  <c r="AW75" i="25"/>
  <c r="AW76" i="25"/>
  <c r="AW77" i="25"/>
  <c r="AW78" i="25"/>
  <c r="AW79" i="25"/>
  <c r="AW80" i="25"/>
  <c r="AW81" i="25"/>
  <c r="AW82" i="25"/>
  <c r="AW83" i="25"/>
  <c r="AW84" i="25"/>
  <c r="AW85" i="25"/>
  <c r="AW86" i="25"/>
  <c r="AW87" i="25"/>
  <c r="AW88" i="25"/>
  <c r="AW89" i="25"/>
  <c r="AW90" i="25"/>
  <c r="AW91" i="25"/>
  <c r="AW92" i="25"/>
  <c r="AW93" i="25"/>
  <c r="AW94" i="25"/>
  <c r="AW95" i="25"/>
  <c r="AW96" i="25"/>
  <c r="AW97" i="25"/>
  <c r="AW98" i="25"/>
  <c r="AW99" i="25"/>
  <c r="AW100" i="25"/>
  <c r="AW101" i="25"/>
  <c r="AW102" i="25"/>
  <c r="AW103" i="25"/>
  <c r="AW104" i="25"/>
  <c r="AW105" i="25"/>
  <c r="AW106" i="25"/>
  <c r="AW107" i="25"/>
  <c r="AW108" i="25"/>
  <c r="AW109" i="25"/>
  <c r="AW110" i="25"/>
  <c r="AW111" i="25"/>
  <c r="AW112" i="25"/>
  <c r="AW113" i="25"/>
  <c r="AW114" i="25"/>
  <c r="AW115" i="25"/>
  <c r="AW116" i="25"/>
  <c r="AW117" i="25"/>
  <c r="AW118" i="25"/>
  <c r="AW119" i="25"/>
  <c r="AW120" i="25"/>
  <c r="AW121" i="25"/>
  <c r="AW122" i="25"/>
  <c r="AW123" i="25"/>
  <c r="AW124" i="25"/>
  <c r="AW125" i="25"/>
  <c r="AW126" i="25"/>
  <c r="AW127" i="25"/>
  <c r="AW128" i="25"/>
  <c r="AW129" i="25"/>
  <c r="AW130" i="25"/>
  <c r="AW131" i="25"/>
  <c r="AW132" i="25"/>
  <c r="AW133" i="25"/>
  <c r="AW134" i="25"/>
  <c r="AW135" i="25"/>
  <c r="AW136" i="25"/>
  <c r="AW137" i="25"/>
  <c r="AW138" i="25"/>
  <c r="AW139" i="25"/>
  <c r="AW140" i="25"/>
  <c r="AW141" i="25"/>
  <c r="AW142" i="25"/>
  <c r="AW143" i="25"/>
  <c r="AW144" i="25"/>
  <c r="AW145" i="25"/>
  <c r="AW146" i="25"/>
  <c r="AW147" i="25"/>
  <c r="AW148" i="25"/>
  <c r="AW149" i="25"/>
  <c r="AW150" i="25"/>
  <c r="AW151" i="25"/>
  <c r="AW152" i="25"/>
  <c r="AW153" i="25"/>
  <c r="AW154" i="25"/>
  <c r="AW155" i="25"/>
  <c r="AW156" i="25"/>
  <c r="AW157" i="25"/>
  <c r="AW158" i="25"/>
  <c r="AW159" i="25"/>
  <c r="AW160" i="25"/>
  <c r="AW161" i="25"/>
  <c r="AW162" i="25"/>
  <c r="AW163" i="25"/>
  <c r="AW164" i="25"/>
  <c r="AW165" i="25"/>
  <c r="AW166" i="25"/>
  <c r="AW167" i="25"/>
  <c r="AW168" i="25"/>
  <c r="AW169" i="25"/>
  <c r="AW170" i="25"/>
  <c r="AW171" i="25"/>
  <c r="AW172" i="25"/>
  <c r="AW173" i="25"/>
  <c r="AW174" i="25"/>
  <c r="AW175" i="25"/>
  <c r="AW176" i="25"/>
  <c r="AW177" i="25"/>
  <c r="AW178" i="25"/>
  <c r="AW179" i="25"/>
  <c r="AW180" i="25"/>
  <c r="AW181" i="25"/>
  <c r="AW182" i="25"/>
  <c r="AW183" i="25"/>
  <c r="AW184" i="25"/>
  <c r="AW185" i="25"/>
  <c r="AW186" i="25"/>
  <c r="AW187" i="25"/>
  <c r="AW188" i="25"/>
  <c r="AW189" i="25"/>
  <c r="AW190" i="25"/>
  <c r="AW191" i="25"/>
  <c r="AW192" i="25"/>
  <c r="AW193" i="25"/>
  <c r="AW194" i="25"/>
  <c r="AW195" i="25"/>
  <c r="AW196" i="25"/>
  <c r="AW197" i="25"/>
  <c r="AW198" i="25"/>
  <c r="AW199" i="25"/>
  <c r="AW200" i="25"/>
  <c r="AW201" i="25"/>
  <c r="AW202" i="25"/>
  <c r="AW203" i="25"/>
  <c r="AW204" i="25"/>
  <c r="AW205" i="25"/>
  <c r="AW206" i="25"/>
  <c r="AW207" i="25"/>
  <c r="AW208" i="25"/>
  <c r="AW209" i="25"/>
  <c r="AW210" i="25"/>
  <c r="AW211" i="25"/>
  <c r="AW212" i="25"/>
  <c r="AW213" i="25"/>
  <c r="AW214" i="25"/>
  <c r="AW215" i="25"/>
  <c r="AW216" i="25"/>
  <c r="AW217" i="25"/>
  <c r="AW218" i="25"/>
  <c r="AW219" i="25"/>
  <c r="AW220" i="25"/>
  <c r="AW221" i="25"/>
  <c r="AW222" i="25"/>
  <c r="AW223" i="25"/>
  <c r="AW224" i="25"/>
  <c r="AW225" i="25"/>
  <c r="AW226" i="25"/>
  <c r="AW227" i="25"/>
  <c r="AW228" i="25"/>
  <c r="AW229" i="25"/>
  <c r="AW230" i="25"/>
  <c r="AW231" i="25"/>
  <c r="AW232" i="25"/>
  <c r="AW233" i="25"/>
  <c r="AW234" i="25"/>
  <c r="AW235" i="25"/>
  <c r="AW236" i="25"/>
  <c r="AW237" i="25"/>
  <c r="AW238" i="25"/>
  <c r="AW239" i="25"/>
  <c r="AW240" i="25"/>
  <c r="AW241" i="25"/>
  <c r="AW242" i="25"/>
  <c r="AW243" i="25"/>
  <c r="AW244" i="25"/>
  <c r="AW245" i="25"/>
  <c r="AW246" i="25"/>
  <c r="AW247" i="25"/>
  <c r="AW248" i="25"/>
  <c r="AW249" i="25"/>
  <c r="AW250" i="25"/>
  <c r="AW251" i="25"/>
  <c r="AW252" i="25"/>
  <c r="AW253" i="25"/>
  <c r="AW254" i="25"/>
  <c r="AW255" i="25"/>
  <c r="AW256" i="25"/>
  <c r="AW257" i="25"/>
  <c r="AW258" i="25"/>
  <c r="AW259" i="25"/>
  <c r="AW260" i="25"/>
  <c r="AW261" i="25"/>
  <c r="AW262" i="25"/>
  <c r="AW263" i="25"/>
  <c r="AW264" i="25"/>
  <c r="AW265" i="25"/>
  <c r="AW266" i="25"/>
  <c r="AW267" i="25"/>
  <c r="AW268" i="25"/>
  <c r="AW269" i="25"/>
  <c r="AW270" i="25"/>
  <c r="AW271" i="25"/>
  <c r="AW272" i="25"/>
  <c r="AW273" i="25"/>
  <c r="AW274" i="25"/>
  <c r="AW275" i="25"/>
  <c r="AW276" i="25"/>
  <c r="AW277" i="25"/>
  <c r="AW278" i="25"/>
  <c r="AW279" i="25"/>
  <c r="AW280" i="25"/>
  <c r="AW281" i="25"/>
  <c r="AW282" i="25"/>
  <c r="AW283" i="25"/>
  <c r="AW284" i="25"/>
  <c r="AW285" i="25"/>
  <c r="AW286" i="25"/>
  <c r="AW287" i="25"/>
  <c r="AW288" i="25"/>
  <c r="AW289" i="25"/>
  <c r="AW290" i="25"/>
  <c r="AW291" i="25"/>
  <c r="AW292" i="25"/>
  <c r="AW293" i="25"/>
  <c r="AW294" i="25"/>
  <c r="AW295" i="25"/>
  <c r="AW296" i="25"/>
  <c r="AW297" i="25"/>
  <c r="AW298" i="25"/>
  <c r="AW299" i="25"/>
  <c r="AW300" i="25"/>
  <c r="AW301" i="25"/>
  <c r="AW302" i="25"/>
  <c r="AW303" i="25"/>
  <c r="AW304" i="25"/>
  <c r="AW305" i="25"/>
  <c r="AW306" i="25"/>
  <c r="AW307" i="25"/>
  <c r="AW308" i="25"/>
  <c r="AW309" i="25"/>
  <c r="AW310" i="25"/>
  <c r="AW311" i="25"/>
  <c r="AW312" i="25"/>
  <c r="AW313" i="25"/>
  <c r="AW314" i="25"/>
  <c r="AW315" i="25"/>
  <c r="AW316" i="25"/>
  <c r="AW317" i="25"/>
  <c r="AW318" i="25"/>
  <c r="AW319" i="25"/>
  <c r="AW320" i="25"/>
  <c r="AW321" i="25"/>
  <c r="AW322" i="25"/>
  <c r="AW323" i="25"/>
  <c r="AW324" i="25"/>
  <c r="AW325" i="25"/>
  <c r="AW326" i="25"/>
  <c r="AW327" i="25"/>
  <c r="AW328" i="25"/>
  <c r="AW329" i="25"/>
  <c r="AW330" i="25"/>
  <c r="AW331" i="25"/>
  <c r="AW332" i="25"/>
  <c r="AW333" i="25"/>
  <c r="AW334" i="25"/>
  <c r="AW335" i="25"/>
  <c r="AW336" i="25"/>
  <c r="AW337" i="25"/>
  <c r="AW338" i="25"/>
  <c r="AW339" i="25"/>
  <c r="AW340" i="25"/>
  <c r="AW341" i="25"/>
  <c r="AW342" i="25"/>
  <c r="AW343" i="25"/>
  <c r="AW344" i="25"/>
  <c r="AW345" i="25"/>
  <c r="AW346" i="25"/>
  <c r="AW347" i="25"/>
  <c r="AW348" i="25"/>
  <c r="AW349" i="25"/>
  <c r="AW350" i="25"/>
  <c r="AW351" i="25"/>
  <c r="AW352" i="25"/>
  <c r="AW353" i="25"/>
  <c r="AW354" i="25"/>
  <c r="AW355" i="25"/>
  <c r="AW356" i="25"/>
  <c r="AW357" i="25"/>
  <c r="AW358" i="25"/>
  <c r="AW359" i="25"/>
  <c r="AW360" i="25"/>
  <c r="AW361" i="25"/>
  <c r="AW362" i="25"/>
  <c r="AW363" i="25"/>
  <c r="AW364" i="25"/>
  <c r="AW365" i="25"/>
  <c r="AW366" i="25"/>
  <c r="AW367" i="25"/>
  <c r="AW368" i="25"/>
  <c r="AW369" i="25"/>
  <c r="AW370" i="25"/>
  <c r="AW371" i="25"/>
  <c r="AW372" i="25"/>
  <c r="AW373" i="25"/>
  <c r="AW374" i="25"/>
  <c r="AW375" i="25"/>
  <c r="AW376" i="25"/>
  <c r="AW377" i="25"/>
  <c r="AW378" i="25"/>
  <c r="AW379" i="25"/>
  <c r="AW380" i="25"/>
  <c r="AW381" i="25"/>
  <c r="AW382" i="25"/>
  <c r="AW383" i="25"/>
  <c r="AW384" i="25"/>
  <c r="AW385" i="25"/>
  <c r="AW386" i="25"/>
  <c r="AW387" i="25"/>
  <c r="AW388" i="25"/>
  <c r="AW389" i="25"/>
  <c r="AW390" i="25"/>
  <c r="AW391" i="25"/>
  <c r="AW392" i="25"/>
  <c r="AW393" i="25"/>
  <c r="AW394" i="25"/>
  <c r="AW395" i="25"/>
  <c r="AW396" i="25"/>
  <c r="AW397" i="25"/>
  <c r="AW398" i="25"/>
  <c r="AW399" i="25"/>
  <c r="AW400" i="25"/>
  <c r="AW401" i="25"/>
  <c r="AW402" i="25"/>
  <c r="AW403" i="25"/>
  <c r="AW404" i="25"/>
  <c r="AW405" i="25"/>
  <c r="AW406" i="25"/>
  <c r="AW407" i="25"/>
  <c r="AW408" i="25"/>
  <c r="AW409" i="25"/>
  <c r="AW410" i="25"/>
  <c r="AW411" i="25"/>
  <c r="AW412" i="25"/>
  <c r="AW413" i="25"/>
  <c r="AW414" i="25"/>
  <c r="AW415" i="25"/>
  <c r="AW416" i="25"/>
  <c r="AW417" i="25"/>
  <c r="AW418" i="25"/>
  <c r="AW419" i="25"/>
  <c r="AW420" i="25"/>
  <c r="AW421" i="25"/>
  <c r="AW422" i="25"/>
  <c r="AW423" i="25"/>
  <c r="AW424" i="25"/>
  <c r="AW425" i="25"/>
  <c r="AW426" i="25"/>
  <c r="AW427" i="25"/>
  <c r="AW428" i="25"/>
  <c r="AW429" i="25"/>
  <c r="AW430" i="25"/>
  <c r="AW431" i="25"/>
  <c r="AW432" i="25"/>
  <c r="AW433" i="25"/>
  <c r="AW434" i="25"/>
  <c r="AW435" i="25"/>
  <c r="AW436" i="25"/>
  <c r="AW437" i="25"/>
  <c r="AW438" i="25"/>
  <c r="AW439" i="25"/>
  <c r="AW440" i="25"/>
  <c r="AW441" i="25"/>
  <c r="AW442" i="25"/>
  <c r="AW443" i="25"/>
  <c r="AW444" i="25"/>
  <c r="AW445" i="25"/>
  <c r="AW446" i="25"/>
  <c r="AW447" i="25"/>
  <c r="AW448" i="25"/>
  <c r="AW449" i="25"/>
  <c r="AW450" i="25"/>
  <c r="AW451" i="25"/>
  <c r="AW452" i="25"/>
  <c r="AW453" i="25"/>
  <c r="AW454" i="25"/>
  <c r="AW455" i="25"/>
  <c r="AW456" i="25"/>
  <c r="AW457" i="25"/>
  <c r="AW458" i="25"/>
  <c r="AW459" i="25"/>
  <c r="AW460" i="25"/>
  <c r="AW461" i="25"/>
  <c r="AW462" i="25"/>
  <c r="AW463" i="25"/>
  <c r="AW464" i="25"/>
  <c r="AW465" i="25"/>
  <c r="AW466" i="25"/>
  <c r="A7" i="17"/>
  <c r="AW7" i="17"/>
  <c r="A8" i="17"/>
  <c r="AW8" i="17"/>
  <c r="A9" i="17"/>
  <c r="AW9" i="17"/>
  <c r="A10" i="17"/>
  <c r="AW10" i="17"/>
  <c r="A11" i="17"/>
  <c r="AW11" i="17"/>
  <c r="A14" i="17"/>
  <c r="AW14" i="17"/>
  <c r="A41" i="17"/>
  <c r="A15" i="17"/>
  <c r="AW15" i="17"/>
  <c r="A16" i="17"/>
  <c r="AW16" i="17"/>
  <c r="A18" i="17"/>
  <c r="AW18" i="17"/>
  <c r="A19" i="17"/>
  <c r="AW19" i="17"/>
  <c r="A23" i="17"/>
  <c r="AW23" i="17"/>
  <c r="A24" i="17"/>
  <c r="AW24" i="17"/>
  <c r="A25" i="17"/>
  <c r="AW25" i="17"/>
  <c r="A27" i="17"/>
  <c r="AW27" i="17"/>
  <c r="A29" i="17"/>
  <c r="AW29" i="17"/>
  <c r="A30" i="17"/>
  <c r="AW30" i="17"/>
  <c r="A31" i="17"/>
  <c r="AW31" i="17"/>
  <c r="A37" i="17"/>
  <c r="AW37" i="17"/>
  <c r="A38" i="17"/>
  <c r="AW38" i="17"/>
  <c r="A39" i="17"/>
  <c r="AW39" i="17"/>
  <c r="A40" i="17"/>
  <c r="AW40" i="17"/>
  <c r="AW41" i="17"/>
  <c r="A42" i="17"/>
  <c r="AW42" i="17"/>
  <c r="A43" i="17"/>
  <c r="AW43" i="17"/>
  <c r="A44" i="17"/>
  <c r="AW44" i="17"/>
  <c r="AW48" i="17"/>
  <c r="A49" i="17"/>
  <c r="AW49" i="17"/>
  <c r="A50" i="17"/>
  <c r="AW50" i="17"/>
  <c r="A51" i="17"/>
  <c r="AW51" i="17"/>
  <c r="A54" i="17"/>
  <c r="AW54" i="17"/>
  <c r="A58" i="17"/>
  <c r="AW58" i="17"/>
  <c r="A105" i="17"/>
  <c r="AW105" i="17"/>
  <c r="A106" i="17"/>
  <c r="AW106" i="17"/>
  <c r="A107" i="17"/>
  <c r="AW107" i="17"/>
  <c r="A108" i="17"/>
  <c r="AW108" i="17"/>
  <c r="A109" i="17"/>
  <c r="AW109" i="17"/>
  <c r="A111" i="17"/>
  <c r="AW111" i="17"/>
  <c r="AW115" i="17"/>
  <c r="AW116" i="17"/>
  <c r="AW117" i="17"/>
  <c r="AW118" i="17"/>
  <c r="AW119" i="17"/>
  <c r="AW120" i="17"/>
  <c r="AW121" i="17"/>
  <c r="AW122" i="17"/>
  <c r="AW123" i="17"/>
  <c r="AW124" i="17"/>
  <c r="AW125" i="17"/>
  <c r="AW126" i="17"/>
  <c r="AW127" i="17"/>
  <c r="AW128" i="17"/>
  <c r="AW129" i="17"/>
  <c r="AW130" i="17"/>
  <c r="AW131" i="17"/>
  <c r="AW132" i="17"/>
  <c r="AW133" i="17"/>
  <c r="AW134" i="17"/>
  <c r="AW135" i="17"/>
  <c r="AW136" i="17"/>
  <c r="AW137" i="17"/>
  <c r="AW138" i="17"/>
  <c r="AW139" i="17"/>
  <c r="AW140" i="17"/>
  <c r="AW141" i="17"/>
  <c r="AW142" i="17"/>
  <c r="AW143" i="17"/>
  <c r="AW144" i="17"/>
  <c r="AW145" i="17"/>
  <c r="AW146" i="17"/>
  <c r="AW147" i="17"/>
  <c r="AW148" i="17"/>
  <c r="AW149" i="17"/>
  <c r="AW150" i="17"/>
  <c r="AW151" i="17"/>
  <c r="AW152" i="17"/>
  <c r="AW153" i="17"/>
  <c r="AW154" i="17"/>
  <c r="AW155" i="17"/>
  <c r="AW156" i="17"/>
  <c r="AW157" i="17"/>
  <c r="AW158" i="17"/>
  <c r="AW159" i="17"/>
  <c r="AW160" i="17"/>
  <c r="AW161" i="17"/>
  <c r="AW162" i="17"/>
  <c r="AW163" i="17"/>
  <c r="AW164" i="17"/>
  <c r="AW165" i="17"/>
  <c r="AW166" i="17"/>
  <c r="AW167" i="17"/>
  <c r="AW168" i="17"/>
  <c r="AW169" i="17"/>
  <c r="AW170" i="17"/>
  <c r="AW171" i="17"/>
  <c r="AW172" i="17"/>
  <c r="AW173" i="17"/>
  <c r="AW174" i="17"/>
  <c r="AW175" i="17"/>
  <c r="AW176" i="17"/>
  <c r="AW177" i="17"/>
  <c r="AW178" i="17"/>
  <c r="AW179" i="17"/>
  <c r="AW180" i="17"/>
  <c r="AW181" i="17"/>
  <c r="AW182" i="17"/>
  <c r="AW183" i="17"/>
  <c r="AW184" i="17"/>
  <c r="AW185" i="17"/>
  <c r="AW186" i="17"/>
  <c r="AW187" i="17"/>
  <c r="AW188" i="17"/>
  <c r="AW189" i="17"/>
  <c r="AW190" i="17"/>
  <c r="AW191" i="17"/>
  <c r="AW192" i="17"/>
  <c r="AW193" i="17"/>
  <c r="AW194" i="17"/>
  <c r="AW195" i="17"/>
  <c r="AW196" i="17"/>
  <c r="AW197" i="17"/>
  <c r="AW198" i="17"/>
  <c r="AW199" i="17"/>
  <c r="AW200" i="17"/>
  <c r="AW201" i="17"/>
  <c r="AW202" i="17"/>
  <c r="AW203" i="17"/>
  <c r="AW204" i="17"/>
  <c r="AW205" i="17"/>
  <c r="AW206" i="17"/>
  <c r="AW207" i="17"/>
  <c r="AW208" i="17"/>
  <c r="AW209" i="17"/>
  <c r="AW210" i="17"/>
  <c r="AW211" i="17"/>
  <c r="AW212" i="17"/>
  <c r="AW213" i="17"/>
  <c r="AW214" i="17"/>
  <c r="AW215" i="17"/>
  <c r="AW216" i="17"/>
  <c r="AW217" i="17"/>
  <c r="AW218" i="17"/>
  <c r="AW219" i="17"/>
  <c r="AW220" i="17"/>
  <c r="AW221" i="17"/>
  <c r="AW222" i="17"/>
  <c r="AW223" i="17"/>
  <c r="AW224" i="17"/>
  <c r="AW225" i="17"/>
  <c r="AW226" i="17"/>
  <c r="AW227" i="17"/>
  <c r="AW228" i="17"/>
  <c r="AW229" i="17"/>
  <c r="AW230" i="17"/>
  <c r="AW231" i="17"/>
  <c r="AW232" i="17"/>
  <c r="AW233" i="17"/>
  <c r="AW234" i="17"/>
  <c r="AW235" i="17"/>
  <c r="AW236" i="17"/>
  <c r="AW237" i="17"/>
  <c r="AW238" i="17"/>
  <c r="AW239" i="17"/>
  <c r="AW240" i="17"/>
  <c r="AW241" i="17"/>
  <c r="AW242" i="17"/>
  <c r="AW243" i="17"/>
  <c r="AW244" i="17"/>
  <c r="AW245" i="17"/>
  <c r="AW246" i="17"/>
  <c r="AW247" i="17"/>
  <c r="AW248" i="17"/>
  <c r="AW249" i="17"/>
  <c r="AW250" i="17"/>
  <c r="AW251" i="17"/>
  <c r="AW252" i="17"/>
  <c r="AW253" i="17"/>
  <c r="AW254" i="17"/>
  <c r="AW255" i="17"/>
  <c r="AW256" i="17"/>
  <c r="AW257" i="17"/>
  <c r="AW258" i="17"/>
  <c r="AW259" i="17"/>
  <c r="AW260" i="17"/>
  <c r="AW261" i="17"/>
  <c r="AW262" i="17"/>
  <c r="AW263" i="17"/>
  <c r="AW264" i="17"/>
  <c r="AW265" i="17"/>
  <c r="AW266" i="17"/>
  <c r="AW267" i="17"/>
  <c r="AW268" i="17"/>
  <c r="AW269" i="17"/>
  <c r="AW270" i="17"/>
  <c r="AW271" i="17"/>
  <c r="AW272" i="17"/>
  <c r="AW273" i="17"/>
  <c r="AW274" i="17"/>
  <c r="AW275" i="17"/>
  <c r="AW276" i="17"/>
  <c r="AW277" i="17"/>
  <c r="AW278" i="17"/>
  <c r="AW279" i="17"/>
  <c r="AW280" i="17"/>
  <c r="AW281" i="17"/>
  <c r="AW282" i="17"/>
  <c r="AW283" i="17"/>
  <c r="AW284" i="17"/>
  <c r="AW285" i="17"/>
  <c r="AW286" i="17"/>
  <c r="AW287" i="17"/>
  <c r="AW288" i="17"/>
  <c r="AW289" i="17"/>
  <c r="AW290" i="17"/>
  <c r="AW291" i="17"/>
  <c r="AW292" i="17"/>
  <c r="AW293" i="17"/>
  <c r="AW294" i="17"/>
  <c r="AW295" i="17"/>
  <c r="AW296" i="17"/>
  <c r="AW297" i="17"/>
  <c r="AW298" i="17"/>
  <c r="AW299" i="17"/>
  <c r="AW300" i="17"/>
  <c r="AW301" i="17"/>
  <c r="AW302" i="17"/>
  <c r="AW303" i="17"/>
  <c r="AW304" i="17"/>
  <c r="AW305" i="17"/>
  <c r="AW306" i="17"/>
  <c r="AW307" i="17"/>
  <c r="AW308" i="17"/>
  <c r="AW309" i="17"/>
  <c r="AW310" i="17"/>
  <c r="AW311" i="17"/>
  <c r="AW312" i="17"/>
  <c r="AW313" i="17"/>
  <c r="AW314" i="17"/>
  <c r="AW315" i="17"/>
  <c r="AW316" i="17"/>
  <c r="AW317" i="17"/>
  <c r="AW318" i="17"/>
  <c r="AW319" i="17"/>
  <c r="AW320" i="17"/>
  <c r="AW321" i="17"/>
  <c r="AW322" i="17"/>
  <c r="AW323" i="17"/>
  <c r="AW324" i="17"/>
  <c r="AW325" i="17"/>
  <c r="AW326" i="17"/>
  <c r="AW327" i="17"/>
  <c r="AW328" i="17"/>
  <c r="AW329" i="17"/>
  <c r="AW330" i="17"/>
  <c r="AW331" i="17"/>
  <c r="AW332" i="17"/>
  <c r="AW333" i="17"/>
  <c r="AW334" i="17"/>
  <c r="AW335" i="17"/>
  <c r="AW336" i="17"/>
  <c r="AW337" i="17"/>
  <c r="AW338" i="17"/>
  <c r="AW339" i="17"/>
  <c r="AW340" i="17"/>
  <c r="AW341" i="17"/>
  <c r="AW342" i="17"/>
  <c r="AW343" i="17"/>
  <c r="AW344" i="17"/>
  <c r="AW345" i="17"/>
  <c r="AW346" i="17"/>
  <c r="AW347" i="17"/>
  <c r="AW348" i="17"/>
  <c r="AW349" i="17"/>
  <c r="AW350" i="17"/>
  <c r="AW351" i="17"/>
  <c r="AW352" i="17"/>
  <c r="AW353" i="17"/>
  <c r="AW354" i="17"/>
  <c r="AW355" i="17"/>
  <c r="AW356" i="17"/>
  <c r="AW357" i="17"/>
  <c r="AW358" i="17"/>
  <c r="AW359" i="17"/>
  <c r="AW360" i="17"/>
  <c r="AW361" i="17"/>
  <c r="AW362" i="17"/>
  <c r="AW363" i="17"/>
  <c r="AW364" i="17"/>
  <c r="AW365" i="17"/>
  <c r="AW366" i="17"/>
  <c r="AW367" i="17"/>
  <c r="AW368" i="17"/>
  <c r="AW369" i="17"/>
  <c r="AW370" i="17"/>
  <c r="AW371" i="17"/>
  <c r="AW372" i="17"/>
  <c r="AW373" i="17"/>
  <c r="AW374" i="17"/>
  <c r="AW375" i="17"/>
  <c r="AW376" i="17"/>
  <c r="AW377" i="17"/>
  <c r="AW378" i="17"/>
  <c r="AW379" i="17"/>
  <c r="AW380" i="17"/>
  <c r="AW381" i="17"/>
  <c r="AW382" i="17"/>
  <c r="AW383" i="17"/>
  <c r="AW384" i="17"/>
  <c r="AW385" i="17"/>
  <c r="AW386" i="17"/>
  <c r="AW387" i="17"/>
  <c r="AW388" i="17"/>
  <c r="AW389" i="17"/>
  <c r="AW390" i="17"/>
  <c r="AW391" i="17"/>
  <c r="AW392" i="17"/>
  <c r="AW393" i="17"/>
  <c r="AW394" i="17"/>
  <c r="AW395" i="17"/>
  <c r="AW396" i="17"/>
  <c r="AW397" i="17"/>
  <c r="AW398" i="17"/>
  <c r="AW399" i="17"/>
  <c r="AW400" i="17"/>
  <c r="AW401" i="17"/>
  <c r="AW402" i="17"/>
  <c r="AW403" i="17"/>
  <c r="AW404" i="17"/>
  <c r="AW405" i="17"/>
  <c r="AW406" i="17"/>
  <c r="AW407" i="17"/>
  <c r="AW408" i="17"/>
  <c r="AW409" i="17"/>
  <c r="AW410" i="17"/>
  <c r="AW411" i="17"/>
  <c r="AW412" i="17"/>
  <c r="AW413" i="17"/>
  <c r="AW414" i="17"/>
  <c r="AW415" i="17"/>
  <c r="AW416" i="17"/>
  <c r="AW417" i="17"/>
  <c r="AW418" i="17"/>
  <c r="AW419" i="17"/>
  <c r="AW420" i="17"/>
  <c r="AW421" i="17"/>
  <c r="AW422" i="17"/>
  <c r="AW423" i="17"/>
  <c r="AW424" i="17"/>
  <c r="AW425" i="17"/>
  <c r="AW426" i="17"/>
  <c r="AW427" i="17"/>
  <c r="AW428" i="17"/>
  <c r="AW429" i="17"/>
  <c r="AW430" i="17"/>
  <c r="AW431" i="17"/>
  <c r="AW432" i="17"/>
  <c r="AW433" i="17"/>
  <c r="AW434" i="17"/>
  <c r="AW435" i="17"/>
  <c r="AW436" i="17"/>
  <c r="AW437" i="17"/>
  <c r="AW438" i="17"/>
  <c r="AW439" i="17"/>
  <c r="AW440" i="17"/>
  <c r="AW441" i="17"/>
  <c r="AW442" i="17"/>
  <c r="AW443" i="17"/>
  <c r="AW444" i="17"/>
  <c r="AW445" i="17"/>
  <c r="AW446" i="17"/>
  <c r="AW447" i="17"/>
  <c r="AW448" i="17"/>
  <c r="AW449" i="17"/>
  <c r="AW450" i="17"/>
  <c r="AW451" i="17"/>
  <c r="AW452" i="17"/>
  <c r="AW453" i="17"/>
  <c r="AW454" i="17"/>
  <c r="AW455" i="17"/>
  <c r="AW456" i="17"/>
  <c r="AW457" i="17"/>
  <c r="AW458" i="17"/>
  <c r="AW459" i="17"/>
  <c r="AW460" i="17"/>
  <c r="AW461" i="17"/>
  <c r="AW462" i="17"/>
  <c r="AW463" i="17"/>
  <c r="AW464" i="17"/>
  <c r="AW465" i="17"/>
  <c r="AW466" i="17"/>
  <c r="AW467" i="17"/>
  <c r="AW468" i="17"/>
  <c r="AW469" i="17"/>
  <c r="AW470" i="17"/>
  <c r="AW471" i="17"/>
  <c r="AW472" i="17"/>
  <c r="AW473" i="17"/>
  <c r="AW474" i="17"/>
  <c r="AW475" i="17"/>
  <c r="AW476" i="17"/>
  <c r="AW477" i="17"/>
  <c r="AW478" i="17"/>
  <c r="AW479" i="17"/>
  <c r="AW480" i="17"/>
  <c r="AW481" i="17"/>
  <c r="AW482" i="17"/>
  <c r="AW483" i="17"/>
  <c r="AW484" i="17"/>
  <c r="AW485" i="17"/>
  <c r="AW486" i="17"/>
  <c r="AW487" i="17"/>
  <c r="AW488" i="17"/>
  <c r="AW489" i="17"/>
  <c r="AW490" i="17"/>
  <c r="AW491" i="17"/>
  <c r="AW492" i="17"/>
  <c r="AW493" i="17"/>
  <c r="AW494" i="17"/>
  <c r="AW495" i="17"/>
  <c r="AW496" i="17"/>
  <c r="AW497" i="17"/>
  <c r="AW498" i="17"/>
  <c r="AW499" i="17"/>
  <c r="AW500" i="17"/>
  <c r="AW501" i="17"/>
  <c r="A7" i="16"/>
  <c r="AW7" i="16"/>
  <c r="A8" i="16"/>
  <c r="AW8" i="16"/>
  <c r="A10" i="16"/>
  <c r="AW10" i="16"/>
  <c r="A11" i="16"/>
  <c r="AW11" i="16"/>
  <c r="A13" i="16"/>
  <c r="AW13" i="16"/>
  <c r="A14" i="16"/>
  <c r="AW14" i="16"/>
  <c r="A15" i="16"/>
  <c r="AW15" i="16"/>
  <c r="A16" i="16"/>
  <c r="AW16" i="16"/>
  <c r="A17" i="16"/>
  <c r="AW17" i="16"/>
  <c r="A18" i="16"/>
  <c r="AW18" i="16"/>
  <c r="A19" i="16"/>
  <c r="AW19" i="16"/>
  <c r="A20" i="16"/>
  <c r="AW20" i="16"/>
  <c r="A21" i="16"/>
  <c r="AW21" i="16"/>
  <c r="A22" i="16"/>
  <c r="AW22" i="16"/>
  <c r="A23" i="16"/>
  <c r="AW23" i="16"/>
  <c r="A24" i="16"/>
  <c r="AW24" i="16"/>
  <c r="A27" i="16"/>
  <c r="AW27" i="16"/>
  <c r="A28" i="16"/>
  <c r="AW28" i="16"/>
  <c r="A29" i="16"/>
  <c r="A42" i="16"/>
  <c r="AW29" i="16"/>
  <c r="A30" i="16"/>
  <c r="AW30" i="16"/>
  <c r="A31" i="16"/>
  <c r="AW31" i="16"/>
  <c r="A32" i="16"/>
  <c r="AW32" i="16"/>
  <c r="A33" i="16"/>
  <c r="AW33" i="16"/>
  <c r="A34" i="16"/>
  <c r="AW34" i="16"/>
  <c r="A35" i="16"/>
  <c r="AW35" i="16"/>
  <c r="A36" i="16"/>
  <c r="AW36" i="16"/>
  <c r="A37" i="16"/>
  <c r="AW37" i="16"/>
  <c r="A38" i="16"/>
  <c r="AW38" i="16"/>
  <c r="A39" i="16"/>
  <c r="AW39" i="16"/>
  <c r="A40" i="16"/>
  <c r="AW40" i="16"/>
  <c r="A41" i="16"/>
  <c r="AW41" i="16"/>
  <c r="AW42" i="16"/>
  <c r="A43" i="16"/>
  <c r="AW43" i="16"/>
  <c r="A44" i="16"/>
  <c r="A52" i="16"/>
  <c r="AW44" i="16"/>
  <c r="A45" i="16"/>
  <c r="AW45" i="16"/>
  <c r="A46" i="16"/>
  <c r="AW46" i="16"/>
  <c r="A47" i="16"/>
  <c r="AW47" i="16"/>
  <c r="A48" i="16"/>
  <c r="AW48" i="16"/>
  <c r="A49" i="16"/>
  <c r="AW49" i="16"/>
  <c r="A50" i="16"/>
  <c r="AW50" i="16"/>
  <c r="A51" i="16"/>
  <c r="AW51" i="16"/>
  <c r="AW52" i="16"/>
  <c r="A53" i="16"/>
  <c r="AW53" i="16"/>
  <c r="A54" i="16"/>
  <c r="AW54" i="16"/>
  <c r="A55" i="16"/>
  <c r="AW55" i="16"/>
  <c r="A56" i="16"/>
  <c r="AW56" i="16"/>
  <c r="A57" i="16"/>
  <c r="AW57" i="16"/>
  <c r="A58" i="16"/>
  <c r="AW58" i="16"/>
  <c r="A59" i="16"/>
  <c r="AW59" i="16"/>
  <c r="A60" i="16"/>
  <c r="AW60" i="16"/>
  <c r="A61" i="16"/>
  <c r="AW61" i="16"/>
  <c r="A62" i="16"/>
  <c r="AW62" i="16"/>
  <c r="A63" i="16"/>
  <c r="AW63" i="16"/>
  <c r="A64" i="16"/>
  <c r="AW64" i="16"/>
  <c r="A67" i="16"/>
  <c r="AW67" i="16"/>
  <c r="A68" i="16"/>
  <c r="AW68" i="16"/>
  <c r="A69" i="16"/>
  <c r="AW69" i="16"/>
  <c r="A70" i="16"/>
  <c r="AW70" i="16"/>
  <c r="A71" i="16"/>
  <c r="AW71" i="16"/>
  <c r="A73" i="16"/>
  <c r="AW73" i="16"/>
  <c r="A74" i="16"/>
  <c r="AW74" i="16"/>
  <c r="A78" i="16"/>
  <c r="AW78" i="16"/>
  <c r="A79" i="16"/>
  <c r="AW79" i="16"/>
  <c r="A80" i="16"/>
  <c r="AW80" i="16"/>
  <c r="A81" i="16"/>
  <c r="AW81" i="16"/>
  <c r="A82" i="16"/>
  <c r="AW82" i="16"/>
  <c r="A83" i="16"/>
  <c r="AW83" i="16"/>
  <c r="A84" i="16"/>
  <c r="AW84" i="16"/>
  <c r="A85" i="16"/>
  <c r="AW85" i="16"/>
  <c r="A87" i="16"/>
  <c r="AW87" i="16"/>
  <c r="A88" i="16"/>
  <c r="AW88" i="16"/>
  <c r="A89" i="16"/>
  <c r="AW89" i="16"/>
  <c r="A90" i="16"/>
  <c r="AW90" i="16"/>
  <c r="A91" i="16"/>
  <c r="AW91" i="16"/>
  <c r="A92" i="16"/>
  <c r="AW92" i="16"/>
  <c r="A93" i="16"/>
  <c r="AW93" i="16"/>
  <c r="A94" i="16"/>
  <c r="AW94" i="16"/>
  <c r="A95" i="16"/>
  <c r="AW95" i="16"/>
  <c r="A96" i="16"/>
  <c r="AW96" i="16"/>
  <c r="A97" i="16"/>
  <c r="AW97" i="16"/>
  <c r="A98" i="16"/>
  <c r="AW98" i="16"/>
  <c r="A99" i="16"/>
  <c r="AW99" i="16"/>
  <c r="A100" i="16"/>
  <c r="AW100" i="16"/>
  <c r="A101" i="16"/>
  <c r="AW101" i="16"/>
  <c r="A102" i="16"/>
  <c r="AW102" i="16"/>
  <c r="A103" i="16"/>
  <c r="AW103" i="16"/>
  <c r="A104" i="16"/>
  <c r="AW104" i="16"/>
  <c r="A105" i="16"/>
  <c r="AW105" i="16"/>
  <c r="A106" i="16"/>
  <c r="AW106" i="16"/>
  <c r="A107" i="16"/>
  <c r="AW107" i="16"/>
  <c r="AW138" i="16"/>
  <c r="AW139" i="16"/>
  <c r="AW140" i="16"/>
  <c r="A141" i="16"/>
  <c r="AW141" i="16"/>
  <c r="A144" i="16"/>
  <c r="AW144" i="16"/>
  <c r="A145" i="16"/>
  <c r="AW145" i="16"/>
  <c r="A146" i="16"/>
  <c r="A147" i="16"/>
  <c r="AW147" i="16"/>
  <c r="AW153" i="16"/>
  <c r="AW154" i="16"/>
  <c r="AW155" i="16"/>
  <c r="AW156" i="16"/>
  <c r="AW157" i="16"/>
  <c r="AW158" i="16"/>
  <c r="AW159" i="16"/>
  <c r="AW160" i="16"/>
  <c r="AW161" i="16"/>
  <c r="AW162" i="16"/>
  <c r="AW163" i="16"/>
  <c r="AW164" i="16"/>
  <c r="AW165" i="16"/>
  <c r="AW166" i="16"/>
  <c r="AW167" i="16"/>
  <c r="AW168" i="16"/>
  <c r="AW169" i="16"/>
  <c r="AW170" i="16"/>
  <c r="AW171" i="16"/>
  <c r="AW172" i="16"/>
  <c r="AW173" i="16"/>
  <c r="AW174" i="16"/>
  <c r="AW175" i="16"/>
  <c r="AW176" i="16"/>
  <c r="AW177" i="16"/>
  <c r="AW178" i="16"/>
  <c r="AW179" i="16"/>
  <c r="AW180" i="16"/>
  <c r="AW181" i="16"/>
  <c r="AW182" i="16"/>
  <c r="AW183" i="16"/>
  <c r="AW184" i="16"/>
  <c r="AW185" i="16"/>
  <c r="AW186" i="16"/>
  <c r="AW187" i="16"/>
  <c r="AW188" i="16"/>
  <c r="AW189" i="16"/>
  <c r="AW190" i="16"/>
  <c r="AW191" i="16"/>
  <c r="AW192" i="16"/>
  <c r="AW193" i="16"/>
  <c r="AW194" i="16"/>
  <c r="AW195" i="16"/>
  <c r="AW196" i="16"/>
  <c r="AW197" i="16"/>
  <c r="AW198" i="16"/>
  <c r="AW199" i="16"/>
  <c r="AW200" i="16"/>
  <c r="AW201" i="16"/>
  <c r="AW202" i="16"/>
  <c r="AW203" i="16"/>
  <c r="AW204" i="16"/>
  <c r="AW205" i="16"/>
  <c r="AW206" i="16"/>
  <c r="AW207" i="16"/>
  <c r="AW208" i="16"/>
  <c r="AW209" i="16"/>
  <c r="AW210" i="16"/>
  <c r="AW211" i="16"/>
  <c r="AW212" i="16"/>
  <c r="AW213" i="16"/>
  <c r="AW214" i="16"/>
  <c r="AW215" i="16"/>
  <c r="AW216" i="16"/>
  <c r="AW217" i="16"/>
  <c r="AW218" i="16"/>
  <c r="AW219" i="16"/>
  <c r="AW220" i="16"/>
  <c r="AW221" i="16"/>
  <c r="AW222" i="16"/>
  <c r="AW223" i="16"/>
  <c r="AW224" i="16"/>
  <c r="AW225" i="16"/>
  <c r="AW226" i="16"/>
  <c r="AW227" i="16"/>
  <c r="AW228" i="16"/>
  <c r="AW229" i="16"/>
  <c r="AW230" i="16"/>
  <c r="AW231" i="16"/>
  <c r="AW232" i="16"/>
  <c r="AW233" i="16"/>
  <c r="AW234" i="16"/>
  <c r="AW235" i="16"/>
  <c r="AW236" i="16"/>
  <c r="AW237" i="16"/>
  <c r="AW238" i="16"/>
  <c r="AW239" i="16"/>
  <c r="AW240" i="16"/>
  <c r="AW241" i="16"/>
  <c r="AW242" i="16"/>
  <c r="AW243" i="16"/>
  <c r="AW244" i="16"/>
  <c r="AW245" i="16"/>
  <c r="AW246" i="16"/>
  <c r="AW247" i="16"/>
  <c r="AW248" i="16"/>
  <c r="AW249" i="16"/>
  <c r="AW250" i="16"/>
  <c r="AW251" i="16"/>
  <c r="AW252" i="16"/>
  <c r="AW253" i="16"/>
  <c r="AW254" i="16"/>
  <c r="AW255" i="16"/>
  <c r="AW256" i="16"/>
  <c r="AW257" i="16"/>
  <c r="AW258" i="16"/>
  <c r="AW259" i="16"/>
  <c r="AW260" i="16"/>
  <c r="AW261" i="16"/>
  <c r="AW262" i="16"/>
  <c r="AW263" i="16"/>
  <c r="AW264" i="16"/>
  <c r="AW265" i="16"/>
  <c r="AW266" i="16"/>
  <c r="AW267" i="16"/>
  <c r="AW268" i="16"/>
  <c r="AW269" i="16"/>
  <c r="AW270" i="16"/>
  <c r="AW271" i="16"/>
  <c r="AW272" i="16"/>
  <c r="AW273" i="16"/>
  <c r="AW274" i="16"/>
  <c r="AW275" i="16"/>
  <c r="AW276" i="16"/>
  <c r="AW277" i="16"/>
  <c r="AW278" i="16"/>
  <c r="AW279" i="16"/>
  <c r="AW280" i="16"/>
  <c r="AW281" i="16"/>
  <c r="AW282" i="16"/>
  <c r="AW283" i="16"/>
  <c r="AW284" i="16"/>
  <c r="AW285" i="16"/>
  <c r="AW286" i="16"/>
  <c r="AW287" i="16"/>
  <c r="AW288" i="16"/>
  <c r="AW289" i="16"/>
  <c r="AW290" i="16"/>
  <c r="AW291" i="16"/>
  <c r="AW292" i="16"/>
  <c r="AW293" i="16"/>
  <c r="AW294" i="16"/>
  <c r="AW295" i="16"/>
  <c r="AW296" i="16"/>
  <c r="AW297" i="16"/>
  <c r="AW298" i="16"/>
  <c r="AW299" i="16"/>
  <c r="AW300" i="16"/>
  <c r="AW301" i="16"/>
  <c r="AW302" i="16"/>
  <c r="AW303" i="16"/>
  <c r="AW304" i="16"/>
  <c r="AW305" i="16"/>
  <c r="AW306" i="16"/>
  <c r="AW307" i="16"/>
  <c r="AW308" i="16"/>
  <c r="AW309" i="16"/>
  <c r="AW310" i="16"/>
  <c r="AW311" i="16"/>
  <c r="AW312" i="16"/>
  <c r="AW313" i="16"/>
  <c r="AW314" i="16"/>
  <c r="AW315" i="16"/>
  <c r="AW316" i="16"/>
  <c r="AW317" i="16"/>
  <c r="AW318" i="16"/>
  <c r="AW319" i="16"/>
  <c r="AW320" i="16"/>
  <c r="AW321" i="16"/>
  <c r="AW322" i="16"/>
  <c r="AW323" i="16"/>
  <c r="AW324" i="16"/>
  <c r="AW325" i="16"/>
  <c r="AW326" i="16"/>
  <c r="AW327" i="16"/>
  <c r="AW328" i="16"/>
  <c r="AW329" i="16"/>
  <c r="AW330" i="16"/>
  <c r="AW331" i="16"/>
  <c r="AW332" i="16"/>
  <c r="AW333" i="16"/>
  <c r="AW334" i="16"/>
  <c r="AW335" i="16"/>
  <c r="AW336" i="16"/>
  <c r="AW337" i="16"/>
  <c r="AW338" i="16"/>
  <c r="AW339" i="16"/>
  <c r="AW340" i="16"/>
  <c r="AW341" i="16"/>
  <c r="AW342" i="16"/>
  <c r="AW343" i="16"/>
  <c r="AW344" i="16"/>
  <c r="AW345" i="16"/>
  <c r="AW346" i="16"/>
  <c r="AW347" i="16"/>
  <c r="AW348" i="16"/>
  <c r="AW349" i="16"/>
  <c r="AW350" i="16"/>
  <c r="AW351" i="16"/>
  <c r="AW352" i="16"/>
  <c r="AW353" i="16"/>
  <c r="AW354" i="16"/>
  <c r="AW355" i="16"/>
  <c r="AW356" i="16"/>
  <c r="AW357" i="16"/>
  <c r="AW358" i="16"/>
  <c r="AW359" i="16"/>
  <c r="AW360" i="16"/>
  <c r="AW361" i="16"/>
  <c r="AW362" i="16"/>
  <c r="AW363" i="16"/>
  <c r="AW364" i="16"/>
  <c r="AW365" i="16"/>
  <c r="AW366" i="16"/>
  <c r="AW367" i="16"/>
  <c r="AW368" i="16"/>
  <c r="AW369" i="16"/>
  <c r="AW370" i="16"/>
  <c r="AW371" i="16"/>
  <c r="AW372" i="16"/>
  <c r="AW373" i="16"/>
  <c r="AW374" i="16"/>
  <c r="AW375" i="16"/>
  <c r="AW376" i="16"/>
  <c r="AW377" i="16"/>
  <c r="AW378" i="16"/>
  <c r="AW379" i="16"/>
  <c r="AW380" i="16"/>
  <c r="AW381" i="16"/>
  <c r="AW382" i="16"/>
  <c r="AW383" i="16"/>
  <c r="AW384" i="16"/>
  <c r="AW385" i="16"/>
  <c r="AW386" i="16"/>
  <c r="AW387" i="16"/>
  <c r="AW388" i="16"/>
  <c r="AW389" i="16"/>
  <c r="AW390" i="16"/>
  <c r="AW391" i="16"/>
  <c r="AW392" i="16"/>
  <c r="AW393" i="16"/>
  <c r="AW394" i="16"/>
  <c r="AW395" i="16"/>
  <c r="AW396" i="16"/>
  <c r="AW397" i="16"/>
  <c r="AW398" i="16"/>
  <c r="AW399" i="16"/>
  <c r="AW400" i="16"/>
  <c r="AW401" i="16"/>
  <c r="AW402" i="16"/>
  <c r="AW403" i="16"/>
  <c r="AW404" i="16"/>
  <c r="AW405" i="16"/>
  <c r="AW406" i="16"/>
  <c r="AW407" i="16"/>
  <c r="AW408" i="16"/>
  <c r="AW409" i="16"/>
  <c r="AW410" i="16"/>
  <c r="AW411" i="16"/>
  <c r="AW412" i="16"/>
  <c r="AW413" i="16"/>
  <c r="AW414" i="16"/>
  <c r="AW415" i="16"/>
  <c r="AW416" i="16"/>
  <c r="AW417" i="16"/>
  <c r="AW418" i="16"/>
  <c r="AW419" i="16"/>
  <c r="AW420" i="16"/>
  <c r="AW421" i="16"/>
  <c r="AW422" i="16"/>
  <c r="AW423" i="16"/>
  <c r="AW424" i="16"/>
  <c r="AW425" i="16"/>
  <c r="AW426" i="16"/>
  <c r="AW427" i="16"/>
  <c r="AW428" i="16"/>
  <c r="AW429" i="16"/>
  <c r="AW430" i="16"/>
  <c r="AW431" i="16"/>
  <c r="AW432" i="16"/>
  <c r="AW433" i="16"/>
  <c r="AW434" i="16"/>
  <c r="AW435" i="16"/>
  <c r="AW436" i="16"/>
  <c r="AW437" i="16"/>
  <c r="AW438" i="16"/>
  <c r="AW439" i="16"/>
  <c r="AW440" i="16"/>
  <c r="AW441" i="16"/>
  <c r="AW442" i="16"/>
  <c r="AW443" i="16"/>
  <c r="AW444" i="16"/>
  <c r="AW445" i="16"/>
  <c r="AW446" i="16"/>
  <c r="AW447" i="16"/>
  <c r="AW448" i="16"/>
  <c r="AW449" i="16"/>
  <c r="AW450" i="16"/>
  <c r="AW451" i="16"/>
  <c r="AW452" i="16"/>
  <c r="AW453" i="16"/>
  <c r="AW454" i="16"/>
  <c r="A7" i="1"/>
  <c r="AW7" i="1"/>
  <c r="A8" i="1"/>
  <c r="AW8" i="1"/>
  <c r="A9" i="1"/>
  <c r="AW9" i="1"/>
  <c r="A10" i="1"/>
  <c r="AW10" i="1"/>
  <c r="A11" i="1"/>
  <c r="AW11" i="1"/>
  <c r="AW12" i="1"/>
  <c r="AW13" i="1"/>
  <c r="AW14" i="1"/>
  <c r="AW15" i="1"/>
  <c r="AW16" i="1"/>
  <c r="AW17" i="1"/>
  <c r="AW18" i="1"/>
  <c r="AW19" i="1"/>
  <c r="AW20" i="1"/>
  <c r="AW21" i="1"/>
  <c r="AW22" i="1"/>
  <c r="AW23" i="1"/>
  <c r="AW24" i="1"/>
  <c r="AW25" i="1"/>
  <c r="AW26" i="1"/>
  <c r="AW27" i="1"/>
  <c r="AW28" i="1"/>
  <c r="AW32" i="1"/>
  <c r="AW33" i="1"/>
  <c r="AW34" i="1"/>
  <c r="AW35" i="1"/>
  <c r="AW36" i="1"/>
  <c r="AW38" i="1"/>
  <c r="AW39" i="1"/>
  <c r="AW40" i="1"/>
  <c r="AW41" i="1"/>
  <c r="AW42" i="1"/>
  <c r="AW43" i="1"/>
  <c r="AW44" i="1"/>
  <c r="AW45" i="1"/>
  <c r="AW46" i="1"/>
  <c r="AW51" i="1"/>
  <c r="AW52" i="1"/>
  <c r="AW53" i="1"/>
  <c r="AW54" i="1"/>
  <c r="AW58" i="1"/>
  <c r="AW59" i="1"/>
  <c r="AW60" i="1"/>
  <c r="AW61" i="1"/>
  <c r="AW62" i="1"/>
  <c r="AW63" i="1"/>
  <c r="AW64" i="1"/>
  <c r="AW65" i="1"/>
  <c r="AW66"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7" i="11"/>
  <c r="AW7" i="11"/>
  <c r="A8" i="11"/>
  <c r="AW8" i="11"/>
  <c r="A9" i="11"/>
  <c r="AW9" i="11"/>
  <c r="A10" i="11"/>
  <c r="AW10" i="11"/>
  <c r="A11" i="11"/>
  <c r="AW11" i="11"/>
  <c r="A12" i="11"/>
  <c r="A14" i="11"/>
  <c r="AW12" i="11"/>
  <c r="A13" i="11"/>
  <c r="AW13" i="11"/>
  <c r="AW14" i="11"/>
  <c r="A15" i="11"/>
  <c r="AW15" i="11"/>
  <c r="AN145" i="11"/>
  <c r="AJ41" i="11"/>
  <c r="A16" i="11"/>
  <c r="AW16" i="11"/>
  <c r="A17" i="11"/>
  <c r="AW17" i="11"/>
  <c r="AJ19" i="11"/>
  <c r="A18" i="11"/>
  <c r="AW18" i="11"/>
  <c r="AW19" i="11"/>
  <c r="A23" i="11"/>
  <c r="AW23" i="11"/>
  <c r="A24" i="11"/>
  <c r="A26" i="11"/>
  <c r="AW24" i="11"/>
  <c r="A25" i="11"/>
  <c r="AW25" i="11"/>
  <c r="AW26" i="11"/>
  <c r="A27" i="11"/>
  <c r="AW27" i="11"/>
  <c r="A28" i="11"/>
  <c r="AW28" i="11"/>
  <c r="AJ40" i="11"/>
  <c r="A29" i="11"/>
  <c r="AW29" i="11"/>
  <c r="A30" i="11"/>
  <c r="AW30" i="11"/>
  <c r="A31" i="11"/>
  <c r="AW31" i="11"/>
  <c r="AJ42" i="11"/>
  <c r="AJ43" i="11"/>
  <c r="A32" i="11"/>
  <c r="AW32" i="11"/>
  <c r="A33" i="11"/>
  <c r="AW33" i="11"/>
  <c r="A34" i="11"/>
  <c r="AW34" i="11"/>
  <c r="A35" i="11"/>
  <c r="AJ36" i="11" s="1"/>
  <c r="AW35" i="11"/>
  <c r="A36" i="11"/>
  <c r="AW36" i="11"/>
  <c r="AN144" i="11"/>
  <c r="A37" i="11"/>
  <c r="AW37" i="11"/>
  <c r="A38" i="11"/>
  <c r="AW38" i="11"/>
  <c r="A39" i="11"/>
  <c r="AW39" i="11"/>
  <c r="A40" i="11"/>
  <c r="AW40" i="11"/>
  <c r="A41" i="11"/>
  <c r="AW41" i="11"/>
  <c r="A42" i="11"/>
  <c r="AW42" i="11"/>
  <c r="A43" i="11"/>
  <c r="AW43" i="11"/>
  <c r="A44" i="11"/>
  <c r="A46" i="11"/>
  <c r="AW44" i="11"/>
  <c r="A45" i="11"/>
  <c r="AW45" i="11"/>
  <c r="AW46" i="11"/>
  <c r="A47" i="11"/>
  <c r="AJ48" i="11" s="1"/>
  <c r="AW47" i="11"/>
  <c r="A48" i="11"/>
  <c r="A50" i="11"/>
  <c r="A49" i="11"/>
  <c r="AJ50" i="11" s="1"/>
  <c r="AJ51" i="11"/>
  <c r="AW48" i="11"/>
  <c r="AJ54" i="11"/>
  <c r="AW49" i="11"/>
  <c r="AW50" i="11"/>
  <c r="A52" i="11"/>
  <c r="AW52" i="11"/>
  <c r="A56" i="11"/>
  <c r="AW56" i="11"/>
  <c r="A60" i="11"/>
  <c r="AW60" i="11"/>
  <c r="A64" i="11"/>
  <c r="AW64" i="11"/>
  <c r="A66" i="11"/>
  <c r="AW66" i="11"/>
  <c r="A67" i="11"/>
  <c r="AW67" i="11"/>
  <c r="A68" i="11"/>
  <c r="AW68" i="11"/>
  <c r="A69" i="11"/>
  <c r="AW69" i="11"/>
  <c r="A70" i="11"/>
  <c r="AW70" i="11"/>
  <c r="A71" i="11"/>
  <c r="AW71" i="11"/>
  <c r="A72" i="11"/>
  <c r="AW72" i="11"/>
  <c r="A74" i="11"/>
  <c r="AW74" i="11"/>
  <c r="A76" i="11"/>
  <c r="AW76" i="11"/>
  <c r="A77" i="11"/>
  <c r="AW77" i="11"/>
  <c r="A78" i="11"/>
  <c r="AW78" i="11"/>
  <c r="A79" i="11"/>
  <c r="AW79" i="11"/>
  <c r="A80" i="11"/>
  <c r="AW80" i="11"/>
  <c r="A82" i="11"/>
  <c r="AW82" i="11"/>
  <c r="A84" i="11"/>
  <c r="AW84" i="11"/>
  <c r="A85" i="11"/>
  <c r="AW85" i="11"/>
  <c r="A86" i="11"/>
  <c r="AW86" i="11"/>
  <c r="A90" i="11"/>
  <c r="AW90" i="11"/>
  <c r="A91" i="11"/>
  <c r="AW91" i="11"/>
  <c r="A92" i="11"/>
  <c r="AW92" i="11"/>
  <c r="A93" i="11"/>
  <c r="AW93" i="11"/>
  <c r="A94" i="11"/>
  <c r="AW94" i="11"/>
  <c r="A95" i="11"/>
  <c r="AW95" i="11"/>
  <c r="A96" i="11"/>
  <c r="AW96" i="11"/>
  <c r="A97" i="11"/>
  <c r="AW97" i="11"/>
  <c r="A98" i="11"/>
  <c r="AW98" i="11"/>
  <c r="A99" i="11"/>
  <c r="AW99" i="11"/>
  <c r="A100" i="11"/>
  <c r="AW100" i="11"/>
  <c r="A101" i="11"/>
  <c r="AW101" i="11"/>
  <c r="A102" i="11"/>
  <c r="AW102" i="11"/>
  <c r="A103" i="11"/>
  <c r="AW103" i="11"/>
  <c r="A104" i="11"/>
  <c r="AW104" i="11"/>
  <c r="A105" i="11"/>
  <c r="AW105" i="11"/>
  <c r="A106" i="11"/>
  <c r="AW106" i="11"/>
  <c r="A107" i="11"/>
  <c r="AW107" i="11"/>
  <c r="A108" i="11"/>
  <c r="AW108" i="11"/>
  <c r="A109" i="11"/>
  <c r="AW109" i="11"/>
  <c r="A110" i="11"/>
  <c r="AW110" i="11"/>
  <c r="A111" i="11"/>
  <c r="AW111" i="11"/>
  <c r="A112" i="11"/>
  <c r="AW112" i="11"/>
  <c r="A113" i="11"/>
  <c r="AW113" i="11"/>
  <c r="A114" i="11"/>
  <c r="AW114" i="11"/>
  <c r="A115" i="11"/>
  <c r="AW115" i="11"/>
  <c r="A116" i="11"/>
  <c r="AW116" i="11"/>
  <c r="A117" i="11"/>
  <c r="AW117" i="11"/>
  <c r="A118" i="11"/>
  <c r="AW118" i="11"/>
  <c r="A119" i="11"/>
  <c r="AW119" i="11"/>
  <c r="A120" i="11"/>
  <c r="AW120" i="11"/>
  <c r="A121" i="11"/>
  <c r="AW121" i="11"/>
  <c r="A122" i="11"/>
  <c r="AW122" i="11"/>
  <c r="A123" i="11"/>
  <c r="AW123" i="11"/>
  <c r="A124" i="11"/>
  <c r="AW124" i="11"/>
  <c r="A125" i="11"/>
  <c r="AW125" i="11"/>
  <c r="A126" i="11"/>
  <c r="AW126" i="11"/>
  <c r="A127" i="11"/>
  <c r="AW127" i="11"/>
  <c r="A144" i="11"/>
  <c r="AW144" i="11"/>
  <c r="A145" i="11"/>
  <c r="AW145" i="11"/>
  <c r="A277" i="11"/>
  <c r="AW277" i="11"/>
  <c r="A278" i="11"/>
  <c r="AW278" i="11"/>
  <c r="A279" i="11"/>
  <c r="AW279" i="11"/>
  <c r="A280" i="11"/>
  <c r="AW280" i="11"/>
  <c r="A281" i="11"/>
  <c r="AW281" i="11"/>
  <c r="A282" i="11"/>
  <c r="AW282" i="11"/>
  <c r="A283" i="11"/>
  <c r="AW283" i="11"/>
  <c r="A284" i="11"/>
  <c r="AW284" i="11"/>
  <c r="A285" i="11"/>
  <c r="AW285" i="11"/>
  <c r="A286" i="11"/>
  <c r="AW286" i="11"/>
  <c r="A287" i="11"/>
  <c r="AW287" i="11"/>
  <c r="A288" i="11"/>
  <c r="AW288" i="11"/>
  <c r="A289" i="11"/>
  <c r="AW289" i="11"/>
  <c r="A290" i="11"/>
  <c r="AW290" i="11"/>
  <c r="A291" i="11"/>
  <c r="AW291" i="11"/>
  <c r="A292" i="11"/>
  <c r="AW292" i="11"/>
  <c r="A293" i="11"/>
  <c r="AW293" i="11"/>
  <c r="A294" i="11"/>
  <c r="AW294" i="11"/>
  <c r="AW295" i="11"/>
  <c r="AW296" i="11"/>
  <c r="AW297" i="11"/>
  <c r="AW298" i="11"/>
  <c r="AW299" i="11"/>
  <c r="AW300" i="11"/>
  <c r="AW301" i="11"/>
  <c r="AW302" i="11"/>
  <c r="AW303" i="11"/>
  <c r="AW304" i="11"/>
  <c r="AW305" i="11"/>
  <c r="AW306" i="11"/>
  <c r="AW307" i="11"/>
  <c r="AW308" i="11"/>
  <c r="AW309" i="11"/>
  <c r="AW310" i="11"/>
  <c r="AW311" i="11"/>
  <c r="AW312" i="11"/>
  <c r="AW313" i="11"/>
  <c r="AW314" i="11"/>
  <c r="AW315" i="11"/>
  <c r="AW316" i="11"/>
  <c r="AW317" i="11"/>
  <c r="AW318" i="11"/>
  <c r="AW319" i="11"/>
  <c r="AW320" i="11"/>
  <c r="AW321" i="11"/>
  <c r="AW322" i="11"/>
  <c r="AW323" i="11"/>
  <c r="AW324" i="11"/>
  <c r="AW325" i="11"/>
  <c r="AW326" i="11"/>
  <c r="AW327" i="11"/>
  <c r="AW328" i="11"/>
  <c r="AW329" i="11"/>
  <c r="AW330" i="11"/>
  <c r="AW331" i="11"/>
  <c r="AW332" i="11"/>
  <c r="AW333" i="11"/>
  <c r="AW334" i="11"/>
  <c r="AW335" i="11"/>
  <c r="AW336" i="11"/>
  <c r="AW337" i="11"/>
  <c r="AW338" i="11"/>
  <c r="AW339" i="11"/>
  <c r="AW340" i="11"/>
  <c r="AW341" i="11"/>
  <c r="AW342" i="11"/>
  <c r="AW343" i="11"/>
  <c r="AW344" i="11"/>
  <c r="AW345" i="11"/>
  <c r="AW346" i="11"/>
  <c r="AW347" i="11"/>
  <c r="AW348" i="11"/>
  <c r="AW349" i="11"/>
  <c r="AW350" i="11"/>
  <c r="AW351" i="11"/>
  <c r="AW352" i="11"/>
  <c r="AW353" i="11"/>
  <c r="AW354" i="11"/>
  <c r="AW355" i="11"/>
  <c r="AW356" i="11"/>
  <c r="AW357" i="11"/>
  <c r="AW358" i="11"/>
  <c r="AW359" i="11"/>
  <c r="AW360" i="11"/>
  <c r="AW361" i="11"/>
  <c r="AW362" i="11"/>
  <c r="AW363" i="11"/>
  <c r="AW364" i="11"/>
  <c r="AW365" i="11"/>
  <c r="AW366" i="11"/>
  <c r="AW367" i="11"/>
  <c r="AW368" i="11"/>
  <c r="AW369" i="11"/>
  <c r="AW370" i="11"/>
  <c r="AW371" i="11"/>
  <c r="AW372" i="11"/>
  <c r="AW373" i="11"/>
  <c r="AW374" i="11"/>
  <c r="AW375" i="11"/>
  <c r="AW376" i="11"/>
  <c r="AW377" i="11"/>
  <c r="AW378" i="11"/>
  <c r="AW379" i="11"/>
  <c r="AW380" i="11"/>
  <c r="AW381" i="11"/>
  <c r="AW382" i="11"/>
  <c r="AW383" i="11"/>
  <c r="AW384" i="11"/>
  <c r="AW385" i="11"/>
  <c r="AW386" i="11"/>
  <c r="AW387" i="11"/>
  <c r="AW388" i="11"/>
  <c r="AW389" i="11"/>
  <c r="AW390" i="11"/>
  <c r="AW391" i="11"/>
  <c r="AW392" i="11"/>
  <c r="AW393" i="11"/>
  <c r="AW394" i="11"/>
  <c r="AW395" i="11"/>
  <c r="AW396" i="11"/>
  <c r="AW397" i="11"/>
  <c r="AW398" i="11"/>
  <c r="AW399" i="11"/>
  <c r="AW400" i="11"/>
  <c r="AW401" i="11"/>
  <c r="AW402" i="11"/>
  <c r="AW403" i="11"/>
  <c r="AW404" i="11"/>
  <c r="AW405" i="11"/>
  <c r="AW406" i="11"/>
  <c r="AW407" i="11"/>
  <c r="AW408" i="11"/>
  <c r="AW409" i="11"/>
  <c r="AW410" i="11"/>
  <c r="AW411" i="11"/>
  <c r="AW412" i="11"/>
  <c r="AW413" i="11"/>
  <c r="AW414" i="11"/>
  <c r="AW415" i="11"/>
  <c r="AW416" i="11"/>
  <c r="AW417" i="11"/>
  <c r="AW418" i="11"/>
  <c r="AW419" i="11"/>
  <c r="AW420" i="11"/>
  <c r="AW421" i="11"/>
  <c r="AW422" i="11"/>
  <c r="AW423" i="11"/>
  <c r="AW424" i="11"/>
  <c r="AW425" i="11"/>
  <c r="AW426" i="11"/>
  <c r="AW427" i="11"/>
  <c r="AW428" i="11"/>
  <c r="AW429" i="11"/>
  <c r="AW430" i="11"/>
  <c r="AW431" i="11"/>
  <c r="AW432" i="11"/>
  <c r="AW433" i="11"/>
  <c r="AW434" i="11"/>
  <c r="AW435" i="11"/>
  <c r="AW436" i="11"/>
  <c r="AW437" i="11"/>
  <c r="AW438" i="11"/>
  <c r="AW439" i="11"/>
  <c r="AW440" i="11"/>
  <c r="AW441" i="11"/>
  <c r="AW442" i="11"/>
  <c r="AW443" i="11"/>
  <c r="AW444" i="11"/>
  <c r="AW445" i="11"/>
  <c r="AW446" i="11"/>
  <c r="AW447" i="11"/>
  <c r="AW448" i="11"/>
  <c r="AW449" i="11"/>
  <c r="AW450" i="11"/>
  <c r="AW451" i="11"/>
  <c r="AW452" i="11"/>
  <c r="AW453" i="11"/>
  <c r="AW454" i="11"/>
  <c r="AW455" i="11"/>
  <c r="AW456" i="11"/>
  <c r="AW457" i="11"/>
  <c r="AW458" i="11"/>
  <c r="AW459" i="11"/>
  <c r="AW460" i="11"/>
  <c r="AW461" i="11"/>
  <c r="AW462" i="11"/>
  <c r="AW463" i="11"/>
  <c r="AW464" i="11"/>
  <c r="AW465" i="11"/>
  <c r="AW466" i="11"/>
  <c r="AW467" i="11"/>
  <c r="AW468" i="11"/>
  <c r="AW469" i="11"/>
  <c r="AW470" i="11"/>
  <c r="AW471" i="11"/>
  <c r="AW472" i="11"/>
  <c r="AW473" i="11"/>
  <c r="AW474" i="11"/>
  <c r="AW475" i="11"/>
  <c r="AW476" i="11"/>
  <c r="AW477" i="11"/>
  <c r="AW478" i="11"/>
  <c r="AW479" i="11"/>
  <c r="AW480" i="11"/>
  <c r="AW481" i="11"/>
  <c r="AW482" i="11"/>
  <c r="AW483" i="11"/>
  <c r="AW484" i="11"/>
  <c r="AW485" i="11"/>
  <c r="AW486" i="11"/>
  <c r="AW487" i="11"/>
  <c r="AW488" i="11"/>
  <c r="AW489" i="11"/>
  <c r="AW490" i="11"/>
  <c r="AW491" i="11"/>
  <c r="AW492" i="11"/>
  <c r="AW493" i="11"/>
  <c r="AW494" i="11"/>
  <c r="AW495" i="11"/>
  <c r="AW496" i="11"/>
  <c r="AW497" i="11"/>
  <c r="AW498" i="11"/>
  <c r="AW499" i="11"/>
  <c r="AW500" i="11"/>
  <c r="AW501" i="11"/>
  <c r="AW502" i="11"/>
  <c r="AW503" i="11"/>
  <c r="AW504" i="11"/>
  <c r="AW505" i="11"/>
  <c r="AW506" i="11"/>
  <c r="AW507" i="11"/>
  <c r="AW508" i="11"/>
  <c r="AW509" i="11"/>
  <c r="AW510" i="11"/>
  <c r="AW511" i="11"/>
  <c r="AW512" i="11"/>
  <c r="AW513" i="11"/>
  <c r="AW514" i="11"/>
  <c r="AW515" i="11"/>
  <c r="AW516" i="11"/>
  <c r="AW517" i="11"/>
  <c r="AW518" i="11"/>
  <c r="AW519" i="11"/>
  <c r="AW520" i="11"/>
  <c r="AW521" i="11"/>
  <c r="AW522" i="11"/>
  <c r="AW523" i="11"/>
  <c r="AW524" i="11"/>
  <c r="AW525" i="11"/>
  <c r="AW526" i="11"/>
  <c r="AW527" i="11"/>
  <c r="AW528" i="11"/>
  <c r="AW529" i="11"/>
  <c r="AW530" i="11"/>
  <c r="AW531" i="11"/>
  <c r="AW532" i="11"/>
  <c r="AW533" i="11"/>
  <c r="AW534" i="11"/>
  <c r="AW535" i="11"/>
  <c r="AW536" i="11"/>
  <c r="AW537" i="11"/>
  <c r="AW538" i="11"/>
  <c r="AW539" i="11"/>
  <c r="AW540" i="11"/>
  <c r="AW541" i="11"/>
  <c r="AW542" i="11"/>
  <c r="AW543" i="11"/>
  <c r="AW544" i="11"/>
  <c r="AW545" i="11"/>
  <c r="AW546" i="11"/>
  <c r="AW547" i="11"/>
  <c r="AW548" i="11"/>
  <c r="AW549" i="11"/>
  <c r="AW550" i="11"/>
  <c r="AW551" i="11"/>
  <c r="AW552" i="11"/>
  <c r="AW553" i="11"/>
  <c r="AW554" i="11"/>
  <c r="AW555" i="11"/>
  <c r="AW556" i="11"/>
  <c r="AW557" i="11"/>
  <c r="AW558" i="11"/>
  <c r="AW559" i="11"/>
  <c r="AW560" i="11"/>
  <c r="AW561" i="11"/>
  <c r="AW562" i="11"/>
  <c r="AW563" i="11"/>
  <c r="AW564" i="11"/>
  <c r="AW565" i="11"/>
  <c r="AW566" i="11"/>
  <c r="AW567" i="11"/>
  <c r="AW568" i="11"/>
  <c r="AW569" i="11"/>
  <c r="AW570" i="11"/>
  <c r="AW571" i="11"/>
  <c r="AW572" i="11"/>
  <c r="AW573" i="11"/>
  <c r="AW574" i="11"/>
  <c r="AW575" i="11"/>
  <c r="AW576" i="11"/>
  <c r="AW577" i="11"/>
  <c r="AW578" i="11"/>
  <c r="AW579" i="11"/>
  <c r="AW580" i="11"/>
  <c r="AW581" i="11"/>
  <c r="AW582" i="11"/>
  <c r="AW583" i="11"/>
  <c r="AW584" i="11"/>
  <c r="AW585" i="11"/>
  <c r="AW586" i="11"/>
  <c r="AW587" i="11"/>
  <c r="AW588" i="11"/>
  <c r="AW589" i="11"/>
  <c r="AW590" i="11"/>
  <c r="AW591" i="11"/>
  <c r="AW592" i="11"/>
  <c r="AW593" i="11"/>
  <c r="AW594" i="11"/>
  <c r="AW595" i="11"/>
  <c r="AW596" i="11"/>
  <c r="AW597" i="11"/>
  <c r="AW598" i="11"/>
  <c r="AW599" i="11"/>
  <c r="AW600" i="11"/>
  <c r="AW601" i="11"/>
  <c r="AW602" i="11"/>
  <c r="AW603" i="11"/>
  <c r="AW604" i="11"/>
  <c r="AW605" i="11"/>
  <c r="AW606" i="11"/>
  <c r="AW607" i="11"/>
  <c r="AW608" i="11"/>
  <c r="AW609" i="11"/>
  <c r="AW610" i="11"/>
  <c r="AW611" i="11"/>
  <c r="AW612" i="11"/>
  <c r="A7" i="22"/>
  <c r="AW7" i="22"/>
  <c r="A8" i="22"/>
  <c r="AW8" i="22"/>
  <c r="A9" i="22"/>
  <c r="AW9" i="22"/>
  <c r="A10" i="22"/>
  <c r="AW10" i="22"/>
  <c r="A11" i="22"/>
  <c r="AW11" i="22"/>
  <c r="A12" i="22"/>
  <c r="AW12" i="22"/>
  <c r="A13" i="22"/>
  <c r="AW13" i="22"/>
  <c r="A14" i="22"/>
  <c r="AW14" i="22"/>
  <c r="A15" i="22"/>
  <c r="AW15" i="22"/>
  <c r="A16" i="22"/>
  <c r="AW16" i="22"/>
  <c r="A17" i="22"/>
  <c r="AW17" i="22"/>
  <c r="A18" i="22"/>
  <c r="AW18" i="22"/>
  <c r="A19" i="22"/>
  <c r="AW19" i="22"/>
  <c r="A20" i="22"/>
  <c r="AW20" i="22"/>
  <c r="A21" i="22"/>
  <c r="AW21" i="22"/>
  <c r="A22" i="22"/>
  <c r="AW22" i="22"/>
  <c r="A23" i="22"/>
  <c r="AW23" i="22"/>
  <c r="A24" i="22"/>
  <c r="AW24" i="22"/>
  <c r="A25" i="22"/>
  <c r="AW25" i="22"/>
  <c r="A26" i="22"/>
  <c r="AW26" i="22"/>
  <c r="A27" i="22"/>
  <c r="AW27" i="22"/>
  <c r="A28" i="22"/>
  <c r="AW28" i="22"/>
  <c r="A29" i="22"/>
  <c r="AW29" i="22"/>
  <c r="A30" i="22"/>
  <c r="AW30" i="22"/>
  <c r="A31" i="22"/>
  <c r="AW31" i="22"/>
  <c r="A32" i="22"/>
  <c r="AW32" i="22"/>
  <c r="A33" i="22"/>
  <c r="AW33" i="22"/>
  <c r="A34" i="22"/>
  <c r="AW34" i="22"/>
  <c r="AW35" i="22"/>
  <c r="AW36" i="22"/>
  <c r="AW37" i="22"/>
  <c r="AW38" i="22"/>
  <c r="AW42" i="22"/>
  <c r="AW46" i="22"/>
  <c r="AW47" i="22"/>
  <c r="AW48" i="22"/>
  <c r="AW49" i="22"/>
  <c r="AW86" i="22"/>
  <c r="AW87" i="22"/>
  <c r="AW88" i="22"/>
  <c r="AW89" i="22"/>
  <c r="AW90" i="22"/>
  <c r="AW91" i="22"/>
  <c r="AW92" i="22"/>
  <c r="AW93" i="22"/>
  <c r="AW94" i="22"/>
  <c r="AW95" i="22"/>
  <c r="AW96" i="22"/>
  <c r="AW97" i="22"/>
  <c r="AW98" i="22"/>
  <c r="AW99" i="22"/>
  <c r="AW100" i="22"/>
  <c r="AW101" i="22"/>
  <c r="AW102" i="22"/>
  <c r="AW103" i="22"/>
  <c r="AW104" i="22"/>
  <c r="AW105" i="22"/>
  <c r="AW106" i="22"/>
  <c r="AW107" i="22"/>
  <c r="AW108" i="22"/>
  <c r="AW109" i="22"/>
  <c r="AW110" i="22"/>
  <c r="AW111" i="22"/>
  <c r="AW112" i="22"/>
  <c r="AW113" i="22"/>
  <c r="AW114" i="22"/>
  <c r="AW115" i="22"/>
  <c r="AW116" i="22"/>
  <c r="AW117" i="22"/>
  <c r="AW118" i="22"/>
  <c r="AW119" i="22"/>
  <c r="AW120" i="22"/>
  <c r="AW121" i="22"/>
  <c r="AW122" i="22"/>
  <c r="AW123" i="22"/>
  <c r="AW124" i="22"/>
  <c r="AW125" i="22"/>
  <c r="AW126" i="22"/>
  <c r="AW127" i="22"/>
  <c r="AW128" i="22"/>
  <c r="AW129" i="22"/>
  <c r="AW130" i="22"/>
  <c r="AW131" i="22"/>
  <c r="AW132" i="22"/>
  <c r="AW133" i="22"/>
  <c r="AW134" i="22"/>
  <c r="AW135" i="22"/>
  <c r="AW136" i="22"/>
  <c r="AW137" i="22"/>
  <c r="AW138" i="22"/>
  <c r="AW139" i="22"/>
  <c r="AW140" i="22"/>
  <c r="AW141" i="22"/>
  <c r="AW142" i="22"/>
  <c r="AW143" i="22"/>
  <c r="AW144" i="22"/>
  <c r="AW145" i="22"/>
  <c r="AW146" i="22"/>
  <c r="AW147" i="22"/>
  <c r="AW148" i="22"/>
  <c r="AW149" i="22"/>
  <c r="AW150" i="22"/>
  <c r="AW151" i="22"/>
  <c r="AW152" i="22"/>
  <c r="AW153" i="22"/>
  <c r="AW154" i="22"/>
  <c r="AW155" i="22"/>
  <c r="AW156" i="22"/>
  <c r="AW157" i="22"/>
  <c r="AW158" i="22"/>
  <c r="AW159" i="22"/>
  <c r="AW160" i="22"/>
  <c r="AW161" i="22"/>
  <c r="AW162" i="22"/>
  <c r="AW163" i="22"/>
  <c r="AW164" i="22"/>
  <c r="AW165" i="22"/>
  <c r="AW166" i="22"/>
  <c r="AW167" i="22"/>
  <c r="AW168" i="22"/>
  <c r="AW169" i="22"/>
  <c r="AW170" i="22"/>
  <c r="AW171" i="22"/>
  <c r="AW172" i="22"/>
  <c r="AW173" i="22"/>
  <c r="AW174" i="22"/>
  <c r="AW175" i="22"/>
  <c r="AW176" i="22"/>
  <c r="AW177" i="22"/>
  <c r="AW178" i="22"/>
  <c r="AW179" i="22"/>
  <c r="AW180" i="22"/>
  <c r="AW181" i="22"/>
  <c r="AW182" i="22"/>
  <c r="AW183" i="22"/>
  <c r="AW184" i="22"/>
  <c r="AW185" i="22"/>
  <c r="AW186" i="22"/>
  <c r="AW187" i="22"/>
  <c r="AW188" i="22"/>
  <c r="AW189" i="22"/>
  <c r="AW190" i="22"/>
  <c r="AW191" i="22"/>
  <c r="AW192" i="22"/>
  <c r="AW193" i="22"/>
  <c r="AW194" i="22"/>
  <c r="AW195" i="22"/>
  <c r="AW196" i="22"/>
  <c r="AW197" i="22"/>
  <c r="AW198" i="22"/>
  <c r="AW199" i="22"/>
  <c r="AW200" i="22"/>
  <c r="AW201" i="22"/>
  <c r="AW202" i="22"/>
  <c r="AW203" i="22"/>
  <c r="AW204" i="22"/>
  <c r="AW205" i="22"/>
  <c r="AW206" i="22"/>
  <c r="AW207" i="22"/>
  <c r="AW208" i="22"/>
  <c r="AW209" i="22"/>
  <c r="AW210" i="22"/>
  <c r="AW211" i="22"/>
  <c r="AW212" i="22"/>
  <c r="AW213" i="22"/>
  <c r="AW214" i="22"/>
  <c r="AW215" i="22"/>
  <c r="AW216" i="22"/>
  <c r="AW217" i="22"/>
  <c r="AW218" i="22"/>
  <c r="AW219" i="22"/>
  <c r="AW220" i="22"/>
  <c r="AW221" i="22"/>
  <c r="AW222" i="22"/>
  <c r="AW223" i="22"/>
  <c r="AW224" i="22"/>
  <c r="AW225" i="22"/>
  <c r="AW226" i="22"/>
  <c r="AW227" i="22"/>
  <c r="AW228" i="22"/>
  <c r="AW229" i="22"/>
  <c r="AW230" i="22"/>
  <c r="AW231" i="22"/>
  <c r="AW232" i="22"/>
  <c r="AW233" i="22"/>
  <c r="AW234" i="22"/>
  <c r="AW235" i="22"/>
  <c r="AW236" i="22"/>
  <c r="AW237" i="22"/>
  <c r="AW238" i="22"/>
  <c r="AW239" i="22"/>
  <c r="AW240" i="22"/>
  <c r="AW241" i="22"/>
  <c r="AW242" i="22"/>
  <c r="AW243" i="22"/>
  <c r="AW244" i="22"/>
  <c r="AW245" i="22"/>
  <c r="AW246" i="22"/>
  <c r="AW247" i="22"/>
  <c r="AW248" i="22"/>
  <c r="AW249" i="22"/>
  <c r="AW250" i="22"/>
  <c r="AW251" i="22"/>
  <c r="AW252" i="22"/>
  <c r="AW253" i="22"/>
  <c r="AW254" i="22"/>
  <c r="AW255" i="22"/>
  <c r="AW256" i="22"/>
  <c r="AW257" i="22"/>
  <c r="AW258" i="22"/>
  <c r="AW259" i="22"/>
  <c r="AW260" i="22"/>
  <c r="AW261" i="22"/>
  <c r="AW262" i="22"/>
  <c r="AW263" i="22"/>
  <c r="AW264" i="22"/>
  <c r="AW265" i="22"/>
  <c r="AW266" i="22"/>
  <c r="AW267" i="22"/>
  <c r="AW268" i="22"/>
  <c r="AW269" i="22"/>
  <c r="AW270" i="22"/>
  <c r="AW271" i="22"/>
  <c r="AW272" i="22"/>
  <c r="AW273" i="22"/>
  <c r="AW274" i="22"/>
  <c r="AW275" i="22"/>
  <c r="AW276" i="22"/>
  <c r="AW277" i="22"/>
  <c r="AW278" i="22"/>
  <c r="AW279" i="22"/>
  <c r="AW280" i="22"/>
  <c r="AW281" i="22"/>
  <c r="AW282" i="22"/>
  <c r="AW283" i="22"/>
  <c r="AW284" i="22"/>
  <c r="AW285" i="22"/>
  <c r="AW286" i="22"/>
  <c r="AW287" i="22"/>
  <c r="AW288" i="22"/>
  <c r="AW289" i="22"/>
  <c r="AW290" i="22"/>
  <c r="AW291" i="22"/>
  <c r="AW292" i="22"/>
  <c r="AW293" i="22"/>
  <c r="AW294" i="22"/>
  <c r="AW295" i="22"/>
  <c r="AW296" i="22"/>
  <c r="AW297" i="22"/>
  <c r="AW298" i="22"/>
  <c r="AW299" i="22"/>
  <c r="AW300" i="22"/>
  <c r="AW301" i="22"/>
  <c r="AW302" i="22"/>
  <c r="AW303" i="22"/>
  <c r="AW304" i="22"/>
  <c r="AW305" i="22"/>
  <c r="AW306" i="22"/>
  <c r="AW307" i="22"/>
  <c r="AW308" i="22"/>
  <c r="AW309" i="22"/>
  <c r="AW310" i="22"/>
  <c r="AW311" i="22"/>
  <c r="AW312" i="22"/>
  <c r="AW313" i="22"/>
  <c r="AW314" i="22"/>
  <c r="AW315" i="22"/>
  <c r="AW316" i="22"/>
  <c r="AW317" i="22"/>
  <c r="AW318" i="22"/>
  <c r="AW319" i="22"/>
  <c r="AW320" i="22"/>
  <c r="AW321" i="22"/>
  <c r="AW322" i="22"/>
  <c r="AW323" i="22"/>
  <c r="AW324" i="22"/>
  <c r="AW325" i="22"/>
  <c r="AW326" i="22"/>
  <c r="AW327" i="22"/>
  <c r="AW328" i="22"/>
  <c r="AW329" i="22"/>
  <c r="AW330" i="22"/>
  <c r="AW331" i="22"/>
  <c r="AW332" i="22"/>
  <c r="AW333" i="22"/>
  <c r="AW334" i="22"/>
  <c r="AW335" i="22"/>
  <c r="AW336" i="22"/>
  <c r="AW337" i="22"/>
  <c r="AW338" i="22"/>
  <c r="AW339" i="22"/>
  <c r="AW340" i="22"/>
  <c r="AW341" i="22"/>
  <c r="AW342" i="22"/>
  <c r="AW343" i="22"/>
  <c r="AW344" i="22"/>
  <c r="AW345" i="22"/>
  <c r="AW346" i="22"/>
  <c r="AW347" i="22"/>
  <c r="AW348" i="22"/>
  <c r="AW349" i="22"/>
  <c r="AW350" i="22"/>
  <c r="AW351" i="22"/>
  <c r="AW352" i="22"/>
  <c r="AW353" i="22"/>
  <c r="AW354" i="22"/>
  <c r="AW355" i="22"/>
  <c r="AW356" i="22"/>
  <c r="AW357" i="22"/>
  <c r="AW358" i="22"/>
  <c r="AW359" i="22"/>
  <c r="AW360" i="22"/>
  <c r="AW361" i="22"/>
  <c r="AW362" i="22"/>
  <c r="AW363" i="22"/>
  <c r="AW364" i="22"/>
  <c r="AW365" i="22"/>
  <c r="AW366" i="22"/>
  <c r="AW367" i="22"/>
  <c r="AW368" i="22"/>
  <c r="AW369" i="22"/>
  <c r="AW370" i="22"/>
  <c r="AW371" i="22"/>
  <c r="AW372" i="22"/>
  <c r="AW373" i="22"/>
  <c r="AW374" i="22"/>
  <c r="AW375" i="22"/>
  <c r="AW376" i="22"/>
  <c r="AW377" i="22"/>
  <c r="AW378" i="22"/>
  <c r="AW379" i="22"/>
  <c r="AW380" i="22"/>
  <c r="AW381" i="22"/>
  <c r="AW382" i="22"/>
  <c r="AW383" i="22"/>
  <c r="AW384" i="22"/>
  <c r="AW385" i="22"/>
  <c r="AW386" i="22"/>
  <c r="AW387" i="22"/>
  <c r="AW388" i="22"/>
  <c r="AW389" i="22"/>
  <c r="AW390" i="22"/>
  <c r="AW391" i="22"/>
  <c r="AW392" i="22"/>
  <c r="AW393" i="22"/>
  <c r="AW394" i="22"/>
  <c r="AW395" i="22"/>
  <c r="AW396" i="22"/>
  <c r="AW397" i="22"/>
  <c r="AW398" i="22"/>
  <c r="AW399" i="22"/>
  <c r="AW400" i="22"/>
  <c r="AW401" i="22"/>
  <c r="AW402" i="22"/>
  <c r="AW403" i="22"/>
  <c r="AW404" i="22"/>
  <c r="AW405" i="22"/>
  <c r="AW406" i="22"/>
  <c r="AW407" i="22"/>
  <c r="AW408" i="22"/>
  <c r="AW409" i="22"/>
  <c r="AW410" i="22"/>
  <c r="AW411" i="22"/>
  <c r="AW412" i="22"/>
  <c r="AW413" i="22"/>
  <c r="AW414" i="22"/>
  <c r="AW415" i="22"/>
  <c r="AW416" i="22"/>
  <c r="AW417" i="22"/>
  <c r="AW418" i="22"/>
  <c r="AW419" i="22"/>
  <c r="AW420" i="22"/>
  <c r="AW421" i="22"/>
  <c r="AW422" i="22"/>
  <c r="AW423" i="22"/>
  <c r="AW424" i="22"/>
  <c r="AW425" i="22"/>
  <c r="AW426" i="22"/>
  <c r="AW427" i="22"/>
  <c r="AW428" i="22"/>
  <c r="AW429" i="22"/>
  <c r="AW430" i="22"/>
  <c r="AW431" i="22"/>
  <c r="AW432" i="22"/>
  <c r="AW433" i="22"/>
  <c r="AW434" i="22"/>
  <c r="AW435" i="22"/>
  <c r="AW436" i="22"/>
  <c r="AW437" i="22"/>
  <c r="AW438" i="22"/>
  <c r="AW439" i="22"/>
  <c r="AW440" i="22"/>
  <c r="AW441" i="22"/>
  <c r="AW442" i="22"/>
  <c r="AW443" i="22"/>
  <c r="AW444" i="22"/>
  <c r="AW445" i="22"/>
  <c r="AW446" i="22"/>
  <c r="AW447" i="22"/>
  <c r="AW448" i="22"/>
  <c r="AW449" i="22"/>
  <c r="AW450" i="22"/>
  <c r="AW451" i="22"/>
  <c r="AW452" i="22"/>
  <c r="AW453" i="22"/>
  <c r="AW454" i="22"/>
  <c r="AW455" i="22"/>
  <c r="AW456" i="22"/>
  <c r="AW457" i="22"/>
  <c r="AW458" i="22"/>
  <c r="AW459" i="22"/>
  <c r="AW460" i="22"/>
  <c r="AW461" i="22"/>
  <c r="AW462" i="22"/>
  <c r="AW463" i="22"/>
  <c r="AW464" i="22"/>
  <c r="AW465" i="22"/>
  <c r="AW466" i="22"/>
  <c r="AW467" i="22"/>
  <c r="AW468" i="22"/>
  <c r="AW469" i="22"/>
  <c r="AW470" i="22"/>
  <c r="AW471" i="22"/>
  <c r="AW472" i="22"/>
  <c r="AW473" i="22"/>
  <c r="AW474" i="22"/>
  <c r="AW475" i="22"/>
  <c r="AW476" i="22"/>
  <c r="A7" i="20"/>
  <c r="AW7" i="20"/>
  <c r="A8" i="20"/>
  <c r="A14" i="20"/>
  <c r="A18" i="20"/>
  <c r="A19" i="20"/>
  <c r="A43" i="20"/>
  <c r="A45" i="20"/>
  <c r="A31" i="20"/>
  <c r="A34" i="20"/>
  <c r="A22" i="20"/>
  <c r="A30" i="20"/>
  <c r="A46" i="20"/>
  <c r="A47" i="20"/>
  <c r="AW8" i="20"/>
  <c r="A9" i="20"/>
  <c r="AW9" i="20"/>
  <c r="A10" i="20"/>
  <c r="AW10" i="20"/>
  <c r="A11" i="20"/>
  <c r="AW11" i="20"/>
  <c r="A12" i="20"/>
  <c r="AW12" i="20"/>
  <c r="A13" i="20"/>
  <c r="AW13" i="20"/>
  <c r="AW14" i="20"/>
  <c r="A15" i="20"/>
  <c r="AW15" i="20"/>
  <c r="A16" i="20"/>
  <c r="AW16" i="20"/>
  <c r="A17" i="20"/>
  <c r="AW17" i="20"/>
  <c r="AW18" i="20"/>
  <c r="AW19" i="20"/>
  <c r="A20" i="20"/>
  <c r="AW20" i="20"/>
  <c r="A21" i="20"/>
  <c r="AW21" i="20"/>
  <c r="AW22" i="20"/>
  <c r="A23" i="20"/>
  <c r="AW23" i="20"/>
  <c r="A24" i="20"/>
  <c r="AW24" i="20"/>
  <c r="A25" i="20"/>
  <c r="AW25" i="20"/>
  <c r="A26" i="20"/>
  <c r="AW26" i="20"/>
  <c r="A27" i="20"/>
  <c r="AW27" i="20"/>
  <c r="A28" i="20"/>
  <c r="AW28" i="20"/>
  <c r="A29" i="20"/>
  <c r="AW29" i="20"/>
  <c r="AW30" i="20"/>
  <c r="AW31" i="20"/>
  <c r="A32" i="20"/>
  <c r="AW32" i="20"/>
  <c r="A33" i="20"/>
  <c r="AW33" i="20"/>
  <c r="AW34" i="20"/>
  <c r="A35" i="20"/>
  <c r="AW35" i="20"/>
  <c r="A36" i="20"/>
  <c r="AW36" i="20"/>
  <c r="A37" i="20"/>
  <c r="AW37" i="20"/>
  <c r="A38" i="20"/>
  <c r="AW38" i="20"/>
  <c r="A39" i="20"/>
  <c r="AW39" i="20"/>
  <c r="A40" i="20"/>
  <c r="AW40" i="20"/>
  <c r="A41" i="20"/>
  <c r="AW41" i="20"/>
  <c r="A42" i="20"/>
  <c r="AW42" i="20"/>
  <c r="AW43" i="20"/>
  <c r="A44" i="20"/>
  <c r="AW44" i="20"/>
  <c r="AW45" i="20"/>
  <c r="AW46" i="20"/>
  <c r="AW47" i="20"/>
  <c r="A48" i="20"/>
  <c r="AW48" i="20"/>
  <c r="A49" i="20"/>
  <c r="AW49" i="20"/>
  <c r="A50" i="20"/>
  <c r="AW50" i="20"/>
  <c r="A51" i="20"/>
  <c r="AW51" i="20"/>
  <c r="A52" i="20"/>
  <c r="AW52" i="20"/>
  <c r="A53" i="20"/>
  <c r="AW53" i="20"/>
  <c r="A54" i="20"/>
  <c r="AW54" i="20"/>
  <c r="A55" i="20"/>
  <c r="AW55" i="20"/>
  <c r="A56" i="20"/>
  <c r="AW56" i="20"/>
  <c r="A57" i="20"/>
  <c r="AW57" i="20"/>
  <c r="A61" i="20"/>
  <c r="AW61" i="20"/>
  <c r="A63" i="20"/>
  <c r="AW63" i="20"/>
  <c r="A64" i="20"/>
  <c r="AW64" i="20"/>
  <c r="A65" i="20"/>
  <c r="AW65" i="20"/>
  <c r="A66" i="20"/>
  <c r="AW66" i="20"/>
  <c r="A67" i="20"/>
  <c r="AW67" i="20"/>
  <c r="A68" i="20"/>
  <c r="AW68" i="20"/>
  <c r="A69" i="20"/>
  <c r="AW69" i="20"/>
  <c r="A71" i="20"/>
  <c r="AW71" i="20"/>
  <c r="A73" i="20"/>
  <c r="AW73" i="20"/>
  <c r="A88" i="20"/>
  <c r="AW88" i="20"/>
  <c r="A89" i="20"/>
  <c r="AW89" i="20"/>
  <c r="A92" i="20"/>
  <c r="AW92" i="20"/>
  <c r="A93" i="20"/>
  <c r="AW93" i="20"/>
  <c r="AW98" i="20"/>
  <c r="AW99" i="20"/>
  <c r="AW100" i="20"/>
  <c r="AW101" i="20"/>
  <c r="AW102" i="20"/>
  <c r="AW103" i="20"/>
  <c r="AW104" i="20"/>
  <c r="AW105" i="20"/>
  <c r="AW106" i="20"/>
  <c r="AW107" i="20"/>
  <c r="AW108" i="20"/>
  <c r="AW109" i="20"/>
  <c r="AW110" i="20"/>
  <c r="AW111" i="20"/>
  <c r="AW112" i="20"/>
  <c r="AW113" i="20"/>
  <c r="AW114" i="20"/>
  <c r="AW115" i="20"/>
  <c r="AW116" i="20"/>
  <c r="AW117" i="20"/>
  <c r="AW118" i="20"/>
  <c r="AW119" i="20"/>
  <c r="AW120" i="20"/>
  <c r="AW121" i="20"/>
  <c r="AW122" i="20"/>
  <c r="AW123" i="20"/>
  <c r="AW124" i="20"/>
  <c r="AW125" i="20"/>
  <c r="AW126" i="20"/>
  <c r="AW127" i="20"/>
  <c r="AW128" i="20"/>
  <c r="AW129" i="20"/>
  <c r="AW130" i="20"/>
  <c r="AW131" i="20"/>
  <c r="AW132" i="20"/>
  <c r="AW133" i="20"/>
  <c r="AW134" i="20"/>
  <c r="AW135" i="20"/>
  <c r="AW136" i="20"/>
  <c r="AW137" i="20"/>
  <c r="AW138" i="20"/>
  <c r="AW139" i="20"/>
  <c r="AW140" i="20"/>
  <c r="AW141" i="20"/>
  <c r="AW142" i="20"/>
  <c r="AW143" i="20"/>
  <c r="AW144" i="20"/>
  <c r="AW145" i="20"/>
  <c r="AW146" i="20"/>
  <c r="AW147" i="20"/>
  <c r="AW148" i="20"/>
  <c r="AW149" i="20"/>
  <c r="AW150" i="20"/>
  <c r="AW151" i="20"/>
  <c r="AW152" i="20"/>
  <c r="AW153" i="20"/>
  <c r="AW154" i="20"/>
  <c r="AW155" i="20"/>
  <c r="AW156" i="20"/>
  <c r="AW157" i="20"/>
  <c r="AW158" i="20"/>
  <c r="AW159" i="20"/>
  <c r="AW160" i="20"/>
  <c r="AW161" i="20"/>
  <c r="AW162" i="20"/>
  <c r="AW163" i="20"/>
  <c r="AW164" i="20"/>
  <c r="AW165" i="20"/>
  <c r="AW166" i="20"/>
  <c r="AW167" i="20"/>
  <c r="AW168" i="20"/>
  <c r="AW169" i="20"/>
  <c r="AW170" i="20"/>
  <c r="AW171" i="20"/>
  <c r="AW172" i="20"/>
  <c r="AW173" i="20"/>
  <c r="AW174" i="20"/>
  <c r="AW175" i="20"/>
  <c r="AW176" i="20"/>
  <c r="AW177" i="20"/>
  <c r="AW178" i="20"/>
  <c r="AW179" i="20"/>
  <c r="AW180" i="20"/>
  <c r="AW181" i="20"/>
  <c r="AW182" i="20"/>
  <c r="AW183" i="20"/>
  <c r="AW184" i="20"/>
  <c r="AW185" i="20"/>
  <c r="AW186" i="20"/>
  <c r="AW187" i="20"/>
  <c r="AW188" i="20"/>
  <c r="AW189" i="20"/>
  <c r="AW190" i="20"/>
  <c r="AW191" i="20"/>
  <c r="AW192" i="20"/>
  <c r="AW193" i="20"/>
  <c r="AW194" i="20"/>
  <c r="AW195" i="20"/>
  <c r="AW196" i="20"/>
  <c r="AW197" i="20"/>
  <c r="AW198" i="20"/>
  <c r="AW199" i="20"/>
  <c r="AW200" i="20"/>
  <c r="AW201" i="20"/>
  <c r="AW202" i="20"/>
  <c r="AW203" i="20"/>
  <c r="AW204" i="20"/>
  <c r="AW205" i="20"/>
  <c r="AW206" i="20"/>
  <c r="AW207" i="20"/>
  <c r="AW208" i="20"/>
  <c r="AW209" i="20"/>
  <c r="AW210" i="20"/>
  <c r="AW211" i="20"/>
  <c r="AW212" i="20"/>
  <c r="AW213" i="20"/>
  <c r="AW214" i="20"/>
  <c r="AW215" i="20"/>
  <c r="AW216" i="20"/>
  <c r="AW217" i="20"/>
  <c r="AW218" i="20"/>
  <c r="AW219" i="20"/>
  <c r="AW220" i="20"/>
  <c r="AW221" i="20"/>
  <c r="AW222" i="20"/>
  <c r="AW223" i="20"/>
  <c r="AW224" i="20"/>
  <c r="AW225" i="20"/>
  <c r="AW226" i="20"/>
  <c r="AW227" i="20"/>
  <c r="AW228" i="20"/>
  <c r="AW229" i="20"/>
  <c r="AW230" i="20"/>
  <c r="AW231" i="20"/>
  <c r="AW232" i="20"/>
  <c r="AW233" i="20"/>
  <c r="AW234" i="20"/>
  <c r="AW235" i="20"/>
  <c r="AW236" i="20"/>
  <c r="AW237" i="20"/>
  <c r="AW238" i="20"/>
  <c r="AW239" i="20"/>
  <c r="AW240" i="20"/>
  <c r="AW241" i="20"/>
  <c r="AW242" i="20"/>
  <c r="AW243" i="20"/>
  <c r="AW244" i="20"/>
  <c r="AW245" i="20"/>
  <c r="AW246" i="20"/>
  <c r="AW247" i="20"/>
  <c r="AW248" i="20"/>
  <c r="AW249" i="20"/>
  <c r="AW250" i="20"/>
  <c r="AW251" i="20"/>
  <c r="AW252" i="20"/>
  <c r="AW253" i="20"/>
  <c r="AW254" i="20"/>
  <c r="AW255" i="20"/>
  <c r="AW256" i="20"/>
  <c r="AW257" i="20"/>
  <c r="AW258" i="20"/>
  <c r="AW259" i="20"/>
  <c r="AW260" i="20"/>
  <c r="AW261" i="20"/>
  <c r="AW262" i="20"/>
  <c r="AW263" i="20"/>
  <c r="AW264" i="20"/>
  <c r="AW265" i="20"/>
  <c r="AW266" i="20"/>
  <c r="AW267" i="20"/>
  <c r="AW268" i="20"/>
  <c r="AW269" i="20"/>
  <c r="AW270" i="20"/>
  <c r="AW271" i="20"/>
  <c r="AW272" i="20"/>
  <c r="AW273" i="20"/>
  <c r="AW274" i="20"/>
  <c r="AW275" i="20"/>
  <c r="AW276" i="20"/>
  <c r="AW277" i="20"/>
  <c r="AW278" i="20"/>
  <c r="AW279" i="20"/>
  <c r="AW280" i="20"/>
  <c r="AW281" i="20"/>
  <c r="AW282" i="20"/>
  <c r="AW283" i="20"/>
  <c r="AW284" i="20"/>
  <c r="AW285" i="20"/>
  <c r="AW286" i="20"/>
  <c r="AW287" i="20"/>
  <c r="AW288" i="20"/>
  <c r="AW289" i="20"/>
  <c r="AW290" i="20"/>
  <c r="AW291" i="20"/>
  <c r="AW292" i="20"/>
  <c r="AW293" i="20"/>
  <c r="AW294" i="20"/>
  <c r="AW295" i="20"/>
  <c r="AW296" i="20"/>
  <c r="AW297" i="20"/>
  <c r="AW298" i="20"/>
  <c r="AW299" i="20"/>
  <c r="AW300" i="20"/>
  <c r="AW301" i="20"/>
  <c r="AW302" i="20"/>
  <c r="AW303" i="20"/>
  <c r="AW304" i="20"/>
  <c r="AW305" i="20"/>
  <c r="AW306" i="20"/>
  <c r="AW307" i="20"/>
  <c r="AW308" i="20"/>
  <c r="AW309" i="20"/>
  <c r="AW310" i="20"/>
  <c r="AW311" i="20"/>
  <c r="AW312" i="20"/>
  <c r="AW313" i="20"/>
  <c r="AW314" i="20"/>
  <c r="AW315" i="20"/>
  <c r="AW316" i="20"/>
  <c r="AW317" i="20"/>
  <c r="AW318" i="20"/>
  <c r="AW319" i="20"/>
  <c r="AW320" i="20"/>
  <c r="AW321" i="20"/>
  <c r="AW322" i="20"/>
  <c r="AW323" i="20"/>
  <c r="AW324" i="20"/>
  <c r="AW325" i="20"/>
  <c r="AW326" i="20"/>
  <c r="AW327" i="20"/>
  <c r="AW328" i="20"/>
  <c r="AW329" i="20"/>
  <c r="AW330" i="20"/>
  <c r="AW331" i="20"/>
  <c r="AW332" i="20"/>
  <c r="AW333" i="20"/>
  <c r="AW334" i="20"/>
  <c r="AW335" i="20"/>
  <c r="AW336" i="20"/>
  <c r="AW337" i="20"/>
  <c r="AW338" i="20"/>
  <c r="AW339" i="20"/>
  <c r="AW340" i="20"/>
  <c r="AW341" i="20"/>
  <c r="AW342" i="20"/>
  <c r="AW343" i="20"/>
  <c r="AW344" i="20"/>
  <c r="AW345" i="20"/>
  <c r="AW346" i="20"/>
  <c r="AW347" i="20"/>
  <c r="AW348" i="20"/>
  <c r="AW349" i="20"/>
  <c r="AW350" i="20"/>
  <c r="AW351" i="20"/>
  <c r="AW352" i="20"/>
  <c r="AW353" i="20"/>
  <c r="AW354" i="20"/>
  <c r="AW355" i="20"/>
  <c r="AW356" i="20"/>
  <c r="AW357" i="20"/>
  <c r="AW358" i="20"/>
  <c r="AW359" i="20"/>
  <c r="AW360" i="20"/>
  <c r="AW361" i="20"/>
  <c r="AW362" i="20"/>
  <c r="AW363" i="20"/>
  <c r="AW364" i="20"/>
  <c r="AW365" i="20"/>
  <c r="AW366" i="20"/>
  <c r="AW367" i="20"/>
  <c r="AW368" i="20"/>
  <c r="AW369" i="20"/>
  <c r="AW370" i="20"/>
  <c r="AW371" i="20"/>
  <c r="AW372" i="20"/>
  <c r="AW373" i="20"/>
  <c r="AW374" i="20"/>
  <c r="AW375" i="20"/>
  <c r="AW376" i="20"/>
  <c r="AW377" i="20"/>
  <c r="AW378" i="20"/>
  <c r="AW379" i="20"/>
  <c r="AW380" i="20"/>
  <c r="AW381" i="20"/>
  <c r="AW382" i="20"/>
  <c r="AW383" i="20"/>
  <c r="AW384" i="20"/>
  <c r="AW385" i="20"/>
  <c r="AW386" i="20"/>
  <c r="AW387" i="20"/>
  <c r="AW388" i="20"/>
  <c r="AW389" i="20"/>
  <c r="AW390" i="20"/>
  <c r="AW391" i="20"/>
  <c r="AW392" i="20"/>
  <c r="AW393" i="20"/>
  <c r="AW394" i="20"/>
  <c r="AW395" i="20"/>
  <c r="AW396" i="20"/>
  <c r="AW397" i="20"/>
  <c r="AW398" i="20"/>
  <c r="AW399" i="20"/>
  <c r="AW400" i="20"/>
  <c r="AW401" i="20"/>
  <c r="AW402" i="20"/>
  <c r="AW403" i="20"/>
  <c r="AW404" i="20"/>
  <c r="AW405" i="20"/>
  <c r="AW406" i="20"/>
  <c r="AW407" i="20"/>
  <c r="AW408" i="20"/>
  <c r="AW409" i="20"/>
  <c r="AW410" i="20"/>
  <c r="AW411" i="20"/>
  <c r="AW412" i="20"/>
  <c r="AW413" i="20"/>
  <c r="AW414" i="20"/>
  <c r="AW415" i="20"/>
  <c r="AW416" i="20"/>
  <c r="AW417" i="20"/>
  <c r="AW418" i="20"/>
  <c r="AW419" i="20"/>
  <c r="AW420" i="20"/>
  <c r="AW421" i="20"/>
  <c r="AW422" i="20"/>
  <c r="AW423" i="20"/>
  <c r="AW424" i="20"/>
  <c r="AW425" i="20"/>
  <c r="AW426" i="20"/>
  <c r="AW427" i="20"/>
  <c r="AW428" i="20"/>
  <c r="AW429" i="20"/>
  <c r="AW430" i="20"/>
  <c r="AW431" i="20"/>
  <c r="AW432" i="20"/>
  <c r="AW433" i="20"/>
  <c r="AW434" i="20"/>
  <c r="AW435" i="20"/>
  <c r="AW436" i="20"/>
  <c r="AW437" i="20"/>
  <c r="AW438" i="20"/>
  <c r="AW439" i="20"/>
  <c r="AW440" i="20"/>
  <c r="AW441" i="20"/>
  <c r="AW442" i="20"/>
  <c r="AW443" i="20"/>
  <c r="AW444" i="20"/>
  <c r="AW445" i="20"/>
  <c r="AW446" i="20"/>
  <c r="AW447" i="20"/>
  <c r="AW448" i="20"/>
  <c r="AW449" i="20"/>
  <c r="AW450" i="20"/>
  <c r="AW451" i="20"/>
  <c r="AW452" i="20"/>
  <c r="AW453" i="20"/>
  <c r="AW454" i="20"/>
  <c r="AW455" i="20"/>
  <c r="AW456" i="20"/>
  <c r="AW7" i="21"/>
  <c r="AW8" i="21"/>
  <c r="AW9" i="21"/>
  <c r="AW10" i="21"/>
  <c r="AW11" i="21"/>
  <c r="AW12" i="21"/>
  <c r="AW13" i="21"/>
  <c r="AW14" i="21"/>
  <c r="AW15" i="21"/>
  <c r="AW16" i="21"/>
  <c r="AW17" i="21"/>
  <c r="AW18" i="21"/>
  <c r="AW20" i="21"/>
  <c r="AW22" i="21"/>
  <c r="AW23" i="21"/>
  <c r="AW24" i="21"/>
  <c r="AW26" i="21"/>
  <c r="AW27" i="21"/>
  <c r="AW28" i="21"/>
  <c r="AW29" i="21"/>
  <c r="AW30" i="21"/>
  <c r="AW31" i="21"/>
  <c r="AW32" i="21"/>
  <c r="AW33" i="21"/>
  <c r="AW34" i="21"/>
  <c r="AW35" i="21"/>
  <c r="AW36" i="21"/>
  <c r="AW37" i="21"/>
  <c r="AW38" i="21"/>
  <c r="AW39" i="21"/>
  <c r="AW40" i="21"/>
  <c r="AW41" i="21"/>
  <c r="AW42" i="21"/>
  <c r="AW43" i="21"/>
  <c r="AW48" i="21"/>
  <c r="AW49" i="21"/>
  <c r="AW50" i="21"/>
  <c r="U24" i="21"/>
  <c r="AW51" i="21"/>
  <c r="AW52" i="21"/>
  <c r="AW53" i="21"/>
  <c r="AW55" i="21"/>
  <c r="AW57" i="21"/>
  <c r="A130" i="21"/>
  <c r="AW130" i="21"/>
  <c r="A140" i="21"/>
  <c r="AW140" i="21"/>
  <c r="A141" i="21"/>
  <c r="AW141" i="21"/>
  <c r="AW156" i="21"/>
  <c r="AW157" i="21"/>
  <c r="AW158" i="21"/>
  <c r="AW159" i="21"/>
  <c r="AW160" i="21"/>
  <c r="AW161" i="21"/>
  <c r="AW162" i="21"/>
  <c r="AW163" i="21"/>
  <c r="AW164" i="21"/>
  <c r="AW165" i="21"/>
  <c r="AW166" i="21"/>
  <c r="AW167" i="21"/>
  <c r="AW168" i="21"/>
  <c r="AW169" i="21"/>
  <c r="AW170" i="21"/>
  <c r="AW171" i="21"/>
  <c r="AW172" i="21"/>
  <c r="AW173" i="21"/>
  <c r="AW174" i="21"/>
  <c r="AW175" i="21"/>
  <c r="AW176" i="21"/>
  <c r="AW177" i="21"/>
  <c r="AW178" i="21"/>
  <c r="AW179" i="21"/>
  <c r="AW180" i="21"/>
  <c r="AW181" i="21"/>
  <c r="AW182" i="21"/>
  <c r="AW183" i="21"/>
  <c r="AW184" i="21"/>
  <c r="AW185" i="21"/>
  <c r="AW186" i="21"/>
  <c r="AW187" i="21"/>
  <c r="AW188" i="21"/>
  <c r="AW189" i="21"/>
  <c r="AW190" i="21"/>
  <c r="AW191" i="21"/>
  <c r="AW192" i="21"/>
  <c r="AW193" i="21"/>
  <c r="AW194" i="21"/>
  <c r="AW195" i="21"/>
  <c r="AW196" i="21"/>
  <c r="AW197" i="21"/>
  <c r="AW198" i="21"/>
  <c r="AW199" i="21"/>
  <c r="AW200" i="21"/>
  <c r="AW201" i="21"/>
  <c r="AW202" i="21"/>
  <c r="AW203" i="21"/>
  <c r="AW204" i="21"/>
  <c r="AW205" i="21"/>
  <c r="AW206" i="21"/>
  <c r="AW207" i="21"/>
  <c r="AW208" i="21"/>
  <c r="AW209" i="21"/>
  <c r="AW210" i="21"/>
  <c r="AW211" i="21"/>
  <c r="AW212" i="21"/>
  <c r="AW213" i="21"/>
  <c r="AW214" i="21"/>
  <c r="AW215" i="21"/>
  <c r="AW216" i="21"/>
  <c r="AW217" i="21"/>
  <c r="AW218" i="21"/>
  <c r="AW219" i="21"/>
  <c r="AW220" i="21"/>
  <c r="AW221" i="21"/>
  <c r="AW222" i="21"/>
  <c r="AW223" i="21"/>
  <c r="AW224" i="21"/>
  <c r="AW225" i="21"/>
  <c r="AW226" i="21"/>
  <c r="AW227" i="21"/>
  <c r="AW228" i="21"/>
  <c r="AW229" i="21"/>
  <c r="AW230" i="21"/>
  <c r="AW231" i="21"/>
  <c r="AW232" i="21"/>
  <c r="AW233" i="21"/>
  <c r="AW234" i="21"/>
  <c r="AW235" i="21"/>
  <c r="AW236" i="21"/>
  <c r="AW237" i="21"/>
  <c r="AW238" i="21"/>
  <c r="AW239" i="21"/>
  <c r="AW240" i="21"/>
  <c r="AW241" i="21"/>
  <c r="AW242" i="21"/>
  <c r="AW243" i="21"/>
  <c r="AW244" i="21"/>
  <c r="AW245" i="21"/>
  <c r="AW246" i="21"/>
  <c r="AW247" i="21"/>
  <c r="AW248" i="21"/>
  <c r="AW249" i="21"/>
  <c r="AW250" i="21"/>
  <c r="AW251" i="21"/>
  <c r="AW252" i="21"/>
  <c r="AW253" i="21"/>
  <c r="AW254" i="21"/>
  <c r="AW255" i="21"/>
  <c r="AW256" i="21"/>
  <c r="AW257" i="21"/>
  <c r="AW258" i="21"/>
  <c r="AW259" i="21"/>
  <c r="AW260" i="21"/>
  <c r="AW261" i="21"/>
  <c r="AW262" i="21"/>
  <c r="AW263" i="21"/>
  <c r="AW264" i="21"/>
  <c r="AW265" i="21"/>
  <c r="AW266" i="21"/>
  <c r="AW267" i="21"/>
  <c r="AW268" i="21"/>
  <c r="AW269" i="21"/>
  <c r="AW270" i="21"/>
  <c r="AW271" i="21"/>
  <c r="AW272" i="21"/>
  <c r="AW273" i="21"/>
  <c r="AW274" i="21"/>
  <c r="AW275" i="21"/>
  <c r="AW276" i="21"/>
  <c r="AW277" i="21"/>
  <c r="AW278" i="21"/>
  <c r="AW279" i="21"/>
  <c r="AW280" i="21"/>
  <c r="AW281" i="21"/>
  <c r="AW282" i="21"/>
  <c r="AW283" i="21"/>
  <c r="AW284" i="21"/>
  <c r="AW285" i="21"/>
  <c r="AW286" i="21"/>
  <c r="AW287" i="21"/>
  <c r="AW288" i="21"/>
  <c r="AW289" i="21"/>
  <c r="AW290" i="21"/>
  <c r="AW291" i="21"/>
  <c r="AW292" i="21"/>
  <c r="AW293" i="21"/>
  <c r="AW294" i="21"/>
  <c r="AW295" i="21"/>
  <c r="AW296" i="21"/>
  <c r="AW297" i="21"/>
  <c r="AW298" i="21"/>
  <c r="AW299" i="21"/>
  <c r="AW300" i="21"/>
  <c r="AW301" i="21"/>
  <c r="AW302" i="21"/>
  <c r="AW303" i="21"/>
  <c r="AW304" i="21"/>
  <c r="AW305" i="21"/>
  <c r="AW306" i="21"/>
  <c r="AW307" i="21"/>
  <c r="AW308" i="21"/>
  <c r="AW309" i="21"/>
  <c r="AW310" i="21"/>
  <c r="AW311" i="21"/>
  <c r="AW312" i="21"/>
  <c r="AW313" i="21"/>
  <c r="AW314" i="21"/>
  <c r="AW315" i="21"/>
  <c r="AW316" i="21"/>
  <c r="AW317" i="21"/>
  <c r="AW318" i="21"/>
  <c r="AW319" i="21"/>
  <c r="AW320" i="21"/>
  <c r="AW321" i="21"/>
  <c r="AW322" i="21"/>
  <c r="AW323" i="21"/>
  <c r="AW324" i="21"/>
  <c r="AW325" i="21"/>
  <c r="AW326" i="21"/>
  <c r="AW327" i="21"/>
  <c r="AW328" i="21"/>
  <c r="AW329" i="21"/>
  <c r="AW330" i="21"/>
  <c r="AW331" i="21"/>
  <c r="AW332" i="21"/>
  <c r="AW333" i="21"/>
  <c r="AW334" i="21"/>
  <c r="AW335" i="21"/>
  <c r="AW336" i="21"/>
  <c r="AW337" i="21"/>
  <c r="AW338" i="21"/>
  <c r="AW339" i="21"/>
  <c r="AW340" i="21"/>
  <c r="AW341" i="21"/>
  <c r="AW342" i="21"/>
  <c r="AW343" i="21"/>
  <c r="AW344" i="21"/>
  <c r="AW345" i="21"/>
  <c r="AW346" i="21"/>
  <c r="AW347" i="21"/>
  <c r="AW348" i="21"/>
  <c r="AW349" i="21"/>
  <c r="AW350" i="21"/>
  <c r="AW351" i="21"/>
  <c r="AW352" i="21"/>
  <c r="AW353" i="21"/>
  <c r="AW354" i="21"/>
  <c r="AW355" i="21"/>
  <c r="AW356" i="21"/>
  <c r="AW357" i="21"/>
  <c r="AW358" i="21"/>
  <c r="AW359" i="21"/>
  <c r="AW360" i="21"/>
  <c r="AW361" i="21"/>
  <c r="AW362" i="21"/>
  <c r="AW363" i="21"/>
  <c r="AW364" i="21"/>
  <c r="AW365" i="21"/>
  <c r="AW366" i="21"/>
  <c r="AW367" i="21"/>
  <c r="AW368" i="21"/>
  <c r="AW369" i="21"/>
  <c r="AW370" i="21"/>
  <c r="AW371" i="21"/>
  <c r="AW372" i="21"/>
  <c r="AW373" i="21"/>
  <c r="AW374" i="21"/>
  <c r="AW375" i="21"/>
  <c r="AW376" i="21"/>
  <c r="AW377" i="21"/>
  <c r="AW378" i="21"/>
  <c r="AW379" i="21"/>
  <c r="AW380" i="21"/>
  <c r="AW381" i="21"/>
  <c r="AW382" i="21"/>
  <c r="AW383" i="21"/>
  <c r="AW384" i="21"/>
  <c r="AW385" i="21"/>
  <c r="AW386" i="21"/>
  <c r="AW387" i="21"/>
  <c r="AW388" i="21"/>
  <c r="AW389" i="21"/>
  <c r="AW390" i="21"/>
  <c r="AW391" i="21"/>
  <c r="AW392" i="21"/>
  <c r="AW393" i="21"/>
  <c r="AW394" i="21"/>
  <c r="AW395" i="21"/>
  <c r="AW396" i="21"/>
  <c r="AW397" i="21"/>
  <c r="AW398" i="21"/>
  <c r="AW399" i="21"/>
  <c r="AW400" i="21"/>
  <c r="AW401" i="21"/>
  <c r="AW402" i="21"/>
  <c r="AW403" i="21"/>
  <c r="AW404" i="21"/>
  <c r="AW405" i="21"/>
  <c r="AW406" i="21"/>
  <c r="AW407" i="21"/>
  <c r="AW408" i="21"/>
  <c r="AW409" i="21"/>
  <c r="AW410" i="21"/>
  <c r="AW411" i="21"/>
  <c r="AW412" i="21"/>
  <c r="AW413" i="21"/>
  <c r="AW414" i="21"/>
  <c r="AW415" i="21"/>
  <c r="AW416" i="21"/>
  <c r="AW417" i="21"/>
  <c r="AW418" i="21"/>
  <c r="AW419" i="21"/>
  <c r="AW420" i="21"/>
  <c r="AW421" i="21"/>
  <c r="AW422" i="21"/>
  <c r="AW423" i="21"/>
  <c r="AW424" i="21"/>
  <c r="AW425" i="21"/>
  <c r="AW426" i="21"/>
  <c r="AW427" i="21"/>
  <c r="AW428" i="21"/>
  <c r="AW429" i="21"/>
  <c r="AW430" i="21"/>
  <c r="AW431" i="21"/>
  <c r="AW432" i="21"/>
  <c r="AW433" i="21"/>
  <c r="AW434" i="21"/>
  <c r="AW435" i="21"/>
  <c r="AW436" i="21"/>
  <c r="AW437" i="21"/>
  <c r="AW438" i="21"/>
  <c r="AW439" i="21"/>
  <c r="AW440" i="21"/>
  <c r="AW441" i="21"/>
  <c r="AW442" i="21"/>
  <c r="AW443" i="21"/>
  <c r="AW444" i="21"/>
  <c r="AW445" i="21"/>
  <c r="AW446" i="21"/>
  <c r="AW447" i="21"/>
  <c r="AW448" i="21"/>
  <c r="AW449" i="21"/>
  <c r="AW450" i="21"/>
  <c r="AW451" i="21"/>
  <c r="AW452" i="21"/>
  <c r="AW453" i="21"/>
  <c r="AW454" i="21"/>
  <c r="AW455" i="21"/>
  <c r="AW456" i="21"/>
  <c r="AW457" i="21"/>
  <c r="AW458" i="21"/>
  <c r="AW459" i="21"/>
  <c r="AW460" i="21"/>
  <c r="AW461" i="21"/>
  <c r="AW462" i="21"/>
  <c r="AW463" i="21"/>
  <c r="AW464" i="21"/>
  <c r="AW465" i="21"/>
  <c r="AW466" i="21"/>
  <c r="AW467" i="21"/>
  <c r="AW468" i="21"/>
  <c r="AW469" i="21"/>
  <c r="AW470" i="21"/>
  <c r="AW471" i="21"/>
  <c r="AW472" i="21"/>
  <c r="AW473" i="21"/>
  <c r="AW474" i="21"/>
  <c r="AW475" i="21"/>
  <c r="AW476" i="21"/>
  <c r="AW477" i="21"/>
  <c r="AW478" i="21"/>
  <c r="AW479" i="21"/>
  <c r="AW480" i="21"/>
  <c r="AW481" i="21"/>
  <c r="AW482" i="21"/>
  <c r="AW483" i="21"/>
  <c r="AW484" i="21"/>
  <c r="AW485" i="21"/>
  <c r="AW486" i="21"/>
  <c r="AW487" i="21"/>
  <c r="AW488" i="21"/>
  <c r="AW489" i="21"/>
  <c r="AW490" i="21"/>
  <c r="AW491" i="21"/>
  <c r="AW492" i="21"/>
  <c r="AW493" i="21"/>
  <c r="AW494" i="21"/>
  <c r="AW495" i="21"/>
  <c r="AW496" i="21"/>
  <c r="AW497" i="21"/>
  <c r="AW498" i="21"/>
  <c r="AW499" i="21"/>
  <c r="AW500" i="21"/>
  <c r="AW501" i="21"/>
  <c r="AW502" i="21"/>
  <c r="AW503" i="21"/>
  <c r="AW504" i="21"/>
  <c r="AW505" i="21"/>
  <c r="AW506" i="21"/>
  <c r="AW507" i="21"/>
  <c r="AW508" i="21"/>
  <c r="AW509" i="21"/>
  <c r="AW510" i="21"/>
  <c r="AW511" i="21"/>
  <c r="AW512" i="21"/>
  <c r="AW513" i="21"/>
  <c r="AW514" i="21"/>
  <c r="AW515" i="21"/>
  <c r="AW516" i="21"/>
  <c r="AW517" i="21"/>
  <c r="AW518" i="21"/>
  <c r="AW519" i="21"/>
  <c r="AW520" i="21"/>
  <c r="AW521" i="21"/>
  <c r="AW522" i="21"/>
  <c r="AW523" i="21"/>
  <c r="AW524" i="21"/>
  <c r="AW525" i="21"/>
  <c r="AW526" i="21"/>
  <c r="AW527" i="21"/>
  <c r="AW528" i="21"/>
  <c r="AW529" i="21"/>
  <c r="AW530" i="21"/>
  <c r="AW531" i="21"/>
  <c r="AW532" i="21"/>
  <c r="AW533" i="21"/>
  <c r="AW534" i="21"/>
  <c r="A7" i="18"/>
  <c r="AW7" i="18"/>
  <c r="A9" i="18"/>
  <c r="AW9" i="18"/>
  <c r="A12" i="18"/>
  <c r="AW12" i="18"/>
  <c r="A15" i="18"/>
  <c r="AW15" i="18"/>
  <c r="AW18" i="18"/>
  <c r="AW21" i="18"/>
  <c r="AW29" i="18"/>
  <c r="AW30" i="18"/>
  <c r="AW31" i="18"/>
  <c r="AW32" i="18"/>
  <c r="AW33" i="18"/>
  <c r="AW34" i="18"/>
  <c r="AW35" i="18"/>
  <c r="AW39" i="18"/>
  <c r="AW40" i="18"/>
  <c r="AW41" i="18"/>
  <c r="AW43" i="18"/>
  <c r="AW57" i="18"/>
  <c r="AW58" i="18"/>
  <c r="AW59" i="18"/>
  <c r="AW60" i="18"/>
  <c r="AW61" i="18"/>
  <c r="AW62" i="18"/>
  <c r="AW63" i="18"/>
  <c r="AW64" i="18"/>
  <c r="AW65" i="18"/>
  <c r="AW66" i="18"/>
  <c r="AW67" i="18"/>
  <c r="AW68" i="18"/>
  <c r="AW70" i="18"/>
  <c r="AW71" i="18"/>
  <c r="AW72" i="18"/>
  <c r="AW73" i="18"/>
  <c r="AW74" i="18"/>
  <c r="AW75" i="18"/>
  <c r="AW76" i="18"/>
  <c r="AW77" i="18"/>
  <c r="AW78" i="18"/>
  <c r="AW79" i="18"/>
  <c r="AW80" i="18"/>
  <c r="AW81" i="18"/>
  <c r="AW82" i="18"/>
  <c r="AW83" i="18"/>
  <c r="AW84" i="18"/>
  <c r="AW85" i="18"/>
  <c r="AW86" i="18"/>
  <c r="AW87" i="18"/>
  <c r="AW88" i="18"/>
  <c r="AW89" i="18"/>
  <c r="AW90" i="18"/>
  <c r="AW91" i="18"/>
  <c r="AW92" i="18"/>
  <c r="AW93" i="18"/>
  <c r="AW94" i="18"/>
  <c r="AW95" i="18"/>
  <c r="AW96" i="18"/>
  <c r="AW97" i="18"/>
  <c r="AW98" i="18"/>
  <c r="AW99" i="18"/>
  <c r="AW100" i="18"/>
  <c r="AW101" i="18"/>
  <c r="AW102" i="18"/>
  <c r="AW103" i="18"/>
  <c r="AW104" i="18"/>
  <c r="AW105" i="18"/>
  <c r="AW106" i="18"/>
  <c r="AW107" i="18"/>
  <c r="AW108" i="18"/>
  <c r="AW109" i="18"/>
  <c r="AW110" i="18"/>
  <c r="AW111" i="18"/>
  <c r="AW112" i="18"/>
  <c r="AW113" i="18"/>
  <c r="AW114" i="18"/>
  <c r="AW115" i="18"/>
  <c r="AW116" i="18"/>
  <c r="AW117" i="18"/>
  <c r="AW118" i="18"/>
  <c r="AW119" i="18"/>
  <c r="AW120" i="18"/>
  <c r="AW121" i="18"/>
  <c r="AW122" i="18"/>
  <c r="AW123" i="18"/>
  <c r="AW124" i="18"/>
  <c r="AW125" i="18"/>
  <c r="AW126" i="18"/>
  <c r="AW127" i="18"/>
  <c r="AW128" i="18"/>
  <c r="AW129" i="18"/>
  <c r="AW130" i="18"/>
  <c r="AW131" i="18"/>
  <c r="AW132" i="18"/>
  <c r="AW133" i="18"/>
  <c r="AW134" i="18"/>
  <c r="AW135" i="18"/>
  <c r="AW136" i="18"/>
  <c r="AW137" i="18"/>
  <c r="AW138" i="18"/>
  <c r="AW139" i="18"/>
  <c r="AW140" i="18"/>
  <c r="AW141" i="18"/>
  <c r="AW142" i="18"/>
  <c r="AW143" i="18"/>
  <c r="AW144" i="18"/>
  <c r="AW145" i="18"/>
  <c r="AW146" i="18"/>
  <c r="AW147" i="18"/>
  <c r="AW148" i="18"/>
  <c r="AW149" i="18"/>
  <c r="AW150" i="18"/>
  <c r="AW151" i="18"/>
  <c r="AW152" i="18"/>
  <c r="AW153" i="18"/>
  <c r="AW154" i="18"/>
  <c r="AW155" i="18"/>
  <c r="AW156" i="18"/>
  <c r="AW157" i="18"/>
  <c r="AW158" i="18"/>
  <c r="AW159" i="18"/>
  <c r="AW160" i="18"/>
  <c r="AW161" i="18"/>
  <c r="AW162" i="18"/>
  <c r="AW163" i="18"/>
  <c r="AW164" i="18"/>
  <c r="AW165" i="18"/>
  <c r="AW166" i="18"/>
  <c r="AW167" i="18"/>
  <c r="AW168" i="18"/>
  <c r="AW169" i="18"/>
  <c r="AW170" i="18"/>
  <c r="AW171" i="18"/>
  <c r="AW172" i="18"/>
  <c r="AW173" i="18"/>
  <c r="AW174" i="18"/>
  <c r="AW175" i="18"/>
  <c r="AW176" i="18"/>
  <c r="AW177" i="18"/>
  <c r="AW178" i="18"/>
  <c r="AW179" i="18"/>
  <c r="AW180" i="18"/>
  <c r="AW181" i="18"/>
  <c r="AW182" i="18"/>
  <c r="AW183" i="18"/>
  <c r="AW184" i="18"/>
  <c r="AW185" i="18"/>
  <c r="AW186" i="18"/>
  <c r="AW187" i="18"/>
  <c r="AW188" i="18"/>
  <c r="AW189" i="18"/>
  <c r="AW190" i="18"/>
  <c r="AW191" i="18"/>
  <c r="AW192" i="18"/>
  <c r="AW193" i="18"/>
  <c r="AW194" i="18"/>
  <c r="AW195" i="18"/>
  <c r="AW196" i="18"/>
  <c r="AW197" i="18"/>
  <c r="AW198" i="18"/>
  <c r="AW199" i="18"/>
  <c r="AW200" i="18"/>
  <c r="AW201" i="18"/>
  <c r="AW202" i="18"/>
  <c r="AW203" i="18"/>
  <c r="AW204" i="18"/>
  <c r="AW205" i="18"/>
  <c r="AW206" i="18"/>
  <c r="AW207" i="18"/>
  <c r="AW208" i="18"/>
  <c r="AW209" i="18"/>
  <c r="AW210" i="18"/>
  <c r="AW211" i="18"/>
  <c r="AW212" i="18"/>
  <c r="AW213" i="18"/>
  <c r="AW214" i="18"/>
  <c r="AW215" i="18"/>
  <c r="AW216" i="18"/>
  <c r="AW217" i="18"/>
  <c r="AW218" i="18"/>
  <c r="AW219" i="18"/>
  <c r="AW220" i="18"/>
  <c r="AW221" i="18"/>
  <c r="AW222" i="18"/>
  <c r="AW223" i="18"/>
  <c r="AW224" i="18"/>
  <c r="AW225" i="18"/>
  <c r="AW226" i="18"/>
  <c r="AW227" i="18"/>
  <c r="AW228" i="18"/>
  <c r="AW229" i="18"/>
  <c r="AW230" i="18"/>
  <c r="AW231" i="18"/>
  <c r="AW232" i="18"/>
  <c r="AW233" i="18"/>
  <c r="AW234" i="18"/>
  <c r="AW235" i="18"/>
  <c r="AW236" i="18"/>
  <c r="AW237" i="18"/>
  <c r="AW238" i="18"/>
  <c r="AW239" i="18"/>
  <c r="AW240" i="18"/>
  <c r="AW241" i="18"/>
  <c r="AW242" i="18"/>
  <c r="AW243" i="18"/>
  <c r="AW244" i="18"/>
  <c r="AW245" i="18"/>
  <c r="AW246" i="18"/>
  <c r="AW247" i="18"/>
  <c r="AW248" i="18"/>
  <c r="AW249" i="18"/>
  <c r="AW250" i="18"/>
  <c r="AW251" i="18"/>
  <c r="AW252" i="18"/>
  <c r="AW253" i="18"/>
  <c r="AW254" i="18"/>
  <c r="AW255" i="18"/>
  <c r="AW256" i="18"/>
  <c r="AW257" i="18"/>
  <c r="AW258" i="18"/>
  <c r="AW259" i="18"/>
  <c r="AW260" i="18"/>
  <c r="AW261" i="18"/>
  <c r="AW262" i="18"/>
  <c r="AW263" i="18"/>
  <c r="AW264" i="18"/>
  <c r="AW265" i="18"/>
  <c r="AW266" i="18"/>
  <c r="AW267" i="18"/>
  <c r="AW268" i="18"/>
  <c r="AW269" i="18"/>
  <c r="AW270" i="18"/>
  <c r="AW271" i="18"/>
  <c r="AW272" i="18"/>
  <c r="AW273" i="18"/>
  <c r="AW274" i="18"/>
  <c r="AW275" i="18"/>
  <c r="AW276" i="18"/>
  <c r="AW277" i="18"/>
  <c r="AW278" i="18"/>
  <c r="AW279" i="18"/>
  <c r="AW280" i="18"/>
  <c r="AW281" i="18"/>
  <c r="AW282" i="18"/>
  <c r="AW283" i="18"/>
  <c r="AW284" i="18"/>
  <c r="AW285" i="18"/>
  <c r="AW286" i="18"/>
  <c r="AW287" i="18"/>
  <c r="AW288" i="18"/>
  <c r="AW289" i="18"/>
  <c r="AW290" i="18"/>
  <c r="AW291" i="18"/>
  <c r="AW292" i="18"/>
  <c r="AW293" i="18"/>
  <c r="AW294" i="18"/>
  <c r="AW295" i="18"/>
  <c r="AW296" i="18"/>
  <c r="AW297" i="18"/>
  <c r="AW298" i="18"/>
  <c r="AW299" i="18"/>
  <c r="AW300" i="18"/>
  <c r="AW301" i="18"/>
  <c r="AW302" i="18"/>
  <c r="AW303" i="18"/>
  <c r="AW304" i="18"/>
  <c r="AW305" i="18"/>
  <c r="AW306" i="18"/>
  <c r="AW307" i="18"/>
  <c r="AW308" i="18"/>
  <c r="AW309" i="18"/>
  <c r="AW310" i="18"/>
  <c r="AW311" i="18"/>
  <c r="AW312" i="18"/>
  <c r="AW313" i="18"/>
  <c r="AW314" i="18"/>
  <c r="AW315" i="18"/>
  <c r="AW316" i="18"/>
  <c r="AW317" i="18"/>
  <c r="AW318" i="18"/>
  <c r="AW319" i="18"/>
  <c r="AW320" i="18"/>
  <c r="AW321" i="18"/>
  <c r="AW322" i="18"/>
  <c r="AW323" i="18"/>
  <c r="AW324" i="18"/>
  <c r="AW325" i="18"/>
  <c r="AW326" i="18"/>
  <c r="AW327" i="18"/>
  <c r="AW328" i="18"/>
  <c r="AW329" i="18"/>
  <c r="AW330" i="18"/>
  <c r="AW331" i="18"/>
  <c r="AW332" i="18"/>
  <c r="AW333" i="18"/>
  <c r="AW334" i="18"/>
  <c r="AW335" i="18"/>
  <c r="AW336" i="18"/>
  <c r="AW337" i="18"/>
  <c r="AW338" i="18"/>
  <c r="AW339" i="18"/>
  <c r="AW340" i="18"/>
  <c r="AW341" i="18"/>
  <c r="AW342" i="18"/>
  <c r="AW343" i="18"/>
  <c r="AW344" i="18"/>
  <c r="AW345" i="18"/>
  <c r="AW346" i="18"/>
  <c r="AW347" i="18"/>
  <c r="AW348" i="18"/>
  <c r="AW349" i="18"/>
  <c r="AW350" i="18"/>
  <c r="AW351" i="18"/>
  <c r="AW352" i="18"/>
  <c r="AW353" i="18"/>
  <c r="AW354" i="18"/>
  <c r="AW355" i="18"/>
  <c r="AW356" i="18"/>
  <c r="AW357" i="18"/>
  <c r="AW358" i="18"/>
  <c r="AW359" i="18"/>
  <c r="AW360" i="18"/>
  <c r="AW361" i="18"/>
  <c r="AW362" i="18"/>
  <c r="AW363" i="18"/>
  <c r="AW364" i="18"/>
  <c r="AW365" i="18"/>
  <c r="AW366" i="18"/>
  <c r="AW367" i="18"/>
  <c r="AW368" i="18"/>
  <c r="AW369" i="18"/>
  <c r="AW370" i="18"/>
  <c r="AW371" i="18"/>
  <c r="AW372" i="18"/>
  <c r="AW373" i="18"/>
  <c r="AW374" i="18"/>
  <c r="AW375" i="18"/>
  <c r="AW376" i="18"/>
  <c r="AW377" i="18"/>
  <c r="AW378" i="18"/>
  <c r="AW379" i="18"/>
  <c r="AW380" i="18"/>
  <c r="AW381" i="18"/>
  <c r="AW382" i="18"/>
  <c r="AW383" i="18"/>
  <c r="AW384" i="18"/>
  <c r="AW385" i="18"/>
  <c r="AW386" i="18"/>
  <c r="AW387" i="18"/>
  <c r="AW388" i="18"/>
  <c r="AW389" i="18"/>
  <c r="AW390" i="18"/>
  <c r="AW391" i="18"/>
  <c r="AW392" i="18"/>
  <c r="AW393" i="18"/>
  <c r="AW394" i="18"/>
  <c r="AW395" i="18"/>
  <c r="AW396" i="18"/>
  <c r="AW397" i="18"/>
  <c r="AW398" i="18"/>
  <c r="AW399" i="18"/>
  <c r="AW400" i="18"/>
  <c r="AW401" i="18"/>
  <c r="AW402" i="18"/>
  <c r="AW403" i="18"/>
  <c r="AW404" i="18"/>
  <c r="AW405" i="18"/>
  <c r="AW406" i="18"/>
  <c r="AW407" i="18"/>
  <c r="AW408" i="18"/>
  <c r="AW409" i="18"/>
  <c r="AW410" i="18"/>
  <c r="AW411" i="18"/>
  <c r="AW412" i="18"/>
  <c r="AW413" i="18"/>
  <c r="AW414" i="18"/>
  <c r="AW415" i="18"/>
  <c r="AW416" i="18"/>
  <c r="AW417" i="18"/>
  <c r="AW418" i="18"/>
  <c r="AW419" i="18"/>
  <c r="AW420" i="18"/>
  <c r="AW421" i="18"/>
  <c r="AW422" i="18"/>
  <c r="AW423" i="18"/>
  <c r="AW424" i="18"/>
  <c r="AW425" i="18"/>
  <c r="AW426" i="18"/>
  <c r="AW427" i="18"/>
  <c r="AW428" i="18"/>
  <c r="AW429" i="18"/>
  <c r="AW430" i="18"/>
  <c r="AW431" i="18"/>
  <c r="AW432" i="18"/>
  <c r="AW433" i="18"/>
  <c r="AW434" i="18"/>
  <c r="AW435" i="18"/>
  <c r="AW436" i="18"/>
  <c r="AW437" i="18"/>
  <c r="AW438" i="18"/>
  <c r="AW439" i="18"/>
  <c r="AW440" i="18"/>
  <c r="AW441" i="18"/>
  <c r="AW442" i="18"/>
  <c r="AW443" i="18"/>
  <c r="AW444" i="18"/>
  <c r="AW445" i="18"/>
  <c r="AW446" i="18"/>
  <c r="AW447" i="18"/>
  <c r="AW448" i="18"/>
  <c r="AW449" i="18"/>
  <c r="AW450" i="18"/>
  <c r="AW451" i="18"/>
  <c r="AW452" i="18"/>
  <c r="AW453" i="18"/>
  <c r="AW454" i="18"/>
  <c r="AW455" i="18"/>
  <c r="AW456" i="18"/>
  <c r="AW457" i="18"/>
  <c r="AW458" i="18"/>
  <c r="AW459" i="18"/>
  <c r="AW460" i="18"/>
  <c r="AW461" i="18"/>
  <c r="AW462" i="18"/>
  <c r="AW463" i="18"/>
  <c r="AW464" i="18"/>
  <c r="AW465" i="18"/>
  <c r="AW466" i="18"/>
  <c r="AW467" i="18"/>
  <c r="AW468" i="18"/>
  <c r="A7" i="7"/>
  <c r="AW7" i="7"/>
  <c r="A8" i="7"/>
  <c r="AW8" i="7"/>
  <c r="AW9" i="7"/>
  <c r="AW10" i="7"/>
  <c r="AW11" i="7"/>
  <c r="AW12" i="7"/>
  <c r="AW13" i="7"/>
  <c r="AW15" i="7"/>
  <c r="AW18" i="7"/>
  <c r="AW19" i="7"/>
  <c r="AW20" i="7"/>
  <c r="AW28" i="7"/>
  <c r="AW29" i="7"/>
  <c r="AW32" i="7"/>
  <c r="AW33" i="7"/>
  <c r="AW34" i="7"/>
  <c r="AW35" i="7"/>
  <c r="AW36" i="7"/>
  <c r="AW37" i="7"/>
  <c r="AW38" i="7"/>
  <c r="AW39" i="7"/>
  <c r="AW40" i="7"/>
  <c r="AW41" i="7"/>
  <c r="AW42" i="7"/>
  <c r="AW43" i="7"/>
  <c r="AW44" i="7"/>
  <c r="AW45" i="7"/>
  <c r="AW46" i="7"/>
  <c r="AW47" i="7"/>
  <c r="AW48" i="7"/>
  <c r="AW49" i="7"/>
  <c r="AW50" i="7"/>
  <c r="AW51" i="7"/>
  <c r="AW52" i="7"/>
  <c r="AW53" i="7"/>
  <c r="AW54" i="7"/>
  <c r="AW55" i="7"/>
  <c r="AW56" i="7"/>
  <c r="AW57" i="7"/>
  <c r="AW58" i="7"/>
  <c r="AW59" i="7"/>
  <c r="AW60" i="7"/>
  <c r="AW61" i="7"/>
  <c r="AW62" i="7"/>
  <c r="AW63" i="7"/>
  <c r="AW64" i="7"/>
  <c r="AW65" i="7"/>
  <c r="AW66" i="7"/>
  <c r="AW67" i="7"/>
  <c r="AW68" i="7"/>
  <c r="AW69" i="7"/>
  <c r="AW70" i="7"/>
  <c r="AW71" i="7"/>
  <c r="AW72" i="7"/>
  <c r="AW73" i="7"/>
  <c r="AW74" i="7"/>
  <c r="AW75" i="7"/>
  <c r="AW76" i="7"/>
  <c r="AW77" i="7"/>
  <c r="AW78" i="7"/>
  <c r="AW79" i="7"/>
  <c r="AW80" i="7"/>
  <c r="AW81" i="7"/>
  <c r="AW82" i="7"/>
  <c r="AW83" i="7"/>
  <c r="AW84" i="7"/>
  <c r="AW85" i="7"/>
  <c r="AW86" i="7"/>
  <c r="AW87" i="7"/>
  <c r="AW88" i="7"/>
  <c r="AW89" i="7"/>
  <c r="AW90" i="7"/>
  <c r="AW91" i="7"/>
  <c r="AW92" i="7"/>
  <c r="AW93" i="7"/>
  <c r="AW94" i="7"/>
  <c r="AW95" i="7"/>
  <c r="AW96" i="7"/>
  <c r="AW97" i="7"/>
  <c r="AW98" i="7"/>
  <c r="AW99" i="7"/>
  <c r="AW100" i="7"/>
  <c r="AW101" i="7"/>
  <c r="AW102" i="7"/>
  <c r="AW103" i="7"/>
  <c r="AW104" i="7"/>
  <c r="AW105" i="7"/>
  <c r="AW106" i="7"/>
  <c r="AW107" i="7"/>
  <c r="AW108" i="7"/>
  <c r="AW109" i="7"/>
  <c r="AW110" i="7"/>
  <c r="AW111" i="7"/>
  <c r="AW112" i="7"/>
  <c r="AW113" i="7"/>
  <c r="AW114" i="7"/>
  <c r="AW115" i="7"/>
  <c r="AW116" i="7"/>
  <c r="AW117" i="7"/>
  <c r="AW118" i="7"/>
  <c r="AW119" i="7"/>
  <c r="AW120" i="7"/>
  <c r="AW121" i="7"/>
  <c r="AW122" i="7"/>
  <c r="AW123" i="7"/>
  <c r="AW124" i="7"/>
  <c r="AW125" i="7"/>
  <c r="AW126" i="7"/>
  <c r="AW127" i="7"/>
  <c r="AW128" i="7"/>
  <c r="AW129" i="7"/>
  <c r="AW130" i="7"/>
  <c r="AW131" i="7"/>
  <c r="AW132" i="7"/>
  <c r="AW133" i="7"/>
  <c r="AW134" i="7"/>
  <c r="AW135" i="7"/>
  <c r="AW136" i="7"/>
  <c r="AW137" i="7"/>
  <c r="AW138" i="7"/>
  <c r="AW139" i="7"/>
  <c r="AW140" i="7"/>
  <c r="AW141" i="7"/>
  <c r="AW142" i="7"/>
  <c r="AW143" i="7"/>
  <c r="AW144" i="7"/>
  <c r="AW145" i="7"/>
  <c r="AW146" i="7"/>
  <c r="AW147" i="7"/>
  <c r="AW148" i="7"/>
  <c r="AW149" i="7"/>
  <c r="AW150" i="7"/>
  <c r="AW151" i="7"/>
  <c r="AW152" i="7"/>
  <c r="AW153" i="7"/>
  <c r="AW154" i="7"/>
  <c r="AW155" i="7"/>
  <c r="AW156" i="7"/>
  <c r="AW157" i="7"/>
  <c r="AW158" i="7"/>
  <c r="AW159" i="7"/>
  <c r="AW160" i="7"/>
  <c r="AW161" i="7"/>
  <c r="AW162" i="7"/>
  <c r="AW163" i="7"/>
  <c r="AW164" i="7"/>
  <c r="AW165" i="7"/>
  <c r="AW166" i="7"/>
  <c r="AW167" i="7"/>
  <c r="AW168" i="7"/>
  <c r="AW169" i="7"/>
  <c r="AW170" i="7"/>
  <c r="AW171" i="7"/>
  <c r="AW172" i="7"/>
  <c r="AW173" i="7"/>
  <c r="AW174" i="7"/>
  <c r="AW175" i="7"/>
  <c r="AW176" i="7"/>
  <c r="AW177" i="7"/>
  <c r="AW178" i="7"/>
  <c r="AW179" i="7"/>
  <c r="AW180" i="7"/>
  <c r="AW181" i="7"/>
  <c r="AW182" i="7"/>
  <c r="AW183" i="7"/>
  <c r="AW184" i="7"/>
  <c r="AW185" i="7"/>
  <c r="AW186" i="7"/>
  <c r="AW187" i="7"/>
  <c r="AW188" i="7"/>
  <c r="AW189" i="7"/>
  <c r="AW190" i="7"/>
  <c r="AW191" i="7"/>
  <c r="AW192" i="7"/>
  <c r="AW193" i="7"/>
  <c r="AW194" i="7"/>
  <c r="AW195" i="7"/>
  <c r="AW196" i="7"/>
  <c r="AW197" i="7"/>
  <c r="AW198" i="7"/>
  <c r="AW199" i="7"/>
  <c r="AW200" i="7"/>
  <c r="AW201" i="7"/>
  <c r="AW202" i="7"/>
  <c r="AW203" i="7"/>
  <c r="AW204" i="7"/>
  <c r="AW205" i="7"/>
  <c r="AW206" i="7"/>
  <c r="AW207" i="7"/>
  <c r="AW208" i="7"/>
  <c r="AW209" i="7"/>
  <c r="AW210" i="7"/>
  <c r="AW211" i="7"/>
  <c r="AW212" i="7"/>
  <c r="AW213" i="7"/>
  <c r="AW214" i="7"/>
  <c r="AW215" i="7"/>
  <c r="AW216" i="7"/>
  <c r="AW217" i="7"/>
  <c r="AW218" i="7"/>
  <c r="AW219" i="7"/>
  <c r="AW220" i="7"/>
  <c r="AW221" i="7"/>
  <c r="AW222" i="7"/>
  <c r="AW223" i="7"/>
  <c r="AW224" i="7"/>
  <c r="AW225" i="7"/>
  <c r="AW226" i="7"/>
  <c r="AW227" i="7"/>
  <c r="AW228" i="7"/>
  <c r="AW229" i="7"/>
  <c r="AW230" i="7"/>
  <c r="AW231" i="7"/>
  <c r="AW232" i="7"/>
  <c r="AW233" i="7"/>
  <c r="AW234" i="7"/>
  <c r="AW235" i="7"/>
  <c r="AW236" i="7"/>
  <c r="AW237" i="7"/>
  <c r="AW238" i="7"/>
  <c r="AW239" i="7"/>
  <c r="AW240" i="7"/>
  <c r="AW241" i="7"/>
  <c r="AW242" i="7"/>
  <c r="AW243" i="7"/>
  <c r="AW244" i="7"/>
  <c r="AW245" i="7"/>
  <c r="AW246" i="7"/>
  <c r="AW247" i="7"/>
  <c r="AW248" i="7"/>
  <c r="AW249" i="7"/>
  <c r="AW250" i="7"/>
  <c r="AW251" i="7"/>
  <c r="AW252" i="7"/>
  <c r="AW253" i="7"/>
  <c r="AW254" i="7"/>
  <c r="AW255" i="7"/>
  <c r="AW256" i="7"/>
  <c r="AW257" i="7"/>
  <c r="AW258" i="7"/>
  <c r="AW259" i="7"/>
  <c r="AW260" i="7"/>
  <c r="AW261" i="7"/>
  <c r="AW262" i="7"/>
  <c r="AW263" i="7"/>
  <c r="AW264" i="7"/>
  <c r="AW265" i="7"/>
  <c r="AW266" i="7"/>
  <c r="AW267" i="7"/>
  <c r="AW268" i="7"/>
  <c r="AW269" i="7"/>
  <c r="AW270" i="7"/>
  <c r="AW271" i="7"/>
  <c r="AW272" i="7"/>
  <c r="AW273" i="7"/>
  <c r="AW274" i="7"/>
  <c r="AW275" i="7"/>
  <c r="AW276" i="7"/>
  <c r="AW277" i="7"/>
  <c r="AW278" i="7"/>
  <c r="AW279" i="7"/>
  <c r="AW280" i="7"/>
  <c r="AW281" i="7"/>
  <c r="AW282" i="7"/>
  <c r="AW283" i="7"/>
  <c r="AW284" i="7"/>
  <c r="AW285" i="7"/>
  <c r="AW286" i="7"/>
  <c r="AW287" i="7"/>
  <c r="AW288" i="7"/>
  <c r="AW289" i="7"/>
  <c r="AW290" i="7"/>
  <c r="AW291" i="7"/>
  <c r="AW292" i="7"/>
  <c r="AW293" i="7"/>
  <c r="AW294" i="7"/>
  <c r="AW295" i="7"/>
  <c r="AW296" i="7"/>
  <c r="AW297" i="7"/>
  <c r="AW298" i="7"/>
  <c r="AW299" i="7"/>
  <c r="AW300" i="7"/>
  <c r="AW301" i="7"/>
  <c r="AW302" i="7"/>
  <c r="AW303" i="7"/>
  <c r="AW304" i="7"/>
  <c r="AW305" i="7"/>
  <c r="AW306" i="7"/>
  <c r="AW307" i="7"/>
  <c r="AW308" i="7"/>
  <c r="AW309" i="7"/>
  <c r="AW310" i="7"/>
  <c r="AW311" i="7"/>
  <c r="AW312" i="7"/>
  <c r="AW313" i="7"/>
  <c r="AW314" i="7"/>
  <c r="AW315" i="7"/>
  <c r="AW316" i="7"/>
  <c r="AW317" i="7"/>
  <c r="AW318" i="7"/>
  <c r="AW319" i="7"/>
  <c r="AW320" i="7"/>
  <c r="AW321" i="7"/>
  <c r="AW322" i="7"/>
  <c r="AW323" i="7"/>
  <c r="AW324" i="7"/>
  <c r="AW325" i="7"/>
  <c r="AW326" i="7"/>
  <c r="AW327" i="7"/>
  <c r="AW328" i="7"/>
  <c r="AW329" i="7"/>
  <c r="AW330" i="7"/>
  <c r="AW331" i="7"/>
  <c r="AW332" i="7"/>
  <c r="AW333" i="7"/>
  <c r="AW334" i="7"/>
  <c r="AW335" i="7"/>
  <c r="AW336" i="7"/>
  <c r="AW337" i="7"/>
  <c r="AW338" i="7"/>
  <c r="AW339" i="7"/>
  <c r="AW340" i="7"/>
  <c r="AW341" i="7"/>
  <c r="AW342" i="7"/>
  <c r="AW343" i="7"/>
  <c r="AW344" i="7"/>
  <c r="AW345" i="7"/>
  <c r="AW346" i="7"/>
  <c r="AW347" i="7"/>
  <c r="AW348" i="7"/>
  <c r="AW349" i="7"/>
  <c r="AW350" i="7"/>
  <c r="AW351" i="7"/>
  <c r="AW352" i="7"/>
  <c r="AW353" i="7"/>
  <c r="AW354" i="7"/>
  <c r="AW355" i="7"/>
  <c r="AW356" i="7"/>
  <c r="AW357" i="7"/>
  <c r="AW358" i="7"/>
  <c r="AW359" i="7"/>
  <c r="AW360" i="7"/>
  <c r="AW361" i="7"/>
  <c r="AW362" i="7"/>
  <c r="AW363" i="7"/>
  <c r="AW364" i="7"/>
  <c r="AW365" i="7"/>
  <c r="AW366" i="7"/>
  <c r="AW367" i="7"/>
  <c r="AW368" i="7"/>
  <c r="AW369" i="7"/>
  <c r="AW370" i="7"/>
  <c r="AW371" i="7"/>
  <c r="AW372" i="7"/>
  <c r="AW373" i="7"/>
  <c r="AW374" i="7"/>
  <c r="AW375" i="7"/>
  <c r="AW376" i="7"/>
  <c r="AW377" i="7"/>
  <c r="AW378" i="7"/>
  <c r="AW379" i="7"/>
  <c r="AW380" i="7"/>
  <c r="AW381" i="7"/>
  <c r="AW382" i="7"/>
  <c r="AW383" i="7"/>
  <c r="AW384" i="7"/>
  <c r="AW385" i="7"/>
  <c r="AW386" i="7"/>
  <c r="AW387" i="7"/>
  <c r="AW388" i="7"/>
  <c r="AW389" i="7"/>
  <c r="AW390" i="7"/>
  <c r="AW391" i="7"/>
  <c r="AW392" i="7"/>
  <c r="AW393" i="7"/>
  <c r="AW394" i="7"/>
  <c r="AW395" i="7"/>
  <c r="AW396" i="7"/>
  <c r="AW397" i="7"/>
  <c r="AW398" i="7"/>
  <c r="AW399" i="7"/>
  <c r="AW400" i="7"/>
  <c r="AW401" i="7"/>
  <c r="AW402" i="7"/>
  <c r="AW403" i="7"/>
  <c r="AW404" i="7"/>
  <c r="AW405" i="7"/>
  <c r="AW406" i="7"/>
  <c r="AW407" i="7"/>
  <c r="AW408" i="7"/>
  <c r="AW409" i="7"/>
  <c r="AW410" i="7"/>
  <c r="AW411" i="7"/>
  <c r="AW412" i="7"/>
  <c r="AW413" i="7"/>
  <c r="AW414" i="7"/>
  <c r="AW415" i="7"/>
  <c r="AW416" i="7"/>
  <c r="AW417" i="7"/>
  <c r="AW418" i="7"/>
  <c r="AW419" i="7"/>
  <c r="AW420" i="7"/>
  <c r="AW421" i="7"/>
  <c r="AW422" i="7"/>
  <c r="AW423" i="7"/>
  <c r="AW424" i="7"/>
  <c r="AW425" i="7"/>
  <c r="AW426" i="7"/>
  <c r="AW427" i="7"/>
  <c r="AW428" i="7"/>
  <c r="AW429" i="7"/>
  <c r="AW430" i="7"/>
  <c r="AW431" i="7"/>
  <c r="AW432" i="7"/>
  <c r="AW433" i="7"/>
  <c r="AW434" i="7"/>
  <c r="AW435" i="7"/>
  <c r="AW436" i="7"/>
  <c r="AW437" i="7"/>
  <c r="AW438" i="7"/>
  <c r="AW439" i="7"/>
  <c r="AW440" i="7"/>
  <c r="AW441" i="7"/>
  <c r="AW442" i="7"/>
  <c r="AW443" i="7"/>
  <c r="AW444" i="7"/>
  <c r="AW445" i="7"/>
  <c r="AW446" i="7"/>
  <c r="AW447" i="7"/>
  <c r="AW448" i="7"/>
  <c r="AW449" i="7"/>
  <c r="A7" i="6"/>
  <c r="AW7" i="6"/>
  <c r="A8" i="6"/>
  <c r="AW8" i="6"/>
  <c r="A9" i="6"/>
  <c r="AW9" i="6"/>
  <c r="A10" i="6"/>
  <c r="AW10" i="6"/>
  <c r="A12" i="6"/>
  <c r="AW12" i="6"/>
  <c r="AW14" i="6"/>
  <c r="AW15" i="6"/>
  <c r="AW16" i="6"/>
  <c r="AW18" i="6"/>
  <c r="AW19" i="6"/>
  <c r="AW25" i="6"/>
  <c r="AW26" i="6"/>
  <c r="AW27" i="6"/>
  <c r="AW28" i="6"/>
  <c r="AW29" i="6"/>
  <c r="AW30" i="6"/>
  <c r="AW31" i="6"/>
  <c r="AW32" i="6"/>
  <c r="AW33" i="6"/>
  <c r="AW34" i="6"/>
  <c r="AW36" i="6"/>
  <c r="AW37" i="6"/>
  <c r="AW43" i="6"/>
  <c r="AW135" i="6"/>
  <c r="AW136" i="6"/>
  <c r="AW137" i="6"/>
  <c r="AW139" i="6"/>
  <c r="AW140" i="6"/>
  <c r="AW147" i="6"/>
  <c r="AW148" i="6"/>
  <c r="AW149" i="6"/>
  <c r="AW150" i="6"/>
  <c r="AW151" i="6"/>
  <c r="AW152" i="6"/>
  <c r="AW153" i="6"/>
  <c r="AW154" i="6"/>
  <c r="AW155" i="6"/>
  <c r="AW156" i="6"/>
  <c r="AW157" i="6"/>
  <c r="AW158" i="6"/>
  <c r="AW159" i="6"/>
  <c r="AW160" i="6"/>
  <c r="AW161" i="6"/>
  <c r="AW162" i="6"/>
  <c r="AW163" i="6"/>
  <c r="AW164" i="6"/>
  <c r="AW165" i="6"/>
  <c r="AW166" i="6"/>
  <c r="AW167" i="6"/>
  <c r="AW168" i="6"/>
  <c r="AW169" i="6"/>
  <c r="AW170" i="6"/>
  <c r="AW171" i="6"/>
  <c r="AW172" i="6"/>
  <c r="AW173" i="6"/>
  <c r="AW174" i="6"/>
  <c r="AW175" i="6"/>
  <c r="AW176" i="6"/>
  <c r="AW177" i="6"/>
  <c r="AW178" i="6"/>
  <c r="AW179" i="6"/>
  <c r="AW180" i="6"/>
  <c r="AW181" i="6"/>
  <c r="AW182" i="6"/>
  <c r="AW183" i="6"/>
  <c r="AW184" i="6"/>
  <c r="AW185" i="6"/>
  <c r="AW186" i="6"/>
  <c r="AW187" i="6"/>
  <c r="AW188" i="6"/>
  <c r="AW189" i="6"/>
  <c r="AW190" i="6"/>
  <c r="AW191" i="6"/>
  <c r="AW192" i="6"/>
  <c r="AW193" i="6"/>
  <c r="AW194" i="6"/>
  <c r="AW195" i="6"/>
  <c r="AW196" i="6"/>
  <c r="AW197" i="6"/>
  <c r="AW198" i="6"/>
  <c r="AW199" i="6"/>
  <c r="AW200" i="6"/>
  <c r="AW201" i="6"/>
  <c r="AW202" i="6"/>
  <c r="AW203" i="6"/>
  <c r="AW204" i="6"/>
  <c r="AW205" i="6"/>
  <c r="AW206" i="6"/>
  <c r="AW207" i="6"/>
  <c r="AW208" i="6"/>
  <c r="AW209" i="6"/>
  <c r="AW210" i="6"/>
  <c r="AW211" i="6"/>
  <c r="AW212" i="6"/>
  <c r="AW213" i="6"/>
  <c r="AW214" i="6"/>
  <c r="AW215" i="6"/>
  <c r="AW216" i="6"/>
  <c r="AW217" i="6"/>
  <c r="AW218" i="6"/>
  <c r="AW219" i="6"/>
  <c r="AW220" i="6"/>
  <c r="AW221" i="6"/>
  <c r="AW222" i="6"/>
  <c r="AW223" i="6"/>
  <c r="AW224" i="6"/>
  <c r="AW225" i="6"/>
  <c r="AW226" i="6"/>
  <c r="AW227" i="6"/>
  <c r="AW228" i="6"/>
  <c r="AW229" i="6"/>
  <c r="AW230" i="6"/>
  <c r="AW231" i="6"/>
  <c r="AW232" i="6"/>
  <c r="AW233" i="6"/>
  <c r="AW234" i="6"/>
  <c r="AW235" i="6"/>
  <c r="AW236" i="6"/>
  <c r="AW237" i="6"/>
  <c r="AW238" i="6"/>
  <c r="AW239" i="6"/>
  <c r="AW240" i="6"/>
  <c r="AW241" i="6"/>
  <c r="AW242" i="6"/>
  <c r="AW243" i="6"/>
  <c r="AW244" i="6"/>
  <c r="AW245" i="6"/>
  <c r="AW246" i="6"/>
  <c r="AW247" i="6"/>
  <c r="AW248" i="6"/>
  <c r="AW249" i="6"/>
  <c r="AW250" i="6"/>
  <c r="AW251" i="6"/>
  <c r="AW252" i="6"/>
  <c r="AW253" i="6"/>
  <c r="AW254" i="6"/>
  <c r="AW255" i="6"/>
  <c r="AW256" i="6"/>
  <c r="AW257" i="6"/>
  <c r="AW258" i="6"/>
  <c r="AW259" i="6"/>
  <c r="AW260" i="6"/>
  <c r="AW261" i="6"/>
  <c r="AW262" i="6"/>
  <c r="AW263" i="6"/>
  <c r="AW264" i="6"/>
  <c r="AW265" i="6"/>
  <c r="AW266" i="6"/>
  <c r="AW267" i="6"/>
  <c r="AW268" i="6"/>
  <c r="AW269" i="6"/>
  <c r="AW270" i="6"/>
  <c r="AW271" i="6"/>
  <c r="AW272" i="6"/>
  <c r="AW273" i="6"/>
  <c r="AW274" i="6"/>
  <c r="AW275" i="6"/>
  <c r="AW276" i="6"/>
  <c r="AW277" i="6"/>
  <c r="AW278" i="6"/>
  <c r="AW279" i="6"/>
  <c r="AW280" i="6"/>
  <c r="AW281" i="6"/>
  <c r="AW282" i="6"/>
  <c r="AW283" i="6"/>
  <c r="AW284" i="6"/>
  <c r="AW285" i="6"/>
  <c r="AW286" i="6"/>
  <c r="AW287" i="6"/>
  <c r="AW288" i="6"/>
  <c r="AW289" i="6"/>
  <c r="AW290" i="6"/>
  <c r="AW291" i="6"/>
  <c r="AW292" i="6"/>
  <c r="AW293" i="6"/>
  <c r="AW294" i="6"/>
  <c r="AW295" i="6"/>
  <c r="AW296" i="6"/>
  <c r="AW297" i="6"/>
  <c r="AW298" i="6"/>
  <c r="AW299" i="6"/>
  <c r="AW300" i="6"/>
  <c r="AW301" i="6"/>
  <c r="AW302" i="6"/>
  <c r="AW303" i="6"/>
  <c r="AW304" i="6"/>
  <c r="AW305" i="6"/>
  <c r="AW306" i="6"/>
  <c r="AW307" i="6"/>
  <c r="AW308" i="6"/>
  <c r="AW309" i="6"/>
  <c r="AW310" i="6"/>
  <c r="AW311" i="6"/>
  <c r="AW312" i="6"/>
  <c r="AW313" i="6"/>
  <c r="AW314" i="6"/>
  <c r="AW315" i="6"/>
  <c r="AW316" i="6"/>
  <c r="AW317" i="6"/>
  <c r="AW318" i="6"/>
  <c r="AW319" i="6"/>
  <c r="AW320" i="6"/>
  <c r="AW321" i="6"/>
  <c r="AW322" i="6"/>
  <c r="AW323" i="6"/>
  <c r="AW324" i="6"/>
  <c r="AW325" i="6"/>
  <c r="AW326" i="6"/>
  <c r="AW327" i="6"/>
  <c r="AW328" i="6"/>
  <c r="AW329" i="6"/>
  <c r="AW330" i="6"/>
  <c r="AW331" i="6"/>
  <c r="AW332" i="6"/>
  <c r="AW333" i="6"/>
  <c r="AW334" i="6"/>
  <c r="AW335" i="6"/>
  <c r="AW336" i="6"/>
  <c r="AW337" i="6"/>
  <c r="AW338" i="6"/>
  <c r="AW339" i="6"/>
  <c r="AW340" i="6"/>
  <c r="AW341" i="6"/>
  <c r="AW342" i="6"/>
  <c r="AW343" i="6"/>
  <c r="AW344" i="6"/>
  <c r="AW345" i="6"/>
  <c r="AW346" i="6"/>
  <c r="AW347" i="6"/>
  <c r="AW348" i="6"/>
  <c r="AW349" i="6"/>
  <c r="AW350" i="6"/>
  <c r="AW351" i="6"/>
  <c r="AW352" i="6"/>
  <c r="AW353" i="6"/>
  <c r="AW354" i="6"/>
  <c r="AW355" i="6"/>
  <c r="AW356" i="6"/>
  <c r="AW357" i="6"/>
  <c r="AW358" i="6"/>
  <c r="AW359" i="6"/>
  <c r="AW360" i="6"/>
  <c r="AW361" i="6"/>
  <c r="AW362" i="6"/>
  <c r="AW363" i="6"/>
  <c r="AW364" i="6"/>
  <c r="AW365" i="6"/>
  <c r="AW366" i="6"/>
  <c r="AW367" i="6"/>
  <c r="AW368" i="6"/>
  <c r="AW369" i="6"/>
  <c r="AW370" i="6"/>
  <c r="AW371" i="6"/>
  <c r="AW372" i="6"/>
  <c r="AW373" i="6"/>
  <c r="AW374" i="6"/>
  <c r="AW375" i="6"/>
  <c r="AW376" i="6"/>
  <c r="AW377" i="6"/>
  <c r="AW378" i="6"/>
  <c r="AW379" i="6"/>
  <c r="AW380" i="6"/>
  <c r="AW381" i="6"/>
  <c r="AW382" i="6"/>
  <c r="AW383" i="6"/>
  <c r="AW384" i="6"/>
  <c r="AW385" i="6"/>
  <c r="AW386" i="6"/>
  <c r="AW387" i="6"/>
  <c r="AW388" i="6"/>
  <c r="AW389" i="6"/>
  <c r="AW390" i="6"/>
  <c r="AW391" i="6"/>
  <c r="AW392" i="6"/>
  <c r="AW393" i="6"/>
  <c r="AW394" i="6"/>
  <c r="AW395" i="6"/>
  <c r="AW396" i="6"/>
  <c r="AW397" i="6"/>
  <c r="AW398" i="6"/>
  <c r="AW399" i="6"/>
  <c r="AW400" i="6"/>
  <c r="AW401" i="6"/>
  <c r="AW402" i="6"/>
  <c r="AW403" i="6"/>
  <c r="AW404" i="6"/>
  <c r="AW405" i="6"/>
  <c r="AW406" i="6"/>
  <c r="AW407" i="6"/>
  <c r="AW408" i="6"/>
  <c r="AW409" i="6"/>
  <c r="AW410" i="6"/>
  <c r="AW411" i="6"/>
  <c r="AW412" i="6"/>
  <c r="AW413" i="6"/>
  <c r="AW414" i="6"/>
  <c r="AW415" i="6"/>
  <c r="AW416" i="6"/>
  <c r="AW417" i="6"/>
  <c r="AW418" i="6"/>
  <c r="AW419" i="6"/>
  <c r="AW420" i="6"/>
  <c r="AW421" i="6"/>
  <c r="AW422" i="6"/>
  <c r="AW423" i="6"/>
  <c r="AW424" i="6"/>
  <c r="AW425" i="6"/>
  <c r="AW426" i="6"/>
  <c r="AW427" i="6"/>
  <c r="AW428" i="6"/>
  <c r="AW429" i="6"/>
  <c r="AW430" i="6"/>
  <c r="AW431" i="6"/>
  <c r="AW432" i="6"/>
  <c r="AW433" i="6"/>
  <c r="AW434" i="6"/>
  <c r="AW435" i="6"/>
  <c r="AW436" i="6"/>
  <c r="AW437" i="6"/>
  <c r="AW438" i="6"/>
  <c r="AW439" i="6"/>
  <c r="AW440" i="6"/>
  <c r="AW441" i="6"/>
  <c r="AW442" i="6"/>
  <c r="AW443" i="6"/>
  <c r="AW444" i="6"/>
  <c r="AW445" i="6"/>
  <c r="AW446" i="6"/>
  <c r="AW447" i="6"/>
  <c r="AW448" i="6"/>
  <c r="AW449" i="6"/>
  <c r="AW450" i="6"/>
  <c r="AW451" i="6"/>
  <c r="AW452" i="6"/>
  <c r="AW453" i="6"/>
  <c r="AW454" i="6"/>
  <c r="AW455" i="6"/>
  <c r="AW456" i="6"/>
  <c r="AW457" i="6"/>
  <c r="AW458" i="6"/>
  <c r="AW459" i="6"/>
  <c r="AW460" i="6"/>
  <c r="AW461" i="6"/>
  <c r="AW462" i="6"/>
  <c r="AW463" i="6"/>
  <c r="AW464" i="6"/>
  <c r="AW465" i="6"/>
  <c r="AW466" i="6"/>
  <c r="AW467" i="6"/>
  <c r="AW468" i="6"/>
  <c r="AW469" i="6"/>
  <c r="AW470" i="6"/>
  <c r="AW471" i="6"/>
  <c r="AW472" i="6"/>
  <c r="AW473" i="6"/>
  <c r="AW474" i="6"/>
  <c r="AW475" i="6"/>
  <c r="AW476" i="6"/>
  <c r="A7" i="13"/>
  <c r="AW7" i="13"/>
  <c r="A8" i="13"/>
  <c r="AW8" i="13"/>
  <c r="A9" i="13"/>
  <c r="AW9" i="13"/>
  <c r="A10" i="13"/>
  <c r="AW10" i="13"/>
  <c r="A11" i="13"/>
  <c r="AW11" i="13"/>
  <c r="A12" i="13"/>
  <c r="AW12" i="13"/>
  <c r="A13" i="13"/>
  <c r="AW13" i="13"/>
  <c r="A15" i="13"/>
  <c r="AW15" i="13"/>
  <c r="A16" i="13"/>
  <c r="AW16" i="13"/>
  <c r="A17" i="13"/>
  <c r="AW17" i="13"/>
  <c r="A18" i="13"/>
  <c r="U17" i="13" s="1"/>
  <c r="AW18" i="13"/>
  <c r="A19" i="13"/>
  <c r="AW19" i="13"/>
  <c r="A20" i="13"/>
  <c r="AW20" i="13"/>
  <c r="A21" i="13"/>
  <c r="AW21" i="13"/>
  <c r="A22" i="13"/>
  <c r="AW22" i="13"/>
  <c r="A24" i="13"/>
  <c r="AW24" i="13"/>
  <c r="A26" i="13"/>
  <c r="AW26" i="13"/>
  <c r="A27" i="13"/>
  <c r="AW27" i="13"/>
  <c r="A28" i="13"/>
  <c r="AW28" i="13"/>
  <c r="A29" i="13"/>
  <c r="AW29" i="13"/>
  <c r="A30" i="13"/>
  <c r="AW30" i="13"/>
  <c r="A31" i="13"/>
  <c r="AW31" i="13"/>
  <c r="A32" i="13"/>
  <c r="AW32" i="13"/>
  <c r="A33" i="13"/>
  <c r="AW33" i="13"/>
  <c r="A37" i="13"/>
  <c r="AW37" i="13"/>
  <c r="A38" i="13"/>
  <c r="AW38" i="13"/>
  <c r="A39" i="13"/>
  <c r="AW39" i="13"/>
  <c r="A40" i="13"/>
  <c r="AW40" i="13"/>
  <c r="A41" i="13"/>
  <c r="AB41" i="13"/>
  <c r="AW41" i="13"/>
  <c r="A45" i="13"/>
  <c r="AW45" i="13"/>
  <c r="A46" i="13"/>
  <c r="AW46" i="13"/>
  <c r="A48" i="13"/>
  <c r="AW48" i="13"/>
  <c r="A50" i="13"/>
  <c r="AW50" i="13"/>
  <c r="A97" i="13"/>
  <c r="AW97" i="13"/>
  <c r="A98" i="13"/>
  <c r="AW98" i="13"/>
  <c r="A99" i="13"/>
  <c r="AW99" i="13"/>
  <c r="A100" i="13"/>
  <c r="AW100" i="13"/>
  <c r="A101" i="13"/>
  <c r="AW101" i="13"/>
  <c r="A102" i="13"/>
  <c r="AW102" i="13"/>
  <c r="AW105" i="13"/>
  <c r="AW106" i="13"/>
  <c r="AW107" i="13"/>
  <c r="AW108" i="13"/>
  <c r="AW109" i="13"/>
  <c r="AW110" i="13"/>
  <c r="AW111" i="13"/>
  <c r="AW112" i="13"/>
  <c r="AW113" i="13"/>
  <c r="AW114" i="13"/>
  <c r="AW115" i="13"/>
  <c r="AW116" i="13"/>
  <c r="AW117" i="13"/>
  <c r="AW118" i="13"/>
  <c r="AW119" i="13"/>
  <c r="AW120" i="13"/>
  <c r="AW121" i="13"/>
  <c r="AW122" i="13"/>
  <c r="AW123" i="13"/>
  <c r="AW124" i="13"/>
  <c r="AW125" i="13"/>
  <c r="AW126" i="13"/>
  <c r="AW127" i="13"/>
  <c r="AW128" i="13"/>
  <c r="AW129" i="13"/>
  <c r="AW130" i="13"/>
  <c r="AW131" i="13"/>
  <c r="AW132" i="13"/>
  <c r="AW133" i="13"/>
  <c r="AW134" i="13"/>
  <c r="AW135" i="13"/>
  <c r="AW136" i="13"/>
  <c r="AW137" i="13"/>
  <c r="AW138" i="13"/>
  <c r="AW139" i="13"/>
  <c r="AW140" i="13"/>
  <c r="AW141" i="13"/>
  <c r="AW142" i="13"/>
  <c r="AW143" i="13"/>
  <c r="AW144" i="13"/>
  <c r="AW145" i="13"/>
  <c r="AW146" i="13"/>
  <c r="AW147" i="13"/>
  <c r="AW148" i="13"/>
  <c r="AW149" i="13"/>
  <c r="AW150" i="13"/>
  <c r="AW151" i="13"/>
  <c r="AW152" i="13"/>
  <c r="AW153" i="13"/>
  <c r="AW154" i="13"/>
  <c r="AW155" i="13"/>
  <c r="AW156" i="13"/>
  <c r="AW157" i="13"/>
  <c r="AW158" i="13"/>
  <c r="AW159" i="13"/>
  <c r="AW160" i="13"/>
  <c r="AW161" i="13"/>
  <c r="AW162" i="13"/>
  <c r="AW163" i="13"/>
  <c r="AW164" i="13"/>
  <c r="AW165" i="13"/>
  <c r="AW166" i="13"/>
  <c r="AW167" i="13"/>
  <c r="AW168" i="13"/>
  <c r="AW169" i="13"/>
  <c r="AW170" i="13"/>
  <c r="AW171" i="13"/>
  <c r="AW172" i="13"/>
  <c r="AW173" i="13"/>
  <c r="AW174" i="13"/>
  <c r="AW175" i="13"/>
  <c r="AW176" i="13"/>
  <c r="AW177" i="13"/>
  <c r="AW178" i="13"/>
  <c r="AW179" i="13"/>
  <c r="AW180" i="13"/>
  <c r="AW181" i="13"/>
  <c r="AW182" i="13"/>
  <c r="AW183" i="13"/>
  <c r="AW184" i="13"/>
  <c r="AW185" i="13"/>
  <c r="AW186" i="13"/>
  <c r="AW187" i="13"/>
  <c r="AW188" i="13"/>
  <c r="AW189" i="13"/>
  <c r="AW190" i="13"/>
  <c r="AW191" i="13"/>
  <c r="AW192" i="13"/>
  <c r="AW193" i="13"/>
  <c r="AW194" i="13"/>
  <c r="AW195" i="13"/>
  <c r="AW196" i="13"/>
  <c r="AW197" i="13"/>
  <c r="AW198" i="13"/>
  <c r="AW199" i="13"/>
  <c r="AW200" i="13"/>
  <c r="AW201" i="13"/>
  <c r="AW202" i="13"/>
  <c r="AW203" i="13"/>
  <c r="AW204" i="13"/>
  <c r="AW205" i="13"/>
  <c r="AW206" i="13"/>
  <c r="AW207" i="13"/>
  <c r="AW208" i="13"/>
  <c r="AW209" i="13"/>
  <c r="AW210" i="13"/>
  <c r="AW211" i="13"/>
  <c r="AW212" i="13"/>
  <c r="AW213" i="13"/>
  <c r="AW214" i="13"/>
  <c r="AW215" i="13"/>
  <c r="AW216" i="13"/>
  <c r="AW217" i="13"/>
  <c r="AW218" i="13"/>
  <c r="AW219" i="13"/>
  <c r="AW220" i="13"/>
  <c r="AW221" i="13"/>
  <c r="AW222" i="13"/>
  <c r="AW223" i="13"/>
  <c r="AW224" i="13"/>
  <c r="AW225" i="13"/>
  <c r="AW226" i="13"/>
  <c r="AW227" i="13"/>
  <c r="AW228" i="13"/>
  <c r="AW229" i="13"/>
  <c r="AW230" i="13"/>
  <c r="AW231" i="13"/>
  <c r="AW232" i="13"/>
  <c r="AW233" i="13"/>
  <c r="AW234" i="13"/>
  <c r="AW235" i="13"/>
  <c r="AW236" i="13"/>
  <c r="AW237" i="13"/>
  <c r="AW238" i="13"/>
  <c r="AW239" i="13"/>
  <c r="AW240" i="13"/>
  <c r="AW241" i="13"/>
  <c r="AW242" i="13"/>
  <c r="AW243" i="13"/>
  <c r="AW244" i="13"/>
  <c r="AW245" i="13"/>
  <c r="AW246" i="13"/>
  <c r="AW247" i="13"/>
  <c r="AW248" i="13"/>
  <c r="AW249" i="13"/>
  <c r="AW250" i="13"/>
  <c r="AW251" i="13"/>
  <c r="AW252" i="13"/>
  <c r="AW253" i="13"/>
  <c r="AW254" i="13"/>
  <c r="AW255" i="13"/>
  <c r="AW256" i="13"/>
  <c r="AW257" i="13"/>
  <c r="AW258" i="13"/>
  <c r="AW259" i="13"/>
  <c r="AW260" i="13"/>
  <c r="AW261" i="13"/>
  <c r="AW262" i="13"/>
  <c r="AW263" i="13"/>
  <c r="AW264" i="13"/>
  <c r="AW265" i="13"/>
  <c r="AW266" i="13"/>
  <c r="AW267" i="13"/>
  <c r="AW268" i="13"/>
  <c r="AW269" i="13"/>
  <c r="AW270" i="13"/>
  <c r="AW271" i="13"/>
  <c r="AW272" i="13"/>
  <c r="AW273" i="13"/>
  <c r="AW274" i="13"/>
  <c r="AW275" i="13"/>
  <c r="AW276" i="13"/>
  <c r="AW277" i="13"/>
  <c r="AW278" i="13"/>
  <c r="AW279" i="13"/>
  <c r="AW280" i="13"/>
  <c r="AW281" i="13"/>
  <c r="AW282" i="13"/>
  <c r="AW283" i="13"/>
  <c r="AW284" i="13"/>
  <c r="AW285" i="13"/>
  <c r="AW286" i="13"/>
  <c r="AW287" i="13"/>
  <c r="AW288" i="13"/>
  <c r="AW289" i="13"/>
  <c r="AW290" i="13"/>
  <c r="AW291" i="13"/>
  <c r="AW292" i="13"/>
  <c r="AW293" i="13"/>
  <c r="AW294" i="13"/>
  <c r="AW295" i="13"/>
  <c r="AW296" i="13"/>
  <c r="AW297" i="13"/>
  <c r="AW298" i="13"/>
  <c r="AW299" i="13"/>
  <c r="AW300" i="13"/>
  <c r="AW301" i="13"/>
  <c r="AW302" i="13"/>
  <c r="AW303" i="13"/>
  <c r="AW304" i="13"/>
  <c r="AW305" i="13"/>
  <c r="AW306" i="13"/>
  <c r="AW307" i="13"/>
  <c r="AW308" i="13"/>
  <c r="AW309" i="13"/>
  <c r="AW310" i="13"/>
  <c r="AW311" i="13"/>
  <c r="AW312" i="13"/>
  <c r="AW313" i="13"/>
  <c r="AW314" i="13"/>
  <c r="AW315" i="13"/>
  <c r="AW316" i="13"/>
  <c r="AW317" i="13"/>
  <c r="AW318" i="13"/>
  <c r="AW319" i="13"/>
  <c r="AW320" i="13"/>
  <c r="AW321" i="13"/>
  <c r="AW322" i="13"/>
  <c r="AW323" i="13"/>
  <c r="AW324" i="13"/>
  <c r="AW325" i="13"/>
  <c r="AW326" i="13"/>
  <c r="AW327" i="13"/>
  <c r="AW328" i="13"/>
  <c r="AW329" i="13"/>
  <c r="AW330" i="13"/>
  <c r="AW331" i="13"/>
  <c r="AW332" i="13"/>
  <c r="AW333" i="13"/>
  <c r="AW334" i="13"/>
  <c r="AW335" i="13"/>
  <c r="AW336" i="13"/>
  <c r="AW337" i="13"/>
  <c r="AW338" i="13"/>
  <c r="AW339" i="13"/>
  <c r="AW340" i="13"/>
  <c r="AW341" i="13"/>
  <c r="AW342" i="13"/>
  <c r="AW343" i="13"/>
  <c r="AW344" i="13"/>
  <c r="AW345" i="13"/>
  <c r="AW346" i="13"/>
  <c r="AW347" i="13"/>
  <c r="AW348" i="13"/>
  <c r="AW349" i="13"/>
  <c r="AW350" i="13"/>
  <c r="AW351" i="13"/>
  <c r="AW352" i="13"/>
  <c r="AW353" i="13"/>
  <c r="AW354" i="13"/>
  <c r="AW355" i="13"/>
  <c r="AW356" i="13"/>
  <c r="AW357" i="13"/>
  <c r="AW358" i="13"/>
  <c r="AW359" i="13"/>
  <c r="AW360" i="13"/>
  <c r="AW361" i="13"/>
  <c r="AW362" i="13"/>
  <c r="AW363" i="13"/>
  <c r="AW364" i="13"/>
  <c r="AW365" i="13"/>
  <c r="AW366" i="13"/>
  <c r="AW367" i="13"/>
  <c r="AW368" i="13"/>
  <c r="AW369" i="13"/>
  <c r="AW370" i="13"/>
  <c r="AW371" i="13"/>
  <c r="AW372" i="13"/>
  <c r="AW373" i="13"/>
  <c r="AW374" i="13"/>
  <c r="AW375" i="13"/>
  <c r="AW376" i="13"/>
  <c r="AW377" i="13"/>
  <c r="AW378" i="13"/>
  <c r="AW379" i="13"/>
  <c r="AW380" i="13"/>
  <c r="AW381" i="13"/>
  <c r="AW382" i="13"/>
  <c r="AW383" i="13"/>
  <c r="AW384" i="13"/>
  <c r="AW385" i="13"/>
  <c r="AW386" i="13"/>
  <c r="AW387" i="13"/>
  <c r="AW388" i="13"/>
  <c r="AW389" i="13"/>
  <c r="AW390" i="13"/>
  <c r="AW391" i="13"/>
  <c r="AW392" i="13"/>
  <c r="AW393" i="13"/>
  <c r="AW394" i="13"/>
  <c r="AW395" i="13"/>
  <c r="AW396" i="13"/>
  <c r="AW397" i="13"/>
  <c r="AW398" i="13"/>
  <c r="AW399" i="13"/>
  <c r="AW400" i="13"/>
  <c r="AW401" i="13"/>
  <c r="AW402" i="13"/>
  <c r="AW403" i="13"/>
  <c r="AW404" i="13"/>
  <c r="AW405" i="13"/>
  <c r="AW406" i="13"/>
  <c r="AW407" i="13"/>
  <c r="AW408" i="13"/>
  <c r="AW409" i="13"/>
  <c r="AW410" i="13"/>
  <c r="AW411" i="13"/>
  <c r="AW412" i="13"/>
  <c r="AW413" i="13"/>
  <c r="AW414" i="13"/>
  <c r="AW415" i="13"/>
  <c r="AW416" i="13"/>
  <c r="AW417" i="13"/>
  <c r="AW418" i="13"/>
  <c r="AW419" i="13"/>
  <c r="AW420" i="13"/>
  <c r="AW421" i="13"/>
  <c r="AW422" i="13"/>
  <c r="AW423" i="13"/>
  <c r="AW424" i="13"/>
  <c r="AW425" i="13"/>
  <c r="AW426" i="13"/>
  <c r="AW427" i="13"/>
  <c r="AW428" i="13"/>
  <c r="AW429" i="13"/>
  <c r="AW430" i="13"/>
  <c r="AW431" i="13"/>
  <c r="AW432" i="13"/>
  <c r="AW433" i="13"/>
  <c r="AW434" i="13"/>
  <c r="AW435" i="13"/>
  <c r="AW436" i="13"/>
  <c r="AW437" i="13"/>
  <c r="AW438" i="13"/>
  <c r="AW439" i="13"/>
  <c r="AW440" i="13"/>
  <c r="AW441" i="13"/>
  <c r="AW442" i="13"/>
  <c r="AW443" i="13"/>
  <c r="AW444" i="13"/>
  <c r="AW445" i="13"/>
  <c r="AW446" i="13"/>
  <c r="AW447" i="13"/>
  <c r="AW448" i="13"/>
  <c r="AW449" i="13"/>
  <c r="AW450" i="13"/>
  <c r="AW451" i="13"/>
  <c r="AW452" i="13"/>
  <c r="AW453" i="13"/>
  <c r="AW454" i="13"/>
  <c r="AW455" i="13"/>
  <c r="AW456" i="13"/>
  <c r="AW457" i="13"/>
  <c r="AW458" i="13"/>
  <c r="AW459" i="13"/>
  <c r="AW460" i="13"/>
  <c r="AW461" i="13"/>
  <c r="AW462" i="13"/>
  <c r="AW463" i="13"/>
  <c r="AW464" i="13"/>
  <c r="AW465" i="13"/>
  <c r="AW466" i="13"/>
  <c r="AW467" i="13"/>
  <c r="AW468" i="13"/>
  <c r="AW469" i="13"/>
  <c r="AW470" i="13"/>
  <c r="AW471" i="13"/>
  <c r="AW472" i="13"/>
  <c r="AW473" i="13"/>
  <c r="AW474" i="13"/>
  <c r="AW475" i="13"/>
  <c r="AW476" i="13"/>
  <c r="AW477" i="13"/>
  <c r="AW478" i="13"/>
  <c r="AW479" i="13"/>
  <c r="AW480" i="13"/>
  <c r="AW481" i="13"/>
  <c r="AW482" i="13"/>
  <c r="AW483" i="13"/>
  <c r="AW484" i="13"/>
  <c r="A7" i="8"/>
  <c r="AW7" i="8"/>
  <c r="A8" i="8"/>
  <c r="AW8" i="8"/>
  <c r="A9" i="8"/>
  <c r="AW9" i="8"/>
  <c r="A10" i="8"/>
  <c r="AW10" i="8"/>
  <c r="AJ12" i="8"/>
  <c r="A12" i="8"/>
  <c r="AW12" i="8"/>
  <c r="A13" i="8"/>
  <c r="AW13" i="8"/>
  <c r="A14" i="8"/>
  <c r="AW14" i="8"/>
  <c r="A15" i="8"/>
  <c r="AW15" i="8"/>
  <c r="A16" i="8"/>
  <c r="AW16" i="8"/>
  <c r="A17" i="8"/>
  <c r="AW17" i="8"/>
  <c r="A19" i="8"/>
  <c r="AW19" i="8"/>
  <c r="A20" i="8"/>
  <c r="AW20" i="8"/>
  <c r="A21" i="8"/>
  <c r="AW21" i="8"/>
  <c r="A22" i="8"/>
  <c r="AW22" i="8"/>
  <c r="A23" i="8"/>
  <c r="AW23" i="8"/>
  <c r="A24" i="8"/>
  <c r="AW24" i="8"/>
  <c r="A26" i="8"/>
  <c r="AW26" i="8"/>
  <c r="AW27" i="8"/>
  <c r="A29" i="8"/>
  <c r="AW29" i="8"/>
  <c r="A30" i="8"/>
  <c r="AW30" i="8"/>
  <c r="AW31" i="8"/>
  <c r="A32" i="8"/>
  <c r="AW32" i="8"/>
  <c r="A33" i="8"/>
  <c r="AW33" i="8"/>
  <c r="A35" i="8"/>
  <c r="AW35" i="8"/>
  <c r="A37" i="8"/>
  <c r="AW37" i="8"/>
  <c r="A38" i="8"/>
  <c r="AW38" i="8"/>
  <c r="A39" i="8"/>
  <c r="AW39" i="8"/>
  <c r="A43" i="8"/>
  <c r="AW43" i="8"/>
  <c r="A44" i="8"/>
  <c r="AW44" i="8"/>
  <c r="A45" i="8"/>
  <c r="AW45" i="8"/>
  <c r="A113" i="8"/>
  <c r="AW113" i="8"/>
  <c r="A114" i="8"/>
  <c r="AW114" i="8"/>
  <c r="A115" i="8"/>
  <c r="AW115" i="8"/>
  <c r="AW116" i="8"/>
  <c r="AW117" i="8"/>
  <c r="AW118" i="8"/>
  <c r="AW119" i="8"/>
  <c r="AW120" i="8"/>
  <c r="AW121" i="8"/>
  <c r="AW122" i="8"/>
  <c r="AW123" i="8"/>
  <c r="AW124" i="8"/>
  <c r="AW125" i="8"/>
  <c r="AW126" i="8"/>
  <c r="AW127" i="8"/>
  <c r="AW128" i="8"/>
  <c r="AW129" i="8"/>
  <c r="AW130" i="8"/>
  <c r="AW131" i="8"/>
  <c r="AW132" i="8"/>
  <c r="AW133" i="8"/>
  <c r="AW134" i="8"/>
  <c r="AW135" i="8"/>
  <c r="AW136" i="8"/>
  <c r="AW137" i="8"/>
  <c r="AW138" i="8"/>
  <c r="AW139" i="8"/>
  <c r="AW140" i="8"/>
  <c r="AW141" i="8"/>
  <c r="AW142" i="8"/>
  <c r="AW143" i="8"/>
  <c r="AW144" i="8"/>
  <c r="AW145" i="8"/>
  <c r="AW146" i="8"/>
  <c r="AW147" i="8"/>
  <c r="AW148" i="8"/>
  <c r="AW149" i="8"/>
  <c r="AW150" i="8"/>
  <c r="AW151" i="8"/>
  <c r="AW152" i="8"/>
  <c r="AW153" i="8"/>
  <c r="AW154" i="8"/>
  <c r="AW155" i="8"/>
  <c r="AW156" i="8"/>
  <c r="AW157" i="8"/>
  <c r="AW158" i="8"/>
  <c r="AW159" i="8"/>
  <c r="AW160" i="8"/>
  <c r="AW161" i="8"/>
  <c r="AW162" i="8"/>
  <c r="AW163" i="8"/>
  <c r="AW164" i="8"/>
  <c r="AW165" i="8"/>
  <c r="AW166" i="8"/>
  <c r="AW167" i="8"/>
  <c r="AW168" i="8"/>
  <c r="AW169" i="8"/>
  <c r="AW170" i="8"/>
  <c r="AW171" i="8"/>
  <c r="AW172" i="8"/>
  <c r="AW173" i="8"/>
  <c r="AW174" i="8"/>
  <c r="AW175" i="8"/>
  <c r="AW176" i="8"/>
  <c r="AW177" i="8"/>
  <c r="AW178" i="8"/>
  <c r="AW179" i="8"/>
  <c r="AW180" i="8"/>
  <c r="AW181" i="8"/>
  <c r="AW182" i="8"/>
  <c r="AW183" i="8"/>
  <c r="AW184" i="8"/>
  <c r="AW185" i="8"/>
  <c r="AW186" i="8"/>
  <c r="AW187" i="8"/>
  <c r="AW188" i="8"/>
  <c r="AW189" i="8"/>
  <c r="AW190" i="8"/>
  <c r="AW191" i="8"/>
  <c r="AW192" i="8"/>
  <c r="AW193" i="8"/>
  <c r="AW194" i="8"/>
  <c r="AW195" i="8"/>
  <c r="AW196" i="8"/>
  <c r="AW197" i="8"/>
  <c r="AW198" i="8"/>
  <c r="AW199" i="8"/>
  <c r="AW200" i="8"/>
  <c r="AW201" i="8"/>
  <c r="AW202" i="8"/>
  <c r="AW203" i="8"/>
  <c r="AW204" i="8"/>
  <c r="AW205" i="8"/>
  <c r="AW206" i="8"/>
  <c r="AW207" i="8"/>
  <c r="AW208" i="8"/>
  <c r="AW209" i="8"/>
  <c r="AW210" i="8"/>
  <c r="AW211" i="8"/>
  <c r="AW212" i="8"/>
  <c r="AW213" i="8"/>
  <c r="AW214" i="8"/>
  <c r="AW215" i="8"/>
  <c r="AW216" i="8"/>
  <c r="AW217" i="8"/>
  <c r="AW218" i="8"/>
  <c r="AW219" i="8"/>
  <c r="AW220" i="8"/>
  <c r="AW221" i="8"/>
  <c r="AW222" i="8"/>
  <c r="AW223" i="8"/>
  <c r="AW224" i="8"/>
  <c r="AW225" i="8"/>
  <c r="AW226" i="8"/>
  <c r="AW227" i="8"/>
  <c r="AW228" i="8"/>
  <c r="AW229" i="8"/>
  <c r="AW230" i="8"/>
  <c r="AW231" i="8"/>
  <c r="AW232" i="8"/>
  <c r="AW233" i="8"/>
  <c r="AW234" i="8"/>
  <c r="AW235" i="8"/>
  <c r="AW236" i="8"/>
  <c r="AW237" i="8"/>
  <c r="AW238" i="8"/>
  <c r="AW239" i="8"/>
  <c r="AW240" i="8"/>
  <c r="AW241" i="8"/>
  <c r="AW242" i="8"/>
  <c r="AW243" i="8"/>
  <c r="AW244" i="8"/>
  <c r="AW245" i="8"/>
  <c r="AW246" i="8"/>
  <c r="AW247" i="8"/>
  <c r="AW248" i="8"/>
  <c r="AW249" i="8"/>
  <c r="AW250" i="8"/>
  <c r="AW251" i="8"/>
  <c r="AW252" i="8"/>
  <c r="AW253" i="8"/>
  <c r="AW254" i="8"/>
  <c r="AW255" i="8"/>
  <c r="AW256" i="8"/>
  <c r="AW257" i="8"/>
  <c r="AW258" i="8"/>
  <c r="AW259" i="8"/>
  <c r="AW260" i="8"/>
  <c r="AW261" i="8"/>
  <c r="AW262" i="8"/>
  <c r="AW263" i="8"/>
  <c r="AW264" i="8"/>
  <c r="AW265" i="8"/>
  <c r="AW266" i="8"/>
  <c r="AW267" i="8"/>
  <c r="AW268" i="8"/>
  <c r="AW269" i="8"/>
  <c r="AW270" i="8"/>
  <c r="AW271" i="8"/>
  <c r="AW272" i="8"/>
  <c r="AW273" i="8"/>
  <c r="AW274" i="8"/>
  <c r="AW275" i="8"/>
  <c r="AW276" i="8"/>
  <c r="AW277" i="8"/>
  <c r="AW278" i="8"/>
  <c r="AW279" i="8"/>
  <c r="AW280" i="8"/>
  <c r="AW281" i="8"/>
  <c r="AW282" i="8"/>
  <c r="AW283" i="8"/>
  <c r="AW284" i="8"/>
  <c r="AW285" i="8"/>
  <c r="AW286" i="8"/>
  <c r="AW287" i="8"/>
  <c r="AW288" i="8"/>
  <c r="AW289" i="8"/>
  <c r="AW290" i="8"/>
  <c r="AW291" i="8"/>
  <c r="AW292" i="8"/>
  <c r="AW293" i="8"/>
  <c r="AW294" i="8"/>
  <c r="AW295" i="8"/>
  <c r="AW296" i="8"/>
  <c r="AW297" i="8"/>
  <c r="AW298" i="8"/>
  <c r="AW299" i="8"/>
  <c r="AW300" i="8"/>
  <c r="AW301" i="8"/>
  <c r="AW302" i="8"/>
  <c r="AW303" i="8"/>
  <c r="AW304" i="8"/>
  <c r="AW305" i="8"/>
  <c r="AW306" i="8"/>
  <c r="AW307" i="8"/>
  <c r="AW308" i="8"/>
  <c r="AW309" i="8"/>
  <c r="AW310" i="8"/>
  <c r="AW311" i="8"/>
  <c r="AW312" i="8"/>
  <c r="AW313" i="8"/>
  <c r="AW314" i="8"/>
  <c r="AW315" i="8"/>
  <c r="AW316" i="8"/>
  <c r="AW317" i="8"/>
  <c r="AW318" i="8"/>
  <c r="AW319" i="8"/>
  <c r="AW320" i="8"/>
  <c r="AW321" i="8"/>
  <c r="AW322" i="8"/>
  <c r="AW323" i="8"/>
  <c r="AW324" i="8"/>
  <c r="AW325" i="8"/>
  <c r="AW326" i="8"/>
  <c r="AW327" i="8"/>
  <c r="AW328" i="8"/>
  <c r="AW329" i="8"/>
  <c r="AW330" i="8"/>
  <c r="AW331" i="8"/>
  <c r="AW332" i="8"/>
  <c r="AW333" i="8"/>
  <c r="AW334" i="8"/>
  <c r="AW335" i="8"/>
  <c r="AW336" i="8"/>
  <c r="AW337" i="8"/>
  <c r="AW338" i="8"/>
  <c r="AW339" i="8"/>
  <c r="AW340" i="8"/>
  <c r="AW341" i="8"/>
  <c r="AW342" i="8"/>
  <c r="AW343" i="8"/>
  <c r="AW344" i="8"/>
  <c r="AW345" i="8"/>
  <c r="AW346" i="8"/>
  <c r="AW347" i="8"/>
  <c r="AW348" i="8"/>
  <c r="AW349" i="8"/>
  <c r="AW350" i="8"/>
  <c r="AW351" i="8"/>
  <c r="AW352" i="8"/>
  <c r="AW353" i="8"/>
  <c r="AW354" i="8"/>
  <c r="AW355" i="8"/>
  <c r="AW356" i="8"/>
  <c r="AW357" i="8"/>
  <c r="AW358" i="8"/>
  <c r="AW359" i="8"/>
  <c r="AW360" i="8"/>
  <c r="AW361" i="8"/>
  <c r="AW362" i="8"/>
  <c r="AW363" i="8"/>
  <c r="AW364" i="8"/>
  <c r="AW365" i="8"/>
  <c r="AW366" i="8"/>
  <c r="AW367" i="8"/>
  <c r="AW368" i="8"/>
  <c r="AW369" i="8"/>
  <c r="AW370" i="8"/>
  <c r="AW371" i="8"/>
  <c r="AW372" i="8"/>
  <c r="AW373" i="8"/>
  <c r="AW374" i="8"/>
  <c r="AW375" i="8"/>
  <c r="AW376" i="8"/>
  <c r="AW377" i="8"/>
  <c r="AW378" i="8"/>
  <c r="AW379" i="8"/>
  <c r="AW380" i="8"/>
  <c r="AW381" i="8"/>
  <c r="AW382" i="8"/>
  <c r="AW383" i="8"/>
  <c r="AW384" i="8"/>
  <c r="AW385" i="8"/>
  <c r="AW386" i="8"/>
  <c r="AW387" i="8"/>
  <c r="AW388" i="8"/>
  <c r="AW389" i="8"/>
  <c r="AW390" i="8"/>
  <c r="AW391" i="8"/>
  <c r="AW392" i="8"/>
  <c r="AW393" i="8"/>
  <c r="AW394" i="8"/>
  <c r="AW395" i="8"/>
  <c r="AW396" i="8"/>
  <c r="AW397" i="8"/>
  <c r="AW398" i="8"/>
  <c r="AW399" i="8"/>
  <c r="AW400" i="8"/>
  <c r="AW401" i="8"/>
  <c r="AW402" i="8"/>
  <c r="AW403" i="8"/>
  <c r="AW404" i="8"/>
  <c r="AW405" i="8"/>
  <c r="AW406" i="8"/>
  <c r="AW407" i="8"/>
  <c r="AW408" i="8"/>
  <c r="AW409" i="8"/>
  <c r="AW410" i="8"/>
  <c r="AW411" i="8"/>
  <c r="AW412" i="8"/>
  <c r="AW413" i="8"/>
  <c r="AW414" i="8"/>
  <c r="AW415" i="8"/>
  <c r="AW416" i="8"/>
  <c r="AW417" i="8"/>
  <c r="AW418" i="8"/>
  <c r="AW419" i="8"/>
  <c r="AW420" i="8"/>
  <c r="AW421" i="8"/>
  <c r="AW422" i="8"/>
  <c r="AW423" i="8"/>
  <c r="AW424" i="8"/>
  <c r="AW425" i="8"/>
  <c r="AW426" i="8"/>
  <c r="AW427" i="8"/>
  <c r="AW428" i="8"/>
  <c r="AW429" i="8"/>
  <c r="AW430" i="8"/>
  <c r="AW431" i="8"/>
  <c r="AW432" i="8"/>
  <c r="AW433" i="8"/>
  <c r="AW434" i="8"/>
  <c r="AW435" i="8"/>
  <c r="AW436" i="8"/>
  <c r="AW437" i="8"/>
  <c r="AW438" i="8"/>
  <c r="AW439" i="8"/>
  <c r="AW440" i="8"/>
  <c r="AW441" i="8"/>
  <c r="AW442" i="8"/>
  <c r="AW443" i="8"/>
  <c r="AW444" i="8"/>
  <c r="AW445" i="8"/>
  <c r="AW446" i="8"/>
  <c r="AW447" i="8"/>
  <c r="AW448" i="8"/>
  <c r="AW449" i="8"/>
  <c r="AW450" i="8"/>
  <c r="AW451" i="8"/>
  <c r="AW452" i="8"/>
  <c r="AW453" i="8"/>
  <c r="AW454" i="8"/>
  <c r="AW455" i="8"/>
  <c r="AW456" i="8"/>
  <c r="AW457" i="8"/>
  <c r="AW458" i="8"/>
  <c r="AW459" i="8"/>
  <c r="AW460" i="8"/>
  <c r="AW461" i="8"/>
  <c r="AW462" i="8"/>
  <c r="AW463" i="8"/>
  <c r="AW464" i="8"/>
  <c r="AW465" i="8"/>
  <c r="AW466" i="8"/>
  <c r="AW467" i="8"/>
  <c r="AW468" i="8"/>
  <c r="AW469" i="8"/>
  <c r="AW470" i="8"/>
  <c r="AW471" i="8"/>
  <c r="AW472" i="8"/>
  <c r="AW473" i="8"/>
  <c r="AW474" i="8"/>
  <c r="AW475" i="8"/>
  <c r="AW476" i="8"/>
  <c r="AW477" i="8"/>
  <c r="AW478" i="8"/>
  <c r="AW479" i="8"/>
  <c r="AW480" i="8"/>
  <c r="AW481" i="8"/>
  <c r="AW482" i="8"/>
  <c r="AW483" i="8"/>
  <c r="AW484" i="8"/>
  <c r="AW485" i="8"/>
  <c r="AW486" i="8"/>
  <c r="AW487" i="8"/>
  <c r="AW488" i="8"/>
  <c r="AW489" i="8"/>
  <c r="AW490" i="8"/>
  <c r="AW491" i="8"/>
  <c r="AW492" i="8"/>
  <c r="AW493" i="8"/>
  <c r="AW494" i="8"/>
  <c r="A7" i="5"/>
  <c r="A8" i="5"/>
  <c r="AJ45" i="5"/>
  <c r="AJ71" i="5"/>
  <c r="AJ77" i="5"/>
  <c r="AJ110" i="5"/>
  <c r="A7" i="4"/>
  <c r="AW7" i="4"/>
  <c r="A8" i="4"/>
  <c r="AW8" i="4"/>
  <c r="A9" i="4"/>
  <c r="AW9" i="4"/>
  <c r="A10" i="4"/>
  <c r="AW10" i="4"/>
  <c r="A11" i="4"/>
  <c r="AW11" i="4"/>
  <c r="A13" i="4"/>
  <c r="AW13" i="4"/>
  <c r="A14" i="4"/>
  <c r="AW14" i="4"/>
  <c r="A15" i="4"/>
  <c r="AW15" i="4"/>
  <c r="A16" i="4"/>
  <c r="AW16" i="4"/>
  <c r="AW17" i="4"/>
  <c r="AW18" i="4"/>
  <c r="AW19" i="4"/>
  <c r="AW20" i="4"/>
  <c r="AW21" i="4"/>
  <c r="AW22" i="4"/>
  <c r="AW23" i="4"/>
  <c r="AW24" i="4"/>
  <c r="AW25" i="4"/>
  <c r="AW26" i="4"/>
  <c r="AW27" i="4"/>
  <c r="AW28" i="4"/>
  <c r="AW29" i="4"/>
  <c r="AW32" i="4"/>
  <c r="AW33" i="4"/>
  <c r="AW34" i="4"/>
  <c r="AW35" i="4"/>
  <c r="AW36" i="4"/>
  <c r="AW37" i="4"/>
  <c r="AW38" i="4"/>
  <c r="AW39" i="4"/>
  <c r="AW40" i="4"/>
  <c r="AW42" i="4"/>
  <c r="AW44" i="4"/>
  <c r="AW46" i="4"/>
  <c r="AW47" i="4"/>
  <c r="AW48" i="4"/>
  <c r="AW49" i="4"/>
  <c r="AW50" i="4"/>
  <c r="AW51" i="4"/>
  <c r="AW52" i="4"/>
  <c r="AW53" i="4"/>
  <c r="AW54" i="4"/>
  <c r="AW55" i="4"/>
  <c r="AW56" i="4"/>
  <c r="AW57" i="4"/>
  <c r="AW58" i="4"/>
  <c r="AW59" i="4"/>
  <c r="AW60" i="4"/>
  <c r="AW61" i="4"/>
  <c r="AW62" i="4"/>
  <c r="AW63" i="4"/>
  <c r="AW64" i="4"/>
  <c r="AW65" i="4"/>
  <c r="AW66" i="4"/>
  <c r="AW67" i="4"/>
  <c r="AW68" i="4"/>
  <c r="AW69" i="4"/>
  <c r="AW70" i="4"/>
  <c r="AW71" i="4"/>
  <c r="AW72" i="4"/>
  <c r="AW73" i="4"/>
  <c r="AW74" i="4"/>
  <c r="AW75" i="4"/>
  <c r="AW76" i="4"/>
  <c r="AW77" i="4"/>
  <c r="AW78" i="4"/>
  <c r="AW79" i="4"/>
  <c r="AW80" i="4"/>
  <c r="AW81" i="4"/>
  <c r="AW82" i="4"/>
  <c r="AW83" i="4"/>
  <c r="AW84" i="4"/>
  <c r="AW85" i="4"/>
  <c r="AW86" i="4"/>
  <c r="AW91" i="4"/>
  <c r="AW93" i="4"/>
  <c r="AW94" i="4"/>
  <c r="AW96" i="4"/>
  <c r="AW97" i="4"/>
  <c r="AW99" i="4"/>
  <c r="AW101" i="4"/>
  <c r="AW104" i="4"/>
  <c r="AW105" i="4"/>
  <c r="AW106" i="4"/>
  <c r="AW107" i="4"/>
  <c r="AW108" i="4"/>
  <c r="AW109" i="4"/>
  <c r="AW113" i="4"/>
  <c r="AW114" i="4"/>
  <c r="AW115" i="4"/>
  <c r="AW116" i="4"/>
  <c r="AW117" i="4"/>
  <c r="AW118" i="4"/>
  <c r="AW119" i="4"/>
  <c r="AW120" i="4"/>
  <c r="AW122" i="4"/>
  <c r="AW123" i="4"/>
  <c r="AW124" i="4"/>
  <c r="AW125" i="4"/>
  <c r="AW126" i="4"/>
  <c r="AW128" i="4"/>
  <c r="AW130" i="4"/>
  <c r="AW382" i="4"/>
  <c r="AW383" i="4"/>
  <c r="AW384" i="4"/>
  <c r="AW385" i="4"/>
  <c r="AW386" i="4"/>
  <c r="AW387" i="4"/>
  <c r="AW388" i="4"/>
  <c r="AW389" i="4"/>
  <c r="AW390" i="4"/>
  <c r="AW391" i="4"/>
  <c r="AW392" i="4"/>
  <c r="AW393" i="4"/>
  <c r="AW415" i="4"/>
  <c r="AW416" i="4"/>
  <c r="AW417" i="4"/>
  <c r="AW418" i="4"/>
  <c r="AW419" i="4"/>
  <c r="AW420" i="4"/>
  <c r="AW421" i="4"/>
  <c r="AW422" i="4"/>
  <c r="AW423" i="4"/>
  <c r="AW424" i="4"/>
  <c r="AW425" i="4"/>
  <c r="AW426" i="4"/>
  <c r="AW427" i="4"/>
  <c r="AW428" i="4"/>
  <c r="AW429" i="4"/>
  <c r="AW430" i="4"/>
  <c r="AW431" i="4"/>
  <c r="AW432" i="4"/>
  <c r="AW433" i="4"/>
  <c r="AW434" i="4"/>
  <c r="AW435" i="4"/>
  <c r="AW436" i="4"/>
  <c r="AW437" i="4"/>
  <c r="AW438" i="4"/>
  <c r="AW439" i="4"/>
  <c r="AW440" i="4"/>
  <c r="AW441" i="4"/>
  <c r="AW442" i="4"/>
  <c r="AW443" i="4"/>
  <c r="AW444" i="4"/>
  <c r="AW445" i="4"/>
  <c r="AW446" i="4"/>
  <c r="AW447" i="4"/>
  <c r="AW448" i="4"/>
  <c r="AW449" i="4"/>
  <c r="AW450" i="4"/>
  <c r="AW451" i="4"/>
  <c r="AW452" i="4"/>
  <c r="AW453" i="4"/>
  <c r="AW454" i="4"/>
  <c r="AW455" i="4"/>
  <c r="AW456" i="4"/>
  <c r="AW457" i="4"/>
  <c r="AW458" i="4"/>
  <c r="AW459" i="4"/>
  <c r="AW460" i="4"/>
  <c r="AW461" i="4"/>
  <c r="AW462" i="4"/>
  <c r="AW463" i="4"/>
  <c r="AW464" i="4"/>
  <c r="AW465" i="4"/>
  <c r="AW466" i="4"/>
  <c r="AW467" i="4"/>
  <c r="AW468" i="4"/>
  <c r="AW469" i="4"/>
  <c r="AW470" i="4"/>
  <c r="AW471" i="4"/>
  <c r="AW472" i="4"/>
  <c r="AW473" i="4"/>
  <c r="AW474" i="4"/>
  <c r="AW475" i="4"/>
  <c r="AW476" i="4"/>
  <c r="AW477" i="4"/>
  <c r="AW478" i="4"/>
  <c r="AW479" i="4"/>
  <c r="AW480" i="4"/>
  <c r="AW481" i="4"/>
  <c r="AW482" i="4"/>
  <c r="AW483" i="4"/>
  <c r="AW484" i="4"/>
  <c r="AW485" i="4"/>
  <c r="AW486" i="4"/>
  <c r="AW487" i="4"/>
  <c r="AW488" i="4"/>
  <c r="AW489" i="4"/>
  <c r="AW490" i="4"/>
  <c r="AW491" i="4"/>
  <c r="AW492" i="4"/>
  <c r="AW493" i="4"/>
  <c r="AW494" i="4"/>
  <c r="AW495" i="4"/>
  <c r="AW496" i="4"/>
  <c r="AW497" i="4"/>
  <c r="AW498" i="4"/>
  <c r="AW499" i="4"/>
  <c r="AW500" i="4"/>
  <c r="AW501" i="4"/>
  <c r="AW502" i="4"/>
  <c r="AW503" i="4"/>
  <c r="AW504" i="4"/>
  <c r="AW505" i="4"/>
  <c r="AW506" i="4"/>
  <c r="AW507" i="4"/>
  <c r="AW508" i="4"/>
  <c r="AW509" i="4"/>
  <c r="AW510" i="4"/>
  <c r="AW511" i="4"/>
  <c r="AW512" i="4"/>
  <c r="AW513" i="4"/>
  <c r="AW514" i="4"/>
  <c r="AW515" i="4"/>
  <c r="AW516" i="4"/>
  <c r="AW517" i="4"/>
  <c r="AW518" i="4"/>
  <c r="AW519" i="4"/>
  <c r="AW520" i="4"/>
  <c r="AW521" i="4"/>
  <c r="AW522" i="4"/>
  <c r="AW523" i="4"/>
  <c r="AW524" i="4"/>
  <c r="AW525" i="4"/>
  <c r="AW526" i="4"/>
  <c r="AW527" i="4"/>
  <c r="AW528" i="4"/>
  <c r="AW529" i="4"/>
  <c r="AW530" i="4"/>
  <c r="AW531" i="4"/>
  <c r="AW532" i="4"/>
  <c r="AW533" i="4"/>
  <c r="AW534" i="4"/>
  <c r="AW535" i="4"/>
  <c r="AW536" i="4"/>
  <c r="AW537" i="4"/>
  <c r="AW538" i="4"/>
  <c r="AW539" i="4"/>
  <c r="AW540" i="4"/>
  <c r="AW541" i="4"/>
  <c r="AW542" i="4"/>
  <c r="AW543" i="4"/>
  <c r="AW544" i="4"/>
  <c r="AW545" i="4"/>
  <c r="AW546" i="4"/>
  <c r="AW547" i="4"/>
  <c r="AW548" i="4"/>
  <c r="AW549" i="4"/>
  <c r="AW550" i="4"/>
  <c r="AW551" i="4"/>
  <c r="AW552" i="4"/>
  <c r="AW553" i="4"/>
  <c r="AW554" i="4"/>
  <c r="AW555" i="4"/>
  <c r="AW556" i="4"/>
  <c r="AW557" i="4"/>
  <c r="AW558" i="4"/>
  <c r="AW559" i="4"/>
  <c r="AW560" i="4"/>
  <c r="AW561" i="4"/>
  <c r="AW562" i="4"/>
  <c r="AW563" i="4"/>
  <c r="AW564" i="4"/>
  <c r="AW565" i="4"/>
  <c r="AW566" i="4"/>
  <c r="AW567" i="4"/>
  <c r="AW568" i="4"/>
  <c r="AW569" i="4"/>
  <c r="AW570" i="4"/>
  <c r="AW571" i="4"/>
  <c r="AW572" i="4"/>
  <c r="AW573" i="4"/>
  <c r="AW574" i="4"/>
  <c r="AW575" i="4"/>
  <c r="AW576" i="4"/>
  <c r="AW577" i="4"/>
  <c r="AW578" i="4"/>
  <c r="AW579" i="4"/>
  <c r="AW580" i="4"/>
  <c r="AW581" i="4"/>
  <c r="AW582" i="4"/>
  <c r="AW583" i="4"/>
  <c r="AW584" i="4"/>
  <c r="AW585" i="4"/>
  <c r="AW586" i="4"/>
  <c r="AW587" i="4"/>
  <c r="AW588" i="4"/>
  <c r="AW589" i="4"/>
  <c r="AW590" i="4"/>
  <c r="AW591" i="4"/>
  <c r="AW592" i="4"/>
  <c r="AW593" i="4"/>
  <c r="AW594" i="4"/>
  <c r="AW595" i="4"/>
  <c r="AW596" i="4"/>
  <c r="AW597" i="4"/>
  <c r="AW598" i="4"/>
  <c r="AW599" i="4"/>
  <c r="AW600" i="4"/>
  <c r="AW601" i="4"/>
  <c r="AW602" i="4"/>
  <c r="AW603" i="4"/>
  <c r="AW604" i="4"/>
  <c r="AW605" i="4"/>
  <c r="AW606" i="4"/>
  <c r="AW607" i="4"/>
  <c r="AW608" i="4"/>
  <c r="AW609" i="4"/>
  <c r="AW610" i="4"/>
  <c r="AW611" i="4"/>
  <c r="AW612" i="4"/>
  <c r="AW613" i="4"/>
  <c r="AW614" i="4"/>
  <c r="AW615" i="4"/>
  <c r="AW616" i="4"/>
  <c r="AW617" i="4"/>
  <c r="AW618" i="4"/>
  <c r="AW619" i="4"/>
  <c r="U61" i="16"/>
  <c r="AJ109" i="5"/>
  <c r="AN11" i="17"/>
  <c r="AJ111" i="5"/>
  <c r="AJ95" i="5"/>
  <c r="AJ94" i="5"/>
  <c r="AJ90" i="5"/>
  <c r="AJ87" i="5"/>
  <c r="AJ92" i="5"/>
  <c r="AJ23" i="5"/>
  <c r="AJ86" i="5"/>
  <c r="AJ112" i="5"/>
  <c r="AJ97" i="5"/>
  <c r="AJ88" i="5"/>
  <c r="AJ22" i="5"/>
  <c r="AJ20" i="5"/>
  <c r="AJ96" i="5"/>
  <c r="AN283" i="5"/>
  <c r="AN284" i="5"/>
  <c r="AJ21" i="5"/>
  <c r="AN285" i="5"/>
  <c r="AJ89" i="5"/>
  <c r="AJ53" i="11"/>
  <c r="U53" i="16" l="1"/>
  <c r="AJ53" i="5"/>
  <c r="AJ113" i="5"/>
  <c r="AJ82" i="5"/>
  <c r="AJ66" i="5"/>
  <c r="AJ59" i="5"/>
  <c r="AJ58" i="5"/>
  <c r="AJ46" i="5"/>
  <c r="AJ27" i="11"/>
  <c r="U43" i="16"/>
  <c r="AB51" i="21"/>
  <c r="U49" i="22"/>
  <c r="AD67" i="20"/>
  <c r="AJ15" i="11"/>
  <c r="AJ52" i="11"/>
  <c r="AJ47" i="11"/>
  <c r="AJ49" i="11"/>
  <c r="AJ55" i="11"/>
  <c r="AJ105" i="5"/>
  <c r="AJ74" i="4"/>
  <c r="AJ69" i="4"/>
  <c r="AN124" i="4"/>
</calcChain>
</file>

<file path=xl/sharedStrings.xml><?xml version="1.0" encoding="utf-8"?>
<sst xmlns="http://schemas.openxmlformats.org/spreadsheetml/2006/main" count="38312" uniqueCount="5627">
  <si>
    <t>LEI DE FORMAÇÃO DE IDs PARA BASE N2 e N3 NO SAGE</t>
  </si>
  <si>
    <t>Alarmes, SOE e telecomandos:</t>
  </si>
  <si>
    <t>Z</t>
  </si>
  <si>
    <t>:</t>
  </si>
  <si>
    <t>O</t>
  </si>
  <si>
    <t>N</t>
  </si>
  <si>
    <t>X</t>
  </si>
  <si>
    <t>Analógicas:</t>
  </si>
  <si>
    <t>M</t>
  </si>
  <si>
    <t>Onde:</t>
  </si>
  <si>
    <r>
      <t xml:space="preserve">: </t>
    </r>
    <r>
      <rPr>
        <sz val="12"/>
        <rFont val="Arial"/>
        <family val="2"/>
      </rPr>
      <t>-&gt; Separador de campos;</t>
    </r>
  </si>
  <si>
    <r>
      <t>Z</t>
    </r>
    <r>
      <rPr>
        <sz val="12"/>
        <rFont val="Arial"/>
        <family val="2"/>
      </rPr>
      <t xml:space="preserve">  -&gt; Código da instalação;</t>
    </r>
  </si>
  <si>
    <r>
      <t xml:space="preserve">O </t>
    </r>
    <r>
      <rPr>
        <sz val="12"/>
        <rFont val="Arial"/>
        <family val="2"/>
      </rPr>
      <t>-&gt; Código operacional do equipamento ou sistema;</t>
    </r>
  </si>
  <si>
    <r>
      <t xml:space="preserve">N </t>
    </r>
    <r>
      <rPr>
        <sz val="12"/>
        <rFont val="Arial"/>
        <family val="2"/>
      </rPr>
      <t>-&gt; Nome do IED, ou Código ANSI do equipamento ou dispositivo de proteção, ou número do painel;</t>
    </r>
  </si>
  <si>
    <r>
      <t xml:space="preserve">M </t>
    </r>
    <r>
      <rPr>
        <sz val="12"/>
        <rFont val="Arial"/>
        <family val="2"/>
      </rPr>
      <t>-&gt; Representação da grandeza medida (A, Mvar, kV, etc..);</t>
    </r>
  </si>
  <si>
    <r>
      <t xml:space="preserve">X </t>
    </r>
    <r>
      <rPr>
        <sz val="12"/>
        <rFont val="Arial"/>
        <family val="2"/>
      </rPr>
      <t>-&gt; Informações complementares a serem padronizadas.</t>
    </r>
  </si>
  <si>
    <t xml:space="preserve">OBS: </t>
  </si>
  <si>
    <t>Os campos não terão tamanho fixo;</t>
  </si>
  <si>
    <t>Quando um do campo for inexistente este será preenchido com 00, exceto quando se tratar do último campo.</t>
  </si>
  <si>
    <t>LEGENDA:</t>
  </si>
  <si>
    <t>{PNL} -&gt; Nome do Painel com no máximo 6 dígitos.</t>
  </si>
  <si>
    <t>[F1/F2/UC1] -&gt; Quando a informação vier entre colchetes significa que o ponto deve ser repetido para cada dispositivo. No exemplo, devem existir três ponto um para F1, outro para F2 e outro para UC1.</t>
  </si>
  <si>
    <t xml:space="preserve">FCOn -&gt; Quando no minemônico houver um "n" (ene minúsculo) significa que deve ser substituído por um número. </t>
  </si>
  <si>
    <t xml:space="preserve">A sequência do Visor de Alarmes deve ser: Data e hora / ID / Descritivo / Status da OCR </t>
  </si>
  <si>
    <t>FILOSOFIA DE INTERTRAVAMENTO ENTRE OS NÍVEIS DE OPERAÇÃO:</t>
  </si>
  <si>
    <t xml:space="preserve">Seleção </t>
  </si>
  <si>
    <t>Comando</t>
  </si>
  <si>
    <t>Bloqueia</t>
  </si>
  <si>
    <t>N3</t>
  </si>
  <si>
    <t>N3/N2</t>
  </si>
  <si>
    <t>Nada</t>
  </si>
  <si>
    <t>N2</t>
  </si>
  <si>
    <t>N1</t>
  </si>
  <si>
    <t>N2/N3</t>
  </si>
  <si>
    <t>PONTOS DE DISTRIBUIÇÃO:</t>
  </si>
  <si>
    <t>Os pontos de distribuição para o Centro Regional devem ter o mesmo ID que sua origem acrescido de "_D"</t>
  </si>
  <si>
    <t>Quando houver necessidade de distribuir também pontos para outra instalação deve-se acrescentar o sufixo "_C".</t>
  </si>
  <si>
    <t>Por exemplo:</t>
  </si>
  <si>
    <t xml:space="preserve">Ponto na Base da Instalação: ZZZ:0YYY:F1:DTFA (Trip Fase A) </t>
  </si>
  <si>
    <t>Ponto distribuído para outra instalação: ZZZ:0YYY:F1:DTFA_C</t>
  </si>
  <si>
    <t>Ponto distribuído para o centro regional: ZZZ:0YYY:F1:DTFA_D</t>
  </si>
  <si>
    <t>OCRs UTILIZADAS NO PADRÃO DE SUPERVISÃO</t>
  </si>
  <si>
    <r>
      <t>Para a correta utilização das OCR "</t>
    </r>
    <r>
      <rPr>
        <b/>
        <sz val="12"/>
        <rFont val="Arial"/>
        <family val="2"/>
      </rPr>
      <t>OCR_NOR_IPU01</t>
    </r>
    <r>
      <rPr>
        <sz val="12"/>
        <rFont val="Arial"/>
        <family val="2"/>
      </rPr>
      <t>" e da "</t>
    </r>
    <r>
      <rPr>
        <b/>
        <sz val="12"/>
        <rFont val="Arial"/>
        <family val="2"/>
      </rPr>
      <t>OCR_NOR_IPA01</t>
    </r>
    <r>
      <rPr>
        <sz val="12"/>
        <rFont val="Arial"/>
        <family val="2"/>
      </rPr>
      <t xml:space="preserve">" orientar-se pelo </t>
    </r>
  </si>
  <si>
    <t>ítem 4 (Caracterização de Impedimento de Equipamentos e Linhas) da IN-OP.01.006.</t>
  </si>
  <si>
    <t>O quadro abaixo mostra o comportamento das OCRs Padrões dos pontos PDS nas transições 4 e 5</t>
  </si>
  <si>
    <t>NOVO ID</t>
  </si>
  <si>
    <t>SEVERIDADE_4</t>
  </si>
  <si>
    <t>TPSOM_4</t>
  </si>
  <si>
    <t>TEXTO_4</t>
  </si>
  <si>
    <t>TIPOE_4</t>
  </si>
  <si>
    <t>SEVERIDADE_5</t>
  </si>
  <si>
    <t>TPSOM_5</t>
  </si>
  <si>
    <t>TEXTO_5</t>
  </si>
  <si>
    <t>TIPOE_5</t>
  </si>
  <si>
    <t>OCR_ATV_ADV01</t>
  </si>
  <si>
    <t>ADVER</t>
  </si>
  <si>
    <t>BREVE</t>
  </si>
  <si>
    <t>Ativado</t>
  </si>
  <si>
    <t>NORML</t>
  </si>
  <si>
    <t>SNULA</t>
  </si>
  <si>
    <t>Desativado</t>
  </si>
  <si>
    <t>OCR_ATV_LOG01</t>
  </si>
  <si>
    <t>NULO</t>
  </si>
  <si>
    <t>*LOG*Ativado</t>
  </si>
  <si>
    <t>*LOG*Desativado</t>
  </si>
  <si>
    <t>OCR_ATV_MSG01</t>
  </si>
  <si>
    <t>OCR_ATV_NUL01</t>
  </si>
  <si>
    <t>*NUL*Ativado</t>
  </si>
  <si>
    <t>*NUL*Desativado</t>
  </si>
  <si>
    <t>OCR_AUT_ADV01</t>
  </si>
  <si>
    <t>Automático</t>
  </si>
  <si>
    <t>Manual</t>
  </si>
  <si>
    <t>OCR_AUT_LOG01</t>
  </si>
  <si>
    <t>*LOG*Automático</t>
  </si>
  <si>
    <t>*LOG*Manual</t>
  </si>
  <si>
    <t>OCR_AUT_MSG01</t>
  </si>
  <si>
    <t>OCR_AUT_NUL01</t>
  </si>
  <si>
    <t>*NUL*Automático</t>
  </si>
  <si>
    <t>*NUL*Manual</t>
  </si>
  <si>
    <t>OCR_CHA_ADV01</t>
  </si>
  <si>
    <t>Chave Fechou</t>
  </si>
  <si>
    <t>Chave Abriu</t>
  </si>
  <si>
    <t>OCR_CHA_LOG01</t>
  </si>
  <si>
    <t>*LOG*Chave Fechou</t>
  </si>
  <si>
    <t>*LOG*Chave Abriu</t>
  </si>
  <si>
    <t>OCR_DIS_ADV01</t>
  </si>
  <si>
    <t>CONTI</t>
  </si>
  <si>
    <t>Disjuntor Fechou</t>
  </si>
  <si>
    <t>NSUPO</t>
  </si>
  <si>
    <t>Disjuntor Abriu</t>
  </si>
  <si>
    <t>OCR_DIS_LOG01</t>
  </si>
  <si>
    <t>*LOG*Disjuntor Fechou</t>
  </si>
  <si>
    <t>*LOG*Disjuntor Abriu</t>
  </si>
  <si>
    <t>OCR_DIS_URG01</t>
  </si>
  <si>
    <t>URGEN</t>
  </si>
  <si>
    <t>OCR_DIS_CRO01</t>
  </si>
  <si>
    <t>LONGO</t>
  </si>
  <si>
    <t>OCR_LIG_ADV01</t>
  </si>
  <si>
    <t>Ligado</t>
  </si>
  <si>
    <t>Desligado</t>
  </si>
  <si>
    <t>OCR_LIG_LOG01</t>
  </si>
  <si>
    <t>*LOG*Ligado</t>
  </si>
  <si>
    <t>*LOG*Desligado</t>
  </si>
  <si>
    <t>OCR_LIG_MSG01</t>
  </si>
  <si>
    <t>OCR_LIG_NUL01</t>
  </si>
  <si>
    <t>*NUL*Ligado</t>
  </si>
  <si>
    <t>*NUL*Desligado</t>
  </si>
  <si>
    <t>OCR_LOC_ADV01</t>
  </si>
  <si>
    <t>Local</t>
  </si>
  <si>
    <t>Remoto</t>
  </si>
  <si>
    <t>OCR_LOC_LOG01</t>
  </si>
  <si>
    <t>*LOG*Local</t>
  </si>
  <si>
    <t>*LOG*Remoto</t>
  </si>
  <si>
    <t>OCR_LOC_MSG01</t>
  </si>
  <si>
    <t>OCR_LOC_NUL01</t>
  </si>
  <si>
    <t>*NUL*Local</t>
  </si>
  <si>
    <t>*NUL*Remoto</t>
  </si>
  <si>
    <t>OCR_NOR_ADV01</t>
  </si>
  <si>
    <t>Atuou</t>
  </si>
  <si>
    <t>Normalizou</t>
  </si>
  <si>
    <t>OCR_NOR_IPA01</t>
  </si>
  <si>
    <t>Atuou (Impedimento)</t>
  </si>
  <si>
    <t>OCR_NOR_IPU01</t>
  </si>
  <si>
    <t>OCR_IMP_CRO01</t>
  </si>
  <si>
    <t>FATAL</t>
  </si>
  <si>
    <t>OCR_NOR_LOG01</t>
  </si>
  <si>
    <t>*LOG*Atuou</t>
  </si>
  <si>
    <t>*LOG*Normalizou</t>
  </si>
  <si>
    <t>OCR_NOR_MSG01</t>
  </si>
  <si>
    <t>OCR_NOR_NUL01</t>
  </si>
  <si>
    <t>*NUL*Atuou</t>
  </si>
  <si>
    <t>*NUL*Normalizou</t>
  </si>
  <si>
    <t>OCR_NOR_URG01</t>
  </si>
  <si>
    <t>OCR_NOR_CRO01</t>
  </si>
  <si>
    <t>OCR_SEC_ADV01</t>
  </si>
  <si>
    <t>Selecionado</t>
  </si>
  <si>
    <t>Não Selecionado</t>
  </si>
  <si>
    <t>OCR_SEC_LOG01</t>
  </si>
  <si>
    <t>*LOG*Selecionado</t>
  </si>
  <si>
    <t>*LOG*Não Selecionado</t>
  </si>
  <si>
    <t>OCR_SEC_MSG01</t>
  </si>
  <si>
    <t>NORM</t>
  </si>
  <si>
    <t>OCR_SEC_NUL01</t>
  </si>
  <si>
    <t>*NUL*Selecionado</t>
  </si>
  <si>
    <t>*NUL*Não Selecionado</t>
  </si>
  <si>
    <t>OCR_TEL_ADV01</t>
  </si>
  <si>
    <t>Telecomando</t>
  </si>
  <si>
    <t>OCR_TEL_LOG01</t>
  </si>
  <si>
    <t>*LOG*Telecomando</t>
  </si>
  <si>
    <t>OCR_TEL_MSG01</t>
  </si>
  <si>
    <t>OCR_TEL_NUL01</t>
  </si>
  <si>
    <t>*NUL*Telecomando</t>
  </si>
  <si>
    <t>O quadro abaixo mostra o comportamento das OCRs Invertidas (devem ser evitadas e alterado projeto)</t>
  </si>
  <si>
    <t>OCR_REM_ADV01</t>
  </si>
  <si>
    <t>OCR_REM_LOG01</t>
  </si>
  <si>
    <t>OCR_REM_MSG01</t>
  </si>
  <si>
    <t>OCR_REM_NUL01</t>
  </si>
  <si>
    <t>OUTRAS OCRs PADRÕES</t>
  </si>
  <si>
    <t>OCR_ANOTN</t>
  </si>
  <si>
    <t>%s</t>
  </si>
  <si>
    <t>OCR_ANOTA</t>
  </si>
  <si>
    <t>OCR_ANOTU</t>
  </si>
  <si>
    <t>OCR_ANOTF</t>
  </si>
  <si>
    <t>OCR_PAS01</t>
  </si>
  <si>
    <t>Padrão para as analógicas</t>
  </si>
  <si>
    <t>OCR_PAS_LOG01</t>
  </si>
  <si>
    <t>NOTAS:</t>
  </si>
  <si>
    <t>As transições de estado de uma mesma OCR são representada pela variação do último dígito (de 1 a 6) cujos significados são:</t>
  </si>
  <si>
    <t>1 = Inconsistência na BD</t>
  </si>
  <si>
    <t>2 = Inconsistência na BD</t>
  </si>
  <si>
    <t>3 = transição 0 - 1 - 0</t>
  </si>
  <si>
    <t>4 = transição 0 - 1</t>
  </si>
  <si>
    <t>5 = transição 1 - 0</t>
  </si>
  <si>
    <t>6 = transição 1 - 0 - 1</t>
  </si>
  <si>
    <t>Obs.1: As variações 1 e 2 não estão sendo efetivamente usadas pelo SAGE.</t>
  </si>
  <si>
    <t>Obs.2: A variação 3 seguem as mesmas definições da variação 5.</t>
  </si>
  <si>
    <t>Obs.3: A variação 6 seguem as mesmas definições da variação 4.</t>
  </si>
  <si>
    <t>As severidades definem a cor do texto:</t>
  </si>
  <si>
    <t>SNULA = Branco</t>
  </si>
  <si>
    <t>NORML = Verde</t>
  </si>
  <si>
    <t>ADVER = Amarelo</t>
  </si>
  <si>
    <t>URGEN = Vermelho</t>
  </si>
  <si>
    <t>FATAL = Roxo</t>
  </si>
  <si>
    <t>Os sons definem o tipo de toque e a duração do alarme sonoro:</t>
  </si>
  <si>
    <t>NULO = Sem som</t>
  </si>
  <si>
    <t>BREVE = dois toques e pára</t>
  </si>
  <si>
    <t>LONGO = vinte toques rápidos e pára</t>
  </si>
  <si>
    <t>CONTI = Só para após reconnhecimento do operador</t>
  </si>
  <si>
    <t>O TIPOE define se o alarme será ou não sobreposto no visor de alarmes:</t>
  </si>
  <si>
    <t>NORML = Sobrepõe e é sobreposto por outros alarmes para o mesmo ponto.</t>
  </si>
  <si>
    <t>NSUPO = Não sobrepõe nem é sobreposto por outros alarmes para o mesmo ponto.</t>
  </si>
  <si>
    <t>TEXTO são as mensagens de estado nas listas de alarmes/eventos. A palavra entre asterisco indica um desvio na mensagem:</t>
  </si>
  <si>
    <t>*LOG* = A mensagem não será inserida no Visor de Alarmes, apenas nas listas do Visor de LOG.</t>
  </si>
  <si>
    <t>*NUL* = A mensagem não será inserida no Visor de Alarmes, apenas no seqüencial de eventos (SOE) do Visor de LOG.</t>
  </si>
  <si>
    <t>*NLS* = A mensagem não será inserida nem no Visor de Alarmes, nem nas listas do Visor de LOG.</t>
  </si>
  <si>
    <t>DIÁLOGOS DE COMANDO (TCTLs) UTILIZADOS NO PADRÃO DE SUPERVISÃO</t>
  </si>
  <si>
    <t>OBS.: Os comandos pintados de azul estão sendo usados na CHESF.</t>
  </si>
  <si>
    <t>PROPRIEDADES DA ENTIDADE TCTL</t>
  </si>
  <si>
    <t xml:space="preserve">ID </t>
  </si>
  <si>
    <t xml:space="preserve"> Identificador do tipo de controle. Esta entidade já possui os seguintes tipos pré-cadastrados:</t>
  </si>
  <si>
    <t xml:space="preserve">TIP </t>
  </si>
  <si>
    <t xml:space="preserve"> Tipos de comandos. Pode assumir os valores: CTL (Comandos do Sistema Elétrico) ou CMD (Comandos da Comunicação de Dados)</t>
  </si>
  <si>
    <t xml:space="preserve">ALR_CLOSE </t>
  </si>
  <si>
    <t xml:space="preserve"> Texto para a ação do comando CLOSE no diálogo de controle.</t>
  </si>
  <si>
    <t xml:space="preserve">ALR_TRIP </t>
  </si>
  <si>
    <t xml:space="preserve"> Texto para a ação do comando TRIP no diálogo de controle.</t>
  </si>
  <si>
    <t xml:space="preserve">DLG_CLOSE </t>
  </si>
  <si>
    <t xml:space="preserve"> Texto escolhido pelo usuário para ser exibido no diálogo de controle do comando CLOSE.</t>
  </si>
  <si>
    <t xml:space="preserve">DLG_TRIP </t>
  </si>
  <si>
    <t xml:space="preserve"> Texto escolhido pelo usuário para ser exibido no diálogo de controle do comando TRIP.</t>
  </si>
  <si>
    <t xml:space="preserve">NSEQ </t>
  </si>
  <si>
    <t xml:space="preserve"> Número que sequencia os tipos de ponto de controle. </t>
  </si>
  <si>
    <t>TCTLs - PRÉ-CADASTRADOS PELO CEPEL</t>
  </si>
  <si>
    <t>NSEQ</t>
  </si>
  <si>
    <t xml:space="preserve"> ID</t>
  </si>
  <si>
    <t>TIP</t>
  </si>
  <si>
    <t>ALR_CLOSE</t>
  </si>
  <si>
    <t>ALR_TRIP</t>
  </si>
  <si>
    <t>DLG_CLOSE</t>
  </si>
  <si>
    <t>DLG_TRIP</t>
  </si>
  <si>
    <t>SIGNIFICADO</t>
  </si>
  <si>
    <t>CTCL</t>
  </si>
  <si>
    <t>CTL</t>
  </si>
  <si>
    <t>Fechar</t>
  </si>
  <si>
    <t>Abrir</t>
  </si>
  <si>
    <t>Fechar Equipamento</t>
  </si>
  <si>
    <t>Abrir Equipamento</t>
  </si>
  <si>
    <t xml:space="preserve"> Digital de abrir O/fechar 1.</t>
  </si>
  <si>
    <t>BLOQ</t>
  </si>
  <si>
    <t>Bloqueio</t>
  </si>
  <si>
    <t>Desbloqueio</t>
  </si>
  <si>
    <t>Bloquear</t>
  </si>
  <si>
    <t>Desbloquear</t>
  </si>
  <si>
    <t xml:space="preserve"> Bloqueado 1, Desbloqueado 0.</t>
  </si>
  <si>
    <t>LCRM</t>
  </si>
  <si>
    <t xml:space="preserve"> Local 1, Remoto 0.</t>
  </si>
  <si>
    <t>HABD</t>
  </si>
  <si>
    <t>Habilita</t>
  </si>
  <si>
    <t>Desabilita</t>
  </si>
  <si>
    <t>Habilitar</t>
  </si>
  <si>
    <t>Desabilitar</t>
  </si>
  <si>
    <t xml:space="preserve"> Habilitado 1, Desabilitado 0.</t>
  </si>
  <si>
    <t>MANA</t>
  </si>
  <si>
    <t xml:space="preserve"> Manual 1, Automático 0.</t>
  </si>
  <si>
    <t>LIGD</t>
  </si>
  <si>
    <t>Ligar</t>
  </si>
  <si>
    <t>Desligar</t>
  </si>
  <si>
    <t xml:space="preserve"> Ligado 1, Desligado 0.</t>
  </si>
  <si>
    <t>AUMD</t>
  </si>
  <si>
    <t>Aumentar</t>
  </si>
  <si>
    <t>Diminuir</t>
  </si>
  <si>
    <t xml:space="preserve"> Aumentar 1, Diminuir 0.</t>
  </si>
  <si>
    <t>TRNL</t>
  </si>
  <si>
    <t>Transferir</t>
  </si>
  <si>
    <t>Normalizar</t>
  </si>
  <si>
    <t xml:space="preserve"> Transferir 1, Normalizar 0.</t>
  </si>
  <si>
    <t>RSTC</t>
  </si>
  <si>
    <t>(c)</t>
  </si>
  <si>
    <t>(t)</t>
  </si>
  <si>
    <t>Executar</t>
  </si>
  <si>
    <t/>
  </si>
  <si>
    <t xml:space="preserve"> Reset de equipamento em dose 1.</t>
  </si>
  <si>
    <t>PULS</t>
  </si>
  <si>
    <t>Raise</t>
  </si>
  <si>
    <t>Lower</t>
  </si>
  <si>
    <t xml:space="preserve"> Pulsos de raise/lower.</t>
  </si>
  <si>
    <t>STPT</t>
  </si>
  <si>
    <t>Set Point A</t>
  </si>
  <si>
    <t>Set Point B</t>
  </si>
  <si>
    <t>Enviar SetPoint</t>
  </si>
  <si>
    <t xml:space="preserve"> Setpoint único.</t>
  </si>
  <si>
    <t>STP2</t>
  </si>
  <si>
    <t>Set Point 2</t>
  </si>
  <si>
    <t>Enviar SetPoints</t>
  </si>
  <si>
    <t xml:space="preserve"> Set-point duplo.</t>
  </si>
  <si>
    <t>REST</t>
  </si>
  <si>
    <t>Reset Com</t>
  </si>
  <si>
    <t>Resetar UTR</t>
  </si>
  <si>
    <t xml:space="preserve"> Reset de UTR/CLP ou pedido de integridade do protocolo SINSC.</t>
  </si>
  <si>
    <t>PFUTR</t>
  </si>
  <si>
    <t>CMD</t>
  </si>
  <si>
    <t>Failover</t>
  </si>
  <si>
    <t>Failover de UTR</t>
  </si>
  <si>
    <t xml:space="preserve"> Failover de UTR.</t>
  </si>
  <si>
    <t>PDUTR</t>
  </si>
  <si>
    <t>Desativ Com</t>
  </si>
  <si>
    <t>Desabilitar UTR</t>
  </si>
  <si>
    <t xml:space="preserve"> Desabilitação de UTR.</t>
  </si>
  <si>
    <t>PHUTR</t>
  </si>
  <si>
    <t>Ativa Com</t>
  </si>
  <si>
    <t>Habilitar UTR</t>
  </si>
  <si>
    <t xml:space="preserve"> Habilitação de UTR.</t>
  </si>
  <si>
    <t>RSTT</t>
  </si>
  <si>
    <t>Ajuste (c)</t>
  </si>
  <si>
    <t>Ajuste (t)</t>
  </si>
  <si>
    <t xml:space="preserve"> Reset de equipamento em trip 0.</t>
  </si>
  <si>
    <t>LSTAT</t>
  </si>
  <si>
    <t>Reset estat</t>
  </si>
  <si>
    <t>Reset estst</t>
  </si>
  <si>
    <t>Reset de Estatisticas</t>
  </si>
  <si>
    <t xml:space="preserve"> Gestão de Comunicação de Dados</t>
  </si>
  <si>
    <t>PFCAN</t>
  </si>
  <si>
    <t>Failover de Enlace</t>
  </si>
  <si>
    <t xml:space="preserve"> Failover de enlace.</t>
  </si>
  <si>
    <t>PHCAN</t>
  </si>
  <si>
    <t>Habilitar Enlace</t>
  </si>
  <si>
    <t xml:space="preserve"> Habilitação de enlace de UTR.</t>
  </si>
  <si>
    <t>PDCAN</t>
  </si>
  <si>
    <t>Desabilitar Enlace</t>
  </si>
  <si>
    <t xml:space="preserve"> Desabilitação de enlace de UTR.</t>
  </si>
  <si>
    <t>PHSEC</t>
  </si>
  <si>
    <t>Habilitar Secundário</t>
  </si>
  <si>
    <t xml:space="preserve"> Habilitação da função secundária (função que mantém comunicação simultânea através do enlace secundário com as UTRs secundrias).</t>
  </si>
  <si>
    <t>PDSEC</t>
  </si>
  <si>
    <t>Inibir Secundário</t>
  </si>
  <si>
    <t xml:space="preserve"> Desabilitação da função secundria.</t>
  </si>
  <si>
    <t>ATLIA</t>
  </si>
  <si>
    <t>Ativar Aquisição</t>
  </si>
  <si>
    <t xml:space="preserve"> Ativação de uma Ligação de Aquisição.</t>
  </si>
  <si>
    <t>DTLIA</t>
  </si>
  <si>
    <t>Desativar Aquisição</t>
  </si>
  <si>
    <t xml:space="preserve"> Desativação de uma Ligação de Aquisição.</t>
  </si>
  <si>
    <t>ATLID</t>
  </si>
  <si>
    <t>Ativar Distribuição</t>
  </si>
  <si>
    <t xml:space="preserve"> Ativação de uma Ligação de Distribuição.</t>
  </si>
  <si>
    <t>DTLID</t>
  </si>
  <si>
    <t>Desativar Distribuição</t>
  </si>
  <si>
    <t xml:space="preserve"> Desativação de uma Ligação de Distribuição.</t>
  </si>
  <si>
    <t>ATTAC</t>
  </si>
  <si>
    <t>Ativar TAC</t>
  </si>
  <si>
    <t xml:space="preserve"> Ativação de TAC.</t>
  </si>
  <si>
    <t>DTTAC</t>
  </si>
  <si>
    <t>Desativar TAC</t>
  </si>
  <si>
    <t xml:space="preserve"> Desativação de TAC.</t>
  </si>
  <si>
    <t>ATENM</t>
  </si>
  <si>
    <t>Ativar Enlace</t>
  </si>
  <si>
    <t xml:space="preserve"> Ativação de Enlace de Multiligação.</t>
  </si>
  <si>
    <t>DTENM</t>
  </si>
  <si>
    <t>Desativar Enlace</t>
  </si>
  <si>
    <t xml:space="preserve"> Desativação de Enlace de Multiligação.</t>
  </si>
  <si>
    <t>ATCNM</t>
  </si>
  <si>
    <t>Ativar Canal</t>
  </si>
  <si>
    <t xml:space="preserve"> Ativação do Canal</t>
  </si>
  <si>
    <t>DTCNM</t>
  </si>
  <si>
    <t>Desativar Canal</t>
  </si>
  <si>
    <t xml:space="preserve"> Desativação do Canal</t>
  </si>
  <si>
    <t>ATMUL</t>
  </si>
  <si>
    <t>Ativar Multiligacao</t>
  </si>
  <si>
    <t xml:space="preserve"> Ativação de Multiligação</t>
  </si>
  <si>
    <t>DTMUL</t>
  </si>
  <si>
    <t>Desativar Multiligacao</t>
  </si>
  <si>
    <t xml:space="preserve"> Desativação de Multiligação</t>
  </si>
  <si>
    <t>ATMSE</t>
  </si>
  <si>
    <t>Ativar Tele-medido</t>
  </si>
  <si>
    <t xml:space="preserve"> Ativação de Medidas do Sistema Externo.</t>
  </si>
  <si>
    <t>DTMSE</t>
  </si>
  <si>
    <t>Desativar Tele-medido</t>
  </si>
  <si>
    <t xml:space="preserve"> Desativação de Medidas do Sistema Externo.</t>
  </si>
  <si>
    <t>ATCSE</t>
  </si>
  <si>
    <t>Ativar Grand. Calculada</t>
  </si>
  <si>
    <t xml:space="preserve"> Ativação de Calculados do Sistema Externo.</t>
  </si>
  <si>
    <t>DTCSE</t>
  </si>
  <si>
    <t>Desativar Grand. Calculada</t>
  </si>
  <si>
    <t xml:space="preserve"> Desativação de Calculados do Sistema Externo.</t>
  </si>
  <si>
    <t>ATTSE</t>
  </si>
  <si>
    <t>Ativar Tele-sinais</t>
  </si>
  <si>
    <t xml:space="preserve"> Ativação de Telesinais do Sistema Externo</t>
  </si>
  <si>
    <t>DTTSE</t>
  </si>
  <si>
    <t>Desativar Tele-sinais</t>
  </si>
  <si>
    <t xml:space="preserve"> Desativação de Telesinais do Sistema Externo.</t>
  </si>
  <si>
    <t>TCTLs - PERSONALIZADOS NA CHESF</t>
  </si>
  <si>
    <t>USR42</t>
  </si>
  <si>
    <t>Ativar</t>
  </si>
  <si>
    <t>Desativar</t>
  </si>
  <si>
    <r>
      <rPr>
        <sz val="10"/>
        <color indexed="10"/>
        <rFont val="Arial"/>
        <family val="2"/>
      </rPr>
      <t>NÃO USAR!</t>
    </r>
    <r>
      <rPr>
        <sz val="10"/>
        <rFont val="Arial"/>
        <family val="2"/>
      </rPr>
      <t xml:space="preserve"> Existe na BD do CROP, CRON, CROL, CROS, CROO.</t>
    </r>
  </si>
  <si>
    <t>USR43</t>
  </si>
  <si>
    <r>
      <rPr>
        <sz val="10"/>
        <color indexed="10"/>
        <rFont val="Arial"/>
        <family val="2"/>
      </rPr>
      <t>NÃO USAR!</t>
    </r>
    <r>
      <rPr>
        <sz val="10"/>
        <rFont val="Arial"/>
        <family val="2"/>
      </rPr>
      <t xml:space="preserve"> Existe na BD do CRON.</t>
    </r>
  </si>
  <si>
    <t>USR44</t>
  </si>
  <si>
    <r>
      <rPr>
        <sz val="10"/>
        <color indexed="10"/>
        <rFont val="Arial"/>
        <family val="2"/>
      </rPr>
      <t>NÃO USAR!</t>
    </r>
    <r>
      <rPr>
        <sz val="10"/>
        <rFont val="Arial"/>
        <family val="2"/>
      </rPr>
      <t xml:space="preserve"> Existe na BD do  CRON, CROL, CROS, CROO.</t>
    </r>
  </si>
  <si>
    <t>USR45</t>
  </si>
  <si>
    <t>USR46</t>
  </si>
  <si>
    <t>Ativar F1</t>
  </si>
  <si>
    <t>Ativar F2</t>
  </si>
  <si>
    <t>Faixa 1</t>
  </si>
  <si>
    <t>Faixa 2</t>
  </si>
  <si>
    <t>USR47</t>
  </si>
  <si>
    <t>NÃO USAR!</t>
  </si>
  <si>
    <t>USR48</t>
  </si>
  <si>
    <t>Reset</t>
  </si>
  <si>
    <r>
      <rPr>
        <sz val="10"/>
        <color indexed="10"/>
        <rFont val="Arial"/>
        <family val="2"/>
      </rPr>
      <t>NÃO USAR!</t>
    </r>
    <r>
      <rPr>
        <sz val="10"/>
        <rFont val="Arial"/>
        <family val="2"/>
      </rPr>
      <t xml:space="preserve"> Existe na BD do  CRON, CROL,  CROO.</t>
    </r>
  </si>
  <si>
    <t>USR49</t>
  </si>
  <si>
    <t>Close USR49</t>
  </si>
  <si>
    <t>Trip  USR49</t>
  </si>
  <si>
    <t>Fechar USR49</t>
  </si>
  <si>
    <t>Abrir  USR49</t>
  </si>
  <si>
    <t>USR50</t>
  </si>
  <si>
    <t>USR51</t>
  </si>
  <si>
    <t>USR52</t>
  </si>
  <si>
    <t>Rearme 86</t>
  </si>
  <si>
    <t>Atuado 86</t>
  </si>
  <si>
    <r>
      <rPr>
        <sz val="10"/>
        <color indexed="10"/>
        <rFont val="Arial"/>
        <family val="2"/>
      </rPr>
      <t>NÃO USAR!</t>
    </r>
    <r>
      <rPr>
        <sz val="10"/>
        <rFont val="Arial"/>
        <family val="2"/>
      </rPr>
      <t xml:space="preserve"> Existe na BD do CROP,  CROL,  CROO.</t>
    </r>
  </si>
  <si>
    <t>USR53</t>
  </si>
  <si>
    <t>Tripolar</t>
  </si>
  <si>
    <t>Ativar Tripolar</t>
  </si>
  <si>
    <t>USR54</t>
  </si>
  <si>
    <t>Monopolar</t>
  </si>
  <si>
    <t>Ativar Monopolar</t>
  </si>
  <si>
    <t>ATVDT</t>
  </si>
  <si>
    <t>Comando duplo para Ativar/Desativar</t>
  </si>
  <si>
    <t>DTATV</t>
  </si>
  <si>
    <t>Comando duplo para Ativar/Desativar (ATVDT invertido)</t>
  </si>
  <si>
    <t>AUTMN</t>
  </si>
  <si>
    <t>Comando duplo para Manual/Automático (MANA invertido)</t>
  </si>
  <si>
    <t>REARM</t>
  </si>
  <si>
    <t>Rearmar 86</t>
  </si>
  <si>
    <t>Comando simples para reset 86 ou 86C</t>
  </si>
  <si>
    <t>ATIVA</t>
  </si>
  <si>
    <t>Comando simples seleção para Ativar</t>
  </si>
  <si>
    <t>DTIVA</t>
  </si>
  <si>
    <t>Comando simples seleção para Desativar</t>
  </si>
  <si>
    <t>AUMT</t>
  </si>
  <si>
    <t>Comando simples (prefira o duplo AUMD)</t>
  </si>
  <si>
    <t>DIMI</t>
  </si>
  <si>
    <t>AUTO</t>
  </si>
  <si>
    <t>Comando simples seleção para Automático</t>
  </si>
  <si>
    <t>MANU</t>
  </si>
  <si>
    <t>Comando simples seleção para Manual</t>
  </si>
  <si>
    <t>MESTR</t>
  </si>
  <si>
    <t>Mestre</t>
  </si>
  <si>
    <t>CMDO</t>
  </si>
  <si>
    <t>Comandado</t>
  </si>
  <si>
    <t>INDV</t>
  </si>
  <si>
    <t>Individual</t>
  </si>
  <si>
    <t>SELEC</t>
  </si>
  <si>
    <t>Selecionar</t>
  </si>
  <si>
    <t>NIV12</t>
  </si>
  <si>
    <t>Nível 1</t>
  </si>
  <si>
    <t>Nível 2</t>
  </si>
  <si>
    <t>NIV23</t>
  </si>
  <si>
    <t>Nível 3</t>
  </si>
  <si>
    <t>RMLC</t>
  </si>
  <si>
    <t>PATPA</t>
  </si>
  <si>
    <t>Partir</t>
  </si>
  <si>
    <t>Parar</t>
  </si>
  <si>
    <t>INSR</t>
  </si>
  <si>
    <t>Inserir</t>
  </si>
  <si>
    <t>Remover</t>
  </si>
  <si>
    <t>CHUC</t>
  </si>
  <si>
    <t>Chaveamento</t>
  </si>
  <si>
    <t>Chavear</t>
  </si>
  <si>
    <t>DISCR</t>
  </si>
  <si>
    <t>Discreto</t>
  </si>
  <si>
    <t>Ctrl Discreto</t>
  </si>
  <si>
    <t>Comando incluído no SAGE 2008</t>
  </si>
  <si>
    <t>VAGO</t>
  </si>
  <si>
    <t>Vago</t>
  </si>
  <si>
    <t>CART</t>
  </si>
  <si>
    <t>Colocar</t>
  </si>
  <si>
    <t>Retirar</t>
  </si>
  <si>
    <t>KVREA</t>
  </si>
  <si>
    <t>Tensão</t>
  </si>
  <si>
    <t>Reativo</t>
  </si>
  <si>
    <t>PROJETO</t>
  </si>
  <si>
    <t>CHESF - NÍVEL 1</t>
  </si>
  <si>
    <t>CHESF - NÍVEL 2</t>
  </si>
  <si>
    <t>CHESF - TELEASSISTÊNCIA N3</t>
  </si>
  <si>
    <t xml:space="preserve"> CHESF - NÍVEL 3</t>
  </si>
  <si>
    <t>ONS</t>
  </si>
  <si>
    <t>LIMITES OPERACIONAIS</t>
  </si>
  <si>
    <t>COMENTÁRIO</t>
  </si>
  <si>
    <t>CONTEMPLADO</t>
  </si>
  <si>
    <t>TIPO DO RELÉ</t>
  </si>
  <si>
    <t>UA - PAINEL</t>
  </si>
  <si>
    <t>BI</t>
  </si>
  <si>
    <t>BO</t>
  </si>
  <si>
    <t xml:space="preserve">ID PROTOCOLO </t>
  </si>
  <si>
    <t>UTIL.</t>
  </si>
  <si>
    <t>ID (SAGE)</t>
  </si>
  <si>
    <t>OCR (SAGE)</t>
  </si>
  <si>
    <t>DESCRIÇÃO</t>
  </si>
  <si>
    <t>TIPO</t>
  </si>
  <si>
    <t>COMANDO</t>
  </si>
  <si>
    <t>MEDIÇÃO</t>
  </si>
  <si>
    <t>TELA</t>
  </si>
  <si>
    <t>LISTA DE ALARMES</t>
  </si>
  <si>
    <t>SOE</t>
  </si>
  <si>
    <t>Vãos Digitais</t>
  </si>
  <si>
    <t>OBSERVAÇÃO</t>
  </si>
  <si>
    <t>AGRUPAMENTO</t>
  </si>
  <si>
    <t xml:space="preserve"> COMANDO</t>
  </si>
  <si>
    <t>LISTA DE ALARME</t>
  </si>
  <si>
    <t xml:space="preserve">ENDEREÇO </t>
  </si>
  <si>
    <t xml:space="preserve"> PROC. DE REDE</t>
  </si>
  <si>
    <t>LIU</t>
  </si>
  <si>
    <t>LIE</t>
  </si>
  <si>
    <t>LIA</t>
  </si>
  <si>
    <t>LSA</t>
  </si>
  <si>
    <t>LSE</t>
  </si>
  <si>
    <t>LSU</t>
  </si>
  <si>
    <t>BNDMO</t>
  </si>
  <si>
    <t>OBSERVAÇÕES</t>
  </si>
  <si>
    <t xml:space="preserve"> ITEM</t>
  </si>
  <si>
    <t>ITEM</t>
  </si>
  <si>
    <t>PDS</t>
  </si>
  <si>
    <t>PTNI</t>
  </si>
  <si>
    <t>Apenas quando solicitado pelo ONS, será enviado por meio eletrônico.</t>
  </si>
  <si>
    <r>
      <t>ZZZ:0YYY:[F1/F2]:</t>
    </r>
    <r>
      <rPr>
        <sz val="10"/>
        <color indexed="14"/>
        <rFont val="Arial"/>
        <family val="2"/>
      </rPr>
      <t>PDBO</t>
    </r>
  </si>
  <si>
    <t>Bloqueio por Oscilação de Potência (68)</t>
  </si>
  <si>
    <t>#68</t>
  </si>
  <si>
    <t>8.2.1.4(a)(2)</t>
  </si>
  <si>
    <r>
      <t>ZZZ:0YYY:[F1/F2]:</t>
    </r>
    <r>
      <rPr>
        <sz val="10"/>
        <color indexed="14"/>
        <rFont val="Arial"/>
        <family val="2"/>
      </rPr>
      <t>PDDR</t>
    </r>
  </si>
  <si>
    <t>Direção Reversa (21)</t>
  </si>
  <si>
    <t>Deve subir juntamente com a Zona configurada como reversa
#21</t>
  </si>
  <si>
    <r>
      <t>ZZZ:0YYY:[F1/F2]:</t>
    </r>
    <r>
      <rPr>
        <sz val="10"/>
        <color indexed="14"/>
        <rFont val="Arial"/>
        <family val="2"/>
      </rPr>
      <t>APST</t>
    </r>
  </si>
  <si>
    <t>Trip Proteção Stub (50ST)</t>
  </si>
  <si>
    <t>Para arranjos disjuntor e meio.
#DISJEMEIO</t>
  </si>
  <si>
    <t>8.2.1.4(b)(1/2)</t>
  </si>
  <si>
    <r>
      <t>ZZZ:0YYY:[F1/F2]:</t>
    </r>
    <r>
      <rPr>
        <sz val="10"/>
        <color indexed="14"/>
        <rFont val="Arial"/>
        <family val="2"/>
      </rPr>
      <t>TPPD</t>
    </r>
  </si>
  <si>
    <t>Trip Permissivo (21)</t>
  </si>
  <si>
    <t>#TELEPROT</t>
  </si>
  <si>
    <r>
      <t>ZZZ:0YYY:21:PTPD</t>
    </r>
    <r>
      <rPr>
        <sz val="10"/>
        <color indexed="12"/>
        <rFont val="Arial"/>
        <family val="2"/>
      </rPr>
      <t>(STPD)</t>
    </r>
    <r>
      <rPr>
        <sz val="10"/>
        <color indexed="14"/>
        <rFont val="Arial"/>
        <family val="2"/>
      </rPr>
      <t>(TRPD)</t>
    </r>
  </si>
  <si>
    <t>ZZZ:0YYY:[F1/F2]:TPPN</t>
  </si>
  <si>
    <t>Trip Permissivo (67N)</t>
  </si>
  <si>
    <r>
      <t>ZZZ:0YYY:[F1/F2]:</t>
    </r>
    <r>
      <rPr>
        <sz val="10"/>
        <color indexed="14"/>
        <rFont val="Arial"/>
        <family val="2"/>
      </rPr>
      <t>DTFA</t>
    </r>
  </si>
  <si>
    <t>Trip Fase A (21)</t>
  </si>
  <si>
    <t>#21</t>
  </si>
  <si>
    <r>
      <t>ZZZ:0YYY:[F1/F2]:</t>
    </r>
    <r>
      <rPr>
        <sz val="10"/>
        <color indexed="14"/>
        <rFont val="Arial"/>
        <family val="2"/>
      </rPr>
      <t>DTFB</t>
    </r>
  </si>
  <si>
    <t>Trip Fase B (21)</t>
  </si>
  <si>
    <r>
      <t>ZZZ:0YYY:[F1/F2]:</t>
    </r>
    <r>
      <rPr>
        <sz val="10"/>
        <color indexed="14"/>
        <rFont val="Arial"/>
        <family val="2"/>
      </rPr>
      <t>DTFC</t>
    </r>
  </si>
  <si>
    <t>Trip Fase C (21)</t>
  </si>
  <si>
    <r>
      <t>ZZZ:0YYY:21:PTPD</t>
    </r>
    <r>
      <rPr>
        <sz val="10"/>
        <color indexed="12"/>
        <rFont val="Arial"/>
        <family val="2"/>
      </rPr>
      <t>(STPD)</t>
    </r>
    <r>
      <rPr>
        <sz val="10"/>
        <color indexed="14"/>
        <rFont val="Arial"/>
        <family val="2"/>
      </rPr>
      <t>(TRPD)</t>
    </r>
    <r>
      <rPr>
        <sz val="10"/>
        <rFont val="Arial"/>
        <family val="2"/>
      </rPr>
      <t>, ZZZ:0YYY:00:ONS3</t>
    </r>
  </si>
  <si>
    <t>ZZZ:0YYY:[F1/F2]:DTFN</t>
  </si>
  <si>
    <t>Trip de Neutro (21)</t>
  </si>
  <si>
    <r>
      <t>ZZZ:0YYY:[F1/F2]:</t>
    </r>
    <r>
      <rPr>
        <sz val="10"/>
        <color indexed="14"/>
        <rFont val="Arial"/>
        <family val="2"/>
      </rPr>
      <t>DTOP</t>
    </r>
  </si>
  <si>
    <t>Trip Oscilação de Potência (78)</t>
  </si>
  <si>
    <t>#78</t>
  </si>
  <si>
    <t>8.2.1.4(a)(3)</t>
  </si>
  <si>
    <r>
      <t>ZZZ:0YYY:[F1/F2]:</t>
    </r>
    <r>
      <rPr>
        <sz val="10"/>
        <color indexed="14"/>
        <rFont val="Arial"/>
        <family val="2"/>
      </rPr>
      <t>PDLC</t>
    </r>
  </si>
  <si>
    <t>Trip Line Check</t>
  </si>
  <si>
    <r>
      <t>ZZZ:0YYY:[F1/F2]:</t>
    </r>
    <r>
      <rPr>
        <sz val="10"/>
        <color indexed="14"/>
        <rFont val="Arial"/>
        <family val="2"/>
      </rPr>
      <t>PDWI</t>
    </r>
  </si>
  <si>
    <t>Trip Weak Infeed (27WI)</t>
  </si>
  <si>
    <r>
      <t>ZZZ:0YYY:[F1/F2]:</t>
    </r>
    <r>
      <rPr>
        <sz val="10"/>
        <color indexed="14"/>
        <rFont val="Arial"/>
        <family val="2"/>
      </rPr>
      <t>PDPZ</t>
    </r>
  </si>
  <si>
    <t>Trip Zona 1 (21)</t>
  </si>
  <si>
    <r>
      <t>ZZZ:0YYY:[F1/F2]:</t>
    </r>
    <r>
      <rPr>
        <sz val="10"/>
        <color indexed="14"/>
        <rFont val="Arial"/>
        <family val="2"/>
      </rPr>
      <t>PDSZ</t>
    </r>
  </si>
  <si>
    <t>Trip Zona 2 (21)</t>
  </si>
  <si>
    <t>ZZZ:0YYY:00:ONS3</t>
  </si>
  <si>
    <t>8.2.1.4(b)(10)</t>
  </si>
  <si>
    <r>
      <t>ZZZ:0YYY:[F1/F2]:</t>
    </r>
    <r>
      <rPr>
        <sz val="10"/>
        <color indexed="14"/>
        <rFont val="Arial"/>
        <family val="2"/>
      </rPr>
      <t>PDTZ</t>
    </r>
  </si>
  <si>
    <t>Trip Zona 3 (21)</t>
  </si>
  <si>
    <t>8.2.1.4(b)(11)</t>
  </si>
  <si>
    <r>
      <t>ZZZ:0YYY:[F1/F2]:</t>
    </r>
    <r>
      <rPr>
        <sz val="10"/>
        <color indexed="14"/>
        <rFont val="Arial"/>
        <family val="2"/>
      </rPr>
      <t>PDQZ</t>
    </r>
  </si>
  <si>
    <t>Trip Zona 4 (21)</t>
  </si>
  <si>
    <t>8.2.1.4(b)(12)</t>
  </si>
  <si>
    <r>
      <t>ZZZ:0YYY:[F1/F2]:</t>
    </r>
    <r>
      <rPr>
        <sz val="10"/>
        <color indexed="14"/>
        <rFont val="Arial"/>
        <family val="2"/>
      </rPr>
      <t>PDCZ</t>
    </r>
  </si>
  <si>
    <t>Trip Zona 5 (21)</t>
  </si>
  <si>
    <t>8.2.1.4(b)(3/4)</t>
  </si>
  <si>
    <r>
      <t>ZZZ:0YYY:[F1/F2]:</t>
    </r>
    <r>
      <rPr>
        <sz val="10"/>
        <color indexed="14"/>
        <rFont val="Arial"/>
        <family val="2"/>
      </rPr>
      <t>ODRA</t>
    </r>
  </si>
  <si>
    <t>Ordem de Religamento Automático (79)</t>
  </si>
  <si>
    <r>
      <t>ZZZ:0YYY:[F1/F2]:</t>
    </r>
    <r>
      <rPr>
        <sz val="10"/>
        <color indexed="14"/>
        <rFont val="Arial"/>
        <family val="2"/>
      </rPr>
      <t>ORDL</t>
    </r>
  </si>
  <si>
    <t>Ordem Relig. Automático Disj Linha (79)</t>
  </si>
  <si>
    <t>Para arranjos disjuntor e meio.</t>
  </si>
  <si>
    <r>
      <t>ZZZ:0YYY:[F1/F2]:</t>
    </r>
    <r>
      <rPr>
        <sz val="10"/>
        <color indexed="14"/>
        <rFont val="Arial"/>
        <family val="2"/>
      </rPr>
      <t>ORDC</t>
    </r>
  </si>
  <si>
    <t>Ordem Relig. Automático Disj Centr (79)</t>
  </si>
  <si>
    <r>
      <t>ZZZ:0YYY:[F1/F2]:</t>
    </r>
    <r>
      <rPr>
        <sz val="10"/>
        <color indexed="14"/>
        <rFont val="Arial"/>
        <family val="2"/>
      </rPr>
      <t>PDRA</t>
    </r>
  </si>
  <si>
    <t>Partida Religamento Automático (79)</t>
  </si>
  <si>
    <t>8.2.1.4(c)(5)</t>
  </si>
  <si>
    <r>
      <t>ZZZ:0YYY:[F1/F2]:</t>
    </r>
    <r>
      <rPr>
        <sz val="10"/>
        <color indexed="14"/>
        <rFont val="Arial"/>
        <family val="2"/>
      </rPr>
      <t>RBLQ</t>
    </r>
  </si>
  <si>
    <t>Religamento Bloqueado (79)</t>
  </si>
  <si>
    <t>Deve agrupar religamento bloqueado e disjuntor não apto (Baixa Pressão 1.Estágio) num único ponto.</t>
  </si>
  <si>
    <t>ZZZ:0YYY:[F1/F2]:RBDL</t>
  </si>
  <si>
    <t>Religamento Bloqueado (79) Disj. de Linha</t>
  </si>
  <si>
    <t>ZZZ:0YYY:[F1/F2]:RBDC</t>
  </si>
  <si>
    <t>Religamento Bloqueado (79) Disj. Central</t>
  </si>
  <si>
    <r>
      <t>ZZZ:0YYY:[F1/F2]:</t>
    </r>
    <r>
      <rPr>
        <sz val="10"/>
        <color indexed="14"/>
        <rFont val="Arial"/>
        <family val="2"/>
      </rPr>
      <t>REFT</t>
    </r>
  </si>
  <si>
    <t>Religamento Efetuado (79)</t>
  </si>
  <si>
    <r>
      <t>ZZZ:0YYY:[F1/F2]:</t>
    </r>
    <r>
      <rPr>
        <sz val="10"/>
        <color indexed="14"/>
        <rFont val="Arial"/>
        <family val="2"/>
      </rPr>
      <t>RDRL</t>
    </r>
  </si>
  <si>
    <t>Religamento Efetuado Disjuntor de Linha</t>
  </si>
  <si>
    <r>
      <t>ZZZ:0YYY:[F1/F2]:</t>
    </r>
    <r>
      <rPr>
        <sz val="10"/>
        <color indexed="14"/>
        <rFont val="Arial"/>
        <family val="2"/>
      </rPr>
      <t>RDRC</t>
    </r>
  </si>
  <si>
    <t>Religamento Efetuado Disjuntor Central</t>
  </si>
  <si>
    <r>
      <t>ZZZ:0YYY:[F1/F2]:</t>
    </r>
    <r>
      <rPr>
        <sz val="10"/>
        <color indexed="14"/>
        <rFont val="Arial"/>
        <family val="2"/>
      </rPr>
      <t>RDLC</t>
    </r>
  </si>
  <si>
    <t>Religamento Efetuado Disjuntor LT/Central</t>
  </si>
  <si>
    <r>
      <t>ZZZ:0YYY:[F1/F2]:</t>
    </r>
    <r>
      <rPr>
        <sz val="10"/>
        <color indexed="14"/>
        <rFont val="Arial"/>
        <family val="2"/>
      </rPr>
      <t>REDL</t>
    </r>
  </si>
  <si>
    <t>Seleção Religamento Disjuntor de Linha</t>
  </si>
  <si>
    <r>
      <t>ZZZ:0YYY:[F1/F2]:</t>
    </r>
    <r>
      <rPr>
        <sz val="10"/>
        <color indexed="14"/>
        <rFont val="Arial"/>
        <family val="2"/>
      </rPr>
      <t>REDC</t>
    </r>
  </si>
  <si>
    <t>Seleção Religamento Disjuntor Central</t>
  </si>
  <si>
    <r>
      <t>ZZZ:0YYY:[F1/F2]:</t>
    </r>
    <r>
      <rPr>
        <sz val="10"/>
        <color indexed="14"/>
        <rFont val="Arial"/>
        <family val="2"/>
      </rPr>
      <t>RELC</t>
    </r>
  </si>
  <si>
    <t>Seleção Relig. Disjuntor LT e Central</t>
  </si>
  <si>
    <r>
      <t>ZZZ:0YYY:[F1/F2]:</t>
    </r>
    <r>
      <rPr>
        <sz val="10"/>
        <color indexed="14"/>
        <rFont val="Arial"/>
        <family val="2"/>
      </rPr>
      <t>RECL</t>
    </r>
  </si>
  <si>
    <t>Seleção Relig. Disjuntor Central e LT</t>
  </si>
  <si>
    <r>
      <t>ZZZ:0YYY:[F1/F2]:</t>
    </r>
    <r>
      <rPr>
        <sz val="10"/>
        <color indexed="14"/>
        <rFont val="Arial"/>
        <family val="2"/>
      </rPr>
      <t>SREM</t>
    </r>
  </si>
  <si>
    <t>Seleção Religamento Monopolar</t>
  </si>
  <si>
    <t>Em caso de religamento Monopolar #RELIGMONO</t>
  </si>
  <si>
    <r>
      <t>ZZZ:0YYY:[UC1]:</t>
    </r>
    <r>
      <rPr>
        <sz val="10"/>
        <color indexed="14"/>
        <rFont val="Arial"/>
        <family val="2"/>
      </rPr>
      <t>SREM</t>
    </r>
  </si>
  <si>
    <r>
      <t>ZZZ:0YYY:[F1/F2]:</t>
    </r>
    <r>
      <rPr>
        <sz val="10"/>
        <color indexed="14"/>
        <rFont val="Arial"/>
        <family val="2"/>
      </rPr>
      <t>SRET</t>
    </r>
  </si>
  <si>
    <t>Seleção Religamento Tripolar</t>
  </si>
  <si>
    <t>Em caso de religamento Monopolar
#RELIGMONO</t>
  </si>
  <si>
    <r>
      <t>ZZZ:0YYY:[UC1]:</t>
    </r>
    <r>
      <rPr>
        <sz val="10"/>
        <color indexed="14"/>
        <rFont val="Arial"/>
        <family val="2"/>
      </rPr>
      <t>SRET</t>
    </r>
  </si>
  <si>
    <r>
      <t>ZZZ:0YYY:[F1/F2]:</t>
    </r>
    <r>
      <rPr>
        <sz val="10"/>
        <color indexed="14"/>
        <rFont val="Arial"/>
        <family val="2"/>
      </rPr>
      <t>RAUT</t>
    </r>
  </si>
  <si>
    <t>Estado do Religamento Automático</t>
  </si>
  <si>
    <r>
      <t>ZZZ:0YYY:[UC1]:</t>
    </r>
    <r>
      <rPr>
        <sz val="10"/>
        <color indexed="14"/>
        <rFont val="Arial"/>
        <family val="2"/>
      </rPr>
      <t>RAUT</t>
    </r>
  </si>
  <si>
    <t>ZZZ:0YYY:00:STP1</t>
  </si>
  <si>
    <t>Tensão TP Barra 1</t>
  </si>
  <si>
    <t>ZZZ:0YYY:00:STP2</t>
  </si>
  <si>
    <t>Tensão TP Barra 2</t>
  </si>
  <si>
    <t>Seleção de sincronismo para Barra Dupla
#BARRADUPLA</t>
  </si>
  <si>
    <t>ZZZ:0YYY:UC1:FTLT</t>
  </si>
  <si>
    <t>Falta Tensão na Linha</t>
  </si>
  <si>
    <r>
      <t>ZZZ:0YYY:[F1/F2]:</t>
    </r>
    <r>
      <rPr>
        <sz val="10"/>
        <color indexed="14"/>
        <rFont val="Arial"/>
        <family val="2"/>
      </rPr>
      <t>TRTP</t>
    </r>
  </si>
  <si>
    <t>Transmissão Permissivo (85)</t>
  </si>
  <si>
    <r>
      <t>ZZZ:0YYY:85:PTTR</t>
    </r>
    <r>
      <rPr>
        <sz val="10"/>
        <color indexed="12"/>
        <rFont val="Arial"/>
        <family val="2"/>
      </rPr>
      <t>(STTR)</t>
    </r>
    <r>
      <rPr>
        <sz val="10"/>
        <color indexed="14"/>
        <rFont val="Arial"/>
        <family val="2"/>
      </rPr>
      <t>(TTRA)</t>
    </r>
    <r>
      <rPr>
        <sz val="10"/>
        <rFont val="Arial"/>
        <family val="2"/>
      </rPr>
      <t>, ZZZ:0YYY:00:ONS3</t>
    </r>
  </si>
  <si>
    <t>8.2.1.4(b)(6)</t>
  </si>
  <si>
    <r>
      <t>ZZZ:0YYY:[F1/F2]:</t>
    </r>
    <r>
      <rPr>
        <sz val="10"/>
        <color indexed="14"/>
        <rFont val="Arial"/>
        <family val="2"/>
      </rPr>
      <t>TRC1</t>
    </r>
  </si>
  <si>
    <t>Teleproteção Transmissão Comando 1</t>
  </si>
  <si>
    <r>
      <t>ZZZ:0YYY:[F1/F2]:</t>
    </r>
    <r>
      <rPr>
        <sz val="10"/>
        <color indexed="14"/>
        <rFont val="Arial"/>
        <family val="2"/>
      </rPr>
      <t>TRC2</t>
    </r>
  </si>
  <si>
    <t>Teleproteção Transmissão Comando 2</t>
  </si>
  <si>
    <r>
      <t>ZZZ:0YYY:[F1/F2]:</t>
    </r>
    <r>
      <rPr>
        <sz val="10"/>
        <color indexed="14"/>
        <rFont val="Arial"/>
        <family val="2"/>
      </rPr>
      <t>TRC3</t>
    </r>
  </si>
  <si>
    <t>Teleproteção Transmissão Comando 3</t>
  </si>
  <si>
    <t>Em caso de religamento Monopolar
#RELIGMONO #TELEPROT</t>
  </si>
  <si>
    <r>
      <t>ZZZ:0YYY:[F1/F2]:</t>
    </r>
    <r>
      <rPr>
        <sz val="10"/>
        <color indexed="14"/>
        <rFont val="Arial"/>
        <family val="2"/>
      </rPr>
      <t>TRC4</t>
    </r>
  </si>
  <si>
    <t>Teleproteção Transmissão Comando 4</t>
  </si>
  <si>
    <r>
      <t>ZZZ:0YYY:[F1/F2]:</t>
    </r>
    <r>
      <rPr>
        <sz val="10"/>
        <color indexed="14"/>
        <rFont val="Arial"/>
        <family val="2"/>
      </rPr>
      <t>RCC1</t>
    </r>
  </si>
  <si>
    <t>Teleproteção Recepção Comando 1</t>
  </si>
  <si>
    <r>
      <t>ZZZ:0YYY:85:PPRT</t>
    </r>
    <r>
      <rPr>
        <sz val="10"/>
        <color indexed="12"/>
        <rFont val="Arial"/>
        <family val="2"/>
      </rPr>
      <t>(PSRT)</t>
    </r>
    <r>
      <rPr>
        <sz val="10"/>
        <color indexed="14"/>
        <rFont val="Arial"/>
        <family val="2"/>
      </rPr>
      <t>(TREC)</t>
    </r>
  </si>
  <si>
    <r>
      <t>ZZZ:0YYY:[F1/F2]:</t>
    </r>
    <r>
      <rPr>
        <sz val="10"/>
        <color indexed="14"/>
        <rFont val="Arial"/>
        <family val="2"/>
      </rPr>
      <t>RCC2</t>
    </r>
  </si>
  <si>
    <t>Teleproteção Recepção Comando 2</t>
  </si>
  <si>
    <r>
      <t>ZZZ:0YYY:[F1/F2]:</t>
    </r>
    <r>
      <rPr>
        <sz val="10"/>
        <color indexed="14"/>
        <rFont val="Arial"/>
        <family val="2"/>
      </rPr>
      <t>RCC3</t>
    </r>
  </si>
  <si>
    <t>Teleproteção Recepção Comando 3</t>
  </si>
  <si>
    <r>
      <t>ZZZ:0YYY:[F1/F2]:</t>
    </r>
    <r>
      <rPr>
        <sz val="10"/>
        <color indexed="14"/>
        <rFont val="Arial"/>
        <family val="2"/>
      </rPr>
      <t>RCC4</t>
    </r>
  </si>
  <si>
    <t>Teleproteção Recepção Comando 4</t>
  </si>
  <si>
    <r>
      <t>ZZZ:0YYY:85:PPRT</t>
    </r>
    <r>
      <rPr>
        <sz val="10"/>
        <color indexed="12"/>
        <rFont val="Arial"/>
        <family val="2"/>
      </rPr>
      <t>(PSRT)</t>
    </r>
    <r>
      <rPr>
        <sz val="10"/>
        <color indexed="14"/>
        <rFont val="Arial"/>
        <family val="2"/>
      </rPr>
      <t>(TREC)</t>
    </r>
    <r>
      <rPr>
        <sz val="10"/>
        <rFont val="Arial"/>
        <family val="2"/>
      </rPr>
      <t>, ZZZ:0YYY:00:ONS3</t>
    </r>
  </si>
  <si>
    <t>ZZZ:0YYY:[F1/F2]:SOIT</t>
  </si>
  <si>
    <t>Trip SobreTensão (59) Inst / Temp</t>
  </si>
  <si>
    <t>8.2.1.4(a)(1)</t>
  </si>
  <si>
    <r>
      <t>ZZZ:0YYY:[F1/F2]:</t>
    </r>
    <r>
      <rPr>
        <sz val="10"/>
        <color indexed="14"/>
        <rFont val="Arial"/>
        <family val="2"/>
      </rPr>
      <t>SOIN</t>
    </r>
  </si>
  <si>
    <t>Trip SobreTensão Inst (59I)</t>
  </si>
  <si>
    <t>Apenas quando não for possível a supervisão conjunta.</t>
  </si>
  <si>
    <r>
      <t>ZZZ:0YYY:[F1/F2]:</t>
    </r>
    <r>
      <rPr>
        <sz val="10"/>
        <color indexed="14"/>
        <rFont val="Arial"/>
        <family val="2"/>
      </rPr>
      <t>SOTE</t>
    </r>
  </si>
  <si>
    <t>Trip SobreTensão Temp (59T)</t>
  </si>
  <si>
    <r>
      <t>ZZZ:0YYY:[F1/F2]:</t>
    </r>
    <r>
      <rPr>
        <sz val="10"/>
        <color indexed="14"/>
        <rFont val="Arial"/>
        <family val="2"/>
      </rPr>
      <t>PDDT</t>
    </r>
  </si>
  <si>
    <t>Trip SobreCorrente Dir Fase Temp (67T)</t>
  </si>
  <si>
    <t>Onde aplicável</t>
  </si>
  <si>
    <t>8.2.1.4(b)(13)</t>
  </si>
  <si>
    <r>
      <t>ZZZ:0YYY:[F1/F2]:</t>
    </r>
    <r>
      <rPr>
        <sz val="10"/>
        <color indexed="14"/>
        <rFont val="Arial"/>
        <family val="2"/>
      </rPr>
      <t>PDDI</t>
    </r>
  </si>
  <si>
    <t>Trip SobreCorrente Dir Fase Inst (67I)</t>
  </si>
  <si>
    <t>8.2.1.4(b)(14)</t>
  </si>
  <si>
    <r>
      <t>ZZZ:0YYY:[F1/F2]:</t>
    </r>
    <r>
      <rPr>
        <sz val="10"/>
        <color indexed="14"/>
        <rFont val="Arial"/>
        <family val="2"/>
      </rPr>
      <t>SDNT</t>
    </r>
  </si>
  <si>
    <t>Trip SobreCorrente Dir Neutro Temp (67NT)</t>
  </si>
  <si>
    <r>
      <t>ZZZ:0YYY:[F1/F2]:</t>
    </r>
    <r>
      <rPr>
        <sz val="10"/>
        <color indexed="14"/>
        <rFont val="Arial"/>
        <family val="2"/>
      </rPr>
      <t>SDNI</t>
    </r>
  </si>
  <si>
    <t>Trip SobreCorrente Dir Neutro Inst (67NI)</t>
  </si>
  <si>
    <t>Apenas quando não for possível a supervisão separada.</t>
  </si>
  <si>
    <r>
      <t>ZZZ:0YYY:[F1/F2]:</t>
    </r>
    <r>
      <rPr>
        <sz val="10"/>
        <color indexed="14"/>
        <rFont val="Arial"/>
        <family val="2"/>
      </rPr>
      <t>SCFA</t>
    </r>
  </si>
  <si>
    <t>Trip SobreCorrente 50/51 Fase A</t>
  </si>
  <si>
    <t>Aplicado caso não haja 21 ativo</t>
  </si>
  <si>
    <r>
      <t>ZZZ:0YYY:50/51:SOPP</t>
    </r>
    <r>
      <rPr>
        <sz val="10"/>
        <color indexed="12"/>
        <rFont val="Arial"/>
        <family val="2"/>
      </rPr>
      <t>(SOPS)</t>
    </r>
    <r>
      <rPr>
        <sz val="10"/>
        <color indexed="14"/>
        <rFont val="Arial"/>
        <family val="2"/>
      </rPr>
      <t>(SCOR)</t>
    </r>
  </si>
  <si>
    <r>
      <t>ZZZ:0YYY:[F1/F2]:</t>
    </r>
    <r>
      <rPr>
        <sz val="10"/>
        <color indexed="14"/>
        <rFont val="Arial"/>
        <family val="2"/>
      </rPr>
      <t>SCFB</t>
    </r>
  </si>
  <si>
    <t>Trip SobreCorrente 50/51 Fase B</t>
  </si>
  <si>
    <r>
      <t>ZZZ:0YYY:[F1/F2]:</t>
    </r>
    <r>
      <rPr>
        <sz val="10"/>
        <color indexed="14"/>
        <rFont val="Arial"/>
        <family val="2"/>
      </rPr>
      <t>SCFC</t>
    </r>
  </si>
  <si>
    <t>Trip SobreCorrente 50/51 Fase C</t>
  </si>
  <si>
    <r>
      <t>ZZZ:0YYY:[F1/F2]:</t>
    </r>
    <r>
      <rPr>
        <sz val="10"/>
        <color indexed="14"/>
        <rFont val="Arial"/>
        <family val="2"/>
      </rPr>
      <t>SCON</t>
    </r>
  </si>
  <si>
    <t>Trip SobreCorrente 50/51 Neutro</t>
  </si>
  <si>
    <r>
      <t>ZZZ:0YYY:[F1/F2]:</t>
    </r>
    <r>
      <rPr>
        <sz val="10"/>
        <color indexed="14"/>
        <rFont val="Arial"/>
        <family val="2"/>
      </rPr>
      <t>SCOR</t>
    </r>
  </si>
  <si>
    <t>Trip SobreCorrente 50/51 Fases</t>
  </si>
  <si>
    <t>Agrupamento das fases ABC.</t>
  </si>
  <si>
    <r>
      <t>ZZZ:0YYY:[F1/F2]:</t>
    </r>
    <r>
      <rPr>
        <sz val="10"/>
        <color indexed="14"/>
        <rFont val="Arial"/>
        <family val="2"/>
      </rPr>
      <t>SOCE</t>
    </r>
  </si>
  <si>
    <t>Trip SobreCorrente Emergência</t>
  </si>
  <si>
    <r>
      <t>ZZZ:0YYY:[F1/F2]:</t>
    </r>
    <r>
      <rPr>
        <sz val="10"/>
        <color indexed="14"/>
        <rFont val="Arial"/>
        <family val="2"/>
      </rPr>
      <t>PDFA</t>
    </r>
  </si>
  <si>
    <t xml:space="preserve">Trip Relé Diferencial 87 Fase A </t>
  </si>
  <si>
    <t>Onde aplicável.
No caso de LINK usar a OCR OCR_NOR_IPU01 
#87</t>
  </si>
  <si>
    <r>
      <t>ZZZ:0YYY:87L:DIFP</t>
    </r>
    <r>
      <rPr>
        <sz val="10"/>
        <color indexed="12"/>
        <rFont val="Arial"/>
        <family val="2"/>
      </rPr>
      <t>(DIFS)</t>
    </r>
    <r>
      <rPr>
        <sz val="10"/>
        <color indexed="14"/>
        <rFont val="Arial"/>
        <family val="2"/>
      </rPr>
      <t xml:space="preserve">(PDIF) </t>
    </r>
  </si>
  <si>
    <r>
      <t>ZZZ:0YYY:[F1/F2]:</t>
    </r>
    <r>
      <rPr>
        <sz val="10"/>
        <color indexed="14"/>
        <rFont val="Arial"/>
        <family val="2"/>
      </rPr>
      <t>PDFB</t>
    </r>
  </si>
  <si>
    <t xml:space="preserve">Trip Relé Diferencial 87 Fase B </t>
  </si>
  <si>
    <r>
      <t>ZZZ:0YYY:[F1/F2]:</t>
    </r>
    <r>
      <rPr>
        <sz val="10"/>
        <color indexed="14"/>
        <rFont val="Arial"/>
        <family val="2"/>
      </rPr>
      <t>PDFC</t>
    </r>
  </si>
  <si>
    <t xml:space="preserve">Trip Relé Diferencial 87 Fase C </t>
  </si>
  <si>
    <r>
      <t>ZZZ:0YYY:[F1/F2]:</t>
    </r>
    <r>
      <rPr>
        <sz val="10"/>
        <color indexed="14"/>
        <rFont val="Arial"/>
        <family val="2"/>
      </rPr>
      <t>PDIF</t>
    </r>
  </si>
  <si>
    <t>Trip Relé Diferencial 87</t>
  </si>
  <si>
    <t>Agrupamento das fases ABC. No caso de LINK usar a OCR OCR_NOR_IPU01 
#87</t>
  </si>
  <si>
    <r>
      <t>ZZZ:0YYY:[F1/F2]:</t>
    </r>
    <r>
      <rPr>
        <sz val="10"/>
        <color indexed="14"/>
        <rFont val="Arial"/>
        <family val="2"/>
      </rPr>
      <t>TTTT</t>
    </r>
  </si>
  <si>
    <t>Transmissão Transfer Trip (85)</t>
  </si>
  <si>
    <t>Agrupamento das fases ABC. #TELEPROT</t>
  </si>
  <si>
    <r>
      <t>ZZZ:0YYY:[F1/F2]:</t>
    </r>
    <r>
      <rPr>
        <sz val="10"/>
        <color indexed="14"/>
        <rFont val="Arial"/>
        <family val="2"/>
      </rPr>
      <t>TTTM</t>
    </r>
  </si>
  <si>
    <t>Transmissão Transfer Trip Mantido</t>
  </si>
  <si>
    <r>
      <t>ZZZ:0YYY:[F1/F2]:</t>
    </r>
    <r>
      <rPr>
        <sz val="10"/>
        <color indexed="14"/>
        <rFont val="Arial"/>
        <family val="2"/>
      </rPr>
      <t>RTTM</t>
    </r>
  </si>
  <si>
    <t>Recepção Transfer Trip Mantido</t>
  </si>
  <si>
    <t>8.2.1.4(b)(8)</t>
  </si>
  <si>
    <r>
      <t>ZZZ:0YYY:[F1/F2]:</t>
    </r>
    <r>
      <rPr>
        <sz val="10"/>
        <color indexed="14"/>
        <rFont val="Arial"/>
        <family val="2"/>
      </rPr>
      <t>TRTT</t>
    </r>
  </si>
  <si>
    <t>Recepção Transfer Trip (85)</t>
  </si>
  <si>
    <t>Agrupamento das fases ABC.
#TELEPROT</t>
  </si>
  <si>
    <r>
      <t>ZZZ:0YYY:[F1/F2]:</t>
    </r>
    <r>
      <rPr>
        <sz val="10"/>
        <color indexed="14"/>
        <rFont val="Arial"/>
        <family val="2"/>
      </rPr>
      <t>RCRP</t>
    </r>
  </si>
  <si>
    <t>Recepção Permissivo (85)</t>
  </si>
  <si>
    <t>#TELEPROT Discutir DOMO/DOPR</t>
  </si>
  <si>
    <t>8.2.1.4(b)(7)</t>
  </si>
  <si>
    <t>Atuação Relé de Bloqueio</t>
  </si>
  <si>
    <t>ZZZ:0YYY:RDP:OSEG</t>
  </si>
  <si>
    <t>Oscilógrafo em Gravação</t>
  </si>
  <si>
    <t>ZZZ:0YYY:RDP:OSFG</t>
  </si>
  <si>
    <t>Oscilógrafo Falha Geral</t>
  </si>
  <si>
    <t>ZZZ:0YYY:RDP:OSGA</t>
  </si>
  <si>
    <t>Oscilógrafo Grupo de Alarmes</t>
  </si>
  <si>
    <t>ZZZ:0YYY:RDP:OSFC</t>
  </si>
  <si>
    <t>Oscilógrafo Falha de Comunicação</t>
  </si>
  <si>
    <r>
      <t>ZZZ:0YYY:[F1/F2/F9]:</t>
    </r>
    <r>
      <rPr>
        <sz val="10"/>
        <color indexed="14"/>
        <rFont val="Arial"/>
        <family val="2"/>
      </rPr>
      <t>TEDF</t>
    </r>
  </si>
  <si>
    <t>Trip por End Fault</t>
  </si>
  <si>
    <t>ZZZ:0YYY:{PNL}:PRTA</t>
  </si>
  <si>
    <t>Painel Porta Aberta</t>
  </si>
  <si>
    <t>ZZZ:0YYY:UC1:DTPM</t>
  </si>
  <si>
    <t>Desligamento Mini Disj. TP de Medição</t>
  </si>
  <si>
    <r>
      <t>ZZZ:0YYY:UC1:</t>
    </r>
    <r>
      <rPr>
        <sz val="10"/>
        <color indexed="14"/>
        <rFont val="Arial"/>
        <family val="2"/>
      </rPr>
      <t>DTM2</t>
    </r>
  </si>
  <si>
    <t>Mini-Disjuntor TP de Medição Barra 2</t>
  </si>
  <si>
    <t>Para linhas de 69 kV utilizando TP das duas barras (arranjo PASS). 
#PASS #BARRADUPLA</t>
  </si>
  <si>
    <r>
      <t>ZZZ:0YYY:00:PPAP</t>
    </r>
    <r>
      <rPr>
        <sz val="10"/>
        <color indexed="12"/>
        <rFont val="Arial"/>
        <family val="2"/>
      </rPr>
      <t>(PSAP)</t>
    </r>
    <r>
      <rPr>
        <sz val="10"/>
        <color indexed="14"/>
        <rFont val="Arial"/>
        <family val="2"/>
      </rPr>
      <t>(ANPR)</t>
    </r>
  </si>
  <si>
    <r>
      <t>ZZZ:0YYY:UC1:</t>
    </r>
    <r>
      <rPr>
        <sz val="10"/>
        <color indexed="14"/>
        <rFont val="Arial"/>
        <family val="2"/>
      </rPr>
      <t>DTM1</t>
    </r>
  </si>
  <si>
    <t>Mini-Disjuntor TP de Medição Barra 1</t>
  </si>
  <si>
    <t>Para linhas de 69 kV utilizando TP das duas barras (arranjo PASS). #PASS</t>
  </si>
  <si>
    <r>
      <t>ZZZ:0YYY:[F1/F2]:</t>
    </r>
    <r>
      <rPr>
        <sz val="10"/>
        <color indexed="14"/>
        <rFont val="Arial"/>
        <family val="2"/>
      </rPr>
      <t>DTP2</t>
    </r>
  </si>
  <si>
    <t>Mini-Disjuntor TP de Proteção Barra 2</t>
  </si>
  <si>
    <t>Para linhas de 69 kV utilizando TP das duas barras (arranjo PASS).
 #PASS #BARRADUPLA</t>
  </si>
  <si>
    <r>
      <t>ZZZ:0YYY:[F1/F2]:</t>
    </r>
    <r>
      <rPr>
        <sz val="10"/>
        <color indexed="14"/>
        <rFont val="Arial"/>
        <family val="2"/>
      </rPr>
      <t>DTP1</t>
    </r>
  </si>
  <si>
    <t>Mini-Disjuntor TP de Proteção Barra 1</t>
  </si>
  <si>
    <r>
      <t>ZZZ:0YYY:[F1/F2]:</t>
    </r>
    <r>
      <rPr>
        <sz val="10"/>
        <color indexed="14"/>
        <rFont val="Arial"/>
        <family val="2"/>
      </rPr>
      <t>DTPP</t>
    </r>
  </si>
  <si>
    <t>Desligamento Mini Disj. TP de Proteção</t>
  </si>
  <si>
    <t>ZZZ:0YYY:UC1:DTSI</t>
  </si>
  <si>
    <t>Desligamento Mini Disj. TP de Sincronismo</t>
  </si>
  <si>
    <t>Quando houver mini disjuntor exclusivo pra sincronismo</t>
  </si>
  <si>
    <t>ZZZ:0YYY:00:PPAP(PSAP)(ANPR)</t>
  </si>
  <si>
    <r>
      <t>ZZZ:0YYY:[F1/F2]:</t>
    </r>
    <r>
      <rPr>
        <sz val="10"/>
        <color indexed="14"/>
        <rFont val="Arial"/>
        <family val="2"/>
      </rPr>
      <t>PDBF</t>
    </r>
  </si>
  <si>
    <t>Bloqueio por Falha de Potencial do TP</t>
  </si>
  <si>
    <r>
      <t>ZZZ:0YYY:00:PPAP</t>
    </r>
    <r>
      <rPr>
        <sz val="10"/>
        <color indexed="12"/>
        <rFont val="Arial"/>
        <family val="2"/>
      </rPr>
      <t>(PSAP)</t>
    </r>
    <r>
      <rPr>
        <sz val="10"/>
        <color indexed="14"/>
        <rFont val="Arial"/>
        <family val="2"/>
      </rPr>
      <t>(ANPR)</t>
    </r>
    <r>
      <rPr>
        <sz val="10"/>
        <rFont val="Arial"/>
        <family val="2"/>
      </rPr>
      <t>, ZZZ:0YYY:00:ONS3</t>
    </r>
  </si>
  <si>
    <t>8.2.1.4(b)(9)</t>
  </si>
  <si>
    <r>
      <t>ZZZ:0YYY:[F1/F2]:</t>
    </r>
    <r>
      <rPr>
        <sz val="10"/>
        <color indexed="14"/>
        <rFont val="Arial"/>
        <family val="2"/>
      </rPr>
      <t>FIRE</t>
    </r>
  </si>
  <si>
    <t>Falha Interna Relé</t>
  </si>
  <si>
    <t>** - NEMA da Função principal do Relé</t>
  </si>
  <si>
    <t>ZZZ:0YYY:[F1/F2]:FCSI</t>
  </si>
  <si>
    <t>Falha de Comunicação SAGE-IED</t>
  </si>
  <si>
    <t>Ponto gerado no SAGE que monitora a ligação com o dispositivo</t>
  </si>
  <si>
    <r>
      <t>ZZZ:0YYY:[F1/F2/UC1]:</t>
    </r>
    <r>
      <rPr>
        <sz val="10"/>
        <color indexed="14"/>
        <rFont val="Arial"/>
        <family val="2"/>
      </rPr>
      <t>FGOE</t>
    </r>
  </si>
  <si>
    <t>Falha de Goose</t>
  </si>
  <si>
    <r>
      <t>ZZZ:0YYY:[F1/F2/UC1]:</t>
    </r>
    <r>
      <rPr>
        <sz val="10"/>
        <color indexed="14"/>
        <rFont val="Arial"/>
        <family val="2"/>
      </rPr>
      <t>FGPS</t>
    </r>
  </si>
  <si>
    <t>Falha de Sincronismo com GPS</t>
  </si>
  <si>
    <t>** - NEMA da Função principal do Relé ou UCn (n=número da Unidade de Controle)</t>
  </si>
  <si>
    <t>ZZZ:0YYY:[F1/F2/UC1]:FPCn</t>
  </si>
  <si>
    <t>Falha Porta de Comunicação</t>
  </si>
  <si>
    <t>"n" - Número da porta.</t>
  </si>
  <si>
    <t>** - NEMA da Função principal do Relé
Usar F1, F2 e F3 para os casos onde existem mais de um relé com esta função</t>
  </si>
  <si>
    <r>
      <t>ZZZ:0YYY:[F1/F2]:</t>
    </r>
    <r>
      <rPr>
        <sz val="10"/>
        <color indexed="14"/>
        <rFont val="Arial"/>
        <family val="2"/>
      </rPr>
      <t>CPTS</t>
    </r>
  </si>
  <si>
    <t>Proteção em Teste</t>
  </si>
  <si>
    <t>ZZZ:0YYY:[F1/F2]:FPTn</t>
  </si>
  <si>
    <t>Falha Porta de Comunicação Telep. (85)</t>
  </si>
  <si>
    <t>"n"- Numeração sequencial do Canal de Comunicação.</t>
  </si>
  <si>
    <t>ZZZ:0YYY:UC1:ULOC</t>
  </si>
  <si>
    <t>Unidade de Controle em Local</t>
  </si>
  <si>
    <t>Usar este ponto para intertravar comandos da UC.</t>
  </si>
  <si>
    <t>ZZZ:0YYY:UC1:ULOCD</t>
  </si>
  <si>
    <t>Ponto para intertravamento dos comandos da UC no N3. É um cálculo de ULOC com seleção N2.</t>
  </si>
  <si>
    <t>ZZZ:0YYY:[F1/F2]:ILOCD</t>
  </si>
  <si>
    <t>IED em Local</t>
  </si>
  <si>
    <t>Ponto para intertravamento dos comandos da IED no N3. É um cálculo de ILOC com seleção N2.</t>
  </si>
  <si>
    <t>ZZZ:0YYY:[F1/F2]:ILOC</t>
  </si>
  <si>
    <t>Usar quando o controle é feito por um IED de proteção.</t>
  </si>
  <si>
    <t>ZZZ:0YYY:UC1:FIUC</t>
  </si>
  <si>
    <t>Falha Interna Unidade de Controle</t>
  </si>
  <si>
    <t>ZZZ:0YYY:[F1/F2]:FSRL</t>
  </si>
  <si>
    <t>Falha Sincronismo no Religamento (25)</t>
  </si>
  <si>
    <t>ZZZ:0YYY:{PNL}:FCCP</t>
  </si>
  <si>
    <t>Falta CC Circuito Painel</t>
  </si>
  <si>
    <t>ZZZ:0YYY:{PNL}:FCEA</t>
  </si>
  <si>
    <t>Falta CC Painel Entrada A</t>
  </si>
  <si>
    <t>ZZZ:0YYY:{PNL}:FCEB</t>
  </si>
  <si>
    <t>Falta CC Painel Entrada B</t>
  </si>
  <si>
    <t>** Nome do Painel com no máximo 6 dígitos.</t>
  </si>
  <si>
    <t>ZZZ:0YYY:[TLP1/TLP2]:TLFC</t>
  </si>
  <si>
    <t>Teleproteção Falta CC</t>
  </si>
  <si>
    <t>Onde aplicável.
#TELEPROT</t>
  </si>
  <si>
    <t>ZZZ:0YYY:85:ANTL, ZZZ:0YYY:[F1/F2]:ANTL</t>
  </si>
  <si>
    <t>ZZZ:0YYY:85:ANTL</t>
  </si>
  <si>
    <t>ZZZ:0YYY:[TLP1/TLP2]:TLPU</t>
  </si>
  <si>
    <t>Teleproteção Alarme Urgente</t>
  </si>
  <si>
    <t>ZZZ:0YYY:[TLP1/TLP2]:TLPA</t>
  </si>
  <si>
    <t>Teleproteção Alarme Não Urgente</t>
  </si>
  <si>
    <t>ZZZ:0YYY:[TLP1/TLP2]:TLPL</t>
  </si>
  <si>
    <t>Teleproteção Falha no Link</t>
  </si>
  <si>
    <t>ZZZ:0YYY:[TLP1/TLP2]:TLFT</t>
  </si>
  <si>
    <t>Teleproteção Falha Transmissão</t>
  </si>
  <si>
    <t>ZZZ:0YYY:[TLP1/TLP2]:TLFR</t>
  </si>
  <si>
    <t>Teleproteção Falha Recepção</t>
  </si>
  <si>
    <t>ZZZ:0YYY:[TLP1/TLP2]:TLPD</t>
  </si>
  <si>
    <t>Teleproteção Defeito Interno</t>
  </si>
  <si>
    <t>ZZZ:0YYY:[TLP1/TLP2]:TLPG</t>
  </si>
  <si>
    <t>Teleproteção Falha Geral</t>
  </si>
  <si>
    <t>ZZZ:0YYY:[TLP1/TLP2]:FACO</t>
  </si>
  <si>
    <t>Teleproteção Falha de Conversor Óptico</t>
  </si>
  <si>
    <t>ZZZ:0YYY:[TLP1/TLP2]:TLPT</t>
  </si>
  <si>
    <t>Teleproteção em Teste</t>
  </si>
  <si>
    <t>Chave CLT</t>
  </si>
  <si>
    <t>Falha Conversor</t>
  </si>
  <si>
    <t>Falha de Comunicação</t>
  </si>
  <si>
    <t xml:space="preserve">** - Nome do dispositivo sem comunicação, Ex. PLC, OSC (oscilógrafo), GPS, PCPG, UTR, SAGE... </t>
  </si>
  <si>
    <r>
      <t>ZZZ:0YYY:[F1/F2]:</t>
    </r>
    <r>
      <rPr>
        <sz val="10"/>
        <color indexed="14"/>
        <rFont val="Arial"/>
        <family val="2"/>
      </rPr>
      <t>PDPO</t>
    </r>
  </si>
  <si>
    <t>Partida Oscilação de Potência (68)</t>
  </si>
  <si>
    <t>ONS - Proteção Outras Funções</t>
  </si>
  <si>
    <t>8.2.1.4(b)</t>
  </si>
  <si>
    <t>ZZZ:0YYY:F9:RVBL</t>
  </si>
  <si>
    <t>Relé do Vão Bloqueado</t>
  </si>
  <si>
    <t>Onde aplicável.</t>
  </si>
  <si>
    <t>ZZZ:0YYY:F9:FIRV</t>
  </si>
  <si>
    <t>Falha Interna Relé do Vão</t>
  </si>
  <si>
    <t>ZZZ:0YYY:F9:CPTS</t>
  </si>
  <si>
    <t>ZZZ:0YYY:F9:FGPS</t>
  </si>
  <si>
    <t>ZZZ:0YYY:F9:FGOE</t>
  </si>
  <si>
    <t>ZZZ:0YYY:F9:FPCn</t>
  </si>
  <si>
    <t>ZZZ:0XHY:00:ANPR</t>
  </si>
  <si>
    <t>ZZZ:0YYY:[F1/F2]:BDIF</t>
  </si>
  <si>
    <t>Proteção Diferencial (87) Bloqueada</t>
  </si>
  <si>
    <t>#87</t>
  </si>
  <si>
    <t>ZZZ:0YYY:[F1/F2]:TEBL</t>
  </si>
  <si>
    <t>Teleproteção (85) Bloqueada</t>
  </si>
  <si>
    <t>ZZZ:0YYY:[F1/F2]:PATU</t>
  </si>
  <si>
    <t>Proteção Atuada</t>
  </si>
  <si>
    <t>Vindo do acessante. Todas as atuações de cada IED devem ser agrupadas num único ponto de "Proteção Atuada". #ACESSANTE</t>
  </si>
  <si>
    <t>ZZZ:0YYY:UC1:GA2P</t>
  </si>
  <si>
    <t>Grupo Ajustes 2 nas proteções</t>
  </si>
  <si>
    <t>ZZZ:0YYY:[F1/F2]:GA2P</t>
  </si>
  <si>
    <t>PAS</t>
  </si>
  <si>
    <t>ZZZ:0YYY:MW</t>
  </si>
  <si>
    <t>MW da LT 0YYY-ZZZ/XXX</t>
  </si>
  <si>
    <t>MW</t>
  </si>
  <si>
    <t>Usar casa decimal (duas) para os casos de linhas e alimentadores de 69kV e 13,8kV.</t>
  </si>
  <si>
    <t>7.3.1.1(c)(4)</t>
  </si>
  <si>
    <t>ZZZ:0YYY:MVAR</t>
  </si>
  <si>
    <t>MVAR da LT 0YYY-ZZZ/XXX</t>
  </si>
  <si>
    <t>MVAR</t>
  </si>
  <si>
    <t>ZZZ:0YYY:KVAB</t>
  </si>
  <si>
    <t>KV da Fase AB da LT 0YYY-ZZZ/XXX</t>
  </si>
  <si>
    <t>KV_AB</t>
  </si>
  <si>
    <t>kV</t>
  </si>
  <si>
    <t>Medida Inexistente para os casos de linhas e alimentadores de 69kV e 13,8kV.
Usar casa decimal (uma) para os casos de barramentos de 69kV e 13,8kV.</t>
  </si>
  <si>
    <t>Exibir apenas na janela de grupo</t>
  </si>
  <si>
    <t>ZZZ:0YYY:KVBC</t>
  </si>
  <si>
    <t>KV da Fase BC da LT 0YYY-ZZZ/XXX</t>
  </si>
  <si>
    <t>KV_BC</t>
  </si>
  <si>
    <t>7.3.1.1(c)(6)</t>
  </si>
  <si>
    <t>ZZZ:0YYY:KVCA</t>
  </si>
  <si>
    <t>KV da Fase CA da LT 0YYY-ZZZ/XXX</t>
  </si>
  <si>
    <t>KV_CA</t>
  </si>
  <si>
    <t>ZZZ:0YYY:AMPA</t>
  </si>
  <si>
    <t>Corrente Fase A da LT 0YYY-ZZZ/XXX</t>
  </si>
  <si>
    <t>AMP_A</t>
  </si>
  <si>
    <t>A</t>
  </si>
  <si>
    <t>ZZZ:0YYY:AMPB</t>
  </si>
  <si>
    <t>Corrente Fase B da LT 0YYY-ZZZ/XXX</t>
  </si>
  <si>
    <t>AMP_B</t>
  </si>
  <si>
    <t>7.3.1.1(c)(5)</t>
  </si>
  <si>
    <t>ZZZ:0YYY:AMPC</t>
  </si>
  <si>
    <t>Corrente Fase C da LT 0YYY-ZZZ/XXX</t>
  </si>
  <si>
    <t>AMP_C</t>
  </si>
  <si>
    <t>ZZZ:0YYY:[F1/F2]:KM</t>
  </si>
  <si>
    <t>Distância de Falta LT 0YYY-ZZZ/XXX</t>
  </si>
  <si>
    <t>DIST</t>
  </si>
  <si>
    <t>km</t>
  </si>
  <si>
    <t>CGS</t>
  </si>
  <si>
    <r>
      <t>ZZZ:0YYY:UC1:</t>
    </r>
    <r>
      <rPr>
        <sz val="10"/>
        <color indexed="14"/>
        <rFont val="Arial"/>
        <family val="2"/>
      </rPr>
      <t>RAUT</t>
    </r>
  </si>
  <si>
    <t>Ativar/Desativar Religamento 0YYY-ZZZ/XXX</t>
  </si>
  <si>
    <t>CD</t>
  </si>
  <si>
    <t>CS</t>
  </si>
  <si>
    <t>Rearme do Relé de Bloqueio</t>
  </si>
  <si>
    <t>Ativar Grupo Ajustes 2 nas proteções</t>
  </si>
  <si>
    <t>CHESF -  NÍVEL 2</t>
  </si>
  <si>
    <t xml:space="preserve">ENDEREÇO  </t>
  </si>
  <si>
    <t xml:space="preserve">  PROC. DE REDE</t>
  </si>
  <si>
    <t>x</t>
  </si>
  <si>
    <t>ZZZ:0XTY:[F1/F2/F3/F4]:TPCD</t>
  </si>
  <si>
    <t>Trip Porta Aberta Cubiculo Delta</t>
  </si>
  <si>
    <t>#MONOFASICO</t>
  </si>
  <si>
    <t>Trip Relé de Gás Trafo 2.Grau (63) Fase A</t>
  </si>
  <si>
    <t>PTIP</t>
  </si>
  <si>
    <t>Apenas para Banco Monofásico. 
#ProInt #MONOFASICO #63
Objetos das fases deverão ficar sobrepostos na Tela</t>
  </si>
  <si>
    <t>8.2.1.1(b)(3)i</t>
  </si>
  <si>
    <t>Trip Relé de Gás Trafo 2.Grau (63) Fase B</t>
  </si>
  <si>
    <t>Trip Relé de Gás Trafo 2.Grau (63) Fase C</t>
  </si>
  <si>
    <t>Apenas para Banco Monofásico.
 #ProInt #MONOFASICO #63
Objetos das fases deverão ficar sobrepostos na Tela</t>
  </si>
  <si>
    <t>Trip Relé de Gás Trafo 2.Grau (63)</t>
  </si>
  <si>
    <t>#ProInt #63 Apenas para trafos trifásicos</t>
  </si>
  <si>
    <t>ZZZ:0XTY:00:ONS3</t>
  </si>
  <si>
    <t>Trip Relé de Fluxo (63) Comutador Fase A</t>
  </si>
  <si>
    <t>8.2.1.1(b)(3)iv</t>
  </si>
  <si>
    <t>Trip Relé de Fluxo (63) Comutador Fase B</t>
  </si>
  <si>
    <t>Trip Relé de Fluxo (63) Comutador Fase C</t>
  </si>
  <si>
    <t>Trip Relé de Fluxo (63) Comutador</t>
  </si>
  <si>
    <t>Apenas para PAD de SEs antigas</t>
  </si>
  <si>
    <r>
      <t>ZZZ:0XTY:[F1/F2]:</t>
    </r>
    <r>
      <rPr>
        <sz val="10"/>
        <color indexed="14"/>
        <rFont val="Arial"/>
        <family val="2"/>
      </rPr>
      <t>PDFA</t>
    </r>
  </si>
  <si>
    <t>Trip Relé Diferencial 87 Fase A</t>
  </si>
  <si>
    <r>
      <t>ZZZ:0XTY:87:</t>
    </r>
    <r>
      <rPr>
        <sz val="10"/>
        <color indexed="60"/>
        <rFont val="Arial"/>
        <family val="2"/>
      </rPr>
      <t>RDF1</t>
    </r>
    <r>
      <rPr>
        <sz val="10"/>
        <color indexed="12"/>
        <rFont val="Arial"/>
        <family val="2"/>
      </rPr>
      <t>(RDF2)</t>
    </r>
    <r>
      <rPr>
        <sz val="10"/>
        <color indexed="14"/>
        <rFont val="Arial"/>
        <family val="2"/>
      </rPr>
      <t>(RDF3)(PDIF)</t>
    </r>
    <r>
      <rPr>
        <sz val="10"/>
        <rFont val="Arial"/>
        <family val="2"/>
      </rPr>
      <t>, ZZZ:0XTY:00:ONS3</t>
    </r>
  </si>
  <si>
    <t>8.2.1.1(b)(3)v</t>
  </si>
  <si>
    <r>
      <t>ZZZ:0XTY:87:</t>
    </r>
    <r>
      <rPr>
        <sz val="10"/>
        <color indexed="60"/>
        <rFont val="Arial"/>
        <family val="2"/>
      </rPr>
      <t>DF1A</t>
    </r>
    <r>
      <rPr>
        <sz val="10"/>
        <color indexed="12"/>
        <rFont val="Arial"/>
        <family val="2"/>
      </rPr>
      <t>(DF2A)</t>
    </r>
    <r>
      <rPr>
        <sz val="10"/>
        <color indexed="14"/>
        <rFont val="Arial"/>
        <family val="2"/>
      </rPr>
      <t>(DF3A)(PDFA)</t>
    </r>
  </si>
  <si>
    <r>
      <t>ZZZ:0XTY:[F1/F2]:</t>
    </r>
    <r>
      <rPr>
        <sz val="10"/>
        <color indexed="14"/>
        <rFont val="Arial"/>
        <family val="2"/>
      </rPr>
      <t>PDFB</t>
    </r>
  </si>
  <si>
    <t>Trip Relé Diferencial 87 Fase B</t>
  </si>
  <si>
    <r>
      <t>ZZZ:0XTY:[F1/F2]:</t>
    </r>
    <r>
      <rPr>
        <sz val="10"/>
        <color indexed="14"/>
        <rFont val="Arial"/>
        <family val="2"/>
      </rPr>
      <t>PDFC</t>
    </r>
  </si>
  <si>
    <t>Trip Relé Diferencial 87 Fase C</t>
  </si>
  <si>
    <r>
      <t>ZZZ:0XTY:[F1/F2]:</t>
    </r>
    <r>
      <rPr>
        <sz val="10"/>
        <color indexed="14"/>
        <rFont val="Arial"/>
        <family val="2"/>
      </rPr>
      <t>PDIF</t>
    </r>
  </si>
  <si>
    <r>
      <t>ZZZ:0XTY:[F1/F2]:</t>
    </r>
    <r>
      <rPr>
        <sz val="10"/>
        <color indexed="14"/>
        <rFont val="Arial"/>
        <family val="2"/>
      </rPr>
      <t>TDGQ</t>
    </r>
  </si>
  <si>
    <t>Trip Relé Difer. 87G enrol. 500kV</t>
  </si>
  <si>
    <r>
      <t>ZZZ:0XTY:[F1/F2]:</t>
    </r>
    <r>
      <rPr>
        <sz val="10"/>
        <color indexed="14"/>
        <rFont val="Arial"/>
        <family val="2"/>
      </rPr>
      <t>TDGD</t>
    </r>
  </si>
  <si>
    <t>Trip Relé Difer. 87G enrol. 230kV</t>
  </si>
  <si>
    <r>
      <t>ZZZ:0XTY:[F1/F2/F3/F4]:</t>
    </r>
    <r>
      <rPr>
        <sz val="10"/>
        <color indexed="14"/>
        <rFont val="Arial"/>
        <family val="2"/>
      </rPr>
      <t>TDGC</t>
    </r>
  </si>
  <si>
    <t>Trip Relé Difer. 87G enrol. 138kV</t>
  </si>
  <si>
    <r>
      <t>ZZZ:0XTY:[F1/F2]:</t>
    </r>
    <r>
      <rPr>
        <sz val="10"/>
        <color indexed="14"/>
        <rFont val="Arial"/>
        <family val="2"/>
      </rPr>
      <t>SCQA</t>
    </r>
  </si>
  <si>
    <t>Trip SobreCorrente 50/51 500kV Fase A</t>
  </si>
  <si>
    <r>
      <t>ZZZ:0XTY:50/51:</t>
    </r>
    <r>
      <rPr>
        <sz val="10"/>
        <color indexed="60"/>
        <rFont val="Arial"/>
        <family val="2"/>
      </rPr>
      <t>CQ1F</t>
    </r>
    <r>
      <rPr>
        <sz val="10"/>
        <color indexed="12"/>
        <rFont val="Arial"/>
        <family val="2"/>
      </rPr>
      <t>(CQ2F)</t>
    </r>
    <r>
      <rPr>
        <sz val="10"/>
        <color indexed="14"/>
        <rFont val="Arial"/>
        <family val="2"/>
      </rPr>
      <t>(CQ3F)(SCLQ)</t>
    </r>
  </si>
  <si>
    <t>8.2.1.1(b)(1)ii</t>
  </si>
  <si>
    <t>Distribuído agrupado em ONS1.</t>
  </si>
  <si>
    <r>
      <t>ZZZ:0XTY:[F1/F2]:</t>
    </r>
    <r>
      <rPr>
        <sz val="10"/>
        <color indexed="14"/>
        <rFont val="Arial"/>
        <family val="2"/>
      </rPr>
      <t>SCQB</t>
    </r>
  </si>
  <si>
    <t>Trip SobreCorrente 50/51 500kV Fase B</t>
  </si>
  <si>
    <r>
      <t>ZZZ:0XTY:[F1/F2]:</t>
    </r>
    <r>
      <rPr>
        <sz val="10"/>
        <color indexed="14"/>
        <rFont val="Arial"/>
        <family val="2"/>
      </rPr>
      <t>SCQC</t>
    </r>
  </si>
  <si>
    <t>Trip SobreCorrente 50/51 500kV Fase C</t>
  </si>
  <si>
    <r>
      <t>ZZZ:0XTY:[F1/F2]:</t>
    </r>
    <r>
      <rPr>
        <sz val="10"/>
        <color indexed="14"/>
        <rFont val="Arial"/>
        <family val="2"/>
      </rPr>
      <t>SCLQ</t>
    </r>
  </si>
  <si>
    <t>Trip SobreCorrente 50/51 500kV Fases</t>
  </si>
  <si>
    <t>ZZZ:0XTY:00:ONS1</t>
  </si>
  <si>
    <r>
      <t>ZZZ:0XTY:[F1/F2]:</t>
    </r>
    <r>
      <rPr>
        <sz val="10"/>
        <color indexed="14"/>
        <rFont val="Arial"/>
        <family val="2"/>
      </rPr>
      <t>SCQN</t>
    </r>
  </si>
  <si>
    <t>Trip SobreCorrente 50/51 500kV Neutro</t>
  </si>
  <si>
    <r>
      <t>ZZZ:0XTY:[F1/F2]:</t>
    </r>
    <r>
      <rPr>
        <sz val="10"/>
        <color indexed="14"/>
        <rFont val="Arial"/>
        <family val="2"/>
      </rPr>
      <t>SRQA</t>
    </r>
  </si>
  <si>
    <t>Trip SobreCorrente 50/51V 500kV Fase A</t>
  </si>
  <si>
    <r>
      <t>ZZZ:0XTY:50/51:</t>
    </r>
    <r>
      <rPr>
        <sz val="10"/>
        <color indexed="60"/>
        <rFont val="Arial"/>
        <family val="2"/>
      </rPr>
      <t>RQ1F</t>
    </r>
    <r>
      <rPr>
        <sz val="10"/>
        <color indexed="12"/>
        <rFont val="Arial"/>
        <family val="2"/>
      </rPr>
      <t>(RQ2F)</t>
    </r>
    <r>
      <rPr>
        <sz val="10"/>
        <color indexed="14"/>
        <rFont val="Arial"/>
        <family val="2"/>
      </rPr>
      <t>(RQ3F)(SRLQ)</t>
    </r>
  </si>
  <si>
    <r>
      <t>ZZZ:0XTY:[F1/F2]:</t>
    </r>
    <r>
      <rPr>
        <sz val="10"/>
        <color indexed="14"/>
        <rFont val="Arial"/>
        <family val="2"/>
      </rPr>
      <t>SRQB</t>
    </r>
  </si>
  <si>
    <t>Trip SobreCorrente 50/51V 500kV Fase B</t>
  </si>
  <si>
    <r>
      <t>ZZZ:0XTY:[F1/F2]:</t>
    </r>
    <r>
      <rPr>
        <sz val="10"/>
        <color indexed="14"/>
        <rFont val="Arial"/>
        <family val="2"/>
      </rPr>
      <t>SRQC</t>
    </r>
  </si>
  <si>
    <t>Trip SobreCorrente 50/51V 500kV Fase C</t>
  </si>
  <si>
    <r>
      <t>ZZZ:0XTY:[F1/F2]:</t>
    </r>
    <r>
      <rPr>
        <sz val="10"/>
        <color indexed="14"/>
        <rFont val="Arial"/>
        <family val="2"/>
      </rPr>
      <t>SRLQ</t>
    </r>
  </si>
  <si>
    <t>Trip SobreCorrente 50/51V 500kV Fases</t>
  </si>
  <si>
    <r>
      <t>ZZZ:0XTY:[F1/F2]:</t>
    </r>
    <r>
      <rPr>
        <sz val="10"/>
        <color indexed="14"/>
        <rFont val="Arial"/>
        <family val="2"/>
      </rPr>
      <t>SRQN</t>
    </r>
  </si>
  <si>
    <t>Trip SobreCorrente 50/51V 500kV Neutro</t>
  </si>
  <si>
    <r>
      <t>ZZZ:0XTY:[F1/F2]:</t>
    </r>
    <r>
      <rPr>
        <sz val="10"/>
        <color indexed="14"/>
        <rFont val="Arial"/>
        <family val="2"/>
      </rPr>
      <t>SGLQ</t>
    </r>
  </si>
  <si>
    <t>Trip SobreCorrente 50/51G 500kV</t>
  </si>
  <si>
    <r>
      <t>ZZZ:0XTY:[F1/F2]:</t>
    </r>
    <r>
      <rPr>
        <sz val="10"/>
        <color indexed="14"/>
        <rFont val="Arial"/>
        <family val="2"/>
      </rPr>
      <t>SGSQ</t>
    </r>
  </si>
  <si>
    <t>Trip SobreCorrente 50/51GS 500kV</t>
  </si>
  <si>
    <r>
      <t>ZZZ:0XTY:[F1/F2]:</t>
    </r>
    <r>
      <rPr>
        <sz val="10"/>
        <color indexed="14"/>
        <rFont val="Arial"/>
        <family val="2"/>
      </rPr>
      <t>SLTQ</t>
    </r>
  </si>
  <si>
    <t>Trip SobreCorrente 50 OLT 500kV Fases</t>
  </si>
  <si>
    <r>
      <t>ZZZ:0XTY:[F1/F2/F3]:</t>
    </r>
    <r>
      <rPr>
        <sz val="10"/>
        <color indexed="14"/>
        <rFont val="Arial"/>
        <family val="2"/>
      </rPr>
      <t>SCDA</t>
    </r>
  </si>
  <si>
    <t>Trip SobreCorrente 50/51 230kV Fase A</t>
  </si>
  <si>
    <r>
      <t>ZZZ:0XTY:50/51:</t>
    </r>
    <r>
      <rPr>
        <sz val="10"/>
        <color indexed="60"/>
        <rFont val="Arial"/>
        <family val="2"/>
      </rPr>
      <t>CD1F</t>
    </r>
    <r>
      <rPr>
        <sz val="10"/>
        <color indexed="12"/>
        <rFont val="Arial"/>
        <family val="2"/>
      </rPr>
      <t>(CD2F)</t>
    </r>
    <r>
      <rPr>
        <sz val="10"/>
        <color indexed="14"/>
        <rFont val="Arial"/>
        <family val="2"/>
      </rPr>
      <t>(CD3F)(SCLD)</t>
    </r>
  </si>
  <si>
    <r>
      <t>ZZZ:0XTY:[F1/F2/F3]:</t>
    </r>
    <r>
      <rPr>
        <sz val="10"/>
        <color indexed="14"/>
        <rFont val="Arial"/>
        <family val="2"/>
      </rPr>
      <t>SCDB</t>
    </r>
  </si>
  <si>
    <t>Trip SobreCorrente 50/51 230kV Fase B</t>
  </si>
  <si>
    <r>
      <t>ZZZ:0XTY:[F1/F2/F3]:</t>
    </r>
    <r>
      <rPr>
        <sz val="10"/>
        <color indexed="14"/>
        <rFont val="Arial"/>
        <family val="2"/>
      </rPr>
      <t>SCDC</t>
    </r>
  </si>
  <si>
    <t>Trip SobreCorrente 50/51 230kV Fase C</t>
  </si>
  <si>
    <r>
      <t>ZZZ:0XTY:[F1/F2/F3]:</t>
    </r>
    <r>
      <rPr>
        <sz val="10"/>
        <color indexed="14"/>
        <rFont val="Arial"/>
        <family val="2"/>
      </rPr>
      <t>SCLD</t>
    </r>
  </si>
  <si>
    <t>Trip SobreCorrente 50/51 230kV Fases</t>
  </si>
  <si>
    <r>
      <t>ZZZ:0XTY:[F1/F2/F3]:</t>
    </r>
    <r>
      <rPr>
        <sz val="10"/>
        <color indexed="14"/>
        <rFont val="Arial"/>
        <family val="2"/>
      </rPr>
      <t>SCDN</t>
    </r>
  </si>
  <si>
    <t>Trip SobreCorrente 50/51 230kV Neutro</t>
  </si>
  <si>
    <r>
      <t>ZZZ:0XTY:[F1/F2/F3]:</t>
    </r>
    <r>
      <rPr>
        <sz val="10"/>
        <color indexed="14"/>
        <rFont val="Arial"/>
        <family val="2"/>
      </rPr>
      <t>SRDA</t>
    </r>
  </si>
  <si>
    <t>Trip SobreCorrente 50/51V 230kV Fase A</t>
  </si>
  <si>
    <r>
      <t>ZZZ:0XTY:50/51:</t>
    </r>
    <r>
      <rPr>
        <sz val="10"/>
        <color indexed="60"/>
        <rFont val="Arial"/>
        <family val="2"/>
      </rPr>
      <t>RD1F</t>
    </r>
    <r>
      <rPr>
        <sz val="10"/>
        <color indexed="12"/>
        <rFont val="Arial"/>
        <family val="2"/>
      </rPr>
      <t>(RD2F)</t>
    </r>
    <r>
      <rPr>
        <sz val="10"/>
        <color indexed="14"/>
        <rFont val="Arial"/>
        <family val="2"/>
      </rPr>
      <t>(RD3F)(SRLD)</t>
    </r>
  </si>
  <si>
    <r>
      <t>ZZZ:0XTY:[F1/F2/F3]:</t>
    </r>
    <r>
      <rPr>
        <sz val="10"/>
        <color indexed="14"/>
        <rFont val="Arial"/>
        <family val="2"/>
      </rPr>
      <t>SRDB</t>
    </r>
  </si>
  <si>
    <t>Trip SobreCorrente 50/51V 230kV Fase B</t>
  </si>
  <si>
    <r>
      <t>ZZZ:0XTY:[F1/F2/F3]:</t>
    </r>
    <r>
      <rPr>
        <sz val="10"/>
        <color indexed="14"/>
        <rFont val="Arial"/>
        <family val="2"/>
      </rPr>
      <t>SRDC</t>
    </r>
  </si>
  <si>
    <t>Trip SobreCorrente 50/51V 230kV Fase C</t>
  </si>
  <si>
    <t>ZZZ:0XTY:[F1/F2/F3]:SRLD</t>
  </si>
  <si>
    <t>Trip SobreCorrente 50/51V 230kV Fases</t>
  </si>
  <si>
    <t>ZZZ:0XTY:[F1/F2/F3]:SRDN</t>
  </si>
  <si>
    <t>Trip SobreCorrente 50/51V 230kV Neutro</t>
  </si>
  <si>
    <t>ZZZ:0XTY:[F1/F2/F3]:SGLD</t>
  </si>
  <si>
    <t>Trip SobreCorrente 50/51G 230kV</t>
  </si>
  <si>
    <t>ZZZ:0XTY:[F1/F2/F3]:SGSD</t>
  </si>
  <si>
    <t>Trip SobreCorrente 51GS 230kV</t>
  </si>
  <si>
    <t>ZZZ:0XTY:[F1/F2/F3]:SLTD</t>
  </si>
  <si>
    <t>Trip SobreCorrente 50 OLT 230kV Fases</t>
  </si>
  <si>
    <t>ZZZ:0XTY:[F1/F2/F4]:SOCA</t>
  </si>
  <si>
    <t>Trip SobreCorrente 50/51 138kV Fase A</t>
  </si>
  <si>
    <r>
      <t>ZZZ:0XTY:50/51:</t>
    </r>
    <r>
      <rPr>
        <sz val="10"/>
        <color indexed="60"/>
        <rFont val="Arial"/>
        <family val="2"/>
      </rPr>
      <t>CC1F</t>
    </r>
    <r>
      <rPr>
        <sz val="10"/>
        <color indexed="12"/>
        <rFont val="Arial"/>
        <family val="2"/>
      </rPr>
      <t>(CC2F)</t>
    </r>
    <r>
      <rPr>
        <sz val="10"/>
        <color indexed="14"/>
        <rFont val="Arial"/>
        <family val="2"/>
      </rPr>
      <t>(CC3F)(SCLC)</t>
    </r>
  </si>
  <si>
    <t>ZZZ:0XTY:[F1/F2/F4]:SOCB</t>
  </si>
  <si>
    <t>Trip SobreCorrente 50/51 138kV Fase B</t>
  </si>
  <si>
    <t>ZZZ:0XTY:[F1/F2/F4]:SOCC</t>
  </si>
  <si>
    <t>Trip SobreCorrente 50/51 138kV Fase C</t>
  </si>
  <si>
    <t>ZZZ:0XTY:[F1/F2/F4]:SCLC</t>
  </si>
  <si>
    <t>Trip SobreCorrente 50/51 138kV Fases</t>
  </si>
  <si>
    <t>ZZZ:0XTY:[F1/F2/F4]:SOCN</t>
  </si>
  <si>
    <t>Trip SobreCorrente 50/51 138kV Neutro</t>
  </si>
  <si>
    <t>ZZZ:0XTY:[F1/F2/F4]:RCLA</t>
  </si>
  <si>
    <t>Trip SobreCorrente 50/51V 138kV Fase A</t>
  </si>
  <si>
    <r>
      <t>ZZZ:0XTY:50/51:</t>
    </r>
    <r>
      <rPr>
        <sz val="10"/>
        <color indexed="60"/>
        <rFont val="Arial"/>
        <family val="2"/>
      </rPr>
      <t>RC1F</t>
    </r>
    <r>
      <rPr>
        <sz val="10"/>
        <color indexed="12"/>
        <rFont val="Arial"/>
        <family val="2"/>
      </rPr>
      <t>(RC2F)</t>
    </r>
    <r>
      <rPr>
        <sz val="10"/>
        <color indexed="14"/>
        <rFont val="Arial"/>
        <family val="2"/>
      </rPr>
      <t>(RC3F)(RCLS)</t>
    </r>
  </si>
  <si>
    <t>ZZZ:0XTY:[F1/F2/F4]:RCLB</t>
  </si>
  <si>
    <t>Trip SobreCorrente 50/51V 138kV Fase B</t>
  </si>
  <si>
    <t>ZZZ:0XTY:[F1/F2/F4]:RCLC</t>
  </si>
  <si>
    <t>Trip SobreCorrente 50/51V 138kV Fase C</t>
  </si>
  <si>
    <t>ZZZ:0XTY:[F1/F2/F4]:RCLS</t>
  </si>
  <si>
    <t>Trip SobreCorrente 50/51V 138kV Fases</t>
  </si>
  <si>
    <t>ZZZ:0XTY:[F1/F2/F4]:RCLN</t>
  </si>
  <si>
    <t>Trip SobreCorrente 50/51V 138kV Neutro</t>
  </si>
  <si>
    <t>ZZZ:0XTY:[F1/F2/F4]:GCLS</t>
  </si>
  <si>
    <t>Trip SobreCorrente 50/51G 138kV</t>
  </si>
  <si>
    <t>ZZZ:0XTY:[F1/F2/F4]:SGSC</t>
  </si>
  <si>
    <t>Trip SobreCorrente 51GS 138kV</t>
  </si>
  <si>
    <t>ZZZ:0XTY:[F1/F2/F4]:SLTC</t>
  </si>
  <si>
    <t>Trip SobreCorrente 50 OLT 138kV Fases</t>
  </si>
  <si>
    <t>ZZZ:0XTY:[F1/F2/F4]:SCSA</t>
  </si>
  <si>
    <t>Trip SobreCorrente 50/51 69kV Fase A</t>
  </si>
  <si>
    <r>
      <t>ZZZ:0XTY:50/51:</t>
    </r>
    <r>
      <rPr>
        <sz val="10"/>
        <color indexed="60"/>
        <rFont val="Arial"/>
        <family val="2"/>
      </rPr>
      <t>CS1F</t>
    </r>
    <r>
      <rPr>
        <sz val="10"/>
        <color indexed="12"/>
        <rFont val="Arial"/>
        <family val="2"/>
      </rPr>
      <t>(CS2F)</t>
    </r>
    <r>
      <rPr>
        <sz val="10"/>
        <color indexed="14"/>
        <rFont val="Arial"/>
        <family val="2"/>
      </rPr>
      <t>(CS3F)(SCLS)</t>
    </r>
  </si>
  <si>
    <t>ZZZ:0XTY:[F1/F2/F4]:SCSB</t>
  </si>
  <si>
    <t>Trip SobreCorrente 50/51 69kV Fase B</t>
  </si>
  <si>
    <t>ZZZ:0XTY:[F1/F2/F4]:SCSC</t>
  </si>
  <si>
    <t>Trip SobreCorrente 50/51 69kV Fase C</t>
  </si>
  <si>
    <t>ZZZ:0XTY:[F1/F2/F4]:SCLS</t>
  </si>
  <si>
    <t>Trip SobreCorrente 50/51 69kV Fases</t>
  </si>
  <si>
    <t>ZZZ:0XTY:[F1/F2/F4]:SCSN</t>
  </si>
  <si>
    <t>Trip SobreCorrente 50/51 69kV Neutro</t>
  </si>
  <si>
    <t>ZZZ:0XTY:[F1/F2/F4]:SRSA</t>
  </si>
  <si>
    <t>Trip SobreCorrente 50/51V 69kV Fase A</t>
  </si>
  <si>
    <r>
      <t>ZZZ:0XTY:50/51:</t>
    </r>
    <r>
      <rPr>
        <sz val="10"/>
        <color indexed="60"/>
        <rFont val="Arial"/>
        <family val="2"/>
      </rPr>
      <t>RS1F</t>
    </r>
    <r>
      <rPr>
        <sz val="10"/>
        <color indexed="12"/>
        <rFont val="Arial"/>
        <family val="2"/>
      </rPr>
      <t>(RS2F)</t>
    </r>
    <r>
      <rPr>
        <sz val="10"/>
        <color indexed="14"/>
        <rFont val="Arial"/>
        <family val="2"/>
      </rPr>
      <t>(RS3F)(SRLS)</t>
    </r>
  </si>
  <si>
    <t>ZZZ:0XTY:[F1/F2/F4]:SRSB</t>
  </si>
  <si>
    <t>Trip SobreCorrente 50/51V 69kV Fase B</t>
  </si>
  <si>
    <t>ZZZ:0XTY:[F1/F2/F4]:SRSC</t>
  </si>
  <si>
    <t>Trip SobreCorrente 50/51V 69kV Fase C</t>
  </si>
  <si>
    <t>ZZZ:0XTY:[F1/F2/F4]:SRLS</t>
  </si>
  <si>
    <t>Trip SobreCorrente 50/51V 69kV Fases</t>
  </si>
  <si>
    <t>ZZZ:0XTY:[F1/F2/F4]:SRSN</t>
  </si>
  <si>
    <t>Trip SobreCorrente 50/51V 69kV Neutro</t>
  </si>
  <si>
    <t>ZZZ:0XTY:[F1/F2/F4]:SLTS</t>
  </si>
  <si>
    <t>Trip SobreCorrente 50 OLT 69kV Fases</t>
  </si>
  <si>
    <t>ZZZ:0XTY:[F1/F2/F3/F5]:SCTA</t>
  </si>
  <si>
    <t>Trip SobreCorrente 50/51 13.8kV Fase A</t>
  </si>
  <si>
    <t>Será PTIP (OCR_NOR_IPU01) quando se tratar de enrolamento em delta em trafo de 500kV. #500KV
#MONOFASICO
Objetos das fases deverão ficar sobrepostos na Tela</t>
  </si>
  <si>
    <r>
      <t>ZZZ:0XTY:50/51:</t>
    </r>
    <r>
      <rPr>
        <sz val="10"/>
        <color indexed="60"/>
        <rFont val="Arial"/>
        <family val="2"/>
      </rPr>
      <t>CT1F</t>
    </r>
    <r>
      <rPr>
        <sz val="10"/>
        <color indexed="12"/>
        <rFont val="Arial"/>
        <family val="2"/>
      </rPr>
      <t>(CT2F)</t>
    </r>
    <r>
      <rPr>
        <sz val="10"/>
        <color indexed="14"/>
        <rFont val="Arial"/>
        <family val="2"/>
      </rPr>
      <t>(CT3F)(SCLT)</t>
    </r>
  </si>
  <si>
    <t>ZZZ:0XTY:[F1/F2/F3/F5]:SCTB</t>
  </si>
  <si>
    <t>Trip SobreCorrente 50/51 13.8kV Fase B</t>
  </si>
  <si>
    <t>ZZZ:0XTY:[F1/F2/F3/F5]:SCTC</t>
  </si>
  <si>
    <t>Trip SobreCorrente 50/51 13.8kV Fase C</t>
  </si>
  <si>
    <t>ZZZ:0XTY:[F1/F2/F3/F5]:SCLT</t>
  </si>
  <si>
    <t>Trip SobreCorrente 50/51 13.8kV Fases</t>
  </si>
  <si>
    <t xml:space="preserve">Será PTIP (OCR_NOR_IPU01) quando se tratar de enrolamento em delta em trafo de 500kV. #500KV
Apenas Trafo trifásico.
</t>
  </si>
  <si>
    <t>ZZZ:0XTY:[F1/F2/F3/F5]:SCTN</t>
  </si>
  <si>
    <t>Trip SobreCorrente 50/51 13.8kV Neutro</t>
  </si>
  <si>
    <t>ZZZ:0XTY:[F1/F2/F3/F5]:SRTA</t>
  </si>
  <si>
    <t>Trip SobreCorrente 50/51V 13.8kV Fase A</t>
  </si>
  <si>
    <t>#MONOFASICO
Objetos das fases deverão ficar sobrepostos na Tela</t>
  </si>
  <si>
    <r>
      <t>ZZZ:0XTY:50/51:</t>
    </r>
    <r>
      <rPr>
        <sz val="10"/>
        <color indexed="60"/>
        <rFont val="Arial"/>
        <family val="2"/>
      </rPr>
      <t>RT1F</t>
    </r>
    <r>
      <rPr>
        <sz val="10"/>
        <color indexed="12"/>
        <rFont val="Arial"/>
        <family val="2"/>
      </rPr>
      <t>(RT2F)</t>
    </r>
    <r>
      <rPr>
        <sz val="10"/>
        <color indexed="14"/>
        <rFont val="Arial"/>
        <family val="2"/>
      </rPr>
      <t>(RT3F)(SRLT)</t>
    </r>
  </si>
  <si>
    <t>ZZZ:0XTY:[F1/F2/F3/F5]:SRTB</t>
  </si>
  <si>
    <t>Trip SobreCorrente 50/51V 13.8kV Fase B</t>
  </si>
  <si>
    <t>ZZZ:0XTY:[F1/F2/F3/F5]:SRTC</t>
  </si>
  <si>
    <t>Trip SobreCorrente 50/51V 13.8kV Fase C</t>
  </si>
  <si>
    <t>ZZZ:0XTY:[F1/F2/F3/F5]:SRLT</t>
  </si>
  <si>
    <t>Trip SobreCorrente 50/51V 13.8kV Fases</t>
  </si>
  <si>
    <t>ZZZ:0XTY:[F1/F2/F3/F5]:SRTN</t>
  </si>
  <si>
    <t>Trip SobreCorrente 50/51V 13.8kV Neutro</t>
  </si>
  <si>
    <t>ZZZ:0XTY:[F1/F2/F3/F5]:SLTT</t>
  </si>
  <si>
    <t>Trip SobreCorrente 50 OLT 13.8kV Fases</t>
  </si>
  <si>
    <t>Trip SubTensão (27)</t>
  </si>
  <si>
    <t>ZZZ:0XTY:[F4/F5]:SSZT</t>
  </si>
  <si>
    <t>Trip SobreTensão Seq Zero(59N) Enrol Delta</t>
  </si>
  <si>
    <t>8.2.1.1(b)(3)ii</t>
  </si>
  <si>
    <t>7.3.1.2(h)</t>
  </si>
  <si>
    <t>ZZZ:0XTY:26/49:TOES, ZZZ:0XTY:00:ONS2</t>
  </si>
  <si>
    <t xml:space="preserve">Temperatura Óleo(26)/Enrol.(49) 1.Grau </t>
  </si>
  <si>
    <t>Apenas trafo trifásico</t>
  </si>
  <si>
    <t>Temper. Óleo(26)/Enrol.(49) 1.Grau Fase A</t>
  </si>
  <si>
    <t>Apenas para Banco Monofásico.
#MONOFASICO
Objetos das fases deverão ficar sobrepostos na Tela</t>
  </si>
  <si>
    <t>Temper. Óleo(26)/Enrol.(49) 1.Grau Fase B</t>
  </si>
  <si>
    <t>Temper. Óleo(26)/Enrol.(49) 1.Grau Fase C</t>
  </si>
  <si>
    <t>Temperatura Óleo (26) 2.Grau</t>
  </si>
  <si>
    <t>#ProInt 
Apenas trafo trifásico</t>
  </si>
  <si>
    <t>8.2.1.1(b)(2)i</t>
  </si>
  <si>
    <t>Temperatura Óleo (26) 2.Grau Fase A</t>
  </si>
  <si>
    <t>Apenas para Banco Monofásico. 
#ProInt #MONOFASICO
Objetos das fases deverão ficar sobrepostos na Tela</t>
  </si>
  <si>
    <t>Temperatura Óleo (26) 2.Grau Fase B</t>
  </si>
  <si>
    <t>Temperatura Óleo (26) 2.Grau Fase C</t>
  </si>
  <si>
    <t>Temperatura Enrolamento (49) 2.Grau</t>
  </si>
  <si>
    <t>#ProInt
Apenas trafo trifasico</t>
  </si>
  <si>
    <t>8.2.1.1(b)(2)ii</t>
  </si>
  <si>
    <t>Temperatura Enrolamento (49) 2.Grau Fase A</t>
  </si>
  <si>
    <t>Apenas para Banco Monofásico. 
#ProInt #MONOFASICO
Apenas trafo trifásico</t>
  </si>
  <si>
    <t>Temperatura Enrolamento (49) 2.Grau Fase B</t>
  </si>
  <si>
    <t>Temperatura Enrolamento (49) 2.Grau Fase C</t>
  </si>
  <si>
    <t>Trip Temper. Óleo/Enrol Temporizado</t>
  </si>
  <si>
    <t>Sinal colhido após temporização e enviado via chave 43I. #ProInt
Apenas Trafo trifásico</t>
  </si>
  <si>
    <t>8.2.1.1(b)(2)</t>
  </si>
  <si>
    <t>Trip Temper. Óleo/Enrol Temporizado Fase A</t>
  </si>
  <si>
    <t>Apenas para Banco Monofásico. Sinal colhido após temporização e enviado via chave 43I. 
#ProInt #MONOFASICO
Objetos das fases deverão ficar sobrepostos na Tela</t>
  </si>
  <si>
    <t>Trip Temper. Óleo/Enrol Temporizado Fase B</t>
  </si>
  <si>
    <t>Trip Temper. Óleo/Enrol Temporizado Fase C</t>
  </si>
  <si>
    <t>ZZZ:0XTY:00:ONS2</t>
  </si>
  <si>
    <t>Relé de Gás Trafo 1.Grau Fase A</t>
  </si>
  <si>
    <t>ZZZ:0XTY:63:ARGP</t>
  </si>
  <si>
    <t>Relé de Gás Trafo 1.Grau Fase B</t>
  </si>
  <si>
    <t>Relé de Gás Trafo 1.Grau Fase C</t>
  </si>
  <si>
    <t>Relé de Gás Trafo 1.Grau</t>
  </si>
  <si>
    <t>Apenas para trafo trifásico</t>
  </si>
  <si>
    <t>ZZZ:0XTY:UC2:VSFA</t>
  </si>
  <si>
    <t>Válvula de Segurança (63) Fase A</t>
  </si>
  <si>
    <t>Apenas para Banco Monofásico.
#MONOFASICO #63
Objetos das fases deverão ficar sobrepostos na Tela</t>
  </si>
  <si>
    <t>ZZZ:0XTY:63VS:VS1G(VS2G)(VS3G)(VSEG)</t>
  </si>
  <si>
    <t>8.2.1.1(b)(3)iii</t>
  </si>
  <si>
    <t>ZZZ:0XTY:UC2:VSFB</t>
  </si>
  <si>
    <t>Válvula de Segurança (63) Fase B</t>
  </si>
  <si>
    <t>ZZZ:0XTY:UC2:VSFC</t>
  </si>
  <si>
    <t>Válvula de Segurança (63) Fase C</t>
  </si>
  <si>
    <t>ZZZ:0XTY:UC2:VSEG</t>
  </si>
  <si>
    <t>Válvula de Segurança (63)</t>
  </si>
  <si>
    <t>#63, apenas para trafo trifásico</t>
  </si>
  <si>
    <t>Trip Válvula de Segurança (63)</t>
  </si>
  <si>
    <t>#ProInt #63, 
- Utilizar somente caso o fabricante do trafo indique a necessidade por questões de garantia;
- Apenas para trafos trifásicos</t>
  </si>
  <si>
    <t>Trip Válvula de Segurança (63) Fase A</t>
  </si>
  <si>
    <t>Apenas para Banco Monofásico. 
#ProInt #MONOFASICO #63
- Utilizar somente caso o fabricante do trafo indique a necessidade por questões de garantia;
- Objetos das fases deverão ficar sobrepostos na Tela</t>
  </si>
  <si>
    <t>Trip Válvula de Segurança (63) Fase B</t>
  </si>
  <si>
    <t>Trip Válvula de Segurança (63) Fase C</t>
  </si>
  <si>
    <t>Apenas para PAD</t>
  </si>
  <si>
    <t>Nível Anormal de Gás/Umidade de Óleo</t>
  </si>
  <si>
    <t>Nível Anormal de Gás/Umid. de Óleo Fase A</t>
  </si>
  <si>
    <t>Apenas para Banco Monofásico.
#MONOFASICO
- Objetos das fases deverão ficar sobrepostos na Tela</t>
  </si>
  <si>
    <t>Nível Anormal de Gás/Umid. de Óleo Fase B</t>
  </si>
  <si>
    <t>Nível Anormal de Gás/Umid. de Óleo Fase C</t>
  </si>
  <si>
    <t>Nível Anormal de Óleo</t>
  </si>
  <si>
    <t>Nível Anormal de Óleo Fase A</t>
  </si>
  <si>
    <t>Nível Anormal de Óleo Fase B</t>
  </si>
  <si>
    <t>Nível Anormal de Óleo Fase C</t>
  </si>
  <si>
    <t>Ruptura da Membrana do Conservador</t>
  </si>
  <si>
    <t>Ruptura da Membrana do Conservador Fase A</t>
  </si>
  <si>
    <t>Ruptura da Membrana do Conservador Fase B</t>
  </si>
  <si>
    <t>Ruptura da Membrana do Conservador Fase C</t>
  </si>
  <si>
    <t>Apenas para Banco Monofásico.
#MONOFASICO</t>
  </si>
  <si>
    <t>ZZZ:0XTY:UC1:AFDV</t>
  </si>
  <si>
    <t>Disj. aberto/Falha Sist. Vent. Forçada</t>
  </si>
  <si>
    <t>Abert/Falha Disj. Sist. Ventilação Forçada</t>
  </si>
  <si>
    <t>ZZZ:0XTY:UC1:AFDA</t>
  </si>
  <si>
    <t>Disj. aberto/Falha Sist. Vent. Forçada Fase A</t>
  </si>
  <si>
    <t>Apenas para Banco Monofásico.
#MONOFASICO. Objetos das fases deverão ficar sobrepostos na Tela</t>
  </si>
  <si>
    <t>Abert/Falha Disj. Sist.Vent.Forçada Fase A</t>
  </si>
  <si>
    <t>ZZZ:0XTY:UC1:AFDB</t>
  </si>
  <si>
    <t>Disj. aberto/Falha Sist. Vent. Forçada Fase B</t>
  </si>
  <si>
    <t>Abert/Falha Disj. Sist.Vent.Forçada Fase B</t>
  </si>
  <si>
    <t>ZZZ:0XTY:UC1:AFDC</t>
  </si>
  <si>
    <t>Disj. aberto/Falha Sist. Vent. Forçada Fase C</t>
  </si>
  <si>
    <t>Abert/Falha Disj. Sist.Vent.Forçada Fase C</t>
  </si>
  <si>
    <t>ZZZ:0XTY:UC1:FCCD</t>
  </si>
  <si>
    <t>Falta CC Cubículo Delta</t>
  </si>
  <si>
    <t>ZZZ:0XTY:UC1:FCCA</t>
  </si>
  <si>
    <t>Falta CC Armário de Controle</t>
  </si>
  <si>
    <t>ZZZ:0XTY:UC1:FDAA</t>
  </si>
  <si>
    <t>Falta CC Armário de Controle Fase A</t>
  </si>
  <si>
    <t>ZZZ:0XTY:UC1:FDAB</t>
  </si>
  <si>
    <t>Falta CC Armário de Controle Fase B</t>
  </si>
  <si>
    <t>ZZZ:0XTY:UC1:FDAC</t>
  </si>
  <si>
    <t>Falta CC Armário de Controle Fase C</t>
  </si>
  <si>
    <t>ZZZ:0XTY:UC1:FCAA</t>
  </si>
  <si>
    <t>Falta CA Armário de Controle</t>
  </si>
  <si>
    <t>Falta CA Armário de Controle Fase A</t>
  </si>
  <si>
    <t>Falta CA Armário de Controle Fase B</t>
  </si>
  <si>
    <t>Falta CA Armário de Controle Fase C</t>
  </si>
  <si>
    <t>ZZZ:0XTY:UC1:VTPE</t>
  </si>
  <si>
    <t>Ventilação 1.Estágio</t>
  </si>
  <si>
    <t>ZZZ:0XTY:UC1:VTPA</t>
  </si>
  <si>
    <t>Ventilação 1.Estágio Fase A</t>
  </si>
  <si>
    <t>ZZZ:0XTY:UC1:VTPB</t>
  </si>
  <si>
    <t>Ventilação 1.Estágio Fase B</t>
  </si>
  <si>
    <t>ZZZ:0XTY:UC1:VTPC</t>
  </si>
  <si>
    <t>Ventilação 1.Estágio Fase C</t>
  </si>
  <si>
    <t>ZZZ:0XTY:UC1:VTSE</t>
  </si>
  <si>
    <t>Ventilação 2.Estágio</t>
  </si>
  <si>
    <t>ZZZ:0XTY:UC1:VTSA</t>
  </si>
  <si>
    <t>Ventilação 2.Estágio Fase A</t>
  </si>
  <si>
    <t>ZZZ:0XTY:UC1:VTSB</t>
  </si>
  <si>
    <t>Ventilação 2.Estágio Fase B</t>
  </si>
  <si>
    <t>ZZZ:0XTY:UC1:VTSC</t>
  </si>
  <si>
    <t>Ventilação 2.Estágio Fase C</t>
  </si>
  <si>
    <t>ZZZ:0XTY:UC1:VTAU</t>
  </si>
  <si>
    <t>Ventilação em Automático</t>
  </si>
  <si>
    <t>ZZZ:0XTY:UC1:VTAA</t>
  </si>
  <si>
    <t>Ventilação em Automático Fase A</t>
  </si>
  <si>
    <t>ZZZ:0XTY:UC1:VTAB</t>
  </si>
  <si>
    <t>Ventilação em Automático Fase B</t>
  </si>
  <si>
    <t>ZZZ:0XTY:UC1:VTAC</t>
  </si>
  <si>
    <t>Ventilação em Automático Fase C</t>
  </si>
  <si>
    <t>ZZZ:0XTY:UC1:VTML</t>
  </si>
  <si>
    <t>Ventilação em Manual Local</t>
  </si>
  <si>
    <t>ZZZ:0XTY:UC1:VTLA</t>
  </si>
  <si>
    <t>Ventilação em Manual Local Fase A</t>
  </si>
  <si>
    <t>ZZZ:0XTY:UC1:VTLB</t>
  </si>
  <si>
    <t>Ventilação em Manual Local Fase B</t>
  </si>
  <si>
    <t>ZZZ:0XTY:UC1:VTLC</t>
  </si>
  <si>
    <t>Ventilação em Manual Local Fase C</t>
  </si>
  <si>
    <t>ZZZ:0XTY:UC1:VTMR</t>
  </si>
  <si>
    <t>Ventilação em Manual Remoto</t>
  </si>
  <si>
    <t>ZZZ:0XTY:UC1:VTRA</t>
  </si>
  <si>
    <t>Ventilação em Manual Remoto Fase A</t>
  </si>
  <si>
    <t>ZZZ:0XTY:UC1:VTRB</t>
  </si>
  <si>
    <t>Ventilação em Manual Remoto Fase B</t>
  </si>
  <si>
    <t>ZZZ:0XTY:UC1:VTRC</t>
  </si>
  <si>
    <t>Ventilação em Manual Remoto Fase C</t>
  </si>
  <si>
    <t>ZZZ:0XTY:UC1:VTDE</t>
  </si>
  <si>
    <t>Ventilação em Desligado</t>
  </si>
  <si>
    <t>ZZZ:0XTY:UC1:VTDA</t>
  </si>
  <si>
    <t>Ventilação em Desligado Fase A</t>
  </si>
  <si>
    <t>ZZZ:0XTY:UC1:VTDB</t>
  </si>
  <si>
    <t>Ventilação em Desligado Fase B</t>
  </si>
  <si>
    <t>ZZZ:0XTY:UC1:VTDC</t>
  </si>
  <si>
    <t>Ventilação em Desligado Fase C</t>
  </si>
  <si>
    <t>ZZZ:0XTY:UC1:VPAU</t>
  </si>
  <si>
    <t>Ventilação 1. Est. em Automático</t>
  </si>
  <si>
    <t>Caso aplicável</t>
  </si>
  <si>
    <t>ZZZ:0XTY:UC1:VPML</t>
  </si>
  <si>
    <t>Ventilação 1. Est. em Manual Local</t>
  </si>
  <si>
    <t>ZZZ:0XTY:UC1:VPMR</t>
  </si>
  <si>
    <t>Ventilação 1. Est. em Manual Remoto</t>
  </si>
  <si>
    <t>ZZZ:0XTY:UC1:VPDE</t>
  </si>
  <si>
    <t>Ventilação 1. Est. em Desligado</t>
  </si>
  <si>
    <t>ZZZ:0XTY:UC1:VSAU</t>
  </si>
  <si>
    <t>Ventilação 2. Est. em Automático</t>
  </si>
  <si>
    <t>ZZZ:0XTY:UC1:VSML</t>
  </si>
  <si>
    <t>Ventilação 2. Est. em Manual Local</t>
  </si>
  <si>
    <t>ZZZ:0XTY:UC1:VSMR</t>
  </si>
  <si>
    <t>Ventilação 2. Est. em Manual Remoto</t>
  </si>
  <si>
    <t>ZZZ:0XTY:UC1:VSDE</t>
  </si>
  <si>
    <t>Ventilação 2. Est. em Desligado</t>
  </si>
  <si>
    <t>ZZZ:0XTY:UC2:CTOE</t>
  </si>
  <si>
    <t>Chave Trip Sobretemperatura (43I)</t>
  </si>
  <si>
    <t>ZZZ:0XTY:UC2:STCM</t>
  </si>
  <si>
    <t>SobreTensão (59) Comutador</t>
  </si>
  <si>
    <t>Atua bloqueio temporário do comutador</t>
  </si>
  <si>
    <t>ZZZ:0XTY:UC2:SUCM</t>
  </si>
  <si>
    <t>SubTensão (27) Comutador</t>
  </si>
  <si>
    <t>ZZZ:0XTY:UC2:SCCO</t>
  </si>
  <si>
    <t>SobreCorrente Comutador</t>
  </si>
  <si>
    <t>8.2.1.1(b)(1)i</t>
  </si>
  <si>
    <t>ZZZ:0XTY:UC2:CFCF</t>
  </si>
  <si>
    <t>Comutador Falta Tensão CA Filtro</t>
  </si>
  <si>
    <t>ZZZ:0XTY:UC2:CPFO</t>
  </si>
  <si>
    <t>Comutador Pressão Alta Filtro de Óleo</t>
  </si>
  <si>
    <t>ZZZ:0XTY:UC2:CMPE</t>
  </si>
  <si>
    <t>Comutador Atuação Parada de Emergência</t>
  </si>
  <si>
    <t>ZZZ:0XTY:00:CMPE</t>
  </si>
  <si>
    <t>ZZZ:0XTY:UC2:CPEA</t>
  </si>
  <si>
    <t>Comutador Atuação Parada de Emerg. Fase A</t>
  </si>
  <si>
    <t>ZZZ:0XTY:UC2:CPEB</t>
  </si>
  <si>
    <t>Comutador Atuação Parada de Emerg. Fase B</t>
  </si>
  <si>
    <t>ZZZ:0XTY:UC2:CPEC</t>
  </si>
  <si>
    <t>Comutador Atuação Parada de Emerg. Fase C</t>
  </si>
  <si>
    <t>ZZZ:0XTY:UC2:CMTE</t>
  </si>
  <si>
    <t>Comutador Tempo de Operação Excessivo</t>
  </si>
  <si>
    <t>ZZZ:0XTY:UC2:CTEA</t>
  </si>
  <si>
    <t>Comutador Tempo de Oper. Excessivo Fase A</t>
  </si>
  <si>
    <t>ZZZ:0XTY:UC2:CTEB</t>
  </si>
  <si>
    <t>Comutador Tempo de Oper. Excessivo Fase B</t>
  </si>
  <si>
    <t>ZZZ:0XTY:UC2:CTEC</t>
  </si>
  <si>
    <t>Comutador Tempo de Oper. Excessivo Fase C</t>
  </si>
  <si>
    <t>ZZZ:0XTY:UC2:CLSA</t>
  </si>
  <si>
    <t>Comutador Limite Superior Atingido</t>
  </si>
  <si>
    <t>ZZZ:0XTY:UC2:CSAA</t>
  </si>
  <si>
    <t>Comutador Limite Superior Atingido Fase A</t>
  </si>
  <si>
    <t>ZZZ:0XTY:UC2:CSAB</t>
  </si>
  <si>
    <t>Comutador Limite Superior Atingido Fase B</t>
  </si>
  <si>
    <t>ZZZ:0XTY:UC2:CSAC</t>
  </si>
  <si>
    <t>Comutador Limite Superior Atingido Fase C</t>
  </si>
  <si>
    <t>ZZZ:0XTY:UC2:CLIA</t>
  </si>
  <si>
    <t>Comutador Limite Inferior Atingido</t>
  </si>
  <si>
    <t>ZZZ:0XTY:UC2:CIAA</t>
  </si>
  <si>
    <t>Comutador Limite Inferior Atingido Fase A</t>
  </si>
  <si>
    <t>ZZZ:0XTY:UC2:CIAB</t>
  </si>
  <si>
    <t>Comutador Limite Inferior Atingido Fase B</t>
  </si>
  <si>
    <t>ZZZ:0XTY:UC2:CIAC</t>
  </si>
  <si>
    <t>Comutador Limite Inferior Atingido Fase C</t>
  </si>
  <si>
    <t>ZZZ:0XTY:UC2:CFPA</t>
  </si>
  <si>
    <t>Comutador Fora de Passo</t>
  </si>
  <si>
    <t>#MONOFASICO #APLICACAO</t>
  </si>
  <si>
    <t>ZZZ:0XTY:UC2:OINC</t>
  </si>
  <si>
    <t>Operação Incompleta Comutador</t>
  </si>
  <si>
    <t>ZZZ:0XTY:UC2:CNAO</t>
  </si>
  <si>
    <t>Comutador Nível Anormal de Óleo</t>
  </si>
  <si>
    <t>ZZZ:0XTY:UC2:CNAA</t>
  </si>
  <si>
    <t>Comutador Nível Anormal de Óleo Fase A</t>
  </si>
  <si>
    <t>ZZZ:0XTY:UC2:CNAB</t>
  </si>
  <si>
    <t>Comutador Nível Anormal de Óleo Fase B</t>
  </si>
  <si>
    <t>ZZZ:0XTY:UC2:CNAC</t>
  </si>
  <si>
    <t>Comutador Nível Anormal de Óleo Fase C</t>
  </si>
  <si>
    <t>ZZZ:0XTY:UC2:FCAC</t>
  </si>
  <si>
    <t>Falta CA Armário do Comutador</t>
  </si>
  <si>
    <t>ZZZ:0XTY:00:CMTA</t>
  </si>
  <si>
    <t>Comutador Tap Aumentando</t>
  </si>
  <si>
    <t>ZZZ:0XTY:00:CMTD</t>
  </si>
  <si>
    <t>Comutador Tap Diminuindo</t>
  </si>
  <si>
    <t>ZZZ:0XTY:00:CTAA</t>
  </si>
  <si>
    <t>Comutador Tap Aumentando Fase A</t>
  </si>
  <si>
    <t>ZZZ:0XTY:00:CTAB</t>
  </si>
  <si>
    <t>Comutador Tap Aumentando Fase B</t>
  </si>
  <si>
    <t>ZZZ:0XTY:00:CTAC</t>
  </si>
  <si>
    <t>Comutador Tap Aumentando Fase C</t>
  </si>
  <si>
    <t>ZZZ:0XTY:00:CTDA</t>
  </si>
  <si>
    <t>Comutador Tap Diminuindo Fase A</t>
  </si>
  <si>
    <t>ZZZ:0XTY:00:CTDB</t>
  </si>
  <si>
    <t>Comutador Tap Diminuindo Fase B</t>
  </si>
  <si>
    <t>ZZZ:0XTY:00:CTDC</t>
  </si>
  <si>
    <t>Comutador Tap Diminuindo Fase C</t>
  </si>
  <si>
    <t>ZZZ:0XTY:43LRB:L</t>
  </si>
  <si>
    <t>Comutador em Local</t>
  </si>
  <si>
    <t>ZZZ:0XTY:43LRB:R</t>
  </si>
  <si>
    <t>Comutador em Remoto</t>
  </si>
  <si>
    <t>ZZZ:0XTY:43LRB:B</t>
  </si>
  <si>
    <t>Comutador em Bloqueio/Desligado</t>
  </si>
  <si>
    <t>ZZZ:0XTY:00:CAND</t>
  </si>
  <si>
    <t>Comutador em Andamento</t>
  </si>
  <si>
    <t>ZZZ:0XTY:00:CANA</t>
  </si>
  <si>
    <t>Comutador em Andamento Fase A</t>
  </si>
  <si>
    <t>ZZZ:0XTY:00:CANB</t>
  </si>
  <si>
    <t>Comutador em Andamento Fase B</t>
  </si>
  <si>
    <t>ZZZ:0XTY:00:CANC</t>
  </si>
  <si>
    <t>Comutador em Andamento Fase C</t>
  </si>
  <si>
    <t>7.3.1.2(f)</t>
  </si>
  <si>
    <t>ZZZ:0XTY:[B1/B2/BP]:CMAU</t>
  </si>
  <si>
    <t>Comutador em Manual/Automático</t>
  </si>
  <si>
    <t>#APLICACAO</t>
  </si>
  <si>
    <t>ZZZ:0XTY:[B1/B2/BP]:CMST</t>
  </si>
  <si>
    <t>Comutador em Mestre</t>
  </si>
  <si>
    <t>ZZZ:0XTY:[B1/B2/BP]:CCMD</t>
  </si>
  <si>
    <t>Comutador em Comandado</t>
  </si>
  <si>
    <t>ZZZ:0XTY:[B1/B2/BP]:CIND</t>
  </si>
  <si>
    <t>Comutador em Individual</t>
  </si>
  <si>
    <t>Dispositivo de Regulação</t>
  </si>
  <si>
    <t>Supervisor de Paralelismo</t>
  </si>
  <si>
    <t>ZZZ:0XTY:UC1:DTMQ</t>
  </si>
  <si>
    <t>Mini-Disjuntor TP de Medição Lado 500kV</t>
  </si>
  <si>
    <t>ZZZ:0XTY:[UC1/UC2]:TMQ1</t>
  </si>
  <si>
    <t>Mini-Disjuntor TP de Medição 500kV Barra 1</t>
  </si>
  <si>
    <t>Nos casos em que não há TP na CT e se utiliza os TPs de barras</t>
  </si>
  <si>
    <t>ZZZ:0XTY:[UC1/UC2]:TMQ2</t>
  </si>
  <si>
    <t>Mini-Disjuntor TP de Medição 500kV Barra 2</t>
  </si>
  <si>
    <t>ZZZ:0XTY:[UC1/UC2]:DTMD</t>
  </si>
  <si>
    <t>Mini-Disjuntor TP de Medição Lado 230kV</t>
  </si>
  <si>
    <t>ZZZ:0XTY:[UC1/UC2]:TMD1</t>
  </si>
  <si>
    <t>Mini-Disjuntor TP de Medição 230kV Barra 1</t>
  </si>
  <si>
    <t>ZZZ:0XTY:[UC1/UC2]:TMD2</t>
  </si>
  <si>
    <t>Mini-Disjuntor TP de Medição 230kV Barra 2</t>
  </si>
  <si>
    <t>ZZZ:0XTY:[UC1/UC2]:DTMC</t>
  </si>
  <si>
    <t>Mini-Disjuntor TP de Medição Lado 138kV</t>
  </si>
  <si>
    <t>ZZZ:0XTY:[UC1/UC2]:TMC1</t>
  </si>
  <si>
    <t>Mini-Disjuntor TP de Medição 138kV Barra 1</t>
  </si>
  <si>
    <t>ZZZ:0XTY:[UC1/UC2]:TMC2</t>
  </si>
  <si>
    <t>Mini-Disjuntor TP de Medição 138kV Barra 2</t>
  </si>
  <si>
    <t>ZZZ:0XTY:UC2:DTMS</t>
  </si>
  <si>
    <t>Mini-Disjuntor TP de Medição Lado 69kV</t>
  </si>
  <si>
    <t>ZZZ:0XTY:[UC1/UC2]:TMS1</t>
  </si>
  <si>
    <t>Mini-Disjuntor TP de Medição 69kV Barra 1</t>
  </si>
  <si>
    <t>ZZZ:0XTY:[UC1/UC2]:TMS2</t>
  </si>
  <si>
    <t>Mini-Disjuntor TP de Medição 69kV Barra 2</t>
  </si>
  <si>
    <t>ZZZ:0XTY:UC2:DTMP</t>
  </si>
  <si>
    <t>Mini-Disjuntor TP Med. e Prot. Lado 69kV</t>
  </si>
  <si>
    <t>Nos casos em que medição e proteção são juntas.</t>
  </si>
  <si>
    <t>ZZZ:0XTY:UC2:DTFR</t>
  </si>
  <si>
    <t>Mini-Disjuntor TP Circ. Ferrorressonância</t>
  </si>
  <si>
    <t>ZZZ:0XTY:[F1/F2]:DTPQ</t>
  </si>
  <si>
    <t>Mini-Disjuntor TP de Proteção Lado 500kV</t>
  </si>
  <si>
    <t>Para o caso em que haja TP na CT de 500kV do trafo</t>
  </si>
  <si>
    <t>ZZZ:0XTY:[UC1/UC2]:TPQ1</t>
  </si>
  <si>
    <t>Mini-Disjuntor TP de Proteção 500kV Barra 1</t>
  </si>
  <si>
    <t>ZZZ:0XTY:[UC1/UC2]:TPQ2</t>
  </si>
  <si>
    <t>Mini-Disjuntor TP de Proteção  500kV Barra 2</t>
  </si>
  <si>
    <t>ZZZ:0XTY:[F1/F2/F3/F4]:DTPD</t>
  </si>
  <si>
    <t>Mini-Disjuntor TP de Proteção Lado 230kV</t>
  </si>
  <si>
    <t>ZZZ:0XTY:[F1/F2/F3]:TPD1</t>
  </si>
  <si>
    <t>Mini-Disjuntor TP Proteção 230kV Barra 1</t>
  </si>
  <si>
    <t>ZZZ:0XTY:[F1/F2/F3]:TPD2</t>
  </si>
  <si>
    <t>Mini-Disjuntor TP Proteção 230kV Barra 2</t>
  </si>
  <si>
    <t>ZZZ:0XTY:[F1/F2/F4]:DTPC</t>
  </si>
  <si>
    <t>Mini-Disjuntor TP de Proteção Lado 138kV</t>
  </si>
  <si>
    <t>ZZZ:0XTY:[F1/F2/F3]:TPC1</t>
  </si>
  <si>
    <t>Mini-Disjuntor TP Proteção 138kV Barra 1</t>
  </si>
  <si>
    <t>ZZZ:0XTY:[F1/F2/F3]:TPC2</t>
  </si>
  <si>
    <t>Mini-Disjuntor TP Proteção 138kV Barra 2</t>
  </si>
  <si>
    <t>ZZZ:0XTY:[F1/F2/F4]:DTPS</t>
  </si>
  <si>
    <t>Mini-Disjuntor TP de Proteção Lado 69kV</t>
  </si>
  <si>
    <t>ZZZ:0XTY:[F1/F2/F4]:TPS1</t>
  </si>
  <si>
    <t>Mini-Disjuntor TP Proteção 69kV Barra 1</t>
  </si>
  <si>
    <t>ZZZ:0XTY:[F1/F2/F4]:TPS2</t>
  </si>
  <si>
    <t>Mini-Disjuntor TP Proteção 69kV Barra 2</t>
  </si>
  <si>
    <t>ZZZ:0XTY:F5:DMPT</t>
  </si>
  <si>
    <t>Mini-Disjuntor TP Med. e Prot. Lado 13.8kV</t>
  </si>
  <si>
    <t>ZZZ:0XTY:00:SPD1</t>
  </si>
  <si>
    <t>Tensão TP 230 kV Barra 1</t>
  </si>
  <si>
    <t>Seleção de sincronismo para Barra Dupla</t>
  </si>
  <si>
    <t>ZZZ:0XTY:00:SPD2</t>
  </si>
  <si>
    <t>Tensão TP 230 kV Barra 2</t>
  </si>
  <si>
    <t>ZZZ:0XTY:00:SPS1</t>
  </si>
  <si>
    <t>Tensão TP 69 kV Barra 1</t>
  </si>
  <si>
    <t>ZZZ:0XTY:00:SPS2</t>
  </si>
  <si>
    <t>Tensão TP 69 kV Barra 2</t>
  </si>
  <si>
    <t>ZZZ:0XTY:UC1:FIMT</t>
  </si>
  <si>
    <t>Falha Interna Medidor Temperatura</t>
  </si>
  <si>
    <t>ZZZ:0XTY:UC1:FIMA</t>
  </si>
  <si>
    <t>Falha Interna Medidor Temperatura Fase A</t>
  </si>
  <si>
    <t>ZZZ:0XTY:UC1:FIMB</t>
  </si>
  <si>
    <t>Falha Interna Medidor Temperatura Fase B</t>
  </si>
  <si>
    <t>ZZZ:0XTY:UC1:FIMC</t>
  </si>
  <si>
    <t>Falha Interna Medidor Temperatura Fase C</t>
  </si>
  <si>
    <t>ZZZ:0XTY:[F1/F2/F3/F4]:FIRE</t>
  </si>
  <si>
    <t>ZZZ:0XTY:[AVR/SPS]:FDIS</t>
  </si>
  <si>
    <t>Falha Interna Dispositivo</t>
  </si>
  <si>
    <t>** - NEMA da Função principal do Relé
Usar F1, F2... Fn para os casos onde existem mais de um relé com esta função.
Usar SPS ou AVR em casos de sistema de paralelismo.</t>
  </si>
  <si>
    <t>ZZZ:0YYY:[F1/F2/F3/F4]:FCSI</t>
  </si>
  <si>
    <t>Falha Sincronismo para Fechamento (25)</t>
  </si>
  <si>
    <t>ZZZ:0XTY:[F1/F2/F3/F4/UC1/UC2]:FGOE</t>
  </si>
  <si>
    <t>ZZZ:0XTY:[F1/F2/F3/F4/UC1/UC2]:FGPS</t>
  </si>
  <si>
    <t>** - NEMA da Função principal do Relé ou UCn (n=número da Unidade de Controle). Usar F1, F2... Fn para os casos onde existem mais de um relé com esta função.</t>
  </si>
  <si>
    <t>ZZZ:0YYY:[F1/F2/F3/F4/UC1/UC2]:FPCn</t>
  </si>
  <si>
    <t>ZZZ:0XTY:UC1:PITS</t>
  </si>
  <si>
    <t>Proteções Intrínsecas em Teste</t>
  </si>
  <si>
    <t>ZZZ:0XTY:[F1/F2/F3/F4]:CPTS</t>
  </si>
  <si>
    <t>ZZZ:0XTY:[UC1/UC2]:FIUC</t>
  </si>
  <si>
    <t>ZZZ:0XTY:{PNL}:FCCP</t>
  </si>
  <si>
    <t>ZZZ:0XTY:{PNL}:FCPI</t>
  </si>
  <si>
    <t>Falta CC Proteções Intrínsecas</t>
  </si>
  <si>
    <t>ZZZ:0XTY:{PNL}:FCEA</t>
  </si>
  <si>
    <t>ZZZ:0XTY:{PNL}:FCEB</t>
  </si>
  <si>
    <t>ZZZ:0XTY:[F1/F2/F3/F4]:PFCY</t>
  </si>
  <si>
    <t>Proteção Bloqueada</t>
  </si>
  <si>
    <t>ZZZ:0XTY:UC2:FMAC</t>
  </si>
  <si>
    <t>Falha Motor/Mecanismo Acion. Comutador</t>
  </si>
  <si>
    <t>Anormalidade Proteção / Controle</t>
  </si>
  <si>
    <t>ZZZ:0XTY:UC2:FMCA</t>
  </si>
  <si>
    <t>Falha Motor/Mecan. Acion. Comutador Fase A</t>
  </si>
  <si>
    <t>ZZZ:0XTY:UC2:FMCB</t>
  </si>
  <si>
    <t>Falha Motor/Mecan. Acion. Comutador Fase B</t>
  </si>
  <si>
    <t>ZZZ:0XTY:UC2:FMCC</t>
  </si>
  <si>
    <t>Falha Motor/Mecan. Acion. Comutador Fase C</t>
  </si>
  <si>
    <t>ZZZ:0XTY:{PNL}:PRTA</t>
  </si>
  <si>
    <t>ZZZ:0XTY:RDP:OSFG</t>
  </si>
  <si>
    <t>ZZZ:0XTY:RDP:OSEG</t>
  </si>
  <si>
    <t>ZZZ:0XTY:RDP:OSGA</t>
  </si>
  <si>
    <t>ZZZ:0XTY:RDP:OSFC</t>
  </si>
  <si>
    <t>ZZZ:0XTY:00:TRFO</t>
  </si>
  <si>
    <t>Trafo Fora de Operação</t>
  </si>
  <si>
    <t>Inserir na tela de paralelismo</t>
  </si>
  <si>
    <t>Parada de Emergência</t>
  </si>
  <si>
    <t>ZZZ:0XTY:[UC1/UC2]:ULOC</t>
  </si>
  <si>
    <t>ZZZ:0XTY:UC1:ULOCD</t>
  </si>
  <si>
    <t>Faixa de Tensão</t>
  </si>
  <si>
    <t>ZZZ:0XTY:[F1/F2/F3/F4]:PDBF</t>
  </si>
  <si>
    <t>ZZZ:0XTY:[F1/F2/F3]:PBFP</t>
  </si>
  <si>
    <t>Bloqueio Falha Potencial do TP Primário</t>
  </si>
  <si>
    <t>Caso necessário</t>
  </si>
  <si>
    <t>ZZZ:0XTY:[F1/F2/F4]:PBFS</t>
  </si>
  <si>
    <t>Bloqueio Falha Potencial do TP Secundário</t>
  </si>
  <si>
    <t>ONS - Proteção SobreCorrente</t>
  </si>
  <si>
    <t>Agrupamento das proteções de SobreCorrente do Transformador e do Conutador para distribuição ao ONS.</t>
  </si>
  <si>
    <t>8.2.1.1(b)(1)</t>
  </si>
  <si>
    <t>ONS - Proteção SobreTemperatura</t>
  </si>
  <si>
    <t>Distribuição do ponto TTOE para o ONS.</t>
  </si>
  <si>
    <t>8.2.1.1(b)(3)</t>
  </si>
  <si>
    <t>ZZZ:0XTY:F9:RVBL</t>
  </si>
  <si>
    <t>ZZZ:0XTY:F9:FIRV</t>
  </si>
  <si>
    <t>ZZZ:0XTY:F9:CPTS</t>
  </si>
  <si>
    <t>ZZZ:0XTY:F9:FGPS</t>
  </si>
  <si>
    <t>ZZZ:0XTY:F9:FGOE</t>
  </si>
  <si>
    <t>Onde aplicável.
"n" - Número da porta.</t>
  </si>
  <si>
    <t>ZZZ:0XTY:MW:P</t>
  </si>
  <si>
    <t>MW do Primário do 0XTY-ZZZ</t>
  </si>
  <si>
    <t>7.3.1.1(c)(8)</t>
  </si>
  <si>
    <t>ZZZ:0XTY:MVAR:P</t>
  </si>
  <si>
    <t>MVAR do Primário do 0XTY-ZZZ</t>
  </si>
  <si>
    <t>ZZZ:0XTY:KVAB:P</t>
  </si>
  <si>
    <t>KV do Primário Fases AB do 0XTY-ZZZ</t>
  </si>
  <si>
    <t>Usar casa decimal (uma) para os casos de 69kV e 13,8kV.</t>
  </si>
  <si>
    <t>ZZZ:0XTY:KVBC:P</t>
  </si>
  <si>
    <t>KV do Primário Fases BC do 0XTY-ZZZ</t>
  </si>
  <si>
    <t>ZZZ:0XTY:KVCA:P</t>
  </si>
  <si>
    <t>KV do Primário Fases CA do 0XTY-ZZZ</t>
  </si>
  <si>
    <t>ZZZ:0XTY:AMPA:P</t>
  </si>
  <si>
    <t>Corrente do Primário Fase A do 0XTY-ZZZ</t>
  </si>
  <si>
    <t>ZZZ:0XTY:AMPB:P</t>
  </si>
  <si>
    <t>Corrente do Primário Fase B do 0XTY-ZZZ</t>
  </si>
  <si>
    <t>ZZZ:0XTY:AMPC:P</t>
  </si>
  <si>
    <t>Corrente do Primário Fase C do 0XTY-ZZZ</t>
  </si>
  <si>
    <t>ZZZ:0XTY:MW:S</t>
  </si>
  <si>
    <t>MW do Secundário do 0XTY-ZZZ</t>
  </si>
  <si>
    <t>ZZZ:0XTY:MVAR:S</t>
  </si>
  <si>
    <t>MVAR do Secundário do 0XTY-ZZZ</t>
  </si>
  <si>
    <t>ZZZ:0XTY:KVAB:S</t>
  </si>
  <si>
    <t>KV do Secundário Fases AB do 0XTY-ZZZ</t>
  </si>
  <si>
    <t>ZZZ:0XTY:KVBC:S</t>
  </si>
  <si>
    <t>KV do Secundário Fases BC do 0XTY-ZZZ</t>
  </si>
  <si>
    <t>7.3.1.1(c)(14)</t>
  </si>
  <si>
    <t>ZZZ:0XTY:KVCA:S</t>
  </si>
  <si>
    <t>KV do Secundário Fases CA do 0XTY-ZZZ</t>
  </si>
  <si>
    <t>ZZZ:0XTY:AMPA:S</t>
  </si>
  <si>
    <t>Corrente do Secundário Fase A do 0XTY-ZZZ</t>
  </si>
  <si>
    <t>ZZZ:0XTY:AMPB:S</t>
  </si>
  <si>
    <t>Corrente do Secundário Fase B do 0XTY-ZZZ</t>
  </si>
  <si>
    <t>ZZZ:0XTY:AMPC:S</t>
  </si>
  <si>
    <t>Corrente do Secundário Fase C do 0XTY-ZZZ</t>
  </si>
  <si>
    <t>ZZZ:0XTY:MW:T</t>
  </si>
  <si>
    <t>MW do Terciário do 0XTY-ZZZ</t>
  </si>
  <si>
    <t>#TERCIARIO</t>
  </si>
  <si>
    <t>ZZZ:0XTY:MVAR:T</t>
  </si>
  <si>
    <t>MVAR do Terciário do 0XTY-ZZZ</t>
  </si>
  <si>
    <t>Quando houver carga no terciário
#TERCIARIO</t>
  </si>
  <si>
    <t>ZZZ:0XTY:KVAB:T</t>
  </si>
  <si>
    <t>KV do Terciário Fases AB do 0XTY-ZZZ</t>
  </si>
  <si>
    <t>Quando houver carga no terciário.
Usar casa decimal (uma) para os casos de 69kV e 13,8kV.
#TERCIARIO</t>
  </si>
  <si>
    <t>ZZZ:0XTY:KVBC:T</t>
  </si>
  <si>
    <t>KV do Terciário Fases BC do 0XTY-ZZZ</t>
  </si>
  <si>
    <t xml:space="preserve">7.3.1.1(c) </t>
  </si>
  <si>
    <t>ZZZ:0XTY:KVCA:T</t>
  </si>
  <si>
    <t>KV do Terciário Fases CA do 0XTY-ZZZ</t>
  </si>
  <si>
    <t>ZZZ:0XTY:AMPA:T</t>
  </si>
  <si>
    <t>Corrente do Terciário Fase A do 0XTY-ZZZ</t>
  </si>
  <si>
    <t>Quando houver carga no terciário.
#TERCIARIO</t>
  </si>
  <si>
    <t>ZZZ:0XTY:AMPB:T</t>
  </si>
  <si>
    <t>Corrente do Terciário Fase B do 0XTY-ZZZ</t>
  </si>
  <si>
    <t>ZZZ:0XTY:AMPC:T</t>
  </si>
  <si>
    <t>Corrente do Terciário Fase C do 0XTY-ZZZ</t>
  </si>
  <si>
    <t>KV</t>
  </si>
  <si>
    <t>ZZZ:0XTY:TPOA</t>
  </si>
  <si>
    <t>Temperatura do Óleo Fase A do 0XTY-ZZZ</t>
  </si>
  <si>
    <t>TMP</t>
  </si>
  <si>
    <t>º C</t>
  </si>
  <si>
    <t>ZZZ:0XTY:TPOB</t>
  </si>
  <si>
    <t>Temperatura do Óleo Fase B do 0XTY-ZZZ</t>
  </si>
  <si>
    <t>ZZZ:0XTY:TPOC</t>
  </si>
  <si>
    <t>Temperatura do Óleo Fase C do 0XTY-ZZZ</t>
  </si>
  <si>
    <t>ZZZ:0XTY:TPOL</t>
  </si>
  <si>
    <t>Temperatura do Óleo do 0XTY-ZZZ</t>
  </si>
  <si>
    <t>Apenas para Trafo Trifásico.
#TRIFASICO</t>
  </si>
  <si>
    <t>ZZZ:0XTY:TMPA:P</t>
  </si>
  <si>
    <t>Temper. Enrol. Primário Fase A do 0XTY-ZZZ</t>
  </si>
  <si>
    <t>ZZZ:0XTY:TMPB:P</t>
  </si>
  <si>
    <t>Temper. Enrol. Primário Fase B do 0XTY-ZZZ</t>
  </si>
  <si>
    <t>ZZZ:0XTY:TMPC:P</t>
  </si>
  <si>
    <t>Temper. Enrol. Primário Fase C do 0XTY-ZZZ</t>
  </si>
  <si>
    <t>ZZZ:0XTY:TMPP:P</t>
  </si>
  <si>
    <t>Temperatura Enrol. Primário do 0XTY-ZZZ</t>
  </si>
  <si>
    <t>ZZZ:0XTY:TMPA:S</t>
  </si>
  <si>
    <t>Temper. Enrol. Secund. Fase A do 0XTY-ZZZ</t>
  </si>
  <si>
    <t>ZZZ:0XTY:TMPB:S</t>
  </si>
  <si>
    <t>Temper. Enrol. Secund. Fase B do 0XTY-ZZZ</t>
  </si>
  <si>
    <t>ZZZ:0XTY:TMPC:S</t>
  </si>
  <si>
    <t>Temper. Enrol. Secund. Fase C do 0XTY-ZZZ</t>
  </si>
  <si>
    <t>ZZZ:0XTY:TMPP:S</t>
  </si>
  <si>
    <t>Temperatura Enrol. Secundário do 0XTY-ZZZ</t>
  </si>
  <si>
    <t>ZZZ:0XTY:TMPA:T</t>
  </si>
  <si>
    <t>Temper. Enrol. Terc. Fase A do 0XTY-ZZZ</t>
  </si>
  <si>
    <t>ZZZ:0XTY:TMPB:T</t>
  </si>
  <si>
    <t>Temper. Enrol. Terc. Fase B do 0XTY-ZZZ</t>
  </si>
  <si>
    <t>ZZZ:0XTY:TMPC:T</t>
  </si>
  <si>
    <t>Temper. Enrol. Terc. Fase C do 0XTY-ZZZ</t>
  </si>
  <si>
    <t>ZZZ:0XTY:TMPP:T</t>
  </si>
  <si>
    <t>Temperatura Enrol. Terciário do 0XTY-ZZZ</t>
  </si>
  <si>
    <t>Apenas para Trafo Trifásico.
#TRIFASICO #TERCIARIO</t>
  </si>
  <si>
    <t>ZZZ:0XTY:TAPA</t>
  </si>
  <si>
    <t>Posição Tap Fase A do 0XTY-ZZZ</t>
  </si>
  <si>
    <t>TAP</t>
  </si>
  <si>
    <t>7.3.1.1(c)(13)</t>
  </si>
  <si>
    <t>ZZZ:0XTY:TAPB</t>
  </si>
  <si>
    <t>Posição Tap Fase B do 0XTY-ZZZ</t>
  </si>
  <si>
    <t>ZZZ:0XTY:TAPC</t>
  </si>
  <si>
    <t>Posição Tap Fase C do 0XTY-ZZZ</t>
  </si>
  <si>
    <t>ZZZ:0XTY:TAP</t>
  </si>
  <si>
    <t>Posição Tap do 0XTY-ZZZ</t>
  </si>
  <si>
    <t>Rearme Relé Bloqueio</t>
  </si>
  <si>
    <t>Parada Emergência do Comutador</t>
  </si>
  <si>
    <t>ZZZ:0XTY:00:CMPE:APLIC</t>
  </si>
  <si>
    <t>ZZZ:0XTY:00:TAP</t>
  </si>
  <si>
    <t>Mudança de Posição de Tap</t>
  </si>
  <si>
    <t>Deverá existir tando para banco monofásico e para trafos trifásicos (em bancos, deverá funcionar como comando que aciona as três fases ao mesmo tempo)</t>
  </si>
  <si>
    <t>ZZZ:0XTY:00:TAPA</t>
  </si>
  <si>
    <t>ZZZ:0XTY:00:TAPB</t>
  </si>
  <si>
    <t>ZZZ:0XTY:00:TAPC</t>
  </si>
  <si>
    <t>Comutador para Manual/Automatico</t>
  </si>
  <si>
    <t>ZZZ:0XTY:[B1/B2/BP]:CMAU:APLIC</t>
  </si>
  <si>
    <t>Comutador para Mestre</t>
  </si>
  <si>
    <t>Acionamento Ventilação 1.Estágio</t>
  </si>
  <si>
    <t>Acionamento Ventilação 2.Estágio</t>
  </si>
  <si>
    <t>Ativar/Desat. Trip Sobretemperatura (43I)</t>
  </si>
  <si>
    <t>Seleção da Faixa de Tensão</t>
  </si>
  <si>
    <t>SP</t>
  </si>
  <si>
    <t>ZZZ:02AY:[F1/F2]:TTOE</t>
  </si>
  <si>
    <t>Trip Temperatura Óleo/Enrol Temporizado</t>
  </si>
  <si>
    <t>Sinal colhido após temporização e enviado via chave 43I. #ProInt</t>
  </si>
  <si>
    <t>ZZZ:02AY:[F1/F2]:CTOE</t>
  </si>
  <si>
    <t>ZZZ:02AY:[F1/F2]:RGFS</t>
  </si>
  <si>
    <t>Usar F1, F2 e F3 para os casos onde existem mais de um relé com esta função. #ProInt</t>
  </si>
  <si>
    <t>ZZZ:02AY:[F1/F2]:SOCG</t>
  </si>
  <si>
    <t>Trip SobreCorrente 50/51G</t>
  </si>
  <si>
    <t>ZZZ:0XEY:00:ONS3</t>
  </si>
  <si>
    <t>8.2.1.2(b)(2)iv</t>
  </si>
  <si>
    <t>ZZZ:02AY:[F1/F2]:SCLS</t>
  </si>
  <si>
    <t>Trip SobreCorrente 50/51 69KV Fases</t>
  </si>
  <si>
    <t>ZZZ:02AY:[F1/F2]:SCSN</t>
  </si>
  <si>
    <t>Trip SobreCorrente 50/51 69KV Neutro</t>
  </si>
  <si>
    <t>ZZZ:02AY:[F1/F2]:AOEP</t>
  </si>
  <si>
    <t>ZZZ:02AY:[F1/F2]:TOTS</t>
  </si>
  <si>
    <t>#ProInt</t>
  </si>
  <si>
    <t>ZZZ:02AY:[F1/F2]:TESG</t>
  </si>
  <si>
    <t>Temperatura Enrol (49) 2.Grau</t>
  </si>
  <si>
    <t>ZZZ:02AY:[F1/F2]:ARGP</t>
  </si>
  <si>
    <t>ZZZ:02AY:[F1/F2]:VSEG</t>
  </si>
  <si>
    <t>ZZZ:02AY:[F1/F2]:TVSG</t>
  </si>
  <si>
    <t>ZZZ:02AY:[F1/F2]:NAOL</t>
  </si>
  <si>
    <t>ZZZ:02AY:[F1/F2]:RMCO</t>
  </si>
  <si>
    <t>ZZZ:02AY:[F1/F2]:FCCA</t>
  </si>
  <si>
    <t>ZZZ:02AY:[F1/F2]:FCAA</t>
  </si>
  <si>
    <t>ZZZ:02AY:86:RERB</t>
  </si>
  <si>
    <t>ZZZ:02AY:86:ATRB</t>
  </si>
  <si>
    <t>ZZZ:02AY:[F1/F2]:ATRB</t>
  </si>
  <si>
    <t>Caso seja implementado por lógica nos IEDs</t>
  </si>
  <si>
    <t>ZZZ:02AY:[F1/F2]:FIRE</t>
  </si>
  <si>
    <t>ZZZ:02AY:F1:FSPF</t>
  </si>
  <si>
    <t>ZZZ:02AY:[F1/F2]:FGOE</t>
  </si>
  <si>
    <t>ZZZ:02AY:[F1/F2]:FGPS</t>
  </si>
  <si>
    <t>ZZZ:02AY:[F1/F2]:CPTS</t>
  </si>
  <si>
    <t>ZZZ:02AY:[F1/F2]:ILOC</t>
  </si>
  <si>
    <t>ZZZ:02AY:[F1/F2]:ILOCD</t>
  </si>
  <si>
    <t>ZZZ:02AY:[F1/F2]:FIUC</t>
  </si>
  <si>
    <t>ZZZ:02AY:{PNL}:FCPI</t>
  </si>
  <si>
    <t>ZZZ:02AY:{PNL}:FCCP</t>
  </si>
  <si>
    <t>ZZZ:02AY:{PNL}:FCEA</t>
  </si>
  <si>
    <t>ZZZ:02AY:{PNL}:FCEB</t>
  </si>
  <si>
    <t>ZZZ:02AY:F1:FIMT</t>
  </si>
  <si>
    <t>ZZZ:02AY:{PNL}:PRTA</t>
  </si>
  <si>
    <t>ZZZ:0XBY:[F1/F2]:SOTR</t>
  </si>
  <si>
    <t xml:space="preserve">Trip Relé SobreTensão Residual (59R)  </t>
  </si>
  <si>
    <t>Esquema SobreTensão Residual 3V0</t>
  </si>
  <si>
    <t>ZZZ:02AY:43I:CTOE</t>
  </si>
  <si>
    <t>ZZZ:0XHY:[F1/F3]:TSDN</t>
  </si>
  <si>
    <t>Trip SobreCorrente Desequilíbrio Neutro</t>
  </si>
  <si>
    <t>ZZZ:0XHY:00:ONS3</t>
  </si>
  <si>
    <t>8.2.1.3(b)(1)</t>
  </si>
  <si>
    <t>ZZZ:0XHY:F1:SCOR</t>
  </si>
  <si>
    <t>8.2.1.3(b)(2)</t>
  </si>
  <si>
    <t>ZZZ:0XHY:F1:SCFA</t>
  </si>
  <si>
    <t>ZZZ:0XHY:F1:SCFB</t>
  </si>
  <si>
    <t>ZZZ:0XHY:F1:SCFC</t>
  </si>
  <si>
    <t>ZZZ:0XHY:F1:SCON</t>
  </si>
  <si>
    <t>ZZZ:0XHY:UC1:PCAB</t>
  </si>
  <si>
    <t>Portão da Cerca Aberta</t>
  </si>
  <si>
    <t>ZZZ:0XHY:F1:TPAB</t>
  </si>
  <si>
    <t xml:space="preserve">Trip Portão Bco Capacitor Aberto </t>
  </si>
  <si>
    <t xml:space="preserve">ZZZ:0XHY:[F1/F3]:SUBT </t>
  </si>
  <si>
    <t xml:space="preserve">Trip Relé SubTensão </t>
  </si>
  <si>
    <t xml:space="preserve">ZZZ:0XHY:[F1/F3]:SOBT </t>
  </si>
  <si>
    <t>Trip SobreTensão (59)</t>
  </si>
  <si>
    <t>8.2.1.3(a)(1)</t>
  </si>
  <si>
    <t>ZZZ:0XHY:F1:SOIN</t>
  </si>
  <si>
    <t>Trip SobreTensão (59) Inst</t>
  </si>
  <si>
    <t>ZZZ:0XHY:F1:SOTE</t>
  </si>
  <si>
    <t>Trip Relé SobreTensão (59) Temp</t>
  </si>
  <si>
    <t>ZZZ:0XHY:F1:BQDB</t>
  </si>
  <si>
    <t xml:space="preserve">Bloqueio Temporizado Descarga Bco Capac </t>
  </si>
  <si>
    <t>ZZZ:0XHY:F1:DNPG</t>
  </si>
  <si>
    <t xml:space="preserve">Atuação Desequilibrio Neutro 1.Grau </t>
  </si>
  <si>
    <t>Rearme Relé de Bloqueio</t>
  </si>
  <si>
    <t>ZZZ:0XHY:{PNL}:PRTA</t>
  </si>
  <si>
    <t>ZZZ:0XHY:SINC:FIRE</t>
  </si>
  <si>
    <t>ZZZ:0XHY:F1:FIRE</t>
  </si>
  <si>
    <t>ZZZ:0XHY:[F1/UC1]:FGOE</t>
  </si>
  <si>
    <t>ZZZ:0XHY:[F1/UC1]:FGPS</t>
  </si>
  <si>
    <t>ZZZ:0XHY:F1:CPTS</t>
  </si>
  <si>
    <t>ZZZ:0XHY:UC1:FIUC</t>
  </si>
  <si>
    <t>ZZZ:0XHY:{PNL}:FCCP</t>
  </si>
  <si>
    <t>ZZZ:0XHY:{PNL}:FCEA</t>
  </si>
  <si>
    <t>ZZZ:0XHY:{PNL}:FCEB</t>
  </si>
  <si>
    <t>ZZZ:0XHY:RDP:OSFG</t>
  </si>
  <si>
    <t>ZZZ:0XHY:RDP:OSEG</t>
  </si>
  <si>
    <t>ZZZ:0XHY:RDP:OSGA</t>
  </si>
  <si>
    <t>ZZZ:0XHY:RDP:OSFC</t>
  </si>
  <si>
    <t>8.2.1.3(b)</t>
  </si>
  <si>
    <t>ZZZ:0XHY:UC1:ULOC</t>
  </si>
  <si>
    <t>ZZZ:0XHY:UC1:ULOCD</t>
  </si>
  <si>
    <r>
      <t>ZZZ:0XHY:[F1/F2]:</t>
    </r>
    <r>
      <rPr>
        <sz val="10"/>
        <color indexed="14"/>
        <rFont val="Arial"/>
        <family val="2"/>
      </rPr>
      <t>TEDF</t>
    </r>
  </si>
  <si>
    <t>ZZZ:0XHY:F9:RVBL</t>
  </si>
  <si>
    <t>ZZZ:0XHY:F9:FIRV</t>
  </si>
  <si>
    <t>ZZZ:0XHY:F9:CPTS</t>
  </si>
  <si>
    <t>ZZZ:0XHY:F9:FGPS</t>
  </si>
  <si>
    <t>ZZZ:0XHY:F9:FGOE</t>
  </si>
  <si>
    <t>ZZZ:0XHY:MVAR</t>
  </si>
  <si>
    <t>MVAR do 0XHY-ZZZ</t>
  </si>
  <si>
    <t>ZZZ:0XHY:AMPA</t>
  </si>
  <si>
    <t>Corrente Fase A  do 0XHY-ZZZ</t>
  </si>
  <si>
    <t>ZZZ:0XHY:AMPB</t>
  </si>
  <si>
    <t>Corrente Fase B do 0XHY-ZZZ</t>
  </si>
  <si>
    <t>ZZZ:0XHY:AMPC</t>
  </si>
  <si>
    <t>Corrente Fase C do 0XHY-ZZZ</t>
  </si>
  <si>
    <t>ZZZ:1YYY:52</t>
  </si>
  <si>
    <t>Disjuntor 1YYY</t>
  </si>
  <si>
    <t>DISJ</t>
  </si>
  <si>
    <t>Deve ser representado na tela exatamente igual ao unifilar DOMO, exceto para chaves de giro central. A sinalização deve ser VERDE = ABERTO, VERMELHO = FECHADO, AMARELO = INDEFINIDO. Deve ser configurado o comportamento para indicar visualmente o intertravamento (cadeado)</t>
  </si>
  <si>
    <t>8.2.1.8(a)(1)</t>
  </si>
  <si>
    <t>ZZZ:1YYY:52:IDEF</t>
  </si>
  <si>
    <t>Estado Indefinido</t>
  </si>
  <si>
    <t>ZZZ:1YYY:00:APDP</t>
  </si>
  <si>
    <t>Trip Discordância de Polos</t>
  </si>
  <si>
    <t>8.2.1.8(b)(1)</t>
  </si>
  <si>
    <t>ZZZ:1YYY:[F1/F2]:APDP</t>
  </si>
  <si>
    <t>Para sistemas #PASS.</t>
  </si>
  <si>
    <t>ZZZ:1YYY:[F1/F2/F3/F4/F6/F9]:FLDI</t>
  </si>
  <si>
    <t>Atuação Falha de Disjuntor</t>
  </si>
  <si>
    <t>8.2.1.8(a)(2)</t>
  </si>
  <si>
    <t>ZZZ:1YYY:[F1/F2/F3/F4/F6/F9]:RETR</t>
  </si>
  <si>
    <t>Atuação de Retrip</t>
  </si>
  <si>
    <t>ZZZ:1YYY:F6:SCAR</t>
  </si>
  <si>
    <t>Trip Sobrecarga Disjuntor Central</t>
  </si>
  <si>
    <t>8.2.1.8(b)(4)</t>
  </si>
  <si>
    <t>ZZZ:1YYY:F6:ALSC</t>
  </si>
  <si>
    <t>SobreCarga do Disjuntor Central</t>
  </si>
  <si>
    <t>ZZZ:1YYY:86:ATRB</t>
  </si>
  <si>
    <t>No caso de disjuntores que posuem relé de bloqueio próprio.</t>
  </si>
  <si>
    <t>8.2.1.8(a)(3)</t>
  </si>
  <si>
    <t>ZZZ:1YYY:86:IATV</t>
  </si>
  <si>
    <t>Intertravamento Ativado</t>
  </si>
  <si>
    <t>Ponto de intertravamento para comando do rearme do 86. Deve ser calculado com ULOC e ATRB (comando liberado apenas quando UC em remoto e 86 atuado)</t>
  </si>
  <si>
    <t>ZZZ:1YYY:00:MDES</t>
  </si>
  <si>
    <t>Mola Descarregada</t>
  </si>
  <si>
    <t>ZZZ:1YYY:00:PBSP</t>
  </si>
  <si>
    <t>Baixa Pressão Sist. Extinção SF6 1.Grau</t>
  </si>
  <si>
    <t>ZZZ:1YYY:00:PBSP:Z</t>
  </si>
  <si>
    <t>Baixa Pressão Sist. Extinção SF6 1.Grau Compart. Z</t>
  </si>
  <si>
    <t>Z=[A,B,C,D] relativo a cada câmara do módulo #PASS</t>
  </si>
  <si>
    <t>ZZZ:1YYY:00:PBSS</t>
  </si>
  <si>
    <t>Baixa Pressão Sist. Extinção SF6 2.Grau</t>
  </si>
  <si>
    <t>Deve ser resultado de lógica para eliminar atuação indevida por perda de tensão</t>
  </si>
  <si>
    <t>ZZZ:1YYY:[F1/F2]:PBSS:Z</t>
  </si>
  <si>
    <t>Baixa Pressão Sist. Extinção SF6 2.Grau Compart. Z</t>
  </si>
  <si>
    <t>Z=[A,B,C,D] relativo a cada câmara do módulo #PASS. Observar que alarme gera trip.</t>
  </si>
  <si>
    <t>ZZZ:1YYY:00:ATIN</t>
  </si>
  <si>
    <t>Aterramento Incompleto</t>
  </si>
  <si>
    <t>Para sistemas #PASS. Informa que a sequência de aterramento automático não foi completada com sucesso.</t>
  </si>
  <si>
    <t>ZZZ:1YYY:00:ATCO</t>
  </si>
  <si>
    <t>Aterramento Completo</t>
  </si>
  <si>
    <t>Para sistemas #PASS. Informa que a sequência de aterramento automático foi completada com sucesso.</t>
  </si>
  <si>
    <t>ZZZ:1YYY:43:ET</t>
  </si>
  <si>
    <t>Chave 43NT na Posição ET</t>
  </si>
  <si>
    <t>ZZZ:1YYY:43:N</t>
  </si>
  <si>
    <t>Chave 43NT na Posição N</t>
  </si>
  <si>
    <t>ZZZ:1YYY:43:T</t>
  </si>
  <si>
    <t>Chave 43NT na Posição T</t>
  </si>
  <si>
    <t>ZZZ:1YYY:43:FSPR</t>
  </si>
  <si>
    <t>Chave 43NT Falha Seleção Proteção</t>
  </si>
  <si>
    <t>Onde aplicável. Ponto deve ser incluído caso estado indefinido da chave 6 impeça a seleção correta.</t>
  </si>
  <si>
    <t>ZZZ:1YYY:43LRM:R</t>
  </si>
  <si>
    <t>Chave 43LRM em Remoto</t>
  </si>
  <si>
    <t>ZZZ:1YYY:43LRM:L</t>
  </si>
  <si>
    <t>Chave 43LRM em Local</t>
  </si>
  <si>
    <t>ZZZ:1YYY:43LRM:M</t>
  </si>
  <si>
    <t>Chave 43LRM em Manutenção</t>
  </si>
  <si>
    <t>ZZZ:1YYY:00:FACF</t>
  </si>
  <si>
    <t xml:space="preserve">Falta Alimentação Circuito Fech </t>
  </si>
  <si>
    <t>ZZZ:1YYY:00:FACU</t>
  </si>
  <si>
    <t xml:space="preserve">Falta Alimentação Circuito Abert1 </t>
  </si>
  <si>
    <t>ZZZ:1YYY:00:FACD</t>
  </si>
  <si>
    <t>Falta Alimentação Circuito Abert2</t>
  </si>
  <si>
    <t>ZZZ:1YYY:00:FACT</t>
  </si>
  <si>
    <t>Falta CC em Todos Circuitos de Abertura</t>
  </si>
  <si>
    <t>Quando não houver o sinal gerado na lógica da UC, agrupar no SAGE</t>
  </si>
  <si>
    <t>ZZZ:1YYY:00:FCAM</t>
  </si>
  <si>
    <t>Falta Alimentação CA Motor</t>
  </si>
  <si>
    <t>Falta Tensão Comando</t>
  </si>
  <si>
    <t>ZZZ:1YYY:00:FCOM</t>
  </si>
  <si>
    <t>Falha de Comando</t>
  </si>
  <si>
    <t>Informação de time-out do IED</t>
  </si>
  <si>
    <t>ZZZ:1YYY:UC1:FCAA</t>
  </si>
  <si>
    <t>Defeito na alimentação CA auxiliar do módulo #PASS</t>
  </si>
  <si>
    <t>ZZZ:1YYY:UC1:ATBL</t>
  </si>
  <si>
    <t>Aterramento do Vão Bloqueado</t>
  </si>
  <si>
    <t>Apenas para linhas 230 ou 500 PASS. Indica que não há condições para iniciar a sequência de aterramento automático para a chave 7A.  #PASS</t>
  </si>
  <si>
    <t>Intertravamento Ativado p/ Fechamento</t>
  </si>
  <si>
    <t>ZZZ:1YYY:52:IATV</t>
  </si>
  <si>
    <t>Ponto de intertravamento para comando do disjuntor, deve ser aquisitado diretamente dos IEDs. Caso o SAGE não possua a funcionalidade de mostrar visualmente o intertravamento (cadeado), colocar na tela como alarme do vão</t>
  </si>
  <si>
    <t>ZZZ:1YYY:52:IATVD</t>
  </si>
  <si>
    <t>Ponto de distribuição que inclui o estado de ZZZ:3YYY-Z:89:IATV e ZZZ:IHM-C:43:N2</t>
  </si>
  <si>
    <t>Sincronização não permitida</t>
  </si>
  <si>
    <t>ZZZ:1YYY:[F1/F2/F6/UC1]:BSIN</t>
  </si>
  <si>
    <t>Bloqueio por Sincronismo (25)</t>
  </si>
  <si>
    <t>Indica que o fechamento está bloqueado por sincronismo</t>
  </si>
  <si>
    <t>ZZZ:1YYY:UC1:FSPF</t>
  </si>
  <si>
    <t>Indica que houve falha durante tentativa de fechamento devido a problema de sincronismo</t>
  </si>
  <si>
    <t>ZZZ:1YYY:F9:IDEV</t>
  </si>
  <si>
    <t>Estado Indefinido Seccion./Disj. do Vão</t>
  </si>
  <si>
    <t>Caso exista proteção de Barra. Indica inconsistência de algum equipamento do vão.</t>
  </si>
  <si>
    <t>ZZZ:1YYY:43NT:FSPI</t>
  </si>
  <si>
    <t>Falha Seleção Proteção Intrínseca</t>
  </si>
  <si>
    <t>Para disjuntores de Transformadores. Supervisão de esquema de transferência (43NT) para proteções intrínsecas, onde os trips destas forem independentes dos IEDs (resolução ANEEL).</t>
  </si>
  <si>
    <t>ZZZ:1YYY:UC1:AAUT</t>
  </si>
  <si>
    <t>Aterramento Automático do Vão</t>
  </si>
  <si>
    <t>Para sistemas #PASS. Ponto de estado do comando de ativa/desativa aterramento automático do vão</t>
  </si>
  <si>
    <t>ZZZ:1YYY:25:MDCA</t>
  </si>
  <si>
    <t>Seleciona Sincronizador em Modo Capacitor</t>
  </si>
  <si>
    <t>Aplicável a Disjuntor de transferência</t>
  </si>
  <si>
    <t>ZZZ:1YYY:25:MDRE</t>
  </si>
  <si>
    <t>Seleciona Sincronizador em Moro Reator</t>
  </si>
  <si>
    <t>ZZZ:1YYY:86:RERB</t>
  </si>
  <si>
    <t>ZZZ:1YYY:00:AAUT</t>
  </si>
  <si>
    <t>Ativa/Desativa Aterramento Automático</t>
  </si>
  <si>
    <t>ZZZ:3YYY-Z:89</t>
  </si>
  <si>
    <t>Seccionadora 3YYY-Z</t>
  </si>
  <si>
    <t>CHAVE</t>
  </si>
  <si>
    <t>7.3.1.2(a)</t>
  </si>
  <si>
    <t>ZZZ:3YYY-Z:89:IDEF</t>
  </si>
  <si>
    <t>ZZZ:3YYY-Z:00:CSRE</t>
  </si>
  <si>
    <t>Chave de Seleção em Remoto</t>
  </si>
  <si>
    <t>ZZZ:3YYY-Z:00:CSLO</t>
  </si>
  <si>
    <t>Chave de Seleção em Local</t>
  </si>
  <si>
    <t>Implementar na tela próximo ao objeto da chave usando um bloco amarelo com L</t>
  </si>
  <si>
    <t>ZZZ:3YYY-Z:00:CSBL</t>
  </si>
  <si>
    <t>Chave de Seleção em Bloqueio</t>
  </si>
  <si>
    <t>Implementar na tela próximo ao objeto da chave usando um bloco amarelo com B. Este ponto deve vir de lógica, caso não esteja em Local nem Remoto. Incluir apenas se a chave possuir fisicamente a posição de Bloqueio.</t>
  </si>
  <si>
    <t>ZZZ:3YYY-Z:00:FTCO</t>
  </si>
  <si>
    <t>Quando o alarme for único para todas as seccionadoras de um determinado vão, usar no ID o código operacional sem o dígito indicador de posição ex: LT 04V1-&gt; ZZZ:34V1:00:FTCO</t>
  </si>
  <si>
    <t>ZZZ:3YYY-Z1/Zn:00:FTCO</t>
  </si>
  <si>
    <t xml:space="preserve">Para sistemas #PASS, Z1/Zn:
BT230 = ["1","2"] 
LT230 = ["1/2/7B","5/7A"]
Trafo230 = ["1/2","5"]
Trafo69 = ["1/2/5"]
LT69 = ["1/2/5/7"]
TrafoTerra = ["1","2"]
BT69 = ["1/2"]
</t>
  </si>
  <si>
    <t>ZZZ:3YYY-Z:00:FCAM</t>
  </si>
  <si>
    <t>Quando o alarme for único para todas as seccionadoras de um determinado vão, usar no ID o código operacional sem o dígito indicador de posição ex: LT 04V1-&gt; ZZZ:34V1:00:FCAM</t>
  </si>
  <si>
    <t>ZZZ:3YYY-Z1/Zn:00:FCAM</t>
  </si>
  <si>
    <t>ZZZ:3YYY-Z:00:FCOM</t>
  </si>
  <si>
    <t>ZZZ:3YYY-Z:00:TEAM</t>
  </si>
  <si>
    <t>Tempo Excessivo Acionam. Motor</t>
  </si>
  <si>
    <t>Não aplicável a módulos #PASS</t>
  </si>
  <si>
    <t>ZZZ:3YYY-Z:89:IATV</t>
  </si>
  <si>
    <t>Ponto de intertravamento para comando da seccionadora, deve ser aquisitado diretamente dos IEDs. Caso o SAGE não possua a funcionalidade de mostrar visualmente o intertravamento (cadeado), colocar na tela como alarme do vão</t>
  </si>
  <si>
    <t>ZZZ:3YYY-Z:89:IATVD</t>
  </si>
  <si>
    <t xml:space="preserve">ZZZ:0XBY:81:SFEU </t>
  </si>
  <si>
    <t>ECE SubFrequência Estágio 1</t>
  </si>
  <si>
    <t>8.2.1.9(a)(1)</t>
  </si>
  <si>
    <t xml:space="preserve">ZZZ:0XBY:81:SFED </t>
  </si>
  <si>
    <t>ECE SubFrequência Estágio 2</t>
  </si>
  <si>
    <t xml:space="preserve">ZZZ:0XBY:81:SFET </t>
  </si>
  <si>
    <t>ECE SubFrequência Estágio 3</t>
  </si>
  <si>
    <t xml:space="preserve">ZZZ:0XBY:81:SFEQ </t>
  </si>
  <si>
    <t>ECE SubFrequência Estágio 4</t>
  </si>
  <si>
    <t xml:space="preserve">ZZZ:0XBY:27:ESTU </t>
  </si>
  <si>
    <t>ECE SubTensão Estágio 1</t>
  </si>
  <si>
    <t xml:space="preserve">ZZZ:0XBY:27:ESTD </t>
  </si>
  <si>
    <t>ECE SubTensão Estágio 2</t>
  </si>
  <si>
    <t xml:space="preserve">ZZZ:0XBY:27:ESTT </t>
  </si>
  <si>
    <t>ECE SubTensão Estágio 3</t>
  </si>
  <si>
    <t xml:space="preserve">ZZZ:0XBY:27:ESTQ </t>
  </si>
  <si>
    <t>ECE SubTensão Estágio 4</t>
  </si>
  <si>
    <t xml:space="preserve">ZZZ:0XBY:27:ESTC </t>
  </si>
  <si>
    <t>ECE SubTensão Estágio 5</t>
  </si>
  <si>
    <t xml:space="preserve">ZZZ:0XBY:32V:ESPR </t>
  </si>
  <si>
    <t>ECE Potência com Restrição de Tensão</t>
  </si>
  <si>
    <t xml:space="preserve">ZZZ:0XBY:32:ESPO </t>
  </si>
  <si>
    <t xml:space="preserve">ECE Potência </t>
  </si>
  <si>
    <t xml:space="preserve">ZZZ:0XBY:00:ESAC </t>
  </si>
  <si>
    <t>Esquema Alivio Carga</t>
  </si>
  <si>
    <t>ZZZ:0XBY:81:ESUF</t>
  </si>
  <si>
    <t>ERAC SubFreqüência</t>
  </si>
  <si>
    <t xml:space="preserve">ZZZ:0XBY:81:ASFU </t>
  </si>
  <si>
    <t>Atuação ECE SubFrequência Estágio 1</t>
  </si>
  <si>
    <t xml:space="preserve">ZZZ:0XBY:81:AEFU </t>
  </si>
  <si>
    <t>Atuação ERAC SubFrequência Inst. Estágio 1</t>
  </si>
  <si>
    <t>#ERAC</t>
  </si>
  <si>
    <t xml:space="preserve">ZZZ:0XBY:81:ATFU </t>
  </si>
  <si>
    <t>Atuação ERAC SubFrequência Temp. Estágio 1</t>
  </si>
  <si>
    <t xml:space="preserve">ZZZ:0XBY:81:ASFD </t>
  </si>
  <si>
    <t>Atuação ECE SubFrequência Estágio 2</t>
  </si>
  <si>
    <t xml:space="preserve">ZZZ:0XBY:81:AEFD </t>
  </si>
  <si>
    <t>Atuação ERAC SubFrequência Estágio 2</t>
  </si>
  <si>
    <t>ZZZ:0XBY:81:ATFD</t>
  </si>
  <si>
    <t>Atuação ERAC SubFrequência Temp. Estágio 2</t>
  </si>
  <si>
    <t xml:space="preserve">ZZZ:0XBY:81:ASFT </t>
  </si>
  <si>
    <t>Atuação ECE SubFrequência Estágio 3</t>
  </si>
  <si>
    <t xml:space="preserve">ZZZ:0XBY:81:AEFT </t>
  </si>
  <si>
    <t>Atuação ERAC SubFrequência Estágio 3</t>
  </si>
  <si>
    <t>ZZZ:0XBY:81:ATFT</t>
  </si>
  <si>
    <t>Atuação ERAC SubFrequência Temp. Estágio 3</t>
  </si>
  <si>
    <t>ZZZ:0XBY:81:ASFQ</t>
  </si>
  <si>
    <t>Atuação ECE SubFrequência Estágio 4</t>
  </si>
  <si>
    <t>ZZZ:0XBY:81:AEFQ</t>
  </si>
  <si>
    <t>Atuação ERAC SubFrequência Estágio 4</t>
  </si>
  <si>
    <t>ZZZ:0XBY:81:ATFQ</t>
  </si>
  <si>
    <t>Atuação ERAC SubFrequência Temp. Estágio 4</t>
  </si>
  <si>
    <t>ZZZ:0XBY:81:ASFC</t>
  </si>
  <si>
    <t>Atuação ECE SubFrequência Estágio 5</t>
  </si>
  <si>
    <t>ZZZ:0XBY:81:AEFC</t>
  </si>
  <si>
    <t>Atuação ERAC SubFrequência Estágio 5</t>
  </si>
  <si>
    <t>ZZZ:0XBY:81:ATFC</t>
  </si>
  <si>
    <t>Atuação ERAC SubFrequência Temp. Estágio 5</t>
  </si>
  <si>
    <t>ZZZ:0XBY:81:AVFU</t>
  </si>
  <si>
    <t>Atuação ERAC SubFrequência (Hz/s) Estágio 1</t>
  </si>
  <si>
    <t>ZZZ:0XBY:81:AVFD</t>
  </si>
  <si>
    <t>Atuação ERAC SubFrequência (Hz/s) Estágio 2</t>
  </si>
  <si>
    <t>ZZZ:0XBY:81:AVFT</t>
  </si>
  <si>
    <t>Atuação ERAC SubFrequência (Hz/s) Estágio 3</t>
  </si>
  <si>
    <t>ZZZ:0XBY:81:AVFQ</t>
  </si>
  <si>
    <t>Atuação ERAC SubFrequência (Hz/s) Estágio 4</t>
  </si>
  <si>
    <t>ZZZ:0XBY:81:AVFC</t>
  </si>
  <si>
    <t>Atuação ERAC SubFrequência (Hz/s) Estágio 5</t>
  </si>
  <si>
    <t xml:space="preserve">ZZZ:0XBY:27:ASTU </t>
  </si>
  <si>
    <t>Atuação ECE SubTensão Estágio 1</t>
  </si>
  <si>
    <t xml:space="preserve">ZZZ:0XBY:27:ASTD </t>
  </si>
  <si>
    <t>Atuação ECE SubTensão Estágio 2</t>
  </si>
  <si>
    <t xml:space="preserve">ZZZ:0XBY:27:ASTT </t>
  </si>
  <si>
    <t>Atuação ECE SubTensão Estágio 3</t>
  </si>
  <si>
    <t xml:space="preserve">ZZZ:0XBY:27:ASTQ </t>
  </si>
  <si>
    <t>Atuação ECE SubTensão Estágio 4</t>
  </si>
  <si>
    <t xml:space="preserve">ZZZ:0XBY:27:ASTC </t>
  </si>
  <si>
    <t>Atuação ECE SubTensão Estágio 5</t>
  </si>
  <si>
    <t xml:space="preserve">ZZZ:0XBY:32V:APRT </t>
  </si>
  <si>
    <t>Atuação ECE Potência c/ Restrição Tensão</t>
  </si>
  <si>
    <t>ZZZ:0XBY:{PNL}:FACn</t>
  </si>
  <si>
    <t>Onde aplicável.
"n" - Numeração sequencial do Conversor no painel.</t>
  </si>
  <si>
    <t xml:space="preserve">ZZZ:0XBY:32:ATPO </t>
  </si>
  <si>
    <t xml:space="preserve">Atuação ECE Potência </t>
  </si>
  <si>
    <t xml:space="preserve">ZZZ:0XBY:00:AEAC </t>
  </si>
  <si>
    <t>Atuação Esquema Alivio Carga</t>
  </si>
  <si>
    <t xml:space="preserve">ZZZ:0XBY:00:FGAC </t>
  </si>
  <si>
    <t>Falha Geral Esquema Alivio Carga</t>
  </si>
  <si>
    <t>ZZZ:0XKY:87:PDFA</t>
  </si>
  <si>
    <t>ZZZ:0XKY:00:ONS3</t>
  </si>
  <si>
    <t>ZZZ:0XKY:87:PDFB</t>
  </si>
  <si>
    <t>ZZZ:0XKY:87:PDFC</t>
  </si>
  <si>
    <t>ZZZ:0XKY:87:PDIF</t>
  </si>
  <si>
    <t>Trip Relé Diferencial</t>
  </si>
  <si>
    <t>ZZZ:0XKY:46:TDCE</t>
  </si>
  <si>
    <t>Trip Desequilibrio de Corrente Estator</t>
  </si>
  <si>
    <t>ZZZ:0XKY:40:PEXC</t>
  </si>
  <si>
    <t>Trip Perda Excitação</t>
  </si>
  <si>
    <t>ZZZ:0XKY:64:TFTE</t>
  </si>
  <si>
    <t>Trip Falta Terra Estator</t>
  </si>
  <si>
    <t>ZZZ:0XKY:64:TFTR</t>
  </si>
  <si>
    <t>Trip Falta Terra Rotor</t>
  </si>
  <si>
    <t>ZZZ:0XKY:64:FTRB</t>
  </si>
  <si>
    <t>Falta à Terra Trafo Principal e Barramento</t>
  </si>
  <si>
    <t>ZZZ:0XKY:00:TSER</t>
  </si>
  <si>
    <t xml:space="preserve">Trip SobreTemperatura Estator/Rotor </t>
  </si>
  <si>
    <t>ZZZ:0XKY:59:SOBT</t>
  </si>
  <si>
    <t>Trip Relé SobreTensão</t>
  </si>
  <si>
    <t>8.2.1.6(a)(1)</t>
  </si>
  <si>
    <t>ZZZ:0XKY:59:SOBE</t>
  </si>
  <si>
    <t>Trip SobreTensão na Excitação</t>
  </si>
  <si>
    <t>ZZZ:0XKY:81:TSBF</t>
  </si>
  <si>
    <t>Trip SubFrequencia</t>
  </si>
  <si>
    <t>8.2.1.6(a)(2)</t>
  </si>
  <si>
    <t>ZZZ:0XKY:50/51:SCSE</t>
  </si>
  <si>
    <t>Trip SobreCorrente Inst. Sist. Excitação</t>
  </si>
  <si>
    <t>ZZZ:0XKY:50:SCIE</t>
  </si>
  <si>
    <t>ZZZ:0XKY:51:SCTE</t>
  </si>
  <si>
    <t>Trip SobreCorrente Temp. Sist. Excitação</t>
  </si>
  <si>
    <t>ZZZ:0XKY:50/51:SCOR</t>
  </si>
  <si>
    <t>Trip SobreCorrente</t>
  </si>
  <si>
    <t>Atuacao Relé de Bloqueio</t>
  </si>
  <si>
    <t>8.2.1.6(a)(3)</t>
  </si>
  <si>
    <t>ZZZ:0XKY:[86E/86M]:ATRB</t>
  </si>
  <si>
    <t>** 86E (Bloqueio Elétrico), 86M (Bloqueio Mecânico).</t>
  </si>
  <si>
    <t>ZZZ:0XKY:21:TRPD</t>
  </si>
  <si>
    <t>Trip Relé Distância</t>
  </si>
  <si>
    <t>ZZZ:0XKY:52:ADCR</t>
  </si>
  <si>
    <t>Abertura Disjuntor de Campo em Regime</t>
  </si>
  <si>
    <t>ZZZ:0XKY:52:ADCP</t>
  </si>
  <si>
    <t>Abertura Disjuntor Campo durante Partida</t>
  </si>
  <si>
    <t>ZZZ:0XKY:64:AFTE</t>
  </si>
  <si>
    <t>Alarme Falta Terra Estator</t>
  </si>
  <si>
    <t>ZZZ:0XKY:64:AFTR</t>
  </si>
  <si>
    <t>Alarme Falta Terra Rotor</t>
  </si>
  <si>
    <t>ZZZ:0XKY:00:ASER</t>
  </si>
  <si>
    <t xml:space="preserve">Alarme SobreTemperatura Estator/Rotor </t>
  </si>
  <si>
    <t>7.3.1.2(g)</t>
  </si>
  <si>
    <t>ZZZ:0XKY:95:PSIN</t>
  </si>
  <si>
    <t>Perda de Sincronismo</t>
  </si>
  <si>
    <t>ZZZ:0XKY:47:SEQN</t>
  </si>
  <si>
    <t>Atuação Sequência Negativa</t>
  </si>
  <si>
    <t>ZZZ:0XKY:49:SCEP</t>
  </si>
  <si>
    <t>Sobrecarga no Estator 1.Grau</t>
  </si>
  <si>
    <t>ZZZ:0XKY:49:SCES</t>
  </si>
  <si>
    <t>Sobrecarga no Estator 2.Grau</t>
  </si>
  <si>
    <t>ZZZ:0XKY:43:CSAM</t>
  </si>
  <si>
    <t>Selecao Modo Automatico/Manual</t>
  </si>
  <si>
    <t>ZZZ:0XKY:[F1/F2/UC1]:FIRE</t>
  </si>
  <si>
    <t>ZZZ:0XKY:00:ANAM</t>
  </si>
  <si>
    <t>Anormalidade Auxiliares Mecânicos</t>
  </si>
  <si>
    <t>Esta sinalização contemplará o agrupamento de pontos, o qual deverá ser feito conforme a supervisão de cada instalação e de acordo com cada o projeto.</t>
  </si>
  <si>
    <t>ZZZ:0XKY:{PNL}:PRTA</t>
  </si>
  <si>
    <t>ZZZ:0XKY:[F1/F2]:SINP</t>
  </si>
  <si>
    <t>** - NEMA 25 ou usar F1, F2... Fn para os casos onde existem mais de um relé com esta função.</t>
  </si>
  <si>
    <t>ZZZ:0XKY:{PNL}:FCCP</t>
  </si>
  <si>
    <t>ZZZ:0XKY:{PNL}:FCEA</t>
  </si>
  <si>
    <t>ZZZ:0XKY:{PNL}:FCEB</t>
  </si>
  <si>
    <t>ZZZ:0XKY:[F1/F2/UC1]:FGOE</t>
  </si>
  <si>
    <t>ZZZ:0XKY:[F1/F2/UC1]:FGPS</t>
  </si>
  <si>
    <t>8.2.1.6(b)</t>
  </si>
  <si>
    <t>ZZZ:0XKY:F9:RVBL</t>
  </si>
  <si>
    <t>ZZZ:0XKY:F9:FIRV</t>
  </si>
  <si>
    <t>ZZZ:0XKY:F9:CPTS</t>
  </si>
  <si>
    <t>ZZZ:0XKY:F9:FGPS</t>
  </si>
  <si>
    <t>ZZZ:0XKY:F9:FGOE</t>
  </si>
  <si>
    <t>ZZZ:0XKY:00:SMOP</t>
  </si>
  <si>
    <t>Seleção Modo de Operação (Tensão/Reativo)</t>
  </si>
  <si>
    <t>ZZZ:0XKY:00:SMKV</t>
  </si>
  <si>
    <t>Seleção Modo de Operação Tensão</t>
  </si>
  <si>
    <t>ZZZ:0XKY:00:SMRE</t>
  </si>
  <si>
    <t>Seleção Modo de Operação Reativo</t>
  </si>
  <si>
    <t>ZZZ:0XKY:00:SMCC</t>
  </si>
  <si>
    <t>Seleção Modo de Operação Corrente de Campo</t>
  </si>
  <si>
    <t>ZZZ:0XKY:00:CPEM</t>
  </si>
  <si>
    <t>ZZZ:0XKY:00:PATS</t>
  </si>
  <si>
    <t>Sincrono Partiu</t>
  </si>
  <si>
    <t>ZZZ:0XKY:00:PARS</t>
  </si>
  <si>
    <t>Parada do Síncrono Solicitada</t>
  </si>
  <si>
    <t>ZZZ:0XKY:{PNL}:FTCA</t>
  </si>
  <si>
    <t>Falta CA Painel</t>
  </si>
  <si>
    <t xml:space="preserve">{PNL} - Nome do Painel, Ex. PPM; PCA... </t>
  </si>
  <si>
    <t>ZZZ:0XKY:00:LICC</t>
  </si>
  <si>
    <t>Limitador de Corrente de Campo</t>
  </si>
  <si>
    <t>ZZZ:0XKY:00:LICE</t>
  </si>
  <si>
    <t>Limitador de Corrente de Estatórica</t>
  </si>
  <si>
    <t>ZZZ:0XKY:00:LIRT</t>
  </si>
  <si>
    <t>Limitador de Regulador de Tensão</t>
  </si>
  <si>
    <t>ZZZ:0XKY:00:LISE</t>
  </si>
  <si>
    <t>Limitador de SubExcitação</t>
  </si>
  <si>
    <t>ZZZ:0XKY:00:LIVH</t>
  </si>
  <si>
    <t>Limitador de Volt/Hertz</t>
  </si>
  <si>
    <t>ZZZ:0XKY:00:LIES</t>
  </si>
  <si>
    <t>Limitador do Estabilizador ESP</t>
  </si>
  <si>
    <t>ZZZ:0XKY:00:PCPT</t>
  </si>
  <si>
    <t>Pré-condições de partida atendidas</t>
  </si>
  <si>
    <t>ZZZ:0XKY:00:BLUL</t>
  </si>
  <si>
    <t>Bombas de Lubificação</t>
  </si>
  <si>
    <t>ZZZ:0XKY:00:BLEL</t>
  </si>
  <si>
    <t>Bombas de Levante</t>
  </si>
  <si>
    <t>ZZZ:0XKY:00:VSAT</t>
  </si>
  <si>
    <t>Velocidade Síncrona Atingida</t>
  </si>
  <si>
    <t>ZZZ:0XKY:00:RTEX</t>
  </si>
  <si>
    <t>Regulador de Tensão Excitado</t>
  </si>
  <si>
    <t>ZZZ:0XKY:41:DCLG</t>
  </si>
  <si>
    <t>Disjuntor de Campo</t>
  </si>
  <si>
    <t>ZZZ:0XKY:00:CSOP</t>
  </si>
  <si>
    <t>Compensador Síncrono em Operação</t>
  </si>
  <si>
    <t>ZZZ:0XKY:00:REAN</t>
  </si>
  <si>
    <t>Potência Reativa Nula</t>
  </si>
  <si>
    <t>ZZZ:0XKY:00:RTDE</t>
  </si>
  <si>
    <t>Regulador de Tensão Desexcitado</t>
  </si>
  <si>
    <t>ZZZ:0XKY:00:VSNU</t>
  </si>
  <si>
    <t>Velocidade Nula</t>
  </si>
  <si>
    <t>ZZZ:0XKY:00:PSCO</t>
  </si>
  <si>
    <t>Parada do Síncrono Confirmada</t>
  </si>
  <si>
    <t>ZZZ:0XKY:00:PASC</t>
  </si>
  <si>
    <t>Parada do Síncrono Concluída</t>
  </si>
  <si>
    <t>ZZZ:0XKY:00:TFRC</t>
  </si>
  <si>
    <t>Trip por Falha na Rede de Comunicação</t>
  </si>
  <si>
    <t>ZZZ:0XKY:UC1:ULOC</t>
  </si>
  <si>
    <t>ZZZ:0XKY:UC1:ULOCD</t>
  </si>
  <si>
    <t>ZZZ:0XKY:38:TVIB</t>
  </si>
  <si>
    <t>Trip Vibração Excessiva nos Mancais</t>
  </si>
  <si>
    <t>ZZZ:0XKY:38:VIBE</t>
  </si>
  <si>
    <t>Vibração Excessiva nos Mancais</t>
  </si>
  <si>
    <t>ZZZ:0XKY:00:TOME</t>
  </si>
  <si>
    <t>Tempo de Operação ou Manobras Excedido</t>
  </si>
  <si>
    <t>ZZZ:0XKY:00:FGRT</t>
  </si>
  <si>
    <t>Falha Grave no Regulador de Tensão</t>
  </si>
  <si>
    <t>ZZZ:0XKY:00:MMAN</t>
  </si>
  <si>
    <t>Síncrono em Manutenção</t>
  </si>
  <si>
    <t>ZZZ:0XKY:00:RTTS</t>
  </si>
  <si>
    <t>Regulador de Tensão em Modo Teste</t>
  </si>
  <si>
    <t>ZZZ:0XKY:SA:FNT1</t>
  </si>
  <si>
    <t>Serv. Aux. / CCM alimentado pela Fonte Principal</t>
  </si>
  <si>
    <t>ZZZ:0XKY:SA:FNT2</t>
  </si>
  <si>
    <t>Serv. Aux. / CCM alimentado pela Fonte Secundária</t>
  </si>
  <si>
    <t>ZZZ:0XKY:00:BPSL</t>
  </si>
  <si>
    <t>Baixa Pressão no Sistema de Lubrificação</t>
  </si>
  <si>
    <t>ZZZ:0XKY:00:BPBL</t>
  </si>
  <si>
    <t>Baixa Pressão nas Bombas de Levantamento</t>
  </si>
  <si>
    <t>ZZZ:0XKY:00:BFSL</t>
  </si>
  <si>
    <t>Baixo Fluxo no Sistema de Lubrificação</t>
  </si>
  <si>
    <t>ZZZ:0XKY:00:TANM</t>
  </si>
  <si>
    <t>Temperatura Alta nos Mancais</t>
  </si>
  <si>
    <t>ZZZ:0XKY:00:TFSL</t>
  </si>
  <si>
    <t>Trip por falha no Sistema de Lubrificação</t>
  </si>
  <si>
    <t>ZZZ:0XKY:00:FVBO</t>
  </si>
  <si>
    <t>Falha no Sistema de Ventilação das Bombas</t>
  </si>
  <si>
    <t>ZZZ:0XKY:00:FVTI</t>
  </si>
  <si>
    <t>Falha Sistema de Ventilação dos Tiristores</t>
  </si>
  <si>
    <t>ZZZ:0XKY:00:STTI</t>
  </si>
  <si>
    <t>SobreTemperatura nos Tiristores</t>
  </si>
  <si>
    <t>ZZZ:0XKY:00:FFTI</t>
  </si>
  <si>
    <t>Falha Fusível nos Tiristores</t>
  </si>
  <si>
    <t>ZZZ:0XKY:00:FCTI</t>
  </si>
  <si>
    <t>Falha de Condução nos Tiristores</t>
  </si>
  <si>
    <t>ZZZ:0XKY:00:TEEX</t>
  </si>
  <si>
    <t>Tempo Excessivo de Excitação</t>
  </si>
  <si>
    <t>ZZZ:0XKY:00:TEDE</t>
  </si>
  <si>
    <t>Tempo Excessivo de Desexcitação</t>
  </si>
  <si>
    <t>ZZZ:0XKY:00:TERE</t>
  </si>
  <si>
    <t>Tempo Excessivo de Retirada de Reativo</t>
  </si>
  <si>
    <t>ZZZ:0XKY:00:BLPn</t>
  </si>
  <si>
    <t>Ponte Bloqueada</t>
  </si>
  <si>
    <t>ZZZ:0XKY:00:FHAL</t>
  </si>
  <si>
    <t>Falha no Sensor de Efeito Hall</t>
  </si>
  <si>
    <t>ZZZ:0XKY:00:CROW</t>
  </si>
  <si>
    <t>Trip Proteção Crowbar</t>
  </si>
  <si>
    <t>ZZZ:0XKY:00:DEES</t>
  </si>
  <si>
    <t>Desgaste na Escova</t>
  </si>
  <si>
    <t>ZZZ:0XKY:00:NBOM</t>
  </si>
  <si>
    <t>Nível Baixo de Óleo nos Mancais</t>
  </si>
  <si>
    <t>ZZZ:0XKY:27:SUBT</t>
  </si>
  <si>
    <t>Trip SubTensão</t>
  </si>
  <si>
    <t>ZZZ:0XKY:MVAR</t>
  </si>
  <si>
    <t>MVAR do 0XKY-ZZZ</t>
  </si>
  <si>
    <t>7.3.1.1(c)(11)</t>
  </si>
  <si>
    <t>ZZZ:0XKY:00:SETK</t>
  </si>
  <si>
    <t>Seleção Recomendada de Tensão</t>
  </si>
  <si>
    <t>ZZZ:0XKY:00:SETM</t>
  </si>
  <si>
    <t>Seleção Recomendada de MVAR</t>
  </si>
  <si>
    <t>ZZZ:0XKY:00:SETA</t>
  </si>
  <si>
    <t>Seleção Recomendada de Corrente de Campo</t>
  </si>
  <si>
    <t>AMP</t>
  </si>
  <si>
    <t>ZZZ:0XKY:RPM</t>
  </si>
  <si>
    <t>Velocidade do 0XKY-ZZZ</t>
  </si>
  <si>
    <t>RPM</t>
  </si>
  <si>
    <t>ZZZ:0XKY:HZ</t>
  </si>
  <si>
    <t>Frequência do 0XKY-ZZZ</t>
  </si>
  <si>
    <t>FREQ</t>
  </si>
  <si>
    <t>HZ</t>
  </si>
  <si>
    <t>ZZZ:0XKY:KVBC</t>
  </si>
  <si>
    <t>KV do Estator do 0XKY-ZZZ</t>
  </si>
  <si>
    <t>ZZZ:0XKY:AMPB:E</t>
  </si>
  <si>
    <t>Corrente de Estator Fase B do 0XTY-ZZZ</t>
  </si>
  <si>
    <t>ZZZ:0XKY:VCC</t>
  </si>
  <si>
    <t>Tensão de Campo</t>
  </si>
  <si>
    <t>V</t>
  </si>
  <si>
    <t>ZZZ:0XKY:AMP:C</t>
  </si>
  <si>
    <t>Corrente de Campo do 0XTY-ZZZ</t>
  </si>
  <si>
    <t>Aumentar/Diminuir carregamento de MVAR</t>
  </si>
  <si>
    <t>Passa um Valor Analogico para o Relé com a Tensão nominal do barramento controlado</t>
  </si>
  <si>
    <t>Passa um Valor Analogico para o Relé com o valor Mvar mantido pelo Sincrono</t>
  </si>
  <si>
    <t>Partida do Sincrono</t>
  </si>
  <si>
    <t>Parada do Sincrono</t>
  </si>
  <si>
    <t>Confirmar Parada do Sincrono</t>
  </si>
  <si>
    <t>ZZZ:0XKY:00:RSET</t>
  </si>
  <si>
    <t>Reset Sinalização de Falhas</t>
  </si>
  <si>
    <t>ZZZ:0XKY:[86E/86M]:RERB</t>
  </si>
  <si>
    <t>ZZZ:0XQY:00:ATED</t>
  </si>
  <si>
    <t>Temperatura Água 2.Grau</t>
  </si>
  <si>
    <t>ZZZ:0XQY:00:ONS3</t>
  </si>
  <si>
    <t>ZZZ:0XQY:00:ATAE</t>
  </si>
  <si>
    <t>Temperatura Alta Água Entrada</t>
  </si>
  <si>
    <t>ZZZ:0XQY:00:CONA</t>
  </si>
  <si>
    <t>Condutividade da Água 2.Grau</t>
  </si>
  <si>
    <t>ZZZ:0XQY:00:VAED</t>
  </si>
  <si>
    <t>Vazamento de Água</t>
  </si>
  <si>
    <t>ZZZ:0XQY:83:PDIR</t>
  </si>
  <si>
    <t>Pressão diferencial</t>
  </si>
  <si>
    <t>ZZZ:0XQY:00:BPRE</t>
  </si>
  <si>
    <t>Baixa Pressão Resfriamento</t>
  </si>
  <si>
    <t>ZZZ:0XQY:00:BFLU</t>
  </si>
  <si>
    <t>Baixo Fluxo</t>
  </si>
  <si>
    <t>ZZZ:0XQY:00:RTFA</t>
  </si>
  <si>
    <t xml:space="preserve">Regulação de Tensão Falha Alimentacao </t>
  </si>
  <si>
    <t>ZZZ:0XQY:00:RFCA</t>
  </si>
  <si>
    <t>Refrig. Tiristores Falta CA</t>
  </si>
  <si>
    <t>ZZZ:0XQY:00:RFCC</t>
  </si>
  <si>
    <t>Refrig. Tiristores Falta CC</t>
  </si>
  <si>
    <t>ZZZ:0XQY:00:EBED</t>
  </si>
  <si>
    <t xml:space="preserve">Eletr Base Falha Tirist 2.Grau </t>
  </si>
  <si>
    <t>ZZZ:0XQY:00:EDED</t>
  </si>
  <si>
    <t>Eletr de Base Disparo 2.Grau</t>
  </si>
  <si>
    <t>ZZZ:0XQY:00:NCCI</t>
  </si>
  <si>
    <t>Alto Nível CC Inst.</t>
  </si>
  <si>
    <t>ZZZ:0XQY:00:NCCT</t>
  </si>
  <si>
    <t>Alto Nível CC Temp.</t>
  </si>
  <si>
    <t>ZZZ:0XEY:46:DCF1</t>
  </si>
  <si>
    <t>Desbalanço Corrente Fase Reator 1 Estag</t>
  </si>
  <si>
    <t>ZZZ:0XEY:46:DCF2</t>
  </si>
  <si>
    <t>Desbalanço Corrente Fase Reator 2 Estag</t>
  </si>
  <si>
    <t>ZZZ:0XEY:87:DIFR</t>
  </si>
  <si>
    <t>Diferencial Reator</t>
  </si>
  <si>
    <t>ZZZ:0XEY:00:SRIE</t>
  </si>
  <si>
    <t>SobreCarga Reator 1 Estag</t>
  </si>
  <si>
    <t>ZZZ:0XEY:00:SRSE</t>
  </si>
  <si>
    <t>SobreCarga Reator 2 Estag</t>
  </si>
  <si>
    <t>ZZZ:0XEY:00:SRTE</t>
  </si>
  <si>
    <t>SobreCarga Reator 3 Estag</t>
  </si>
  <si>
    <t>ZZZ:0XEY:50/51:SCFR</t>
  </si>
  <si>
    <t>SobreCorrente Fase Reator</t>
  </si>
  <si>
    <t>ZZZ:0XEY:46:SEQN</t>
  </si>
  <si>
    <t>ZZZ:0XEY:46:SQN2</t>
  </si>
  <si>
    <t>Atuação Sequência Negativa 2.Grau</t>
  </si>
  <si>
    <t>ZZZ:0XHY:00:BCFT</t>
  </si>
  <si>
    <t>Bco Capac Falha 3 Celula</t>
  </si>
  <si>
    <t>ZZZ:0XHY:51:BCSB</t>
  </si>
  <si>
    <t>Bco Capac SobreCorrente</t>
  </si>
  <si>
    <t>ZZZ:0XHY:46:CDDN</t>
  </si>
  <si>
    <t xml:space="preserve">Bco Capac Desbal Neutro 2.Grau </t>
  </si>
  <si>
    <t>ZZZ:0XHY:46:SEQN</t>
  </si>
  <si>
    <t>ZZZ:0XQY:00:PCAB</t>
  </si>
  <si>
    <t>ZZZ:0XQY:87:DIBF</t>
  </si>
  <si>
    <t>Diferencial Barra</t>
  </si>
  <si>
    <t>ZZZ:0XQY:00:ADTP</t>
  </si>
  <si>
    <t>Abertura Mini-Disjuntor TP</t>
  </si>
  <si>
    <t>ZZZ:0XQY:59:SOBI</t>
  </si>
  <si>
    <t>SobreTensão 1 Estag</t>
  </si>
  <si>
    <t>ZZZ:0XQY:59:SOBS</t>
  </si>
  <si>
    <t>SobreTensão 2 Estag</t>
  </si>
  <si>
    <t>ZZZ:0XQY:27:SUBT</t>
  </si>
  <si>
    <t>ZZZ:0XQY:50:SCOI</t>
  </si>
  <si>
    <t>Trip SobreCorrente Inst.</t>
  </si>
  <si>
    <t>ZZZ:0XQY:51:SCOT</t>
  </si>
  <si>
    <t>Trip SobreCorrente Temp.</t>
  </si>
  <si>
    <t>ZZZ:0XQY:64:PFLT</t>
  </si>
  <si>
    <t>Falta à Terra</t>
  </si>
  <si>
    <t>ZZZ:0XQY:64:PFT1</t>
  </si>
  <si>
    <t>Falta à Terra 1.Estágio</t>
  </si>
  <si>
    <t>ZZZ:0XQY:64:PFT2</t>
  </si>
  <si>
    <t>Falta à Terra 2.Estágio</t>
  </si>
  <si>
    <t>ZZZ:0XQY:00:DSDE</t>
  </si>
  <si>
    <t>Desarme Seção Delta</t>
  </si>
  <si>
    <t>ZZZ:0XQY:00:DSES</t>
  </si>
  <si>
    <t>Desarme Seção Estrela</t>
  </si>
  <si>
    <t>ZZZ:0XQY:86:RBSD</t>
  </si>
  <si>
    <t>Atuação Relé de Bloqueio Seção Delta</t>
  </si>
  <si>
    <t>8.2.1.7(a)(1)</t>
  </si>
  <si>
    <t>ZZZ:0XQY:86:RBSE</t>
  </si>
  <si>
    <t>Atuação Relé de Bloqueio Seção Estr</t>
  </si>
  <si>
    <t>ZZZ:0XQY:86:RBMF</t>
  </si>
  <si>
    <t>Atuação Relé de Bloqueio Módulo Filtro</t>
  </si>
  <si>
    <t>ZZZ:0XQY:86:RBMC</t>
  </si>
  <si>
    <t>Atuação Relé de Bloqueio Módulo Capacitor</t>
  </si>
  <si>
    <t>ZZZ:0XQY:86:RBMR</t>
  </si>
  <si>
    <t>Atuação Relé de Bloqueio Módulo Reator</t>
  </si>
  <si>
    <t>ZZZ:0XQY:{PNL}:PRTA</t>
  </si>
  <si>
    <t>ZZZ:0XQY:[F1/F2]:SINP</t>
  </si>
  <si>
    <t>ZZZ:0XQY:{PNL}:FCCP</t>
  </si>
  <si>
    <t>ZZZ:0XQY:{PNL}:FCEA</t>
  </si>
  <si>
    <t>ZZZ:0XQY:{PNL}:FCEB</t>
  </si>
  <si>
    <t>ZZZ:0XQY:[F1/F2]:FIRE</t>
  </si>
  <si>
    <t>ZZZ:0XQY:[F1/F2/UC1]:FGOE</t>
  </si>
  <si>
    <t>ZZZ:0XQY:[F1/F2/UC1]:FGPS</t>
  </si>
  <si>
    <t>ZZZ:0XQY:[F1/F2/UC1]:FCOD</t>
  </si>
  <si>
    <t>8.2.1.7(b)</t>
  </si>
  <si>
    <t>ZZZ:0XQY:F9:RVBL</t>
  </si>
  <si>
    <t>ZZZ:0XQY:F9:FIRV</t>
  </si>
  <si>
    <t>ZZZ:0XQY:F9:CPTS</t>
  </si>
  <si>
    <t>ZZZ:0XQY:F9:FGPS</t>
  </si>
  <si>
    <t>ZZZ:0XQY:F9:FGOE</t>
  </si>
  <si>
    <t>ZZZ:0XQY:MVAR</t>
  </si>
  <si>
    <t>MVAR do 0XQY-ZZZ</t>
  </si>
  <si>
    <t>ZZZ:0XQY:00:SETK</t>
  </si>
  <si>
    <t>OCR_PAS02</t>
  </si>
  <si>
    <t>ZZZ:0XQY:00:SETM</t>
  </si>
  <si>
    <t>OCR_PAS03</t>
  </si>
  <si>
    <t>ZZZ:0XQY:00:MVAR</t>
  </si>
  <si>
    <t>ZZZ:0XQY:00:SMOP</t>
  </si>
  <si>
    <t>ZZZ:0XQY:00:RSET</t>
  </si>
  <si>
    <t>ZZZ:0XHY:[F1/F2]:LBFA</t>
  </si>
  <si>
    <t xml:space="preserve">LCU By-Pass Proteção Fase A </t>
  </si>
  <si>
    <t>ZZZ:0XHY:[F1/F2]:LBFB</t>
  </si>
  <si>
    <t xml:space="preserve">LCU By-Pass Proteção Fase B </t>
  </si>
  <si>
    <t>ZZZ:0XHY:[F1/F2]:LBFC</t>
  </si>
  <si>
    <t>LCU By-Pass Proteção Fase C</t>
  </si>
  <si>
    <t>ZZZ:0XHY:[F1/F2]:MBFA</t>
  </si>
  <si>
    <t>MOV By-Pass Proteção Fase A</t>
  </si>
  <si>
    <t>ZZZ:0XHY:[F1/F2]:MBFB</t>
  </si>
  <si>
    <t>MOV By-Pass Proteção Fase B</t>
  </si>
  <si>
    <t>ZZZ:0XHY:[F1/F2]:MBFC</t>
  </si>
  <si>
    <t>MOV By-Pass Proteção Fase C</t>
  </si>
  <si>
    <t>ZZZ:0XHY:[F1/F2]:BYFA</t>
  </si>
  <si>
    <t>CAP By-Pass Proteção Fase A</t>
  </si>
  <si>
    <t>ZZZ:0XHY:[F1/F2]:BYFB</t>
  </si>
  <si>
    <t>CAP By-Pass Proteção Fase B</t>
  </si>
  <si>
    <t>ZZZ:0XHY:[F1/F2]:BYFC</t>
  </si>
  <si>
    <t xml:space="preserve">CAP By-Pass Proteção Fase C </t>
  </si>
  <si>
    <t>ZZZ:0XHY:[F1/F2]:BPBC</t>
  </si>
  <si>
    <t xml:space="preserve">Bloqueio Permanente  </t>
  </si>
  <si>
    <t>ZZZ:0XHY:[F1/F2]:CADC</t>
  </si>
  <si>
    <t xml:space="preserve">CAP Alarme Desequilíbrio Corrente </t>
  </si>
  <si>
    <t>ZZZ:0XHY:[F1/F2]:BYSC</t>
  </si>
  <si>
    <t>Bypass Sobrecarga Capacitor</t>
  </si>
  <si>
    <t>8.2.1.11(a)(1)</t>
  </si>
  <si>
    <t>ZZZ:0XHY:[F1/F2]:BPSC</t>
  </si>
  <si>
    <t>Bypass Perman. Sobrecarga Capacitor</t>
  </si>
  <si>
    <t>ZZZ:0XHY:[F1/F2]:BPSM</t>
  </si>
  <si>
    <t>Bypass Sobrecarga Mov</t>
  </si>
  <si>
    <t>ZZZ:0XHY:[F1/F2]:BPDG</t>
  </si>
  <si>
    <t>Bypass Disparo GAP</t>
  </si>
  <si>
    <t>ZZZ:0XHY:[F1/F2]:BADG</t>
  </si>
  <si>
    <t>Bypass Auto Disparo GAP</t>
  </si>
  <si>
    <t>ZZZ:0XHY:[F1/F2]:BDCC</t>
  </si>
  <si>
    <t>Bypass Deseq Corrente Capacitor</t>
  </si>
  <si>
    <t>ZZZ:0XHY:[F1/F2]:BDCM</t>
  </si>
  <si>
    <t>Bypass Deseq Corrente MOV</t>
  </si>
  <si>
    <t>ZZZ:0XHY:[F1/F2]:BPFP</t>
  </si>
  <si>
    <t>Bypass Proteção Falta à Plataforma</t>
  </si>
  <si>
    <t>ZZZ:0XHY:[F1/F2]:BPLT</t>
  </si>
  <si>
    <t>Bypass Proteção da LT</t>
  </si>
  <si>
    <t>ZZZ:0XHY:[F1/F2]:LTBC</t>
  </si>
  <si>
    <t>Trip na LT pela Proteção do BC</t>
  </si>
  <si>
    <t>ZZZ:0XHY:00:SHAR</t>
  </si>
  <si>
    <t>Atuação por SubHarmônicas</t>
  </si>
  <si>
    <t>ZZZ:0XHY:00:PCEN</t>
  </si>
  <si>
    <t>Atuação proteção do Centelhador</t>
  </si>
  <si>
    <t>ZZZ:0XHY:00:DTEN</t>
  </si>
  <si>
    <t>Atuação Desbalanço de Tensão</t>
  </si>
  <si>
    <t>ZZZ:0XHY:00:FUGA</t>
  </si>
  <si>
    <t>Atuação Fuga para Plataforma</t>
  </si>
  <si>
    <t>ZZZ:0XHY:00:ANPC</t>
  </si>
  <si>
    <t>ZZZ:0XHY:[F1/F2]:SINP</t>
  </si>
  <si>
    <t>ZZZ:0XHY:[F1/F2/UC1]:FIRE</t>
  </si>
  <si>
    <t>ZZZ:0XHY:[F1/F2/UC1]:FGPS</t>
  </si>
  <si>
    <t>ZZZ:0XHY:[F1/F2/UC1]:FCOD</t>
  </si>
  <si>
    <t>ZZZ:0XHY:KV</t>
  </si>
  <si>
    <t>kV lado variável do 0XHY-ZZZ</t>
  </si>
  <si>
    <t>8.2.1.2(b)(1)</t>
  </si>
  <si>
    <t>ZZZ:0XEY:00:ONS2</t>
  </si>
  <si>
    <t>Apenas para Banco Monofásico. 
#ProInt #MONOFASICO</t>
  </si>
  <si>
    <r>
      <t>ZZZ:0XEY:63:RG1F</t>
    </r>
    <r>
      <rPr>
        <sz val="10"/>
        <color indexed="12"/>
        <rFont val="Arial"/>
        <family val="2"/>
      </rPr>
      <t>(RG2F)</t>
    </r>
    <r>
      <rPr>
        <sz val="10"/>
        <color indexed="14"/>
        <rFont val="Arial"/>
        <family val="2"/>
      </rPr>
      <t>(RG3F)(RGFS)</t>
    </r>
  </si>
  <si>
    <t>8.2.1.2(b)(2)i</t>
  </si>
  <si>
    <t xml:space="preserve">Trip Relé de Gás Trafo 2.Grau (63) </t>
  </si>
  <si>
    <t>ZZZ:0XEY:F1:PDFA</t>
  </si>
  <si>
    <r>
      <t>ZZZ:0XEY:87:RDF1</t>
    </r>
    <r>
      <rPr>
        <sz val="10"/>
        <color indexed="12"/>
        <rFont val="Arial"/>
        <family val="2"/>
      </rPr>
      <t>(RDF2)</t>
    </r>
    <r>
      <rPr>
        <sz val="10"/>
        <color indexed="14"/>
        <rFont val="Arial"/>
        <family val="2"/>
      </rPr>
      <t>(RDF3)(PDIF)</t>
    </r>
    <r>
      <rPr>
        <sz val="10"/>
        <rFont val="Arial"/>
        <family val="2"/>
      </rPr>
      <t>, ZZZ:0XEY:00:ONS3</t>
    </r>
  </si>
  <si>
    <t>8.2.1.2(b)(2)iii</t>
  </si>
  <si>
    <t>ZZZ:0XEY:F1:PDFB</t>
  </si>
  <si>
    <t>ZZZ:0XEY:F1:PDFC</t>
  </si>
  <si>
    <t>ZZZ:0XEY:F1:PDIF</t>
  </si>
  <si>
    <t>ZZZ:0XEY:F1:SCFA</t>
  </si>
  <si>
    <r>
      <t>ZZZ:0XEY:50/51:SC1F</t>
    </r>
    <r>
      <rPr>
        <sz val="10"/>
        <color indexed="12"/>
        <rFont val="Arial"/>
        <family val="2"/>
      </rPr>
      <t>(SC2F)</t>
    </r>
    <r>
      <rPr>
        <sz val="10"/>
        <color indexed="14"/>
        <rFont val="Arial"/>
        <family val="2"/>
      </rPr>
      <t>(SC3F)(SCOF)</t>
    </r>
  </si>
  <si>
    <t>ZZZ:0XEY:F1:SCFB</t>
  </si>
  <si>
    <t>ZZZ:0XEY:F1:SCFC</t>
  </si>
  <si>
    <t>ZZZ:0XEY:F1:SCOF</t>
  </si>
  <si>
    <t xml:space="preserve">Trip SobreCorrente 50/51 Fases </t>
  </si>
  <si>
    <t>ZZZ:0XEY:F1:SCRF</t>
  </si>
  <si>
    <t>Trip SobreCorrente 50/51V Fases</t>
  </si>
  <si>
    <t>ZZZ:0XEY:F1:SCON</t>
  </si>
  <si>
    <t>ZZZ:0XEY:F1:SOCG</t>
  </si>
  <si>
    <t>ZZZ:0XEY:F1:SCGS</t>
  </si>
  <si>
    <t>Trip SobreCorrente 51GS</t>
  </si>
  <si>
    <t>ZZZ:0XEY:F1:SCLT</t>
  </si>
  <si>
    <t xml:space="preserve">Trip SobreCorrente 50 OLT </t>
  </si>
  <si>
    <t>ZZZ:0XEY:UC1:OEPA</t>
  </si>
  <si>
    <t>ZZZ:0XEY:UC1:OEPB</t>
  </si>
  <si>
    <t>ZZZ:0XEY:UC1:OEPC</t>
  </si>
  <si>
    <t>ZZZ:0XEY:26/49:TOES</t>
  </si>
  <si>
    <t>8.2.1.2(b)(1)i</t>
  </si>
  <si>
    <t xml:space="preserve">ZZZ:0XEY:49:ATES </t>
  </si>
  <si>
    <t>Temperatura do Enrolamento (49) 2.Grau</t>
  </si>
  <si>
    <t>8.2.1.2(b)(1)ii</t>
  </si>
  <si>
    <t>Temperatura do Enrol. (49) 2.Grau Fase A</t>
  </si>
  <si>
    <t>Temperatura do Enrol. (49) 2.Grau Fase B</t>
  </si>
  <si>
    <t>Temperatura do Enrol. (49) 2.Grau Fase C</t>
  </si>
  <si>
    <t>ZZZ:0XEY:UC1:ARGA</t>
  </si>
  <si>
    <t>Relé de Gás Reator 1.Grau Fase A</t>
  </si>
  <si>
    <t>ZZZ:0XEY:63:ARGP</t>
  </si>
  <si>
    <t>ZZZ:0XEY:UC1:ARGB</t>
  </si>
  <si>
    <t>Relé de Gás Reator 1.Grau Fase B</t>
  </si>
  <si>
    <t>ZZZ:0XEY:UC1:ARGC</t>
  </si>
  <si>
    <t>Relé de Gás Reator 1.Grau Fase C</t>
  </si>
  <si>
    <t>ZZZ:0XEY:UC1:ARGP</t>
  </si>
  <si>
    <t>Relé de Gás Reator 1.Grau</t>
  </si>
  <si>
    <t>8.2.1.2(b)(2)ii</t>
  </si>
  <si>
    <t>ZZZ:0XEY:00:ANTR</t>
  </si>
  <si>
    <t>ZZZ:0XEY:UC1:CTOE</t>
  </si>
  <si>
    <t>ZZZ:0XEY:86:RERB</t>
  </si>
  <si>
    <t>ZZZ:0XEY:86:ATRB</t>
  </si>
  <si>
    <t>Caso não seja manobrável e tenha relé próprio.</t>
  </si>
  <si>
    <t>8.2.1.2(a)(1)</t>
  </si>
  <si>
    <t>ZZZ:0XEY:00:DTPM</t>
  </si>
  <si>
    <t>ZZZ:0XEY:00:DTPP</t>
  </si>
  <si>
    <t>ZZZ:0XEY:00:ANPR</t>
  </si>
  <si>
    <t>ZZZ:0XEY:26/49:FIMT</t>
  </si>
  <si>
    <t>ZZZ:0XEY:26/49:FIMA</t>
  </si>
  <si>
    <t>ZZZ:0XEY:26/49:FIMB</t>
  </si>
  <si>
    <t>ZZZ:0XEY:26/49:FIMC</t>
  </si>
  <si>
    <t>ZZZ:0XEY:SINC:FIRE</t>
  </si>
  <si>
    <t>ZZZ:0XEY:F1:FIRE</t>
  </si>
  <si>
    <t>ZZZ:0XEY:[F1/UC1]:FGOE</t>
  </si>
  <si>
    <t>ZZZ:0XEY:[F1/UC1]:FGPS</t>
  </si>
  <si>
    <t>ZZZ:0XEY:F1:CPTS</t>
  </si>
  <si>
    <t>ZZZ:0XEY:UC1:ULOC</t>
  </si>
  <si>
    <t>ZZZ:0XEY:UC1:ULOCD</t>
  </si>
  <si>
    <t>ZZZ:0XEY:UC1:FIUC</t>
  </si>
  <si>
    <t>ZZZ:0XEY:{PNL}:FCPI</t>
  </si>
  <si>
    <t>ZZZ:0XEY:{PNL}:FCCP</t>
  </si>
  <si>
    <t>ZZZ:0XEY:{PNL}:FCEA</t>
  </si>
  <si>
    <t>ZZZ:0XEY:{PNL}:FCEB</t>
  </si>
  <si>
    <t>ZZZ:0XEY:UC1:SINP</t>
  </si>
  <si>
    <t>ZZZ:0XEY:UC1:AFDV</t>
  </si>
  <si>
    <t>ZZZ:0XEY:UC1:AFDA</t>
  </si>
  <si>
    <t>ZZZ:0XEY:UC1:AFDB</t>
  </si>
  <si>
    <t>ZZZ:0XEY:UC1:AFDC</t>
  </si>
  <si>
    <t>ZZZ:0XEY:UC1:FCCA</t>
  </si>
  <si>
    <t>ZZZ:0XEY:UC1:FDAA</t>
  </si>
  <si>
    <t>ZZZ:0XEY:UC1:FDAB</t>
  </si>
  <si>
    <t>ZZZ:0XEY:UC1:FDAC</t>
  </si>
  <si>
    <t>ZZZ:0XEY:UC1:FCAA</t>
  </si>
  <si>
    <t>ZZZ:0XEY:UC1:FAAA</t>
  </si>
  <si>
    <t>ZZZ:0XEY:UC1:FAAB</t>
  </si>
  <si>
    <t>ZZZ:0XEY:UC1:FAAC</t>
  </si>
  <si>
    <t>ZZZ:0XEY:{PNL}:PRTA</t>
  </si>
  <si>
    <t>Porta do Painel Aberta</t>
  </si>
  <si>
    <t>ZZZ:0XEY:RDP:OSFG</t>
  </si>
  <si>
    <t>ZZZ:0XEY:RDP:OSEG</t>
  </si>
  <si>
    <t>ZZZ:0XEY:RDP:OSGA</t>
  </si>
  <si>
    <t>ZZZ:0XEY:RDP:OSFC</t>
  </si>
  <si>
    <t>ZZZ:0XEY:UC1:VTPE</t>
  </si>
  <si>
    <t>ZZZ:0XEY:00:VTPE</t>
  </si>
  <si>
    <t>ZZZ:0XEY:UC1:VTPA</t>
  </si>
  <si>
    <t>ZZZ:0XEY:UC1:VTPB</t>
  </si>
  <si>
    <t>ZZZ:0XEY:UC1:VTPC</t>
  </si>
  <si>
    <t>ZZZ:0XEY:UC1:VTSE</t>
  </si>
  <si>
    <t>ZZZ:0XEY:00:VTSE</t>
  </si>
  <si>
    <t>ZZZ:0XEY:UC1:VSEA</t>
  </si>
  <si>
    <t>ZZZ:0XEY:UC1:VSEB</t>
  </si>
  <si>
    <t>ZZZ:0XEY:UC1:VSEC</t>
  </si>
  <si>
    <t>ZZZ:0XEY:UC1:VTAU</t>
  </si>
  <si>
    <t>ZZZ:0XEY:UC1:VTAA</t>
  </si>
  <si>
    <t>ZZZ:0XEY:UC1:VTAB</t>
  </si>
  <si>
    <t>ZZZ:0XEY:UC1:VTAC</t>
  </si>
  <si>
    <t>ZZZ:0XEY:UC1:VTML</t>
  </si>
  <si>
    <t>ZZZ:0XEY:UC1:VTLA</t>
  </si>
  <si>
    <t>ZZZ:0XEY:UC1:VTLB</t>
  </si>
  <si>
    <t>ZZZ:0XEY:UC1:VTLC</t>
  </si>
  <si>
    <t>ZZZ:0XEY:UC1:VTMR</t>
  </si>
  <si>
    <t>ZZZ:0XEY:UC1:VTRA</t>
  </si>
  <si>
    <t>ZZZ:0XEY:UC1:VTRB</t>
  </si>
  <si>
    <t>ZZZ:0XEY:UC1:VTRC</t>
  </si>
  <si>
    <t>ZZZ:0XEY:UC1:VPAU</t>
  </si>
  <si>
    <t>ZZZ:0XEY:UC1:VPML</t>
  </si>
  <si>
    <t>ZZZ:0XEY:UC1:VPMR</t>
  </si>
  <si>
    <t>ZZZ:0XEY:UC1:VPDE</t>
  </si>
  <si>
    <t>ZZZ:0XEY:UC1:VSAU</t>
  </si>
  <si>
    <t>ZZZ:0XEY:UC1:VSML</t>
  </si>
  <si>
    <t>ZZZ:0XEY:UC1:VSMR</t>
  </si>
  <si>
    <t>ZZZ:0XEY:UC1:VSDE</t>
  </si>
  <si>
    <t>8.2.1.2(b)(2)</t>
  </si>
  <si>
    <t>ZZZ:0XEY:MVAR</t>
  </si>
  <si>
    <t>MVAR do 0XEY-ZZZ</t>
  </si>
  <si>
    <t>ZZZ:0XEY:AMPA</t>
  </si>
  <si>
    <t>Corrente Fase A do 0XEY-ZZZ</t>
  </si>
  <si>
    <t>ZZZ:0XEY:AMPB</t>
  </si>
  <si>
    <t>Corrente Fase B do 0XEY-ZZZ</t>
  </si>
  <si>
    <t>ZZZ:0XEY:AMPC</t>
  </si>
  <si>
    <t>Corrente Fase C do 0XEY-ZZZ</t>
  </si>
  <si>
    <t>ZZZ:0XEY:TPOA</t>
  </si>
  <si>
    <t>Temperatura do Óleo Fase A do 0XEY-ZZZ</t>
  </si>
  <si>
    <t>ZZZ:0XEY:TPOB</t>
  </si>
  <si>
    <t>Temperatura do Óleo Fase B do 0XEY-ZZZ</t>
  </si>
  <si>
    <t>ZZZ:0XEY:TPOC</t>
  </si>
  <si>
    <t>Temperatura do Óleo Fase C do 0XEY-ZZZ</t>
  </si>
  <si>
    <t>ZZZ:0XEY:TPOL</t>
  </si>
  <si>
    <t>Temperatura do Óleo do 0XEY-ZZZ</t>
  </si>
  <si>
    <t>ZZZ:0XEY:TMPA</t>
  </si>
  <si>
    <t>Temperatura Enrol. Fase A do 0XEY-ZZZ</t>
  </si>
  <si>
    <t>ZZZ:0XEY:TMPB</t>
  </si>
  <si>
    <t>Temperatura Enrol. Fase B do 0XEY-ZZZ</t>
  </si>
  <si>
    <t>ZZZ:0XEY:TMPC</t>
  </si>
  <si>
    <t>Temperatura Enrol. Fase C do 0XEY-ZZZ</t>
  </si>
  <si>
    <t>ZZZ:0XEY:TMPP</t>
  </si>
  <si>
    <t>Temperatura do Enrolamento do 0XEY-ZZZ</t>
  </si>
  <si>
    <t>ZZZ:0XEY:F9:RVBL</t>
  </si>
  <si>
    <t>ZZZ:0XEY:F9:FIRV</t>
  </si>
  <si>
    <t>ZZZ:0XEY:F9:CPTS</t>
  </si>
  <si>
    <t>ZZZ:0XEY:F9:FGPS</t>
  </si>
  <si>
    <t>ZZZ:0XEY:F9:FGOE</t>
  </si>
  <si>
    <t>ZZZ:0XEY:43I:CTOE</t>
  </si>
  <si>
    <t xml:space="preserve">ZZZ:mmmm:00:PAND </t>
  </si>
  <si>
    <t>Preparação para Reenergização em Andamento</t>
  </si>
  <si>
    <t>ZZZ:mmmm:00:PEBQ</t>
  </si>
  <si>
    <t>Preparação para Reenergização Bloqueada</t>
  </si>
  <si>
    <t>ZZZ:mmmm:00:PCON</t>
  </si>
  <si>
    <t>Preparação para Reenergização Concluída</t>
  </si>
  <si>
    <t>ZZZ:mmmm:00:PDSP</t>
  </si>
  <si>
    <t>Preparação para Reenergização Disponível</t>
  </si>
  <si>
    <t>ZZZ:mmmm:00:PATV</t>
  </si>
  <si>
    <t>Preparacao para Renergização</t>
  </si>
  <si>
    <t>ZZZ:mmmm:00:RAND</t>
  </si>
  <si>
    <t>Reenergização em Andamento</t>
  </si>
  <si>
    <t>ZZZ:mmmm:00:REBQ</t>
  </si>
  <si>
    <t>Reenergização Bloqueada</t>
  </si>
  <si>
    <t xml:space="preserve">ZZZ:mmmm:00:RCON </t>
  </si>
  <si>
    <t>Reenergização Concluída</t>
  </si>
  <si>
    <t>ZZZ:mmmm:00:RDSP</t>
  </si>
  <si>
    <t>Reenergização Disponível</t>
  </si>
  <si>
    <t xml:space="preserve">ZZZ:mmmm:00:RATV </t>
  </si>
  <si>
    <t xml:space="preserve">Reenergizacao </t>
  </si>
  <si>
    <t>ZZZ:mmmmnnn:90:RGAT</t>
  </si>
  <si>
    <t>Regulacão</t>
  </si>
  <si>
    <t>"mmmm" Sistema Digital de Supervisão comum a vários trafos (SAGE, UTR-, PCPG).
"nnn" Tensão nominal do barramento controlado (013 = 13.8kV; 069 = 69kV; 230 = 230kV)</t>
  </si>
  <si>
    <t>ZZZ:mmmmnnn:90:PAUT</t>
  </si>
  <si>
    <t>Programação de mudança de Faixas de Tensão</t>
  </si>
  <si>
    <t>ZZZ:mmmmnnn:90:RLFx</t>
  </si>
  <si>
    <t>"mmmm" Sistema Digital de Supervisão comum a vários trafos (SAGE, UTR-, PCPG).
"nnn" Tensão nominal do barramento controlado (013 = 13.8kV; 069 = 69kV; 230 = 230kV)
"x" Número da Faixa de Tensão (1, 2, 3...)</t>
  </si>
  <si>
    <t>ZZZ:mmmmnnn:90:HPNx</t>
  </si>
  <si>
    <t>Hora Prevista para Mudança Faixa Tensão</t>
  </si>
  <si>
    <t>ZZZ:mmmmnnn:90:RNLR</t>
  </si>
  <si>
    <t>ZZZ:mmmmnnn:00:SPLR</t>
  </si>
  <si>
    <t>ZZZ:mmmmnnn:00:TRIN</t>
  </si>
  <si>
    <t>Trafos em Individual</t>
  </si>
  <si>
    <t>ZZZ:mmmmnnn:00:TRMA</t>
  </si>
  <si>
    <t>Trafos em Manual</t>
  </si>
  <si>
    <t>ZZZ:mmmmnnn:00:TRAU</t>
  </si>
  <si>
    <t>Trafos em Automático</t>
  </si>
  <si>
    <t>ZZZ:mmmmnnn:90:RGDI</t>
  </si>
  <si>
    <t>Regulação Disponível</t>
  </si>
  <si>
    <t>ZZZ:mmmmnnn:90:RGAN</t>
  </si>
  <si>
    <t>Regulação em Andamento</t>
  </si>
  <si>
    <t>Regulação Bloqueada</t>
  </si>
  <si>
    <t>ZZZ:mmmmnnn:[B1/B2/BP]:PARP</t>
  </si>
  <si>
    <t>Perda de Automatismo Reg./Paral.</t>
  </si>
  <si>
    <t>ZZZ:mmmmnnn:[B1/B2/BP]:ELDI</t>
  </si>
  <si>
    <t>Extrapolação dos limites ou dados inválidos</t>
  </si>
  <si>
    <t>ZZZ:mmmmnnn:[B1/B2/BP]:ISME</t>
  </si>
  <si>
    <t>Inconsistência na Seleção de Mestre</t>
  </si>
  <si>
    <t>ZZZ:mmmmnnn:[B1/B2/BP]:CFPA</t>
  </si>
  <si>
    <t>Comutadores Fora de Passo</t>
  </si>
  <si>
    <t>ZZZ:mmmm:00:HHVR</t>
  </si>
  <si>
    <t>Horário Verão</t>
  </si>
  <si>
    <t>"mmmm" Sistema Digital de Supervisão comum a vários trafos (SAGE, UTR-, PCPG).</t>
  </si>
  <si>
    <t>ZZZ:mmmmnnn:00:FTCP</t>
  </si>
  <si>
    <t>Falta Tensão no Circuito de Paralelismo</t>
  </si>
  <si>
    <t>ZZZ:mmmmnnn:[B1/B2/BP]:PLIA</t>
  </si>
  <si>
    <t>Paralelismo Limite Inferior Atingido</t>
  </si>
  <si>
    <t>ZZZ:mmmmnnn:[B1/B2/BP]:PLSA</t>
  </si>
  <si>
    <t>Paralelismo Limite Superior Atingido</t>
  </si>
  <si>
    <t>Comutação Aut. Bloq. Temp.</t>
  </si>
  <si>
    <t>ZZZ:mmmmnnn:00:BRSO</t>
  </si>
  <si>
    <t>Bloqueio da Regulação por SobreTensão</t>
  </si>
  <si>
    <t>ZZZ:mmmmnnn:00:BRSU</t>
  </si>
  <si>
    <t>Bloqueio da Regulação por SubTensão</t>
  </si>
  <si>
    <t>ZZZ:mmmmnnn:00:ABSO</t>
  </si>
  <si>
    <t>Aproximação do Bloqueio por SobreTensão</t>
  </si>
  <si>
    <t>ZZZ:mmmmnnn:00:STIN</t>
  </si>
  <si>
    <t>SetPoint Inválido</t>
  </si>
  <si>
    <t>ZZZ:mmmmnnn:00:FFRG</t>
  </si>
  <si>
    <t>Tensão Fora de Faixa de Regulação</t>
  </si>
  <si>
    <t>ZZZ:mmmmnnn:00:SUBA</t>
  </si>
  <si>
    <t>Atuação SubTensão Barra</t>
  </si>
  <si>
    <t>"mmmm" Sistema Digital de Supervisão comum a vários trafos (SAGE, UTR-, PCPG, SART).
"nnn" Tensão nominal do barramento controlado (013 = 13.8kV; 069 = 69kV; 230 = 230kV)</t>
  </si>
  <si>
    <t>ZZZ:mmmmnnn:00:SOBA</t>
  </si>
  <si>
    <t>Atuação SobreTensão Barra</t>
  </si>
  <si>
    <t>ZZZ:mmmmnnn:00:PCLT</t>
  </si>
  <si>
    <t>ZZZ:mmmmnnn:{PNL}:FACn</t>
  </si>
  <si>
    <t>ZZZ:mmmm:STAP</t>
  </si>
  <si>
    <t>Estado da Preparação</t>
  </si>
  <si>
    <t>"mmmm" Sistema Digital de Supervisão comum a vários trafos (SAGE, UTR-, PCPG)..
Estados possíveis: "Monitorando"; "Em Andamento"; "Bloqueada"; "Concluída"; "Parada".</t>
  </si>
  <si>
    <t>ZZZ:mmmm:STAR</t>
  </si>
  <si>
    <t>Estado da Reenergização</t>
  </si>
  <si>
    <t>ZZZ:mmmmnnn:SETx</t>
  </si>
  <si>
    <t>SetPoint Ajustado para Faixa</t>
  </si>
  <si>
    <t>"mmmm" Sistema Digital de Supervisão comum a vários trafos (SAGE, UTR-, PCPG)..
Estados possíveis: "Disponível"; "Monitorando"; "Em Andamento"; "Bloqueada"; "Parada".</t>
  </si>
  <si>
    <t>ZZZ:mmmmnnn:[B1/B2/BP]:KVRF</t>
  </si>
  <si>
    <t>Tensão 0XBY Para Regulação</t>
  </si>
  <si>
    <t>Deverá ser analisada essa medição para nível 3, durante cada projeto.</t>
  </si>
  <si>
    <t>Hz</t>
  </si>
  <si>
    <t>ZZZ:mmmmnnn:[B1/B2/BP]:LS</t>
  </si>
  <si>
    <t>Set-Point de Limite Inferior de Tensão</t>
  </si>
  <si>
    <t>ZZZ:mmmmnnn:[B1/B2/BP]:LI</t>
  </si>
  <si>
    <t>Set-Point de Limite Superior de Tensão</t>
  </si>
  <si>
    <t>ZZZ:PREPARA:00:ATIV</t>
  </si>
  <si>
    <t>Ativar/Desat. Preparação p/ Reenergização</t>
  </si>
  <si>
    <t xml:space="preserve">ZZZ:REENERG:00:RATV </t>
  </si>
  <si>
    <t>Ativar / Desativar Reenergização</t>
  </si>
  <si>
    <t>Ativar / Desativar Regulação</t>
  </si>
  <si>
    <t>Ativar / Desativar Programação de Faixas</t>
  </si>
  <si>
    <t>ZZZ:mmmmnnn:90:SETP</t>
  </si>
  <si>
    <t xml:space="preserve">Seleção Tensão Recomendada de Regulação </t>
  </si>
  <si>
    <t>Passa um Valor Analogico para o Relé.
"mmmm" Sistema Digital de Supervisão comum a vários trafos (SAGE, UTR-, PCPG).
"nnn" Tensão nominal do barramento controlado (013 = 13.8kV; 069 = 69kV; 230 = 230kV)</t>
  </si>
  <si>
    <t>Seleção de Horário Verão</t>
  </si>
  <si>
    <t>ZZZ:X52YY:52</t>
  </si>
  <si>
    <t>Disjuntor X52YY</t>
  </si>
  <si>
    <t>YY=T7/T8/G1/B2/R1/R2</t>
  </si>
  <si>
    <t>ZZZ:11T7:00:DEXT</t>
  </si>
  <si>
    <t>Disjuntor Extraído</t>
  </si>
  <si>
    <t>ZZZ:X52YY:52:IDEF</t>
  </si>
  <si>
    <t>ZZZ:X52YY:52:IATV</t>
  </si>
  <si>
    <t>Ponto de intertravamento para comando do disjuntor, deve ser aquisitado diretamente dos IEDs. Na tela deve ser sinalizado no unifilar (cadeado).</t>
  </si>
  <si>
    <t>ZZZ:X52YY:00:FCOM</t>
  </si>
  <si>
    <t>ZZZ:X52YY:00:ALSC</t>
  </si>
  <si>
    <t>Alarme SobreCarga</t>
  </si>
  <si>
    <t>ZZZ:X52YY:50/51:SCOR</t>
  </si>
  <si>
    <t>Trip Sobrecorrente</t>
  </si>
  <si>
    <t>ZZZ:X72YYY:72</t>
  </si>
  <si>
    <t>Disjuntor X72YYY</t>
  </si>
  <si>
    <t>YYY=A1A, A2B, A2A, A1B</t>
  </si>
  <si>
    <t>ZZZ:X72YYY:72:IDEF</t>
  </si>
  <si>
    <t>ZZZ:X72YYY:76:SCOR</t>
  </si>
  <si>
    <t>ZZZ:X72YYY:72:IAFE</t>
  </si>
  <si>
    <t>ZZZ:X72YYY:00:ALSC</t>
  </si>
  <si>
    <t>ZZZ:X00BY:00:BDPA</t>
  </si>
  <si>
    <t>Bloqueio Disjuntores por Proteção Atuada</t>
  </si>
  <si>
    <t>ZZZ:X00BY:27:FTBA</t>
  </si>
  <si>
    <t>Falta Tensão na Barra</t>
  </si>
  <si>
    <t>ZZZ:X00BY:27EA:FTEA</t>
  </si>
  <si>
    <t>Falta Tensão na Entrada A</t>
  </si>
  <si>
    <t>ZZZ:X00BY:27EB:FTEB</t>
  </si>
  <si>
    <t>Falta Tensão na Entrada B</t>
  </si>
  <si>
    <t>ZZZ:X00BY:52:ABDS</t>
  </si>
  <si>
    <t>Abertura Disjuntores de Saída</t>
  </si>
  <si>
    <t>ZZZ:X00GY:00:PAPA</t>
  </si>
  <si>
    <t>Grupo Gerador</t>
  </si>
  <si>
    <t>ZZZ:X00GY:00:GGPC</t>
  </si>
  <si>
    <t>GGE Pronto para Carga</t>
  </si>
  <si>
    <t>ZZZ:X00GY:43:GGAM</t>
  </si>
  <si>
    <t>Selecao Automatismo GGE (Aut./Man.)</t>
  </si>
  <si>
    <t>ZZZ:X00GY:00:GGPT</t>
  </si>
  <si>
    <t>Intertrav. Ativado (Partida)</t>
  </si>
  <si>
    <t>ZZZ:X00GY:71:GGCB</t>
  </si>
  <si>
    <t>Combustivel - Nível Baixo</t>
  </si>
  <si>
    <t>ZZZ:X00GY:00:ANGG</t>
  </si>
  <si>
    <t>ZZZ:X00GY:71:GGAB</t>
  </si>
  <si>
    <t>Água Radiador - Nível Baixo</t>
  </si>
  <si>
    <t>ZZZ:X00GY:00:ALSC</t>
  </si>
  <si>
    <t>ZZZ:X00GY:00:GGCD</t>
  </si>
  <si>
    <t>Controlador Desligado</t>
  </si>
  <si>
    <t>ZZZ:X00GY:00:GGDC</t>
  </si>
  <si>
    <t>Defeito Carregador</t>
  </si>
  <si>
    <t>ZZZ:X00GY:00:ANRV</t>
  </si>
  <si>
    <t>Anormalidade Regulador de Velocidade</t>
  </si>
  <si>
    <t>ZZZ:X00GY:00:ANFQ</t>
  </si>
  <si>
    <t>Anormalidade Frequência</t>
  </si>
  <si>
    <t>ZZZ:X00GY:00:GGMA</t>
  </si>
  <si>
    <t>GGE em Manutencao</t>
  </si>
  <si>
    <t>ZZZ:X00GY:00:BPOL</t>
  </si>
  <si>
    <t>Baixa Pressao Óleo</t>
  </si>
  <si>
    <t>ZZZ:X00GY:00:GGRE</t>
  </si>
  <si>
    <t>GGE em Resfriamento</t>
  </si>
  <si>
    <t>ZZZ:X00GY:00:ANTG</t>
  </si>
  <si>
    <t>Anormalidade Tensão Gerada</t>
  </si>
  <si>
    <t>ZZZ:X00GY:00:ANTM</t>
  </si>
  <si>
    <t>Anormalidade Temperatura do Motor</t>
  </si>
  <si>
    <t>ZZZ:X00GY:00:PINT</t>
  </si>
  <si>
    <t>Proteções Internas</t>
  </si>
  <si>
    <t>ZZZ:X00GY:00:PGGE</t>
  </si>
  <si>
    <t>Parada GGE</t>
  </si>
  <si>
    <t>Anormalidade Grupo Gerador</t>
  </si>
  <si>
    <t>ZZZ:X00GY:00:TSBC</t>
  </si>
  <si>
    <t>Trip SobreCarga</t>
  </si>
  <si>
    <t>ZZZ:X00GY:94:TRGG</t>
  </si>
  <si>
    <t>ZZZ:X00GY:00:FPTD</t>
  </si>
  <si>
    <t>Trip Falha Partida</t>
  </si>
  <si>
    <t>ZZZ:X00GY:12:SOBV</t>
  </si>
  <si>
    <t>Trip SobreVelocidade</t>
  </si>
  <si>
    <t>ZZZ:X00GY:14:SUBV</t>
  </si>
  <si>
    <t>Trip SubVelocidade</t>
  </si>
  <si>
    <t>ZZZ:X00GY:27:SUBT</t>
  </si>
  <si>
    <t>ZZZ:X00GY:59:SOBT</t>
  </si>
  <si>
    <t>ZZZ:X00GY:26:TTRE</t>
  </si>
  <si>
    <t>Trip SobreTemperatura Estator</t>
  </si>
  <si>
    <t>ZZZ:X00GY:00:TBPO</t>
  </si>
  <si>
    <t>Trip Baixa Pressão de Óleo</t>
  </si>
  <si>
    <t>ZZZ:X00GY:26:STAG</t>
  </si>
  <si>
    <t>Trip SobreTemperatura Água</t>
  </si>
  <si>
    <t>Trip Grupo Gerador</t>
  </si>
  <si>
    <t>ZZZ:X00GY:00:GEPE</t>
  </si>
  <si>
    <t>Parada de Emergência Gerador</t>
  </si>
  <si>
    <t>ZZZ:X00RY:00</t>
  </si>
  <si>
    <t>Retificador X00RY</t>
  </si>
  <si>
    <t>ZZZ:X00RY:00:RDEF</t>
  </si>
  <si>
    <t>Defeito Retificador</t>
  </si>
  <si>
    <t>ZZZ:X00RY:00:ARET</t>
  </si>
  <si>
    <t>ZZZ:X00RY:60:RCAA</t>
  </si>
  <si>
    <t>Vca Anormal</t>
  </si>
  <si>
    <t>ZZZ:X00RY:60:RCCA</t>
  </si>
  <si>
    <t>Vcc Anormal</t>
  </si>
  <si>
    <t>ZZZ:X00RY:64:RFTE</t>
  </si>
  <si>
    <t>Fuga Para Terra</t>
  </si>
  <si>
    <t>ZZZ:X00RY:00:FUIN</t>
  </si>
  <si>
    <t>Fusível Interrompido</t>
  </si>
  <si>
    <t>Anormalidade Retificador</t>
  </si>
  <si>
    <t>ZZZ:X00RY:00:BDES</t>
  </si>
  <si>
    <t>Bateria em Descarga</t>
  </si>
  <si>
    <t>ZZZ:X89RY:00:CINE</t>
  </si>
  <si>
    <t>Chave Interligação de Negativo</t>
  </si>
  <si>
    <t>ZZZ:SA:{PNLSA}:SMAM</t>
  </si>
  <si>
    <t>Selecao Modo Operação (Aut./Man.)</t>
  </si>
  <si>
    <t>** Nome do Painel com no máximo 6 dígitos (QDM, QDR, PT1, PT1EA, PT1EB, PT1EAB, PT2, PT3...).</t>
  </si>
  <si>
    <t>ZZZ:SA:{PNLSA}:SMAL</t>
  </si>
  <si>
    <t>Seleção Modo Automático Local</t>
  </si>
  <si>
    <t>ZZZ:SA:{PNLSA}:SMAR</t>
  </si>
  <si>
    <t>Seleção Modo Automático Remoto</t>
  </si>
  <si>
    <t>ZZZ:SA:{PNLSA}:SNLR</t>
  </si>
  <si>
    <t>Selecao Nível de Operação (Loc/Rem)</t>
  </si>
  <si>
    <t>ZZZ:SA:{PNL}:AIAD</t>
  </si>
  <si>
    <t>Autom. Intertrav. Ativo (Desligar)</t>
  </si>
  <si>
    <t>ZZZ:SA:{PNL}:AIAL</t>
  </si>
  <si>
    <t>Autom. Intertrav. Ativo (Ligar)</t>
  </si>
  <si>
    <t>ZZZ:SA:{PNLUA}:PRTA</t>
  </si>
  <si>
    <t>ZZZ:SA:{PNLSA}:FCCP</t>
  </si>
  <si>
    <t>ZZZ:SA:{PNLUA}:FCCP</t>
  </si>
  <si>
    <t>ZZZ:SA:{PNLUA}:FCEA</t>
  </si>
  <si>
    <t>ZZZ:SA:{PNLUA}:FCEB</t>
  </si>
  <si>
    <t>ZZZ:SA:{PNL}:FTCA</t>
  </si>
  <si>
    <t xml:space="preserve">** - Nome do dispositivo sem tensão auxiliar, Ex. PLC, OSC (oscilógrafo), GPS, PCPG, UTR, SAGE... </t>
  </si>
  <si>
    <t>ZZZ:SA:[UC1/UC2]:FIUC</t>
  </si>
  <si>
    <t>ZZZ:SA:00:ANSA</t>
  </si>
  <si>
    <t>Anormalidade Serviços Axiliares</t>
  </si>
  <si>
    <t>Agrupamento geral dos pontos dos SAs</t>
  </si>
  <si>
    <t>ZZZ:SA:00:DINC</t>
  </si>
  <si>
    <t>Detecção de Incendio</t>
  </si>
  <si>
    <t>Agrupamento geral dos pontos do sistema de detecção de incêndio</t>
  </si>
  <si>
    <r>
      <t>ZZZ:SA:[UC1/UC2]:</t>
    </r>
    <r>
      <rPr>
        <sz val="10"/>
        <color indexed="14"/>
        <rFont val="Arial"/>
        <family val="2"/>
      </rPr>
      <t>FGOE</t>
    </r>
  </si>
  <si>
    <r>
      <t>ZZZ:SA:[UC1/UC2]:</t>
    </r>
    <r>
      <rPr>
        <sz val="10"/>
        <color indexed="14"/>
        <rFont val="Arial"/>
        <family val="2"/>
      </rPr>
      <t>FGPS</t>
    </r>
  </si>
  <si>
    <t>ZZZ:SA:[UC1/UC2]:ULOC</t>
  </si>
  <si>
    <t>ZZZ:SA:[UC1/UC2]:ULOCD</t>
  </si>
  <si>
    <t>ZZZ:X00GY:VBC</t>
  </si>
  <si>
    <t>Grupo Gerador - Tensão GGE</t>
  </si>
  <si>
    <t>ZZZ:X00GY:AMPB</t>
  </si>
  <si>
    <t>Grupo Gerador - Corrente GGE</t>
  </si>
  <si>
    <t>ZZZ:X00GY:HZ</t>
  </si>
  <si>
    <t>Grupo Gerador - Frequencia GGE</t>
  </si>
  <si>
    <t>ZZZ:X00BY:W:EA</t>
  </si>
  <si>
    <t>Potência Entrada A do Barramento</t>
  </si>
  <si>
    <t>kW</t>
  </si>
  <si>
    <t>ZZZ:X00BY:W:EB</t>
  </si>
  <si>
    <t>Potência Entrada B do Barramento</t>
  </si>
  <si>
    <t>ZZZ:X00BY:VBC:EA</t>
  </si>
  <si>
    <t>Tensão Entrada A do Barramento CA</t>
  </si>
  <si>
    <t>ZZZ:X00BY:VBC:EB</t>
  </si>
  <si>
    <t>Tensão Entrada B do Barramento CA</t>
  </si>
  <si>
    <t>ZZZ:X00BY:VBC</t>
  </si>
  <si>
    <t>Tensão do Barramento CA</t>
  </si>
  <si>
    <t>ZZZ:X00BY:V:EA</t>
  </si>
  <si>
    <t>Tensão Entrada A do Barramento CC</t>
  </si>
  <si>
    <t>ZZZ:X00BY:V:EB</t>
  </si>
  <si>
    <t>Tensão Entrada B do Barramento CC</t>
  </si>
  <si>
    <t>ZZZ:X00BY:V</t>
  </si>
  <si>
    <t>Tensão do Barramento CC</t>
  </si>
  <si>
    <t>ZZZ:X00BY:AMPB:EA</t>
  </si>
  <si>
    <t>Corrente Entrada A do Barramento CA</t>
  </si>
  <si>
    <t>ZZZ:X00BY:AMPB:EB</t>
  </si>
  <si>
    <t>Corrente Entrada B do Barramento CA</t>
  </si>
  <si>
    <t>ZZZ:X00BY:AMP:EA</t>
  </si>
  <si>
    <t>Corrente Entrada A do Barramento CC</t>
  </si>
  <si>
    <t>ZZZ:X00BY:AMP:EB</t>
  </si>
  <si>
    <t>Corrente Entrada B do Barramento CC</t>
  </si>
  <si>
    <t>ZZZ:X00RY:VBC</t>
  </si>
  <si>
    <t>Medição Tensão CA</t>
  </si>
  <si>
    <t>ZZZ:X00RY:AMPB</t>
  </si>
  <si>
    <t>Medição Corrente CA</t>
  </si>
  <si>
    <t>ZZZ:X00RY:V</t>
  </si>
  <si>
    <t>Medição Tensão CC</t>
  </si>
  <si>
    <t>ZZZ:X00RY:AMP</t>
  </si>
  <si>
    <t>Medição Corrente CC</t>
  </si>
  <si>
    <t>ZZZ:01T8:KVAB</t>
  </si>
  <si>
    <t>Tensão 13.8 kV - Entrada Concessionária</t>
  </si>
  <si>
    <t>ZZZ:X72YY:72</t>
  </si>
  <si>
    <t>Disjuntor X72YY</t>
  </si>
  <si>
    <t>Disjuntor CC</t>
  </si>
  <si>
    <t>Partir/Parar GGE</t>
  </si>
  <si>
    <t>ZZZ:SEP:[F1/F2/F7]:CPTS</t>
  </si>
  <si>
    <t>ZZZ:SEP:{PNL}:PRTA</t>
  </si>
  <si>
    <t>ZZZ:SEP:[F1/F2/F7]:ILOC</t>
  </si>
  <si>
    <t>ZZZ:SEP:[F1/F2/F7/UC1]:ADSP</t>
  </si>
  <si>
    <t>Sistema Especial de Proteção (SEP)</t>
  </si>
  <si>
    <t>ZZZ:SEP:[F1/F2/F7]:PLTn</t>
  </si>
  <si>
    <t>SEP - Perda de Linha de Transmissão 0YYY</t>
  </si>
  <si>
    <t>ZZZ:SEP:[F1/F2/F7]:SPLU</t>
  </si>
  <si>
    <t>SEP - Perda de Linha de Transmissão 04Z6</t>
  </si>
  <si>
    <t>ZZZ:SEP:[F1/F2/F7]:FPTn</t>
  </si>
  <si>
    <t>ZZZ:SEP:[F1/F2/F7]:FGOE</t>
  </si>
  <si>
    <t>ZZZ:SEP:[F1/F2/F7]:FPCn</t>
  </si>
  <si>
    <t>ZZZ:SEP:[F1/F2/F7]:FPC2</t>
  </si>
  <si>
    <t>ZZZ:SEP:[F1/F2/F7]:FGPS</t>
  </si>
  <si>
    <t>ZZZ:SEP:[F1/F2/F7]:TCSP</t>
  </si>
  <si>
    <t>Transmissão Comando SEP</t>
  </si>
  <si>
    <t>ZZZ:SEP:[F1/F2/F7/UC1]:FSEP</t>
  </si>
  <si>
    <t>Falha Sistema Especial de Proteção</t>
  </si>
  <si>
    <t>ZZZ:SEP:{PNL}:FCEA</t>
  </si>
  <si>
    <t>ZZZ:SEP:{PNL}:FCEB</t>
  </si>
  <si>
    <t>ZZZ:SEP:[F1/F2/F7]:FIRE</t>
  </si>
  <si>
    <t>ZZZ:SEP:{PNL}:FCCP</t>
  </si>
  <si>
    <t>ZZZ:SEP:[F1/F2/F7]:DTPP</t>
  </si>
  <si>
    <t>ZZZ:SEP:F7:AIFQ</t>
  </si>
  <si>
    <t>Atuação SEP SubFrequência Inst. Estágio 4</t>
  </si>
  <si>
    <t>ZZZ:SEP:F7:AIFC</t>
  </si>
  <si>
    <t>Atuação SEP SubFrequência Inst. Estágio 5</t>
  </si>
  <si>
    <t>ZZZ:SEP:F7:AVFQ</t>
  </si>
  <si>
    <t>Atuação SEP SubFrequência (Hz/s) Estágio 4</t>
  </si>
  <si>
    <t>ZZZ:SEP:[F1/F2]:RCSP</t>
  </si>
  <si>
    <t>Recepção Comando SEP</t>
  </si>
  <si>
    <t>PND:02A1:F2:ASEP</t>
  </si>
  <si>
    <t>Atuação Sistema Especial de Proteção (SEP)</t>
  </si>
  <si>
    <t>PND:02A1:F3:ASEP</t>
  </si>
  <si>
    <t>PND:04N1:F1:RCSP</t>
  </si>
  <si>
    <t>PND:04N1:F2:RCSP</t>
  </si>
  <si>
    <t>IGT:04N1:F1:SPLA</t>
  </si>
  <si>
    <t>SEP - Potência Limite Atingida</t>
  </si>
  <si>
    <t>IGT:04N1:F2:SPLA</t>
  </si>
  <si>
    <t>IGT:5UA121:UC1:SPLT</t>
  </si>
  <si>
    <t>SEP - Perda de Linha de Transmissão</t>
  </si>
  <si>
    <t>ZZZ:SEP:[F1/F2/F7]:ADSP</t>
  </si>
  <si>
    <t>Ativar/Desativar SEP</t>
  </si>
  <si>
    <t>PTS</t>
  </si>
  <si>
    <t>ZZZ:0XGY:00:PARO</t>
  </si>
  <si>
    <t>Aerogerador 0XGY  Parou</t>
  </si>
  <si>
    <t>ZZZ:0XGY:00:PART</t>
  </si>
  <si>
    <t>Aerogerador 0XGY  Partiu</t>
  </si>
  <si>
    <t>ZZZ:0XGY:00:STAN</t>
  </si>
  <si>
    <t>Aerogerador 0XGY  Em Standby</t>
  </si>
  <si>
    <t>ZZZ:0XGY:00:OPER</t>
  </si>
  <si>
    <t>Aerogerador 0XGY  Em Operação</t>
  </si>
  <si>
    <t>ZZZ:0XGY:00:FAGR</t>
  </si>
  <si>
    <t>Falha Grave da 0XGY</t>
  </si>
  <si>
    <t>ZZZ:0XGY:00:PREA</t>
  </si>
  <si>
    <t>Proteções Elétricas Atuadas</t>
  </si>
  <si>
    <t>ZZZ:0XGY:00:ACNA</t>
  </si>
  <si>
    <t>Acesso Não Autorizado</t>
  </si>
  <si>
    <t>ZZZ:0XGY:00:AGIO</t>
  </si>
  <si>
    <t>Aerogerador Impossibilitado de Operar</t>
  </si>
  <si>
    <t>ZZZ:0XGY:00:AGPD</t>
  </si>
  <si>
    <t>Aerogerador Parado por Demanda</t>
  </si>
  <si>
    <t>ZZZ:0XGY:00:ATBE</t>
  </si>
  <si>
    <t>Atuação Botão de Emergência (Torre e Nacel</t>
  </si>
  <si>
    <t>ZZZ:0XGY:00:CBFE</t>
  </si>
  <si>
    <t>Cabo de Força Enrolado</t>
  </si>
  <si>
    <t>ZZZ:0XGY:00:CTSA</t>
  </si>
  <si>
    <t>Chave Teste de sobrevelocidade Atuada</t>
  </si>
  <si>
    <t>ZZZ:0XGY:00:DEFN</t>
  </si>
  <si>
    <t>Detecção de Fumaça na Nacele</t>
  </si>
  <si>
    <t>ZZZ:0XGY:00:FAGE</t>
  </si>
  <si>
    <t>Falha Geral</t>
  </si>
  <si>
    <t>ZZZ:0XGY:00:FASC</t>
  </si>
  <si>
    <t>Falha na Alimentação do Sistema de Control</t>
  </si>
  <si>
    <t>ZZZ:0XGY:00:FACM</t>
  </si>
  <si>
    <t>Falha na Comunicação</t>
  </si>
  <si>
    <t>ZZZ:0XGY:00:FAET</t>
  </si>
  <si>
    <t>Falha na Estampa de Tempo</t>
  </si>
  <si>
    <t>ZZZ:0XGY:00:FAEX</t>
  </si>
  <si>
    <t>Falha na Excitação</t>
  </si>
  <si>
    <t>ZZZ:0XGY:00:FAIG</t>
  </si>
  <si>
    <t>Falha na Isolação do Gerador</t>
  </si>
  <si>
    <t>ZZZ:0XGY:00:FAMT</t>
  </si>
  <si>
    <t>Falha na Medição dos TCs</t>
  </si>
  <si>
    <t>ZZZ:0XGY:00:FAST</t>
  </si>
  <si>
    <t>Falha na supervisão do torque</t>
  </si>
  <si>
    <t>ZZZ:0XGY:00:FAUP</t>
  </si>
  <si>
    <t>Falha na UPS</t>
  </si>
  <si>
    <t>ZZZ:0XGY:00:FAMM</t>
  </si>
  <si>
    <t>Falha nas medições meterologicas da Nacele</t>
  </si>
  <si>
    <t>ZZZ:0XGY:00:FAAL</t>
  </si>
  <si>
    <t>Falha no Circuito de Alimentação</t>
  </si>
  <si>
    <t>ZZZ:0XGY:00:FACS</t>
  </si>
  <si>
    <t>Falha no Circuito de Segurança Principal</t>
  </si>
  <si>
    <t>ZZZ:0XGY:00:FACP</t>
  </si>
  <si>
    <t>Falha no Controle da Pá</t>
  </si>
  <si>
    <t>ZZZ:0XGY:00:FAGN</t>
  </si>
  <si>
    <t>Falha no Giro da Nacele (Yaw)</t>
  </si>
  <si>
    <t>ZZZ:0XGY:00:FAIN</t>
  </si>
  <si>
    <t>Falha no Inversor</t>
  </si>
  <si>
    <t>ZZZ:0XGY:00:FASV</t>
  </si>
  <si>
    <t>Falha no Sensor de Velocidade da UG</t>
  </si>
  <si>
    <t>ZZZ:0XGY:00:FASI</t>
  </si>
  <si>
    <t>Falha no Sistema de Controle</t>
  </si>
  <si>
    <t>ZZZ:0XGY:00:FASP</t>
  </si>
  <si>
    <t>Falha no Sistema de Pitch</t>
  </si>
  <si>
    <t>ZZZ:0XGY:00:FASR</t>
  </si>
  <si>
    <t>Falha no Sistema de Resfriamento do Gerado</t>
  </si>
  <si>
    <t>ZZZ:0XGY:00:FATE</t>
  </si>
  <si>
    <t>Falha no Transformador Elevador</t>
  </si>
  <si>
    <t>ZZZ:0XGY:00:FRAM</t>
  </si>
  <si>
    <t>Freio do Rotor Atuado Manualmente</t>
  </si>
  <si>
    <t>ZZZ:0XGY:00:FAUG</t>
  </si>
  <si>
    <t>Fusível Aberto da UG</t>
  </si>
  <si>
    <t>ZZZ:0XGY:00:GEAQ</t>
  </si>
  <si>
    <t>Gerador em Aquecimento</t>
  </si>
  <si>
    <t>ZZZ:0XGY:00:MEAE</t>
  </si>
  <si>
    <t>Mensagens de Alertas Excessivo</t>
  </si>
  <si>
    <t>ZZZ:0XGY:00:OPNO</t>
  </si>
  <si>
    <t>Operação Normal</t>
  </si>
  <si>
    <t>ZZZ:0XGY:00:SVOA</t>
  </si>
  <si>
    <t>Sensores de Vibração/Oscilação Atuado</t>
  </si>
  <si>
    <t>ZZZ:0XGY:00:SAIA</t>
  </si>
  <si>
    <t>Sistema Anti-Incêndio Atuado</t>
  </si>
  <si>
    <t>ZZZ:0XGY:00:SIMA</t>
  </si>
  <si>
    <t>Sistema de Monitoramento Atuado</t>
  </si>
  <si>
    <t>ZZZ:0XGY:00:SOMA</t>
  </si>
  <si>
    <t>Sobretemperatura nos Mancais</t>
  </si>
  <si>
    <t>ZZZ:0XGY:00:SOFT</t>
  </si>
  <si>
    <t>Sobretensão com Falta a Terra</t>
  </si>
  <si>
    <t>ZZZ:0XGY:00:SVRO</t>
  </si>
  <si>
    <t>Sobrevelocidade no Rotor</t>
  </si>
  <si>
    <t>ZZZ:0XGY:00:TRAE</t>
  </si>
  <si>
    <t>Tempo de Reconhecimento de Alerta Excedido</t>
  </si>
  <si>
    <t>ZZZ:0XGY:00:TESS</t>
  </si>
  <si>
    <t>Teste do Sistema de Segurança</t>
  </si>
  <si>
    <t>ZZZ:0XGY:00:TRRI</t>
  </si>
  <si>
    <t>Trava do Rotor Inserida</t>
  </si>
  <si>
    <t>ZZZ:0XGY:00:TDUG</t>
  </si>
  <si>
    <t>Trip Disjuntor da UG</t>
  </si>
  <si>
    <t>ZZZ:0XGY:00:USGM</t>
  </si>
  <si>
    <t>Unidade Geradora em Manutenção</t>
  </si>
  <si>
    <t>ZZZ:0YYY:FP</t>
  </si>
  <si>
    <t>Fator de Potência do Parque ZZZ</t>
  </si>
  <si>
    <t>FPOT</t>
  </si>
  <si>
    <t>MW da LT 0YYY ZZZ/XXX</t>
  </si>
  <si>
    <t>MVAr da LT 0YYY ZZZ/XXX</t>
  </si>
  <si>
    <t>MVAr</t>
  </si>
  <si>
    <t>ZZZ:0YYY:00:SPPP</t>
  </si>
  <si>
    <t>Set Point Potencia Ativa % (leitura)</t>
  </si>
  <si>
    <t>PERCENT</t>
  </si>
  <si>
    <t>ZZZ:0YYY:00:SPPL</t>
  </si>
  <si>
    <t>Set Point Potencia Ativa MW (leitura)</t>
  </si>
  <si>
    <t>ZZZ:0YYY:00:SPQP</t>
  </si>
  <si>
    <t>Set Point Potencia Reativa % (leitura)</t>
  </si>
  <si>
    <t>%</t>
  </si>
  <si>
    <t>ZZZ:0YYY:00:SPQL</t>
  </si>
  <si>
    <t>Set Point Potencia Reativa Mvar (leitura)</t>
  </si>
  <si>
    <t>ZZZ:0YYY:00:SPFP</t>
  </si>
  <si>
    <t>Set Point Fator de Potencia (Leitura)</t>
  </si>
  <si>
    <t>ZZZ:ANEM:VX:MSEG</t>
  </si>
  <si>
    <t>Velocidade Vento X ZZZ</t>
  </si>
  <si>
    <t>m/s</t>
  </si>
  <si>
    <t>VX - Sequencial do sensor de velocidade de vento</t>
  </si>
  <si>
    <t>ZZZ:ANEM:DX:GRAU</t>
  </si>
  <si>
    <t>Direção Vento X ZZZ</t>
  </si>
  <si>
    <t>OUTROS</t>
  </si>
  <si>
    <t>°</t>
  </si>
  <si>
    <t>DX - Sequencial do sensor de direção de vento</t>
  </si>
  <si>
    <t>ZZZ:ANEM:PA</t>
  </si>
  <si>
    <t>Pressão Atmosférica ZZZ</t>
  </si>
  <si>
    <t>PRESSAO</t>
  </si>
  <si>
    <t>ZZZ:ANEM:GC</t>
  </si>
  <si>
    <t>Temperatura ZZZ</t>
  </si>
  <si>
    <t>°C</t>
  </si>
  <si>
    <t>ZZZ:AEG:00:NGER</t>
  </si>
  <si>
    <t>Número de Aerog. em Funcionamento</t>
  </si>
  <si>
    <t>ZZZ:0XGY:MW</t>
  </si>
  <si>
    <t>MW da 0XGY</t>
  </si>
  <si>
    <t>ZZZ:0XGY:MVAR</t>
  </si>
  <si>
    <t>MVar da 0XGY</t>
  </si>
  <si>
    <t>ZZZ:0XGY:FP</t>
  </si>
  <si>
    <t>Fator Potencia da 0XGY</t>
  </si>
  <si>
    <t>ZZZ:0XGY:H</t>
  </si>
  <si>
    <t>Horas de Operação da 0XGY</t>
  </si>
  <si>
    <t>TEMPO</t>
  </si>
  <si>
    <t>Horas</t>
  </si>
  <si>
    <t>ZZZ:0XGY:00:SEQP</t>
  </si>
  <si>
    <t>Sequencia de Partida 0XGY</t>
  </si>
  <si>
    <t>ZZZ:0XGY:MSEG</t>
  </si>
  <si>
    <t>Velocidade do Vento na Nacele do 0XGY</t>
  </si>
  <si>
    <t>ZZZ:0XGY:00:STPR</t>
  </si>
  <si>
    <t>Estado Principal da 0XGY</t>
  </si>
  <si>
    <t>ZZZ:0XGY:00:STAU</t>
  </si>
  <si>
    <t>Estado Auxiliar da 0XGY</t>
  </si>
  <si>
    <t>ZZZ:0XGY:KWH</t>
  </si>
  <si>
    <t>kWh da 0XGY</t>
  </si>
  <si>
    <t>kWh</t>
  </si>
  <si>
    <t>ZZZ:0XGY:MWH</t>
  </si>
  <si>
    <t>MWh da 0XGY</t>
  </si>
  <si>
    <t>MWh</t>
  </si>
  <si>
    <t>Set Point Potencia Ativa % (escrita)</t>
  </si>
  <si>
    <t>Set Point Potencia Reativa % (escrita)</t>
  </si>
  <si>
    <t>Set Point Fator de Potencia % (escrita)</t>
  </si>
  <si>
    <t>ZZZ:0YYY:SCTP</t>
  </si>
  <si>
    <t>Seleção Modo de Controle de P</t>
  </si>
  <si>
    <t>ZZZ:0YYY:SCTQ</t>
  </si>
  <si>
    <t>Seleção Modo de Controle de Q</t>
  </si>
  <si>
    <t>ZZZ:RTU:SP:MW</t>
  </si>
  <si>
    <t>Set Point Potência Ativa (MW)</t>
  </si>
  <si>
    <t>ZZZ:RTU:SP:MVAR</t>
  </si>
  <si>
    <t>Set Point Potência Reativa (MVAr)</t>
  </si>
  <si>
    <t>ZZZ:RTU:SP:KV</t>
  </si>
  <si>
    <t>Ser Point Degrau de Tensão (KV)</t>
  </si>
  <si>
    <t>ZZZ:ELTX:00:DINC</t>
  </si>
  <si>
    <t>OCR_NOR_URG</t>
  </si>
  <si>
    <t>Detecção de Incêncio</t>
  </si>
  <si>
    <t>ELTX - sequencial do eletrocentro</t>
  </si>
  <si>
    <t>ZZZ:0XGY:STRK:STAT</t>
  </si>
  <si>
    <t>Status String K</t>
  </si>
  <si>
    <t>STRK - Sequencial da string conectada ao gerador 0XGY</t>
  </si>
  <si>
    <t>ZZZ:0XIY:INV</t>
  </si>
  <si>
    <t>Inversor 0XIY</t>
  </si>
  <si>
    <t>ZZZ:METX:UMAR</t>
  </si>
  <si>
    <t>Umidade do Ar</t>
  </si>
  <si>
    <t>METX - sequencial da estação meteorológica</t>
  </si>
  <si>
    <t>ZZZ:METX:IDIF</t>
  </si>
  <si>
    <t>Irradiância Difusa</t>
  </si>
  <si>
    <t>W/m²</t>
  </si>
  <si>
    <t>ZZZ:METX:IDIR</t>
  </si>
  <si>
    <t>Irradiância Direta</t>
  </si>
  <si>
    <t>ZZZ:METX:IGLO</t>
  </si>
  <si>
    <t>Irradiância Global</t>
  </si>
  <si>
    <t>ZZZ:METX:IGLC</t>
  </si>
  <si>
    <t>Irradiância Global da Célula</t>
  </si>
  <si>
    <t>ZZZ:METX:IONL</t>
  </si>
  <si>
    <t>Irradiância Onde Longa</t>
  </si>
  <si>
    <t>ZZZ:METX:IGDC</t>
  </si>
  <si>
    <t>Irradiância Global Diária da Célula</t>
  </si>
  <si>
    <t>ZZZ:METX:IGTC</t>
  </si>
  <si>
    <t>Irradiância Global Total da Célula</t>
  </si>
  <si>
    <t>ZZZ:METX:IGAC</t>
  </si>
  <si>
    <t>Irradiância Global Acumulada da Célula</t>
  </si>
  <si>
    <t>ZZZ:METX:IGLD</t>
  </si>
  <si>
    <t xml:space="preserve">Irradiância Global Diária </t>
  </si>
  <si>
    <t>ZZZ:METX:IGLT</t>
  </si>
  <si>
    <t xml:space="preserve">Irradiância Global Total </t>
  </si>
  <si>
    <t>ZZZ:METX:IGLA</t>
  </si>
  <si>
    <t xml:space="preserve">Irradiância Global Acumulada </t>
  </si>
  <si>
    <t>ZZZ:METX:PATM</t>
  </si>
  <si>
    <t>Precipitação</t>
  </si>
  <si>
    <t>mm</t>
  </si>
  <si>
    <t>ZZZ:METX:PRAT</t>
  </si>
  <si>
    <t>Pressão Atmosférica</t>
  </si>
  <si>
    <t>hPa</t>
  </si>
  <si>
    <t>ZZZ:METX:TEMP</t>
  </si>
  <si>
    <t>Temperatura</t>
  </si>
  <si>
    <t>ZZZ:METX:TEAM</t>
  </si>
  <si>
    <t>Temperatura Ambiente</t>
  </si>
  <si>
    <t>ZZZ:METX:TCEL</t>
  </si>
  <si>
    <t>Temperatura da Célula</t>
  </si>
  <si>
    <t>ZZZ:METX:TMOD</t>
  </si>
  <si>
    <t>Temperatura dos Módulos</t>
  </si>
  <si>
    <t>ZZZ:METX:VBAT</t>
  </si>
  <si>
    <t>VCC</t>
  </si>
  <si>
    <t>ZZZ:METX:VEVE</t>
  </si>
  <si>
    <t>Velocidade do Vento</t>
  </si>
  <si>
    <t>ZZZ:METX:DIVE</t>
  </si>
  <si>
    <t>Direção do Vento</t>
  </si>
  <si>
    <t>ZZZ:0XGY:TEMP</t>
  </si>
  <si>
    <t>Temperatura do 0XGY</t>
  </si>
  <si>
    <t>ZZZ:0XGY:DC:AMAX</t>
  </si>
  <si>
    <t>Corrente DC Máxima 0XGY</t>
  </si>
  <si>
    <t>ZZZ:0XGY:DC:AMED</t>
  </si>
  <si>
    <t>Corrente DC Média 0XGY</t>
  </si>
  <si>
    <t>ZZZ:0XGY:DC:AMIN</t>
  </si>
  <si>
    <t>Corrente DC Mínima 0XGY</t>
  </si>
  <si>
    <t>ZZZ:0XGY:DC:ATOT</t>
  </si>
  <si>
    <t>Corrente DC Total 0XGY</t>
  </si>
  <si>
    <t>ZZZ:{EQUIP}:DC:KWHD</t>
  </si>
  <si>
    <t>Energia DC Diária {EQUIP}</t>
  </si>
  <si>
    <t>{EQUIP} - Equipamento supervisionado: 0XGY (gerador), 0XIY (inversor), ELTX (eletrocentro)</t>
  </si>
  <si>
    <t>ZZZ:{EQUIP}:DC:KWHT</t>
  </si>
  <si>
    <t>Energia DC Total {EQUIP}</t>
  </si>
  <si>
    <t>{EQUIP} - Equipamento supervisionado: 0XGY (gerador), 0XIY (inversor)</t>
  </si>
  <si>
    <t>ZZZ:{EQUIP}:DC:KWHA</t>
  </si>
  <si>
    <t>Energia DC Acumulada {EQUIP}</t>
  </si>
  <si>
    <t>ZZZ:0XGY:DC:KWT</t>
  </si>
  <si>
    <t>Potência DC Total 0XGY</t>
  </si>
  <si>
    <t>ZZZ:0XGY:STRK:AMP</t>
  </si>
  <si>
    <t>Corrente DC String K</t>
  </si>
  <si>
    <t>ZZZ:0XIY:AC:AMP</t>
  </si>
  <si>
    <t>Corrente AC Inversor</t>
  </si>
  <si>
    <t>ZZZ:0XIY:DC:AMP</t>
  </si>
  <si>
    <t>Corrente DC Inversor</t>
  </si>
  <si>
    <t>ZZZ:0XIY:EFIC</t>
  </si>
  <si>
    <t>Eficiência</t>
  </si>
  <si>
    <t>ZZZ:0XIY:AC:KWHD</t>
  </si>
  <si>
    <t>Energia AC Diária 0XIY</t>
  </si>
  <si>
    <t>ZZZ:0XIY:AC:KWHT</t>
  </si>
  <si>
    <t>Energia AC Total 0XIY</t>
  </si>
  <si>
    <t>ZZZ:0XIY:AC:KWHA</t>
  </si>
  <si>
    <t>Energia AC Acumulada 0XIY</t>
  </si>
  <si>
    <t>ZZZ:0XIY:HZ</t>
  </si>
  <si>
    <t>Frequencia</t>
  </si>
  <si>
    <t>ZZZ:0XIY:AC:KW</t>
  </si>
  <si>
    <t>Potência Ativa AC</t>
  </si>
  <si>
    <t>ZZZ:{EQUIP}:DC:KW</t>
  </si>
  <si>
    <t>Potência DC</t>
  </si>
  <si>
    <t>{EQUIP} - Equipamento supervisionado: ELTX (eletrocentro), 0XIY (inversor)</t>
  </si>
  <si>
    <t>ZZZ:0XIY:FP</t>
  </si>
  <si>
    <t>Fator de Potência</t>
  </si>
  <si>
    <t>ZZZ:0XIY:CAFP</t>
  </si>
  <si>
    <t>Característica Fator de Potência</t>
  </si>
  <si>
    <t>ZZZ:0XIY:KVAR</t>
  </si>
  <si>
    <t>Potência Reativa AC</t>
  </si>
  <si>
    <t>kVAr</t>
  </si>
  <si>
    <t>ZZZ:0XIY:RISO</t>
  </si>
  <si>
    <t>Resistência de Isolação</t>
  </si>
  <si>
    <r>
      <t>k</t>
    </r>
    <r>
      <rPr>
        <sz val="10"/>
        <rFont val="Georgia"/>
        <family val="1"/>
      </rPr>
      <t>Ω</t>
    </r>
  </si>
  <si>
    <t>ZZZ:0XIY:TMPK</t>
  </si>
  <si>
    <t>Temperatura Dissipador K</t>
  </si>
  <si>
    <t>TMPK - Sequencial do dissipador de calor do inversor</t>
  </si>
  <si>
    <t>ZZZ:0XIY:AC:V</t>
  </si>
  <si>
    <t>Medição tensão CC</t>
  </si>
  <si>
    <t>ZZZ:0XIY:DC:V</t>
  </si>
  <si>
    <t>Medição tensão CA</t>
  </si>
  <si>
    <t>ZZZ:0XIY:AMPT</t>
  </si>
  <si>
    <t>Corrente Trifásica</t>
  </si>
  <si>
    <t>ZZZ:0XIY:AMPA</t>
  </si>
  <si>
    <t>Corrente Fase A</t>
  </si>
  <si>
    <t>ZZZ:0XIY:AMPB</t>
  </si>
  <si>
    <t>Corrente Fase B</t>
  </si>
  <si>
    <t>ZZZ:0XIY:AMPC</t>
  </si>
  <si>
    <t>Corrente Fase C</t>
  </si>
  <si>
    <t>ZZZ:0XIY:AMPN</t>
  </si>
  <si>
    <t>Corrente Neutro</t>
  </si>
  <si>
    <t>ZZZ:0XIY:AC:EADE</t>
  </si>
  <si>
    <t>Energia Ativa Diária Exportada</t>
  </si>
  <si>
    <t>ZZZ:{EQUIP}:AC:EATE</t>
  </si>
  <si>
    <t>Energia Ativa Total Exportada</t>
  </si>
  <si>
    <t>ZZZ:0XIY:AC:EAAE</t>
  </si>
  <si>
    <t>Energia Ativa Acumulada Exportada</t>
  </si>
  <si>
    <t>ZZZ:0XIY:AC:EADI</t>
  </si>
  <si>
    <t>Energia Ativa Diária Importada</t>
  </si>
  <si>
    <t>ZZZ:{EQUIP}:AC:EATI</t>
  </si>
  <si>
    <t>Energia Ativa Total Importada</t>
  </si>
  <si>
    <t>ZZZ:0XIY:AC:EAAI</t>
  </si>
  <si>
    <t>Energia Ativa Acumulada Importada</t>
  </si>
  <si>
    <t>ZZZ:{EQUIP}:KWT</t>
  </si>
  <si>
    <t>Potência Ativa Trifásica</t>
  </si>
  <si>
    <t>ZZZ:0XIY:KWA</t>
  </si>
  <si>
    <t>Potência Ativa Fase A</t>
  </si>
  <si>
    <t>ZZZ:0XIY:KWB</t>
  </si>
  <si>
    <t>Potência Ativa Fase B</t>
  </si>
  <si>
    <t>ZZZ:0XIY:KWC</t>
  </si>
  <si>
    <t>Potência Ativa Fase C</t>
  </si>
  <si>
    <t>ZZZ:0XIY:KVAT</t>
  </si>
  <si>
    <t>Potência Aparente Trifásica</t>
  </si>
  <si>
    <t>kVA</t>
  </si>
  <si>
    <t>ZZZ:0XIY:KVAA</t>
  </si>
  <si>
    <t>Potência Aparente Fase A</t>
  </si>
  <si>
    <t>ZZZ:0XIY:KVAB</t>
  </si>
  <si>
    <t>Potência Aparente Fase B</t>
  </si>
  <si>
    <t>ZZZ:0XIY:KVAC</t>
  </si>
  <si>
    <t>Potência Aparente Fase C</t>
  </si>
  <si>
    <t>ZZZ:{EQUIP}:KVART</t>
  </si>
  <si>
    <t>Potência Reativa</t>
  </si>
  <si>
    <t>ZZZ:0XIY:KVARA</t>
  </si>
  <si>
    <t>Potência Reativa Fase A</t>
  </si>
  <si>
    <t>ZZZ:0XIY:KVARB</t>
  </si>
  <si>
    <t>Potência Reativa Fase B</t>
  </si>
  <si>
    <t>ZZZ:0XIY:KVARC</t>
  </si>
  <si>
    <t>Potência Reativa Fase C</t>
  </si>
  <si>
    <t>ZZZ:0XIY:DHTAA</t>
  </si>
  <si>
    <t>Distorção Harmônica Total Corrente Fase A</t>
  </si>
  <si>
    <t>HAMONICAS</t>
  </si>
  <si>
    <t>ZZZ:0XIY:DHTAB</t>
  </si>
  <si>
    <t>Distorção Harmônica Total Corrente Fase B</t>
  </si>
  <si>
    <t>ZZZ:0XIY:DHTAC</t>
  </si>
  <si>
    <t>Distorção Harmônica Total Corrente Fase C</t>
  </si>
  <si>
    <t>ZZZ:0XIY:DHTVA</t>
  </si>
  <si>
    <t>Distorção Harmônica Total Tensão Fase A</t>
  </si>
  <si>
    <t>ZZZ:0XIY:DHTVB</t>
  </si>
  <si>
    <t>Distorção Harmônica Total Tensão Fase B</t>
  </si>
  <si>
    <t>ZZZ:0XIY:DHTVC</t>
  </si>
  <si>
    <t>Distorção Harmônica Total Tensão Fase C</t>
  </si>
  <si>
    <t>ZZZ:0XIY:KV</t>
  </si>
  <si>
    <t>Tensão Trifásica</t>
  </si>
  <si>
    <t>ZZZ:0XIY:KVA</t>
  </si>
  <si>
    <t>Tensão Fase A</t>
  </si>
  <si>
    <t>ZZZ:0XIY:KVB</t>
  </si>
  <si>
    <t>Tensão Fase B</t>
  </si>
  <si>
    <t>ZZZ:0XIY:KVC</t>
  </si>
  <si>
    <t>Tensão Fase C</t>
  </si>
  <si>
    <t>ZZZ:ELTX:00:ECO2</t>
  </si>
  <si>
    <t>Estimado de CO2 Diário Evitado</t>
  </si>
  <si>
    <t>ZZZ:ELTX:00:ERDI</t>
  </si>
  <si>
    <t>Estimado de Reembolso Diário</t>
  </si>
  <si>
    <t>ZZZ:ELTX:00:EADE</t>
  </si>
  <si>
    <t>Estimado de Àrvores Diárias Evitadas</t>
  </si>
  <si>
    <t>ZZZ:ELTX:00:EFSI</t>
  </si>
  <si>
    <t>Eficiência do Sistema</t>
  </si>
  <si>
    <t>ZZZ:ELTX:00:DEDI</t>
  </si>
  <si>
    <t>Desempenho Diário</t>
  </si>
  <si>
    <t>ZZZ:ELTX:00:RFRS</t>
  </si>
  <si>
    <t>Referência de Rendimento Solar</t>
  </si>
  <si>
    <t>kWp</t>
  </si>
  <si>
    <t>Comando para ligar/desligar o inversor</t>
  </si>
  <si>
    <t>ZZZ:0XBY:F8:PDFA</t>
  </si>
  <si>
    <t>ZZZ:0XBY:F8:PDIF</t>
  </si>
  <si>
    <t>ZZZ:0XBY:87B:PDIF</t>
  </si>
  <si>
    <t>8.2.1.5(b)(1)</t>
  </si>
  <si>
    <t>ZZZ:0XBY:F8:PDFB</t>
  </si>
  <si>
    <t>ZZZ:0XBY:F8:PDFC</t>
  </si>
  <si>
    <t>Em 500 kV, no projeto os IEDs são diferenciados por F8.1 (barra 1) e F8.2 (barra 2) #87</t>
  </si>
  <si>
    <t>ZZZ:0XBY:F8:BDIF</t>
  </si>
  <si>
    <t>ZZZ:0XBY:F8:EDSB</t>
  </si>
  <si>
    <t>Erro Diferencial (87) Sem Bloqueio</t>
  </si>
  <si>
    <t>ZZZ:1YDY:F9:RVBL</t>
  </si>
  <si>
    <t>ZZZ:1YDY:F9:FIRV</t>
  </si>
  <si>
    <t>ZZZ:1YDY:[F9/UC1/F1]:FGPS</t>
  </si>
  <si>
    <t>ZZZ:0XBY:F8:FGPS</t>
  </si>
  <si>
    <t>ZZZ:0XB1/2:F8:FGPS</t>
  </si>
  <si>
    <t>ZZZ:1YDY:UC1:ULOC</t>
  </si>
  <si>
    <t>Usar quando o IED do vão de transferência tiver função apenas de controle</t>
  </si>
  <si>
    <t>ZZZ:1YDY:UC1:ULOCD</t>
  </si>
  <si>
    <t>Usar quando o IED do vão de transferência tiver função apenas de controle. Ponto para intertravamento dos comandos da UC no N3.</t>
  </si>
  <si>
    <t>ZZZ:1YDY:F1:ILOC</t>
  </si>
  <si>
    <t>Usar quando o IED do vão de transferência tiver função de proteção além de controle.</t>
  </si>
  <si>
    <t>ZZZ:1YDY:F1:ILOCD</t>
  </si>
  <si>
    <t>Usar quando o IED do vão de transferência tiver função de proteção além de controle. Ponto para intertravamento dos comandos do IED no N3.</t>
  </si>
  <si>
    <t>ZZZ:1YDY:UC1:FIUC</t>
  </si>
  <si>
    <t>ZZZ:1YDY:{PNL}:FCCP</t>
  </si>
  <si>
    <t>ZZZ:0XB1/2:{PNL}:FCCP</t>
  </si>
  <si>
    <t>Para Painel próprio da 87B.
#PAINEL87B</t>
  </si>
  <si>
    <t>ZZZ:1YDY:{PNL}:FCEA</t>
  </si>
  <si>
    <t>ZZZ:0XB1/2:{PNL}:FCEA</t>
  </si>
  <si>
    <t>ZZZ:1YDY:{PNL}:FCEB</t>
  </si>
  <si>
    <t>ZZZ:0XB1/2:{PNL}:FCEB</t>
  </si>
  <si>
    <t>ZZZ:1YDY:{PNL}:PRTA</t>
  </si>
  <si>
    <t>ZZZ:0XB1/2:{PNL}:PRTA</t>
  </si>
  <si>
    <t>ZZZ:1YDY:F9:CPTS</t>
  </si>
  <si>
    <t>ZZZ:0XBY:[F8]:CPTS</t>
  </si>
  <si>
    <t>ZZZ:0XB1/2:F8:CPTS</t>
  </si>
  <si>
    <t>ZZZ:0XBY:00:DTPM</t>
  </si>
  <si>
    <t>ZZZ:0XBY:00:DTPP</t>
  </si>
  <si>
    <t>ZZZ:0XBY:59R:ESTR</t>
  </si>
  <si>
    <t>ZZZ:0XBY:F8:FIRE</t>
  </si>
  <si>
    <t>ZZZ:0XB1/2:F8:FIRE</t>
  </si>
  <si>
    <t>ZZZ:1YDY:F9:FGOE</t>
  </si>
  <si>
    <t>ZZZ:1YDY:UC1:FGOE</t>
  </si>
  <si>
    <t>ZZZ:0XBY:F8:FGOE</t>
  </si>
  <si>
    <t>ZZZ:0XB1/2:F8:FGOE</t>
  </si>
  <si>
    <t>ZZZ:0XBY:00:ONS1</t>
  </si>
  <si>
    <t>ONS - Atuação da Proteção Diferencial</t>
  </si>
  <si>
    <t>Agrupamento das proteções diferenciais por fase para o ONS.</t>
  </si>
  <si>
    <t>ZZZ:1XDY:00:TSTA</t>
  </si>
  <si>
    <t>Todas Seccionadoras Transferência Abertas</t>
  </si>
  <si>
    <t>ZZZ:0XBY:LIA</t>
  </si>
  <si>
    <t>Limite Inf. de Regul. Atingido</t>
  </si>
  <si>
    <t>ZZZ:0XBY:LSA</t>
  </si>
  <si>
    <t>Limite Sup. de Regul. Atingido</t>
  </si>
  <si>
    <t>ZZZ:0XBY:PINP</t>
  </si>
  <si>
    <t>Programação Incorreta Paralelismo</t>
  </si>
  <si>
    <t>ZZZ:0XBY:CFPA</t>
  </si>
  <si>
    <t>Discordância de Taps</t>
  </si>
  <si>
    <t>Usar casa decimal (uma) para os casos de barramentos de 69kV e 13,8kV.                      N- Numeração da codificação operacional da Barra.</t>
  </si>
  <si>
    <t>ZZZ:0XBY:KVAB</t>
  </si>
  <si>
    <t>KV da Fase AB da 0XBY-ZZZ</t>
  </si>
  <si>
    <t>ZZZ:0XBY:KVBC</t>
  </si>
  <si>
    <t>KV da Fase BC da 0XBY-ZZZ</t>
  </si>
  <si>
    <t>7.3.1.1(c)(1)</t>
  </si>
  <si>
    <t>ZZZ:0XBY:KVCA</t>
  </si>
  <si>
    <t>KV da Fase CA da 0XBY-ZZZ</t>
  </si>
  <si>
    <t>ZZZ:0XBY:HZ</t>
  </si>
  <si>
    <t>Frequência em Hz na 0XBY-ZZZ</t>
  </si>
  <si>
    <t>Para todos os barramentos no nível 2</t>
  </si>
  <si>
    <t xml:space="preserve">7.4.2.1(a) </t>
  </si>
  <si>
    <t>ZZZ:02B1/2:86:RERB</t>
  </si>
  <si>
    <t>Rearme geral de relé de bloqueio para 69 kV em sistemas #PASS. Deve estar na tela unifilar de 69 kV.</t>
  </si>
  <si>
    <t>ZZZ:SD:{DISP}:FDSD</t>
  </si>
  <si>
    <t>Falha Dispositivo do SD</t>
  </si>
  <si>
    <t>{DISP} = SWn (Switches), FW (Firewall), RBn (Redbox). "n" numeração sequencial do dispositivo.</t>
  </si>
  <si>
    <t>ZZZ:SD:{DISP}:FCpp</t>
  </si>
  <si>
    <t>OCR_SNMP01</t>
  </si>
  <si>
    <t>Falha Porta Comunicação Dispositivo</t>
  </si>
  <si>
    <t xml:space="preserve">{DISP} = SWn (Switches), FW (Firewall), RBn (Redbox). "n" numeração sequencial do dispositivo. "pp" numeração sequencial da porta de comunicação.
</t>
  </si>
  <si>
    <t>ZZZ:SD:{PNL}:FCCP</t>
  </si>
  <si>
    <t>ZZZ:SD:{PNL}:FCEA</t>
  </si>
  <si>
    <t>ZZZ:SD:{PNL}:FCEB</t>
  </si>
  <si>
    <t>ZZZ:IHM:43:N2</t>
  </si>
  <si>
    <t>Seleção IHM Operação em Nível 2</t>
  </si>
  <si>
    <t>OCR_SEC_MSG02</t>
  </si>
  <si>
    <t>ZZZ:IHM:43:N1</t>
  </si>
  <si>
    <t>Seleção IHM Operação em Nível 1</t>
  </si>
  <si>
    <t>ZZZ:SD:{PNL}:PRTA</t>
  </si>
  <si>
    <t>ZZZ:SD:RDPn:FGPS</t>
  </si>
  <si>
    <t>n- Numeração sequencial do RDP</t>
  </si>
  <si>
    <t>ZZZ:SD:RDPn:OSFG</t>
  </si>
  <si>
    <t>n- Numeração sequencial do RDP. Agrupamento em Filtro Composto dos alarmes do RDP</t>
  </si>
  <si>
    <t>ZZZ:SD:RDPn:OSGA</t>
  </si>
  <si>
    <t>n- Numeração sequencial do RDP. Agrupamento de alarmes do RDP.</t>
  </si>
  <si>
    <t>ZZZ:SD:RDPn:OSFC</t>
  </si>
  <si>
    <t>ZZZ:{PNL}:UC1:FIUC</t>
  </si>
  <si>
    <t>ZZZ:IHM:43:N2N3</t>
  </si>
  <si>
    <t>Seleção Nível de Operação N2/N3</t>
  </si>
  <si>
    <t>Este comando, quando selecionado em Nível 2 bloqueia comandos de Nível 3, porém, quando selecionado em Nível 3 permite comandos de ambos os Níveis.</t>
  </si>
  <si>
    <t>Histórico de Alterações</t>
  </si>
  <si>
    <t>C</t>
  </si>
  <si>
    <t>Correção</t>
  </si>
  <si>
    <t>Apenas correção, sem necessidade de validação. São marcados de AMARELO nas listas.</t>
  </si>
  <si>
    <t>P</t>
  </si>
  <si>
    <t>Pendente de discussão</t>
  </si>
  <si>
    <t>Solução necessita ser validada no grupo de padronização N1/N2. Itens pendentes são marcados de VERMELHO nas listas</t>
  </si>
  <si>
    <t>Validado</t>
  </si>
  <si>
    <t>Solução foi validada pelo grupo de padronização N1/N2. São marcados de AMARELO nas listas.</t>
  </si>
  <si>
    <t>R</t>
  </si>
  <si>
    <t>Rejeitado/Removido</t>
  </si>
  <si>
    <t>Solução foi rejeitada pelo grupo de padronização N1/N2. Itens rejeitados são marcados de VERDE nas listas, e não aparecem na versão principal.</t>
  </si>
  <si>
    <t>Versão</t>
  </si>
  <si>
    <t>Data</t>
  </si>
  <si>
    <t>Descrição</t>
  </si>
  <si>
    <t>Status padronização</t>
  </si>
  <si>
    <t>1N</t>
  </si>
  <si>
    <t>Implementado histórico de alterações</t>
  </si>
  <si>
    <t>Corrigida descrição do comando Comutador para Mestre (CMST)</t>
  </si>
  <si>
    <t>Corrigido acento  na descrição "Alarme Porta Aberta Cubículo Delta" na aba Trafo</t>
  </si>
  <si>
    <t>O ponto Trip Permissivo (TPPD) passou a indicar apenas o esquema de sobrealcance permissivo utilizando função de distância (21). Foi criado o ponto TPPN - Trip Permissivo (67N), para o esquema por sobrealcance da função 67. Esses pontos foram implementados em projetos como o de MSD, RSD, ETD seccionamento V4 (ABB) e projetos recentes Alstom/Schneider (GVM, Ibiapina).</t>
  </si>
  <si>
    <t>Marcado ponto FSPR - Chave 43NT Falha Seleção Proteção para inclusão em vãos digitais, onde aplicável. Este ponto foi adicionado no TAF de MSD (EL MSQ) na ABB, para indicar o caso em que há estado indefinido na chave 6, conforme acordado com DOMO (Sílvio e Chico à época presentes no TAF)</t>
  </si>
  <si>
    <t>Adicionados pontos de Falha Motor/Mecanismo de Acionamento do Comutador para bancos monofásicos (ZZZ:0XTY:UC2:FMCA/FMCB/FMCC), na aba Trafo. Pontos foram adicionados no TAF SJI 05T1.</t>
  </si>
  <si>
    <t>Adicionado ponto ZZZ:0XBY:F8:BDIF - Proteção Diferencial Bloqueada à aba Barra, para indicar quando a mesma estiver alguma zona bloqueada por algum motivo (perda de comunicação com as unidades de vão, por exemplo)</t>
  </si>
  <si>
    <t>Adicionado ponto ZZZ:0XBY:F8:EDSB - Erro Diferencial (87) Sem Bloqueio, para indicar quando a proteção diferencial detecta erro no circuito de corrente mas não bloqueia.</t>
  </si>
  <si>
    <t>Adicionados pontos de Religamento Bloqueado para Disjuntor de Linha e Disjuntor Central na aba LT, conforme TAF de RCD. Obs.: No TAF os tags ficaram como RBQL e RBQC, foi alterado para não confundir com o ponto original</t>
  </si>
  <si>
    <t>Adicionados diversos pontos relativos ao ERAC na aba ECE, de acordo com a lista sugerida pela DOMO em TAF</t>
  </si>
  <si>
    <t>Adicionados pontos de automático/manual/remoto separadamente para grupos 1 e 2 às abas Trafo e Reator, atendendo a trafos que os possuem em separado (projeto EFACEC Natal/Cauípe/Itabaiana)</t>
  </si>
  <si>
    <t>Remover sinalização de comutador em bloqueio ZZZ:0XTY:43LRB:B da tela, conforme sugestão de Fábio na Discussão LP do site DSC</t>
  </si>
  <si>
    <t>Pontos de FCRE e FCUC, que monitoram comunicação com o relé e UC devem ser adicionados sempre, mesmo que os IEDs possuam supervisão das portas, a fim de sinalizar quando ambas falharem.</t>
  </si>
  <si>
    <t>Comandos de AS foram marcados para tela, conforme observação de Wilton no site DSC</t>
  </si>
  <si>
    <t>Corrigido na aba Reator ponto CTOE na UC1 e não UC2, conforme observação de Paulo Freitas no site DSC</t>
  </si>
  <si>
    <t>Corrigido tipo de ponto do TVSG para PTIP, conforme observação de Paulo Freitas no site DSC</t>
  </si>
  <si>
    <t>Acrescentado #TELEPROT aos pontos de transfer trip, conforme sugestão de Paulo Freitas no site</t>
  </si>
  <si>
    <t>Acrescentado F4 à lista de IEDs do ponto FLDI, pois para trafos com PU/PG o falha do disjuntor de baixa fica no F4, conforme sugestão de Paulo Freitas no site.</t>
  </si>
  <si>
    <t>Ponto FTLT na aba LT corrigido de 27 para UC1 no tag, conforme sugestão de Wilton no site</t>
  </si>
  <si>
    <t>Adicionado ponto de retorno de aterramento automático do vão para sistemas PASS na aba LT, conforme sugerido por Wilton no site</t>
  </si>
  <si>
    <t>Adicionado ponto DTSI à aba LT (Wilton no site). Ver projeto pós-TAF de SUD, LT 05L1</t>
  </si>
  <si>
    <t>Adicionado ponto DMPT à aba trafo para monitorar disjuntor do terciário (Paulo Freitas no site). Ver TAFs PASS da ABB</t>
  </si>
  <si>
    <t>Comandos e pontos lógicos de seleção de modo automático local (SMAL) e automático remoto (SMAR) adicionados à aba SA (Paulo freitas, site)</t>
  </si>
  <si>
    <t>Adicionados pontos de comutador aumentando e diminuindo por fase na aba trafo (Wilton, site)</t>
  </si>
  <si>
    <t>Adicionada tag #500KV aos pontos SCTA SCTB SCTC SCLT e SCTN da aba Trafo apara tratamento no FAZ (Wilton, site)</t>
  </si>
  <si>
    <t>Alterada OCR dos pontos FCpp na aba SD de ADV01 para SNMP01 (Paulo Freitas, site)</t>
  </si>
  <si>
    <t>Ponto de trafo DTPQ corrigido para [F1/F2] ao invés de só F1</t>
  </si>
  <si>
    <t>Foi incluído F5 nos pontos de trip 13.8 kV de trafo</t>
  </si>
  <si>
    <t>Incluídos comandos individuais de mudança de tap para bancos monofásicos na aba Trafo</t>
  </si>
  <si>
    <t>-</t>
  </si>
  <si>
    <t>removido o ponto ZZZ:mmmmnnn:00:PINP e criado o ponto ZZZ:mmmmnnn:00:ISME com uma melhor descrição para o mesmo</t>
  </si>
  <si>
    <t>removido o ponto ZZZ:mmmmnnn:90:FALH e criado o ponto ZZZ:mmmmnnn:[B1/B2/BP]:PARP com uma melhor descrição para o mesmo</t>
  </si>
  <si>
    <t>removido o ponto ZZZ:mmmmnnn:00:PFAL e criado o ponto ZZZ:mmmmnnn:[B1/B2/BP]:ELDI com uma melhor descrição para o mesmo</t>
  </si>
  <si>
    <t>removido o ponto ZZZ:mmmmnnn:00:PINP e criado o ponto ZZZ:mmmmnnn:[B1/B2/BP]:ISME com uma melhor descrição para o mesmo</t>
  </si>
  <si>
    <t>alterado o ID do ponto ZZZ:mmmmnnn:90:CFPA para ZZZ:mmmmnnn:[B1/B2/BP]:CFPA</t>
  </si>
  <si>
    <t>alterado o ID do ponto ZZZ:mmmmnnn:90:PLIA para ZZZ:mmmmnnn:[B1/B2/BP]:PLIA</t>
  </si>
  <si>
    <t>alterado o ID do ponto ZZZ:mmmmnnn:90:PLSA para ZZZ:mmmmnnn:[B1/B2/BP]:PLSA</t>
  </si>
  <si>
    <t xml:space="preserve">Correção da planilha para uso pelo FAS </t>
  </si>
  <si>
    <t>ZZZ:0YYY:[F1/F2]:ODRA</t>
  </si>
  <si>
    <t>ZZZ:0XBY:[F1/F2]:PDIF</t>
  </si>
  <si>
    <t>ZZZ:0YYY:[F1/F2/F9]:TEDF</t>
  </si>
  <si>
    <t>ZZZ:0YYY:[F1/F2]:CPTS</t>
  </si>
  <si>
    <t>ZZZ:{PNL}:UC1:FGOE</t>
  </si>
  <si>
    <t>ZZZ:{PNL}:UC1:PRTA</t>
  </si>
  <si>
    <t>ZZZ:{PNL}:UC1:FPCn</t>
  </si>
  <si>
    <t>ZZZ:{PNL}:UC1:FGPS</t>
  </si>
  <si>
    <t>#ACESSANTE. Usar casa decimal (duas) para os casos de linhas e alimentadores de 69kV e 13,8kV.</t>
  </si>
  <si>
    <t>#ACESSANTE. Medida Inexistente para os casos de linhas e alimentadores de 69kV e 13,8kV.
Usar casa decimal (uma) para os casos de barramentos de 69kV e 13,8kV.</t>
  </si>
  <si>
    <t>#ACESSANTE.</t>
  </si>
  <si>
    <t>#ACESSADA. Usar casa decimal (uma) para os casos de barramentos de 69kV e 13,8kV.                      N- Numeração da codificação operacional da Barra.</t>
  </si>
  <si>
    <t>#ACESSANTE. #TIE ACESSADA. Deve ser representado na tela exatamente igual ao unifilar DOMO, exceto para chaves de giro central. A sinalização deve ser VERDE = ABERTO, VERMELHO = FECHADO, AMARELO = INDEFINIDO. Deve ser configurado o comportamento para indicar visualmente o intertravamento (cadeado)</t>
  </si>
  <si>
    <t>#TIE ACESSADA.</t>
  </si>
  <si>
    <t>#TIE ACESSADA. Quando não houver o sinal gerado na lógica da UC, agrupar no SAGE</t>
  </si>
  <si>
    <t>#TIE ACESSADA.. Deve ser resultado de lógica para eliminar atuação indevida por perda de tensão</t>
  </si>
  <si>
    <t xml:space="preserve">#ACESSANTE. Vindo do acessante. Todas as atuações de cada IED devem ser agrupadas num único ponto de "Proteção Atuada". </t>
  </si>
  <si>
    <t>#ACESSANTE. No caso de disjuntores que posuem relé de bloqueio próprio.</t>
  </si>
  <si>
    <t>#ACESSADA. Em 500 kV, no projeto os IEDs são diferenciados por F8.1 (barra 1) e F8.2 (barra 2) #87</t>
  </si>
  <si>
    <t>#ACESSANTE. Onde aplicável.</t>
  </si>
  <si>
    <t>#ACESSANTE. "n" - Número da porta.</t>
  </si>
  <si>
    <t>#CHESF. "n" - Número da porta.</t>
  </si>
  <si>
    <t>#ACESSADA.</t>
  </si>
  <si>
    <t>#CHESF.</t>
  </si>
  <si>
    <t>#ACESSADA.
#ACESSANTE.</t>
  </si>
  <si>
    <t>ZZZ:02AY:[F1/F2]:FPCn</t>
  </si>
  <si>
    <t>ZZZ:0XHY:[F1/UC1]:FPCn</t>
  </si>
  <si>
    <t>ZZZ:0XHY:F9:FPCn</t>
  </si>
  <si>
    <t>ZZZ:0XBY:[F1/UC1]:FPCn</t>
  </si>
  <si>
    <t>ZZZ:0XKY:[F1/F2/UC1]:FPCn</t>
  </si>
  <si>
    <t>ZZZ:0XKY:F9:FPCn</t>
  </si>
  <si>
    <t>ZZZ:0XQY:[F1/F2/UC1]:FPCn</t>
  </si>
  <si>
    <t>ZZZ:0XQY:F9:FPCn</t>
  </si>
  <si>
    <t>ZZZ:0XHY:[F1/F2/UC1]:FPCn</t>
  </si>
  <si>
    <t>ZZZ:0XEY:F1:FPCn</t>
  </si>
  <si>
    <t>ZZZ:0XEY:F9:FPCn</t>
  </si>
  <si>
    <t>ZZZ:SA:[UC1/UC2]:FPCn</t>
  </si>
  <si>
    <t>ZZZ:1YDY:F9:FPCn</t>
  </si>
  <si>
    <t>ZZZ:1YDY:UC1:FPCn</t>
  </si>
  <si>
    <t>ZZZ:0XBY:F8:FPCn</t>
  </si>
  <si>
    <t>ZZZ:0XB1/2:F8:FPCn</t>
  </si>
  <si>
    <t>Falha Interna Medidor TemperaturaFase C</t>
  </si>
  <si>
    <t>ZZZ:0YYY:UC1:FCTP</t>
  </si>
  <si>
    <t>Falta Tensão Caixa de Ligação TP</t>
  </si>
  <si>
    <t>ZZZ:0YYY:UC1:FCTC</t>
  </si>
  <si>
    <t>Falta Tensão Caixa de Ligação TC</t>
  </si>
  <si>
    <t>ZZZ:0YYY:UC1:FCDV</t>
  </si>
  <si>
    <t>Falta Tensão Caixa de Distr. Vca</t>
  </si>
  <si>
    <t>ZZZ:0XTY:UC1:FCTP</t>
  </si>
  <si>
    <t>ZZZ:0XTY:UC1:FCTC</t>
  </si>
  <si>
    <t>ZZZ:0XTY:UC1:FCDV</t>
  </si>
  <si>
    <t>ZZZ:0XHY:UC1:FCTP</t>
  </si>
  <si>
    <t>ZZZ:0XHY:UC1:FCTC</t>
  </si>
  <si>
    <t>ZZZ:0XHY:UC1:FCDV</t>
  </si>
  <si>
    <t>ZZZ:0XBY:UC1:FCTP</t>
  </si>
  <si>
    <t>ZZZ:0XBY:UC1:FCTC</t>
  </si>
  <si>
    <t>ZZZ:0XBY:UC1:FCDV</t>
  </si>
  <si>
    <t>ZZZ:0XKY:UC1:FCTP</t>
  </si>
  <si>
    <t>ZZZ:0XKY:UC1:FCTC</t>
  </si>
  <si>
    <t>ZZZ:0XKY:UC1:FCDV</t>
  </si>
  <si>
    <t>ZZZ:0XQY:UC1:FCTP</t>
  </si>
  <si>
    <t>ZZZ:0XQY:UC1:FCTC</t>
  </si>
  <si>
    <t>ZZZ:0XQY:UC1:FCDV</t>
  </si>
  <si>
    <t>ZZZ:0XEY:UC1:FCTP</t>
  </si>
  <si>
    <t>ZZZ:0XEY:UC1:FCTC</t>
  </si>
  <si>
    <t>ZZZ:0XEY:UC1:FCDV</t>
  </si>
  <si>
    <t>ZZZ:SA:UC1:FCTP</t>
  </si>
  <si>
    <t>ZZZ:SA:UC1:FCTC</t>
  </si>
  <si>
    <t>ZZZ:SA:UC1:FCDV</t>
  </si>
  <si>
    <t>ZZZ:0XB1/2:UC1:FCTP</t>
  </si>
  <si>
    <t>ZZZ:0XB1/2:UC1:FCTC</t>
  </si>
  <si>
    <t>ZZZ:0XB1/2:UC1:FCDV</t>
  </si>
  <si>
    <t>Falha Porta de Comunicação Difer. (87B)</t>
  </si>
  <si>
    <t>ZZZ:0YYY:F9:FCSI</t>
  </si>
  <si>
    <t>ZZZ:0YYY:F9:FPDn</t>
  </si>
  <si>
    <t>ZZZ:0XTY:F9:FCSI</t>
  </si>
  <si>
    <t>ZZZ:0XTY:F9:FPDn</t>
  </si>
  <si>
    <t>ZZZ:02AY:[F1/F2]:FCSI</t>
  </si>
  <si>
    <t>ZZZ:02AY:[F1/F2]:FCTP</t>
  </si>
  <si>
    <t>ZZZ:02AY:[F1/F2]:FCTC</t>
  </si>
  <si>
    <t>ZZZ:02AY:[F1/F2]:FCDV</t>
  </si>
  <si>
    <t>ZZZ:0XHY:F9:FCSI</t>
  </si>
  <si>
    <t>ZZZ:0XHY:F9:FPDn</t>
  </si>
  <si>
    <t>ZZZ:0XHY:F1:FCSI</t>
  </si>
  <si>
    <t>ZZZ:0XBY:F1:FCSI</t>
  </si>
  <si>
    <t>ZZZ:0XKY:F9:FCSI</t>
  </si>
  <si>
    <t>ZZZ:0XKY:F9:FPDn</t>
  </si>
  <si>
    <t>Sincronização não Permitida</t>
  </si>
  <si>
    <t>ZZZ:0XKY:[F1/F2]:FCSI</t>
  </si>
  <si>
    <t>ZZZ:0XQY:[F1/F2]:FCSI</t>
  </si>
  <si>
    <t>ZZZ:0XQY:F9:FCSI</t>
  </si>
  <si>
    <t>ZZZ:0XQY:F9:FPDn</t>
  </si>
  <si>
    <t>Onde aplicável."n" - Número da porta.</t>
  </si>
  <si>
    <t>n - Número da porta.</t>
  </si>
  <si>
    <t>Onde aplicável. "n" - Número da porta.</t>
  </si>
  <si>
    <t>Para arranjos disjuntor e meio. "n" - Número da porta.</t>
  </si>
  <si>
    <t>ZZZ:0XHY:[F1/F2]:FCSI</t>
  </si>
  <si>
    <t>ZZZ:0XEY:F9:FPDn</t>
  </si>
  <si>
    <t>ZZZ:0XEY:F9:FCSI</t>
  </si>
  <si>
    <t>ZZZ:0XEY:F1:FCSI</t>
  </si>
  <si>
    <t>ZZZ:0XB1/2:F8:FCSI</t>
  </si>
  <si>
    <t>ZZZ:0XBY:F8:FCSI</t>
  </si>
  <si>
    <t>Para arranjos disjuntor e meio. Ponto gerado no SAGE que monitora a ligação com o dispositivo</t>
  </si>
  <si>
    <t>ZZZ:0XBY:F8:FPDn</t>
  </si>
  <si>
    <t>ZZZ:0XB1/2:F8:FPDn</t>
  </si>
  <si>
    <t>Para arranjos disjuntor e meio. "n"- Numeração sequencial do Canal de Comunicação.</t>
  </si>
  <si>
    <t>ZZZ:1YDY:F9:FCSI</t>
  </si>
  <si>
    <t>ZZZ:1YDY:F9:FPDn</t>
  </si>
  <si>
    <t>ZZZ:0XTY:UC2:PGFA</t>
  </si>
  <si>
    <t>ZZZ:0XTY:UC2]:PGFB</t>
  </si>
  <si>
    <t>ZZZ:0XTY:UC2:PGFC</t>
  </si>
  <si>
    <t>ZZZ:0XTY:UC2:RGFS</t>
  </si>
  <si>
    <t>ZZZ:0XTY:UC2:PGCA</t>
  </si>
  <si>
    <t>ZZZ:0XTY:UC2:PGCB</t>
  </si>
  <si>
    <t>ZZZ:0XTY:UC2:PGCC</t>
  </si>
  <si>
    <t>ZZZ:0XTY:UC2:TRGS</t>
  </si>
  <si>
    <t>ZZZ:0XTY:UC2:TOTS</t>
  </si>
  <si>
    <t>ZZZ:0XTY:UC2:TOAS</t>
  </si>
  <si>
    <t>ZZZ:0XTY:UC2:TOBS</t>
  </si>
  <si>
    <t>ZZZ:0XTY:UC2:TOCS</t>
  </si>
  <si>
    <t>ZZZ:0XTY:UC2:TESG</t>
  </si>
  <si>
    <t>ZZZ:0XTY:UC2:TESA</t>
  </si>
  <si>
    <t>ZZZ:0XTY:UC2:TESB</t>
  </si>
  <si>
    <t>ZZZ:0XTY:UC2:TESC</t>
  </si>
  <si>
    <t>ZZZ:0XTY:UC2:TTOE</t>
  </si>
  <si>
    <t>ZZZ:0XTY:UC2:TOEA</t>
  </si>
  <si>
    <t>ZZZ:0XTY:UC2:TOEB</t>
  </si>
  <si>
    <t>ZZZ:0XTY:UC2:TOEC</t>
  </si>
  <si>
    <t>ZZZ:0XTY:UC2:TVSG</t>
  </si>
  <si>
    <t>ZZZ:0XTY:UC2:TVSA</t>
  </si>
  <si>
    <t>ZZZ:0XTY:UC2:TVSB</t>
  </si>
  <si>
    <t>ZZZ:0XTY:UC2:TVSC</t>
  </si>
  <si>
    <t>ZZZ:0XEY:UC1:TTOE</t>
  </si>
  <si>
    <t>ZZZ:0XEY:UC1:TOEA</t>
  </si>
  <si>
    <t>ZZZ:0XEY:UC1:TOEB</t>
  </si>
  <si>
    <t>ZZZ:0XEY:UC1:TOEC</t>
  </si>
  <si>
    <t>ZZZ:0XEY:UC1:PGFA</t>
  </si>
  <si>
    <t>ZZZ:0XEY:UC1:PGFB</t>
  </si>
  <si>
    <t>ZZZ:0XEY:UC1:PGFC</t>
  </si>
  <si>
    <t>ZZZ:0XEY:UC1:RGFS</t>
  </si>
  <si>
    <t>ZZZ:0XEY:UC1:AOEP</t>
  </si>
  <si>
    <t>ZZZ:0XEY:UC1:TOTS</t>
  </si>
  <si>
    <t>ZZZ:0XEY:UC1:TOAS</t>
  </si>
  <si>
    <t>ZZZ:0XEY:UC1:TOBS</t>
  </si>
  <si>
    <t>ZZZ:0XEY:UC1:TOCS</t>
  </si>
  <si>
    <t>ZZZ:0XEY:UC1:TESG</t>
  </si>
  <si>
    <t>ZZZ:0XEY:UC1:TESA</t>
  </si>
  <si>
    <t>ZZZ:0XEY:UC1:TESB</t>
  </si>
  <si>
    <t>ZZZ:0XEY:UC1:TESC</t>
  </si>
  <si>
    <t>ZZZ:0XEY:UC1:VSFA</t>
  </si>
  <si>
    <t>ZZZ:0XEY:UC1:VSFB</t>
  </si>
  <si>
    <t>ZZZ:0XEY:UC1:VSFC</t>
  </si>
  <si>
    <t>ZZZ:0XEY:UC1:VSEG</t>
  </si>
  <si>
    <t>ZZZ:0XEY:UC1:TVSG</t>
  </si>
  <si>
    <t>ZZZ:0XEY:UC1:TVSA</t>
  </si>
  <si>
    <t>ZZZ:0XEY:UC1:TVSB</t>
  </si>
  <si>
    <t>ZZZ:0XEY:UC1:TVSC</t>
  </si>
  <si>
    <t>ZZZ:0XEY:UC1:NAOL</t>
  </si>
  <si>
    <t>ZZZ:0XEY:UC1:NAOA</t>
  </si>
  <si>
    <t>ZZZ:0XEY:UC1:NAOB</t>
  </si>
  <si>
    <t>ZZZ:0XEY:UC1:NAOC</t>
  </si>
  <si>
    <t>ZZZ:0XEY:UC1:RMCO</t>
  </si>
  <si>
    <t>ZZZ:0XEY:UC1:PITS</t>
  </si>
  <si>
    <t>ZZZ:0XTY:UC2:AOEP</t>
  </si>
  <si>
    <t>ZZZ:0XTY:UC2:OEPA</t>
  </si>
  <si>
    <t>ZZZ:0XTY:UC2:OEPB</t>
  </si>
  <si>
    <t>ZZZ:0XTY:UC2:OEPC</t>
  </si>
  <si>
    <t>ZZZ:0XTY:UC2:ARGA</t>
  </si>
  <si>
    <t>ZZZ:0XTY:UC2:ARGB</t>
  </si>
  <si>
    <t>ZZZ:0XTY:UC2:ARGC</t>
  </si>
  <si>
    <t>ZZZ:0XTY:UC2:ARGP</t>
  </si>
  <si>
    <t>ZZZ:0XTY:UC2:NAGU</t>
  </si>
  <si>
    <t>ZZZ:0XTY:UC2:NAGA</t>
  </si>
  <si>
    <t>ZZZ:0XTY:UC2:NAGB</t>
  </si>
  <si>
    <t>ZZZ:0XTY:UC2:NAGC</t>
  </si>
  <si>
    <t>ZZZ:0XTY:UC2:NAOL</t>
  </si>
  <si>
    <t>ZZZ:0XTY:UC2:NAOA</t>
  </si>
  <si>
    <t>ZZZ:0XTY:UC2:NAOB</t>
  </si>
  <si>
    <t>ZZZ:0XTY:UC2:NAOC</t>
  </si>
  <si>
    <t>ZZZ:0XTY:UC2:RMCO</t>
  </si>
  <si>
    <t>ZZZ:0XTY:UC2:RMCA</t>
  </si>
  <si>
    <t>ZZZ:0XTY:UC2:RMCB</t>
  </si>
  <si>
    <t>ZZZ:0XTY:UC2:RMCC</t>
  </si>
  <si>
    <t>1O</t>
  </si>
  <si>
    <t>Inseridos pontos de supervisão das caixas de ligação TC/TP (FCTP. FCTC e FCDV)</t>
  </si>
  <si>
    <t>Inseridos pontos de falha de comunicação das unidades de bay da proteção de barras (FCSI e FPDN)</t>
  </si>
  <si>
    <t>Pontos da proteção intrínseca foram agrupados na UC2 no trafo e removidos de F1 e F2</t>
  </si>
  <si>
    <t>Planilhas de SEP, Parque eólico e parque solar inseridas</t>
  </si>
  <si>
    <t>Removidos todos os pontos antigos (não marcados como pontos digitais)</t>
  </si>
  <si>
    <t>ZZZ:0XTY:[B1/B2/BP]:RGBQ</t>
  </si>
  <si>
    <t>Alterado ID do ponto ZZZ:mmmmnnn:90:RGBQ para ZZZ:0XTY:[B1/B2/BP]:RGBQ na aba "Prep. Reen." e movido para a aba "Trafo"</t>
  </si>
  <si>
    <t>Removido coluna extra na aba "Trafos" que estava impedindo FAS de gerar demais pontos.</t>
  </si>
  <si>
    <t>ZZZ:mmmmnnn:[B1/B2/BP]:LIMI</t>
  </si>
  <si>
    <t>Habilita Limites Automáticos</t>
  </si>
  <si>
    <t>ZZZ:mmmmnnn:[B1/B2/BP]:CABT</t>
  </si>
  <si>
    <t>Alterado ID do ponto "ZZZ:mmmmnnn:00:CABT" para ZZZ:mmmmnnn:[B1/B2/BP]:CABT" na aba "Prep. Reen"</t>
  </si>
  <si>
    <t>"mmmm" Sistema Digital de Supervisão comum a vários trafos (SAGE, UTR-, PCPG).
"nnn" Tensão nominal do barramento controlado (013 = 13.8kV; 069 = 69kV; 230 = 230kV)
#APLICACAO
Saída da Aplicaão indicando que um subtensão, sobrecorrente ou sobretensão está bloqueando a comutação automática dos TAPs</t>
  </si>
  <si>
    <t>"mmmm" Sistema Digital de Supervisão comum a vários trafos (SAGE, UTR-, PCPG).
"nnn" Tensão nominal do barramento controlado (013 = 13.8kV; 069 = 69kV; 230 = 230kV)
#APLICACAO</t>
  </si>
  <si>
    <t>Corrigido a posição da TAG ""#APLICACAO"" para a coluna ""Observações"" na aba ""Prep. Reen."" dos pontos:
ZZZ:mmmmnnn:[B1/B2/BP]:KVRF, 
ZZZ:mmmmnnn:[B1/B2/BP]:LS, 
ZZZ:mmmmnnn:[B1/B2/BP]:LI, 
ZZZ:mmmmnnn:[B1/B2/BP]:CABT, 
ZZZ:mmmmnnn:[B1/B2/BP]:PLSA, 
ZZZ:mmmmnnn:[B1/B2/BP]:PLIA, 
ZZZ:mmmmnnn:[B1/B2/BP]:PARP
ZZZ:mmmmnnn:[B1/B2/BP]:ELDI
ZZZ:mmmmnnn:[B1/B2/BP]:ISME
ZZZ:mmmmnnn:[B1/B2/BP]:CFPA</t>
  </si>
  <si>
    <t>"mmmm" Sistema Digital de Supervisão comum a vários trafos (SAGE, UTR-, PCPG).
"nnn" Tensão nominal do barramento controlado (013 = 13.8kV; 069 = 69kV; 230 = 230kV)
#APLICACAO
Para barras com tensão controlada através de Aplicação Usuário SAGE. Ponto calculado através de função CLONE da tensão KVBC da barra, deve aparecer na respectiva tela de paralelismo do setor.</t>
  </si>
  <si>
    <t>ZZZ:0XTY:[B1/B2/BP]:CMAU:IATV</t>
  </si>
  <si>
    <t>ZZZ:0XTY:[B1/B2/BP]:CMST:IATV</t>
  </si>
  <si>
    <t>ZZZ:0XTY:00:TAP:IATV</t>
  </si>
  <si>
    <t>#APLICACAO 
Intertravamento a ser realizado conforme orientação no Manual da Aplicação</t>
  </si>
  <si>
    <t>Inserido pontos de intertravamentos para comandos relacionados à Aplicação SAGE de Regulaçã/Paralelismo na aba ""Trafo":
ZZZ:0XTY:[B1/B2/BP]:CMAU:IATV 
ZZZ:0XTY:[B1/B2/BP]:CMST:IATV 
ZZZ:0XTY:00:TAP:IATV</t>
  </si>
  <si>
    <t>ZZZ:0XTY:00:TAPA:APLIC</t>
  </si>
  <si>
    <t>ZZZ:0XTY:00:TAPB:APLIC</t>
  </si>
  <si>
    <t>ZZZ:0XTY:00:TAPC:APLIC</t>
  </si>
  <si>
    <t>#APLICACAO
Comando roteado exclusivo para aplicação SAGE</t>
  </si>
  <si>
    <t xml:space="preserve">Inserido pontos de controle de TAPs roteados para a Aplicação de Regulação via SAGE na aba "Trafos":
ZZZ:0XTY:00:TAPA:APLIC
ZZZ:0XTY:00:TAPB:APLIC
ZZZ:0XTY:00:TAPC:APLIC
</t>
  </si>
  <si>
    <t>Inserido ponto digital "ZZZ:mmmmnnn:[B1/B2/BP]:LIMI" na aba "Prep. Reen."</t>
  </si>
  <si>
    <t>Inserido controlel "ZZZ:mmmmnnn:[B1/B2/BP]:LIMI" na aba "Prep. Reen." para setar/resetar o ponto acima</t>
  </si>
  <si>
    <t>Comutador Bloqueado Temporariamente</t>
  </si>
  <si>
    <t>ZZZ:0XTY:[00/UC2]:CBLQ</t>
  </si>
  <si>
    <t>#APLICACAO
Ponto que é uma lógica OU entre os pontos de 51/59/27 do comutador do trafo. Caso seja realizado via lógica na Uidade de Controle, utilizar identificador UC2. Caso seja via lógica no SAGE, utilizar identificador 00.</t>
  </si>
  <si>
    <t xml:space="preserve">Inclusão do ponto ZZZ:0XTY:[00/UC2]:CBLQ na aba "Trafos" </t>
  </si>
  <si>
    <t>SMART</t>
  </si>
  <si>
    <t>ZZZ:0YYY:[F1/F2]:PDPA</t>
  </si>
  <si>
    <t>Partida Fase A</t>
  </si>
  <si>
    <t>8.2.1.4(c)(1/2)</t>
  </si>
  <si>
    <r>
      <t>ZZZ:0YYY:**:PPPA</t>
    </r>
    <r>
      <rPr>
        <sz val="10"/>
        <color indexed="12"/>
        <rFont val="Arial"/>
        <family val="2"/>
      </rPr>
      <t>(PSPA)</t>
    </r>
    <r>
      <rPr>
        <sz val="10"/>
        <color indexed="14"/>
        <rFont val="Arial"/>
        <family val="2"/>
      </rPr>
      <t>(PDPA)</t>
    </r>
  </si>
  <si>
    <r>
      <t>PP</t>
    </r>
    <r>
      <rPr>
        <sz val="10"/>
        <color indexed="12"/>
        <rFont val="Arial"/>
        <family val="2"/>
      </rPr>
      <t>(PS)</t>
    </r>
    <r>
      <rPr>
        <sz val="10"/>
        <rFont val="Arial"/>
        <family val="2"/>
      </rPr>
      <t>-Partida Fase A</t>
    </r>
  </si>
  <si>
    <t>** - código NEMA (21, 87L, 67N etc)</t>
  </si>
  <si>
    <t>8.2.1.4(c)(1)(2)</t>
  </si>
  <si>
    <t>ZZZ:0YYY:[F1/F2]:PDPB</t>
  </si>
  <si>
    <t xml:space="preserve">Partida Fase B </t>
  </si>
  <si>
    <r>
      <t>ZZZ:0YYY:**:PPPB</t>
    </r>
    <r>
      <rPr>
        <sz val="10"/>
        <color indexed="12"/>
        <rFont val="Arial"/>
        <family val="2"/>
      </rPr>
      <t>(PSPB)</t>
    </r>
    <r>
      <rPr>
        <sz val="10"/>
        <color indexed="14"/>
        <rFont val="Arial"/>
        <family val="2"/>
      </rPr>
      <t>(PDPB)</t>
    </r>
  </si>
  <si>
    <r>
      <t>PP</t>
    </r>
    <r>
      <rPr>
        <sz val="10"/>
        <color indexed="12"/>
        <rFont val="Arial"/>
        <family val="2"/>
      </rPr>
      <t>(PS)</t>
    </r>
    <r>
      <rPr>
        <sz val="10"/>
        <rFont val="Arial"/>
        <family val="2"/>
      </rPr>
      <t xml:space="preserve">-Partida Fase B </t>
    </r>
  </si>
  <si>
    <t>ZZZ:0YYY:[F1/F2]:PDPC</t>
  </si>
  <si>
    <t xml:space="preserve">Partida Fase C </t>
  </si>
  <si>
    <r>
      <t>ZZZ:0YYY:**:PPPC</t>
    </r>
    <r>
      <rPr>
        <sz val="10"/>
        <color indexed="12"/>
        <rFont val="Arial"/>
        <family val="2"/>
      </rPr>
      <t>(PSPC)</t>
    </r>
    <r>
      <rPr>
        <sz val="10"/>
        <color indexed="14"/>
        <rFont val="Arial"/>
        <family val="2"/>
      </rPr>
      <t>(PDPC)</t>
    </r>
  </si>
  <si>
    <r>
      <t>PP</t>
    </r>
    <r>
      <rPr>
        <sz val="10"/>
        <color indexed="12"/>
        <rFont val="Arial"/>
        <family val="2"/>
      </rPr>
      <t>(PS)</t>
    </r>
    <r>
      <rPr>
        <sz val="10"/>
        <rFont val="Arial"/>
        <family val="2"/>
      </rPr>
      <t xml:space="preserve">-Partida Fase C </t>
    </r>
  </si>
  <si>
    <r>
      <t>ZZZ:0YYY:**:PPTA</t>
    </r>
    <r>
      <rPr>
        <sz val="10"/>
        <color indexed="12"/>
        <rFont val="Arial"/>
        <family val="2"/>
      </rPr>
      <t>(PSTA)</t>
    </r>
    <r>
      <rPr>
        <sz val="10"/>
        <color indexed="14"/>
        <rFont val="Arial"/>
        <family val="2"/>
      </rPr>
      <t>(PTFA)</t>
    </r>
  </si>
  <si>
    <r>
      <t>PP</t>
    </r>
    <r>
      <rPr>
        <sz val="10"/>
        <color indexed="12"/>
        <rFont val="Frutiger-Light"/>
      </rPr>
      <t>(PS)</t>
    </r>
    <r>
      <rPr>
        <sz val="10"/>
        <rFont val="Frutiger-Light"/>
      </rPr>
      <t>-Partida Terra Fase A</t>
    </r>
  </si>
  <si>
    <t>8.2.1.4(c)(3)(4)</t>
  </si>
  <si>
    <r>
      <t>ZZZ:0YYY:**:PPTB</t>
    </r>
    <r>
      <rPr>
        <sz val="10"/>
        <color indexed="12"/>
        <rFont val="Arial"/>
        <family val="2"/>
      </rPr>
      <t>(PSTB)</t>
    </r>
    <r>
      <rPr>
        <sz val="10"/>
        <color indexed="14"/>
        <rFont val="Arial"/>
        <family val="2"/>
      </rPr>
      <t>(PTFB)</t>
    </r>
  </si>
  <si>
    <r>
      <t>PP</t>
    </r>
    <r>
      <rPr>
        <sz val="10"/>
        <color indexed="12"/>
        <rFont val="Frutiger-Light"/>
      </rPr>
      <t>(PS)</t>
    </r>
    <r>
      <rPr>
        <sz val="10"/>
        <rFont val="Frutiger-Light"/>
      </rPr>
      <t>-Partida Terra Fase B</t>
    </r>
  </si>
  <si>
    <r>
      <t>ZZZ:0YYY:**:PPTC</t>
    </r>
    <r>
      <rPr>
        <sz val="10"/>
        <color indexed="12"/>
        <rFont val="Arial"/>
        <family val="2"/>
      </rPr>
      <t>(PSTC)</t>
    </r>
    <r>
      <rPr>
        <sz val="10"/>
        <color indexed="14"/>
        <rFont val="Arial"/>
        <family val="2"/>
      </rPr>
      <t>(PTFC)</t>
    </r>
  </si>
  <si>
    <r>
      <t>PP</t>
    </r>
    <r>
      <rPr>
        <sz val="10"/>
        <color indexed="12"/>
        <rFont val="Frutiger-Light"/>
      </rPr>
      <t>(PS)</t>
    </r>
    <r>
      <rPr>
        <sz val="10"/>
        <rFont val="Frutiger-Light"/>
      </rPr>
      <t>-Partida Terra Fase C</t>
    </r>
  </si>
  <si>
    <r>
      <t>ZZZ:0YYY:**:PPPF</t>
    </r>
    <r>
      <rPr>
        <sz val="10"/>
        <color indexed="12"/>
        <rFont val="Arial"/>
        <family val="2"/>
      </rPr>
      <t>(PSPF)</t>
    </r>
    <r>
      <rPr>
        <sz val="10"/>
        <color indexed="14"/>
        <rFont val="Arial"/>
        <family val="2"/>
      </rPr>
      <t>(PDPF)</t>
    </r>
  </si>
  <si>
    <r>
      <t>PP</t>
    </r>
    <r>
      <rPr>
        <sz val="10"/>
        <color indexed="12"/>
        <rFont val="Frutiger-Light"/>
      </rPr>
      <t>(PS)</t>
    </r>
    <r>
      <rPr>
        <sz val="10"/>
        <rFont val="Frutiger-Light"/>
      </rPr>
      <t>-Partida Fases</t>
    </r>
  </si>
  <si>
    <t>Apenas quando não for possível a supervisão por fase.</t>
  </si>
  <si>
    <r>
      <t>ZZZ:0YYY:**:PPPI</t>
    </r>
    <r>
      <rPr>
        <sz val="10"/>
        <color indexed="12"/>
        <rFont val="Arial"/>
        <family val="2"/>
      </rPr>
      <t>(PSPI)</t>
    </r>
    <r>
      <rPr>
        <sz val="10"/>
        <color indexed="14"/>
        <rFont val="Arial"/>
        <family val="2"/>
      </rPr>
      <t>(PDPI)</t>
    </r>
  </si>
  <si>
    <r>
      <t>PP</t>
    </r>
    <r>
      <rPr>
        <sz val="10"/>
        <color indexed="12"/>
        <rFont val="Arial"/>
        <family val="2"/>
      </rPr>
      <t>(PS)</t>
    </r>
    <r>
      <rPr>
        <sz val="10"/>
        <rFont val="Arial"/>
        <family val="2"/>
      </rPr>
      <t xml:space="preserve">-Partida Interfásica </t>
    </r>
  </si>
  <si>
    <r>
      <t>ZZZ:0YYY:**:PABP</t>
    </r>
    <r>
      <rPr>
        <sz val="10"/>
        <color indexed="12"/>
        <rFont val="Arial"/>
        <family val="2"/>
      </rPr>
      <t>(PABS)</t>
    </r>
    <r>
      <rPr>
        <sz val="10"/>
        <color indexed="14"/>
        <rFont val="Arial"/>
        <family val="2"/>
      </rPr>
      <t>(PFAB)</t>
    </r>
  </si>
  <si>
    <r>
      <t>PP</t>
    </r>
    <r>
      <rPr>
        <sz val="10"/>
        <color indexed="12"/>
        <rFont val="Arial"/>
        <family val="2"/>
      </rPr>
      <t>(PS)</t>
    </r>
    <r>
      <rPr>
        <sz val="10"/>
        <rFont val="Arial"/>
        <family val="2"/>
      </rPr>
      <t>-Partida Fase AB</t>
    </r>
  </si>
  <si>
    <r>
      <t>ZZZ:0YYY:**:PBCP</t>
    </r>
    <r>
      <rPr>
        <sz val="10"/>
        <color indexed="12"/>
        <rFont val="Arial"/>
        <family val="2"/>
      </rPr>
      <t>(PBCS)</t>
    </r>
    <r>
      <rPr>
        <sz val="10"/>
        <color indexed="14"/>
        <rFont val="Arial"/>
        <family val="2"/>
      </rPr>
      <t>(PFBC)</t>
    </r>
  </si>
  <si>
    <r>
      <t>PP</t>
    </r>
    <r>
      <rPr>
        <sz val="10"/>
        <color indexed="12"/>
        <rFont val="Arial"/>
        <family val="2"/>
      </rPr>
      <t>(PS)</t>
    </r>
    <r>
      <rPr>
        <sz val="10"/>
        <rFont val="Arial"/>
        <family val="2"/>
      </rPr>
      <t>-Partida Fase BC</t>
    </r>
  </si>
  <si>
    <r>
      <t>ZZZ:0YYY:**:PCAP</t>
    </r>
    <r>
      <rPr>
        <sz val="10"/>
        <color indexed="12"/>
        <rFont val="Arial"/>
        <family val="2"/>
      </rPr>
      <t>(PCAS)</t>
    </r>
    <r>
      <rPr>
        <sz val="10"/>
        <color indexed="14"/>
        <rFont val="Arial"/>
        <family val="2"/>
      </rPr>
      <t>(PFCA)</t>
    </r>
  </si>
  <si>
    <r>
      <t>PP</t>
    </r>
    <r>
      <rPr>
        <sz val="10"/>
        <color indexed="12"/>
        <rFont val="Arial"/>
        <family val="2"/>
      </rPr>
      <t>(PS)</t>
    </r>
    <r>
      <rPr>
        <sz val="10"/>
        <rFont val="Arial"/>
        <family val="2"/>
      </rPr>
      <t>-Partida Fase CA</t>
    </r>
  </si>
  <si>
    <r>
      <t>ZZZ:0YYY:21:PZPP</t>
    </r>
    <r>
      <rPr>
        <sz val="10"/>
        <color indexed="12"/>
        <rFont val="Arial"/>
        <family val="2"/>
      </rPr>
      <t>(PZPS)</t>
    </r>
    <r>
      <rPr>
        <sz val="10"/>
        <color indexed="14"/>
        <rFont val="Arial"/>
        <family val="2"/>
      </rPr>
      <t>(PZPD)</t>
    </r>
  </si>
  <si>
    <r>
      <t>PP</t>
    </r>
    <r>
      <rPr>
        <sz val="10"/>
        <color indexed="12"/>
        <rFont val="Arial"/>
        <family val="2"/>
      </rPr>
      <t>(PS)</t>
    </r>
    <r>
      <rPr>
        <sz val="10"/>
        <rFont val="Arial"/>
        <family val="2"/>
      </rPr>
      <t>- Partida Tempo Zona 1</t>
    </r>
  </si>
  <si>
    <r>
      <t>ZZZ:0YYY:21:PZSP</t>
    </r>
    <r>
      <rPr>
        <sz val="10"/>
        <color indexed="12"/>
        <rFont val="Arial"/>
        <family val="2"/>
      </rPr>
      <t>(PZSS)</t>
    </r>
    <r>
      <rPr>
        <sz val="10"/>
        <color indexed="14"/>
        <rFont val="Arial"/>
        <family val="2"/>
      </rPr>
      <t>(PZSD)</t>
    </r>
  </si>
  <si>
    <r>
      <t>PP</t>
    </r>
    <r>
      <rPr>
        <sz val="10"/>
        <color indexed="12"/>
        <rFont val="Arial"/>
        <family val="2"/>
      </rPr>
      <t>(PS)</t>
    </r>
    <r>
      <rPr>
        <sz val="10"/>
        <rFont val="Arial"/>
        <family val="2"/>
      </rPr>
      <t>- Partida Tempo Zona 2</t>
    </r>
  </si>
  <si>
    <r>
      <t>ZZZ:0YYY:21:PZTP</t>
    </r>
    <r>
      <rPr>
        <sz val="10"/>
        <color indexed="12"/>
        <rFont val="Arial"/>
        <family val="2"/>
      </rPr>
      <t>(PZTS)</t>
    </r>
    <r>
      <rPr>
        <sz val="10"/>
        <color indexed="14"/>
        <rFont val="Arial"/>
        <family val="2"/>
      </rPr>
      <t>(PZTD)</t>
    </r>
  </si>
  <si>
    <r>
      <t>PP</t>
    </r>
    <r>
      <rPr>
        <sz val="10"/>
        <color indexed="12"/>
        <rFont val="Arial"/>
        <family val="2"/>
      </rPr>
      <t>(PS)</t>
    </r>
    <r>
      <rPr>
        <sz val="10"/>
        <rFont val="Arial"/>
        <family val="2"/>
      </rPr>
      <t>- Partida Tempo Zona 3</t>
    </r>
  </si>
  <si>
    <r>
      <t>ZZZ:0YYY:21:PZQP</t>
    </r>
    <r>
      <rPr>
        <sz val="10"/>
        <color indexed="12"/>
        <rFont val="Arial"/>
        <family val="2"/>
      </rPr>
      <t>(PZQS)</t>
    </r>
    <r>
      <rPr>
        <sz val="10"/>
        <color indexed="14"/>
        <rFont val="Arial"/>
        <family val="2"/>
      </rPr>
      <t>(PZQD)</t>
    </r>
  </si>
  <si>
    <r>
      <t>PP</t>
    </r>
    <r>
      <rPr>
        <sz val="10"/>
        <color indexed="12"/>
        <rFont val="Arial"/>
        <family val="2"/>
      </rPr>
      <t>(PS)</t>
    </r>
    <r>
      <rPr>
        <sz val="10"/>
        <rFont val="Arial"/>
        <family val="2"/>
      </rPr>
      <t>- Partida Tempo Zona 4</t>
    </r>
  </si>
  <si>
    <r>
      <t>ZZZ:0YYY:**:PPDF</t>
    </r>
    <r>
      <rPr>
        <sz val="10"/>
        <color indexed="12"/>
        <rFont val="Arial"/>
        <family val="2"/>
      </rPr>
      <t>(PSDF)</t>
    </r>
    <r>
      <rPr>
        <sz val="10"/>
        <color indexed="14"/>
        <rFont val="Arial"/>
        <family val="2"/>
      </rPr>
      <t>(PDDF)</t>
    </r>
  </si>
  <si>
    <r>
      <t>PP</t>
    </r>
    <r>
      <rPr>
        <sz val="10"/>
        <color indexed="12"/>
        <rFont val="Arial"/>
        <family val="2"/>
      </rPr>
      <t>(PS)-</t>
    </r>
    <r>
      <rPr>
        <sz val="10"/>
        <rFont val="Arial"/>
        <family val="2"/>
      </rPr>
      <t>Direção a Frente</t>
    </r>
  </si>
  <si>
    <r>
      <t>ZZZ:0YYY:[F1/F2]:</t>
    </r>
    <r>
      <rPr>
        <sz val="10"/>
        <color indexed="14"/>
        <rFont val="Arial"/>
        <family val="2"/>
      </rPr>
      <t>PDPT</t>
    </r>
  </si>
  <si>
    <t>Partida Terra</t>
  </si>
  <si>
    <r>
      <t>ZZZ:0YYY:**:PPTE</t>
    </r>
    <r>
      <rPr>
        <sz val="10"/>
        <color indexed="12"/>
        <rFont val="Arial"/>
        <family val="2"/>
      </rPr>
      <t>(PSTE)</t>
    </r>
    <r>
      <rPr>
        <sz val="10"/>
        <color indexed="14"/>
        <rFont val="Arial"/>
        <family val="2"/>
      </rPr>
      <t>(PDPT)</t>
    </r>
  </si>
  <si>
    <r>
      <t>PP</t>
    </r>
    <r>
      <rPr>
        <sz val="10"/>
        <color indexed="12"/>
        <rFont val="Arial"/>
        <family val="2"/>
      </rPr>
      <t>(PS)</t>
    </r>
    <r>
      <rPr>
        <sz val="10"/>
        <rFont val="Arial"/>
        <family val="2"/>
      </rPr>
      <t>-Partida Terra</t>
    </r>
  </si>
  <si>
    <r>
      <t>ZZZ:0YYY:00:PPPT</t>
    </r>
    <r>
      <rPr>
        <sz val="10"/>
        <color indexed="12"/>
        <rFont val="Arial"/>
        <family val="2"/>
      </rPr>
      <t>(PSPT)</t>
    </r>
    <r>
      <rPr>
        <sz val="10"/>
        <color indexed="14"/>
        <rFont val="Arial"/>
        <family val="2"/>
      </rPr>
      <t>(DPPT)</t>
    </r>
  </si>
  <si>
    <r>
      <t>PP</t>
    </r>
    <r>
      <rPr>
        <sz val="10"/>
        <color indexed="12"/>
        <rFont val="Arial"/>
        <family val="2"/>
      </rPr>
      <t>(PS)</t>
    </r>
    <r>
      <rPr>
        <sz val="10"/>
        <rFont val="Arial"/>
        <family val="2"/>
      </rPr>
      <t>-Predisposta para Trip</t>
    </r>
  </si>
  <si>
    <r>
      <t>ZZZ:0YYY:68:PPBO</t>
    </r>
    <r>
      <rPr>
        <sz val="10"/>
        <color indexed="12"/>
        <rFont val="Arial"/>
        <family val="2"/>
      </rPr>
      <t>(PSBO)</t>
    </r>
    <r>
      <rPr>
        <sz val="10"/>
        <color indexed="14"/>
        <rFont val="Arial"/>
        <family val="2"/>
      </rPr>
      <t>(PDBO)</t>
    </r>
  </si>
  <si>
    <r>
      <t>PP</t>
    </r>
    <r>
      <rPr>
        <sz val="10"/>
        <color indexed="12"/>
        <rFont val="Arial"/>
        <family val="2"/>
      </rPr>
      <t>(PS)</t>
    </r>
    <r>
      <rPr>
        <sz val="10"/>
        <rFont val="Arial"/>
        <family val="2"/>
      </rPr>
      <t>-Bloqueio por Oscilação de Potência</t>
    </r>
  </si>
  <si>
    <r>
      <t>ZZZ:0YYY:21:PPDR</t>
    </r>
    <r>
      <rPr>
        <sz val="10"/>
        <color indexed="12"/>
        <rFont val="Arial"/>
        <family val="2"/>
      </rPr>
      <t>(PSDR)</t>
    </r>
    <r>
      <rPr>
        <sz val="10"/>
        <color indexed="14"/>
        <rFont val="Arial"/>
        <family val="2"/>
      </rPr>
      <t>(PDDR)</t>
    </r>
  </si>
  <si>
    <r>
      <t>PP</t>
    </r>
    <r>
      <rPr>
        <sz val="10"/>
        <color indexed="12"/>
        <rFont val="Arial"/>
        <family val="2"/>
      </rPr>
      <t>(PS)</t>
    </r>
    <r>
      <rPr>
        <sz val="10"/>
        <rFont val="Arial"/>
        <family val="2"/>
      </rPr>
      <t>-Direção Reversa</t>
    </r>
  </si>
  <si>
    <t>DISTANCIA</t>
  </si>
  <si>
    <r>
      <t>ZZZ:0YYY:21:PPSA</t>
    </r>
    <r>
      <rPr>
        <sz val="10"/>
        <color indexed="12"/>
        <rFont val="Arial"/>
        <family val="2"/>
      </rPr>
      <t>(PSSA)</t>
    </r>
    <r>
      <rPr>
        <sz val="10"/>
        <color indexed="14"/>
        <rFont val="Arial"/>
        <family val="2"/>
      </rPr>
      <t>(PDSA)</t>
    </r>
  </si>
  <si>
    <r>
      <t>PP</t>
    </r>
    <r>
      <rPr>
        <sz val="10"/>
        <color indexed="12"/>
        <rFont val="Arial"/>
        <family val="2"/>
      </rPr>
      <t>(PS)</t>
    </r>
    <r>
      <rPr>
        <sz val="10"/>
        <rFont val="Arial"/>
        <family val="2"/>
      </rPr>
      <t>-Seleção Fase A</t>
    </r>
  </si>
  <si>
    <r>
      <t>ZZZ:0YYY:21:PPSB</t>
    </r>
    <r>
      <rPr>
        <sz val="10"/>
        <color indexed="12"/>
        <rFont val="Arial"/>
        <family val="2"/>
      </rPr>
      <t>(PSSB)</t>
    </r>
    <r>
      <rPr>
        <sz val="10"/>
        <color indexed="14"/>
        <rFont val="Arial"/>
        <family val="2"/>
      </rPr>
      <t>(PDSB)</t>
    </r>
  </si>
  <si>
    <r>
      <t>PP</t>
    </r>
    <r>
      <rPr>
        <sz val="10"/>
        <color indexed="12"/>
        <rFont val="Arial"/>
        <family val="2"/>
      </rPr>
      <t>(PS)</t>
    </r>
    <r>
      <rPr>
        <sz val="10"/>
        <rFont val="Arial"/>
        <family val="2"/>
      </rPr>
      <t>-Seleção Fase B</t>
    </r>
  </si>
  <si>
    <r>
      <t>ZZZ:0YYY:21:PPSC</t>
    </r>
    <r>
      <rPr>
        <sz val="10"/>
        <color indexed="12"/>
        <rFont val="Arial"/>
        <family val="2"/>
      </rPr>
      <t>(PSSC)</t>
    </r>
    <r>
      <rPr>
        <sz val="10"/>
        <color indexed="14"/>
        <rFont val="Arial"/>
        <family val="2"/>
      </rPr>
      <t>(PDSC)</t>
    </r>
  </si>
  <si>
    <r>
      <t>PP</t>
    </r>
    <r>
      <rPr>
        <sz val="10"/>
        <color indexed="12"/>
        <rFont val="Arial"/>
        <family val="2"/>
      </rPr>
      <t>(PS)</t>
    </r>
    <r>
      <rPr>
        <sz val="10"/>
        <rFont val="Arial"/>
        <family val="2"/>
      </rPr>
      <t>-Seleção Fase C</t>
    </r>
  </si>
  <si>
    <r>
      <t>ZZZ:0YYY:21:PPST</t>
    </r>
    <r>
      <rPr>
        <sz val="10"/>
        <color indexed="12"/>
        <rFont val="Arial"/>
        <family val="2"/>
      </rPr>
      <t>(PSST)</t>
    </r>
    <r>
      <rPr>
        <sz val="10"/>
        <color indexed="14"/>
        <rFont val="Arial"/>
        <family val="2"/>
      </rPr>
      <t>(DSTR)</t>
    </r>
  </si>
  <si>
    <r>
      <t>PP</t>
    </r>
    <r>
      <rPr>
        <sz val="10"/>
        <color indexed="12"/>
        <rFont val="Arial"/>
        <family val="2"/>
      </rPr>
      <t>(PS)</t>
    </r>
    <r>
      <rPr>
        <sz val="10"/>
        <rFont val="Arial"/>
        <family val="2"/>
      </rPr>
      <t>-Seleção Tripolar</t>
    </r>
  </si>
  <si>
    <r>
      <t>ZZZ:0YYY:50ST:APSP</t>
    </r>
    <r>
      <rPr>
        <sz val="10"/>
        <color indexed="12"/>
        <rFont val="Arial"/>
        <family val="2"/>
      </rPr>
      <t>(APSS)</t>
    </r>
    <r>
      <rPr>
        <sz val="10"/>
        <color indexed="14"/>
        <rFont val="Arial"/>
        <family val="2"/>
      </rPr>
      <t>(APST)</t>
    </r>
  </si>
  <si>
    <r>
      <t>PP</t>
    </r>
    <r>
      <rPr>
        <sz val="10"/>
        <color indexed="12"/>
        <rFont val="Arial"/>
        <family val="2"/>
      </rPr>
      <t>(PS)</t>
    </r>
    <r>
      <rPr>
        <sz val="10"/>
        <rFont val="Arial"/>
        <family val="2"/>
      </rPr>
      <t>-Trip Proteção Stub</t>
    </r>
  </si>
  <si>
    <t>STUB</t>
  </si>
  <si>
    <r>
      <t>ZZZ:0YYY:21:TPPP</t>
    </r>
    <r>
      <rPr>
        <sz val="10"/>
        <color indexed="12"/>
        <rFont val="Arial"/>
        <family val="2"/>
      </rPr>
      <t>(TPPS)</t>
    </r>
    <r>
      <rPr>
        <sz val="10"/>
        <color indexed="14"/>
        <rFont val="Arial"/>
        <family val="2"/>
      </rPr>
      <t>(TPPD)</t>
    </r>
  </si>
  <si>
    <r>
      <t>PP</t>
    </r>
    <r>
      <rPr>
        <sz val="10"/>
        <color indexed="12"/>
        <rFont val="Arial"/>
        <family val="2"/>
      </rPr>
      <t>(PS)</t>
    </r>
    <r>
      <rPr>
        <sz val="10"/>
        <rFont val="Arial"/>
        <family val="2"/>
      </rPr>
      <t>- Trip Permissivo</t>
    </r>
  </si>
  <si>
    <t xml:space="preserve">TRIP </t>
  </si>
  <si>
    <r>
      <t>ZZZ:0YYY:21:PPSP</t>
    </r>
    <r>
      <rPr>
        <sz val="10"/>
        <color indexed="12"/>
        <rFont val="Arial"/>
        <family val="2"/>
      </rPr>
      <t>(PSSP)</t>
    </r>
    <r>
      <rPr>
        <sz val="10"/>
        <color indexed="14"/>
        <rFont val="Arial"/>
        <family val="2"/>
      </rPr>
      <t>(DSSP)</t>
    </r>
  </si>
  <si>
    <r>
      <t>PP</t>
    </r>
    <r>
      <rPr>
        <sz val="10"/>
        <color indexed="12"/>
        <rFont val="Arial"/>
        <family val="2"/>
      </rPr>
      <t>(PS)</t>
    </r>
    <r>
      <rPr>
        <sz val="10"/>
        <rFont val="Arial"/>
        <family val="2"/>
      </rPr>
      <t>-Trip SubAlcance Sequencia Positiva</t>
    </r>
  </si>
  <si>
    <r>
      <t>ZZZ:0YYY:21:PPSN</t>
    </r>
    <r>
      <rPr>
        <sz val="10"/>
        <color indexed="12"/>
        <rFont val="Arial"/>
        <family val="2"/>
      </rPr>
      <t>(PSSN)</t>
    </r>
    <r>
      <rPr>
        <sz val="10"/>
        <color indexed="14"/>
        <rFont val="Arial"/>
        <family val="2"/>
      </rPr>
      <t>(DSSN)</t>
    </r>
  </si>
  <si>
    <r>
      <t>PP</t>
    </r>
    <r>
      <rPr>
        <sz val="10"/>
        <color indexed="12"/>
        <rFont val="Arial"/>
        <family val="2"/>
      </rPr>
      <t>(PS)</t>
    </r>
    <r>
      <rPr>
        <sz val="10"/>
        <rFont val="Arial"/>
        <family val="2"/>
      </rPr>
      <t xml:space="preserve">-Trip SubAlcance Sequencia Negativa </t>
    </r>
  </si>
  <si>
    <r>
      <t>ZZZ:0YYY:21:PPSZ</t>
    </r>
    <r>
      <rPr>
        <sz val="10"/>
        <color indexed="12"/>
        <rFont val="Arial"/>
        <family val="2"/>
      </rPr>
      <t>(PSSZ)</t>
    </r>
    <r>
      <rPr>
        <sz val="10"/>
        <color indexed="14"/>
        <rFont val="Arial"/>
        <family val="2"/>
      </rPr>
      <t>(DSSZ)</t>
    </r>
  </si>
  <si>
    <r>
      <t>PP</t>
    </r>
    <r>
      <rPr>
        <sz val="10"/>
        <color indexed="12"/>
        <rFont val="Arial"/>
        <family val="2"/>
      </rPr>
      <t>(PS)</t>
    </r>
    <r>
      <rPr>
        <sz val="10"/>
        <rFont val="Arial"/>
        <family val="2"/>
      </rPr>
      <t xml:space="preserve">-Trip SubAlcance Sequencia Zero </t>
    </r>
  </si>
  <si>
    <r>
      <t>ZZZ:0YYY:**:PPFA</t>
    </r>
    <r>
      <rPr>
        <sz val="10"/>
        <color indexed="12"/>
        <rFont val="Arial"/>
        <family val="2"/>
      </rPr>
      <t>(PSFA)</t>
    </r>
    <r>
      <rPr>
        <sz val="10"/>
        <color indexed="14"/>
        <rFont val="Arial"/>
        <family val="2"/>
      </rPr>
      <t>(DTFA)</t>
    </r>
  </si>
  <si>
    <r>
      <t>PP</t>
    </r>
    <r>
      <rPr>
        <sz val="10"/>
        <color indexed="12"/>
        <rFont val="Arial"/>
        <family val="2"/>
      </rPr>
      <t>(PS)</t>
    </r>
    <r>
      <rPr>
        <sz val="10"/>
        <rFont val="Arial"/>
        <family val="2"/>
      </rPr>
      <t>-Trip Fase A</t>
    </r>
  </si>
  <si>
    <r>
      <t>ZZZ:0YYY:**:PPFB</t>
    </r>
    <r>
      <rPr>
        <sz val="10"/>
        <color indexed="12"/>
        <rFont val="Arial"/>
        <family val="2"/>
      </rPr>
      <t>(PSFB)</t>
    </r>
    <r>
      <rPr>
        <sz val="10"/>
        <color indexed="14"/>
        <rFont val="Arial"/>
        <family val="2"/>
      </rPr>
      <t>(DTFB)</t>
    </r>
  </si>
  <si>
    <r>
      <t>PP</t>
    </r>
    <r>
      <rPr>
        <sz val="10"/>
        <color indexed="12"/>
        <rFont val="Arial"/>
        <family val="2"/>
      </rPr>
      <t>(PS)</t>
    </r>
    <r>
      <rPr>
        <sz val="10"/>
        <rFont val="Arial"/>
        <family val="2"/>
      </rPr>
      <t>-Trip Fase B</t>
    </r>
  </si>
  <si>
    <r>
      <t>ZZZ:0YYY:**:PPFC</t>
    </r>
    <r>
      <rPr>
        <sz val="10"/>
        <color indexed="12"/>
        <rFont val="Arial"/>
        <family val="2"/>
      </rPr>
      <t>(PSFC)</t>
    </r>
    <r>
      <rPr>
        <sz val="10"/>
        <color indexed="14"/>
        <rFont val="Arial"/>
        <family val="2"/>
      </rPr>
      <t>(DTFC)</t>
    </r>
  </si>
  <si>
    <r>
      <t>PP</t>
    </r>
    <r>
      <rPr>
        <sz val="10"/>
        <color indexed="12"/>
        <rFont val="Arial"/>
        <family val="2"/>
      </rPr>
      <t>(PS)</t>
    </r>
    <r>
      <rPr>
        <sz val="10"/>
        <rFont val="Arial"/>
        <family val="2"/>
      </rPr>
      <t>-Trip Fase C</t>
    </r>
  </si>
  <si>
    <r>
      <t>ZZZ:0YYY:[F1/F2]:</t>
    </r>
    <r>
      <rPr>
        <sz val="10"/>
        <color indexed="14"/>
        <rFont val="Arial"/>
        <family val="2"/>
      </rPr>
      <t>DTFF</t>
    </r>
  </si>
  <si>
    <t xml:space="preserve">Trip Fases  </t>
  </si>
  <si>
    <r>
      <t>ZZZ:0YYY:21:PTPD</t>
    </r>
    <r>
      <rPr>
        <sz val="10"/>
        <color indexed="12"/>
        <rFont val="Arial"/>
        <family val="2"/>
      </rPr>
      <t>(STPD)</t>
    </r>
    <r>
      <rPr>
        <sz val="10"/>
        <color indexed="14"/>
        <rFont val="Arial"/>
        <family val="2"/>
      </rPr>
      <t>(TRPD)</t>
    </r>
    <r>
      <rPr>
        <sz val="10"/>
        <rFont val="Arial"/>
        <family val="2"/>
      </rPr>
      <t>, ZZZ:0YYY:00:ONS3</t>
    </r>
  </si>
  <si>
    <r>
      <t>ZZZ:0YYY:**:PPTF</t>
    </r>
    <r>
      <rPr>
        <sz val="10"/>
        <color indexed="12"/>
        <rFont val="Arial"/>
        <family val="2"/>
      </rPr>
      <t>(PSTF)</t>
    </r>
    <r>
      <rPr>
        <sz val="10"/>
        <color indexed="14"/>
        <rFont val="Arial"/>
        <family val="2"/>
      </rPr>
      <t>(DTFF)</t>
    </r>
  </si>
  <si>
    <t xml:space="preserve">PP(PS)-Trip Fases  </t>
  </si>
  <si>
    <r>
      <t>ZZZ:0YYY:**:TPPN</t>
    </r>
    <r>
      <rPr>
        <sz val="10"/>
        <color indexed="12"/>
        <rFont val="Arial"/>
        <family val="2"/>
      </rPr>
      <t>(TPSN)</t>
    </r>
    <r>
      <rPr>
        <sz val="10"/>
        <color indexed="14"/>
        <rFont val="Arial"/>
        <family val="2"/>
      </rPr>
      <t>(TPDN)</t>
    </r>
  </si>
  <si>
    <t xml:space="preserve">PP(PS)-Trip de Neutro  </t>
  </si>
  <si>
    <r>
      <t>ZZZ:0YYY:[F1/F2]:</t>
    </r>
    <r>
      <rPr>
        <sz val="10"/>
        <color indexed="14"/>
        <rFont val="Arial"/>
        <family val="2"/>
      </rPr>
      <t>PDTG</t>
    </r>
  </si>
  <si>
    <t>Trip Geral Relé</t>
  </si>
  <si>
    <r>
      <t>ZZZ:0YYY:**:PPTG</t>
    </r>
    <r>
      <rPr>
        <sz val="10"/>
        <color indexed="12"/>
        <rFont val="Arial"/>
        <family val="2"/>
      </rPr>
      <t>(PSTG)</t>
    </r>
    <r>
      <rPr>
        <sz val="10"/>
        <color indexed="14"/>
        <rFont val="Arial"/>
        <family val="2"/>
      </rPr>
      <t>(PDTG)</t>
    </r>
  </si>
  <si>
    <r>
      <t>PP</t>
    </r>
    <r>
      <rPr>
        <sz val="10"/>
        <color indexed="12"/>
        <rFont val="Arial"/>
        <family val="2"/>
      </rPr>
      <t>(PS)</t>
    </r>
    <r>
      <rPr>
        <sz val="10"/>
        <rFont val="Arial"/>
        <family val="2"/>
      </rPr>
      <t>-Trip Geral Relé</t>
    </r>
  </si>
  <si>
    <t>TRIP GERAL  RELÉ</t>
  </si>
  <si>
    <t>Trip geral do relé ou IED agrupando várias funções.</t>
  </si>
  <si>
    <r>
      <t>ZZZ:0YYY:**:PPTR</t>
    </r>
    <r>
      <rPr>
        <sz val="10"/>
        <color indexed="12"/>
        <rFont val="Arial"/>
        <family val="2"/>
      </rPr>
      <t>(PSTR)</t>
    </r>
    <r>
      <rPr>
        <sz val="10"/>
        <color indexed="14"/>
        <rFont val="Arial"/>
        <family val="2"/>
      </rPr>
      <t>(DTTR)</t>
    </r>
  </si>
  <si>
    <r>
      <t>PP</t>
    </r>
    <r>
      <rPr>
        <sz val="10"/>
        <color indexed="12"/>
        <rFont val="Arial"/>
        <family val="2"/>
      </rPr>
      <t>(PS)</t>
    </r>
    <r>
      <rPr>
        <sz val="10"/>
        <rFont val="Arial"/>
        <family val="2"/>
      </rPr>
      <t>-Trip Tripolar</t>
    </r>
  </si>
  <si>
    <t>TRIP</t>
  </si>
  <si>
    <r>
      <t>ZZZ:0YYY:21:PPHA</t>
    </r>
    <r>
      <rPr>
        <sz val="10"/>
        <color indexed="12"/>
        <rFont val="Arial"/>
        <family val="2"/>
      </rPr>
      <t>(PSHA)</t>
    </r>
    <r>
      <rPr>
        <sz val="10"/>
        <color indexed="14"/>
        <rFont val="Arial"/>
        <family val="2"/>
      </rPr>
      <t>(DTHA)</t>
    </r>
  </si>
  <si>
    <r>
      <t>PP</t>
    </r>
    <r>
      <rPr>
        <sz val="10"/>
        <color indexed="12"/>
        <rFont val="Arial"/>
        <family val="2"/>
      </rPr>
      <t>(PS)</t>
    </r>
    <r>
      <rPr>
        <sz val="10"/>
        <rFont val="Arial"/>
        <family val="2"/>
      </rPr>
      <t>-Trip por HS Fase A</t>
    </r>
  </si>
  <si>
    <r>
      <t>ZZZ:0YYY:21:PPHB</t>
    </r>
    <r>
      <rPr>
        <sz val="10"/>
        <color indexed="12"/>
        <rFont val="Arial"/>
        <family val="2"/>
      </rPr>
      <t>(PSHB)</t>
    </r>
    <r>
      <rPr>
        <sz val="10"/>
        <color indexed="14"/>
        <rFont val="Arial"/>
        <family val="2"/>
      </rPr>
      <t>(DTHB)</t>
    </r>
  </si>
  <si>
    <r>
      <t>PP</t>
    </r>
    <r>
      <rPr>
        <sz val="10"/>
        <color indexed="12"/>
        <rFont val="Arial"/>
        <family val="2"/>
      </rPr>
      <t>(PS)</t>
    </r>
    <r>
      <rPr>
        <sz val="10"/>
        <rFont val="Arial"/>
        <family val="2"/>
      </rPr>
      <t>-Trip por HS Fase B</t>
    </r>
  </si>
  <si>
    <r>
      <t>ZZZ:0YYY:21:PPHC</t>
    </r>
    <r>
      <rPr>
        <sz val="10"/>
        <color indexed="12"/>
        <rFont val="Arial"/>
        <family val="2"/>
      </rPr>
      <t>(PSHC)</t>
    </r>
    <r>
      <rPr>
        <sz val="10"/>
        <color indexed="14"/>
        <rFont val="Arial"/>
        <family val="2"/>
      </rPr>
      <t>(DTHC)</t>
    </r>
  </si>
  <si>
    <r>
      <t>PP</t>
    </r>
    <r>
      <rPr>
        <sz val="10"/>
        <color indexed="12"/>
        <rFont val="Arial"/>
        <family val="2"/>
      </rPr>
      <t>(PS)</t>
    </r>
    <r>
      <rPr>
        <sz val="10"/>
        <rFont val="Arial"/>
        <family val="2"/>
      </rPr>
      <t>-Trip por HS Fase C</t>
    </r>
  </si>
  <si>
    <r>
      <t>ZZZ:0YYY:78:PPTO</t>
    </r>
    <r>
      <rPr>
        <sz val="10"/>
        <color indexed="12"/>
        <rFont val="Arial"/>
        <family val="2"/>
      </rPr>
      <t>(PSTO)</t>
    </r>
    <r>
      <rPr>
        <sz val="10"/>
        <color indexed="14"/>
        <rFont val="Arial"/>
        <family val="2"/>
      </rPr>
      <t>(DTOP)</t>
    </r>
  </si>
  <si>
    <r>
      <t>PP</t>
    </r>
    <r>
      <rPr>
        <sz val="10"/>
        <color indexed="12"/>
        <rFont val="Arial"/>
        <family val="2"/>
      </rPr>
      <t>(PS)</t>
    </r>
    <r>
      <rPr>
        <sz val="10"/>
        <rFont val="Arial"/>
        <family val="2"/>
      </rPr>
      <t>-Trip Oscilação de Potência</t>
    </r>
  </si>
  <si>
    <r>
      <t>ZZZ:0YYY:21:PPLC</t>
    </r>
    <r>
      <rPr>
        <sz val="10"/>
        <color indexed="12"/>
        <rFont val="Arial"/>
        <family val="2"/>
      </rPr>
      <t>(PSLC)</t>
    </r>
    <r>
      <rPr>
        <sz val="10"/>
        <color indexed="14"/>
        <rFont val="Arial"/>
        <family val="2"/>
      </rPr>
      <t>(PDLC)</t>
    </r>
  </si>
  <si>
    <r>
      <t>PP</t>
    </r>
    <r>
      <rPr>
        <sz val="10"/>
        <color indexed="12"/>
        <rFont val="Arial"/>
        <family val="2"/>
      </rPr>
      <t>(PS)</t>
    </r>
    <r>
      <rPr>
        <sz val="10"/>
        <rFont val="Arial"/>
        <family val="2"/>
      </rPr>
      <t>-Trip Line Check</t>
    </r>
  </si>
  <si>
    <r>
      <t>PP</t>
    </r>
    <r>
      <rPr>
        <sz val="10"/>
        <color indexed="12"/>
        <rFont val="Arial"/>
        <family val="2"/>
      </rPr>
      <t>(PS)</t>
    </r>
    <r>
      <rPr>
        <sz val="10"/>
        <rFont val="Arial"/>
        <family val="2"/>
      </rPr>
      <t>-Trip Proteção Distância</t>
    </r>
  </si>
  <si>
    <t>AGRUPAMENTO DOS ÍTENS 35 A 59</t>
  </si>
  <si>
    <r>
      <t>ZZZ:0YYY:27WI:PPWI</t>
    </r>
    <r>
      <rPr>
        <sz val="10"/>
        <color indexed="12"/>
        <rFont val="Arial"/>
        <family val="2"/>
      </rPr>
      <t>(PSWI)</t>
    </r>
    <r>
      <rPr>
        <sz val="10"/>
        <color indexed="14"/>
        <rFont val="Arial"/>
        <family val="2"/>
      </rPr>
      <t>(PDWI)</t>
    </r>
  </si>
  <si>
    <r>
      <t>PP</t>
    </r>
    <r>
      <rPr>
        <sz val="10"/>
        <color indexed="12"/>
        <rFont val="Arial"/>
        <family val="2"/>
      </rPr>
      <t>(PS)</t>
    </r>
    <r>
      <rPr>
        <sz val="10"/>
        <rFont val="Arial"/>
        <family val="2"/>
      </rPr>
      <t>-Atuação Weak Infeed</t>
    </r>
  </si>
  <si>
    <r>
      <t>ZZZ:0YYY:21:PPZI</t>
    </r>
    <r>
      <rPr>
        <sz val="10"/>
        <color indexed="12"/>
        <rFont val="Arial"/>
        <family val="2"/>
      </rPr>
      <t>(PSZI)</t>
    </r>
    <r>
      <rPr>
        <sz val="10"/>
        <color indexed="14"/>
        <rFont val="Arial"/>
        <family val="2"/>
      </rPr>
      <t>(PDPZ)</t>
    </r>
  </si>
  <si>
    <r>
      <t>PP</t>
    </r>
    <r>
      <rPr>
        <sz val="10"/>
        <color indexed="12"/>
        <rFont val="Arial"/>
        <family val="2"/>
      </rPr>
      <t>(PS)</t>
    </r>
    <r>
      <rPr>
        <sz val="10"/>
        <rFont val="Arial"/>
        <family val="2"/>
      </rPr>
      <t>-Atuação Tempo Zona 1</t>
    </r>
  </si>
  <si>
    <r>
      <t>ZZZ:0YYY:21:PPZS</t>
    </r>
    <r>
      <rPr>
        <sz val="10"/>
        <color indexed="12"/>
        <rFont val="Arial"/>
        <family val="2"/>
      </rPr>
      <t>(PSZS)</t>
    </r>
    <r>
      <rPr>
        <sz val="10"/>
        <color indexed="14"/>
        <rFont val="Arial"/>
        <family val="2"/>
      </rPr>
      <t>(PDSZ)</t>
    </r>
  </si>
  <si>
    <r>
      <t>PP</t>
    </r>
    <r>
      <rPr>
        <sz val="10"/>
        <color indexed="12"/>
        <rFont val="Arial"/>
        <family val="2"/>
      </rPr>
      <t>(PS)</t>
    </r>
    <r>
      <rPr>
        <sz val="10"/>
        <rFont val="Arial"/>
        <family val="2"/>
      </rPr>
      <t>-Atuação Tempo Zona 2</t>
    </r>
  </si>
  <si>
    <r>
      <t>ZZZ:0YYY:21:PPZT</t>
    </r>
    <r>
      <rPr>
        <sz val="10"/>
        <color indexed="12"/>
        <rFont val="Arial"/>
        <family val="2"/>
      </rPr>
      <t>(PSZT)</t>
    </r>
    <r>
      <rPr>
        <sz val="10"/>
        <color indexed="14"/>
        <rFont val="Arial"/>
        <family val="2"/>
      </rPr>
      <t>(PDTZ)</t>
    </r>
  </si>
  <si>
    <r>
      <t>PP</t>
    </r>
    <r>
      <rPr>
        <sz val="10"/>
        <color indexed="12"/>
        <rFont val="Arial"/>
        <family val="2"/>
      </rPr>
      <t>(PS)</t>
    </r>
    <r>
      <rPr>
        <sz val="10"/>
        <rFont val="Arial"/>
        <family val="2"/>
      </rPr>
      <t>-Atuação Tempo Zona 3</t>
    </r>
  </si>
  <si>
    <r>
      <t>ZZZ:0YYY:21:PPZQ</t>
    </r>
    <r>
      <rPr>
        <sz val="10"/>
        <color indexed="12"/>
        <rFont val="Arial"/>
        <family val="2"/>
      </rPr>
      <t>(PSZQ)</t>
    </r>
    <r>
      <rPr>
        <sz val="10"/>
        <color indexed="14"/>
        <rFont val="Arial"/>
        <family val="2"/>
      </rPr>
      <t>(PDQZ)</t>
    </r>
  </si>
  <si>
    <r>
      <t>PP</t>
    </r>
    <r>
      <rPr>
        <sz val="10"/>
        <color indexed="12"/>
        <rFont val="Arial"/>
        <family val="2"/>
      </rPr>
      <t>(PS)</t>
    </r>
    <r>
      <rPr>
        <sz val="10"/>
        <rFont val="Arial"/>
        <family val="2"/>
      </rPr>
      <t>-Atuação Tempo Zona 4</t>
    </r>
  </si>
  <si>
    <r>
      <t>ZZZ:0YYY:21:PPZC</t>
    </r>
    <r>
      <rPr>
        <sz val="10"/>
        <color indexed="12"/>
        <rFont val="Arial"/>
        <family val="2"/>
      </rPr>
      <t>(PSZC)</t>
    </r>
    <r>
      <rPr>
        <sz val="10"/>
        <color indexed="14"/>
        <rFont val="Arial"/>
        <family val="2"/>
      </rPr>
      <t>(PDCZ)</t>
    </r>
  </si>
  <si>
    <r>
      <t>PP</t>
    </r>
    <r>
      <rPr>
        <sz val="10"/>
        <color indexed="12"/>
        <rFont val="Arial"/>
        <family val="2"/>
      </rPr>
      <t>(PS)</t>
    </r>
    <r>
      <rPr>
        <sz val="10"/>
        <rFont val="Arial"/>
        <family val="2"/>
      </rPr>
      <t>-Atuação Tempo Zona 5</t>
    </r>
  </si>
  <si>
    <r>
      <t>ZZZ:0YYY:[F1/F2]:</t>
    </r>
    <r>
      <rPr>
        <sz val="10"/>
        <color indexed="14"/>
        <rFont val="Arial"/>
        <family val="2"/>
      </rPr>
      <t>PDIT</t>
    </r>
  </si>
  <si>
    <t>Trip Zona 1 Terra (21)</t>
  </si>
  <si>
    <r>
      <t>ZZZ:0YYY:21:PIZT</t>
    </r>
    <r>
      <rPr>
        <sz val="10"/>
        <color indexed="12"/>
        <rFont val="Arial"/>
        <family val="2"/>
      </rPr>
      <t>(PZIT)</t>
    </r>
    <r>
      <rPr>
        <sz val="10"/>
        <color indexed="14"/>
        <rFont val="Arial"/>
        <family val="2"/>
      </rPr>
      <t>(PDIT)</t>
    </r>
  </si>
  <si>
    <r>
      <t>PP</t>
    </r>
    <r>
      <rPr>
        <sz val="10"/>
        <color indexed="12"/>
        <rFont val="Arial"/>
        <family val="2"/>
      </rPr>
      <t>(PS)</t>
    </r>
    <r>
      <rPr>
        <sz val="10"/>
        <rFont val="Arial"/>
        <family val="2"/>
      </rPr>
      <t>-Atuação Tempo Zona 1 Terra</t>
    </r>
  </si>
  <si>
    <r>
      <t>ZZZ:0YYY:[F1/F2]:</t>
    </r>
    <r>
      <rPr>
        <sz val="10"/>
        <color indexed="14"/>
        <rFont val="Arial"/>
        <family val="2"/>
      </rPr>
      <t>PDTD</t>
    </r>
  </si>
  <si>
    <t>Trip Zona 2 Terra (21)</t>
  </si>
  <si>
    <r>
      <t>ZZZ:0YYY:21:PDZT</t>
    </r>
    <r>
      <rPr>
        <sz val="10"/>
        <color indexed="12"/>
        <rFont val="Arial"/>
        <family val="2"/>
      </rPr>
      <t>(PZDT)</t>
    </r>
    <r>
      <rPr>
        <sz val="10"/>
        <color indexed="14"/>
        <rFont val="Arial"/>
        <family val="2"/>
      </rPr>
      <t>(PDTD)</t>
    </r>
  </si>
  <si>
    <r>
      <t>PP</t>
    </r>
    <r>
      <rPr>
        <sz val="10"/>
        <color indexed="12"/>
        <rFont val="Arial"/>
        <family val="2"/>
      </rPr>
      <t>(PS)</t>
    </r>
    <r>
      <rPr>
        <sz val="10"/>
        <rFont val="Arial"/>
        <family val="2"/>
      </rPr>
      <t>-Atuação Tempo Zona 2 Terra</t>
    </r>
  </si>
  <si>
    <r>
      <t>ZZZ:0YYY:[F1/F2]:</t>
    </r>
    <r>
      <rPr>
        <sz val="10"/>
        <color indexed="14"/>
        <rFont val="Arial"/>
        <family val="2"/>
      </rPr>
      <t>PDTT</t>
    </r>
  </si>
  <si>
    <t>Trip Zona 3 Terra (21)</t>
  </si>
  <si>
    <r>
      <t>ZZZ:0YYY:21:PTZT</t>
    </r>
    <r>
      <rPr>
        <sz val="10"/>
        <color indexed="12"/>
        <rFont val="Arial"/>
        <family val="2"/>
      </rPr>
      <t>(PZTT)</t>
    </r>
    <r>
      <rPr>
        <sz val="10"/>
        <color indexed="14"/>
        <rFont val="Arial"/>
        <family val="2"/>
      </rPr>
      <t>(PDTT)</t>
    </r>
  </si>
  <si>
    <r>
      <t>PP</t>
    </r>
    <r>
      <rPr>
        <sz val="10"/>
        <color indexed="12"/>
        <rFont val="Arial"/>
        <family val="2"/>
      </rPr>
      <t>(PS)</t>
    </r>
    <r>
      <rPr>
        <sz val="10"/>
        <rFont val="Arial"/>
        <family val="2"/>
      </rPr>
      <t>-Atuação Tempo Zona 3 Terra</t>
    </r>
  </si>
  <si>
    <r>
      <t>ZZZ:0YYY:[F1/F2]:</t>
    </r>
    <r>
      <rPr>
        <sz val="10"/>
        <color indexed="14"/>
        <rFont val="Arial"/>
        <family val="2"/>
      </rPr>
      <t>PDQT</t>
    </r>
  </si>
  <si>
    <t>Trip Zona 4 Terra (21)</t>
  </si>
  <si>
    <r>
      <t>ZZZ:0YYY:21:PQZT</t>
    </r>
    <r>
      <rPr>
        <sz val="10"/>
        <color indexed="12"/>
        <rFont val="Arial"/>
        <family val="2"/>
      </rPr>
      <t>(PZQT)</t>
    </r>
    <r>
      <rPr>
        <sz val="10"/>
        <color indexed="14"/>
        <rFont val="Arial"/>
        <family val="2"/>
      </rPr>
      <t>(PDQT)</t>
    </r>
  </si>
  <si>
    <r>
      <t>PP</t>
    </r>
    <r>
      <rPr>
        <sz val="10"/>
        <color indexed="12"/>
        <rFont val="Arial"/>
        <family val="2"/>
      </rPr>
      <t>(PS)</t>
    </r>
    <r>
      <rPr>
        <sz val="10"/>
        <rFont val="Arial"/>
        <family val="2"/>
      </rPr>
      <t>-Atuação Tempo Zona 4 Terra</t>
    </r>
  </si>
  <si>
    <r>
      <t>ZZZ:0YYY:[F1/F2]:</t>
    </r>
    <r>
      <rPr>
        <sz val="10"/>
        <color indexed="14"/>
        <rFont val="Arial"/>
        <family val="2"/>
      </rPr>
      <t>PDCT</t>
    </r>
  </si>
  <si>
    <t>Trip Zona 5 Terra (21)</t>
  </si>
  <si>
    <r>
      <t>ZZZ:0YYY:21:PPCT</t>
    </r>
    <r>
      <rPr>
        <sz val="10"/>
        <color indexed="12"/>
        <rFont val="Arial"/>
        <family val="2"/>
      </rPr>
      <t>(PSCT)</t>
    </r>
    <r>
      <rPr>
        <sz val="10"/>
        <color indexed="14"/>
        <rFont val="Arial"/>
        <family val="2"/>
      </rPr>
      <t>(PDCT)</t>
    </r>
  </si>
  <si>
    <t>PP(PS)-Atuação Tempo Zona 5 Terra</t>
  </si>
  <si>
    <r>
      <t>ZZZ:0YYY:79:PPOR</t>
    </r>
    <r>
      <rPr>
        <sz val="10"/>
        <color indexed="12"/>
        <rFont val="Arial"/>
        <family val="2"/>
      </rPr>
      <t>(PSOR)</t>
    </r>
    <r>
      <rPr>
        <sz val="10"/>
        <color indexed="14"/>
        <rFont val="Arial"/>
        <family val="2"/>
      </rPr>
      <t>(ODRA)</t>
    </r>
  </si>
  <si>
    <r>
      <t>PP</t>
    </r>
    <r>
      <rPr>
        <sz val="10"/>
        <color indexed="12"/>
        <rFont val="Arial"/>
        <family val="2"/>
      </rPr>
      <t>(PS)</t>
    </r>
    <r>
      <rPr>
        <sz val="10"/>
        <rFont val="Arial"/>
        <family val="2"/>
      </rPr>
      <t>-Ordem de Religamento Automático</t>
    </r>
  </si>
  <si>
    <r>
      <t>ZZZ:0YYY:79:PPRL</t>
    </r>
    <r>
      <rPr>
        <sz val="10"/>
        <color indexed="12"/>
        <rFont val="Arial"/>
        <family val="2"/>
      </rPr>
      <t>(PSRL)</t>
    </r>
    <r>
      <rPr>
        <sz val="10"/>
        <color indexed="14"/>
        <rFont val="Arial"/>
        <family val="2"/>
      </rPr>
      <t>(ORDL)</t>
    </r>
  </si>
  <si>
    <r>
      <t>PP</t>
    </r>
    <r>
      <rPr>
        <sz val="10"/>
        <color indexed="12"/>
        <rFont val="Arial"/>
        <family val="2"/>
      </rPr>
      <t>(PS)</t>
    </r>
    <r>
      <rPr>
        <sz val="10"/>
        <rFont val="Arial"/>
        <family val="2"/>
      </rPr>
      <t>-Ordem Religamento Automático Disj Linha</t>
    </r>
  </si>
  <si>
    <r>
      <t>ZZZ:0YYY:79:PPRC</t>
    </r>
    <r>
      <rPr>
        <sz val="10"/>
        <color indexed="12"/>
        <rFont val="Arial"/>
        <family val="2"/>
      </rPr>
      <t>(PSRC)</t>
    </r>
    <r>
      <rPr>
        <sz val="10"/>
        <color indexed="14"/>
        <rFont val="Arial"/>
        <family val="2"/>
      </rPr>
      <t>(ORDC)</t>
    </r>
  </si>
  <si>
    <r>
      <t>PP</t>
    </r>
    <r>
      <rPr>
        <sz val="10"/>
        <color indexed="12"/>
        <rFont val="Arial"/>
        <family val="2"/>
      </rPr>
      <t>(PS)</t>
    </r>
    <r>
      <rPr>
        <sz val="10"/>
        <rFont val="Arial"/>
        <family val="2"/>
      </rPr>
      <t>-Ordem Religamento Automático Disj Centr</t>
    </r>
  </si>
  <si>
    <r>
      <t>ZZZ:0YYY:79:PPRA</t>
    </r>
    <r>
      <rPr>
        <sz val="10"/>
        <color indexed="12"/>
        <rFont val="Arial"/>
        <family val="2"/>
      </rPr>
      <t>(PSRA)</t>
    </r>
    <r>
      <rPr>
        <sz val="10"/>
        <color indexed="14"/>
        <rFont val="Arial"/>
        <family val="2"/>
      </rPr>
      <t>(PDRA)</t>
    </r>
  </si>
  <si>
    <r>
      <t>PP</t>
    </r>
    <r>
      <rPr>
        <sz val="10"/>
        <color indexed="12"/>
        <rFont val="Arial"/>
        <family val="2"/>
      </rPr>
      <t>(PS)</t>
    </r>
    <r>
      <rPr>
        <sz val="10"/>
        <rFont val="Arial"/>
        <family val="2"/>
      </rPr>
      <t>-Partida Religamento Automatico</t>
    </r>
  </si>
  <si>
    <r>
      <t>ZZZ:0YYY:79:PPBR</t>
    </r>
    <r>
      <rPr>
        <sz val="10"/>
        <color indexed="12"/>
        <rFont val="Arial"/>
        <family val="2"/>
      </rPr>
      <t>(PSBR)</t>
    </r>
    <r>
      <rPr>
        <sz val="10"/>
        <color indexed="14"/>
        <rFont val="Arial"/>
        <family val="2"/>
      </rPr>
      <t>(RBLQ)</t>
    </r>
  </si>
  <si>
    <r>
      <t>PP</t>
    </r>
    <r>
      <rPr>
        <sz val="10"/>
        <color indexed="12"/>
        <rFont val="Arial"/>
        <family val="2"/>
      </rPr>
      <t>(PS)</t>
    </r>
    <r>
      <rPr>
        <sz val="10"/>
        <rFont val="Arial"/>
        <family val="2"/>
      </rPr>
      <t xml:space="preserve">-Religamento Bloqueado </t>
    </r>
  </si>
  <si>
    <r>
      <t>ZZZ:0YYY:79:PPRE</t>
    </r>
    <r>
      <rPr>
        <sz val="10"/>
        <color indexed="12"/>
        <rFont val="Arial"/>
        <family val="2"/>
      </rPr>
      <t>(PSRE)</t>
    </r>
    <r>
      <rPr>
        <sz val="10"/>
        <color indexed="14"/>
        <rFont val="Arial"/>
        <family val="2"/>
      </rPr>
      <t>(REFT)</t>
    </r>
  </si>
  <si>
    <r>
      <t>PP</t>
    </r>
    <r>
      <rPr>
        <sz val="10"/>
        <color indexed="12"/>
        <rFont val="Arial"/>
        <family val="2"/>
      </rPr>
      <t>(PS)</t>
    </r>
    <r>
      <rPr>
        <sz val="10"/>
        <rFont val="Arial"/>
        <family val="2"/>
      </rPr>
      <t xml:space="preserve">-Religamento Efetuado </t>
    </r>
  </si>
  <si>
    <t>Não deve ser confundido com ordem de religamento.</t>
  </si>
  <si>
    <r>
      <t>ZZZ:0YYY:79:PDRL</t>
    </r>
    <r>
      <rPr>
        <sz val="10"/>
        <color indexed="12"/>
        <rFont val="Arial"/>
        <family val="2"/>
      </rPr>
      <t>(SDRL)</t>
    </r>
    <r>
      <rPr>
        <sz val="10"/>
        <color indexed="14"/>
        <rFont val="Arial"/>
        <family val="2"/>
      </rPr>
      <t>(RDRL)</t>
    </r>
  </si>
  <si>
    <r>
      <t>PP</t>
    </r>
    <r>
      <rPr>
        <sz val="10"/>
        <color indexed="12"/>
        <rFont val="Arial"/>
        <family val="2"/>
      </rPr>
      <t>(PS)</t>
    </r>
    <r>
      <rPr>
        <sz val="10"/>
        <rFont val="Arial"/>
        <family val="2"/>
      </rPr>
      <t>-Religamento Efetuado Disjuntor de Linha</t>
    </r>
  </si>
  <si>
    <r>
      <t>ZZZ:0YYY:79:PDRC</t>
    </r>
    <r>
      <rPr>
        <sz val="10"/>
        <color indexed="12"/>
        <rFont val="Arial"/>
        <family val="2"/>
      </rPr>
      <t>(SDRC)</t>
    </r>
    <r>
      <rPr>
        <sz val="10"/>
        <color indexed="14"/>
        <rFont val="Arial"/>
        <family val="2"/>
      </rPr>
      <t>(RDRC)</t>
    </r>
  </si>
  <si>
    <r>
      <t>PP</t>
    </r>
    <r>
      <rPr>
        <sz val="10"/>
        <color indexed="12"/>
        <rFont val="Arial"/>
        <family val="2"/>
      </rPr>
      <t>(PS)</t>
    </r>
    <r>
      <rPr>
        <sz val="10"/>
        <rFont val="Arial"/>
        <family val="2"/>
      </rPr>
      <t>-Religamento Efetuado Disjuntor Central</t>
    </r>
  </si>
  <si>
    <r>
      <t>ZZZ:0YYY:79:PELC</t>
    </r>
    <r>
      <rPr>
        <sz val="10"/>
        <color indexed="12"/>
        <rFont val="Arial"/>
        <family val="2"/>
      </rPr>
      <t>(SELC)</t>
    </r>
    <r>
      <rPr>
        <sz val="10"/>
        <color indexed="14"/>
        <rFont val="Arial"/>
        <family val="2"/>
      </rPr>
      <t>(RDLC)</t>
    </r>
  </si>
  <si>
    <r>
      <t>PP</t>
    </r>
    <r>
      <rPr>
        <sz val="10"/>
        <color indexed="12"/>
        <rFont val="Arial"/>
        <family val="2"/>
      </rPr>
      <t>(PS)</t>
    </r>
    <r>
      <rPr>
        <sz val="10"/>
        <rFont val="Arial"/>
        <family val="2"/>
      </rPr>
      <t>-Religamento Efetuado Disjuntor LT/Centr</t>
    </r>
  </si>
  <si>
    <r>
      <t>ZZZ:0YYY:79:PPDL</t>
    </r>
    <r>
      <rPr>
        <sz val="10"/>
        <color indexed="12"/>
        <rFont val="Arial"/>
        <family val="2"/>
      </rPr>
      <t>(PSDL)</t>
    </r>
    <r>
      <rPr>
        <sz val="10"/>
        <color indexed="14"/>
        <rFont val="Arial"/>
        <family val="2"/>
      </rPr>
      <t>(REDL)</t>
    </r>
  </si>
  <si>
    <r>
      <t>PP</t>
    </r>
    <r>
      <rPr>
        <sz val="10"/>
        <color indexed="12"/>
        <rFont val="Arial"/>
        <family val="2"/>
      </rPr>
      <t>(PS)</t>
    </r>
    <r>
      <rPr>
        <sz val="10"/>
        <rFont val="Arial"/>
        <family val="2"/>
      </rPr>
      <t>-Seleção Religamento Disjuntor de Linha</t>
    </r>
  </si>
  <si>
    <r>
      <t>ZZZ:0YYY:79:PPDC</t>
    </r>
    <r>
      <rPr>
        <sz val="10"/>
        <color indexed="12"/>
        <rFont val="Arial"/>
        <family val="2"/>
      </rPr>
      <t>(PSDC)</t>
    </r>
    <r>
      <rPr>
        <sz val="10"/>
        <color indexed="14"/>
        <rFont val="Arial"/>
        <family val="2"/>
      </rPr>
      <t>(REDC)</t>
    </r>
  </si>
  <si>
    <r>
      <t>PP</t>
    </r>
    <r>
      <rPr>
        <sz val="10"/>
        <color indexed="12"/>
        <rFont val="Arial"/>
        <family val="2"/>
      </rPr>
      <t>(PS)</t>
    </r>
    <r>
      <rPr>
        <sz val="10"/>
        <rFont val="Arial"/>
        <family val="2"/>
      </rPr>
      <t>-Seleção Religamento Disjuntor Central</t>
    </r>
  </si>
  <si>
    <r>
      <t>ZZZ:0YYY:79:PRLC</t>
    </r>
    <r>
      <rPr>
        <sz val="10"/>
        <color indexed="12"/>
        <rFont val="Arial"/>
        <family val="2"/>
      </rPr>
      <t>(SRLC)</t>
    </r>
    <r>
      <rPr>
        <sz val="10"/>
        <color indexed="14"/>
        <rFont val="Arial"/>
        <family val="2"/>
      </rPr>
      <t>(RELC)</t>
    </r>
  </si>
  <si>
    <r>
      <t>PP</t>
    </r>
    <r>
      <rPr>
        <sz val="10"/>
        <color indexed="12"/>
        <rFont val="Arial"/>
        <family val="2"/>
      </rPr>
      <t>(PS)</t>
    </r>
    <r>
      <rPr>
        <sz val="10"/>
        <rFont val="Arial"/>
        <family val="2"/>
      </rPr>
      <t>-Seleção Relig. Disjuntor LT e Central</t>
    </r>
  </si>
  <si>
    <r>
      <t>ZZZ:0YYY:79:PRCL</t>
    </r>
    <r>
      <rPr>
        <sz val="10"/>
        <color indexed="12"/>
        <rFont val="Arial"/>
        <family val="2"/>
      </rPr>
      <t>(SRCL)</t>
    </r>
    <r>
      <rPr>
        <sz val="10"/>
        <color indexed="14"/>
        <rFont val="Arial"/>
        <family val="2"/>
      </rPr>
      <t>(RECL)</t>
    </r>
  </si>
  <si>
    <r>
      <rPr>
        <sz val="10"/>
        <color indexed="12"/>
        <rFont val="Arial"/>
        <family val="2"/>
      </rPr>
      <t>PP(PS)</t>
    </r>
    <r>
      <rPr>
        <sz val="10"/>
        <rFont val="Arial"/>
        <family val="2"/>
      </rPr>
      <t>-Seleção Relig. Disjuntor Central e LT</t>
    </r>
  </si>
  <si>
    <r>
      <t>ZZZ:0YYY:79:PPRM</t>
    </r>
    <r>
      <rPr>
        <sz val="10"/>
        <color indexed="12"/>
        <rFont val="Arial"/>
        <family val="2"/>
      </rPr>
      <t>(PSRM)</t>
    </r>
    <r>
      <rPr>
        <sz val="10"/>
        <color indexed="14"/>
        <rFont val="Arial"/>
        <family val="2"/>
      </rPr>
      <t>(SREM)</t>
    </r>
  </si>
  <si>
    <r>
      <t>PP</t>
    </r>
    <r>
      <rPr>
        <sz val="10"/>
        <color indexed="12"/>
        <rFont val="Arial"/>
        <family val="2"/>
      </rPr>
      <t>(PS)</t>
    </r>
    <r>
      <rPr>
        <sz val="10"/>
        <rFont val="Arial"/>
        <family val="2"/>
      </rPr>
      <t>-Seleção Religamento Monopolar</t>
    </r>
  </si>
  <si>
    <r>
      <t>ZZZ:0YYY:79:RTPP</t>
    </r>
    <r>
      <rPr>
        <sz val="10"/>
        <color indexed="12"/>
        <rFont val="Arial"/>
        <family val="2"/>
      </rPr>
      <t>(RTPS)</t>
    </r>
    <r>
      <rPr>
        <sz val="10"/>
        <color indexed="14"/>
        <rFont val="Arial"/>
        <family val="2"/>
      </rPr>
      <t>(SRET)</t>
    </r>
  </si>
  <si>
    <r>
      <t>PP</t>
    </r>
    <r>
      <rPr>
        <sz val="10"/>
        <color indexed="12"/>
        <rFont val="Arial"/>
        <family val="2"/>
      </rPr>
      <t>(PS)</t>
    </r>
    <r>
      <rPr>
        <sz val="10"/>
        <rFont val="Arial"/>
        <family val="2"/>
      </rPr>
      <t>-Seleção Religamento Tripolar</t>
    </r>
  </si>
  <si>
    <r>
      <t>ZZZ:0YYY:[F1/F2/UC1]:</t>
    </r>
    <r>
      <rPr>
        <sz val="10"/>
        <color indexed="14"/>
        <rFont val="Arial"/>
        <family val="2"/>
      </rPr>
      <t>SRMT</t>
    </r>
  </si>
  <si>
    <t>Seleção Religamento Mono/Tripolar</t>
  </si>
  <si>
    <r>
      <t>ZZZ:0YYY:79:PPMT</t>
    </r>
    <r>
      <rPr>
        <sz val="10"/>
        <color indexed="12"/>
        <rFont val="Arial"/>
        <family val="2"/>
      </rPr>
      <t>(PSMT)</t>
    </r>
    <r>
      <rPr>
        <sz val="10"/>
        <color indexed="14"/>
        <rFont val="Arial"/>
        <family val="2"/>
      </rPr>
      <t>(SRMT)</t>
    </r>
  </si>
  <si>
    <r>
      <t>PP</t>
    </r>
    <r>
      <rPr>
        <sz val="10"/>
        <color indexed="12"/>
        <rFont val="Arial"/>
        <family val="2"/>
      </rPr>
      <t>(PS)</t>
    </r>
    <r>
      <rPr>
        <sz val="10"/>
        <rFont val="Arial"/>
        <family val="2"/>
      </rPr>
      <t>-Seleção Religamento Mono/Tripolar</t>
    </r>
  </si>
  <si>
    <r>
      <t>ZZZ:0YYY:79:RDPP</t>
    </r>
    <r>
      <rPr>
        <sz val="10"/>
        <color indexed="12"/>
        <rFont val="Arial"/>
        <family val="2"/>
      </rPr>
      <t>(RDPS)</t>
    </r>
    <r>
      <rPr>
        <sz val="10"/>
        <color indexed="14"/>
        <rFont val="Arial"/>
        <family val="2"/>
      </rPr>
      <t>(RDES)</t>
    </r>
  </si>
  <si>
    <r>
      <t>PP</t>
    </r>
    <r>
      <rPr>
        <sz val="10"/>
        <color indexed="12"/>
        <rFont val="Arial"/>
        <family val="2"/>
      </rPr>
      <t>(PS)</t>
    </r>
    <r>
      <rPr>
        <sz val="10"/>
        <rFont val="Arial"/>
        <family val="2"/>
      </rPr>
      <t xml:space="preserve">-Religamento Desativado </t>
    </r>
  </si>
  <si>
    <t>Só nos casos onde existe apenas o comando para desativar religamento.</t>
  </si>
  <si>
    <r>
      <t>ZZZ:0YYY:[F1/F2]:</t>
    </r>
    <r>
      <rPr>
        <sz val="10"/>
        <color indexed="14"/>
        <rFont val="Arial"/>
        <family val="2"/>
      </rPr>
      <t>SIAT</t>
    </r>
  </si>
  <si>
    <t>Sincronismo Ativo (25)</t>
  </si>
  <si>
    <r>
      <t>ZZZ:0YYY:25:SIAP</t>
    </r>
    <r>
      <rPr>
        <sz val="10"/>
        <color indexed="12"/>
        <rFont val="Arial"/>
        <family val="2"/>
      </rPr>
      <t>(SIAS)</t>
    </r>
    <r>
      <rPr>
        <sz val="10"/>
        <color indexed="14"/>
        <rFont val="Arial"/>
        <family val="2"/>
      </rPr>
      <t>(SIAT)</t>
    </r>
  </si>
  <si>
    <r>
      <t>PP</t>
    </r>
    <r>
      <rPr>
        <sz val="10"/>
        <color indexed="12"/>
        <rFont val="Arial"/>
        <family val="2"/>
      </rPr>
      <t>(PS)</t>
    </r>
    <r>
      <rPr>
        <sz val="10"/>
        <rFont val="Arial"/>
        <family val="2"/>
      </rPr>
      <t>-Sincronismo Ativo</t>
    </r>
  </si>
  <si>
    <r>
      <t>ZZZ:0YYY:[F1/F2]:</t>
    </r>
    <r>
      <rPr>
        <sz val="10"/>
        <color indexed="14"/>
        <rFont val="Arial"/>
        <family val="2"/>
      </rPr>
      <t>SIBT</t>
    </r>
  </si>
  <si>
    <t>Sincronismo Bloqueado (25)</t>
  </si>
  <si>
    <r>
      <t>ZZZ:0YYY:25:SIBP</t>
    </r>
    <r>
      <rPr>
        <sz val="10"/>
        <color indexed="12"/>
        <rFont val="Arial"/>
        <family val="2"/>
      </rPr>
      <t>(SIBS)</t>
    </r>
    <r>
      <rPr>
        <sz val="10"/>
        <color indexed="14"/>
        <rFont val="Arial"/>
        <family val="2"/>
      </rPr>
      <t>(SIBT)</t>
    </r>
  </si>
  <si>
    <r>
      <t>PP</t>
    </r>
    <r>
      <rPr>
        <sz val="10"/>
        <color indexed="12"/>
        <rFont val="Arial"/>
        <family val="2"/>
      </rPr>
      <t>(PS)</t>
    </r>
    <r>
      <rPr>
        <sz val="10"/>
        <rFont val="Arial"/>
        <family val="2"/>
      </rPr>
      <t>-Sincronismo Bloqueado</t>
    </r>
  </si>
  <si>
    <r>
      <t>ZZZ:0YYY:85:PPTP</t>
    </r>
    <r>
      <rPr>
        <sz val="10"/>
        <color indexed="12"/>
        <rFont val="Arial"/>
        <family val="2"/>
      </rPr>
      <t>(PSTP)</t>
    </r>
    <r>
      <rPr>
        <sz val="10"/>
        <color indexed="14"/>
        <rFont val="Arial"/>
        <family val="2"/>
      </rPr>
      <t>(TRTP)</t>
    </r>
  </si>
  <si>
    <r>
      <t>PP</t>
    </r>
    <r>
      <rPr>
        <sz val="10"/>
        <color indexed="12"/>
        <rFont val="Arial"/>
        <family val="2"/>
      </rPr>
      <t>(PS)</t>
    </r>
    <r>
      <rPr>
        <sz val="10"/>
        <rFont val="Arial"/>
        <family val="2"/>
      </rPr>
      <t>-Transmissão Permissivo</t>
    </r>
  </si>
  <si>
    <t>TELEPROTEÇÃO</t>
  </si>
  <si>
    <r>
      <t>ZZZ:0YYY:85:PTTR</t>
    </r>
    <r>
      <rPr>
        <sz val="10"/>
        <color indexed="12"/>
        <rFont val="Arial"/>
        <family val="2"/>
      </rPr>
      <t>(STTR)</t>
    </r>
    <r>
      <rPr>
        <sz val="10"/>
        <color indexed="14"/>
        <rFont val="Arial"/>
        <family val="2"/>
      </rPr>
      <t>(TTRA)</t>
    </r>
    <r>
      <rPr>
        <sz val="10"/>
        <rFont val="Arial"/>
        <family val="2"/>
      </rPr>
      <t>, ZZZ:0YYY:00:ONS3</t>
    </r>
  </si>
  <si>
    <r>
      <t>ZZZ:0YYY:85:PTTU</t>
    </r>
    <r>
      <rPr>
        <sz val="10"/>
        <color indexed="12"/>
        <rFont val="Arial"/>
        <family val="2"/>
      </rPr>
      <t>(TSUB)</t>
    </r>
    <r>
      <rPr>
        <sz val="10"/>
        <color indexed="14"/>
        <rFont val="Arial"/>
        <family val="2"/>
      </rPr>
      <t>(TTSU)</t>
    </r>
  </si>
  <si>
    <r>
      <t>PP</t>
    </r>
    <r>
      <rPr>
        <sz val="10"/>
        <color indexed="12"/>
        <rFont val="Arial"/>
        <family val="2"/>
      </rPr>
      <t>(PS)</t>
    </r>
    <r>
      <rPr>
        <sz val="10"/>
        <rFont val="Arial"/>
        <family val="2"/>
      </rPr>
      <t xml:space="preserve">-Transmissão SubAlcance </t>
    </r>
  </si>
  <si>
    <r>
      <t>ZZZ:0YYY:85:PTC1</t>
    </r>
    <r>
      <rPr>
        <sz val="10"/>
        <color indexed="12"/>
        <rFont val="Arial"/>
        <family val="2"/>
      </rPr>
      <t>(STC1)</t>
    </r>
    <r>
      <rPr>
        <sz val="10"/>
        <color indexed="14"/>
        <rFont val="Arial"/>
        <family val="2"/>
      </rPr>
      <t>(TRC1)</t>
    </r>
  </si>
  <si>
    <r>
      <t>PP</t>
    </r>
    <r>
      <rPr>
        <sz val="10"/>
        <color indexed="12"/>
        <rFont val="Arial"/>
        <family val="2"/>
      </rPr>
      <t>(PS)</t>
    </r>
    <r>
      <rPr>
        <sz val="10"/>
        <rFont val="Arial"/>
        <family val="2"/>
      </rPr>
      <t>-Transmissão Canal 1</t>
    </r>
  </si>
  <si>
    <r>
      <t>ZZZ:0YYY:85:PTC2</t>
    </r>
    <r>
      <rPr>
        <sz val="10"/>
        <color indexed="12"/>
        <rFont val="Arial"/>
        <family val="2"/>
      </rPr>
      <t>(STC2)</t>
    </r>
    <r>
      <rPr>
        <sz val="10"/>
        <color indexed="14"/>
        <rFont val="Arial"/>
        <family val="2"/>
      </rPr>
      <t>(TRC2)</t>
    </r>
  </si>
  <si>
    <r>
      <t>PP</t>
    </r>
    <r>
      <rPr>
        <sz val="10"/>
        <color indexed="12"/>
        <rFont val="Arial"/>
        <family val="2"/>
      </rPr>
      <t>(PS)</t>
    </r>
    <r>
      <rPr>
        <sz val="10"/>
        <rFont val="Arial"/>
        <family val="2"/>
      </rPr>
      <t>-Transmissão Canal 2</t>
    </r>
  </si>
  <si>
    <r>
      <t>ZZZ:0YYY:85:PTC3</t>
    </r>
    <r>
      <rPr>
        <sz val="10"/>
        <color indexed="12"/>
        <rFont val="Arial"/>
        <family val="2"/>
      </rPr>
      <t>(STC3)</t>
    </r>
    <r>
      <rPr>
        <sz val="10"/>
        <color indexed="14"/>
        <rFont val="Arial"/>
        <family val="2"/>
      </rPr>
      <t>(TRC3)</t>
    </r>
  </si>
  <si>
    <r>
      <t>PP</t>
    </r>
    <r>
      <rPr>
        <sz val="10"/>
        <color indexed="12"/>
        <rFont val="Arial"/>
        <family val="2"/>
      </rPr>
      <t>(PS)</t>
    </r>
    <r>
      <rPr>
        <sz val="10"/>
        <rFont val="Arial"/>
        <family val="2"/>
      </rPr>
      <t>-Transmissão Canal 3</t>
    </r>
  </si>
  <si>
    <r>
      <t>ZZZ:0YYY:85:PTC4</t>
    </r>
    <r>
      <rPr>
        <sz val="10"/>
        <color indexed="12"/>
        <rFont val="Arial"/>
        <family val="2"/>
      </rPr>
      <t>(STC4)</t>
    </r>
    <r>
      <rPr>
        <sz val="10"/>
        <color indexed="14"/>
        <rFont val="Arial"/>
        <family val="2"/>
      </rPr>
      <t>(TRC4)</t>
    </r>
  </si>
  <si>
    <r>
      <t>PP</t>
    </r>
    <r>
      <rPr>
        <sz val="10"/>
        <color indexed="12"/>
        <rFont val="Arial"/>
        <family val="2"/>
      </rPr>
      <t>(PS)</t>
    </r>
    <r>
      <rPr>
        <sz val="10"/>
        <rFont val="Arial"/>
        <family val="2"/>
      </rPr>
      <t>-Transmissão Canal 4</t>
    </r>
  </si>
  <si>
    <r>
      <t>ZZZ:0YYY:85:PTTO</t>
    </r>
    <r>
      <rPr>
        <sz val="10"/>
        <color indexed="12"/>
        <rFont val="Arial"/>
        <family val="2"/>
      </rPr>
      <t>(TSOB)</t>
    </r>
    <r>
      <rPr>
        <sz val="10"/>
        <color indexed="14"/>
        <rFont val="Arial"/>
        <family val="2"/>
      </rPr>
      <t>(TTSO)</t>
    </r>
  </si>
  <si>
    <r>
      <t>PP</t>
    </r>
    <r>
      <rPr>
        <sz val="10"/>
        <color indexed="12"/>
        <rFont val="Arial"/>
        <family val="2"/>
      </rPr>
      <t>(PS)</t>
    </r>
    <r>
      <rPr>
        <sz val="10"/>
        <rFont val="Arial"/>
        <family val="2"/>
      </rPr>
      <t>-Transmissão SobreAlcance</t>
    </r>
  </si>
  <si>
    <r>
      <t>ZZZ:0YYY:[F1/F2]:</t>
    </r>
    <r>
      <rPr>
        <sz val="10"/>
        <color indexed="14"/>
        <rFont val="Arial"/>
        <family val="2"/>
      </rPr>
      <t>TTPA</t>
    </r>
  </si>
  <si>
    <t>Transmissão Permissivo Fase A</t>
  </si>
  <si>
    <t>8.2.1.4(b)(5)</t>
  </si>
  <si>
    <r>
      <t>ZZZ:0YYY:[F1/F2]:</t>
    </r>
    <r>
      <rPr>
        <sz val="10"/>
        <color indexed="14"/>
        <rFont val="Arial"/>
        <family val="2"/>
      </rPr>
      <t>TTPB</t>
    </r>
  </si>
  <si>
    <t>Transmissão Permissivo Fase B</t>
  </si>
  <si>
    <r>
      <t>ZZZ:0YYY:[F1/F2]:</t>
    </r>
    <r>
      <rPr>
        <sz val="10"/>
        <color indexed="14"/>
        <rFont val="Arial"/>
        <family val="2"/>
      </rPr>
      <t>TTPC</t>
    </r>
  </si>
  <si>
    <t>Transmissão Permissivo Fase C</t>
  </si>
  <si>
    <r>
      <t>ZZZ:0YYY:85:PTTA</t>
    </r>
    <r>
      <rPr>
        <sz val="10"/>
        <color indexed="12"/>
        <rFont val="Arial"/>
        <family val="2"/>
      </rPr>
      <t>(TSAB)</t>
    </r>
    <r>
      <rPr>
        <sz val="10"/>
        <color indexed="14"/>
        <rFont val="Arial"/>
        <family val="2"/>
      </rPr>
      <t>(TTSA)</t>
    </r>
  </si>
  <si>
    <r>
      <t>PP</t>
    </r>
    <r>
      <rPr>
        <sz val="10"/>
        <color indexed="12"/>
        <rFont val="Arial"/>
        <family val="2"/>
      </rPr>
      <t>(PS)</t>
    </r>
    <r>
      <rPr>
        <sz val="10"/>
        <rFont val="Arial"/>
        <family val="2"/>
      </rPr>
      <t>-Transmissão SobreAlcance Fase A</t>
    </r>
  </si>
  <si>
    <t>Usar apenas em instalações onde já existir por fase. Evitar em projetos novos.</t>
  </si>
  <si>
    <r>
      <t>ZZZ:0YYY:85:PTTB</t>
    </r>
    <r>
      <rPr>
        <sz val="10"/>
        <color indexed="12"/>
        <rFont val="Arial"/>
        <family val="2"/>
      </rPr>
      <t>(TSBB)</t>
    </r>
    <r>
      <rPr>
        <sz val="10"/>
        <color indexed="14"/>
        <rFont val="Arial"/>
        <family val="2"/>
      </rPr>
      <t>(TTSB)</t>
    </r>
  </si>
  <si>
    <r>
      <t>PP</t>
    </r>
    <r>
      <rPr>
        <sz val="10"/>
        <color indexed="12"/>
        <rFont val="Arial"/>
        <family val="2"/>
      </rPr>
      <t>(PS)</t>
    </r>
    <r>
      <rPr>
        <sz val="10"/>
        <rFont val="Arial"/>
        <family val="2"/>
      </rPr>
      <t>-Transmissão SobreAlcance Fase B</t>
    </r>
  </si>
  <si>
    <r>
      <t>ZZZ:0YYY:85:PTTC</t>
    </r>
    <r>
      <rPr>
        <sz val="10"/>
        <color indexed="12"/>
        <rFont val="Arial"/>
        <family val="2"/>
      </rPr>
      <t>(TSCB)</t>
    </r>
    <r>
      <rPr>
        <sz val="10"/>
        <color indexed="14"/>
        <rFont val="Arial"/>
        <family val="2"/>
      </rPr>
      <t>(TTSC)</t>
    </r>
  </si>
  <si>
    <r>
      <t>PP</t>
    </r>
    <r>
      <rPr>
        <sz val="10"/>
        <color indexed="12"/>
        <rFont val="Arial"/>
        <family val="2"/>
      </rPr>
      <t>(PS)</t>
    </r>
    <r>
      <rPr>
        <sz val="10"/>
        <rFont val="Arial"/>
        <family val="2"/>
      </rPr>
      <t>-Transmissão SobreAlcance Fase C</t>
    </r>
  </si>
  <si>
    <r>
      <t>ZZZ:0YYY:85:PT13</t>
    </r>
    <r>
      <rPr>
        <sz val="10"/>
        <color indexed="12"/>
        <rFont val="Arial"/>
        <family val="2"/>
      </rPr>
      <t>(ST13)</t>
    </r>
    <r>
      <rPr>
        <sz val="10"/>
        <color indexed="14"/>
        <rFont val="Arial"/>
        <family val="2"/>
      </rPr>
      <t>(TR13)</t>
    </r>
  </si>
  <si>
    <r>
      <t>PP</t>
    </r>
    <r>
      <rPr>
        <sz val="10"/>
        <color indexed="12"/>
        <rFont val="Arial"/>
        <family val="2"/>
      </rPr>
      <t>(PS)</t>
    </r>
    <r>
      <rPr>
        <sz val="10"/>
        <rFont val="Arial"/>
        <family val="2"/>
      </rPr>
      <t>-Transmissão Canal 1/3</t>
    </r>
  </si>
  <si>
    <r>
      <t>ZZZ:0YYY:85:PTTR</t>
    </r>
    <r>
      <rPr>
        <sz val="10"/>
        <color indexed="12"/>
        <rFont val="Arial"/>
        <family val="2"/>
      </rPr>
      <t>(STTR)</t>
    </r>
    <r>
      <rPr>
        <sz val="10"/>
        <color indexed="14"/>
        <rFont val="Arial"/>
        <family val="2"/>
      </rPr>
      <t>(TTRA)</t>
    </r>
  </si>
  <si>
    <r>
      <t>ZZZ:0YYY:85:PT24</t>
    </r>
    <r>
      <rPr>
        <sz val="10"/>
        <color indexed="12"/>
        <rFont val="Arial"/>
        <family val="2"/>
      </rPr>
      <t>(ST24)</t>
    </r>
    <r>
      <rPr>
        <sz val="10"/>
        <color indexed="14"/>
        <rFont val="Arial"/>
        <family val="2"/>
      </rPr>
      <t>(TR24)</t>
    </r>
  </si>
  <si>
    <r>
      <t>PP</t>
    </r>
    <r>
      <rPr>
        <sz val="10"/>
        <color indexed="12"/>
        <rFont val="Arial"/>
        <family val="2"/>
      </rPr>
      <t>(PS)</t>
    </r>
    <r>
      <rPr>
        <sz val="10"/>
        <rFont val="Arial"/>
        <family val="2"/>
      </rPr>
      <t>-Transmissão Canal 2/4</t>
    </r>
  </si>
  <si>
    <r>
      <t>ZZZ:0YYY:85:PT12</t>
    </r>
    <r>
      <rPr>
        <sz val="10"/>
        <color indexed="12"/>
        <rFont val="Arial"/>
        <family val="2"/>
      </rPr>
      <t>(ST12)</t>
    </r>
    <r>
      <rPr>
        <sz val="10"/>
        <color indexed="14"/>
        <rFont val="Arial"/>
        <family val="2"/>
      </rPr>
      <t>(TR12)</t>
    </r>
  </si>
  <si>
    <r>
      <t>PP</t>
    </r>
    <r>
      <rPr>
        <sz val="10"/>
        <color indexed="12"/>
        <rFont val="Arial"/>
        <family val="2"/>
      </rPr>
      <t>(PS)</t>
    </r>
    <r>
      <rPr>
        <sz val="10"/>
        <rFont val="Arial"/>
        <family val="2"/>
      </rPr>
      <t>-Transmissão Canal 1/2</t>
    </r>
  </si>
  <si>
    <r>
      <t>ZZZ:0YYY:85:PT34</t>
    </r>
    <r>
      <rPr>
        <sz val="10"/>
        <color indexed="12"/>
        <rFont val="Arial"/>
        <family val="2"/>
      </rPr>
      <t>(ST34)</t>
    </r>
    <r>
      <rPr>
        <sz val="10"/>
        <color indexed="14"/>
        <rFont val="Arial"/>
        <family val="2"/>
      </rPr>
      <t>(TR34)</t>
    </r>
  </si>
  <si>
    <r>
      <t>PP</t>
    </r>
    <r>
      <rPr>
        <sz val="10"/>
        <color indexed="12"/>
        <rFont val="Arial"/>
        <family val="2"/>
      </rPr>
      <t>(PS)</t>
    </r>
    <r>
      <rPr>
        <sz val="10"/>
        <rFont val="Arial"/>
        <family val="2"/>
      </rPr>
      <t>-Transmissão Canal 3/4</t>
    </r>
  </si>
  <si>
    <r>
      <t>ZZZ:0YYY:85:PTS1</t>
    </r>
    <r>
      <rPr>
        <sz val="10"/>
        <color indexed="12"/>
        <rFont val="Arial"/>
        <family val="2"/>
      </rPr>
      <t>(STS1)</t>
    </r>
    <r>
      <rPr>
        <sz val="10"/>
        <color indexed="14"/>
        <rFont val="Arial"/>
        <family val="2"/>
      </rPr>
      <t>(TRS1)</t>
    </r>
  </si>
  <si>
    <r>
      <t>PP</t>
    </r>
    <r>
      <rPr>
        <sz val="10"/>
        <color indexed="12"/>
        <rFont val="Arial"/>
        <family val="2"/>
      </rPr>
      <t>(PS)</t>
    </r>
    <r>
      <rPr>
        <sz val="10"/>
        <rFont val="Arial"/>
        <family val="2"/>
      </rPr>
      <t>-Transmissão Saída 1 - Transfer Trip</t>
    </r>
  </si>
  <si>
    <r>
      <t>ZZZ:0YYY:85:PTS2</t>
    </r>
    <r>
      <rPr>
        <sz val="10"/>
        <color indexed="12"/>
        <rFont val="Arial"/>
        <family val="2"/>
      </rPr>
      <t>(STS2)</t>
    </r>
    <r>
      <rPr>
        <sz val="10"/>
        <color indexed="14"/>
        <rFont val="Arial"/>
        <family val="2"/>
      </rPr>
      <t>(TRS2)</t>
    </r>
  </si>
  <si>
    <r>
      <t>PP</t>
    </r>
    <r>
      <rPr>
        <sz val="10"/>
        <color indexed="12"/>
        <rFont val="Arial"/>
        <family val="2"/>
      </rPr>
      <t>(PS)</t>
    </r>
    <r>
      <rPr>
        <sz val="10"/>
        <rFont val="Arial"/>
        <family val="2"/>
      </rPr>
      <t>-Transmissão Saída 2 - Transfer Trip</t>
    </r>
  </si>
  <si>
    <r>
      <t>ZZZ:0YYY:85:PTS3</t>
    </r>
    <r>
      <rPr>
        <sz val="10"/>
        <color indexed="12"/>
        <rFont val="Arial"/>
        <family val="2"/>
      </rPr>
      <t>(STS3)</t>
    </r>
    <r>
      <rPr>
        <sz val="10"/>
        <color indexed="14"/>
        <rFont val="Arial"/>
        <family val="2"/>
      </rPr>
      <t>(TRS3)</t>
    </r>
  </si>
  <si>
    <r>
      <t>PP</t>
    </r>
    <r>
      <rPr>
        <sz val="10"/>
        <color indexed="12"/>
        <rFont val="Arial"/>
        <family val="2"/>
      </rPr>
      <t>(PS)</t>
    </r>
    <r>
      <rPr>
        <sz val="10"/>
        <rFont val="Arial"/>
        <family val="2"/>
      </rPr>
      <t>-Transmissão Saída 3 - Telep. 21</t>
    </r>
  </si>
  <si>
    <r>
      <t>ZZZ:0YYY:85:PTS4</t>
    </r>
    <r>
      <rPr>
        <sz val="10"/>
        <color indexed="12"/>
        <rFont val="Arial"/>
        <family val="2"/>
      </rPr>
      <t>(STS4)</t>
    </r>
    <r>
      <rPr>
        <sz val="10"/>
        <color indexed="14"/>
        <rFont val="Arial"/>
        <family val="2"/>
      </rPr>
      <t>(TRS4)</t>
    </r>
  </si>
  <si>
    <r>
      <t>PP</t>
    </r>
    <r>
      <rPr>
        <sz val="10"/>
        <color indexed="12"/>
        <rFont val="Arial"/>
        <family val="2"/>
      </rPr>
      <t>(PS)</t>
    </r>
    <r>
      <rPr>
        <sz val="10"/>
        <rFont val="Arial"/>
        <family val="2"/>
      </rPr>
      <t>-Transmissão Saída 4 - Telep. 67N</t>
    </r>
  </si>
  <si>
    <r>
      <t>ZZZ:0YYY:85:PTS5</t>
    </r>
    <r>
      <rPr>
        <sz val="10"/>
        <color indexed="12"/>
        <rFont val="Arial"/>
        <family val="2"/>
      </rPr>
      <t>(STS5)</t>
    </r>
    <r>
      <rPr>
        <sz val="10"/>
        <color indexed="14"/>
        <rFont val="Arial"/>
        <family val="2"/>
      </rPr>
      <t>(TRS5)</t>
    </r>
  </si>
  <si>
    <r>
      <t>PP</t>
    </r>
    <r>
      <rPr>
        <sz val="10"/>
        <color indexed="12"/>
        <rFont val="Arial"/>
        <family val="2"/>
      </rPr>
      <t>(PS)</t>
    </r>
    <r>
      <rPr>
        <sz val="10"/>
        <rFont val="Arial"/>
        <family val="2"/>
      </rPr>
      <t>-Transmissão Saída 5 - Bloqueio</t>
    </r>
  </si>
  <si>
    <r>
      <t>PP</t>
    </r>
    <r>
      <rPr>
        <sz val="10"/>
        <color indexed="12"/>
        <rFont val="Arial"/>
        <family val="2"/>
      </rPr>
      <t>(PS)</t>
    </r>
    <r>
      <rPr>
        <sz val="10"/>
        <rFont val="Arial"/>
        <family val="2"/>
      </rPr>
      <t>-Teleproteção Transmissão</t>
    </r>
  </si>
  <si>
    <t>AGRUPAMENTO DOS ÍTENS 130 A 150</t>
  </si>
  <si>
    <r>
      <t>ZZZ:0YYY:85:PRC1</t>
    </r>
    <r>
      <rPr>
        <sz val="10"/>
        <color indexed="12"/>
        <rFont val="Arial"/>
        <family val="2"/>
      </rPr>
      <t>(SRC1)</t>
    </r>
    <r>
      <rPr>
        <sz val="10"/>
        <color indexed="14"/>
        <rFont val="Arial"/>
        <family val="2"/>
      </rPr>
      <t>(RCC1)</t>
    </r>
  </si>
  <si>
    <r>
      <t>PP</t>
    </r>
    <r>
      <rPr>
        <sz val="10"/>
        <color indexed="12"/>
        <rFont val="Arial"/>
        <family val="2"/>
      </rPr>
      <t>(PS)</t>
    </r>
    <r>
      <rPr>
        <sz val="10"/>
        <rFont val="Arial"/>
        <family val="2"/>
      </rPr>
      <t>-Recepção Canal 1</t>
    </r>
  </si>
  <si>
    <r>
      <t>ZZZ:0YYY:85:PRC2</t>
    </r>
    <r>
      <rPr>
        <sz val="10"/>
        <color indexed="12"/>
        <rFont val="Arial"/>
        <family val="2"/>
      </rPr>
      <t>(SRC2)</t>
    </r>
    <r>
      <rPr>
        <sz val="10"/>
        <color indexed="14"/>
        <rFont val="Arial"/>
        <family val="2"/>
      </rPr>
      <t>(RCC2)</t>
    </r>
  </si>
  <si>
    <r>
      <t>PP</t>
    </r>
    <r>
      <rPr>
        <sz val="10"/>
        <color indexed="12"/>
        <rFont val="Arial"/>
        <family val="2"/>
      </rPr>
      <t>(PS)</t>
    </r>
    <r>
      <rPr>
        <sz val="10"/>
        <rFont val="Arial"/>
        <family val="2"/>
      </rPr>
      <t>-Recepção Canal 2</t>
    </r>
  </si>
  <si>
    <r>
      <t>ZZZ:0YYY:85:PRC3</t>
    </r>
    <r>
      <rPr>
        <sz val="10"/>
        <color indexed="12"/>
        <rFont val="Arial"/>
        <family val="2"/>
      </rPr>
      <t>(SRC3)</t>
    </r>
    <r>
      <rPr>
        <sz val="10"/>
        <color indexed="14"/>
        <rFont val="Arial"/>
        <family val="2"/>
      </rPr>
      <t>(RCC3)</t>
    </r>
  </si>
  <si>
    <r>
      <t>PP</t>
    </r>
    <r>
      <rPr>
        <sz val="10"/>
        <color indexed="12"/>
        <rFont val="Arial"/>
        <family val="2"/>
      </rPr>
      <t>(PS)</t>
    </r>
    <r>
      <rPr>
        <sz val="10"/>
        <rFont val="Arial"/>
        <family val="2"/>
      </rPr>
      <t>-Recepção Canal 3</t>
    </r>
  </si>
  <si>
    <r>
      <t>ZZZ:0YYY:85:PRC4</t>
    </r>
    <r>
      <rPr>
        <sz val="10"/>
        <color indexed="12"/>
        <rFont val="Arial"/>
        <family val="2"/>
      </rPr>
      <t>(SRC4)</t>
    </r>
    <r>
      <rPr>
        <sz val="10"/>
        <color indexed="14"/>
        <rFont val="Arial"/>
        <family val="2"/>
      </rPr>
      <t>(RCC4)</t>
    </r>
  </si>
  <si>
    <r>
      <t>PP</t>
    </r>
    <r>
      <rPr>
        <sz val="10"/>
        <color indexed="12"/>
        <rFont val="Arial"/>
        <family val="2"/>
      </rPr>
      <t>(PS)</t>
    </r>
    <r>
      <rPr>
        <sz val="10"/>
        <rFont val="Arial"/>
        <family val="2"/>
      </rPr>
      <t>-Recepção Canal 4</t>
    </r>
  </si>
  <si>
    <r>
      <t>ZZZ:0YYY:85:PPRO</t>
    </r>
    <r>
      <rPr>
        <sz val="10"/>
        <color indexed="12"/>
        <rFont val="Arial"/>
        <family val="2"/>
      </rPr>
      <t>(RSOB)</t>
    </r>
    <r>
      <rPr>
        <sz val="10"/>
        <color indexed="14"/>
        <rFont val="Arial"/>
        <family val="2"/>
      </rPr>
      <t>(TRSO)</t>
    </r>
  </si>
  <si>
    <r>
      <t>PP</t>
    </r>
    <r>
      <rPr>
        <sz val="10"/>
        <color indexed="12"/>
        <rFont val="Arial"/>
        <family val="2"/>
      </rPr>
      <t>(PS)</t>
    </r>
    <r>
      <rPr>
        <sz val="10"/>
        <rFont val="Arial"/>
        <family val="2"/>
      </rPr>
      <t>-Recepção SobreAlcance</t>
    </r>
  </si>
  <si>
    <r>
      <t>ZZZ:0YYY:85:PPRT</t>
    </r>
    <r>
      <rPr>
        <sz val="10"/>
        <color indexed="12"/>
        <rFont val="Arial"/>
        <family val="2"/>
      </rPr>
      <t>(PSRT)</t>
    </r>
    <r>
      <rPr>
        <sz val="10"/>
        <color indexed="14"/>
        <rFont val="Arial"/>
        <family val="2"/>
      </rPr>
      <t>(TREC)</t>
    </r>
    <r>
      <rPr>
        <sz val="10"/>
        <rFont val="Arial"/>
        <family val="2"/>
      </rPr>
      <t>, ZZZ:0YYY:00:ONS3</t>
    </r>
  </si>
  <si>
    <r>
      <t>ZZZ:0YYY:85:PPRU</t>
    </r>
    <r>
      <rPr>
        <sz val="10"/>
        <color indexed="12"/>
        <rFont val="Arial"/>
        <family val="2"/>
      </rPr>
      <t>(RSUB)</t>
    </r>
    <r>
      <rPr>
        <sz val="10"/>
        <color indexed="14"/>
        <rFont val="Arial"/>
        <family val="2"/>
      </rPr>
      <t>(TRSU)</t>
    </r>
  </si>
  <si>
    <r>
      <t>PP</t>
    </r>
    <r>
      <rPr>
        <sz val="10"/>
        <color indexed="12"/>
        <rFont val="Arial"/>
        <family val="2"/>
      </rPr>
      <t>(PS)</t>
    </r>
    <r>
      <rPr>
        <sz val="10"/>
        <rFont val="Arial"/>
        <family val="2"/>
      </rPr>
      <t>-Recepção SubAlcance</t>
    </r>
  </si>
  <si>
    <r>
      <t>ZZZ:0YYY:85:PR13</t>
    </r>
    <r>
      <rPr>
        <sz val="10"/>
        <color indexed="12"/>
        <rFont val="Arial"/>
        <family val="2"/>
      </rPr>
      <t>(SR13)</t>
    </r>
    <r>
      <rPr>
        <sz val="10"/>
        <color indexed="14"/>
        <rFont val="Arial"/>
        <family val="2"/>
      </rPr>
      <t>(RC13)</t>
    </r>
  </si>
  <si>
    <r>
      <t>PP</t>
    </r>
    <r>
      <rPr>
        <sz val="10"/>
        <color indexed="12"/>
        <rFont val="Arial"/>
        <family val="2"/>
      </rPr>
      <t>(PS)</t>
    </r>
    <r>
      <rPr>
        <sz val="10"/>
        <rFont val="Arial"/>
        <family val="2"/>
      </rPr>
      <t>-Recepção Canal 1/3</t>
    </r>
  </si>
  <si>
    <r>
      <t>ZZZ:0YYY:85:PR24</t>
    </r>
    <r>
      <rPr>
        <sz val="10"/>
        <color indexed="12"/>
        <rFont val="Arial"/>
        <family val="2"/>
      </rPr>
      <t>(SR24)</t>
    </r>
    <r>
      <rPr>
        <sz val="10"/>
        <color indexed="14"/>
        <rFont val="Arial"/>
        <family val="2"/>
      </rPr>
      <t>(RC24)</t>
    </r>
  </si>
  <si>
    <r>
      <t>PP</t>
    </r>
    <r>
      <rPr>
        <sz val="10"/>
        <color indexed="12"/>
        <rFont val="Arial"/>
        <family val="2"/>
      </rPr>
      <t>(PS)</t>
    </r>
    <r>
      <rPr>
        <sz val="10"/>
        <rFont val="Arial"/>
        <family val="2"/>
      </rPr>
      <t>-Recepção Canal 2/4</t>
    </r>
  </si>
  <si>
    <r>
      <t>ZZZ:0YYY:85:PR12</t>
    </r>
    <r>
      <rPr>
        <sz val="10"/>
        <color indexed="12"/>
        <rFont val="Arial"/>
        <family val="2"/>
      </rPr>
      <t>(SR12)</t>
    </r>
    <r>
      <rPr>
        <sz val="10"/>
        <color indexed="14"/>
        <rFont val="Arial"/>
        <family val="2"/>
      </rPr>
      <t>(RC12)</t>
    </r>
  </si>
  <si>
    <r>
      <t>PP</t>
    </r>
    <r>
      <rPr>
        <sz val="10"/>
        <color indexed="12"/>
        <rFont val="Arial"/>
        <family val="2"/>
      </rPr>
      <t>(PS)</t>
    </r>
    <r>
      <rPr>
        <sz val="10"/>
        <rFont val="Arial"/>
        <family val="2"/>
      </rPr>
      <t>-Recepção Canal 1/2</t>
    </r>
  </si>
  <si>
    <r>
      <t>ZZZ:0YYY:85:PR34</t>
    </r>
    <r>
      <rPr>
        <sz val="10"/>
        <color indexed="12"/>
        <rFont val="Arial"/>
        <family val="2"/>
      </rPr>
      <t>(SR34)</t>
    </r>
    <r>
      <rPr>
        <sz val="10"/>
        <color indexed="14"/>
        <rFont val="Arial"/>
        <family val="2"/>
      </rPr>
      <t>(RC34)</t>
    </r>
  </si>
  <si>
    <r>
      <t>PP</t>
    </r>
    <r>
      <rPr>
        <sz val="10"/>
        <color indexed="12"/>
        <rFont val="Arial"/>
        <family val="2"/>
      </rPr>
      <t>(PS)</t>
    </r>
    <r>
      <rPr>
        <sz val="10"/>
        <rFont val="Arial"/>
        <family val="2"/>
      </rPr>
      <t>-Recepção Canal 3/4</t>
    </r>
  </si>
  <si>
    <r>
      <t>ZZZ:0YYY:85:PRS1</t>
    </r>
    <r>
      <rPr>
        <sz val="10"/>
        <color indexed="12"/>
        <rFont val="Arial"/>
        <family val="2"/>
      </rPr>
      <t>(SRS1)</t>
    </r>
    <r>
      <rPr>
        <sz val="10"/>
        <color indexed="14"/>
        <rFont val="Arial"/>
        <family val="2"/>
      </rPr>
      <t>(RCS1)</t>
    </r>
  </si>
  <si>
    <r>
      <t>PP</t>
    </r>
    <r>
      <rPr>
        <sz val="10"/>
        <color indexed="12"/>
        <rFont val="Arial"/>
        <family val="2"/>
      </rPr>
      <t>(PS)</t>
    </r>
    <r>
      <rPr>
        <sz val="10"/>
        <rFont val="Arial"/>
        <family val="2"/>
      </rPr>
      <t>-Recepção Saída 1 - Trasfer Trip</t>
    </r>
  </si>
  <si>
    <r>
      <t>ZZZ:0YYY:85:PRS2</t>
    </r>
    <r>
      <rPr>
        <sz val="10"/>
        <color indexed="12"/>
        <rFont val="Arial"/>
        <family val="2"/>
      </rPr>
      <t>(SRS2)</t>
    </r>
    <r>
      <rPr>
        <sz val="10"/>
        <color indexed="14"/>
        <rFont val="Arial"/>
        <family val="2"/>
      </rPr>
      <t>(RCS2)</t>
    </r>
  </si>
  <si>
    <r>
      <t>PP</t>
    </r>
    <r>
      <rPr>
        <sz val="10"/>
        <color indexed="12"/>
        <rFont val="Arial"/>
        <family val="2"/>
      </rPr>
      <t>(PS)</t>
    </r>
    <r>
      <rPr>
        <sz val="10"/>
        <rFont val="Arial"/>
        <family val="2"/>
      </rPr>
      <t>-Recepção Saída 2 - Trasfer Trip</t>
    </r>
  </si>
  <si>
    <r>
      <t>ZZZ:0YYY:85:PRS3</t>
    </r>
    <r>
      <rPr>
        <sz val="10"/>
        <color indexed="12"/>
        <rFont val="Arial"/>
        <family val="2"/>
      </rPr>
      <t>(SRS3)</t>
    </r>
    <r>
      <rPr>
        <sz val="10"/>
        <color indexed="14"/>
        <rFont val="Arial"/>
        <family val="2"/>
      </rPr>
      <t>(RCS3)</t>
    </r>
  </si>
  <si>
    <r>
      <t>PP</t>
    </r>
    <r>
      <rPr>
        <sz val="10"/>
        <color indexed="12"/>
        <rFont val="Arial"/>
        <family val="2"/>
      </rPr>
      <t>(PS)</t>
    </r>
    <r>
      <rPr>
        <sz val="10"/>
        <rFont val="Arial"/>
        <family val="2"/>
      </rPr>
      <t>-Recepção Saída 3 - Telep. 21</t>
    </r>
  </si>
  <si>
    <r>
      <t>ZZZ:0YYY:85:PRS4</t>
    </r>
    <r>
      <rPr>
        <sz val="10"/>
        <color indexed="12"/>
        <rFont val="Arial"/>
        <family val="2"/>
      </rPr>
      <t>(SRS4)</t>
    </r>
    <r>
      <rPr>
        <sz val="10"/>
        <color indexed="14"/>
        <rFont val="Arial"/>
        <family val="2"/>
      </rPr>
      <t>(RCS4)</t>
    </r>
  </si>
  <si>
    <r>
      <t>PP</t>
    </r>
    <r>
      <rPr>
        <sz val="10"/>
        <color indexed="12"/>
        <rFont val="Arial"/>
        <family val="2"/>
      </rPr>
      <t>(PS)</t>
    </r>
    <r>
      <rPr>
        <sz val="10"/>
        <rFont val="Arial"/>
        <family val="2"/>
      </rPr>
      <t>-Recepção Saída 4 - Telep. 67N</t>
    </r>
  </si>
  <si>
    <r>
      <t>ZZZ:0YYY:85:PRS5</t>
    </r>
    <r>
      <rPr>
        <sz val="10"/>
        <color indexed="12"/>
        <rFont val="Arial"/>
        <family val="2"/>
      </rPr>
      <t>(SRS5)</t>
    </r>
    <r>
      <rPr>
        <sz val="10"/>
        <color indexed="14"/>
        <rFont val="Arial"/>
        <family val="2"/>
      </rPr>
      <t>(RCS5)</t>
    </r>
  </si>
  <si>
    <r>
      <t>PP</t>
    </r>
    <r>
      <rPr>
        <sz val="10"/>
        <color indexed="12"/>
        <rFont val="Arial"/>
        <family val="2"/>
      </rPr>
      <t>(PS)</t>
    </r>
    <r>
      <rPr>
        <sz val="10"/>
        <rFont val="Arial"/>
        <family val="2"/>
      </rPr>
      <t>-Recepção Saída 5 - Bloqueio</t>
    </r>
  </si>
  <si>
    <r>
      <t>ZZZ:0YYY:85:PPRD</t>
    </r>
    <r>
      <rPr>
        <sz val="10"/>
        <color indexed="12"/>
        <rFont val="Arial"/>
        <family val="2"/>
      </rPr>
      <t>(PSRD)</t>
    </r>
    <r>
      <rPr>
        <sz val="10"/>
        <color indexed="14"/>
        <rFont val="Arial"/>
        <family val="2"/>
      </rPr>
      <t>(TRDB)</t>
    </r>
  </si>
  <si>
    <r>
      <t>PP</t>
    </r>
    <r>
      <rPr>
        <sz val="10"/>
        <color indexed="12"/>
        <rFont val="Arial"/>
        <family val="2"/>
      </rPr>
      <t>(PS)</t>
    </r>
    <r>
      <rPr>
        <sz val="10"/>
        <color indexed="8"/>
        <rFont val="Arial"/>
        <family val="2"/>
      </rPr>
      <t>-</t>
    </r>
    <r>
      <rPr>
        <sz val="10"/>
        <rFont val="Arial"/>
        <family val="2"/>
      </rPr>
      <t xml:space="preserve">Recepção Desbloqueio </t>
    </r>
  </si>
  <si>
    <r>
      <t>PP</t>
    </r>
    <r>
      <rPr>
        <sz val="10"/>
        <color indexed="12"/>
        <rFont val="Arial"/>
        <family val="2"/>
      </rPr>
      <t>(PS)</t>
    </r>
    <r>
      <rPr>
        <sz val="10"/>
        <rFont val="Arial"/>
        <family val="2"/>
      </rPr>
      <t>-Teleproteção Recepção</t>
    </r>
  </si>
  <si>
    <t>AGRUPAMENTO DOS ÍTENS 158 A 176</t>
  </si>
  <si>
    <r>
      <t>ZZZ:0YYY:59:PPIT</t>
    </r>
    <r>
      <rPr>
        <sz val="10"/>
        <color indexed="12"/>
        <rFont val="Arial"/>
        <family val="2"/>
      </rPr>
      <t>(PSIT)</t>
    </r>
    <r>
      <rPr>
        <sz val="10"/>
        <color indexed="14"/>
        <rFont val="Arial"/>
        <family val="2"/>
      </rPr>
      <t>(SOIT)</t>
    </r>
  </si>
  <si>
    <r>
      <t>PP</t>
    </r>
    <r>
      <rPr>
        <sz val="10"/>
        <color indexed="12"/>
        <rFont val="Arial"/>
        <family val="2"/>
      </rPr>
      <t>(PS)</t>
    </r>
    <r>
      <rPr>
        <sz val="10"/>
        <rFont val="Arial"/>
        <family val="2"/>
      </rPr>
      <t>-Trip SobreTensão Inst / Temp</t>
    </r>
  </si>
  <si>
    <t>SOBRETENSÃO</t>
  </si>
  <si>
    <r>
      <t>ZZZ:0YYY:59I:PPSI</t>
    </r>
    <r>
      <rPr>
        <sz val="10"/>
        <color indexed="12"/>
        <rFont val="Arial"/>
        <family val="2"/>
      </rPr>
      <t>(PSSI)</t>
    </r>
    <r>
      <rPr>
        <sz val="10"/>
        <color indexed="14"/>
        <rFont val="Arial"/>
        <family val="2"/>
      </rPr>
      <t>(SOIN)</t>
    </r>
  </si>
  <si>
    <r>
      <t>PP</t>
    </r>
    <r>
      <rPr>
        <sz val="10"/>
        <color indexed="12"/>
        <rFont val="Arial"/>
        <family val="2"/>
      </rPr>
      <t>(PS)</t>
    </r>
    <r>
      <rPr>
        <sz val="10"/>
        <rFont val="Arial"/>
        <family val="2"/>
      </rPr>
      <t xml:space="preserve">-Trip SobreTensão Inst </t>
    </r>
  </si>
  <si>
    <r>
      <t>ZZZ:0YYY:59T:PTSP</t>
    </r>
    <r>
      <rPr>
        <sz val="10"/>
        <color indexed="12"/>
        <rFont val="Arial"/>
        <family val="2"/>
      </rPr>
      <t>(PTSS)</t>
    </r>
    <r>
      <rPr>
        <sz val="10"/>
        <color indexed="14"/>
        <rFont val="Arial"/>
        <family val="2"/>
      </rPr>
      <t>(SOTE)</t>
    </r>
  </si>
  <si>
    <r>
      <t>PP</t>
    </r>
    <r>
      <rPr>
        <sz val="10"/>
        <color indexed="12"/>
        <rFont val="Arial"/>
        <family val="2"/>
      </rPr>
      <t>(PS)</t>
    </r>
    <r>
      <rPr>
        <sz val="10"/>
        <rFont val="Arial"/>
        <family val="2"/>
      </rPr>
      <t xml:space="preserve">-Trip SobreTensão Temp </t>
    </r>
  </si>
  <si>
    <r>
      <t>ZZZ:0YYY:[F1/F2]:</t>
    </r>
    <r>
      <rPr>
        <sz val="10"/>
        <color indexed="14"/>
        <rFont val="Arial"/>
        <family val="2"/>
      </rPr>
      <t>SDTI</t>
    </r>
  </si>
  <si>
    <t>Trip SobreCorrente Dir Fase (67)</t>
  </si>
  <si>
    <t>DIRECIONAL FASE</t>
  </si>
  <si>
    <r>
      <t>ZZZ:0YYY:67:DFPP</t>
    </r>
    <r>
      <rPr>
        <sz val="10"/>
        <color indexed="12"/>
        <rFont val="Arial"/>
        <family val="2"/>
      </rPr>
      <t>(DFPS)</t>
    </r>
    <r>
      <rPr>
        <sz val="10"/>
        <color indexed="14"/>
        <rFont val="Arial"/>
        <family val="2"/>
      </rPr>
      <t>(SDTI)</t>
    </r>
  </si>
  <si>
    <r>
      <t>PP</t>
    </r>
    <r>
      <rPr>
        <sz val="10"/>
        <color indexed="12"/>
        <rFont val="Arial"/>
        <family val="2"/>
      </rPr>
      <t>(PS)</t>
    </r>
    <r>
      <rPr>
        <sz val="10"/>
        <rFont val="Arial"/>
        <family val="2"/>
      </rPr>
      <t>-Trip SobreCorrente Dir Fase</t>
    </r>
  </si>
  <si>
    <r>
      <t>ZZZ:0YYY:67T:PPDT</t>
    </r>
    <r>
      <rPr>
        <sz val="10"/>
        <color indexed="12"/>
        <rFont val="Arial"/>
        <family val="2"/>
      </rPr>
      <t>(PSDT)</t>
    </r>
    <r>
      <rPr>
        <sz val="10"/>
        <color indexed="14"/>
        <rFont val="Arial"/>
        <family val="2"/>
      </rPr>
      <t>(PDDT)</t>
    </r>
  </si>
  <si>
    <r>
      <t>PP</t>
    </r>
    <r>
      <rPr>
        <sz val="10"/>
        <color indexed="12"/>
        <rFont val="Arial"/>
        <family val="2"/>
      </rPr>
      <t>(PS)</t>
    </r>
    <r>
      <rPr>
        <sz val="10"/>
        <rFont val="Arial"/>
        <family val="2"/>
      </rPr>
      <t>-Trip SobreCorrente Dir Fase Temp</t>
    </r>
  </si>
  <si>
    <r>
      <t>ZZZ:0YYY:67I:PPDI</t>
    </r>
    <r>
      <rPr>
        <sz val="10"/>
        <color indexed="12"/>
        <rFont val="Arial"/>
        <family val="2"/>
      </rPr>
      <t>(PSDI)</t>
    </r>
    <r>
      <rPr>
        <sz val="10"/>
        <color indexed="14"/>
        <rFont val="Arial"/>
        <family val="2"/>
      </rPr>
      <t>(PDDI)</t>
    </r>
  </si>
  <si>
    <r>
      <t>PP</t>
    </r>
    <r>
      <rPr>
        <sz val="10"/>
        <color indexed="12"/>
        <rFont val="Arial"/>
        <family val="2"/>
      </rPr>
      <t>(PS)</t>
    </r>
    <r>
      <rPr>
        <sz val="10"/>
        <rFont val="Arial"/>
        <family val="2"/>
      </rPr>
      <t>-Trip SobreCorrente Dir Fase Inst</t>
    </r>
  </si>
  <si>
    <r>
      <t>ZZZ:0YYY:67NT:PPNT</t>
    </r>
    <r>
      <rPr>
        <sz val="10"/>
        <color indexed="12"/>
        <rFont val="Arial"/>
        <family val="2"/>
      </rPr>
      <t>(PSNT)</t>
    </r>
    <r>
      <rPr>
        <sz val="10"/>
        <color indexed="14"/>
        <rFont val="Arial"/>
        <family val="2"/>
      </rPr>
      <t>(SDNT)</t>
    </r>
  </si>
  <si>
    <r>
      <t>PP</t>
    </r>
    <r>
      <rPr>
        <sz val="10"/>
        <color indexed="12"/>
        <rFont val="Arial"/>
        <family val="2"/>
      </rPr>
      <t>(PS)</t>
    </r>
    <r>
      <rPr>
        <sz val="10"/>
        <rFont val="Arial"/>
        <family val="2"/>
      </rPr>
      <t>-Trip SobreCorrente Dir Neutro Temp</t>
    </r>
  </si>
  <si>
    <t>DIRECIONAL NEUTRO</t>
  </si>
  <si>
    <r>
      <t>ZZZ:0YYY:67NI:PPNI</t>
    </r>
    <r>
      <rPr>
        <sz val="10"/>
        <color indexed="12"/>
        <rFont val="Arial"/>
        <family val="2"/>
      </rPr>
      <t>(PSNI)</t>
    </r>
    <r>
      <rPr>
        <sz val="10"/>
        <color indexed="14"/>
        <rFont val="Arial"/>
        <family val="2"/>
      </rPr>
      <t>(SDNI)</t>
    </r>
  </si>
  <si>
    <r>
      <t>PP</t>
    </r>
    <r>
      <rPr>
        <sz val="10"/>
        <color indexed="12"/>
        <rFont val="Arial"/>
        <family val="2"/>
      </rPr>
      <t>(PS)</t>
    </r>
    <r>
      <rPr>
        <sz val="10"/>
        <rFont val="Arial"/>
        <family val="2"/>
      </rPr>
      <t>-Trip SobreCorrente Dir Neutro Inst</t>
    </r>
  </si>
  <si>
    <r>
      <t>ZZZ:0YYY:[F1/F2]:</t>
    </r>
    <r>
      <rPr>
        <sz val="10"/>
        <color indexed="14"/>
        <rFont val="Arial"/>
        <family val="2"/>
      </rPr>
      <t>DNPD</t>
    </r>
  </si>
  <si>
    <t xml:space="preserve">Trip SobreCorrente Dir Neutro </t>
  </si>
  <si>
    <r>
      <t>ZZZ:0YYY:67N:DNPP</t>
    </r>
    <r>
      <rPr>
        <sz val="10"/>
        <color indexed="12"/>
        <rFont val="Arial"/>
        <family val="2"/>
      </rPr>
      <t>(DNPS)</t>
    </r>
    <r>
      <rPr>
        <sz val="10"/>
        <color indexed="14"/>
        <rFont val="Arial"/>
        <family val="2"/>
      </rPr>
      <t>(DNPD)</t>
    </r>
  </si>
  <si>
    <r>
      <t>PP</t>
    </r>
    <r>
      <rPr>
        <sz val="10"/>
        <color indexed="12"/>
        <rFont val="Arial"/>
        <family val="2"/>
      </rPr>
      <t>(PS)</t>
    </r>
    <r>
      <rPr>
        <sz val="10"/>
        <rFont val="Arial"/>
        <family val="2"/>
      </rPr>
      <t xml:space="preserve">-Trip SobreCorrente Dir Neutro </t>
    </r>
  </si>
  <si>
    <r>
      <t>ZZZ:0YYY:67:PPSD</t>
    </r>
    <r>
      <rPr>
        <sz val="10"/>
        <color indexed="12"/>
        <rFont val="Arial"/>
        <family val="2"/>
      </rPr>
      <t>(PSSD)</t>
    </r>
    <r>
      <rPr>
        <sz val="10"/>
        <color indexed="14"/>
        <rFont val="Arial"/>
        <family val="2"/>
      </rPr>
      <t>(PDSD)</t>
    </r>
  </si>
  <si>
    <r>
      <t>PP</t>
    </r>
    <r>
      <rPr>
        <sz val="10"/>
        <color indexed="12"/>
        <rFont val="Arial"/>
        <family val="2"/>
      </rPr>
      <t>(PS)</t>
    </r>
    <r>
      <rPr>
        <sz val="10"/>
        <rFont val="Arial"/>
        <family val="2"/>
      </rPr>
      <t>-Trip SobreCorrente Direcional</t>
    </r>
  </si>
  <si>
    <t>DIRECIONAL</t>
  </si>
  <si>
    <r>
      <t>ZZZ:0YYY:50/51:PSOA</t>
    </r>
    <r>
      <rPr>
        <sz val="10"/>
        <color indexed="12"/>
        <rFont val="Arial"/>
        <family val="2"/>
      </rPr>
      <t>(SSOA)</t>
    </r>
    <r>
      <rPr>
        <sz val="10"/>
        <color indexed="14"/>
        <rFont val="Arial"/>
        <family val="2"/>
      </rPr>
      <t>(SCFA)</t>
    </r>
  </si>
  <si>
    <r>
      <t>PP</t>
    </r>
    <r>
      <rPr>
        <sz val="10"/>
        <color indexed="12"/>
        <rFont val="Arial"/>
        <family val="2"/>
      </rPr>
      <t>(PS)</t>
    </r>
    <r>
      <rPr>
        <sz val="10"/>
        <rFont val="Arial"/>
        <family val="2"/>
      </rPr>
      <t xml:space="preserve">-Trip SobreCorrente 50/51 Fase A </t>
    </r>
  </si>
  <si>
    <t>SOBRECORRENTE</t>
  </si>
  <si>
    <r>
      <t>ZZZ:0YYY:50/51:PSOB</t>
    </r>
    <r>
      <rPr>
        <sz val="10"/>
        <color indexed="12"/>
        <rFont val="Arial"/>
        <family val="2"/>
      </rPr>
      <t>(SSOB)</t>
    </r>
    <r>
      <rPr>
        <sz val="10"/>
        <color indexed="14"/>
        <rFont val="Arial"/>
        <family val="2"/>
      </rPr>
      <t>(SCFB)</t>
    </r>
  </si>
  <si>
    <r>
      <t>PP</t>
    </r>
    <r>
      <rPr>
        <sz val="10"/>
        <color indexed="12"/>
        <rFont val="Arial"/>
        <family val="2"/>
      </rPr>
      <t>(PS)</t>
    </r>
    <r>
      <rPr>
        <sz val="10"/>
        <rFont val="Arial"/>
        <family val="2"/>
      </rPr>
      <t xml:space="preserve">-Trip SobreCorrente 50/51 Fase B </t>
    </r>
  </si>
  <si>
    <r>
      <t>ZZZ:0YYY:50/51:PSOC</t>
    </r>
    <r>
      <rPr>
        <sz val="10"/>
        <color indexed="12"/>
        <rFont val="Arial"/>
        <family val="2"/>
      </rPr>
      <t>(SSOC)</t>
    </r>
    <r>
      <rPr>
        <sz val="10"/>
        <color indexed="14"/>
        <rFont val="Arial"/>
        <family val="2"/>
      </rPr>
      <t>(SCFC)</t>
    </r>
  </si>
  <si>
    <r>
      <t>PP</t>
    </r>
    <r>
      <rPr>
        <sz val="10"/>
        <color indexed="12"/>
        <rFont val="Arial"/>
        <family val="2"/>
      </rPr>
      <t>(PS)</t>
    </r>
    <r>
      <rPr>
        <sz val="10"/>
        <rFont val="Arial"/>
        <family val="2"/>
      </rPr>
      <t xml:space="preserve">-Trip SobreCorrente 50/51 Fase C </t>
    </r>
  </si>
  <si>
    <r>
      <t>ZZZ:0YYY:50/51:PSON</t>
    </r>
    <r>
      <rPr>
        <sz val="10"/>
        <color indexed="12"/>
        <rFont val="Arial"/>
        <family val="2"/>
      </rPr>
      <t>(SSON)</t>
    </r>
    <r>
      <rPr>
        <sz val="10"/>
        <color indexed="14"/>
        <rFont val="Arial"/>
        <family val="2"/>
      </rPr>
      <t>(SCON)</t>
    </r>
  </si>
  <si>
    <r>
      <t>PP</t>
    </r>
    <r>
      <rPr>
        <sz val="10"/>
        <color indexed="12"/>
        <rFont val="Arial"/>
        <family val="2"/>
      </rPr>
      <t>(PS)</t>
    </r>
    <r>
      <rPr>
        <sz val="10"/>
        <rFont val="Arial"/>
        <family val="2"/>
      </rPr>
      <t xml:space="preserve">-Trip SobreCorrente 50/51 Neutro </t>
    </r>
  </si>
  <si>
    <r>
      <t>ZZZ:0YYY:50:PSON</t>
    </r>
    <r>
      <rPr>
        <sz val="10"/>
        <color indexed="12"/>
        <rFont val="Arial"/>
        <family val="2"/>
      </rPr>
      <t>(SSON)</t>
    </r>
    <r>
      <rPr>
        <sz val="10"/>
        <color indexed="14"/>
        <rFont val="Arial"/>
        <family val="2"/>
      </rPr>
      <t>(SCON)</t>
    </r>
  </si>
  <si>
    <r>
      <t>PP</t>
    </r>
    <r>
      <rPr>
        <sz val="10"/>
        <color indexed="12"/>
        <rFont val="Arial"/>
        <family val="2"/>
      </rPr>
      <t>(PS)</t>
    </r>
    <r>
      <rPr>
        <sz val="10"/>
        <rFont val="Arial"/>
        <family val="2"/>
      </rPr>
      <t xml:space="preserve">-Trip SobreCorrente 50 Neutro </t>
    </r>
  </si>
  <si>
    <r>
      <t>ZZZ:0YYY:51:PSON</t>
    </r>
    <r>
      <rPr>
        <sz val="10"/>
        <color indexed="12"/>
        <rFont val="Arial"/>
        <family val="2"/>
      </rPr>
      <t>(SSON)</t>
    </r>
    <r>
      <rPr>
        <sz val="10"/>
        <color indexed="14"/>
        <rFont val="Arial"/>
        <family val="2"/>
      </rPr>
      <t>(SCON)</t>
    </r>
  </si>
  <si>
    <r>
      <t>PP</t>
    </r>
    <r>
      <rPr>
        <sz val="10"/>
        <color indexed="12"/>
        <rFont val="Arial"/>
        <family val="2"/>
      </rPr>
      <t>(PS)</t>
    </r>
    <r>
      <rPr>
        <sz val="10"/>
        <rFont val="Arial"/>
        <family val="2"/>
      </rPr>
      <t xml:space="preserve">-Trip SobreCorrente 51 Neutro </t>
    </r>
  </si>
  <si>
    <r>
      <t>PP</t>
    </r>
    <r>
      <rPr>
        <sz val="10"/>
        <color indexed="12"/>
        <rFont val="Arial"/>
        <family val="2"/>
      </rPr>
      <t>(PS)</t>
    </r>
    <r>
      <rPr>
        <sz val="10"/>
        <rFont val="Arial"/>
        <family val="2"/>
      </rPr>
      <t>-Trip SobreCorrente 50/51 Fases</t>
    </r>
  </si>
  <si>
    <t>AGRUPAMENTO DOS ÍTENS 198 A 202</t>
  </si>
  <si>
    <r>
      <t>ZZZ:0YYY:50:SOPP</t>
    </r>
    <r>
      <rPr>
        <sz val="10"/>
        <color indexed="12"/>
        <rFont val="Arial"/>
        <family val="2"/>
      </rPr>
      <t>(SOPS)</t>
    </r>
    <r>
      <rPr>
        <sz val="10"/>
        <color indexed="14"/>
        <rFont val="Arial"/>
        <family val="2"/>
      </rPr>
      <t>(SCOR)</t>
    </r>
  </si>
  <si>
    <r>
      <t>PP</t>
    </r>
    <r>
      <rPr>
        <sz val="10"/>
        <color indexed="12"/>
        <rFont val="Arial"/>
        <family val="2"/>
      </rPr>
      <t>(PS)</t>
    </r>
    <r>
      <rPr>
        <sz val="10"/>
        <rFont val="Arial"/>
        <family val="2"/>
      </rPr>
      <t>-Trip SobreCorrente 50 Fases</t>
    </r>
  </si>
  <si>
    <t>AGRUPAMENTO DOS ÍTENS 200 A 204</t>
  </si>
  <si>
    <r>
      <t>ZZZ:0YYY:51:SOPP</t>
    </r>
    <r>
      <rPr>
        <sz val="10"/>
        <color indexed="12"/>
        <rFont val="Arial"/>
        <family val="2"/>
      </rPr>
      <t>(SOPS)</t>
    </r>
    <r>
      <rPr>
        <sz val="10"/>
        <color indexed="14"/>
        <rFont val="Arial"/>
        <family val="2"/>
      </rPr>
      <t>(SCOR)</t>
    </r>
  </si>
  <si>
    <r>
      <t>PP</t>
    </r>
    <r>
      <rPr>
        <sz val="10"/>
        <color indexed="12"/>
        <rFont val="Arial"/>
        <family val="2"/>
      </rPr>
      <t>(PS)</t>
    </r>
    <r>
      <rPr>
        <sz val="10"/>
        <rFont val="Arial"/>
        <family val="2"/>
      </rPr>
      <t>-Trip SobreCorrente 51 Fases</t>
    </r>
  </si>
  <si>
    <t>AGRUPAMENTO DOS ÍTENS 202 A 205</t>
  </si>
  <si>
    <r>
      <t>ZZZ:0YYY:50/51:SCPP</t>
    </r>
    <r>
      <rPr>
        <sz val="10"/>
        <color indexed="12"/>
        <rFont val="Arial"/>
        <family val="2"/>
      </rPr>
      <t>(SCPS)</t>
    </r>
    <r>
      <rPr>
        <sz val="10"/>
        <color indexed="14"/>
        <rFont val="Arial"/>
        <family val="2"/>
      </rPr>
      <t>(SOCO)</t>
    </r>
  </si>
  <si>
    <r>
      <t>PP</t>
    </r>
    <r>
      <rPr>
        <sz val="10"/>
        <color indexed="12"/>
        <rFont val="Arial"/>
        <family val="2"/>
      </rPr>
      <t>(PS)</t>
    </r>
    <r>
      <rPr>
        <sz val="10"/>
        <rFont val="Arial"/>
        <family val="2"/>
      </rPr>
      <t>-Trip SobreCorrente</t>
    </r>
  </si>
  <si>
    <t>Usar apenas em instalações onde já existir agrupados fase e neutro. Evitar em projetos novos.</t>
  </si>
  <si>
    <t>AGRUPAMENTO DOS ÍTENS 196 A 200</t>
  </si>
  <si>
    <r>
      <t>ZZZ:0YYY:50:SCPP</t>
    </r>
    <r>
      <rPr>
        <sz val="10"/>
        <color indexed="12"/>
        <rFont val="Arial"/>
        <family val="2"/>
      </rPr>
      <t>(SCPS)</t>
    </r>
    <r>
      <rPr>
        <sz val="10"/>
        <color indexed="14"/>
        <rFont val="Arial"/>
        <family val="2"/>
      </rPr>
      <t>(SOCO)</t>
    </r>
  </si>
  <si>
    <r>
      <t>ZZZ:0YYY:51:SCPP</t>
    </r>
    <r>
      <rPr>
        <sz val="10"/>
        <color indexed="12"/>
        <rFont val="Arial"/>
        <family val="2"/>
      </rPr>
      <t>(SCPS)</t>
    </r>
    <r>
      <rPr>
        <sz val="10"/>
        <color indexed="14"/>
        <rFont val="Arial"/>
        <family val="2"/>
      </rPr>
      <t>(SOCO)</t>
    </r>
  </si>
  <si>
    <r>
      <t>ZZZ:0YYY:50/51V:PTRA</t>
    </r>
    <r>
      <rPr>
        <sz val="10"/>
        <color indexed="12"/>
        <rFont val="Arial"/>
        <family val="2"/>
      </rPr>
      <t>(STRA)</t>
    </r>
    <r>
      <rPr>
        <sz val="10"/>
        <color indexed="14"/>
        <rFont val="Arial"/>
        <family val="2"/>
      </rPr>
      <t>(SCRA)</t>
    </r>
  </si>
  <si>
    <r>
      <t>PP</t>
    </r>
    <r>
      <rPr>
        <sz val="10"/>
        <color indexed="12"/>
        <rFont val="Arial"/>
        <family val="2"/>
      </rPr>
      <t>(PS)</t>
    </r>
    <r>
      <rPr>
        <sz val="10"/>
        <rFont val="Arial"/>
        <family val="2"/>
      </rPr>
      <t xml:space="preserve">-Trip SobreCorrente 50/51V Fase A </t>
    </r>
  </si>
  <si>
    <t>SOBRECORRENTE RESTRIÇÃO TENSÃO</t>
  </si>
  <si>
    <r>
      <t>ZZZ:0YYY:50/51V:PPRF</t>
    </r>
    <r>
      <rPr>
        <sz val="10"/>
        <color indexed="12"/>
        <rFont val="Arial"/>
        <family val="2"/>
      </rPr>
      <t>(PSRF)</t>
    </r>
    <r>
      <rPr>
        <sz val="10"/>
        <color indexed="14"/>
        <rFont val="Arial"/>
        <family val="2"/>
      </rPr>
      <t>(SCRF)</t>
    </r>
  </si>
  <si>
    <r>
      <t>ZZZ:0YYY:50/51V:PTRB</t>
    </r>
    <r>
      <rPr>
        <sz val="10"/>
        <color indexed="12"/>
        <rFont val="Arial"/>
        <family val="2"/>
      </rPr>
      <t>(STRB)</t>
    </r>
    <r>
      <rPr>
        <sz val="10"/>
        <color indexed="14"/>
        <rFont val="Arial"/>
        <family val="2"/>
      </rPr>
      <t>(SCRB)</t>
    </r>
  </si>
  <si>
    <r>
      <t>PP</t>
    </r>
    <r>
      <rPr>
        <sz val="10"/>
        <color indexed="12"/>
        <rFont val="Arial"/>
        <family val="2"/>
      </rPr>
      <t>(PS)</t>
    </r>
    <r>
      <rPr>
        <sz val="10"/>
        <rFont val="Arial"/>
        <family val="2"/>
      </rPr>
      <t xml:space="preserve">-Trip SobreCorrente 50/51V Fase B </t>
    </r>
  </si>
  <si>
    <r>
      <t>ZZZ:0YYY:50/51V:PTRC</t>
    </r>
    <r>
      <rPr>
        <sz val="10"/>
        <color indexed="12"/>
        <rFont val="Arial"/>
        <family val="2"/>
      </rPr>
      <t>(STRC)</t>
    </r>
    <r>
      <rPr>
        <sz val="10"/>
        <color indexed="14"/>
        <rFont val="Arial"/>
        <family val="2"/>
      </rPr>
      <t>(SCRC)</t>
    </r>
  </si>
  <si>
    <r>
      <t>PP</t>
    </r>
    <r>
      <rPr>
        <sz val="10"/>
        <color indexed="12"/>
        <rFont val="Arial"/>
        <family val="2"/>
      </rPr>
      <t>(PS)</t>
    </r>
    <r>
      <rPr>
        <sz val="10"/>
        <rFont val="Arial"/>
        <family val="2"/>
      </rPr>
      <t xml:space="preserve">-Trip SobreCorrente 50/51V Fase C </t>
    </r>
  </si>
  <si>
    <r>
      <t>PP</t>
    </r>
    <r>
      <rPr>
        <sz val="10"/>
        <color indexed="12"/>
        <rFont val="Arial"/>
        <family val="2"/>
      </rPr>
      <t>(PS)</t>
    </r>
    <r>
      <rPr>
        <sz val="10"/>
        <rFont val="Arial"/>
        <family val="2"/>
      </rPr>
      <t>-Trip SobreCorrente 50/51V Fases</t>
    </r>
  </si>
  <si>
    <t>AGRUPAMENTO DOS ÍTENS 214 A 216</t>
  </si>
  <si>
    <r>
      <t>ZZZ:0YYY:**:PSCE</t>
    </r>
    <r>
      <rPr>
        <sz val="10"/>
        <color indexed="12"/>
        <rFont val="Arial"/>
        <family val="2"/>
      </rPr>
      <t>(SSCE)</t>
    </r>
    <r>
      <rPr>
        <sz val="10"/>
        <color indexed="14"/>
        <rFont val="Arial"/>
        <family val="2"/>
      </rPr>
      <t>(SOCE)</t>
    </r>
  </si>
  <si>
    <r>
      <t>PP</t>
    </r>
    <r>
      <rPr>
        <sz val="10"/>
        <color indexed="12"/>
        <rFont val="Arial"/>
        <family val="2"/>
      </rPr>
      <t>(PS)</t>
    </r>
    <r>
      <rPr>
        <sz val="10"/>
        <rFont val="Arial"/>
        <family val="2"/>
      </rPr>
      <t>-Trip SobreCorrente Emergência</t>
    </r>
  </si>
  <si>
    <t>SOBRECORRENTE EMERGENCIA</t>
  </si>
  <si>
    <t>** - código NEMA da Função principal do Relé.</t>
  </si>
  <si>
    <r>
      <t>ZZZ:0YYY:87L:DFAP</t>
    </r>
    <r>
      <rPr>
        <sz val="10"/>
        <color indexed="12"/>
        <rFont val="Arial"/>
        <family val="2"/>
      </rPr>
      <t>(DFAS)</t>
    </r>
    <r>
      <rPr>
        <sz val="10"/>
        <color indexed="14"/>
        <rFont val="Arial"/>
        <family val="2"/>
      </rPr>
      <t>(PDIA)</t>
    </r>
  </si>
  <si>
    <t xml:space="preserve">PP(PS)-Trip Relé Diferencial 87 Fase A </t>
  </si>
  <si>
    <t>No caso de LINK usar a OCR OCR_NOR_IPU01</t>
  </si>
  <si>
    <r>
      <t>ZZZ:0YYY:87L:DFBP</t>
    </r>
    <r>
      <rPr>
        <sz val="10"/>
        <color indexed="12"/>
        <rFont val="Arial"/>
        <family val="2"/>
      </rPr>
      <t>(DFBS)</t>
    </r>
    <r>
      <rPr>
        <sz val="10"/>
        <color indexed="14"/>
        <rFont val="Arial"/>
        <family val="2"/>
      </rPr>
      <t>(PDIB)</t>
    </r>
  </si>
  <si>
    <t xml:space="preserve">PP(PS)-Trip Relé Diferencial 87 Fase B </t>
  </si>
  <si>
    <r>
      <t>ZZZ:0YYY:87L:DFCP</t>
    </r>
    <r>
      <rPr>
        <sz val="10"/>
        <color indexed="12"/>
        <rFont val="Arial"/>
        <family val="2"/>
      </rPr>
      <t>(DFCS)</t>
    </r>
    <r>
      <rPr>
        <sz val="10"/>
        <color indexed="14"/>
        <rFont val="Arial"/>
        <family val="2"/>
      </rPr>
      <t>(PDIC)</t>
    </r>
  </si>
  <si>
    <t xml:space="preserve">PP(PS)-Trip Relé Diferencial 87 Fase C </t>
  </si>
  <si>
    <t xml:space="preserve">PP(PS)-Trip Relé Diferencial </t>
  </si>
  <si>
    <t>AGRUPAMENTO DOS ÍTENS 221 A 225</t>
  </si>
  <si>
    <r>
      <t>ZZZ:0YYY:**:PPTS</t>
    </r>
    <r>
      <rPr>
        <sz val="10"/>
        <color indexed="12"/>
        <rFont val="Arial"/>
        <family val="2"/>
      </rPr>
      <t>(PSTS)</t>
    </r>
    <r>
      <rPr>
        <sz val="10"/>
        <color indexed="14"/>
        <rFont val="Arial"/>
        <family val="2"/>
      </rPr>
      <t>(TTTT)</t>
    </r>
  </si>
  <si>
    <r>
      <t>PP</t>
    </r>
    <r>
      <rPr>
        <sz val="10"/>
        <color indexed="12"/>
        <rFont val="Arial"/>
        <family val="2"/>
      </rPr>
      <t>(PS)</t>
    </r>
    <r>
      <rPr>
        <sz val="10"/>
        <rFont val="Arial"/>
        <family val="2"/>
      </rPr>
      <t xml:space="preserve">-Transmissão Transfer Trip </t>
    </r>
  </si>
  <si>
    <t>** - código NEMA (21, 87L, 67N etc). Quando nao estiver especificado a função do relé deve-se utilizar NEMA 85.</t>
  </si>
  <si>
    <r>
      <t>ZZZ:0YYY:[F1/F2]:</t>
    </r>
    <r>
      <rPr>
        <sz val="10"/>
        <color indexed="14"/>
        <rFont val="Arial"/>
        <family val="2"/>
      </rPr>
      <t>TRFA</t>
    </r>
  </si>
  <si>
    <t>Transmissão de Transfer Trip Fase A</t>
  </si>
  <si>
    <r>
      <t>ZZZ:0YYY:**:TPFA</t>
    </r>
    <r>
      <rPr>
        <sz val="10"/>
        <color indexed="12"/>
        <rFont val="Arial"/>
        <family val="2"/>
      </rPr>
      <t>(TSFA)</t>
    </r>
    <r>
      <rPr>
        <sz val="10"/>
        <color indexed="14"/>
        <rFont val="Arial"/>
        <family val="2"/>
      </rPr>
      <t>(TRFA)</t>
    </r>
  </si>
  <si>
    <r>
      <t>PP</t>
    </r>
    <r>
      <rPr>
        <sz val="10"/>
        <color indexed="12"/>
        <rFont val="Arial"/>
        <family val="2"/>
      </rPr>
      <t>(PS)</t>
    </r>
    <r>
      <rPr>
        <sz val="10"/>
        <rFont val="Arial"/>
        <family val="2"/>
      </rPr>
      <t>- Transmissão de Transfer Trip Fase A</t>
    </r>
  </si>
  <si>
    <r>
      <t>ZZZ:0YYY:[F1/F2]:</t>
    </r>
    <r>
      <rPr>
        <sz val="10"/>
        <color indexed="14"/>
        <rFont val="Arial"/>
        <family val="2"/>
      </rPr>
      <t>TRFB</t>
    </r>
  </si>
  <si>
    <t>Transmissão de Transfer Trip Fase B</t>
  </si>
  <si>
    <r>
      <t>ZZZ:0YYY:**:TPFB</t>
    </r>
    <r>
      <rPr>
        <sz val="10"/>
        <color indexed="12"/>
        <rFont val="Arial"/>
        <family val="2"/>
      </rPr>
      <t>(TSFB)</t>
    </r>
    <r>
      <rPr>
        <sz val="10"/>
        <color indexed="14"/>
        <rFont val="Arial"/>
        <family val="2"/>
      </rPr>
      <t>(TRFB)</t>
    </r>
  </si>
  <si>
    <r>
      <t>PP</t>
    </r>
    <r>
      <rPr>
        <sz val="10"/>
        <color indexed="12"/>
        <rFont val="Arial"/>
        <family val="2"/>
      </rPr>
      <t>(PS)</t>
    </r>
    <r>
      <rPr>
        <sz val="10"/>
        <rFont val="Arial"/>
        <family val="2"/>
      </rPr>
      <t>- Transmissão de Transfer Trip Fase B</t>
    </r>
  </si>
  <si>
    <r>
      <t>ZZZ:0YYY:[F1/F2]:</t>
    </r>
    <r>
      <rPr>
        <sz val="10"/>
        <color indexed="14"/>
        <rFont val="Arial"/>
        <family val="2"/>
      </rPr>
      <t>TRFC</t>
    </r>
  </si>
  <si>
    <t>Transmissão de Transfer Trip Fase C</t>
  </si>
  <si>
    <r>
      <t>ZZZ:0YYY:**:TPFC</t>
    </r>
    <r>
      <rPr>
        <sz val="10"/>
        <color indexed="12"/>
        <rFont val="Arial"/>
        <family val="2"/>
      </rPr>
      <t>(TSFC)</t>
    </r>
    <r>
      <rPr>
        <sz val="10"/>
        <color indexed="14"/>
        <rFont val="Arial"/>
        <family val="2"/>
      </rPr>
      <t>(TRFC)</t>
    </r>
  </si>
  <si>
    <r>
      <t>PP</t>
    </r>
    <r>
      <rPr>
        <sz val="10"/>
        <color indexed="12"/>
        <rFont val="Arial"/>
        <family val="2"/>
      </rPr>
      <t>(PS)</t>
    </r>
    <r>
      <rPr>
        <sz val="10"/>
        <rFont val="Arial"/>
        <family val="2"/>
      </rPr>
      <t>- Transmissão de Transfer Trip Fase C</t>
    </r>
  </si>
  <si>
    <r>
      <t>ZZZ:0YYY:**:TTPM</t>
    </r>
    <r>
      <rPr>
        <sz val="10"/>
        <color indexed="12"/>
        <rFont val="Arial"/>
        <family val="2"/>
      </rPr>
      <t>(TTSM)</t>
    </r>
    <r>
      <rPr>
        <sz val="10"/>
        <color indexed="14"/>
        <rFont val="Arial"/>
        <family val="2"/>
      </rPr>
      <t>(TTTM)</t>
    </r>
  </si>
  <si>
    <r>
      <t>PP</t>
    </r>
    <r>
      <rPr>
        <sz val="10"/>
        <color indexed="12"/>
        <rFont val="Arial"/>
        <family val="2"/>
      </rPr>
      <t>(PS)</t>
    </r>
    <r>
      <rPr>
        <sz val="10"/>
        <rFont val="Arial"/>
        <family val="2"/>
      </rPr>
      <t>-Transmissão Transfer Trip Mantido</t>
    </r>
  </si>
  <si>
    <r>
      <t>ZZZ:0YYY:**:RTPM</t>
    </r>
    <r>
      <rPr>
        <sz val="10"/>
        <color indexed="12"/>
        <rFont val="Arial"/>
        <family val="2"/>
      </rPr>
      <t>(RTSM)</t>
    </r>
    <r>
      <rPr>
        <sz val="10"/>
        <color indexed="14"/>
        <rFont val="Arial"/>
        <family val="2"/>
      </rPr>
      <t>(RTTM)</t>
    </r>
  </si>
  <si>
    <r>
      <t>PP</t>
    </r>
    <r>
      <rPr>
        <sz val="10"/>
        <color indexed="12"/>
        <rFont val="Arial"/>
        <family val="2"/>
      </rPr>
      <t>(PS)</t>
    </r>
    <r>
      <rPr>
        <sz val="10"/>
        <rFont val="Arial"/>
        <family val="2"/>
      </rPr>
      <t>-Recepção Transfer Trip Mantido</t>
    </r>
  </si>
  <si>
    <r>
      <t>ZZZ:0YYY:**:PPRS</t>
    </r>
    <r>
      <rPr>
        <sz val="10"/>
        <color indexed="12"/>
        <rFont val="Arial"/>
        <family val="2"/>
      </rPr>
      <t>(PSRS)</t>
    </r>
    <r>
      <rPr>
        <sz val="10"/>
        <color indexed="14"/>
        <rFont val="Arial"/>
        <family val="2"/>
      </rPr>
      <t>(TRTT)</t>
    </r>
  </si>
  <si>
    <r>
      <t>PP</t>
    </r>
    <r>
      <rPr>
        <sz val="10"/>
        <color indexed="12"/>
        <rFont val="Arial"/>
        <family val="2"/>
      </rPr>
      <t>(PS)</t>
    </r>
    <r>
      <rPr>
        <sz val="10"/>
        <rFont val="Arial"/>
        <family val="2"/>
      </rPr>
      <t>-Recepção Transfer Trip</t>
    </r>
  </si>
  <si>
    <r>
      <t>ZZZ:0YYY:[F1/F2]:</t>
    </r>
    <r>
      <rPr>
        <sz val="10"/>
        <color indexed="14"/>
        <rFont val="Arial"/>
        <family val="2"/>
      </rPr>
      <t>RRFA</t>
    </r>
  </si>
  <si>
    <t>Recepção de Transfer Trip Fase A</t>
  </si>
  <si>
    <r>
      <t>ZZZ:0YYY:**:RPFA</t>
    </r>
    <r>
      <rPr>
        <sz val="10"/>
        <color indexed="12"/>
        <rFont val="Arial"/>
        <family val="2"/>
      </rPr>
      <t>(RSFA)</t>
    </r>
    <r>
      <rPr>
        <sz val="10"/>
        <color indexed="14"/>
        <rFont val="Arial"/>
        <family val="2"/>
      </rPr>
      <t>(RRFA)</t>
    </r>
  </si>
  <si>
    <r>
      <t>PP</t>
    </r>
    <r>
      <rPr>
        <sz val="10"/>
        <color indexed="12"/>
        <rFont val="Arial"/>
        <family val="2"/>
      </rPr>
      <t>(PS)</t>
    </r>
    <r>
      <rPr>
        <sz val="10"/>
        <rFont val="Arial"/>
        <family val="2"/>
      </rPr>
      <t>- Recepção de Transfer Trip Fase A</t>
    </r>
  </si>
  <si>
    <t>** - código NEMA (21, 87L, 67N etc). Quando nao estiver especificado a função do relé deve-se utilizar NEMA 85.
No caso de LINK usar a OCR OCR_NOR_IPU01</t>
  </si>
  <si>
    <r>
      <t>ZZZ:0YYY:[F1/F2]:</t>
    </r>
    <r>
      <rPr>
        <sz val="10"/>
        <color indexed="14"/>
        <rFont val="Arial"/>
        <family val="2"/>
      </rPr>
      <t>RRFB</t>
    </r>
  </si>
  <si>
    <t>Recepção de Transfer Trip Fase B</t>
  </si>
  <si>
    <r>
      <t>ZZZ:0YYY:**:RPFB</t>
    </r>
    <r>
      <rPr>
        <sz val="10"/>
        <color indexed="12"/>
        <rFont val="Arial"/>
        <family val="2"/>
      </rPr>
      <t>(RSFB)</t>
    </r>
    <r>
      <rPr>
        <sz val="10"/>
        <color indexed="14"/>
        <rFont val="Arial"/>
        <family val="2"/>
      </rPr>
      <t>(RRFB)</t>
    </r>
  </si>
  <si>
    <r>
      <t>PP</t>
    </r>
    <r>
      <rPr>
        <sz val="10"/>
        <color indexed="12"/>
        <rFont val="Arial"/>
        <family val="2"/>
      </rPr>
      <t>(PS)</t>
    </r>
    <r>
      <rPr>
        <sz val="10"/>
        <rFont val="Arial"/>
        <family val="2"/>
      </rPr>
      <t>- Recepção de Transfer Trip Fase B</t>
    </r>
  </si>
  <si>
    <r>
      <t>ZZZ:0YYY:[F1/F2]:</t>
    </r>
    <r>
      <rPr>
        <sz val="10"/>
        <color indexed="14"/>
        <rFont val="Arial"/>
        <family val="2"/>
      </rPr>
      <t>RRFC</t>
    </r>
  </si>
  <si>
    <t>Recepção de Transfer Trip Fase C</t>
  </si>
  <si>
    <r>
      <t>ZZZ:0YYY:**:RPFC</t>
    </r>
    <r>
      <rPr>
        <sz val="10"/>
        <color indexed="12"/>
        <rFont val="Arial"/>
        <family val="2"/>
      </rPr>
      <t>(RSFC)</t>
    </r>
    <r>
      <rPr>
        <sz val="10"/>
        <color indexed="14"/>
        <rFont val="Arial"/>
        <family val="2"/>
      </rPr>
      <t>(RRFC)</t>
    </r>
  </si>
  <si>
    <r>
      <t>PP</t>
    </r>
    <r>
      <rPr>
        <sz val="10"/>
        <color indexed="12"/>
        <rFont val="Arial"/>
        <family val="2"/>
      </rPr>
      <t>(PS)</t>
    </r>
    <r>
      <rPr>
        <sz val="10"/>
        <rFont val="Arial"/>
        <family val="2"/>
      </rPr>
      <t>- Recepção de Transfer Trip Fase C</t>
    </r>
  </si>
  <si>
    <r>
      <t>ZZZ:0YYY:85:PPRP</t>
    </r>
    <r>
      <rPr>
        <sz val="10"/>
        <color indexed="12"/>
        <rFont val="Arial"/>
        <family val="2"/>
      </rPr>
      <t>(PSRP)</t>
    </r>
    <r>
      <rPr>
        <sz val="10"/>
        <color indexed="14"/>
        <rFont val="Arial"/>
        <family val="2"/>
      </rPr>
      <t>(RCRP)</t>
    </r>
  </si>
  <si>
    <r>
      <t>PP</t>
    </r>
    <r>
      <rPr>
        <sz val="10"/>
        <color indexed="12"/>
        <rFont val="Arial"/>
        <family val="2"/>
      </rPr>
      <t>(PS)</t>
    </r>
    <r>
      <rPr>
        <sz val="10"/>
        <rFont val="Arial"/>
        <family val="2"/>
      </rPr>
      <t>-Recepção Permissivo</t>
    </r>
  </si>
  <si>
    <t>ZZZ:0YYY:86:ARBA</t>
  </si>
  <si>
    <t>Atuação Relé de Bloqueio Secundário</t>
  </si>
  <si>
    <t>ZZZ:0YYY:86:ARPA</t>
  </si>
  <si>
    <t>Atuação Relé de Bloqueio Principal</t>
  </si>
  <si>
    <t>ZZZ:0YYY:86:ATRB</t>
  </si>
  <si>
    <t>8.2.1.4(a)(4)(5)</t>
  </si>
  <si>
    <t>ZZZ:0XTY:86:REBP</t>
  </si>
  <si>
    <t>Rearme do Relé de Bloqueio Principal</t>
  </si>
  <si>
    <t>ZZZ:0XTY:86:REBS</t>
  </si>
  <si>
    <t>Rearme do Relé de Bloqueio Secundário</t>
  </si>
  <si>
    <t>ZZZ:0XTY:86:RERB</t>
  </si>
  <si>
    <t xml:space="preserve">Rearme do Relé de Bloqueio </t>
  </si>
  <si>
    <t>ZZZ:0YYY:00:TPGE</t>
  </si>
  <si>
    <t>Trip Proteção Gerador</t>
  </si>
  <si>
    <t>Substitui "TRIP PROT USINA" ou "SUBEXCITACAO DESLIGAMENTO" (No caso de link)</t>
  </si>
  <si>
    <t>ZZZ:0YYY:00:TDTE</t>
  </si>
  <si>
    <t xml:space="preserve">Trip Desequilibrio de Tensão </t>
  </si>
  <si>
    <t>Substitui "PROT DESEQ DE TENSÃO" (No caso de link)</t>
  </si>
  <si>
    <r>
      <t>ZZZ:0YYY:00:PPAI</t>
    </r>
    <r>
      <rPr>
        <sz val="10"/>
        <color indexed="12"/>
        <rFont val="Arial"/>
        <family val="2"/>
      </rPr>
      <t>(PSAI)</t>
    </r>
  </si>
  <si>
    <r>
      <t>PP</t>
    </r>
    <r>
      <rPr>
        <sz val="10"/>
        <color indexed="12"/>
        <rFont val="Arial"/>
        <family val="2"/>
      </rPr>
      <t>(PS)</t>
    </r>
    <r>
      <rPr>
        <sz val="10"/>
        <rFont val="Arial"/>
        <family val="2"/>
      </rPr>
      <t xml:space="preserve">-Atuação Interfasica </t>
    </r>
  </si>
  <si>
    <t>Substitui "PROT PRIM ATUA INTERF" (No caso de link)</t>
  </si>
  <si>
    <t>ZZZ:0YYY:00:TPSU</t>
  </si>
  <si>
    <t xml:space="preserve">Trip PP / PS Usina </t>
  </si>
  <si>
    <t>Substitui "TRIP PROTEÇÃO PRIM / SEC USINA" (No caso de link)</t>
  </si>
  <si>
    <r>
      <t>ZZZ:0YYY:50:</t>
    </r>
    <r>
      <rPr>
        <sz val="10"/>
        <rFont val="Arial"/>
        <family val="2"/>
      </rPr>
      <t>TE1F</t>
    </r>
    <r>
      <rPr>
        <sz val="10"/>
        <color indexed="12"/>
        <rFont val="Arial"/>
        <family val="2"/>
      </rPr>
      <t>(TE2F)</t>
    </r>
    <r>
      <rPr>
        <sz val="10"/>
        <color indexed="14"/>
        <rFont val="Arial"/>
        <family val="2"/>
      </rPr>
      <t>(TEDF)</t>
    </r>
  </si>
  <si>
    <r>
      <t>PP</t>
    </r>
    <r>
      <rPr>
        <sz val="10"/>
        <color indexed="12"/>
        <rFont val="Arial"/>
        <family val="2"/>
      </rPr>
      <t>(PS)</t>
    </r>
    <r>
      <rPr>
        <sz val="10"/>
        <rFont val="Arial"/>
        <family val="2"/>
      </rPr>
      <t>-Trip por End Fault</t>
    </r>
  </si>
  <si>
    <t>END FAULT</t>
  </si>
  <si>
    <t>ZZZ:0YYY:**:PRTA</t>
  </si>
  <si>
    <t>** Nome do Painel com no máximo 6 dígitos, ou PNLn, onde n=Numeração sequencial do Painel no vão.</t>
  </si>
  <si>
    <r>
      <t>ZZZ:0YYY:00:PPDM</t>
    </r>
    <r>
      <rPr>
        <sz val="10"/>
        <color indexed="12"/>
        <rFont val="Arial"/>
        <family val="2"/>
      </rPr>
      <t>(PSDM)</t>
    </r>
    <r>
      <rPr>
        <sz val="10"/>
        <color indexed="14"/>
        <rFont val="Arial"/>
        <family val="2"/>
      </rPr>
      <t>(DTPM)</t>
    </r>
  </si>
  <si>
    <r>
      <t>PP</t>
    </r>
    <r>
      <rPr>
        <sz val="10"/>
        <color indexed="12"/>
        <rFont val="Arial"/>
        <family val="2"/>
      </rPr>
      <t>(PS)</t>
    </r>
    <r>
      <rPr>
        <sz val="10"/>
        <rFont val="Arial"/>
        <family val="2"/>
      </rPr>
      <t>-Desligamento Mini Disj. TP de Medição</t>
    </r>
  </si>
  <si>
    <r>
      <t>ZZZ:0YYY:00:PPDP</t>
    </r>
    <r>
      <rPr>
        <sz val="10"/>
        <color indexed="12"/>
        <rFont val="Arial"/>
        <family val="2"/>
      </rPr>
      <t>(PSDP)</t>
    </r>
    <r>
      <rPr>
        <sz val="10"/>
        <color indexed="14"/>
        <rFont val="Arial"/>
        <family val="2"/>
      </rPr>
      <t>(DTPP)</t>
    </r>
  </si>
  <si>
    <r>
      <t>PP</t>
    </r>
    <r>
      <rPr>
        <sz val="10"/>
        <color indexed="12"/>
        <rFont val="Arial"/>
        <family val="2"/>
      </rPr>
      <t>(PS)</t>
    </r>
    <r>
      <rPr>
        <sz val="10"/>
        <rFont val="Arial"/>
        <family val="2"/>
      </rPr>
      <t>-Desligamento Mini Disj. TP de Proteção</t>
    </r>
  </si>
  <si>
    <r>
      <t>ZZZ:0YYY:**:PPBF</t>
    </r>
    <r>
      <rPr>
        <sz val="10"/>
        <color indexed="12"/>
        <rFont val="Arial"/>
        <family val="2"/>
      </rPr>
      <t>(PSBF)</t>
    </r>
    <r>
      <rPr>
        <sz val="10"/>
        <color indexed="14"/>
        <rFont val="Arial"/>
        <family val="2"/>
      </rPr>
      <t>(PDBF)</t>
    </r>
  </si>
  <si>
    <r>
      <t>PP</t>
    </r>
    <r>
      <rPr>
        <sz val="10"/>
        <color indexed="12"/>
        <rFont val="Arial"/>
        <family val="2"/>
      </rPr>
      <t>(PS)</t>
    </r>
    <r>
      <rPr>
        <sz val="10"/>
        <rFont val="Arial"/>
        <family val="2"/>
      </rPr>
      <t>-Bloqueio por Falha de Potencial do TP</t>
    </r>
  </si>
  <si>
    <t>** - NEMA da Função Bloqueada</t>
  </si>
  <si>
    <r>
      <t>ZZZ:0YYY:00:PPAP</t>
    </r>
    <r>
      <rPr>
        <sz val="10"/>
        <color indexed="12"/>
        <rFont val="Arial"/>
        <family val="2"/>
      </rPr>
      <t>(PSAP)</t>
    </r>
    <r>
      <rPr>
        <sz val="10"/>
        <color indexed="14"/>
        <rFont val="Arial"/>
        <family val="2"/>
      </rPr>
      <t>(ANPR)</t>
    </r>
    <r>
      <rPr>
        <sz val="10"/>
        <rFont val="Arial"/>
        <family val="2"/>
      </rPr>
      <t>, ZZZ:0YYY:00:ONS3</t>
    </r>
  </si>
  <si>
    <r>
      <t>ZZZ:0YYY:**:FIRP</t>
    </r>
    <r>
      <rPr>
        <sz val="10"/>
        <color indexed="12"/>
        <rFont val="Arial"/>
        <family val="2"/>
      </rPr>
      <t>(FIRS)</t>
    </r>
    <r>
      <rPr>
        <sz val="10"/>
        <color indexed="14"/>
        <rFont val="Arial"/>
        <family val="2"/>
      </rPr>
      <t>(FIRE)</t>
    </r>
  </si>
  <si>
    <r>
      <t>PP</t>
    </r>
    <r>
      <rPr>
        <sz val="10"/>
        <color indexed="12"/>
        <rFont val="Arial"/>
        <family val="2"/>
      </rPr>
      <t>(PS)-</t>
    </r>
    <r>
      <rPr>
        <sz val="10"/>
        <rFont val="Arial"/>
        <family val="2"/>
      </rPr>
      <t>Falha Interna Relé</t>
    </r>
  </si>
  <si>
    <t>ZZZ:0YYY:[F1/F2]:FCRE</t>
  </si>
  <si>
    <t>Falha Comunicação Relé</t>
  </si>
  <si>
    <r>
      <t>ZZZ:0YYY:**:FCRP</t>
    </r>
    <r>
      <rPr>
        <sz val="10"/>
        <color indexed="12"/>
        <rFont val="Arial"/>
        <family val="2"/>
      </rPr>
      <t>(FCRS)</t>
    </r>
    <r>
      <rPr>
        <sz val="10"/>
        <color indexed="14"/>
        <rFont val="Arial"/>
        <family val="2"/>
      </rPr>
      <t>(FCRE)</t>
    </r>
  </si>
  <si>
    <r>
      <t>PP</t>
    </r>
    <r>
      <rPr>
        <sz val="10"/>
        <color indexed="12"/>
        <rFont val="Arial"/>
        <family val="2"/>
      </rPr>
      <t>(PS)-</t>
    </r>
    <r>
      <rPr>
        <sz val="10"/>
        <rFont val="Arial"/>
        <family val="2"/>
      </rPr>
      <t>Falha Comunicação Relé</t>
    </r>
  </si>
  <si>
    <r>
      <t>ZZZ:0YYY:**:FSRP</t>
    </r>
    <r>
      <rPr>
        <sz val="10"/>
        <color indexed="12"/>
        <rFont val="Arial"/>
        <family val="2"/>
      </rPr>
      <t>(FSRS)</t>
    </r>
    <r>
      <rPr>
        <sz val="10"/>
        <color indexed="14"/>
        <rFont val="Arial"/>
        <family val="2"/>
      </rPr>
      <t>(FSRE)</t>
    </r>
  </si>
  <si>
    <r>
      <t>PP</t>
    </r>
    <r>
      <rPr>
        <sz val="10"/>
        <color indexed="12"/>
        <rFont val="Arial"/>
        <family val="2"/>
      </rPr>
      <t>(PS)-</t>
    </r>
    <r>
      <rPr>
        <sz val="10"/>
        <rFont val="Arial"/>
        <family val="2"/>
      </rPr>
      <t>Falha Sincronismo Relé</t>
    </r>
  </si>
  <si>
    <r>
      <t>ZZZ:0YYY:**:FGOP</t>
    </r>
    <r>
      <rPr>
        <sz val="10"/>
        <color indexed="12"/>
        <rFont val="Arial"/>
        <family val="2"/>
      </rPr>
      <t>(FGOS)</t>
    </r>
    <r>
      <rPr>
        <sz val="10"/>
        <color indexed="14"/>
        <rFont val="Arial"/>
        <family val="2"/>
      </rPr>
      <t>(FGOE)</t>
    </r>
  </si>
  <si>
    <r>
      <t>PP</t>
    </r>
    <r>
      <rPr>
        <sz val="10"/>
        <color indexed="12"/>
        <rFont val="Arial"/>
        <family val="2"/>
      </rPr>
      <t>(PS)-</t>
    </r>
    <r>
      <rPr>
        <sz val="10"/>
        <rFont val="Arial"/>
        <family val="2"/>
      </rPr>
      <t>Falha de Goose</t>
    </r>
  </si>
  <si>
    <r>
      <t>ZZZ:0YYY:**:FPGP</t>
    </r>
    <r>
      <rPr>
        <sz val="10"/>
        <color indexed="12"/>
        <rFont val="Arial"/>
        <family val="2"/>
      </rPr>
      <t>(FSGP)</t>
    </r>
    <r>
      <rPr>
        <sz val="10"/>
        <color indexed="14"/>
        <rFont val="Arial"/>
        <family val="2"/>
      </rPr>
      <t>(FGPS)</t>
    </r>
  </si>
  <si>
    <r>
      <t>PP</t>
    </r>
    <r>
      <rPr>
        <sz val="10"/>
        <color indexed="12"/>
        <rFont val="Arial"/>
        <family val="2"/>
      </rPr>
      <t>(PS)-</t>
    </r>
    <r>
      <rPr>
        <sz val="10"/>
        <rFont val="Arial"/>
        <family val="2"/>
      </rPr>
      <t>Falha de Sincronismo com GPS</t>
    </r>
  </si>
  <si>
    <r>
      <t>ZZZ:0YYY:[F1/F2/UC1]:</t>
    </r>
    <r>
      <rPr>
        <sz val="10"/>
        <color indexed="14"/>
        <rFont val="Arial"/>
        <family val="2"/>
      </rPr>
      <t>FCOn</t>
    </r>
  </si>
  <si>
    <t>Falha Canal Óptico</t>
  </si>
  <si>
    <t>"n" - Número do Canal Óptico.</t>
  </si>
  <si>
    <r>
      <t>ZZZ:0YYY:**:PFOn</t>
    </r>
    <r>
      <rPr>
        <sz val="10"/>
        <color indexed="12"/>
        <rFont val="Arial"/>
        <family val="2"/>
      </rPr>
      <t>(SFOn)</t>
    </r>
    <r>
      <rPr>
        <sz val="10"/>
        <color indexed="14"/>
        <rFont val="Arial"/>
        <family val="2"/>
      </rPr>
      <t>(FCOn)</t>
    </r>
  </si>
  <si>
    <r>
      <t>PP</t>
    </r>
    <r>
      <rPr>
        <sz val="10"/>
        <color indexed="12"/>
        <rFont val="Arial"/>
        <family val="2"/>
      </rPr>
      <t>(PS)-</t>
    </r>
    <r>
      <rPr>
        <sz val="10"/>
        <rFont val="Arial"/>
        <family val="2"/>
      </rPr>
      <t>Falha Canal Óptico "n"</t>
    </r>
  </si>
  <si>
    <t>n - Número do Canal Óptico
** - NEMA da Função principal do Relé. Usar F1, F2 e F3 para os casos onde existem mais de um relé com esta função ou UC1 e UC2 quando se tratar de Unidade de Controle.</t>
  </si>
  <si>
    <r>
      <t>ZZZ:0YYY:[F1/F2]:</t>
    </r>
    <r>
      <rPr>
        <sz val="10"/>
        <color indexed="14"/>
        <rFont val="Arial"/>
        <family val="2"/>
      </rPr>
      <t>BLRE</t>
    </r>
  </si>
  <si>
    <t>Bloco de Teste Aberto</t>
  </si>
  <si>
    <r>
      <t>ZZZ:0YYY:**:BLRP</t>
    </r>
    <r>
      <rPr>
        <sz val="10"/>
        <color indexed="12"/>
        <rFont val="Arial"/>
        <family val="2"/>
      </rPr>
      <t>(BLRS)</t>
    </r>
    <r>
      <rPr>
        <sz val="10"/>
        <color indexed="14"/>
        <rFont val="Arial"/>
        <family val="2"/>
      </rPr>
      <t>(BLRE)</t>
    </r>
  </si>
  <si>
    <r>
      <t>PP</t>
    </r>
    <r>
      <rPr>
        <sz val="10"/>
        <color indexed="12"/>
        <rFont val="Arial"/>
        <family val="2"/>
      </rPr>
      <t>(PS)-</t>
    </r>
    <r>
      <rPr>
        <sz val="10"/>
        <rFont val="Arial"/>
        <family val="2"/>
      </rPr>
      <t>Bloco de Teste Aberto</t>
    </r>
  </si>
  <si>
    <r>
      <t>ZZZ:0YYY:**:CTSP</t>
    </r>
    <r>
      <rPr>
        <sz val="10"/>
        <color indexed="12"/>
        <rFont val="Arial"/>
        <family val="2"/>
      </rPr>
      <t>(CTSS)</t>
    </r>
    <r>
      <rPr>
        <sz val="10"/>
        <color indexed="14"/>
        <rFont val="Arial"/>
        <family val="2"/>
      </rPr>
      <t>(CPTS)</t>
    </r>
  </si>
  <si>
    <r>
      <t>PP</t>
    </r>
    <r>
      <rPr>
        <sz val="10"/>
        <color indexed="12"/>
        <rFont val="Arial"/>
        <family val="2"/>
      </rPr>
      <t>(PS)-</t>
    </r>
    <r>
      <rPr>
        <sz val="10"/>
        <rFont val="Arial"/>
        <family val="2"/>
      </rPr>
      <t>Proteção em Teste</t>
    </r>
  </si>
  <si>
    <r>
      <t>ZZZ:0YYY:[F1/F2]:</t>
    </r>
    <r>
      <rPr>
        <sz val="10"/>
        <color indexed="14"/>
        <rFont val="Arial"/>
        <family val="2"/>
      </rPr>
      <t>PFCn</t>
    </r>
  </si>
  <si>
    <t>Falha Canal de Comunicação</t>
  </si>
  <si>
    <r>
      <t>ZZZ:0YYY:**:FCnP</t>
    </r>
    <r>
      <rPr>
        <sz val="10"/>
        <color indexed="12"/>
        <rFont val="Arial"/>
        <family val="2"/>
      </rPr>
      <t>(FCnS)</t>
    </r>
    <r>
      <rPr>
        <sz val="10"/>
        <color indexed="14"/>
        <rFont val="Arial"/>
        <family val="2"/>
      </rPr>
      <t xml:space="preserve">(PFCn) </t>
    </r>
  </si>
  <si>
    <r>
      <t>PP</t>
    </r>
    <r>
      <rPr>
        <sz val="10"/>
        <color indexed="12"/>
        <rFont val="Arial"/>
        <family val="2"/>
      </rPr>
      <t>(PS)-</t>
    </r>
    <r>
      <rPr>
        <sz val="10"/>
        <rFont val="Arial"/>
        <family val="2"/>
      </rPr>
      <t xml:space="preserve"> Falha Canal de Comunicação</t>
    </r>
  </si>
  <si>
    <t>"n"- Numeração sequencial do Canal de Comunicação.
** - NEMA da Função principal do Relé.</t>
  </si>
  <si>
    <r>
      <t>ZZZ:0YYY:**:FCYP</t>
    </r>
    <r>
      <rPr>
        <sz val="10"/>
        <color indexed="12"/>
        <rFont val="Arial"/>
        <family val="2"/>
      </rPr>
      <t>(FCYS)</t>
    </r>
    <r>
      <rPr>
        <sz val="10"/>
        <color indexed="14"/>
        <rFont val="Arial"/>
        <family val="2"/>
      </rPr>
      <t>(PFCY)</t>
    </r>
  </si>
  <si>
    <r>
      <t>PP</t>
    </r>
    <r>
      <rPr>
        <sz val="10"/>
        <color indexed="12"/>
        <rFont val="Arial"/>
        <family val="2"/>
      </rPr>
      <t>(PS)</t>
    </r>
    <r>
      <rPr>
        <sz val="10"/>
        <rFont val="Arial"/>
        <family val="2"/>
      </rPr>
      <t>-Proteção Bloqueada</t>
    </r>
  </si>
  <si>
    <t>Não usar este ponto quando se tratar de bloqueio por parametrização.</t>
  </si>
  <si>
    <t>ZZZ:0YYY:**:ULOC</t>
  </si>
  <si>
    <t>** - UCn (n = Numeração sequencial da Unidade de Controle no vão).</t>
  </si>
  <si>
    <t>ZZZ:0YYY:**:ILOC</t>
  </si>
  <si>
    <t>** Numeração sequencial do IED no bay (F1, F2...)</t>
  </si>
  <si>
    <t>ZZZ:0YYY:**:FIUC</t>
  </si>
  <si>
    <t>ZZZ:0YYY:**:FIID</t>
  </si>
  <si>
    <t>Falha Interna IED</t>
  </si>
  <si>
    <t>ZZZ:0YYY:UC1:FCUC</t>
  </si>
  <si>
    <t>Falha Comunicação Unidade de Controle</t>
  </si>
  <si>
    <t>ZZZ:0YYY:**:FCUC</t>
  </si>
  <si>
    <t>ZZZ:0YYY:**:FCID</t>
  </si>
  <si>
    <t>Falha Comunicação IED</t>
  </si>
  <si>
    <t>ZZZ:0YYY:**:FSUC</t>
  </si>
  <si>
    <t>Falha Sincronismo Unidade de Controle</t>
  </si>
  <si>
    <t>ZZZ:0YYY:**:FSID</t>
  </si>
  <si>
    <t>Falha Sincronismo IED</t>
  </si>
  <si>
    <t>ZZZ:0YYY:**:FTUC</t>
  </si>
  <si>
    <t>Falta CC Unidade de Controle</t>
  </si>
  <si>
    <t>ZZZ:0YYY:**:FCCI</t>
  </si>
  <si>
    <t>Falta CC IED</t>
  </si>
  <si>
    <t>ZZZ:0YYY:**:FTCC</t>
  </si>
  <si>
    <t>Falta CC Painel</t>
  </si>
  <si>
    <t>ZZZ:0YYY:{PNL}:FCTP</t>
  </si>
  <si>
    <t>Falta CC Circuito Trip Painel</t>
  </si>
  <si>
    <t>ZZZ:0YYY:**:FCTm</t>
  </si>
  <si>
    <t>Falta CC Circuito Trip "m"</t>
  </si>
  <si>
    <t>** Nome do Painel com no máximo 6 dígitos.
"m" - Numeração sequencial do circuito no painel</t>
  </si>
  <si>
    <t>ZZZ:0YYY:{PNL}:FCSP</t>
  </si>
  <si>
    <t>Falta CC Circuito Superv. "m"</t>
  </si>
  <si>
    <t>ZZZ:0YYY:**:FCSm</t>
  </si>
  <si>
    <t>Falta CC Circuito Supervisão "m"</t>
  </si>
  <si>
    <t>ZZZ:0YYY:**:FCCm</t>
  </si>
  <si>
    <t>Falta CC Circuito Comando "m"</t>
  </si>
  <si>
    <t>ZZZ:0YYY:{PNL}:FCCR</t>
  </si>
  <si>
    <t>Falta CC Circuito Controle</t>
  </si>
  <si>
    <t>ZZZ:0YYY:**:FCRm</t>
  </si>
  <si>
    <t>Falta CC Circuito Controle "m"</t>
  </si>
  <si>
    <t>ZZZ:0YYY:{PNL}:FCRA</t>
  </si>
  <si>
    <t>Falta CC Relés Auxiliares</t>
  </si>
  <si>
    <t>ZZZ:0YYY:**:FCRA</t>
  </si>
  <si>
    <r>
      <t>PP</t>
    </r>
    <r>
      <rPr>
        <sz val="10"/>
        <color indexed="12"/>
        <rFont val="Arial"/>
        <family val="2"/>
      </rPr>
      <t>(PS)</t>
    </r>
    <r>
      <rPr>
        <sz val="10"/>
        <rFont val="Arial"/>
        <family val="2"/>
      </rPr>
      <t>-Anormalidade Proteção / Controle</t>
    </r>
  </si>
  <si>
    <t>AGRUPAMENTO DOS ÍTENS 275 A 327</t>
  </si>
  <si>
    <t>ZZZ:0YYY:85:TAUn</t>
  </si>
  <si>
    <t>"n" - Numeração sequencial do Equipamento no vão.</t>
  </si>
  <si>
    <t>ZZZ:0YYY:85:TANn</t>
  </si>
  <si>
    <t>ZZZ:0YYY:85:TALn</t>
  </si>
  <si>
    <t>ZZZ:0YYY:85:TATn</t>
  </si>
  <si>
    <t>ZZZ:0YYY:85:TARn</t>
  </si>
  <si>
    <t>ZZZ:0YYY:85:TAIn</t>
  </si>
  <si>
    <t>ZZZ:0YYY:85:TAGn</t>
  </si>
  <si>
    <r>
      <t>ZZZ:0YYY:[TLP1/TLP2]:</t>
    </r>
    <r>
      <rPr>
        <sz val="10"/>
        <color indexed="14"/>
        <rFont val="Arial"/>
        <family val="2"/>
      </rPr>
      <t>ANTL</t>
    </r>
  </si>
  <si>
    <t>Anormalidade Teleproteção (85)</t>
  </si>
  <si>
    <t>Inserido em Teleproteção Falha Geral</t>
  </si>
  <si>
    <t>AGRUPAMENTO DOS ÍTENS 330 A 343</t>
  </si>
  <si>
    <r>
      <t>ZZZ:0YYY:85:ANTP</t>
    </r>
    <r>
      <rPr>
        <sz val="10"/>
        <color indexed="12"/>
        <rFont val="Arial"/>
        <family val="2"/>
      </rPr>
      <t>(ANTS)</t>
    </r>
    <r>
      <rPr>
        <sz val="10"/>
        <color indexed="14"/>
        <rFont val="Arial"/>
        <family val="2"/>
      </rPr>
      <t>(ANTL)</t>
    </r>
  </si>
  <si>
    <r>
      <t>PP</t>
    </r>
    <r>
      <rPr>
        <sz val="10"/>
        <color indexed="12"/>
        <rFont val="Arial"/>
        <family val="2"/>
      </rPr>
      <t>(PS)</t>
    </r>
    <r>
      <rPr>
        <sz val="10"/>
        <rFont val="Arial"/>
        <family val="2"/>
      </rPr>
      <t>-Anormalidade Teleproteção</t>
    </r>
  </si>
  <si>
    <t>ZZZ:0YYY:85:TLTn</t>
  </si>
  <si>
    <t>"n"- Numeração sequencial do Equipamento no vão.</t>
  </si>
  <si>
    <r>
      <t>ZZZ:0YYY:21:PPSO</t>
    </r>
    <r>
      <rPr>
        <sz val="10"/>
        <color indexed="12"/>
        <rFont val="Arial"/>
        <family val="2"/>
      </rPr>
      <t>(PSSO)</t>
    </r>
    <r>
      <rPr>
        <sz val="10"/>
        <color indexed="14"/>
        <rFont val="Arial"/>
        <family val="2"/>
      </rPr>
      <t>(PDSO)</t>
    </r>
  </si>
  <si>
    <r>
      <t>PP</t>
    </r>
    <r>
      <rPr>
        <sz val="10"/>
        <color indexed="12"/>
        <rFont val="Arial"/>
        <family val="2"/>
      </rPr>
      <t>(PS)</t>
    </r>
    <r>
      <rPr>
        <sz val="10"/>
        <rFont val="Arial"/>
        <family val="2"/>
      </rPr>
      <t xml:space="preserve">-Trip Defeito a Frente SobreAlcance </t>
    </r>
  </si>
  <si>
    <t>Usar este ponto também para Aceleração de zona 1 (zona 1B).</t>
  </si>
  <si>
    <t>ZZZ:0YYY:79:PCLT</t>
  </si>
  <si>
    <t>ZZZ:0YYY:**:MDnm</t>
  </si>
  <si>
    <t>Disparo Mini-Disjuntor "n""m"</t>
  </si>
  <si>
    <t>** Nome do Painel com no máximo 6 dígitos, ou PNLx, onde x=Numeração sequencial do Painel no vão.
"nm" - Numeração sequencial do Mini-Disjuntor no painel com dois dígitos.</t>
  </si>
  <si>
    <t>ZZZ:0YYY:**:FACn</t>
  </si>
  <si>
    <t>** Nome do Painel com no máximo 6 dígitos, ou PNLx, onde x=Numeração sequencial do Painel no vão.
"n" - Numeração sequencial do Conversor no painel.</t>
  </si>
  <si>
    <t>ZZZ:0YYY:**:FCOD</t>
  </si>
  <si>
    <r>
      <t>ZZZ:0YYY:68:PPPO</t>
    </r>
    <r>
      <rPr>
        <sz val="10"/>
        <color indexed="12"/>
        <rFont val="Arial"/>
        <family val="2"/>
      </rPr>
      <t>(PSPO)</t>
    </r>
    <r>
      <rPr>
        <sz val="10"/>
        <color indexed="14"/>
        <rFont val="Arial"/>
        <family val="2"/>
      </rPr>
      <t>(PDPO)</t>
    </r>
  </si>
  <si>
    <r>
      <t>PP</t>
    </r>
    <r>
      <rPr>
        <sz val="10"/>
        <color indexed="12"/>
        <rFont val="Arial"/>
        <family val="2"/>
      </rPr>
      <t>(PS)</t>
    </r>
    <r>
      <rPr>
        <sz val="10"/>
        <rFont val="Arial"/>
        <family val="2"/>
      </rPr>
      <t>-Partida Oscilação de Potência</t>
    </r>
  </si>
  <si>
    <t>ZZZ:0YYY:F9:FCOn</t>
  </si>
  <si>
    <t>SOBRECORRENTE FASE</t>
  </si>
  <si>
    <t>SOBRECORRENTE NEUTRO</t>
  </si>
  <si>
    <t>SOBRECORRENTE FASES</t>
  </si>
  <si>
    <t>SOBRECORRENTE NCIA</t>
  </si>
  <si>
    <t>DIFERENCIAL</t>
  </si>
  <si>
    <t xml:space="preserve">ZZZ:0YYY:79:PPER(PSER)(RAUT)      </t>
  </si>
  <si>
    <t>ZZZ:0YYY:79:RAPP(RAPS)(RATI)</t>
  </si>
  <si>
    <t>Ativar Religamento da LT 0YYY-ZZZ/XXX</t>
  </si>
  <si>
    <t>Para sistemas antigos onde a ativação é feita pela seleção do modo.</t>
  </si>
  <si>
    <t>ZZZ:0YYY:79:RDPP(RDPS)(RDES)</t>
  </si>
  <si>
    <t>Desativar Religamento da LT 0YYY-ZZZ/XXX</t>
  </si>
  <si>
    <r>
      <t>ZZZ:0YYY:UC1:</t>
    </r>
    <r>
      <rPr>
        <sz val="10"/>
        <color indexed="14"/>
        <rFont val="Arial"/>
        <family val="2"/>
      </rPr>
      <t>SREM</t>
    </r>
  </si>
  <si>
    <t>Selecionar Religamento Monopolar</t>
  </si>
  <si>
    <t>ZZZ:0YYY:79:PPRM(PSRM)(SREM)</t>
  </si>
  <si>
    <r>
      <t>ZZZ:0YYY:UC1:</t>
    </r>
    <r>
      <rPr>
        <sz val="10"/>
        <color indexed="14"/>
        <rFont val="Arial"/>
        <family val="2"/>
      </rPr>
      <t>SRET</t>
    </r>
  </si>
  <si>
    <t>Selecionar Religamento Tripolar</t>
  </si>
  <si>
    <t>ZZZ:0YYY:79:RTPP(RTPS)(SRET)</t>
  </si>
  <si>
    <r>
      <t>ZZZ:0YYY:UC1:</t>
    </r>
    <r>
      <rPr>
        <sz val="10"/>
        <color indexed="14"/>
        <rFont val="Arial"/>
        <family val="2"/>
      </rPr>
      <t>SRMT</t>
    </r>
  </si>
  <si>
    <t>Selecionar Religamento Mono/Tri</t>
  </si>
  <si>
    <t>ZZZ:0YYY:79:PPMT(PSMT)(SRMT)</t>
  </si>
  <si>
    <t>Selecionar Religamento Disjuntor da LT</t>
  </si>
  <si>
    <t>ZZZ:0YYY:79:PPDL(PSDL)(REDL)</t>
  </si>
  <si>
    <t>Selecionar Religamento Disjuntor Central</t>
  </si>
  <si>
    <t>ZZZ:0YYY:79:PPDC(PSDC)(REDC)</t>
  </si>
  <si>
    <t>Selecionar Relig. Disjuntor LT e Central</t>
  </si>
  <si>
    <t>ZZZ:0YYY:79:PRLC(SLRC)(RELC)</t>
  </si>
  <si>
    <t>Selecionar Relig. Disjuntor Central e LT</t>
  </si>
  <si>
    <t>ZZZ:0YYY:86:RERB</t>
  </si>
  <si>
    <t>ZZZ:0YYY:86:REBP</t>
  </si>
  <si>
    <t>ZZZ:0YYY:86:REBS</t>
  </si>
  <si>
    <t>Rearme do Relé de Bloqueio Secundario</t>
  </si>
  <si>
    <t>ZZZ:0XTY:[F1/F2/F3]:APCD</t>
  </si>
  <si>
    <t>Alarme Porta Aberta Cubículo Delta</t>
  </si>
  <si>
    <t>Apenas para Banco Monofásico.</t>
  </si>
  <si>
    <r>
      <t>ZZZ:0XTY:00:TP1D</t>
    </r>
    <r>
      <rPr>
        <sz val="10"/>
        <color indexed="12"/>
        <rFont val="Arial"/>
        <family val="2"/>
      </rPr>
      <t>(TP2D)</t>
    </r>
    <r>
      <rPr>
        <sz val="10"/>
        <color indexed="61"/>
        <rFont val="Arial"/>
        <family val="2"/>
      </rPr>
      <t>(TP3D)</t>
    </r>
    <r>
      <rPr>
        <sz val="10"/>
        <color indexed="14"/>
        <rFont val="Arial"/>
        <family val="2"/>
      </rPr>
      <t>(TPCD)</t>
    </r>
  </si>
  <si>
    <t>F1(F2)(F3)-Trip Porta Aberta Cubiculo Delta</t>
  </si>
  <si>
    <r>
      <t>ZZZ:0XTY:63:PG1A</t>
    </r>
    <r>
      <rPr>
        <sz val="10"/>
        <color indexed="12"/>
        <rFont val="Arial"/>
        <family val="2"/>
      </rPr>
      <t>(PG2A)</t>
    </r>
    <r>
      <rPr>
        <sz val="10"/>
        <color indexed="61"/>
        <rFont val="Arial"/>
        <family val="2"/>
      </rPr>
      <t>(PG3A)</t>
    </r>
    <r>
      <rPr>
        <sz val="10"/>
        <color indexed="14"/>
        <rFont val="Arial"/>
        <family val="2"/>
      </rPr>
      <t>(PGFA)</t>
    </r>
  </si>
  <si>
    <t>F1(F2)(F3)-Trip Relé de Gás Trafo 2.Grau Fase A</t>
  </si>
  <si>
    <t>RELÉ DE GÁS</t>
  </si>
  <si>
    <r>
      <t>ZZZ:0XTY:63:PG1B</t>
    </r>
    <r>
      <rPr>
        <sz val="10"/>
        <color indexed="12"/>
        <rFont val="Arial"/>
        <family val="2"/>
      </rPr>
      <t>(PG2B)</t>
    </r>
    <r>
      <rPr>
        <sz val="10"/>
        <color indexed="61"/>
        <rFont val="Arial"/>
        <family val="2"/>
      </rPr>
      <t>(PG3B)</t>
    </r>
    <r>
      <rPr>
        <sz val="10"/>
        <color indexed="14"/>
        <rFont val="Arial"/>
        <family val="2"/>
      </rPr>
      <t>(PGFB)</t>
    </r>
  </si>
  <si>
    <t>F1(F2)(F3)-Trip Relé de Gás Trafo 2.Grau Fase B</t>
  </si>
  <si>
    <r>
      <t>ZZZ:0XTY:63:PG1C</t>
    </r>
    <r>
      <rPr>
        <sz val="10"/>
        <color indexed="12"/>
        <rFont val="Arial"/>
        <family val="2"/>
      </rPr>
      <t>(PG2C)</t>
    </r>
    <r>
      <rPr>
        <sz val="10"/>
        <color indexed="61"/>
        <rFont val="Arial"/>
        <family val="2"/>
      </rPr>
      <t>(PG3C)</t>
    </r>
    <r>
      <rPr>
        <sz val="10"/>
        <color indexed="14"/>
        <rFont val="Arial"/>
        <family val="2"/>
      </rPr>
      <t>(PGFC)</t>
    </r>
  </si>
  <si>
    <t>F1(F2)(F3)-Trip Relé de Gás Trafo 2.Grau Fase C</t>
  </si>
  <si>
    <r>
      <t>ZZZ:0XTY:63:RG1F</t>
    </r>
    <r>
      <rPr>
        <sz val="10"/>
        <color indexed="12"/>
        <rFont val="Arial"/>
        <family val="2"/>
      </rPr>
      <t>(RG2F)</t>
    </r>
    <r>
      <rPr>
        <sz val="10"/>
        <color indexed="61"/>
        <rFont val="Arial"/>
        <family val="2"/>
      </rPr>
      <t>(RG3F)</t>
    </r>
    <r>
      <rPr>
        <sz val="10"/>
        <color indexed="14"/>
        <rFont val="Arial"/>
        <family val="2"/>
      </rPr>
      <t>(RGFS)</t>
    </r>
  </si>
  <si>
    <t>F1(F2)(F3)-Trip Relé de Gás Trafo 2.Grau</t>
  </si>
  <si>
    <t>Atende também ao agrupamento dos itens 7 a 11 para anunciador.</t>
  </si>
  <si>
    <r>
      <t>ZZZ:0XTY:63:GC1A</t>
    </r>
    <r>
      <rPr>
        <sz val="10"/>
        <color indexed="12"/>
        <rFont val="Arial"/>
        <family val="2"/>
      </rPr>
      <t>(GC2A)</t>
    </r>
    <r>
      <rPr>
        <sz val="10"/>
        <color indexed="61"/>
        <rFont val="Arial"/>
        <family val="2"/>
      </rPr>
      <t>(GC3A)</t>
    </r>
    <r>
      <rPr>
        <sz val="10"/>
        <color indexed="14"/>
        <rFont val="Arial"/>
        <family val="2"/>
      </rPr>
      <t>(PGCA)</t>
    </r>
  </si>
  <si>
    <t>F1(F2)(F3)-Trip Relé de Gás Comut. 2.Grau Fase A</t>
  </si>
  <si>
    <r>
      <t>ZZZ:0XTY:63:GC1B</t>
    </r>
    <r>
      <rPr>
        <sz val="10"/>
        <color indexed="12"/>
        <rFont val="Arial"/>
        <family val="2"/>
      </rPr>
      <t>(GC2B)</t>
    </r>
    <r>
      <rPr>
        <sz val="10"/>
        <color indexed="61"/>
        <rFont val="Arial"/>
        <family val="2"/>
      </rPr>
      <t>(GC3B)</t>
    </r>
    <r>
      <rPr>
        <sz val="10"/>
        <color indexed="14"/>
        <rFont val="Arial"/>
        <family val="2"/>
      </rPr>
      <t>(PGCB)</t>
    </r>
  </si>
  <si>
    <t>F1(F2)(F3)-Trip Relé de Gás Comut. 2.Grau Fase B</t>
  </si>
  <si>
    <r>
      <t>ZZZ:0XTY:63:GC1C</t>
    </r>
    <r>
      <rPr>
        <sz val="10"/>
        <color indexed="12"/>
        <rFont val="Arial"/>
        <family val="2"/>
      </rPr>
      <t>(GC2C)</t>
    </r>
    <r>
      <rPr>
        <sz val="10"/>
        <color indexed="61"/>
        <rFont val="Arial"/>
        <family val="2"/>
      </rPr>
      <t>(GC3C)</t>
    </r>
    <r>
      <rPr>
        <sz val="10"/>
        <color indexed="14"/>
        <rFont val="Arial"/>
        <family val="2"/>
      </rPr>
      <t>(PGCC)</t>
    </r>
  </si>
  <si>
    <t>F1(F2)(F3)-Trip Relé de Gás Comut. 2.Grau Fase C</t>
  </si>
  <si>
    <r>
      <t>ZZZ:0XTY:63:TR1G</t>
    </r>
    <r>
      <rPr>
        <sz val="10"/>
        <color indexed="12"/>
        <rFont val="Arial"/>
        <family val="2"/>
      </rPr>
      <t>(TR2G)</t>
    </r>
    <r>
      <rPr>
        <sz val="10"/>
        <color indexed="61"/>
        <rFont val="Arial"/>
        <family val="2"/>
      </rPr>
      <t>(TR3G)</t>
    </r>
    <r>
      <rPr>
        <sz val="10"/>
        <color indexed="14"/>
        <rFont val="Arial"/>
        <family val="2"/>
      </rPr>
      <t>(TRGS)</t>
    </r>
  </si>
  <si>
    <t>F1(F2)(F3)-Trip Relé de Gás Comutador  2.Grau</t>
  </si>
  <si>
    <t>Atende também ao agrupamento dos itens 15 a 19 para anunciador.</t>
  </si>
  <si>
    <t>ZZZ:0XTY:63/C:TPIT</t>
  </si>
  <si>
    <t>Trip Relé de Gás Trafo/Comutador</t>
  </si>
  <si>
    <t>Agrupamento itens 7 a 21</t>
  </si>
  <si>
    <t>8.2.1.1(b)(3)i/iv</t>
  </si>
  <si>
    <t xml:space="preserve">F1(F2)(F3)-Trip Relé Diferencial 87 Fase A </t>
  </si>
  <si>
    <r>
      <t>ZZZ:0XTY:87:</t>
    </r>
    <r>
      <rPr>
        <sz val="10"/>
        <color indexed="60"/>
        <rFont val="Arial"/>
        <family val="2"/>
      </rPr>
      <t>RDF1</t>
    </r>
    <r>
      <rPr>
        <sz val="10"/>
        <color indexed="12"/>
        <rFont val="Arial"/>
        <family val="2"/>
      </rPr>
      <t>(RDF2)</t>
    </r>
    <r>
      <rPr>
        <sz val="10"/>
        <color indexed="14"/>
        <rFont val="Arial"/>
        <family val="2"/>
      </rPr>
      <t>(RDF3)(PDIF)</t>
    </r>
    <r>
      <rPr>
        <sz val="10"/>
        <rFont val="Arial"/>
        <family val="2"/>
      </rPr>
      <t>, ZZZ:0XTY:00:ONS3</t>
    </r>
  </si>
  <si>
    <r>
      <t>ZZZ:0XTY:87:</t>
    </r>
    <r>
      <rPr>
        <sz val="10"/>
        <color indexed="60"/>
        <rFont val="Arial"/>
        <family val="2"/>
      </rPr>
      <t>DF1B</t>
    </r>
    <r>
      <rPr>
        <sz val="10"/>
        <color indexed="12"/>
        <rFont val="Arial"/>
        <family val="2"/>
      </rPr>
      <t>(DF2B)</t>
    </r>
    <r>
      <rPr>
        <sz val="10"/>
        <color indexed="14"/>
        <rFont val="Arial"/>
        <family val="2"/>
      </rPr>
      <t>(DF3B)(PDFB)</t>
    </r>
  </si>
  <si>
    <t>F1(F2)(F3)-Trip Relé Diferencial 87 Fase B</t>
  </si>
  <si>
    <r>
      <t>ZZZ:0XTY:87:</t>
    </r>
    <r>
      <rPr>
        <sz val="10"/>
        <color indexed="60"/>
        <rFont val="Arial"/>
        <family val="2"/>
      </rPr>
      <t>DF1C</t>
    </r>
    <r>
      <rPr>
        <sz val="10"/>
        <color indexed="12"/>
        <rFont val="Arial"/>
        <family val="2"/>
      </rPr>
      <t>(DF2C)</t>
    </r>
    <r>
      <rPr>
        <sz val="10"/>
        <color indexed="14"/>
        <rFont val="Arial"/>
        <family val="2"/>
      </rPr>
      <t>(DF3C)(PDFC)</t>
    </r>
  </si>
  <si>
    <t>F1(F2)(F3)-Trip Relé Diferencial 87 Fase C</t>
  </si>
  <si>
    <r>
      <t>ZZZ:0XTY:87:</t>
    </r>
    <r>
      <rPr>
        <sz val="10"/>
        <color indexed="60"/>
        <rFont val="Arial"/>
        <family val="2"/>
      </rPr>
      <t>RDF1</t>
    </r>
    <r>
      <rPr>
        <sz val="10"/>
        <color indexed="12"/>
        <rFont val="Arial"/>
        <family val="2"/>
      </rPr>
      <t>(RDF2)</t>
    </r>
    <r>
      <rPr>
        <sz val="10"/>
        <color indexed="14"/>
        <rFont val="Arial"/>
        <family val="2"/>
      </rPr>
      <t>(RDF3)(PDIF)</t>
    </r>
  </si>
  <si>
    <t>F1(F2)(F3)-Trip Relé Diferencial 87</t>
  </si>
  <si>
    <t>Apenas em casos onde o relé não permite supervisão por fase.</t>
  </si>
  <si>
    <t>Atende também ao agrupamento dos itens 24 a 28 para anunciador do nível 2 e alarme do nível 3.</t>
  </si>
  <si>
    <t>ZZZ:0XTY:[F1/F2]:PDTA</t>
  </si>
  <si>
    <t>Trip Relé Diferencial 87G Fase A</t>
  </si>
  <si>
    <r>
      <t>ZZZ:0XTY:87G:DT1F</t>
    </r>
    <r>
      <rPr>
        <sz val="10"/>
        <color indexed="12"/>
        <rFont val="Arial"/>
        <family val="2"/>
      </rPr>
      <t>(DT2F)</t>
    </r>
    <r>
      <rPr>
        <sz val="10"/>
        <color indexed="14"/>
        <rFont val="Arial"/>
        <family val="2"/>
      </rPr>
      <t>(DT3F)(PDTF)</t>
    </r>
    <r>
      <rPr>
        <sz val="10"/>
        <rFont val="Arial"/>
        <family val="2"/>
      </rPr>
      <t>, ZZZ:0XTY:00:ONS3</t>
    </r>
  </si>
  <si>
    <t>ZZZ:0XTY:87G:DT1A(DT2A)(DT3A)(PDTA)</t>
  </si>
  <si>
    <t xml:space="preserve">F1(F2)(F3)-Trip Relé Diferencial 87G Fase A </t>
  </si>
  <si>
    <t>ZZZ:0XTY:[F1/F2]:PDTB</t>
  </si>
  <si>
    <t>Trip Relé Diferencial 87G Fase B</t>
  </si>
  <si>
    <t>ZZZ:0XTY:87G:DT1B(DT2B)(DT3B)(PDTB)</t>
  </si>
  <si>
    <t xml:space="preserve">F1(F2)(F3)-Trip Relé Diferencial 87G Fase B </t>
  </si>
  <si>
    <t>ZZZ:0XTY:[F1/F2]:PDTC</t>
  </si>
  <si>
    <t>Trip Relé Diferencial 87G Fase C</t>
  </si>
  <si>
    <t>ZZZ:0XTY:87G:DT1C(DT2C)(DT3C)(PDTC)</t>
  </si>
  <si>
    <t xml:space="preserve">F1(F2)(F3)-Trip Relé Diferencial 87G Fase C </t>
  </si>
  <si>
    <t>ZZZ:0XTY:[F1/F2]:PDTF</t>
  </si>
  <si>
    <t>Trip Relé Diferencial 87G</t>
  </si>
  <si>
    <r>
      <t>ZZZ:0XTY:87G:DT1F</t>
    </r>
    <r>
      <rPr>
        <sz val="10"/>
        <color indexed="12"/>
        <rFont val="Arial"/>
        <family val="2"/>
      </rPr>
      <t>(DT2F)</t>
    </r>
    <r>
      <rPr>
        <sz val="10"/>
        <color indexed="14"/>
        <rFont val="Arial"/>
        <family val="2"/>
      </rPr>
      <t>(DT3F)(PDTF)</t>
    </r>
  </si>
  <si>
    <t>F1(F2)(F3)-Trip Relé Diferencial 87G</t>
  </si>
  <si>
    <t>Atende também ao agrupamento dos itens 30 a 34 para anunciador do nível 2 e alarme do nível 3.</t>
  </si>
  <si>
    <r>
      <t>ZZZ:0XTY:87G:DQ1F</t>
    </r>
    <r>
      <rPr>
        <sz val="10"/>
        <color indexed="12"/>
        <rFont val="Arial"/>
        <family val="2"/>
      </rPr>
      <t>(DQ2F)</t>
    </r>
    <r>
      <rPr>
        <sz val="10"/>
        <color indexed="14"/>
        <rFont val="Arial"/>
        <family val="2"/>
      </rPr>
      <t>(DQ3F)(TDGQ)</t>
    </r>
  </si>
  <si>
    <t>F1(F2)(F3)-Trip Relé Difer. 87G enrol. 500kV</t>
  </si>
  <si>
    <r>
      <t>ZZZ:0XTY:87G:DD1F</t>
    </r>
    <r>
      <rPr>
        <sz val="10"/>
        <color indexed="12"/>
        <rFont val="Arial"/>
        <family val="2"/>
      </rPr>
      <t>(DD2F)</t>
    </r>
    <r>
      <rPr>
        <sz val="10"/>
        <color indexed="14"/>
        <rFont val="Arial"/>
        <family val="2"/>
      </rPr>
      <t>(DD3F)(TDGD)</t>
    </r>
  </si>
  <si>
    <t>F1(F2)(F3)-Trip Relé Difer. 87G enrol. 230kV</t>
  </si>
  <si>
    <r>
      <t>ZZZ:0XTY:87G:DC1F</t>
    </r>
    <r>
      <rPr>
        <sz val="10"/>
        <color indexed="12"/>
        <rFont val="Arial"/>
        <family val="2"/>
      </rPr>
      <t>(DC2F)</t>
    </r>
    <r>
      <rPr>
        <sz val="10"/>
        <color indexed="14"/>
        <rFont val="Arial"/>
        <family val="2"/>
      </rPr>
      <t>(DC3F)(TDGC)</t>
    </r>
  </si>
  <si>
    <t>F1(F2)(F3)-Trip Relé Difer. 87G enrol. 138kV</t>
  </si>
  <si>
    <t>Atende também ao agrupamento dos itens 34 a 38 para anunciador do nível 2 e alarme do nível 3.</t>
  </si>
  <si>
    <r>
      <t>ZZZ:0XTY:[F1/F2/F3]:</t>
    </r>
    <r>
      <rPr>
        <sz val="10"/>
        <color indexed="14"/>
        <rFont val="Arial"/>
        <family val="2"/>
      </rPr>
      <t>TDGS</t>
    </r>
  </si>
  <si>
    <t>Trip Relé Difer. 87G enrol. 69kV</t>
  </si>
  <si>
    <t>Atende também ao agrupamento dos itens 35 a 39 para anunciador do nível 2 e alarme do nível 3.</t>
  </si>
  <si>
    <r>
      <t>ZZZ:0XTY:87G:DS1F</t>
    </r>
    <r>
      <rPr>
        <sz val="10"/>
        <color indexed="12"/>
        <rFont val="Arial"/>
        <family val="2"/>
      </rPr>
      <t>(DS2F)</t>
    </r>
    <r>
      <rPr>
        <sz val="10"/>
        <color indexed="14"/>
        <rFont val="Arial"/>
        <family val="2"/>
      </rPr>
      <t>(DS3F)(TDGS)</t>
    </r>
  </si>
  <si>
    <t>F1(F2)(F3)-Trip Relé Difer. 87G enrol. 69kV</t>
  </si>
  <si>
    <t>Atende também ao agrupamento dos itens 32 a 36 para anunciador do nível 2 e alarme do nível 3.</t>
  </si>
  <si>
    <r>
      <t>ZZZ:0XTY:50/51:</t>
    </r>
    <r>
      <rPr>
        <sz val="10"/>
        <color indexed="60"/>
        <rFont val="Arial"/>
        <family val="2"/>
      </rPr>
      <t>CQ1A</t>
    </r>
    <r>
      <rPr>
        <sz val="10"/>
        <color indexed="12"/>
        <rFont val="Arial"/>
        <family val="2"/>
      </rPr>
      <t>(CQ2A)</t>
    </r>
    <r>
      <rPr>
        <sz val="10"/>
        <color indexed="14"/>
        <rFont val="Arial"/>
        <family val="2"/>
      </rPr>
      <t>(CQ3A)(SCQA)</t>
    </r>
  </si>
  <si>
    <r>
      <t>F1</t>
    </r>
    <r>
      <rPr>
        <sz val="10"/>
        <color indexed="12"/>
        <rFont val="Arial"/>
        <family val="2"/>
      </rPr>
      <t>(F2)</t>
    </r>
    <r>
      <rPr>
        <sz val="10"/>
        <color indexed="14"/>
        <rFont val="Arial"/>
        <family val="2"/>
      </rPr>
      <t>(F3)-</t>
    </r>
    <r>
      <rPr>
        <sz val="10"/>
        <rFont val="Arial"/>
        <family val="2"/>
      </rPr>
      <t>Trip SobreCorrente 50/51 500kV Fase A</t>
    </r>
  </si>
  <si>
    <r>
      <t>ZZZ:0XTY:50/51:</t>
    </r>
    <r>
      <rPr>
        <sz val="10"/>
        <color indexed="60"/>
        <rFont val="Arial"/>
        <family val="2"/>
      </rPr>
      <t>CQ1B</t>
    </r>
    <r>
      <rPr>
        <sz val="10"/>
        <color indexed="12"/>
        <rFont val="Arial"/>
        <family val="2"/>
      </rPr>
      <t>(CQ2B)</t>
    </r>
    <r>
      <rPr>
        <sz val="10"/>
        <color indexed="14"/>
        <rFont val="Arial"/>
        <family val="2"/>
      </rPr>
      <t>(CQ3B)(SCQB)</t>
    </r>
  </si>
  <si>
    <r>
      <t>F1</t>
    </r>
    <r>
      <rPr>
        <sz val="10"/>
        <color indexed="12"/>
        <rFont val="Arial"/>
        <family val="2"/>
      </rPr>
      <t>(F2)</t>
    </r>
    <r>
      <rPr>
        <sz val="10"/>
        <color indexed="14"/>
        <rFont val="Arial"/>
        <family val="2"/>
      </rPr>
      <t>(F3)-</t>
    </r>
    <r>
      <rPr>
        <sz val="10"/>
        <rFont val="Arial"/>
        <family val="2"/>
      </rPr>
      <t>Trip SobreCorrente 50/51 500kV Fase B</t>
    </r>
  </si>
  <si>
    <r>
      <t>ZZZ:0XTY:50/51:</t>
    </r>
    <r>
      <rPr>
        <sz val="10"/>
        <color indexed="60"/>
        <rFont val="Arial"/>
        <family val="2"/>
      </rPr>
      <t>CQ1C</t>
    </r>
    <r>
      <rPr>
        <sz val="10"/>
        <color indexed="12"/>
        <rFont val="Arial"/>
        <family val="2"/>
      </rPr>
      <t>(CQ2C)</t>
    </r>
    <r>
      <rPr>
        <sz val="10"/>
        <color indexed="14"/>
        <rFont val="Arial"/>
        <family val="2"/>
      </rPr>
      <t>(CQ3C)(SCQC)</t>
    </r>
  </si>
  <si>
    <r>
      <t>F1</t>
    </r>
    <r>
      <rPr>
        <sz val="10"/>
        <color indexed="12"/>
        <rFont val="Arial"/>
        <family val="2"/>
      </rPr>
      <t>(F2)</t>
    </r>
    <r>
      <rPr>
        <sz val="10"/>
        <color indexed="14"/>
        <rFont val="Arial"/>
        <family val="2"/>
      </rPr>
      <t>(F3)-</t>
    </r>
    <r>
      <rPr>
        <sz val="10"/>
        <rFont val="Arial"/>
        <family val="2"/>
      </rPr>
      <t>Trip SobreCorrente 50/51 500kV Fase C</t>
    </r>
  </si>
  <si>
    <t xml:space="preserve">F1(F2)(F3)-Trip SobreCorrente 50/51 500kV Fases </t>
  </si>
  <si>
    <t>Usar F1, F2 e F3 para os casos onde existem mais de um relé com esta função</t>
  </si>
  <si>
    <t>Atende também ao agrupamento dos itens 48 a 52 para anunciador do nível 2 e alarme do nível 3.</t>
  </si>
  <si>
    <r>
      <t>ZZZ:0XTY:50/51:</t>
    </r>
    <r>
      <rPr>
        <sz val="10"/>
        <color indexed="60"/>
        <rFont val="Arial"/>
        <family val="2"/>
      </rPr>
      <t>CQ1N</t>
    </r>
    <r>
      <rPr>
        <sz val="10"/>
        <color indexed="12"/>
        <rFont val="Arial"/>
        <family val="2"/>
      </rPr>
      <t>(CQ2N)</t>
    </r>
    <r>
      <rPr>
        <sz val="10"/>
        <color indexed="14"/>
        <rFont val="Arial"/>
        <family val="2"/>
      </rPr>
      <t>(CQ3N)(SCQN)</t>
    </r>
  </si>
  <si>
    <t>F1(F2)(F3)-Trip SobreCorrente 50/51 500kV Neutro</t>
  </si>
  <si>
    <r>
      <t>ZZZ:0XTY:50/51:</t>
    </r>
    <r>
      <rPr>
        <sz val="10"/>
        <color indexed="60"/>
        <rFont val="Arial"/>
        <family val="2"/>
      </rPr>
      <t>RQ1A</t>
    </r>
    <r>
      <rPr>
        <sz val="10"/>
        <color indexed="12"/>
        <rFont val="Arial"/>
        <family val="2"/>
      </rPr>
      <t>(RQ2A)</t>
    </r>
    <r>
      <rPr>
        <sz val="10"/>
        <color indexed="14"/>
        <rFont val="Arial"/>
        <family val="2"/>
      </rPr>
      <t>(RQ3A)(SRQA)</t>
    </r>
  </si>
  <si>
    <r>
      <t>F1</t>
    </r>
    <r>
      <rPr>
        <sz val="10"/>
        <color indexed="12"/>
        <rFont val="Arial"/>
        <family val="2"/>
      </rPr>
      <t>(F2)</t>
    </r>
    <r>
      <rPr>
        <sz val="10"/>
        <color indexed="14"/>
        <rFont val="Arial"/>
        <family val="2"/>
      </rPr>
      <t>(F3)-</t>
    </r>
    <r>
      <rPr>
        <sz val="10"/>
        <rFont val="Arial"/>
        <family val="2"/>
      </rPr>
      <t>Trip SobreCorrente 50/51V 500kV Fase A</t>
    </r>
  </si>
  <si>
    <r>
      <t>ZZZ:0XTY:50/51:</t>
    </r>
    <r>
      <rPr>
        <sz val="10"/>
        <color indexed="60"/>
        <rFont val="Arial"/>
        <family val="2"/>
      </rPr>
      <t>RQ1B</t>
    </r>
    <r>
      <rPr>
        <sz val="10"/>
        <color indexed="12"/>
        <rFont val="Arial"/>
        <family val="2"/>
      </rPr>
      <t>(RQ2B)</t>
    </r>
    <r>
      <rPr>
        <sz val="10"/>
        <color indexed="14"/>
        <rFont val="Arial"/>
        <family val="2"/>
      </rPr>
      <t>(RQ3B)(SRQB)</t>
    </r>
  </si>
  <si>
    <r>
      <t>F1</t>
    </r>
    <r>
      <rPr>
        <sz val="10"/>
        <color indexed="12"/>
        <rFont val="Arial"/>
        <family val="2"/>
      </rPr>
      <t>(F2)</t>
    </r>
    <r>
      <rPr>
        <sz val="10"/>
        <color indexed="14"/>
        <rFont val="Arial"/>
        <family val="2"/>
      </rPr>
      <t>(F3)-</t>
    </r>
    <r>
      <rPr>
        <sz val="10"/>
        <rFont val="Arial"/>
        <family val="2"/>
      </rPr>
      <t>Trip SobreCorrente 50/51V 500kV Fase B</t>
    </r>
  </si>
  <si>
    <r>
      <t>ZZZ:0XTY:50/51:</t>
    </r>
    <r>
      <rPr>
        <sz val="10"/>
        <color indexed="60"/>
        <rFont val="Arial"/>
        <family val="2"/>
      </rPr>
      <t>RQ1C</t>
    </r>
    <r>
      <rPr>
        <sz val="10"/>
        <color indexed="12"/>
        <rFont val="Arial"/>
        <family val="2"/>
      </rPr>
      <t>(SQ2C)</t>
    </r>
    <r>
      <rPr>
        <sz val="10"/>
        <color indexed="14"/>
        <rFont val="Arial"/>
        <family val="2"/>
      </rPr>
      <t>(SQ3C)(SRQC)</t>
    </r>
  </si>
  <si>
    <r>
      <t>F1</t>
    </r>
    <r>
      <rPr>
        <sz val="10"/>
        <color indexed="12"/>
        <rFont val="Arial"/>
        <family val="2"/>
      </rPr>
      <t>(F2)</t>
    </r>
    <r>
      <rPr>
        <sz val="10"/>
        <color indexed="14"/>
        <rFont val="Arial"/>
        <family val="2"/>
      </rPr>
      <t>(F3)-</t>
    </r>
    <r>
      <rPr>
        <sz val="10"/>
        <rFont val="Arial"/>
        <family val="2"/>
      </rPr>
      <t>Trip SobreCorrente 50/51V 500kV Fase C</t>
    </r>
  </si>
  <si>
    <t>F1(F2)(F3)-Trip SobreCorrente 50/51V 500kV Fases</t>
  </si>
  <si>
    <t>Atende também ao agrupamento dos itens 58 a 62 para anunciador do nível 2 e alarme do nível 3.</t>
  </si>
  <si>
    <r>
      <t>ZZZ:0XTY:50/51:</t>
    </r>
    <r>
      <rPr>
        <sz val="10"/>
        <color indexed="60"/>
        <rFont val="Arial"/>
        <family val="2"/>
      </rPr>
      <t>RQ1N</t>
    </r>
    <r>
      <rPr>
        <sz val="10"/>
        <color indexed="12"/>
        <rFont val="Arial"/>
        <family val="2"/>
      </rPr>
      <t>(RQ2N)</t>
    </r>
    <r>
      <rPr>
        <sz val="10"/>
        <color indexed="14"/>
        <rFont val="Arial"/>
        <family val="2"/>
      </rPr>
      <t>(RQ3N)(SRQN)</t>
    </r>
  </si>
  <si>
    <t>F1(F2)(F3)-Trip SobreCorrente 50/51V 500kV Neutro</t>
  </si>
  <si>
    <r>
      <t>ZZZ:0XTY:50/51G:</t>
    </r>
    <r>
      <rPr>
        <sz val="10"/>
        <color indexed="60"/>
        <rFont val="Arial"/>
        <family val="2"/>
      </rPr>
      <t>GQ1F</t>
    </r>
    <r>
      <rPr>
        <sz val="10"/>
        <color indexed="12"/>
        <rFont val="Arial"/>
        <family val="2"/>
      </rPr>
      <t>(GQ2F)</t>
    </r>
    <r>
      <rPr>
        <sz val="10"/>
        <color indexed="14"/>
        <rFont val="Arial"/>
        <family val="2"/>
      </rPr>
      <t>(GQ3F)(SGLQ)</t>
    </r>
  </si>
  <si>
    <r>
      <t>F1</t>
    </r>
    <r>
      <rPr>
        <sz val="10"/>
        <color indexed="12"/>
        <rFont val="Arial"/>
        <family val="2"/>
      </rPr>
      <t>(F2)</t>
    </r>
    <r>
      <rPr>
        <sz val="10"/>
        <color indexed="14"/>
        <rFont val="Arial"/>
        <family val="2"/>
      </rPr>
      <t>(F3)-</t>
    </r>
    <r>
      <rPr>
        <sz val="10"/>
        <rFont val="Arial"/>
        <family val="2"/>
      </rPr>
      <t>Trip SobreCorrente 50/51G 500kV</t>
    </r>
  </si>
  <si>
    <r>
      <t>ZZZ:0XTY:50G:</t>
    </r>
    <r>
      <rPr>
        <sz val="10"/>
        <color indexed="60"/>
        <rFont val="Arial"/>
        <family val="2"/>
      </rPr>
      <t>GQ1F</t>
    </r>
    <r>
      <rPr>
        <sz val="10"/>
        <color indexed="12"/>
        <rFont val="Arial"/>
        <family val="2"/>
      </rPr>
      <t>(GQ2F)</t>
    </r>
    <r>
      <rPr>
        <sz val="10"/>
        <color indexed="14"/>
        <rFont val="Arial"/>
        <family val="2"/>
      </rPr>
      <t>(GQ3F)(SGLQ)</t>
    </r>
  </si>
  <si>
    <r>
      <t>F1</t>
    </r>
    <r>
      <rPr>
        <sz val="10"/>
        <color indexed="12"/>
        <rFont val="Arial"/>
        <family val="2"/>
      </rPr>
      <t>(F2)</t>
    </r>
    <r>
      <rPr>
        <sz val="10"/>
        <color indexed="14"/>
        <rFont val="Arial"/>
        <family val="2"/>
      </rPr>
      <t>(F3)-</t>
    </r>
    <r>
      <rPr>
        <sz val="10"/>
        <rFont val="Arial"/>
        <family val="2"/>
      </rPr>
      <t>Trip SobreCorrente 50G 500kV</t>
    </r>
  </si>
  <si>
    <r>
      <t>ZZZ:0XTY:51G:</t>
    </r>
    <r>
      <rPr>
        <sz val="10"/>
        <color indexed="60"/>
        <rFont val="Arial"/>
        <family val="2"/>
      </rPr>
      <t>GQ1F</t>
    </r>
    <r>
      <rPr>
        <sz val="10"/>
        <color indexed="12"/>
        <rFont val="Arial"/>
        <family val="2"/>
      </rPr>
      <t>(GQ2F)</t>
    </r>
    <r>
      <rPr>
        <sz val="10"/>
        <color indexed="14"/>
        <rFont val="Arial"/>
        <family val="2"/>
      </rPr>
      <t>(GQ3F)(SGLQ)</t>
    </r>
  </si>
  <si>
    <r>
      <t>F1</t>
    </r>
    <r>
      <rPr>
        <sz val="10"/>
        <color indexed="12"/>
        <rFont val="Arial"/>
        <family val="2"/>
      </rPr>
      <t>(F2)</t>
    </r>
    <r>
      <rPr>
        <sz val="10"/>
        <color indexed="14"/>
        <rFont val="Arial"/>
        <family val="2"/>
      </rPr>
      <t>(F3)-</t>
    </r>
    <r>
      <rPr>
        <sz val="10"/>
        <rFont val="Arial"/>
        <family val="2"/>
      </rPr>
      <t>Trip SobreCorrente 51G 500kV</t>
    </r>
  </si>
  <si>
    <r>
      <t>ZZZ:0XTY:51:</t>
    </r>
    <r>
      <rPr>
        <sz val="10"/>
        <color indexed="60"/>
        <rFont val="Arial"/>
        <family val="2"/>
      </rPr>
      <t>SQ1F</t>
    </r>
    <r>
      <rPr>
        <sz val="10"/>
        <color indexed="12"/>
        <rFont val="Arial"/>
        <family val="2"/>
      </rPr>
      <t>(SQ2F)</t>
    </r>
    <r>
      <rPr>
        <sz val="10"/>
        <color indexed="14"/>
        <rFont val="Arial"/>
        <family val="2"/>
      </rPr>
      <t>(SQ3F)</t>
    </r>
    <r>
      <rPr>
        <sz val="10"/>
        <rFont val="Arial"/>
        <family val="2"/>
      </rPr>
      <t>(SGSQ)</t>
    </r>
  </si>
  <si>
    <r>
      <t>F1</t>
    </r>
    <r>
      <rPr>
        <sz val="10"/>
        <color indexed="12"/>
        <rFont val="Arial"/>
        <family val="2"/>
      </rPr>
      <t>(F2)</t>
    </r>
    <r>
      <rPr>
        <sz val="10"/>
        <color indexed="14"/>
        <rFont val="Arial"/>
        <family val="2"/>
      </rPr>
      <t>(F3)-</t>
    </r>
    <r>
      <rPr>
        <sz val="10"/>
        <rFont val="Arial"/>
        <family val="2"/>
      </rPr>
      <t>Trip SobreCorrente 51GS 500kV</t>
    </r>
  </si>
  <si>
    <r>
      <t>ZZZ:0XTY:50:</t>
    </r>
    <r>
      <rPr>
        <sz val="10"/>
        <color indexed="60"/>
        <rFont val="Arial"/>
        <family val="2"/>
      </rPr>
      <t>TQ1F</t>
    </r>
    <r>
      <rPr>
        <sz val="10"/>
        <color indexed="12"/>
        <rFont val="Arial"/>
        <family val="2"/>
      </rPr>
      <t>(TQ2F)</t>
    </r>
    <r>
      <rPr>
        <sz val="10"/>
        <color indexed="14"/>
        <rFont val="Arial"/>
        <family val="2"/>
      </rPr>
      <t>(TQ3F)(SLTQ)</t>
    </r>
  </si>
  <si>
    <t>F1(F2)(F3)-Trip SobreCorrente 50 OLT 500kV Fases</t>
  </si>
  <si>
    <r>
      <t>ZZZ:0XTY:50/51:</t>
    </r>
    <r>
      <rPr>
        <sz val="10"/>
        <color indexed="60"/>
        <rFont val="Arial"/>
        <family val="2"/>
      </rPr>
      <t>CD1A</t>
    </r>
    <r>
      <rPr>
        <sz val="10"/>
        <color indexed="12"/>
        <rFont val="Arial"/>
        <family val="2"/>
      </rPr>
      <t>(CD2A)</t>
    </r>
    <r>
      <rPr>
        <sz val="10"/>
        <color indexed="14"/>
        <rFont val="Arial"/>
        <family val="2"/>
      </rPr>
      <t>(CD3A)(SCDA)</t>
    </r>
  </si>
  <si>
    <r>
      <t>F1</t>
    </r>
    <r>
      <rPr>
        <sz val="10"/>
        <color indexed="12"/>
        <rFont val="Arial"/>
        <family val="2"/>
      </rPr>
      <t>(F2)</t>
    </r>
    <r>
      <rPr>
        <sz val="10"/>
        <color indexed="14"/>
        <rFont val="Arial"/>
        <family val="2"/>
      </rPr>
      <t>(F3)-</t>
    </r>
    <r>
      <rPr>
        <sz val="10"/>
        <rFont val="Arial"/>
        <family val="2"/>
      </rPr>
      <t>Trip SobreCorrente 50/51 230kV Fase A</t>
    </r>
  </si>
  <si>
    <r>
      <t>ZZZ:0XTY:50/51:</t>
    </r>
    <r>
      <rPr>
        <sz val="10"/>
        <color indexed="60"/>
        <rFont val="Arial"/>
        <family val="2"/>
      </rPr>
      <t>CD1B</t>
    </r>
    <r>
      <rPr>
        <sz val="10"/>
        <color indexed="12"/>
        <rFont val="Arial"/>
        <family val="2"/>
      </rPr>
      <t>(CD2B)</t>
    </r>
    <r>
      <rPr>
        <sz val="10"/>
        <color indexed="14"/>
        <rFont val="Arial"/>
        <family val="2"/>
      </rPr>
      <t>(CD3B)(SCDB)</t>
    </r>
  </si>
  <si>
    <r>
      <t>F1</t>
    </r>
    <r>
      <rPr>
        <sz val="10"/>
        <color indexed="12"/>
        <rFont val="Arial"/>
        <family val="2"/>
      </rPr>
      <t>(F2)</t>
    </r>
    <r>
      <rPr>
        <sz val="10"/>
        <color indexed="14"/>
        <rFont val="Arial"/>
        <family val="2"/>
      </rPr>
      <t>(F3)-</t>
    </r>
    <r>
      <rPr>
        <sz val="10"/>
        <rFont val="Arial"/>
        <family val="2"/>
      </rPr>
      <t>Trip SobreCorrente 50/51 230kV Fase B</t>
    </r>
  </si>
  <si>
    <r>
      <t>ZZZ:0XTY:50/51:</t>
    </r>
    <r>
      <rPr>
        <sz val="10"/>
        <color indexed="60"/>
        <rFont val="Arial"/>
        <family val="2"/>
      </rPr>
      <t>CD1C</t>
    </r>
    <r>
      <rPr>
        <sz val="10"/>
        <color indexed="12"/>
        <rFont val="Arial"/>
        <family val="2"/>
      </rPr>
      <t>(CD2C)</t>
    </r>
    <r>
      <rPr>
        <sz val="10"/>
        <color indexed="14"/>
        <rFont val="Arial"/>
        <family val="2"/>
      </rPr>
      <t>(CD3C)(SCDC)</t>
    </r>
  </si>
  <si>
    <r>
      <t>F1</t>
    </r>
    <r>
      <rPr>
        <sz val="10"/>
        <color indexed="12"/>
        <rFont val="Arial"/>
        <family val="2"/>
      </rPr>
      <t>(F2)</t>
    </r>
    <r>
      <rPr>
        <sz val="10"/>
        <color indexed="14"/>
        <rFont val="Arial"/>
        <family val="2"/>
      </rPr>
      <t>(F3)-</t>
    </r>
    <r>
      <rPr>
        <sz val="10"/>
        <rFont val="Arial"/>
        <family val="2"/>
      </rPr>
      <t>Trip SobreCorrente 50/51 230kV Fase C</t>
    </r>
  </si>
  <si>
    <t>F1(F2)(F3)-Trip SobreCorrente 50/51 230kV Fases</t>
  </si>
  <si>
    <t>Atende também ao agrupamento dos itens 76 a 80 para anunciador do nível 2 e alarme do nível 3.</t>
  </si>
  <si>
    <r>
      <t>ZZZ:0XTY:50/51:</t>
    </r>
    <r>
      <rPr>
        <sz val="10"/>
        <color indexed="60"/>
        <rFont val="Arial"/>
        <family val="2"/>
      </rPr>
      <t>CD1N</t>
    </r>
    <r>
      <rPr>
        <sz val="10"/>
        <color indexed="12"/>
        <rFont val="Arial"/>
        <family val="2"/>
      </rPr>
      <t>(CD2N)</t>
    </r>
    <r>
      <rPr>
        <sz val="10"/>
        <color indexed="14"/>
        <rFont val="Arial"/>
        <family val="2"/>
      </rPr>
      <t>(CD3N)(SCDN)</t>
    </r>
  </si>
  <si>
    <t>F1(F2)(F3)-Trip SobreCorrente 50/51 230kV Neutro</t>
  </si>
  <si>
    <r>
      <t>ZZZ:0XTY:50:</t>
    </r>
    <r>
      <rPr>
        <sz val="10"/>
        <color indexed="60"/>
        <rFont val="Arial"/>
        <family val="2"/>
      </rPr>
      <t>CDN1</t>
    </r>
    <r>
      <rPr>
        <sz val="10"/>
        <color indexed="12"/>
        <rFont val="Arial"/>
        <family val="2"/>
      </rPr>
      <t>(CDN2)</t>
    </r>
    <r>
      <rPr>
        <sz val="10"/>
        <color indexed="14"/>
        <rFont val="Arial"/>
        <family val="2"/>
      </rPr>
      <t>(CDN3)(SCND)</t>
    </r>
  </si>
  <si>
    <t>F1(F2)(F3)-Trip SobreCorrente 50  230kV Neutro</t>
  </si>
  <si>
    <r>
      <t>ZZZ:0XTY:51:</t>
    </r>
    <r>
      <rPr>
        <sz val="10"/>
        <color indexed="60"/>
        <rFont val="Arial"/>
        <family val="2"/>
      </rPr>
      <t>C1DN</t>
    </r>
    <r>
      <rPr>
        <sz val="10"/>
        <color indexed="12"/>
        <rFont val="Arial"/>
        <family val="2"/>
      </rPr>
      <t>(C2DN)</t>
    </r>
    <r>
      <rPr>
        <sz val="10"/>
        <color indexed="14"/>
        <rFont val="Arial"/>
        <family val="2"/>
      </rPr>
      <t>(C3DN)(SNCD)</t>
    </r>
  </si>
  <si>
    <t>F1(F2)(F3)-Trip SobreCorrente 51  230kV Neutro</t>
  </si>
  <si>
    <r>
      <t>ZZZ:0XTY:50/51:</t>
    </r>
    <r>
      <rPr>
        <sz val="10"/>
        <color indexed="60"/>
        <rFont val="Arial"/>
        <family val="2"/>
      </rPr>
      <t>RD1A</t>
    </r>
    <r>
      <rPr>
        <sz val="10"/>
        <color indexed="12"/>
        <rFont val="Arial"/>
        <family val="2"/>
      </rPr>
      <t>(RD2A)</t>
    </r>
    <r>
      <rPr>
        <sz val="10"/>
        <color indexed="14"/>
        <rFont val="Arial"/>
        <family val="2"/>
      </rPr>
      <t>(RD3A)(SRDA)</t>
    </r>
  </si>
  <si>
    <r>
      <t>F1</t>
    </r>
    <r>
      <rPr>
        <sz val="10"/>
        <color indexed="12"/>
        <rFont val="Arial"/>
        <family val="2"/>
      </rPr>
      <t>(F2)</t>
    </r>
    <r>
      <rPr>
        <sz val="10"/>
        <color indexed="14"/>
        <rFont val="Arial"/>
        <family val="2"/>
      </rPr>
      <t>(F3)-</t>
    </r>
    <r>
      <rPr>
        <sz val="10"/>
        <rFont val="Arial"/>
        <family val="2"/>
      </rPr>
      <t>Trip SobreCorrente 50/51V 230kV Fase A</t>
    </r>
  </si>
  <si>
    <r>
      <t>ZZZ:0XTY:50/51:</t>
    </r>
    <r>
      <rPr>
        <sz val="10"/>
        <color indexed="60"/>
        <rFont val="Arial"/>
        <family val="2"/>
      </rPr>
      <t>RD1B</t>
    </r>
    <r>
      <rPr>
        <sz val="10"/>
        <color indexed="12"/>
        <rFont val="Arial"/>
        <family val="2"/>
      </rPr>
      <t>(RD2B)</t>
    </r>
    <r>
      <rPr>
        <sz val="10"/>
        <color indexed="14"/>
        <rFont val="Arial"/>
        <family val="2"/>
      </rPr>
      <t>(RD3B)(SRDB)</t>
    </r>
  </si>
  <si>
    <r>
      <t>F1</t>
    </r>
    <r>
      <rPr>
        <sz val="10"/>
        <color indexed="12"/>
        <rFont val="Arial"/>
        <family val="2"/>
      </rPr>
      <t>(F2)</t>
    </r>
    <r>
      <rPr>
        <sz val="10"/>
        <color indexed="14"/>
        <rFont val="Arial"/>
        <family val="2"/>
      </rPr>
      <t>(F3)-</t>
    </r>
    <r>
      <rPr>
        <sz val="10"/>
        <rFont val="Arial"/>
        <family val="2"/>
      </rPr>
      <t>Trip SobreCorrente 50/51V 230kV Fase B</t>
    </r>
  </si>
  <si>
    <r>
      <t>ZZZ:0XTY:50/51:</t>
    </r>
    <r>
      <rPr>
        <sz val="10"/>
        <color indexed="60"/>
        <rFont val="Arial"/>
        <family val="2"/>
      </rPr>
      <t>RD1C</t>
    </r>
    <r>
      <rPr>
        <sz val="10"/>
        <color indexed="12"/>
        <rFont val="Arial"/>
        <family val="2"/>
      </rPr>
      <t>(RD2C)</t>
    </r>
    <r>
      <rPr>
        <sz val="10"/>
        <color indexed="14"/>
        <rFont val="Arial"/>
        <family val="2"/>
      </rPr>
      <t>(RD3C)(SRDC)</t>
    </r>
  </si>
  <si>
    <r>
      <t>F1</t>
    </r>
    <r>
      <rPr>
        <sz val="10"/>
        <color indexed="12"/>
        <rFont val="Arial"/>
        <family val="2"/>
      </rPr>
      <t>(F2)</t>
    </r>
    <r>
      <rPr>
        <sz val="10"/>
        <color indexed="14"/>
        <rFont val="Arial"/>
        <family val="2"/>
      </rPr>
      <t>(F3)-</t>
    </r>
    <r>
      <rPr>
        <sz val="10"/>
        <rFont val="Arial"/>
        <family val="2"/>
      </rPr>
      <t>Trip SobreCorrente 50/51V 230kV Fase C</t>
    </r>
  </si>
  <si>
    <t>F1(F2)(F3)-Trip SobreCorrente 50/51V 230kV Fases</t>
  </si>
  <si>
    <t>Atende também ao agrupamento dos itens 88 a 92 para anunciador do nível 2 e alarme do nível 3.</t>
  </si>
  <si>
    <r>
      <t>ZZZ:0XTY:50/51:</t>
    </r>
    <r>
      <rPr>
        <sz val="10"/>
        <color indexed="60"/>
        <rFont val="Arial"/>
        <family val="2"/>
      </rPr>
      <t>RD1N</t>
    </r>
    <r>
      <rPr>
        <sz val="10"/>
        <color indexed="12"/>
        <rFont val="Arial"/>
        <family val="2"/>
      </rPr>
      <t>(RD2N)</t>
    </r>
    <r>
      <rPr>
        <sz val="10"/>
        <color indexed="14"/>
        <rFont val="Arial"/>
        <family val="2"/>
      </rPr>
      <t>(RD3N)(SRDN)</t>
    </r>
  </si>
  <si>
    <t>F1(F2)(F3)-Trip SobreCorrente 50/51V 230kV Neutro</t>
  </si>
  <si>
    <r>
      <t>ZZZ:0XTY:50/51G:</t>
    </r>
    <r>
      <rPr>
        <sz val="10"/>
        <color indexed="60"/>
        <rFont val="Arial"/>
        <family val="2"/>
      </rPr>
      <t>GD1F</t>
    </r>
    <r>
      <rPr>
        <sz val="10"/>
        <color indexed="12"/>
        <rFont val="Arial"/>
        <family val="2"/>
      </rPr>
      <t>(GD2F)</t>
    </r>
    <r>
      <rPr>
        <sz val="10"/>
        <color indexed="14"/>
        <rFont val="Arial"/>
        <family val="2"/>
      </rPr>
      <t>(GD3F)(SGLD)</t>
    </r>
  </si>
  <si>
    <r>
      <t>F1</t>
    </r>
    <r>
      <rPr>
        <sz val="10"/>
        <color indexed="12"/>
        <rFont val="Arial"/>
        <family val="2"/>
      </rPr>
      <t>(F2)</t>
    </r>
    <r>
      <rPr>
        <sz val="10"/>
        <color indexed="14"/>
        <rFont val="Arial"/>
        <family val="2"/>
      </rPr>
      <t>(F3)-</t>
    </r>
    <r>
      <rPr>
        <sz val="10"/>
        <rFont val="Arial"/>
        <family val="2"/>
      </rPr>
      <t>Trip SobreCorrente 50/51G 230kV</t>
    </r>
  </si>
  <si>
    <r>
      <t>ZZZ:0XTY:50G:</t>
    </r>
    <r>
      <rPr>
        <sz val="10"/>
        <color indexed="60"/>
        <rFont val="Arial"/>
        <family val="2"/>
      </rPr>
      <t>GD1F</t>
    </r>
    <r>
      <rPr>
        <sz val="10"/>
        <color indexed="12"/>
        <rFont val="Arial"/>
        <family val="2"/>
      </rPr>
      <t>(GD2F)</t>
    </r>
    <r>
      <rPr>
        <sz val="10"/>
        <color indexed="14"/>
        <rFont val="Arial"/>
        <family val="2"/>
      </rPr>
      <t>(GD3F)(SGLD)</t>
    </r>
  </si>
  <si>
    <r>
      <t>F1</t>
    </r>
    <r>
      <rPr>
        <sz val="10"/>
        <color indexed="12"/>
        <rFont val="Arial"/>
        <family val="2"/>
      </rPr>
      <t>(F2)</t>
    </r>
    <r>
      <rPr>
        <sz val="10"/>
        <color indexed="14"/>
        <rFont val="Arial"/>
        <family val="2"/>
      </rPr>
      <t>(F3)-</t>
    </r>
    <r>
      <rPr>
        <sz val="10"/>
        <rFont val="Arial"/>
        <family val="2"/>
      </rPr>
      <t>Trip SobreCorrente 50G 230kV</t>
    </r>
  </si>
  <si>
    <r>
      <t>ZZZ:0XTY:51G:</t>
    </r>
    <r>
      <rPr>
        <sz val="10"/>
        <color indexed="60"/>
        <rFont val="Arial"/>
        <family val="2"/>
      </rPr>
      <t>GD1F</t>
    </r>
    <r>
      <rPr>
        <sz val="10"/>
        <color indexed="12"/>
        <rFont val="Arial"/>
        <family val="2"/>
      </rPr>
      <t>(GD2F)</t>
    </r>
    <r>
      <rPr>
        <sz val="10"/>
        <color indexed="14"/>
        <rFont val="Arial"/>
        <family val="2"/>
      </rPr>
      <t>(GD3F)(SGLD)</t>
    </r>
  </si>
  <si>
    <r>
      <t>F1</t>
    </r>
    <r>
      <rPr>
        <sz val="10"/>
        <color indexed="12"/>
        <rFont val="Arial"/>
        <family val="2"/>
      </rPr>
      <t>(F2)</t>
    </r>
    <r>
      <rPr>
        <sz val="10"/>
        <color indexed="14"/>
        <rFont val="Arial"/>
        <family val="2"/>
      </rPr>
      <t>(F3)-</t>
    </r>
    <r>
      <rPr>
        <sz val="10"/>
        <rFont val="Arial"/>
        <family val="2"/>
      </rPr>
      <t>Trip SobreCorrente 51G 230kV</t>
    </r>
  </si>
  <si>
    <r>
      <t>ZZZ:0XTY:51:</t>
    </r>
    <r>
      <rPr>
        <sz val="10"/>
        <color indexed="60"/>
        <rFont val="Arial"/>
        <family val="2"/>
      </rPr>
      <t>SD1F</t>
    </r>
    <r>
      <rPr>
        <sz val="10"/>
        <color indexed="12"/>
        <rFont val="Arial"/>
        <family val="2"/>
      </rPr>
      <t>(SD2F)</t>
    </r>
    <r>
      <rPr>
        <sz val="10"/>
        <color indexed="14"/>
        <rFont val="Arial"/>
        <family val="2"/>
      </rPr>
      <t>(SD3F)(SGSD)</t>
    </r>
  </si>
  <si>
    <r>
      <t>F1</t>
    </r>
    <r>
      <rPr>
        <sz val="10"/>
        <color indexed="12"/>
        <rFont val="Arial"/>
        <family val="2"/>
      </rPr>
      <t>(F2)</t>
    </r>
    <r>
      <rPr>
        <sz val="10"/>
        <color indexed="14"/>
        <rFont val="Arial"/>
        <family val="2"/>
      </rPr>
      <t>(F3)-</t>
    </r>
    <r>
      <rPr>
        <sz val="10"/>
        <rFont val="Arial"/>
        <family val="2"/>
      </rPr>
      <t>Trip SobreCorrente 51GS 230kV</t>
    </r>
  </si>
  <si>
    <r>
      <t>ZZZ:0XTY:50:</t>
    </r>
    <r>
      <rPr>
        <sz val="10"/>
        <color indexed="60"/>
        <rFont val="Arial"/>
        <family val="2"/>
      </rPr>
      <t>TD1F</t>
    </r>
    <r>
      <rPr>
        <sz val="10"/>
        <color indexed="12"/>
        <rFont val="Arial"/>
        <family val="2"/>
      </rPr>
      <t>(TD2F)</t>
    </r>
    <r>
      <rPr>
        <sz val="10"/>
        <color indexed="14"/>
        <rFont val="Arial"/>
        <family val="2"/>
      </rPr>
      <t>(TD3F)(SLTD)</t>
    </r>
  </si>
  <si>
    <t>F1(F2)(F3)-Trip SobreCorrente 50 OLT 230kV Fases</t>
  </si>
  <si>
    <r>
      <t>ZZZ:0XTY:50/51:</t>
    </r>
    <r>
      <rPr>
        <sz val="10"/>
        <color indexed="60"/>
        <rFont val="Arial"/>
        <family val="2"/>
      </rPr>
      <t>CC1A</t>
    </r>
    <r>
      <rPr>
        <sz val="10"/>
        <color indexed="12"/>
        <rFont val="Arial"/>
        <family val="2"/>
      </rPr>
      <t>(CC2A)</t>
    </r>
    <r>
      <rPr>
        <sz val="10"/>
        <color indexed="14"/>
        <rFont val="Arial"/>
        <family val="2"/>
      </rPr>
      <t>(CC3A)(SOCA)</t>
    </r>
  </si>
  <si>
    <r>
      <t>F1</t>
    </r>
    <r>
      <rPr>
        <sz val="10"/>
        <color indexed="12"/>
        <rFont val="Arial"/>
        <family val="2"/>
      </rPr>
      <t>(F2)</t>
    </r>
    <r>
      <rPr>
        <sz val="10"/>
        <color indexed="14"/>
        <rFont val="Arial"/>
        <family val="2"/>
      </rPr>
      <t>(F3)-</t>
    </r>
    <r>
      <rPr>
        <sz val="10"/>
        <rFont val="Arial"/>
        <family val="2"/>
      </rPr>
      <t>Trip SobreCorrente 50/51 138kV Fase A</t>
    </r>
  </si>
  <si>
    <r>
      <t>ZZZ:0XTY:50/51:</t>
    </r>
    <r>
      <rPr>
        <sz val="10"/>
        <color indexed="60"/>
        <rFont val="Arial"/>
        <family val="2"/>
      </rPr>
      <t>CC1B</t>
    </r>
    <r>
      <rPr>
        <sz val="10"/>
        <color indexed="12"/>
        <rFont val="Arial"/>
        <family val="2"/>
      </rPr>
      <t>(CC2B)</t>
    </r>
    <r>
      <rPr>
        <sz val="10"/>
        <color indexed="14"/>
        <rFont val="Arial"/>
        <family val="2"/>
      </rPr>
      <t>(CC3B)(SOCB)</t>
    </r>
  </si>
  <si>
    <r>
      <t>F1</t>
    </r>
    <r>
      <rPr>
        <sz val="10"/>
        <color indexed="12"/>
        <rFont val="Arial"/>
        <family val="2"/>
      </rPr>
      <t>(F2)</t>
    </r>
    <r>
      <rPr>
        <sz val="10"/>
        <color indexed="14"/>
        <rFont val="Arial"/>
        <family val="2"/>
      </rPr>
      <t>(F3)-</t>
    </r>
    <r>
      <rPr>
        <sz val="10"/>
        <rFont val="Arial"/>
        <family val="2"/>
      </rPr>
      <t>Trip SobreCorrente 50/51 138kV Fase B</t>
    </r>
  </si>
  <si>
    <r>
      <t>ZZZ:0XTY:50/51:</t>
    </r>
    <r>
      <rPr>
        <sz val="10"/>
        <color indexed="60"/>
        <rFont val="Arial"/>
        <family val="2"/>
      </rPr>
      <t>CC1C</t>
    </r>
    <r>
      <rPr>
        <sz val="10"/>
        <color indexed="12"/>
        <rFont val="Arial"/>
        <family val="2"/>
      </rPr>
      <t>(CC2C)</t>
    </r>
    <r>
      <rPr>
        <sz val="10"/>
        <color indexed="14"/>
        <rFont val="Arial"/>
        <family val="2"/>
      </rPr>
      <t>(CC3C)(SOCC)</t>
    </r>
  </si>
  <si>
    <r>
      <t>F1</t>
    </r>
    <r>
      <rPr>
        <sz val="10"/>
        <color indexed="12"/>
        <rFont val="Arial"/>
        <family val="2"/>
      </rPr>
      <t>(F2)</t>
    </r>
    <r>
      <rPr>
        <sz val="10"/>
        <color indexed="14"/>
        <rFont val="Arial"/>
        <family val="2"/>
      </rPr>
      <t>(F3)-</t>
    </r>
    <r>
      <rPr>
        <sz val="10"/>
        <rFont val="Arial"/>
        <family val="2"/>
      </rPr>
      <t>Trip SobreCorrente 50/51 138kV Fase C</t>
    </r>
  </si>
  <si>
    <t>F1(F2)(F3)-Trip SobreCorrente 50/51 138kV Fases</t>
  </si>
  <si>
    <t>Atende também ao agrupamento dos itens 106 a 110 para anunciador do nível 2 e alarme do nível 3.</t>
  </si>
  <si>
    <r>
      <t>ZZZ:0XTY:50/51:</t>
    </r>
    <r>
      <rPr>
        <sz val="10"/>
        <color indexed="60"/>
        <rFont val="Arial"/>
        <family val="2"/>
      </rPr>
      <t>CC1N</t>
    </r>
    <r>
      <rPr>
        <sz val="10"/>
        <color indexed="12"/>
        <rFont val="Arial"/>
        <family val="2"/>
      </rPr>
      <t>(CC2N)</t>
    </r>
    <r>
      <rPr>
        <sz val="10"/>
        <color indexed="14"/>
        <rFont val="Arial"/>
        <family val="2"/>
      </rPr>
      <t>(CC3N)(SOCN)</t>
    </r>
  </si>
  <si>
    <t>F1(F2)(F3)-Trip SobreCorrente 50/51 138kV Neutro</t>
  </si>
  <si>
    <r>
      <t>ZZZ:0XTY:50/51:</t>
    </r>
    <r>
      <rPr>
        <sz val="10"/>
        <color indexed="60"/>
        <rFont val="Arial"/>
        <family val="2"/>
      </rPr>
      <t>RC1A</t>
    </r>
    <r>
      <rPr>
        <sz val="10"/>
        <color indexed="12"/>
        <rFont val="Arial"/>
        <family val="2"/>
      </rPr>
      <t>(RC2A)</t>
    </r>
    <r>
      <rPr>
        <sz val="10"/>
        <color indexed="14"/>
        <rFont val="Arial"/>
        <family val="2"/>
      </rPr>
      <t>(RC3A)(RCLA)</t>
    </r>
  </si>
  <si>
    <r>
      <t>F1</t>
    </r>
    <r>
      <rPr>
        <sz val="10"/>
        <color indexed="12"/>
        <rFont val="Arial"/>
        <family val="2"/>
      </rPr>
      <t>(F2)</t>
    </r>
    <r>
      <rPr>
        <sz val="10"/>
        <color indexed="14"/>
        <rFont val="Arial"/>
        <family val="2"/>
      </rPr>
      <t>(F3)-</t>
    </r>
    <r>
      <rPr>
        <sz val="10"/>
        <rFont val="Arial"/>
        <family val="2"/>
      </rPr>
      <t>Trip SobreCorrente 50/51V 138kV Fase A</t>
    </r>
  </si>
  <si>
    <r>
      <t>ZZZ:0XTY:50/51:</t>
    </r>
    <r>
      <rPr>
        <sz val="10"/>
        <color indexed="60"/>
        <rFont val="Arial"/>
        <family val="2"/>
      </rPr>
      <t>RC1B</t>
    </r>
    <r>
      <rPr>
        <sz val="10"/>
        <color indexed="12"/>
        <rFont val="Arial"/>
        <family val="2"/>
      </rPr>
      <t>(RC2B)</t>
    </r>
    <r>
      <rPr>
        <sz val="10"/>
        <color indexed="14"/>
        <rFont val="Arial"/>
        <family val="2"/>
      </rPr>
      <t>(RC3B)(RCLB)</t>
    </r>
  </si>
  <si>
    <r>
      <t>F1</t>
    </r>
    <r>
      <rPr>
        <sz val="10"/>
        <color indexed="12"/>
        <rFont val="Arial"/>
        <family val="2"/>
      </rPr>
      <t>(F2)</t>
    </r>
    <r>
      <rPr>
        <sz val="10"/>
        <color indexed="14"/>
        <rFont val="Arial"/>
        <family val="2"/>
      </rPr>
      <t>(F3)-</t>
    </r>
    <r>
      <rPr>
        <sz val="10"/>
        <rFont val="Arial"/>
        <family val="2"/>
      </rPr>
      <t>Trip SobreCorrente 50/51V 138kV Fase B</t>
    </r>
  </si>
  <si>
    <r>
      <t>ZZZ:0XTY:50/51:</t>
    </r>
    <r>
      <rPr>
        <sz val="10"/>
        <color indexed="60"/>
        <rFont val="Arial"/>
        <family val="2"/>
      </rPr>
      <t>RC1C</t>
    </r>
    <r>
      <rPr>
        <sz val="10"/>
        <color indexed="12"/>
        <rFont val="Arial"/>
        <family val="2"/>
      </rPr>
      <t>(RC2C)</t>
    </r>
    <r>
      <rPr>
        <sz val="10"/>
        <color indexed="14"/>
        <rFont val="Arial"/>
        <family val="2"/>
      </rPr>
      <t>(RC3C)(RCLC)</t>
    </r>
  </si>
  <si>
    <r>
      <t>F1</t>
    </r>
    <r>
      <rPr>
        <sz val="10"/>
        <color indexed="12"/>
        <rFont val="Arial"/>
        <family val="2"/>
      </rPr>
      <t>(F2)</t>
    </r>
    <r>
      <rPr>
        <sz val="10"/>
        <color indexed="14"/>
        <rFont val="Arial"/>
        <family val="2"/>
      </rPr>
      <t>(F3)-</t>
    </r>
    <r>
      <rPr>
        <sz val="10"/>
        <rFont val="Arial"/>
        <family val="2"/>
      </rPr>
      <t>Trip SobreCorrente 50/51V 138kV Fase C</t>
    </r>
  </si>
  <si>
    <t>F1(F2)(F3)-Trip SobreCorrente 50/51V 138kV Fases</t>
  </si>
  <si>
    <t>Atende também ao agrupamento dos itens 116 a 120 para anunciador do nível 2 e alarme do nível 3.</t>
  </si>
  <si>
    <r>
      <t>ZZZ:0XTY:50/51:</t>
    </r>
    <r>
      <rPr>
        <sz val="10"/>
        <color indexed="60"/>
        <rFont val="Arial"/>
        <family val="2"/>
      </rPr>
      <t>RC1N</t>
    </r>
    <r>
      <rPr>
        <sz val="10"/>
        <color indexed="12"/>
        <rFont val="Arial"/>
        <family val="2"/>
      </rPr>
      <t>(RC2N)</t>
    </r>
    <r>
      <rPr>
        <sz val="10"/>
        <color indexed="14"/>
        <rFont val="Arial"/>
        <family val="2"/>
      </rPr>
      <t>(RC3N)(RCLN)</t>
    </r>
  </si>
  <si>
    <t>F1(F2)(F3)-Trip SobreCorrente 50/51V 138kV Neutro</t>
  </si>
  <si>
    <r>
      <t>ZZZ:0XTY:50/51G:</t>
    </r>
    <r>
      <rPr>
        <sz val="10"/>
        <color indexed="60"/>
        <rFont val="Arial"/>
        <family val="2"/>
      </rPr>
      <t>GC1F</t>
    </r>
    <r>
      <rPr>
        <sz val="10"/>
        <color indexed="12"/>
        <rFont val="Arial"/>
        <family val="2"/>
      </rPr>
      <t>(GC2F)</t>
    </r>
    <r>
      <rPr>
        <sz val="10"/>
        <color indexed="14"/>
        <rFont val="Arial"/>
        <family val="2"/>
      </rPr>
      <t>(GC3F)(GCLS)</t>
    </r>
  </si>
  <si>
    <r>
      <t>F1</t>
    </r>
    <r>
      <rPr>
        <sz val="10"/>
        <color indexed="12"/>
        <rFont val="Arial"/>
        <family val="2"/>
      </rPr>
      <t>(F2)</t>
    </r>
    <r>
      <rPr>
        <sz val="10"/>
        <color indexed="14"/>
        <rFont val="Arial"/>
        <family val="2"/>
      </rPr>
      <t>(F3)-</t>
    </r>
    <r>
      <rPr>
        <sz val="10"/>
        <rFont val="Arial"/>
        <family val="2"/>
      </rPr>
      <t>Trip SobreCorrente 50/51G 138kV</t>
    </r>
  </si>
  <si>
    <r>
      <t>ZZZ:0XTY:50G:</t>
    </r>
    <r>
      <rPr>
        <sz val="10"/>
        <color indexed="60"/>
        <rFont val="Arial"/>
        <family val="2"/>
      </rPr>
      <t>GC1F</t>
    </r>
    <r>
      <rPr>
        <sz val="10"/>
        <color indexed="12"/>
        <rFont val="Arial"/>
        <family val="2"/>
      </rPr>
      <t>(GC2F)</t>
    </r>
    <r>
      <rPr>
        <sz val="10"/>
        <color indexed="14"/>
        <rFont val="Arial"/>
        <family val="2"/>
      </rPr>
      <t>(GC3F)(GCLS)</t>
    </r>
  </si>
  <si>
    <r>
      <t>F1</t>
    </r>
    <r>
      <rPr>
        <sz val="10"/>
        <color indexed="12"/>
        <rFont val="Arial"/>
        <family val="2"/>
      </rPr>
      <t>(F2)</t>
    </r>
    <r>
      <rPr>
        <sz val="10"/>
        <color indexed="14"/>
        <rFont val="Arial"/>
        <family val="2"/>
      </rPr>
      <t>(F3)-</t>
    </r>
    <r>
      <rPr>
        <sz val="10"/>
        <rFont val="Arial"/>
        <family val="2"/>
      </rPr>
      <t>Trip SobreCorrente 50G 138kV</t>
    </r>
  </si>
  <si>
    <r>
      <t>ZZZ:0XTY:51G:</t>
    </r>
    <r>
      <rPr>
        <sz val="10"/>
        <color indexed="60"/>
        <rFont val="Arial"/>
        <family val="2"/>
      </rPr>
      <t>GC1F</t>
    </r>
    <r>
      <rPr>
        <sz val="10"/>
        <color indexed="12"/>
        <rFont val="Arial"/>
        <family val="2"/>
      </rPr>
      <t>(GC2F)</t>
    </r>
    <r>
      <rPr>
        <sz val="10"/>
        <color indexed="14"/>
        <rFont val="Arial"/>
        <family val="2"/>
      </rPr>
      <t>(GC3F)(GCLS)</t>
    </r>
  </si>
  <si>
    <r>
      <t>F1</t>
    </r>
    <r>
      <rPr>
        <sz val="10"/>
        <color indexed="12"/>
        <rFont val="Arial"/>
        <family val="2"/>
      </rPr>
      <t>(F2)</t>
    </r>
    <r>
      <rPr>
        <sz val="10"/>
        <color indexed="14"/>
        <rFont val="Arial"/>
        <family val="2"/>
      </rPr>
      <t>(F3)-</t>
    </r>
    <r>
      <rPr>
        <sz val="10"/>
        <rFont val="Arial"/>
        <family val="2"/>
      </rPr>
      <t>Trip SobreCorrente 51G 138kV</t>
    </r>
  </si>
  <si>
    <r>
      <t>ZZZ:0XTY:51:</t>
    </r>
    <r>
      <rPr>
        <sz val="10"/>
        <color indexed="60"/>
        <rFont val="Arial"/>
        <family val="2"/>
      </rPr>
      <t>SC1F</t>
    </r>
    <r>
      <rPr>
        <sz val="10"/>
        <color indexed="12"/>
        <rFont val="Arial"/>
        <family val="2"/>
      </rPr>
      <t>(SC2F)</t>
    </r>
    <r>
      <rPr>
        <sz val="10"/>
        <color indexed="14"/>
        <rFont val="Arial"/>
        <family val="2"/>
      </rPr>
      <t>(SC3F)(SGSC)</t>
    </r>
  </si>
  <si>
    <r>
      <t>F1</t>
    </r>
    <r>
      <rPr>
        <sz val="10"/>
        <color indexed="12"/>
        <rFont val="Arial"/>
        <family val="2"/>
      </rPr>
      <t>(F2)</t>
    </r>
    <r>
      <rPr>
        <sz val="10"/>
        <color indexed="14"/>
        <rFont val="Arial"/>
        <family val="2"/>
      </rPr>
      <t>(F3)-</t>
    </r>
    <r>
      <rPr>
        <sz val="10"/>
        <rFont val="Arial"/>
        <family val="2"/>
      </rPr>
      <t>Trip SobreCorrente 51GS 138kV</t>
    </r>
  </si>
  <si>
    <r>
      <t>ZZZ:0XTY:50:</t>
    </r>
    <r>
      <rPr>
        <sz val="10"/>
        <color indexed="60"/>
        <rFont val="Arial"/>
        <family val="2"/>
      </rPr>
      <t>TC1F</t>
    </r>
    <r>
      <rPr>
        <sz val="10"/>
        <color indexed="12"/>
        <rFont val="Arial"/>
        <family val="2"/>
      </rPr>
      <t>(TC2F)</t>
    </r>
    <r>
      <rPr>
        <sz val="10"/>
        <color indexed="14"/>
        <rFont val="Arial"/>
        <family val="2"/>
      </rPr>
      <t>(TC3F)(SLTC)</t>
    </r>
  </si>
  <si>
    <t>F1(F2)(F3)-Trip SobreCorrente 50 OLT 138kV Fases</t>
  </si>
  <si>
    <t>ZZZ:0XTY:[F1/F2/F3]:SCIF</t>
  </si>
  <si>
    <t xml:space="preserve">Trip SobreCorrente 50 69kV Fases </t>
  </si>
  <si>
    <r>
      <t>ZZZ:0XTY:50:</t>
    </r>
    <r>
      <rPr>
        <sz val="10"/>
        <color indexed="60"/>
        <rFont val="Arial"/>
        <family val="2"/>
      </rPr>
      <t>CIF1</t>
    </r>
    <r>
      <rPr>
        <sz val="10"/>
        <color indexed="12"/>
        <rFont val="Arial"/>
        <family val="2"/>
      </rPr>
      <t>(CIF2)</t>
    </r>
    <r>
      <rPr>
        <sz val="10"/>
        <color indexed="14"/>
        <rFont val="Arial"/>
        <family val="2"/>
      </rPr>
      <t>(CIF3)(SCIF)</t>
    </r>
  </si>
  <si>
    <t xml:space="preserve">F1(F2)(F3)-Trip SobreCorrente 50 69kV Fases </t>
  </si>
  <si>
    <t>ZZZ:0XTY:[F1/F2/F3]:SCNI</t>
  </si>
  <si>
    <t xml:space="preserve">Trip SobreCorrente 50 69kV Neutro </t>
  </si>
  <si>
    <r>
      <t>ZZZ:0XTY:50:</t>
    </r>
    <r>
      <rPr>
        <sz val="10"/>
        <color indexed="60"/>
        <rFont val="Arial"/>
        <family val="2"/>
      </rPr>
      <t>NIF1</t>
    </r>
    <r>
      <rPr>
        <sz val="10"/>
        <color indexed="12"/>
        <rFont val="Arial"/>
        <family val="2"/>
      </rPr>
      <t>(NIF2)</t>
    </r>
    <r>
      <rPr>
        <sz val="10"/>
        <color indexed="14"/>
        <rFont val="Arial"/>
        <family val="2"/>
      </rPr>
      <t>(NIF3)(SCNI)</t>
    </r>
  </si>
  <si>
    <t xml:space="preserve">F1(F2)(F3)-Trip SobreCorrente 50 69kV Neutro </t>
  </si>
  <si>
    <t>ZZZ:0XTY:[F1/F2/F3]:SCTI</t>
  </si>
  <si>
    <t>Trip SobreCorrente 50V 69kV Fases</t>
  </si>
  <si>
    <t>SOBRECORRENTE  RESTIÇÃO TENSÃO</t>
  </si>
  <si>
    <r>
      <t>ZZZ:0XTY:50V:</t>
    </r>
    <r>
      <rPr>
        <sz val="10"/>
        <color indexed="60"/>
        <rFont val="Arial"/>
        <family val="2"/>
      </rPr>
      <t>SS1F</t>
    </r>
    <r>
      <rPr>
        <sz val="10"/>
        <color indexed="12"/>
        <rFont val="Arial"/>
        <family val="2"/>
      </rPr>
      <t>(SS2F)</t>
    </r>
    <r>
      <rPr>
        <sz val="10"/>
        <color indexed="14"/>
        <rFont val="Arial"/>
        <family val="2"/>
      </rPr>
      <t>(SS3F)(SCTI)</t>
    </r>
  </si>
  <si>
    <t>F1(F2)(F3)-Trip SobreCorrente 50V 69kV Fases</t>
  </si>
  <si>
    <t>ZZZ:0XTY:[F1/F2/F3]:SCTF</t>
  </si>
  <si>
    <t xml:space="preserve">Trip SobreCorrente 51 69kV Fases </t>
  </si>
  <si>
    <t>SOBRECORRENTE  FASES</t>
  </si>
  <si>
    <r>
      <t>ZZZ:0XTY:51:</t>
    </r>
    <r>
      <rPr>
        <sz val="10"/>
        <color indexed="60"/>
        <rFont val="Arial"/>
        <family val="2"/>
      </rPr>
      <t>CTF1</t>
    </r>
    <r>
      <rPr>
        <sz val="10"/>
        <color indexed="12"/>
        <rFont val="Arial"/>
        <family val="2"/>
      </rPr>
      <t>(CTF2)</t>
    </r>
    <r>
      <rPr>
        <sz val="10"/>
        <color indexed="14"/>
        <rFont val="Arial"/>
        <family val="2"/>
      </rPr>
      <t>(CTF3)(SCTF)</t>
    </r>
  </si>
  <si>
    <t xml:space="preserve">F1(F2)(F3)-Trip SobreCorrente 51 69kV Fases </t>
  </si>
  <si>
    <t>ZZZ:0XTY:[F1/F2/F3]:SCNT</t>
  </si>
  <si>
    <t xml:space="preserve">Trip SobreCorrente 51 69kV Neutro </t>
  </si>
  <si>
    <r>
      <t>ZZZ:0XTY:51:</t>
    </r>
    <r>
      <rPr>
        <sz val="10"/>
        <color indexed="60"/>
        <rFont val="Arial"/>
        <family val="2"/>
      </rPr>
      <t>NTF1</t>
    </r>
    <r>
      <rPr>
        <sz val="10"/>
        <color indexed="12"/>
        <rFont val="Arial"/>
        <family val="2"/>
      </rPr>
      <t>(NTF2)</t>
    </r>
    <r>
      <rPr>
        <sz val="10"/>
        <color indexed="14"/>
        <rFont val="Arial"/>
        <family val="2"/>
      </rPr>
      <t>(NTF3)(SCNT)</t>
    </r>
  </si>
  <si>
    <t xml:space="preserve">F1(F2)(F3)-Trip SobreCorrente 51 69kV Neutro </t>
  </si>
  <si>
    <t>ZZZ:0XTY:[F1/F2/F3]:SCTT</t>
  </si>
  <si>
    <t>Trip SobreCorrente 51V 69kV Fases</t>
  </si>
  <si>
    <r>
      <t>ZZZ:0XTY:51V:</t>
    </r>
    <r>
      <rPr>
        <sz val="10"/>
        <color indexed="60"/>
        <rFont val="Arial"/>
        <family val="2"/>
      </rPr>
      <t>SR1F</t>
    </r>
    <r>
      <rPr>
        <sz val="10"/>
        <color indexed="12"/>
        <rFont val="Arial"/>
        <family val="2"/>
      </rPr>
      <t>(SR2F)</t>
    </r>
    <r>
      <rPr>
        <sz val="10"/>
        <color indexed="14"/>
        <rFont val="Arial"/>
        <family val="2"/>
      </rPr>
      <t>(SR3F)(SCTT)</t>
    </r>
  </si>
  <si>
    <t>F1(F2)(F3)-Trip SobreCorrente 51V 69kV Fases</t>
  </si>
  <si>
    <r>
      <t>ZZZ:0XTY:50/51:</t>
    </r>
    <r>
      <rPr>
        <sz val="10"/>
        <color indexed="60"/>
        <rFont val="Arial"/>
        <family val="2"/>
      </rPr>
      <t>CS1A</t>
    </r>
    <r>
      <rPr>
        <sz val="10"/>
        <color indexed="12"/>
        <rFont val="Arial"/>
        <family val="2"/>
      </rPr>
      <t>(CS2A)</t>
    </r>
    <r>
      <rPr>
        <sz val="10"/>
        <color indexed="14"/>
        <rFont val="Arial"/>
        <family val="2"/>
      </rPr>
      <t>(CS3A)(SCSA)</t>
    </r>
  </si>
  <si>
    <t>F1(F2)(F3)-Trip SobreCorrente 50/51 69kV Fase A</t>
  </si>
  <si>
    <r>
      <t>ZZZ:0XTY:50/51:</t>
    </r>
    <r>
      <rPr>
        <sz val="10"/>
        <color indexed="60"/>
        <rFont val="Arial"/>
        <family val="2"/>
      </rPr>
      <t>CS1B</t>
    </r>
    <r>
      <rPr>
        <sz val="10"/>
        <color indexed="12"/>
        <rFont val="Arial"/>
        <family val="2"/>
      </rPr>
      <t>(CS2B)</t>
    </r>
    <r>
      <rPr>
        <sz val="10"/>
        <color indexed="14"/>
        <rFont val="Arial"/>
        <family val="2"/>
      </rPr>
      <t>(CS3B)(SCSB)</t>
    </r>
  </si>
  <si>
    <t>F1(F2)(F3)-Trip SobreCorrente 50/51 69kV Fase B</t>
  </si>
  <si>
    <r>
      <t>ZZZ:0XTY:50/51:</t>
    </r>
    <r>
      <rPr>
        <sz val="10"/>
        <color indexed="60"/>
        <rFont val="Arial"/>
        <family val="2"/>
      </rPr>
      <t>CS1C</t>
    </r>
    <r>
      <rPr>
        <sz val="10"/>
        <color indexed="12"/>
        <rFont val="Arial"/>
        <family val="2"/>
      </rPr>
      <t>(CS2C)(CS3C)(SCSC)</t>
    </r>
  </si>
  <si>
    <t>F1(F2)(F3)-Trip SobreCorrente 50/51 69kVFase C</t>
  </si>
  <si>
    <t>F1(F2)(F3)-Trip SobreCorrente 50/51 69kV Fases</t>
  </si>
  <si>
    <t>Atende também ao agrupamento dos itens 146 a 150 para anunciador do nível 2 e alarme do nível 3.</t>
  </si>
  <si>
    <r>
      <t>ZZZ:0XTY:50/51:</t>
    </r>
    <r>
      <rPr>
        <sz val="10"/>
        <color indexed="60"/>
        <rFont val="Arial"/>
        <family val="2"/>
      </rPr>
      <t>CS1N</t>
    </r>
    <r>
      <rPr>
        <sz val="10"/>
        <color indexed="12"/>
        <rFont val="Arial"/>
        <family val="2"/>
      </rPr>
      <t>(CS2N)</t>
    </r>
    <r>
      <rPr>
        <sz val="10"/>
        <color indexed="14"/>
        <rFont val="Arial"/>
        <family val="2"/>
      </rPr>
      <t>(CS3N)(SCSN)</t>
    </r>
  </si>
  <si>
    <t>F1(F2)(F3)-Trip SobreCorrente 50/51 69kV Neutro</t>
  </si>
  <si>
    <r>
      <t>ZZZ:0XTY:50/51:</t>
    </r>
    <r>
      <rPr>
        <sz val="10"/>
        <color indexed="60"/>
        <rFont val="Arial"/>
        <family val="2"/>
      </rPr>
      <t>RS1A</t>
    </r>
    <r>
      <rPr>
        <sz val="10"/>
        <color indexed="12"/>
        <rFont val="Arial"/>
        <family val="2"/>
      </rPr>
      <t>(RS2A)</t>
    </r>
    <r>
      <rPr>
        <sz val="10"/>
        <color indexed="14"/>
        <rFont val="Arial"/>
        <family val="2"/>
      </rPr>
      <t>(RS3A)(SRSA)</t>
    </r>
  </si>
  <si>
    <r>
      <t>F1</t>
    </r>
    <r>
      <rPr>
        <sz val="10"/>
        <color indexed="12"/>
        <rFont val="Arial"/>
        <family val="2"/>
      </rPr>
      <t>(F2)</t>
    </r>
    <r>
      <rPr>
        <sz val="10"/>
        <color indexed="14"/>
        <rFont val="Arial"/>
        <family val="2"/>
      </rPr>
      <t>(F3)-</t>
    </r>
    <r>
      <rPr>
        <sz val="10"/>
        <rFont val="Arial"/>
        <family val="2"/>
      </rPr>
      <t>Trip SobreCorrente 50/51V 69kV Fase A</t>
    </r>
  </si>
  <si>
    <r>
      <t>ZZZ:0XTY:50/51:</t>
    </r>
    <r>
      <rPr>
        <sz val="10"/>
        <color indexed="60"/>
        <rFont val="Arial"/>
        <family val="2"/>
      </rPr>
      <t>RS1B</t>
    </r>
    <r>
      <rPr>
        <sz val="10"/>
        <color indexed="12"/>
        <rFont val="Arial"/>
        <family val="2"/>
      </rPr>
      <t>(RS2B)</t>
    </r>
    <r>
      <rPr>
        <sz val="10"/>
        <color indexed="14"/>
        <rFont val="Arial"/>
        <family val="2"/>
      </rPr>
      <t>(RS3B)(SRSB)</t>
    </r>
  </si>
  <si>
    <r>
      <t>F1</t>
    </r>
    <r>
      <rPr>
        <sz val="10"/>
        <color indexed="12"/>
        <rFont val="Arial"/>
        <family val="2"/>
      </rPr>
      <t>(F2)</t>
    </r>
    <r>
      <rPr>
        <sz val="10"/>
        <color indexed="14"/>
        <rFont val="Arial"/>
        <family val="2"/>
      </rPr>
      <t>(F3)-</t>
    </r>
    <r>
      <rPr>
        <sz val="10"/>
        <rFont val="Arial"/>
        <family val="2"/>
      </rPr>
      <t>Trip SobreCorrente 50/51V 69kV Fase B</t>
    </r>
  </si>
  <si>
    <r>
      <t>ZZZ:0XTY:50/51:</t>
    </r>
    <r>
      <rPr>
        <sz val="10"/>
        <color indexed="60"/>
        <rFont val="Arial"/>
        <family val="2"/>
      </rPr>
      <t>RS1C</t>
    </r>
    <r>
      <rPr>
        <sz val="10"/>
        <color indexed="12"/>
        <rFont val="Arial"/>
        <family val="2"/>
      </rPr>
      <t>(RS2C)</t>
    </r>
    <r>
      <rPr>
        <sz val="10"/>
        <color indexed="14"/>
        <rFont val="Arial"/>
        <family val="2"/>
      </rPr>
      <t>(RS3C)(SRSC)</t>
    </r>
  </si>
  <si>
    <r>
      <t>F1</t>
    </r>
    <r>
      <rPr>
        <sz val="10"/>
        <color indexed="12"/>
        <rFont val="Arial"/>
        <family val="2"/>
      </rPr>
      <t>(F2)</t>
    </r>
    <r>
      <rPr>
        <sz val="10"/>
        <color indexed="14"/>
        <rFont val="Arial"/>
        <family val="2"/>
      </rPr>
      <t>(F3)-</t>
    </r>
    <r>
      <rPr>
        <sz val="10"/>
        <rFont val="Arial"/>
        <family val="2"/>
      </rPr>
      <t>Trip SobreCorrente 50/51V 69kV Fase C</t>
    </r>
  </si>
  <si>
    <t>F1(F2)(F3)-Trip SobreCorrente 50/51V 69kV Fases</t>
  </si>
  <si>
    <t>Atende também ao agrupamento dos itens 156 a 160 para anunciador do nível 2 e alarme do nível 3.</t>
  </si>
  <si>
    <r>
      <t>ZZZ:0XTY:50/51:</t>
    </r>
    <r>
      <rPr>
        <sz val="10"/>
        <color indexed="60"/>
        <rFont val="Arial"/>
        <family val="2"/>
      </rPr>
      <t>RS1N</t>
    </r>
    <r>
      <rPr>
        <sz val="10"/>
        <color indexed="12"/>
        <rFont val="Arial"/>
        <family val="2"/>
      </rPr>
      <t>(RS2N)</t>
    </r>
    <r>
      <rPr>
        <sz val="10"/>
        <color indexed="14"/>
        <rFont val="Arial"/>
        <family val="2"/>
      </rPr>
      <t>(RS3N)(SRSN)</t>
    </r>
  </si>
  <si>
    <t>F1(F2)(F3)-Trip SobreCorrente 50/51V 69kV Neutro</t>
  </si>
  <si>
    <r>
      <t>ZZZ:0XTY:50:</t>
    </r>
    <r>
      <rPr>
        <sz val="10"/>
        <color indexed="60"/>
        <rFont val="Arial"/>
        <family val="2"/>
      </rPr>
      <t>TS1F</t>
    </r>
    <r>
      <rPr>
        <sz val="10"/>
        <color indexed="12"/>
        <rFont val="Arial"/>
        <family val="2"/>
      </rPr>
      <t>(TS2F)</t>
    </r>
    <r>
      <rPr>
        <sz val="10"/>
        <color indexed="14"/>
        <rFont val="Arial"/>
        <family val="2"/>
      </rPr>
      <t>(TS3F)(SLTS)</t>
    </r>
  </si>
  <si>
    <t>F1(F2)(F3)-Trip SobreCorrente 50 OLT 69kV Fases</t>
  </si>
  <si>
    <r>
      <t>ZZZ:0XTY:50/51:</t>
    </r>
    <r>
      <rPr>
        <sz val="10"/>
        <color indexed="60"/>
        <rFont val="Arial"/>
        <family val="2"/>
      </rPr>
      <t>CT1A</t>
    </r>
    <r>
      <rPr>
        <sz val="10"/>
        <color indexed="12"/>
        <rFont val="Arial"/>
        <family val="2"/>
      </rPr>
      <t>(CT2A)</t>
    </r>
    <r>
      <rPr>
        <sz val="10"/>
        <color indexed="14"/>
        <rFont val="Arial"/>
        <family val="2"/>
      </rPr>
      <t>(C3TA)(SCTA)</t>
    </r>
  </si>
  <si>
    <r>
      <t>F1</t>
    </r>
    <r>
      <rPr>
        <sz val="10"/>
        <color indexed="12"/>
        <rFont val="Arial"/>
        <family val="2"/>
      </rPr>
      <t>(F2)</t>
    </r>
    <r>
      <rPr>
        <sz val="10"/>
        <color indexed="14"/>
        <rFont val="Arial"/>
        <family val="2"/>
      </rPr>
      <t>(F3)-</t>
    </r>
    <r>
      <rPr>
        <sz val="10"/>
        <rFont val="Arial"/>
        <family val="2"/>
      </rPr>
      <t>Trip SobreCorrente 50/51 13.8kV Fase A</t>
    </r>
  </si>
  <si>
    <t>Será PTIP (OCR_NOR_IPU01) quando se tratar de enrolamento em delta em trafo de 500kV.</t>
  </si>
  <si>
    <r>
      <t>ZZZ:0XTY:50/51:</t>
    </r>
    <r>
      <rPr>
        <sz val="10"/>
        <color indexed="60"/>
        <rFont val="Arial"/>
        <family val="2"/>
      </rPr>
      <t>CT1B</t>
    </r>
    <r>
      <rPr>
        <sz val="10"/>
        <color indexed="12"/>
        <rFont val="Arial"/>
        <family val="2"/>
      </rPr>
      <t>(CT2B)</t>
    </r>
    <r>
      <rPr>
        <sz val="10"/>
        <color indexed="14"/>
        <rFont val="Arial"/>
        <family val="2"/>
      </rPr>
      <t>(CT3B)(SCTB)</t>
    </r>
  </si>
  <si>
    <r>
      <t>F1</t>
    </r>
    <r>
      <rPr>
        <sz val="10"/>
        <color indexed="12"/>
        <rFont val="Arial"/>
        <family val="2"/>
      </rPr>
      <t>(F2)</t>
    </r>
    <r>
      <rPr>
        <sz val="10"/>
        <color indexed="14"/>
        <rFont val="Arial"/>
        <family val="2"/>
      </rPr>
      <t>(F3)-</t>
    </r>
    <r>
      <rPr>
        <sz val="10"/>
        <rFont val="Arial"/>
        <family val="2"/>
      </rPr>
      <t>Trip SobreCorrente 50/51 13.8kV Fase B</t>
    </r>
  </si>
  <si>
    <r>
      <t>ZZZ:0XTY:50/51:</t>
    </r>
    <r>
      <rPr>
        <sz val="10"/>
        <color indexed="60"/>
        <rFont val="Arial"/>
        <family val="2"/>
      </rPr>
      <t>CT1C</t>
    </r>
    <r>
      <rPr>
        <sz val="10"/>
        <color indexed="12"/>
        <rFont val="Arial"/>
        <family val="2"/>
      </rPr>
      <t>(CT2C)</t>
    </r>
    <r>
      <rPr>
        <sz val="10"/>
        <color indexed="14"/>
        <rFont val="Arial"/>
        <family val="2"/>
      </rPr>
      <t>(CT3C)(SCTC)</t>
    </r>
  </si>
  <si>
    <r>
      <t>F1</t>
    </r>
    <r>
      <rPr>
        <sz val="10"/>
        <color indexed="12"/>
        <rFont val="Arial"/>
        <family val="2"/>
      </rPr>
      <t>(F2)</t>
    </r>
    <r>
      <rPr>
        <sz val="10"/>
        <color indexed="14"/>
        <rFont val="Arial"/>
        <family val="2"/>
      </rPr>
      <t>(F3)-</t>
    </r>
    <r>
      <rPr>
        <sz val="10"/>
        <rFont val="Arial"/>
        <family val="2"/>
      </rPr>
      <t>Trip SobreCorrente 50/51 13.8kV Fase C</t>
    </r>
  </si>
  <si>
    <t xml:space="preserve">Será PTIP (OCR_NOR_IPU01) quando se tratar de enrolamento em delta em trafo de 500kV.
</t>
  </si>
  <si>
    <t>F1(F2)(F3)-Trip SobreCorrente 50/51 13.8kV Fases</t>
  </si>
  <si>
    <t>Atende também ao agrupamento dos itens 168 a 172 para anunciador do nível 2 e alarme do nível 3.</t>
  </si>
  <si>
    <r>
      <t>ZZZ:0XTY:50/51:</t>
    </r>
    <r>
      <rPr>
        <sz val="10"/>
        <color indexed="60"/>
        <rFont val="Arial"/>
        <family val="2"/>
      </rPr>
      <t>CT1N</t>
    </r>
    <r>
      <rPr>
        <sz val="10"/>
        <color indexed="12"/>
        <rFont val="Arial"/>
        <family val="2"/>
      </rPr>
      <t>(CT2N)</t>
    </r>
    <r>
      <rPr>
        <sz val="10"/>
        <color indexed="14"/>
        <rFont val="Arial"/>
        <family val="2"/>
      </rPr>
      <t>(CT3N)(SCTN)</t>
    </r>
  </si>
  <si>
    <t>F1(F2)(F3)-Trip SobreCorrente 50/51 13.8kV Neutro</t>
  </si>
  <si>
    <r>
      <t>ZZZ:0XTY:50/51:</t>
    </r>
    <r>
      <rPr>
        <sz val="10"/>
        <color indexed="60"/>
        <rFont val="Arial"/>
        <family val="2"/>
      </rPr>
      <t>RT1A</t>
    </r>
    <r>
      <rPr>
        <sz val="10"/>
        <color indexed="12"/>
        <rFont val="Arial"/>
        <family val="2"/>
      </rPr>
      <t>(RT2A)</t>
    </r>
    <r>
      <rPr>
        <sz val="10"/>
        <color indexed="14"/>
        <rFont val="Arial"/>
        <family val="2"/>
      </rPr>
      <t>(RT3A)(SRTA)</t>
    </r>
  </si>
  <si>
    <r>
      <t>F1</t>
    </r>
    <r>
      <rPr>
        <sz val="10"/>
        <color indexed="12"/>
        <rFont val="Arial"/>
        <family val="2"/>
      </rPr>
      <t>(F2)</t>
    </r>
    <r>
      <rPr>
        <sz val="10"/>
        <color indexed="14"/>
        <rFont val="Arial"/>
        <family val="2"/>
      </rPr>
      <t>(F3)-</t>
    </r>
    <r>
      <rPr>
        <sz val="10"/>
        <rFont val="Arial"/>
        <family val="2"/>
      </rPr>
      <t>Trip SobreCorrente 50/51V 13.8kV Fase A</t>
    </r>
  </si>
  <si>
    <r>
      <t>ZZZ:0XTY:50/51:</t>
    </r>
    <r>
      <rPr>
        <sz val="10"/>
        <color indexed="60"/>
        <rFont val="Arial"/>
        <family val="2"/>
      </rPr>
      <t>RT1B</t>
    </r>
    <r>
      <rPr>
        <sz val="10"/>
        <color indexed="12"/>
        <rFont val="Arial"/>
        <family val="2"/>
      </rPr>
      <t>(RT2B)</t>
    </r>
    <r>
      <rPr>
        <sz val="10"/>
        <color indexed="14"/>
        <rFont val="Arial"/>
        <family val="2"/>
      </rPr>
      <t>(RT3B)(SRTB)</t>
    </r>
  </si>
  <si>
    <r>
      <t>F1</t>
    </r>
    <r>
      <rPr>
        <sz val="10"/>
        <color indexed="12"/>
        <rFont val="Arial"/>
        <family val="2"/>
      </rPr>
      <t>(F2)</t>
    </r>
    <r>
      <rPr>
        <sz val="10"/>
        <color indexed="14"/>
        <rFont val="Arial"/>
        <family val="2"/>
      </rPr>
      <t>(F3)-</t>
    </r>
    <r>
      <rPr>
        <sz val="10"/>
        <rFont val="Arial"/>
        <family val="2"/>
      </rPr>
      <t>Trip SobreCorrente 50/51V 13.8kV Fase B</t>
    </r>
  </si>
  <si>
    <r>
      <t>ZZZ:0XTY:50/51:</t>
    </r>
    <r>
      <rPr>
        <sz val="10"/>
        <color indexed="60"/>
        <rFont val="Arial"/>
        <family val="2"/>
      </rPr>
      <t>RT1C</t>
    </r>
    <r>
      <rPr>
        <sz val="10"/>
        <color indexed="12"/>
        <rFont val="Arial"/>
        <family val="2"/>
      </rPr>
      <t>(RT2C)</t>
    </r>
    <r>
      <rPr>
        <sz val="10"/>
        <color indexed="14"/>
        <rFont val="Arial"/>
        <family val="2"/>
      </rPr>
      <t>(RT3C)(SRTC)</t>
    </r>
  </si>
  <si>
    <r>
      <t>F1</t>
    </r>
    <r>
      <rPr>
        <sz val="10"/>
        <color indexed="12"/>
        <rFont val="Arial"/>
        <family val="2"/>
      </rPr>
      <t>(F2)</t>
    </r>
    <r>
      <rPr>
        <sz val="10"/>
        <color indexed="14"/>
        <rFont val="Arial"/>
        <family val="2"/>
      </rPr>
      <t>(F3)-</t>
    </r>
    <r>
      <rPr>
        <sz val="10"/>
        <rFont val="Arial"/>
        <family val="2"/>
      </rPr>
      <t>Trip SobreCorrente 50/51V 13.8kV Fase C</t>
    </r>
  </si>
  <si>
    <t>F1(F2)(F3)-Trip SobreCorrente 50/51V 13.8kV Fases</t>
  </si>
  <si>
    <t>Atende também ao agrupamento dos itens 178 a 182 para anunciador do nível 2 e alarme do nível 3.</t>
  </si>
  <si>
    <r>
      <t>ZZZ:0XTY:50/51:</t>
    </r>
    <r>
      <rPr>
        <sz val="10"/>
        <color indexed="60"/>
        <rFont val="Arial"/>
        <family val="2"/>
      </rPr>
      <t>RT1N</t>
    </r>
    <r>
      <rPr>
        <sz val="10"/>
        <color indexed="12"/>
        <rFont val="Arial"/>
        <family val="2"/>
      </rPr>
      <t>(RT2N)</t>
    </r>
    <r>
      <rPr>
        <sz val="10"/>
        <color indexed="14"/>
        <rFont val="Arial"/>
        <family val="2"/>
      </rPr>
      <t>(RT3N)(SRTN)</t>
    </r>
  </si>
  <si>
    <t>F1(F2)(F3)-Trip SobreCorrente 50/51V 13.8kV Neutro</t>
  </si>
  <si>
    <r>
      <t>ZZZ:0XTY:50:</t>
    </r>
    <r>
      <rPr>
        <sz val="10"/>
        <color indexed="60"/>
        <rFont val="Arial"/>
        <family val="2"/>
      </rPr>
      <t>TT1F</t>
    </r>
    <r>
      <rPr>
        <sz val="10"/>
        <color indexed="12"/>
        <rFont val="Arial"/>
        <family val="2"/>
      </rPr>
      <t>(TT2F)</t>
    </r>
    <r>
      <rPr>
        <sz val="10"/>
        <color indexed="14"/>
        <rFont val="Arial"/>
        <family val="2"/>
      </rPr>
      <t>(TT3F)</t>
    </r>
    <r>
      <rPr>
        <sz val="10"/>
        <rFont val="Arial"/>
        <family val="2"/>
      </rPr>
      <t>(SLTT)</t>
    </r>
  </si>
  <si>
    <t>F1(F2)(F3)-Trip SobreCorrente 50 OLT 13.8kV Fases</t>
  </si>
  <si>
    <t>ZZZ:0XTY:[F1/F2/F3]:SUBT</t>
  </si>
  <si>
    <t>SUBTENSÃO</t>
  </si>
  <si>
    <r>
      <t>ZZZ:0XTY:27:</t>
    </r>
    <r>
      <rPr>
        <sz val="10"/>
        <color indexed="60"/>
        <rFont val="Arial"/>
        <family val="2"/>
      </rPr>
      <t>ST1F</t>
    </r>
    <r>
      <rPr>
        <sz val="10"/>
        <color indexed="12"/>
        <rFont val="Arial"/>
        <family val="2"/>
      </rPr>
      <t>(ST2F)</t>
    </r>
    <r>
      <rPr>
        <sz val="10"/>
        <color indexed="14"/>
        <rFont val="Arial"/>
        <family val="2"/>
      </rPr>
      <t>(ST3F)</t>
    </r>
    <r>
      <rPr>
        <sz val="10"/>
        <rFont val="Arial"/>
        <family val="2"/>
      </rPr>
      <t>(SUBT)</t>
    </r>
  </si>
  <si>
    <r>
      <t>F1</t>
    </r>
    <r>
      <rPr>
        <sz val="10"/>
        <color indexed="12"/>
        <rFont val="Arial"/>
        <family val="2"/>
      </rPr>
      <t>(F2)</t>
    </r>
    <r>
      <rPr>
        <sz val="10"/>
        <color indexed="14"/>
        <rFont val="Arial"/>
        <family val="2"/>
      </rPr>
      <t>(F3)</t>
    </r>
    <r>
      <rPr>
        <sz val="10"/>
        <color indexed="60"/>
        <rFont val="Arial"/>
        <family val="2"/>
      </rPr>
      <t>-</t>
    </r>
    <r>
      <rPr>
        <sz val="10"/>
        <rFont val="Arial"/>
        <family val="2"/>
      </rPr>
      <t>Trip Relé SubTensão</t>
    </r>
  </si>
  <si>
    <t>ZZZ:0XTY:64:TRCA</t>
  </si>
  <si>
    <t xml:space="preserve">Trip Relé de Carcaça  </t>
  </si>
  <si>
    <t>CARCAÇA</t>
  </si>
  <si>
    <t>ZZZ:0XTY:59N:SSZT</t>
  </si>
  <si>
    <t>Trip SobreTensão Seq Zero Enrol Delta</t>
  </si>
  <si>
    <t>SOBRETENSÃO DELTA</t>
  </si>
  <si>
    <r>
      <t>ZZZ:0XTY:50:</t>
    </r>
    <r>
      <rPr>
        <sz val="10"/>
        <color indexed="60"/>
        <rFont val="Arial"/>
        <family val="2"/>
      </rPr>
      <t>TE1F</t>
    </r>
    <r>
      <rPr>
        <sz val="10"/>
        <color indexed="12"/>
        <rFont val="Arial"/>
        <family val="2"/>
      </rPr>
      <t>(TE2F)</t>
    </r>
    <r>
      <rPr>
        <sz val="10"/>
        <color indexed="14"/>
        <rFont val="Arial"/>
        <family val="2"/>
      </rPr>
      <t>(TE3F)(TEDF)</t>
    </r>
  </si>
  <si>
    <r>
      <t>F1</t>
    </r>
    <r>
      <rPr>
        <sz val="10"/>
        <color indexed="12"/>
        <rFont val="Arial"/>
        <family val="2"/>
      </rPr>
      <t>(F2)</t>
    </r>
    <r>
      <rPr>
        <sz val="10"/>
        <color indexed="14"/>
        <rFont val="Arial"/>
        <family val="2"/>
      </rPr>
      <t>(F3)</t>
    </r>
    <r>
      <rPr>
        <sz val="10"/>
        <rFont val="Arial"/>
        <family val="2"/>
      </rPr>
      <t>-Trip por End Fault</t>
    </r>
  </si>
  <si>
    <t>ZZZ:0XTY:26:ATOA</t>
  </si>
  <si>
    <t xml:space="preserve">Temperatura Óleo 1.Grau Fase A </t>
  </si>
  <si>
    <t>ZZZ:0XTY:26:ATOF, ZZZ:0XTY:26/49:TOEP</t>
  </si>
  <si>
    <t>ZZZ:0XTY:26:ATOB</t>
  </si>
  <si>
    <t xml:space="preserve">Temperatura Óleo 1.Grau Fase B </t>
  </si>
  <si>
    <t>ZZZ:0XTY:26:ATOC</t>
  </si>
  <si>
    <t xml:space="preserve">Temperatura Óleo 1.Grau Fase C </t>
  </si>
  <si>
    <t>ZZZ:0XTY:26:ATOF</t>
  </si>
  <si>
    <t>Temperatura Óleo 1.Grau</t>
  </si>
  <si>
    <t>Atende também ao agrupamento dos itens 195 a 197 para anunciador do nível 2 e alarme do nível 3.</t>
  </si>
  <si>
    <t>ZZZ:0XTY:49 :ATEA</t>
  </si>
  <si>
    <t xml:space="preserve">Temperatura Enrol 1.Grau 500 kV Fase A </t>
  </si>
  <si>
    <t>ZZZ:0XTY:49:ATEF, ZZZ:0XTY:26/49:TOEP</t>
  </si>
  <si>
    <t>ZZZ:0XTY:49:ATEB</t>
  </si>
  <si>
    <t xml:space="preserve">Temperatura Enrol 1.Grau 500 kV Fase B </t>
  </si>
  <si>
    <t>ZZZ:0XTY:49:ATEC</t>
  </si>
  <si>
    <t xml:space="preserve">Temperatura Enrol 1.Grau 500 kV Fase C </t>
  </si>
  <si>
    <t>ZZZ:0XTY:49:ATEF</t>
  </si>
  <si>
    <t>Temperatura Enrol 1.Grau 500 kV</t>
  </si>
  <si>
    <t>Atende também ao agrupamento dos itens 199 a 201 para anunciador do nível 2 e alarme do nível 3.</t>
  </si>
  <si>
    <t>ZZZ:0XTY:49:ADEA</t>
  </si>
  <si>
    <t xml:space="preserve">Temperatura Enrol 1.Grau 230 kV Fase A </t>
  </si>
  <si>
    <t>ZZZ:0XTY:49:ADEF, ZZZ:0XTY:26/49:TOEP</t>
  </si>
  <si>
    <t>ZZZ:0XTY:49:ADEB</t>
  </si>
  <si>
    <t xml:space="preserve">Temperatura Enrol 1.Grau 230 kV Fase B </t>
  </si>
  <si>
    <t>ZZZ:0XTY:49:ADEC</t>
  </si>
  <si>
    <t xml:space="preserve">Temperatura Enrol 1.Grau 230 kV Fase C </t>
  </si>
  <si>
    <t>ZZZ:0XTY:49:ADEF</t>
  </si>
  <si>
    <t>Temperatura Enrol 1.Grau 230 kV</t>
  </si>
  <si>
    <t>Atende também ao agrupamento dos itens 203 a 205 para anunciador do nível 2 e alarme do nível 3.</t>
  </si>
  <si>
    <t>ZZZ:0XTY:49:ACEA</t>
  </si>
  <si>
    <t xml:space="preserve">Temperatura Enrol 1.Grau 138 kV Fase A </t>
  </si>
  <si>
    <t>ZZZ:0XTY:49:ACEF, ZZZ:0XTY:26/49:TOEP</t>
  </si>
  <si>
    <t>ZZZ:0XTY:49:ACEB</t>
  </si>
  <si>
    <t xml:space="preserve">Temperatura Enrol 1.Grau 138 kV Fase B </t>
  </si>
  <si>
    <t>ZZZ:0XTY:49:ACEC</t>
  </si>
  <si>
    <t xml:space="preserve">Temperatura Enrol 1.Grau 138 kV Fase C </t>
  </si>
  <si>
    <t>ZZZ:0XTY:49:ACEF</t>
  </si>
  <si>
    <t xml:space="preserve">Temperatura Enrol 1.Grau 138 kV  </t>
  </si>
  <si>
    <t>Atende também ao agrupamento dos itens 207 a 209 para anunciador do nível 2 e alarme do nível 3.</t>
  </si>
  <si>
    <t>ZZZ:0XTY:49:ASEA</t>
  </si>
  <si>
    <t xml:space="preserve">Temperatura Enrol 1.Grau 69 kV Fase A </t>
  </si>
  <si>
    <t>ZZZ:0XTY:49:ASEF, ZZZ:0XTY:26/49:TOEP</t>
  </si>
  <si>
    <t>ZZZ:0XTY:49:ASEB</t>
  </si>
  <si>
    <t xml:space="preserve">Temperatura Enrol 1.Grau 69 kV Fase B </t>
  </si>
  <si>
    <t>ZZZ:0XTY:49:ASEC</t>
  </si>
  <si>
    <t xml:space="preserve">Temperatura Enrol 1.Grau 69 kV Fase C </t>
  </si>
  <si>
    <t>ZZZ:0XTY:49:ASEF</t>
  </si>
  <si>
    <t>Temperatura Enrol 1.Grau 69 kV</t>
  </si>
  <si>
    <t>Atende também ao agrupamento dos itens 211 a 213 para anunciador do nível 2 e alarme do nível 3.</t>
  </si>
  <si>
    <t>ZZZ:0XTY:49:AETA</t>
  </si>
  <si>
    <t xml:space="preserve">Temperatura Enrol 1.Grau 13.8 kV Fase A </t>
  </si>
  <si>
    <t>ZZZ:0XTY:49:AETF, ZZZ:0XTY:26/49:TOEP</t>
  </si>
  <si>
    <t>ZZZ:0XTY:49:AETB</t>
  </si>
  <si>
    <t xml:space="preserve">Temperatura Enrol 1.Grau 13.8 kV Fase B </t>
  </si>
  <si>
    <t>ZZZ:0XTY:49:AETC</t>
  </si>
  <si>
    <t xml:space="preserve">Temperatura Enrol 1.Grau 13.8 kV Fase C </t>
  </si>
  <si>
    <t>ZZZ:0XTY:49:AETF</t>
  </si>
  <si>
    <t xml:space="preserve">Temperatura Enrol 1.Grau  13.8 kV </t>
  </si>
  <si>
    <t>ZZZ:0XTY:26/49:TOEP</t>
  </si>
  <si>
    <t>Atende também ao agrupamento dos itens 215 a 217 para anunciador do nível 2 e alarme do nível 3.</t>
  </si>
  <si>
    <t xml:space="preserve">Temperatura Óleo/Enrol 1.Grau </t>
  </si>
  <si>
    <t>Usar em Nível 2 apenas quando não for possível desmembrar.</t>
  </si>
  <si>
    <t>Agrupamento itens 195 a 218.
Apenas para PAD.</t>
  </si>
  <si>
    <t>ZZZ:0XTY:26:SOFA</t>
  </si>
  <si>
    <t xml:space="preserve">Temperatura Óleo 2.Grau Fase A </t>
  </si>
  <si>
    <t>TEMPERATURA</t>
  </si>
  <si>
    <t>ZZZ:0XTY:26:TOTS, ZZZ:0XTY:26/49:TOES</t>
  </si>
  <si>
    <t>ZZZ:0XTY:26:SOFB</t>
  </si>
  <si>
    <t xml:space="preserve">Temperatura Óleo 2.Grau Fase B </t>
  </si>
  <si>
    <t>ZZZ:0XTY:26:SOFC</t>
  </si>
  <si>
    <t xml:space="preserve">Temperatura Óleo 2.Grau Fase C </t>
  </si>
  <si>
    <t xml:space="preserve">ZZZ:0XTY:49:AEQA </t>
  </si>
  <si>
    <t xml:space="preserve">Temperatura Enrol 2.Grau 500kV  Fase A </t>
  </si>
  <si>
    <t>ZZZ:0XTY:49:AEQS, ZZZ:0XTY:26/49:TOES</t>
  </si>
  <si>
    <t xml:space="preserve">ZZZ:0XTY:49:AEQB </t>
  </si>
  <si>
    <t xml:space="preserve">Temperatura Enrol 2.Grau 500kV  Fase B </t>
  </si>
  <si>
    <t xml:space="preserve">ZZZ:0XTY:49:AEQC </t>
  </si>
  <si>
    <t xml:space="preserve">Temperatura Enrol 2.Grau 500kV  Fase C </t>
  </si>
  <si>
    <t>ZZZ:0XTY:49:AEQS</t>
  </si>
  <si>
    <t>Temperatura Enrol 2.Grau 500kV</t>
  </si>
  <si>
    <t>Atende também ao agrupamento dos itens 223 a 225 para anunciador do nível 2 e alarme do nível 3.</t>
  </si>
  <si>
    <t>ZZZ:0XTY:49:AEDA</t>
  </si>
  <si>
    <t xml:space="preserve">Temperatura Enrol 2.Grau 230kV Fase A </t>
  </si>
  <si>
    <r>
      <t>ZZZ:0XTY:49:AE1S</t>
    </r>
    <r>
      <rPr>
        <sz val="10"/>
        <color indexed="12"/>
        <rFont val="Arial"/>
        <family val="2"/>
      </rPr>
      <t>(AE2S)</t>
    </r>
    <r>
      <rPr>
        <sz val="10"/>
        <color indexed="14"/>
        <rFont val="Arial"/>
        <family val="2"/>
      </rPr>
      <t>(AE3S)(AEDS)</t>
    </r>
    <r>
      <rPr>
        <sz val="10"/>
        <rFont val="Arial"/>
        <family val="2"/>
      </rPr>
      <t>, ZZZ:0XTY:26/49:TOES</t>
    </r>
  </si>
  <si>
    <t>ZZZ:0XTY:49:AEDB</t>
  </si>
  <si>
    <t xml:space="preserve">Temperatura Enrol 2.Grau 230kV Fase B </t>
  </si>
  <si>
    <t xml:space="preserve">ZZZ:0XTY:49:AEDC </t>
  </si>
  <si>
    <t xml:space="preserve">Temperatura Enrol 2.Grau 230kV Fase C </t>
  </si>
  <si>
    <r>
      <t>ZZZ:0XTY:F2:</t>
    </r>
    <r>
      <rPr>
        <sz val="10"/>
        <color indexed="14"/>
        <rFont val="Arial"/>
        <family val="2"/>
      </rPr>
      <t>AEDS</t>
    </r>
  </si>
  <si>
    <t>Temperatura Enrol 2.Grau 230kV</t>
  </si>
  <si>
    <t>Atende também ao agrupamento dos itens 226 a 228 para anunciador do nível 2 e alarme do nível 3.</t>
  </si>
  <si>
    <r>
      <t>ZZZ:0XTY:49:AE1S</t>
    </r>
    <r>
      <rPr>
        <sz val="10"/>
        <color indexed="12"/>
        <rFont val="Arial"/>
        <family val="2"/>
      </rPr>
      <t>(AE2S)</t>
    </r>
    <r>
      <rPr>
        <sz val="10"/>
        <color indexed="14"/>
        <rFont val="Arial"/>
        <family val="2"/>
      </rPr>
      <t>(AE3S)(AEDS)</t>
    </r>
  </si>
  <si>
    <t>F1(F2)(F3)-Temperatura Enrol 2.Grau 230kV</t>
  </si>
  <si>
    <t>Atende também ao agrupamento dos itens 227 a 229 para anunciador do nível 2 e alarme do nível 3.</t>
  </si>
  <si>
    <t>ZZZ:0XTY:49:AECA</t>
  </si>
  <si>
    <t xml:space="preserve">Temperatura Enrol 2.Grau 138 kV Fase A </t>
  </si>
  <si>
    <t>ZZZ:0XTY:49:AECS, ZZZ:0XTY:26/49:TOES</t>
  </si>
  <si>
    <t>ZZZ:0XTY:49:AECB</t>
  </si>
  <si>
    <t xml:space="preserve">Temperatura Enrol 2.Grau 138 kV Fase B </t>
  </si>
  <si>
    <t>ZZZ:0XTY:49:AECC</t>
  </si>
  <si>
    <t xml:space="preserve">Temperatura Enrol 2.Grau 138 kV Fase C </t>
  </si>
  <si>
    <t>ZZZ:0XTY:49:AECS</t>
  </si>
  <si>
    <t>Temperatura Enrol 2.Grau 138kV</t>
  </si>
  <si>
    <t>Atende também ao agrupamento dos itens 232 a 234 para anunciador do nível 2 e alarme do nível 3.</t>
  </si>
  <si>
    <t>ZZZ:0XTY:49:AESA</t>
  </si>
  <si>
    <t xml:space="preserve">Temperatura Enrol 2.Grau 69 kV Fase A </t>
  </si>
  <si>
    <r>
      <t>ZZZ:0XTY:49:AS1S</t>
    </r>
    <r>
      <rPr>
        <sz val="10"/>
        <color indexed="12"/>
        <rFont val="Arial"/>
        <family val="2"/>
      </rPr>
      <t>(AS2S)</t>
    </r>
    <r>
      <rPr>
        <sz val="10"/>
        <color indexed="14"/>
        <rFont val="Arial"/>
        <family val="2"/>
      </rPr>
      <t>(AS3S)(AESS)</t>
    </r>
    <r>
      <rPr>
        <sz val="10"/>
        <rFont val="Arial"/>
        <family val="2"/>
      </rPr>
      <t>, ZZZ:0XTY:26/49:TOES</t>
    </r>
  </si>
  <si>
    <t>ZZZ:0XTY:49:AESB</t>
  </si>
  <si>
    <t xml:space="preserve">Temperatura Enrol 2.Grau 69 kV Fase B </t>
  </si>
  <si>
    <t>ZZZ:0XTY:49:AESC</t>
  </si>
  <si>
    <t xml:space="preserve">Temperatura Enrol 2.Grau 69 kV Fase C </t>
  </si>
  <si>
    <t>ZZZ:0XTY:F4:AESS</t>
  </si>
  <si>
    <t>Temperatura Enrol (49) 2.Grau 69kV</t>
  </si>
  <si>
    <t>Atende também ao agrupamento dos itens 235 a 237 para anunciador do nível 2 e alarme do nível 3.</t>
  </si>
  <si>
    <r>
      <t>ZZZ:0XTY:49:AS1S</t>
    </r>
    <r>
      <rPr>
        <sz val="10"/>
        <color indexed="12"/>
        <rFont val="Arial"/>
        <family val="2"/>
      </rPr>
      <t>(AS2S)</t>
    </r>
    <r>
      <rPr>
        <sz val="10"/>
        <color indexed="14"/>
        <rFont val="Arial"/>
        <family val="2"/>
      </rPr>
      <t>(AS3S)(AESS)</t>
    </r>
  </si>
  <si>
    <t>F1(F2)(F3)-Temperatura Enrol 2.Grau 69kV</t>
  </si>
  <si>
    <t>Atende também ao agrupamento dos itens 236 a 238 para anunciador do nível 2 e alarme do nível 3.</t>
  </si>
  <si>
    <t>ZZZ:0XTY:49:ATTA</t>
  </si>
  <si>
    <t xml:space="preserve">Temperatura Enrol 2.Grau 13.8kV Fase A </t>
  </si>
  <si>
    <t>ZZZ:0XTY:49:AETS, ZZZ:0XTY:26/49:TOES</t>
  </si>
  <si>
    <t>ZZZ:0XTY:49:ATTB</t>
  </si>
  <si>
    <t xml:space="preserve">Temperatura Enrol 2.Grau 13.8kV Fase B </t>
  </si>
  <si>
    <t xml:space="preserve">ZZZ:0XTY:49:ATTC </t>
  </si>
  <si>
    <t xml:space="preserve">Temperatura Enrol 2.Grau 13.8kV Fase C </t>
  </si>
  <si>
    <t>ZZZ:0XTY:49:AETS</t>
  </si>
  <si>
    <t>Temperatura Enrol 2.Grau 13.8kV</t>
  </si>
  <si>
    <t>Atende também ao agrupamento dos itens 241 a 243 para anunciador do nível 2 e alarme do nível 3.</t>
  </si>
  <si>
    <t>ZZZ:0XTY:26:TOTS</t>
  </si>
  <si>
    <t>Temperatura Óleo 2.Grau</t>
  </si>
  <si>
    <t>Atende também ao agrupamento dos itens 220 a 222 para anunciador do nível 2 e alarme do nível 3.</t>
  </si>
  <si>
    <t>ZZZ:0XTY:26/49:TOES</t>
  </si>
  <si>
    <t>Temperatura Óleo/Enrol 2.Grau</t>
  </si>
  <si>
    <t>Agrupamento itens 220 a 244.
Apenas para PAD.</t>
  </si>
  <si>
    <r>
      <t>ZZZ:0XTY:26/49:</t>
    </r>
    <r>
      <rPr>
        <sz val="10"/>
        <color indexed="8"/>
        <rFont val="Arial"/>
        <family val="2"/>
      </rPr>
      <t>TT1E</t>
    </r>
    <r>
      <rPr>
        <sz val="10"/>
        <color indexed="12"/>
        <rFont val="Arial"/>
        <family val="2"/>
      </rPr>
      <t>(TT2E)</t>
    </r>
    <r>
      <rPr>
        <sz val="10"/>
        <color indexed="61"/>
        <rFont val="Arial"/>
        <family val="2"/>
      </rPr>
      <t>(TT3E)</t>
    </r>
    <r>
      <rPr>
        <sz val="10"/>
        <color indexed="14"/>
        <rFont val="Arial"/>
        <family val="2"/>
      </rPr>
      <t>(TTOE)</t>
    </r>
  </si>
  <si>
    <r>
      <t>F1</t>
    </r>
    <r>
      <rPr>
        <sz val="10"/>
        <color indexed="12"/>
        <rFont val="Arial"/>
        <family val="2"/>
      </rPr>
      <t>(F2)</t>
    </r>
    <r>
      <rPr>
        <sz val="10"/>
        <color indexed="61"/>
        <rFont val="Arial"/>
        <family val="2"/>
      </rPr>
      <t>(F3)</t>
    </r>
    <r>
      <rPr>
        <sz val="10"/>
        <rFont val="Arial"/>
        <family val="2"/>
      </rPr>
      <t>-Trip Temper. Óleo/Enrol Temporizado</t>
    </r>
  </si>
  <si>
    <t>Sinal colhido após temporização e enviado via chave 43I.</t>
  </si>
  <si>
    <t>ZZZ:0XTY:26:TTOA</t>
  </si>
  <si>
    <t xml:space="preserve">Trip Temperatura Óleo Fase A </t>
  </si>
  <si>
    <t>ZZZ:0XTY:26:TTOB</t>
  </si>
  <si>
    <t xml:space="preserve">Trip Temperatura Óleo Fase B </t>
  </si>
  <si>
    <t>ZZZ:0XTY:26:TTOC</t>
  </si>
  <si>
    <t xml:space="preserve">Trip Temperatura Óleo Fase C </t>
  </si>
  <si>
    <t>ZZZ:0XTY:26:TTRO</t>
  </si>
  <si>
    <t xml:space="preserve">Trip Temperatura Óleo </t>
  </si>
  <si>
    <t xml:space="preserve">ZZZ:0XTY:49:TEQA </t>
  </si>
  <si>
    <t xml:space="preserve">Trip Temperatura Enrol 500kV Fase A </t>
  </si>
  <si>
    <t xml:space="preserve">ZZZ:0XTY:49:TEQB </t>
  </si>
  <si>
    <t xml:space="preserve">Trip Temperatura Enrol 500kV Fase B </t>
  </si>
  <si>
    <t xml:space="preserve">ZZZ:0XTY:49:TEQC </t>
  </si>
  <si>
    <t xml:space="preserve">Trip Temperatura Enrol 500kV Fase C </t>
  </si>
  <si>
    <t>ZZZ:0XTY:49:TEQS</t>
  </si>
  <si>
    <t xml:space="preserve">Trip Temperatura Enrol 500kV  </t>
  </si>
  <si>
    <t xml:space="preserve">ZZZ:0XTY:49:TEDA </t>
  </si>
  <si>
    <t xml:space="preserve">Trip Temperatura Enrol 230kV Fase A </t>
  </si>
  <si>
    <t xml:space="preserve">ZZZ:0XTY:49:TEDB </t>
  </si>
  <si>
    <t xml:space="preserve">Trip Temperatura Enrol 230kV Fase B </t>
  </si>
  <si>
    <t xml:space="preserve">ZZZ:0XTY:49:TEDC </t>
  </si>
  <si>
    <t xml:space="preserve">Trip Temperatura Enrol 230kV Fase C </t>
  </si>
  <si>
    <t>ZZZ:0XTY:49:TEDS</t>
  </si>
  <si>
    <t xml:space="preserve">Trip Temperatura Enrol 230kV   </t>
  </si>
  <si>
    <t>ZZZ:0XTY:49:TECS</t>
  </si>
  <si>
    <t xml:space="preserve">Trip Temperatura Enrol 138kV  </t>
  </si>
  <si>
    <t>ZZZ:0XTY:49:TESS</t>
  </si>
  <si>
    <t xml:space="preserve">Trip Temperatura Enrol 69kV  </t>
  </si>
  <si>
    <t xml:space="preserve">ZZZ:0XTY:49:TETA </t>
  </si>
  <si>
    <t xml:space="preserve">Trip Temperatura Enrol 13.8kV Fase A </t>
  </si>
  <si>
    <t xml:space="preserve">ZZZ:0XTY:49:TETB </t>
  </si>
  <si>
    <t xml:space="preserve">Trip Temperatura Enrol 13.8kV Fase B </t>
  </si>
  <si>
    <t xml:space="preserve">ZZZ:0XTY:49:TETC </t>
  </si>
  <si>
    <t xml:space="preserve">Trip Temperatura Enrol 13.8kV Fase C </t>
  </si>
  <si>
    <t>ZZZ:0XTY:49:TETS</t>
  </si>
  <si>
    <t xml:space="preserve">Trip Temperatura Enrol 13.8kV  </t>
  </si>
  <si>
    <t>ZZZ:0XTY:26/49:TROE</t>
  </si>
  <si>
    <t>Trip Temperatura Óleo/Enrol 2.Grau</t>
  </si>
  <si>
    <t>Agrupamento itens 264 a 281. Usar em Nível 2 apenas quando não for possível desmembrar.</t>
  </si>
  <si>
    <t>Usado excepcionalmente em alguns  trafos antigos.</t>
  </si>
  <si>
    <t>ZZZ:0XTY:63:ARGA</t>
  </si>
  <si>
    <t>ZZZ:0XTY:63:ARGB</t>
  </si>
  <si>
    <t>ZZZ:0XTY:63:ARGC</t>
  </si>
  <si>
    <t>Atende também ao agrupamento dos itens 284 a 288 para anunciador do nível 2 e alarme do nível 3.</t>
  </si>
  <si>
    <t>ZZZ:0XTY:63:RGCA</t>
  </si>
  <si>
    <t>Relé de Gás Comutador 1.Grau Fase A</t>
  </si>
  <si>
    <t>ZZZ:0XTY:63:RGCF</t>
  </si>
  <si>
    <t>ZZZ:0XTY:63:RGCB</t>
  </si>
  <si>
    <t>Relé de Gás Comutador 1.Grau Fase B</t>
  </si>
  <si>
    <t>ZZZ:0XTY:63:RGCC</t>
  </si>
  <si>
    <t>Relé de Gás Comutador 1.Grau Fase C</t>
  </si>
  <si>
    <t>Relé de Gás Comutador 1.Grau</t>
  </si>
  <si>
    <t>Atende também ao agrupamento dos itens 291 a 293 para anunciador do nível 2 e alarme do nível 3.</t>
  </si>
  <si>
    <t>ZZZ:0XTY:63VS:VSPA</t>
  </si>
  <si>
    <t>Válvula de Segurança 1.Grau Fase A</t>
  </si>
  <si>
    <t>ZZZ:0XTY:63VS:VSPG</t>
  </si>
  <si>
    <t>ZZZ:0XTY:63VS:VSPB</t>
  </si>
  <si>
    <t>Válvula de Segurança 1.Grau Fase B</t>
  </si>
  <si>
    <t>ZZZ:0XTY:63VS:VSPC</t>
  </si>
  <si>
    <t>Válvula de Segurança 1.Grau Fase C</t>
  </si>
  <si>
    <t>Válvula de Segurança 1.Grau</t>
  </si>
  <si>
    <t>Atende também ao agrupamento dos itens 295 a 297 para anunciador do nível 2 e alarme do nível 3.</t>
  </si>
  <si>
    <t>ZZZ:0XTY:63VS:VSFA</t>
  </si>
  <si>
    <t>Válvula de Segurança 2.Grau Fase A</t>
  </si>
  <si>
    <t>VALVULA SEGURANÇA</t>
  </si>
  <si>
    <t>ZZZ:0XTY:63VS:VSFB</t>
  </si>
  <si>
    <t>Válvula de Segurança 2.Grau Fase B</t>
  </si>
  <si>
    <t>ZZZ:0XTY:63VS:VSFC</t>
  </si>
  <si>
    <t>Válvula de Segurança 2.Grau Fase C</t>
  </si>
  <si>
    <t>F1(F2)(F3)-Válvula de Segurança 2.Grau</t>
  </si>
  <si>
    <t>Atende também ao agrupamento dos itens 300 a 304 para anunciador do nível 2 e alarme do nível 3.</t>
  </si>
  <si>
    <t>ZZZ:0XTY:00:RGVS</t>
  </si>
  <si>
    <t>Relé Gás 1.Grau/Valv. de Segurança</t>
  </si>
  <si>
    <t>Usar somente se os alarmes vierem agrupados</t>
  </si>
  <si>
    <t>ZZZ:0XTY:00:NBOL</t>
  </si>
  <si>
    <t>Nível Baixo de Óleo</t>
  </si>
  <si>
    <t>ZZZ:0XTY:00:NAOL</t>
  </si>
  <si>
    <t>Nível Alto de Óleo</t>
  </si>
  <si>
    <t>ZZZ:0XTY:00:NBOA</t>
  </si>
  <si>
    <t>Nível Baixo de Óleo Fase A</t>
  </si>
  <si>
    <t>ZZZ:0XTY:00:NBOB</t>
  </si>
  <si>
    <t>Nível Baixo de Óleo Fase B</t>
  </si>
  <si>
    <t>ZZZ:0XTY:00:NBOC</t>
  </si>
  <si>
    <t>Nível Baixo de Óleo Fase C</t>
  </si>
  <si>
    <t>ZZZ:0XTY:00:NAOA</t>
  </si>
  <si>
    <t>Nível Alto de Óleo Fase A</t>
  </si>
  <si>
    <t>ZZZ:0XTY:00:NAOB</t>
  </si>
  <si>
    <t>Nível Alto de Óleo Fase B</t>
  </si>
  <si>
    <t>ZZZ:0XTY:00:NAOC</t>
  </si>
  <si>
    <t>Nível Alto de Óleo Fase C</t>
  </si>
  <si>
    <t>ZZZ:0XTY:00:RMCO</t>
  </si>
  <si>
    <t>MEMBRANA CONSERVADOR</t>
  </si>
  <si>
    <t>ZZZ:0XTY:00:RMCA</t>
  </si>
  <si>
    <t>ZZZ:0XTY:00:RMCB</t>
  </si>
  <si>
    <t>ZZZ:0XTY:00:RMCC</t>
  </si>
  <si>
    <t>ZZZ:0XTY:UC1:FSVA</t>
  </si>
  <si>
    <t>Falha Sistema Ventilaçao Forçada Fase A</t>
  </si>
  <si>
    <t>ZZZ:0XTY:00:FSVA</t>
  </si>
  <si>
    <t>ZZZ:0XTY:UC1:FSVB</t>
  </si>
  <si>
    <t>Falha Sistema Ventilaçao Forçada Fase B</t>
  </si>
  <si>
    <t>ZZZ:0XTY:00:FSVB</t>
  </si>
  <si>
    <t>ZZZ:0XTY:UC1:FSVC</t>
  </si>
  <si>
    <t>Falha Sistema Ventilaçao Forçada Fase C</t>
  </si>
  <si>
    <t>ZZZ:0XTY:00:FSVC</t>
  </si>
  <si>
    <t>ZZZ:0XTY:UC1:FSVF</t>
  </si>
  <si>
    <t>Falha Sistema Ventilaçao Forçada</t>
  </si>
  <si>
    <t>ZZZ:0XTY:00:FSVF</t>
  </si>
  <si>
    <t>Atende também ao agrupamento dos itens 337 a 341 para anunciador do nível 2.</t>
  </si>
  <si>
    <t>ZZZ:0XTY:00:AFDV</t>
  </si>
  <si>
    <t>ZZZ:0XTY:00:AFDA</t>
  </si>
  <si>
    <t>ZZZ:0XTY:00:AFDB</t>
  </si>
  <si>
    <t>ZZZ:0XTY:00:AFDC</t>
  </si>
  <si>
    <t>ZZZ:0XTY:00:FLDA</t>
  </si>
  <si>
    <t>Abert/Falha Disjuntores Auxiliares</t>
  </si>
  <si>
    <t>ZZZ:0XTY:00:FCCA</t>
  </si>
  <si>
    <t>ZZZ:0XTY:00:FDAA</t>
  </si>
  <si>
    <t>ZZZ:0XTY:00:FDAB</t>
  </si>
  <si>
    <t>ZZZ:0XTY:00:FDAC</t>
  </si>
  <si>
    <t>ZZZ:0XTY:00:FCAA</t>
  </si>
  <si>
    <t>ZZZ:0XTY:UC1:FAAA</t>
  </si>
  <si>
    <t>ZZZ:0XTY:00:FAAA</t>
  </si>
  <si>
    <t>ZZZ:0XTY:UC1:FAAB</t>
  </si>
  <si>
    <t>ZZZ:0XTY:00:FAAB</t>
  </si>
  <si>
    <t>ZZZ:0XTY:UC1:FAAC</t>
  </si>
  <si>
    <t>ZZZ:0XTY:00:FAAC</t>
  </si>
  <si>
    <t>ZZZ:0XTY:00:ANTR</t>
  </si>
  <si>
    <t>Anormalidade Transformador</t>
  </si>
  <si>
    <t>Agrupamento itens 337 a 369</t>
  </si>
  <si>
    <t>ZZZ:0XTY:00:VTPE</t>
  </si>
  <si>
    <t>ZZZ:0XTY:00:VTPA</t>
  </si>
  <si>
    <t>ZZZ:0XTY:00:VTPB</t>
  </si>
  <si>
    <t>ZZZ:0XTY:00:VTPC</t>
  </si>
  <si>
    <t>ZZZ:0XTY:00:VTSE</t>
  </si>
  <si>
    <t>ZZZ:0XTY:00:VSEA</t>
  </si>
  <si>
    <t>ZZZ:0XTY:00:VSEB</t>
  </si>
  <si>
    <t>ZZZ:0XTY:00:VSEC</t>
  </si>
  <si>
    <t>ZZZ:0XTY:00:VTAU</t>
  </si>
  <si>
    <t>ZZZ:0XTY:00:VTAA</t>
  </si>
  <si>
    <t>ZZZ:0XTY:00:VTAB</t>
  </si>
  <si>
    <t>ZZZ:0XTY:00:VTAC</t>
  </si>
  <si>
    <t>ZZZ:0XTY:00:VTML</t>
  </si>
  <si>
    <t>ZZZ:0XTY:00:VTLA</t>
  </si>
  <si>
    <t>ZZZ:0XTY:00:VTLB</t>
  </si>
  <si>
    <t>ZZZ:0XTY:00:VTLC</t>
  </si>
  <si>
    <t>ZZZ:0XTY:00:VTMR</t>
  </si>
  <si>
    <t>ZZZ:0XTY:00:VTRA</t>
  </si>
  <si>
    <t>ZZZ:0XTY:00:VTRB</t>
  </si>
  <si>
    <t>ZZZ:0XTY:00:VTRC</t>
  </si>
  <si>
    <t>ZZZ:0XTY:43I:CT1E(CT2E)(CT3E)(CTOE)</t>
  </si>
  <si>
    <t>F1(F2)(F3)-Chave Trip Sobretemperatura (43I)</t>
  </si>
  <si>
    <t>ZZZ:0XTY:59:STCM</t>
  </si>
  <si>
    <t>Atuação SobreTensão Comutador</t>
  </si>
  <si>
    <t>ZZZ:0XTY:27:SUCM</t>
  </si>
  <si>
    <t>Atuação SubTensão Comutador</t>
  </si>
  <si>
    <t>ZZZ:0XTY:51:SCCO</t>
  </si>
  <si>
    <t>Atuação SobreCorrente Comutador</t>
  </si>
  <si>
    <t>ZZZ:0XTY:00:CFCA</t>
  </si>
  <si>
    <t>Comutador Falta Tensão CA</t>
  </si>
  <si>
    <t>Já existe FCAC</t>
  </si>
  <si>
    <t>ZZZ:0XTY:00:CFCF</t>
  </si>
  <si>
    <t>ZZZ:0XTY:00:CPFO</t>
  </si>
  <si>
    <t>ZZZ:0XTY:00:CPEA</t>
  </si>
  <si>
    <t>ZZZ:0XTY:00:CPEB</t>
  </si>
  <si>
    <t>ZZZ:0XTY:00:CPEC</t>
  </si>
  <si>
    <t>ZZZ:0XTY:00:CMTE</t>
  </si>
  <si>
    <t>ZZZ:0XTY:00:CTEA</t>
  </si>
  <si>
    <t>ZZZ:0XTY:00:CTEB</t>
  </si>
  <si>
    <t>ZZZ:0XTY:00:CTEC</t>
  </si>
  <si>
    <t>ZZZ:0XTY:00:CLSA</t>
  </si>
  <si>
    <t>ZZZ:0XTY:00:CSAA</t>
  </si>
  <si>
    <t>ZZZ:0XTY:00:CSAB</t>
  </si>
  <si>
    <t>ZZZ:0XTY:00:CSAC</t>
  </si>
  <si>
    <t>ZZZ:0XTY:00:CLIA</t>
  </si>
  <si>
    <t>ZZZ:0XTY:00:CIAA</t>
  </si>
  <si>
    <t>ZZZ:0XTY:00:CIAB</t>
  </si>
  <si>
    <t>ZZZ:0XTY:00:CIAC</t>
  </si>
  <si>
    <t>ZZZ:0XTY:UC2:CFLT</t>
  </si>
  <si>
    <t>Comutador Falha Leitura de Tap</t>
  </si>
  <si>
    <t>ZZZ:0XTY:00:CFLT</t>
  </si>
  <si>
    <t>ZZZ:0XTY:00:CFPA</t>
  </si>
  <si>
    <t>ZZZ:0XTY:UC2:CBLQ</t>
  </si>
  <si>
    <t>ZZZ:0XTY:00:CBLQ</t>
  </si>
  <si>
    <t>ZZZ:0XTY:86C:BLCO</t>
  </si>
  <si>
    <t>Atuação Relé de Bloqueio do Comutador</t>
  </si>
  <si>
    <t>Removido</t>
  </si>
  <si>
    <t>ZZZ:0XTY:00:OINC</t>
  </si>
  <si>
    <t>ZZZ:0XTY:UC2:CFAL</t>
  </si>
  <si>
    <t>Comutação em Falha</t>
  </si>
  <si>
    <t>ZZZ:0XTY:00:CFAL</t>
  </si>
  <si>
    <t>ZZZ:0XTY:00:CNBO</t>
  </si>
  <si>
    <t>Comutador Nível Baixo de Óleo</t>
  </si>
  <si>
    <t>ZZZ:0XTY:00:CNBA</t>
  </si>
  <si>
    <t>Comutador Nível Baixo de Óleo Fase A</t>
  </si>
  <si>
    <t>ZZZ:0XTY:00:CNBB</t>
  </si>
  <si>
    <t>Comutador Nível Baixo de Óleo Fase B</t>
  </si>
  <si>
    <t>ZZZ:0XTY:00:CNBC</t>
  </si>
  <si>
    <t>Comutador Nível Baixo de Óleo Fase C</t>
  </si>
  <si>
    <t>ZZZ:0XTY:00:CNAO</t>
  </si>
  <si>
    <t>Comutador Nível Alto de Óleo</t>
  </si>
  <si>
    <t>ZZZ:0XTY:00:CNAA</t>
  </si>
  <si>
    <t>Comutador Nível Alto de Óleo Fase A</t>
  </si>
  <si>
    <t>ZZZ:0XTY:00:CNAB</t>
  </si>
  <si>
    <t>Comutador Nível Alto de Óleo Fase B</t>
  </si>
  <si>
    <t>ZZZ:0XTY:00:CNAC</t>
  </si>
  <si>
    <t>Comutador Nível Alto de Óleo Fase C</t>
  </si>
  <si>
    <t>ZZZ:0XTY:00:FCAC</t>
  </si>
  <si>
    <t>ZZZ:0XTY:00:ANCO</t>
  </si>
  <si>
    <t>Anormalidade Comutador</t>
  </si>
  <si>
    <t>Agrupamento itens 426 a 492</t>
  </si>
  <si>
    <t>ZZZ:0XTY:00:43LR</t>
  </si>
  <si>
    <t>Chave 43LR do Comutador</t>
  </si>
  <si>
    <t>Chave de duas posições</t>
  </si>
  <si>
    <t>ZZZ:0XTY:43LRB:LA</t>
  </si>
  <si>
    <t>Comutador em Local Fase A</t>
  </si>
  <si>
    <t>ZZZ:0XTY:43LRB:LB</t>
  </si>
  <si>
    <t>Comutador em Local Fase B</t>
  </si>
  <si>
    <t>ZZZ:0XTY:43LRB:LC</t>
  </si>
  <si>
    <t>Comutador em Local Fase C</t>
  </si>
  <si>
    <t>ZZZ:0XTY:43LRB:RA</t>
  </si>
  <si>
    <t>Comutador em Remoto Fase A</t>
  </si>
  <si>
    <t>ZZZ:0XTY:43LRB:RB</t>
  </si>
  <si>
    <t>Comutador em Remoto Fase B</t>
  </si>
  <si>
    <t>ZZZ:0XTY:43LRB:RC</t>
  </si>
  <si>
    <t>Comutador em Remoto Fase C</t>
  </si>
  <si>
    <t>ZZZ:0XTY:43LRB:BA</t>
  </si>
  <si>
    <t>Comutador em Bloqueio Fase A</t>
  </si>
  <si>
    <t>ZZZ:0XTY:43LRB:BB</t>
  </si>
  <si>
    <t>Comutador em Bloqueio Fase B</t>
  </si>
  <si>
    <t>ZZZ:0XTY:43LRB:BC</t>
  </si>
  <si>
    <t>Comutador em Bloqueio Fase C</t>
  </si>
  <si>
    <t>ZZZ:0XTY:00:CMPC</t>
  </si>
  <si>
    <t>Comutador em Mestre Pronto para Comutação</t>
  </si>
  <si>
    <t>ZZZ:0XTY:00:CAUT</t>
  </si>
  <si>
    <t>Comutador em Automático</t>
  </si>
  <si>
    <t>Quando não for possível usar um comando duplo</t>
  </si>
  <si>
    <t>ZZZ:0XTY:00:CMAN</t>
  </si>
  <si>
    <t>Comutador em Manual</t>
  </si>
  <si>
    <t>ZZZ:0XTY:00:DMTM</t>
  </si>
  <si>
    <t>Dois ou Mais Transformadores em Mestre</t>
  </si>
  <si>
    <t>ZZZ:0XTY:00:CLOC</t>
  </si>
  <si>
    <t>ZZZ:0XTY:00:PCLT</t>
  </si>
  <si>
    <t>ZZZ:0XTY:00:PLTC</t>
  </si>
  <si>
    <t>ZZZ:0XTY:90:RNLR</t>
  </si>
  <si>
    <t>ZZZ:0XTY:00:SPLR</t>
  </si>
  <si>
    <t>ZZZ:0XTY:86:ATRB</t>
  </si>
  <si>
    <t>RELÉ BLOQUEIO</t>
  </si>
  <si>
    <t>Será PTIP quando atuado sem indicação de proteção.
 Atende também ao agrupamento dos itens 535 a 539 para ONS.</t>
  </si>
  <si>
    <t>8.2.1.1(a)(1)</t>
  </si>
  <si>
    <t>ZZZ:0XTY:86:ATRQ</t>
  </si>
  <si>
    <t>Atuação Relé de Bloqueio Lado 500kV</t>
  </si>
  <si>
    <t>Será PTIP quando atuado sem indicação de proteção.
Onde houver relé de bloqueio nos lados de alta e baixa do trafo.</t>
  </si>
  <si>
    <t>ZZZ:0XTY:86:ATRD</t>
  </si>
  <si>
    <t>Atuação Relé de Bloqueio Lado 230kV</t>
  </si>
  <si>
    <t>ZZZ:0XTY:86:ATRC</t>
  </si>
  <si>
    <t>Atuação Relé de Bloqueio Lado 138kV</t>
  </si>
  <si>
    <t>ZZZ:0XTY:86:ATRS</t>
  </si>
  <si>
    <t>Atuação Relé de Bloqueio Lado 69kV</t>
  </si>
  <si>
    <t>ZZZ:0XTY:86:ATRT</t>
  </si>
  <si>
    <t>Atuação Relé de Bloqueio Lado 13.8kV</t>
  </si>
  <si>
    <t>Corresponde ao alarme ATRB</t>
  </si>
  <si>
    <t>ZZZ:0XTY:86C:RBLC</t>
  </si>
  <si>
    <t>Rearme do Relé de Bloqueio do Comutador</t>
  </si>
  <si>
    <t>Corresponde ao alarme BLCO</t>
  </si>
  <si>
    <t>ZZZ:0XTY:86:RRBQ</t>
  </si>
  <si>
    <t>Rearme Relé de Bloqueio Lado 500kV</t>
  </si>
  <si>
    <t>Onde houver relé de bloqueio nos lados de alta e baixa do trafo.</t>
  </si>
  <si>
    <t>ZZZ:0XTY:86:RRBD</t>
  </si>
  <si>
    <t>Rearme Relé de Bloqueio Lado 230kV</t>
  </si>
  <si>
    <t>ZZZ:0XTY:86:RRBC</t>
  </si>
  <si>
    <t>Rearme Relé de Bloqueio Lado 138kV</t>
  </si>
  <si>
    <t>ZZZ:0XTY:86:RRBS</t>
  </si>
  <si>
    <t>Rearme Relé de Bloqueio Lado 69kV</t>
  </si>
  <si>
    <t>ZZZ:0XTY:86:RRBT</t>
  </si>
  <si>
    <t>Rearme Relé de Bloqueio Lado 13.8kV</t>
  </si>
  <si>
    <t>ZZZ:0XTY:00:DTMQ</t>
  </si>
  <si>
    <t>ZZZ:0XTY:00:DTMD</t>
  </si>
  <si>
    <t>ZZZ:0XTY:00:DTMC</t>
  </si>
  <si>
    <t>ZZZ:0XTY:00:DTMS</t>
  </si>
  <si>
    <t>ZZZ:0XTY:00:DTPQ</t>
  </si>
  <si>
    <t>ZZZ:0XTY:00:DTPD</t>
  </si>
  <si>
    <t>ZZZ:0XTY:00:DTPC</t>
  </si>
  <si>
    <t>ZZZ:0XTY:00:DTPS</t>
  </si>
  <si>
    <t>ZZZ:0XTY:26/49:FIMT</t>
  </si>
  <si>
    <t>ZZZ:0XTY:26/49:FIMA</t>
  </si>
  <si>
    <t>ZZZ:0XTY:26/49:FIMB</t>
  </si>
  <si>
    <t>ZZZ:0XTY:26/49:FIMC</t>
  </si>
  <si>
    <t xml:space="preserve"> Falha Interna Medidor TemperaturaFase C</t>
  </si>
  <si>
    <t>ZZZ:0XTY:**:FIRE</t>
  </si>
  <si>
    <t>ZZZ:0XTY:[F1/F2/F3/F4/F5]:FCRE</t>
  </si>
  <si>
    <t>ZZZ:0XTY:**:FCRE</t>
  </si>
  <si>
    <t>** - NEMA da Função principal do Relé
Usar F1, F2... Fn para os casos onde existem mais de um relé com esta função.</t>
  </si>
  <si>
    <t>ZZZ:0XTY:UC1:FSPF</t>
  </si>
  <si>
    <t>ZZZ:0XTY:**:FGOE</t>
  </si>
  <si>
    <t>ZZZ:0XTY:**:FGPS</t>
  </si>
  <si>
    <t>ZZZ:0XTY:[F1/F2/F3/F4/UC1/UC2]:FCOn</t>
  </si>
  <si>
    <t>n - Número do Canal Óptico.</t>
  </si>
  <si>
    <t>ZZZ:0XTY:**:FC1n(FC2n)(FC3n)(FCOn)</t>
  </si>
  <si>
    <r>
      <t>F1(F2)(F3)</t>
    </r>
    <r>
      <rPr>
        <sz val="10"/>
        <color indexed="12"/>
        <rFont val="Arial"/>
        <family val="2"/>
      </rPr>
      <t>-</t>
    </r>
    <r>
      <rPr>
        <sz val="10"/>
        <rFont val="Arial"/>
        <family val="2"/>
      </rPr>
      <t>Falha Canal Óptico "n"</t>
    </r>
  </si>
  <si>
    <t>ZZZ:0XTY:**:BLRE</t>
  </si>
  <si>
    <r>
      <t>ZZZ:0XTY:**:</t>
    </r>
    <r>
      <rPr>
        <sz val="10"/>
        <rFont val="Arial"/>
        <family val="2"/>
      </rPr>
      <t>CPTS</t>
    </r>
  </si>
  <si>
    <t>ZZZ:0XTY:**:FIUC</t>
  </si>
  <si>
    <t>ZZZ:0XTY:[UC1/UC2]:FCUC</t>
  </si>
  <si>
    <t>ZZZ:0XTY:**:FCUC</t>
  </si>
  <si>
    <t>ZZZ:0XTY:**:FSUC</t>
  </si>
  <si>
    <t>ZZZ:0XTY:**:FTUC</t>
  </si>
  <si>
    <t>ZZZ:0XTY:**:FTCC</t>
  </si>
  <si>
    <t>ZZZ:0XTY:**:FCTm</t>
  </si>
  <si>
    <t>** Nome do Painel com no máximo 6 dígitos.
m- Numeração sequencial do circuito no painel</t>
  </si>
  <si>
    <t>ZZZ:0XTY:**:FCSm</t>
  </si>
  <si>
    <t>ZZZ:0XTY:**:FCCm</t>
  </si>
  <si>
    <t>ZZZ:0XTY:**:FCRm</t>
  </si>
  <si>
    <t>ZZZ:0XTY:**:FCRG</t>
  </si>
  <si>
    <t>Falta CC Circuito Regulação</t>
  </si>
  <si>
    <t>ZZZ:0XTY:**:FCEA</t>
  </si>
  <si>
    <t>ZZZ:0XTY:**:FCEB</t>
  </si>
  <si>
    <t>ZZZ:0XTY:**:PFCY</t>
  </si>
  <si>
    <t>ZZZ:0XTY:PNLn:FMAC</t>
  </si>
  <si>
    <t>n- Numeração sequencial do Painel no vão.</t>
  </si>
  <si>
    <t>ZZZ:0XTY:00:ANPR</t>
  </si>
  <si>
    <t>Agrupamento itens 548 a 633</t>
  </si>
  <si>
    <t>ZZZ:0XTY:**:PRTA</t>
  </si>
  <si>
    <t xml:space="preserve">ZZZ:0XTY:90:RLRG  </t>
  </si>
  <si>
    <t>Relé 90</t>
  </si>
  <si>
    <t>ZZZ:0XTY:90:RLFn</t>
  </si>
  <si>
    <t>Relé 90 na Faixa "n"</t>
  </si>
  <si>
    <t>N- Número da faixa</t>
  </si>
  <si>
    <t xml:space="preserve">ZZZ:0XTY:90:RLDF  </t>
  </si>
  <si>
    <t>Relé 90 Defeito</t>
  </si>
  <si>
    <t xml:space="preserve">ZZZ:0XTY:00:EMRG  </t>
  </si>
  <si>
    <t>ZZZ:0XTY:**:ULOC</t>
  </si>
  <si>
    <t>ZZZ:0XTY:00:OSG2</t>
  </si>
  <si>
    <t>Oscilógrafo Lado Secundário em Gravação</t>
  </si>
  <si>
    <t>Somente quando houver mais de um oscilógrafo no mesmo trafo.</t>
  </si>
  <si>
    <t>ZZZ:0XTY:00:OSF2</t>
  </si>
  <si>
    <t>Oscilógrafo Lado Secundário Falha Geral</t>
  </si>
  <si>
    <t>ZZZ:0XTY:00:OSA2</t>
  </si>
  <si>
    <t>Oscilógrafo Lado Secundário Grupo Alarmes</t>
  </si>
  <si>
    <t>ZZZ:0XTY:**:MDnm</t>
  </si>
  <si>
    <t>** Nome do Painel com no máximo 6 dígitos, ou PNLx, onde x=Numeração sequencial do Painel no vão.
nm - Numeração sequencial do Mini-Disjuntor no painel com dois dígitos.</t>
  </si>
  <si>
    <t>ZZZ:0XTY:90:RFNn</t>
  </si>
  <si>
    <t>"n" Número da Faixa de Tensão (1, 2, 3...)</t>
  </si>
  <si>
    <t>ZZZ:0XTY:UC2:FCCC</t>
  </si>
  <si>
    <t>Falta CC Armário do Comutador</t>
  </si>
  <si>
    <t>ZZZ:0XTY:00:FCCC</t>
  </si>
  <si>
    <t>ZZZ:0XTY:**:FCOD</t>
  </si>
  <si>
    <t>ZZZ:0XTY:**:FACn</t>
  </si>
  <si>
    <t>** Nome do Painel com no máximo 6 dígitos, ou PNLx, onde x=Numeração sequencial do Painel no vão.
n - Numeração sequencial do Conversor no painel.</t>
  </si>
  <si>
    <t>ZZZ:0YTY:**:PDBF</t>
  </si>
  <si>
    <t>ZZZ:0YTY:**:BSCC</t>
  </si>
  <si>
    <t>Bloqueio do comutador por Sobrecorrente</t>
  </si>
  <si>
    <t>ZZZ:0YTY:**:BPDC</t>
  </si>
  <si>
    <t>Bloqueio por disparo do comutador</t>
  </si>
  <si>
    <t>ZZZ:0XTY:F9:FCOn</t>
  </si>
  <si>
    <t>RELÉ DE FLUXO</t>
  </si>
  <si>
    <t xml:space="preserve">SOBRECORRENTE </t>
  </si>
  <si>
    <t>SOBRETENSÃO SEQUENCIA ZERO</t>
  </si>
  <si>
    <t xml:space="preserve">TEMPERATURA </t>
  </si>
  <si>
    <t>ZZZ:0XTY:KV:ATUAL</t>
  </si>
  <si>
    <t>KV Valor Atual Ajuste Comut do 0XTY-ZZZ</t>
  </si>
  <si>
    <t>Exibir apenas na tela referente a regulação.</t>
  </si>
  <si>
    <t>ZZZ:0XTY:KV:REF</t>
  </si>
  <si>
    <t>Tensão Refer. Ajuste Comut do 0XTY-ZZZ</t>
  </si>
  <si>
    <t>Rearme Relé Bloqueio Lado 500kV</t>
  </si>
  <si>
    <t>Rearme Relé Bloqueio Lado 230kV</t>
  </si>
  <si>
    <t>Rearme Relé Bloqueio Lado 138kV</t>
  </si>
  <si>
    <t>Rearme Relé Bloqueio Lado 69kV</t>
  </si>
  <si>
    <t>Rearme Relé Bloqueio Lado 13.8kV</t>
  </si>
  <si>
    <t>ZZZ:0XTY:86C:RERB</t>
  </si>
  <si>
    <t>Rearme Relé de Bloqueio do Comutador</t>
  </si>
  <si>
    <t>Subir Posição de Tap</t>
  </si>
  <si>
    <t>Baixar Posição de Tap</t>
  </si>
  <si>
    <t>Comutador para Automático</t>
  </si>
  <si>
    <t>Usado apenas em projetos onde não foi possível implemetar o comando duplo (CMAU).</t>
  </si>
  <si>
    <t>Comutador para Manual</t>
  </si>
  <si>
    <t>ZZZ:0XTY:00:CCMD</t>
  </si>
  <si>
    <t>Transformador para Comandado</t>
  </si>
  <si>
    <t>ZZZ:0XTY:00:CIND</t>
  </si>
  <si>
    <t>Transformador para Individual</t>
  </si>
  <si>
    <t>ZZZ:0XTY:43I:CTOE</t>
  </si>
  <si>
    <t>ZZZ:0XTY:90:RLRG</t>
  </si>
  <si>
    <t>Mudança Estado  Operação Relé 90</t>
  </si>
  <si>
    <t>Onde N indica: '1' para Faixa 1 e '2' para Faixa 2  etc</t>
  </si>
  <si>
    <t>CM</t>
  </si>
  <si>
    <t>ZZZ:0XTY:90:RLSP</t>
  </si>
  <si>
    <t>Set Point Seleção Faixa  Relé 90</t>
  </si>
  <si>
    <t>Passa um Valor Analogico para o Relé</t>
  </si>
  <si>
    <t>Ativar / Desativar Parada de Emergência</t>
  </si>
  <si>
    <t>ZZZ:02AY:26:TTRO</t>
  </si>
  <si>
    <t>ZZZ:02AY:49:TESS</t>
  </si>
  <si>
    <t xml:space="preserve">Trip Temperaura Enrol 69kV  </t>
  </si>
  <si>
    <t>ZZZ:02AY:49:TETS</t>
  </si>
  <si>
    <t xml:space="preserve">Trip Temperaura Enrol 13.8kV  </t>
  </si>
  <si>
    <r>
      <t>ZZZ:02AY:63:</t>
    </r>
    <r>
      <rPr>
        <sz val="10"/>
        <color indexed="16"/>
        <rFont val="Arial"/>
        <family val="2"/>
      </rPr>
      <t>RG1F</t>
    </r>
    <r>
      <rPr>
        <sz val="10"/>
        <color indexed="12"/>
        <rFont val="Arial"/>
        <family val="2"/>
      </rPr>
      <t>(RG2F)</t>
    </r>
    <r>
      <rPr>
        <sz val="10"/>
        <color indexed="14"/>
        <rFont val="Arial"/>
        <family val="2"/>
      </rPr>
      <t>(RG3F)</t>
    </r>
    <r>
      <rPr>
        <sz val="10"/>
        <rFont val="Arial"/>
        <family val="2"/>
      </rPr>
      <t>(RGFS)</t>
    </r>
  </si>
  <si>
    <r>
      <t>F1</t>
    </r>
    <r>
      <rPr>
        <sz val="10"/>
        <color indexed="12"/>
        <rFont val="Arial"/>
        <family val="2"/>
      </rPr>
      <t>(F2)</t>
    </r>
    <r>
      <rPr>
        <sz val="10"/>
        <color indexed="14"/>
        <rFont val="Arial"/>
        <family val="2"/>
      </rPr>
      <t>(F3)</t>
    </r>
    <r>
      <rPr>
        <sz val="10"/>
        <rFont val="Arial"/>
        <family val="2"/>
      </rPr>
      <t>-Trip Relé de Gás Trafo 2.Grau</t>
    </r>
  </si>
  <si>
    <t>RELE DE GÁS</t>
  </si>
  <si>
    <t>ZZZ:02AY:50:CIF1(CIF2)(CIF3)(SCIF)</t>
  </si>
  <si>
    <r>
      <t>F1</t>
    </r>
    <r>
      <rPr>
        <sz val="10"/>
        <color indexed="12"/>
        <rFont val="Arial"/>
        <family val="2"/>
      </rPr>
      <t>(F2)</t>
    </r>
    <r>
      <rPr>
        <sz val="10"/>
        <color indexed="14"/>
        <rFont val="Arial"/>
        <family val="2"/>
      </rPr>
      <t>(F3)-</t>
    </r>
    <r>
      <rPr>
        <sz val="10"/>
        <rFont val="Arial"/>
        <family val="2"/>
      </rPr>
      <t xml:space="preserve">Trip SobreCorrente 50 Fases 69kV </t>
    </r>
  </si>
  <si>
    <t>ZZZ:02AY:51:CTF1(CTF2)(CTF3)(SCTF)</t>
  </si>
  <si>
    <r>
      <t>F1</t>
    </r>
    <r>
      <rPr>
        <sz val="10"/>
        <color indexed="12"/>
        <rFont val="Arial"/>
        <family val="2"/>
      </rPr>
      <t>(F2)</t>
    </r>
    <r>
      <rPr>
        <sz val="10"/>
        <color indexed="14"/>
        <rFont val="Arial"/>
        <family val="2"/>
      </rPr>
      <t>(F3)-</t>
    </r>
    <r>
      <rPr>
        <sz val="10"/>
        <rFont val="Arial"/>
        <family val="2"/>
      </rPr>
      <t xml:space="preserve">Trip SobreCorrente 51 Fases 69kV </t>
    </r>
  </si>
  <si>
    <r>
      <t>ZZZ:02AY:50:NTF1(NTF2)</t>
    </r>
    <r>
      <rPr>
        <sz val="10"/>
        <color indexed="12"/>
        <rFont val="Arial"/>
        <family val="2"/>
      </rPr>
      <t>(NTF3)</t>
    </r>
    <r>
      <rPr>
        <sz val="10"/>
        <color indexed="14"/>
        <rFont val="Arial"/>
        <family val="2"/>
      </rPr>
      <t>(SCNT)</t>
    </r>
  </si>
  <si>
    <r>
      <t>F1</t>
    </r>
    <r>
      <rPr>
        <sz val="10"/>
        <color indexed="12"/>
        <rFont val="Arial"/>
        <family val="2"/>
      </rPr>
      <t>(F2)</t>
    </r>
    <r>
      <rPr>
        <sz val="10"/>
        <color indexed="14"/>
        <rFont val="Arial"/>
        <family val="2"/>
      </rPr>
      <t>(F3)-</t>
    </r>
    <r>
      <rPr>
        <sz val="10"/>
        <rFont val="Arial"/>
        <family val="2"/>
      </rPr>
      <t xml:space="preserve">Trip SobreCorrente 50 Neutro 69kV </t>
    </r>
  </si>
  <si>
    <r>
      <t>ZZZ:02AY:51:NTF1(NTF2)</t>
    </r>
    <r>
      <rPr>
        <sz val="10"/>
        <color indexed="12"/>
        <rFont val="Arial"/>
        <family val="2"/>
      </rPr>
      <t>(NTF3)</t>
    </r>
    <r>
      <rPr>
        <sz val="10"/>
        <color indexed="14"/>
        <rFont val="Arial"/>
        <family val="2"/>
      </rPr>
      <t>(SCNT)</t>
    </r>
  </si>
  <si>
    <r>
      <t>F1</t>
    </r>
    <r>
      <rPr>
        <sz val="10"/>
        <color indexed="12"/>
        <rFont val="Arial"/>
        <family val="2"/>
      </rPr>
      <t>(F2)</t>
    </r>
    <r>
      <rPr>
        <sz val="10"/>
        <color indexed="14"/>
        <rFont val="Arial"/>
        <family val="2"/>
      </rPr>
      <t>(F3)-</t>
    </r>
    <r>
      <rPr>
        <sz val="10"/>
        <rFont val="Arial"/>
        <family val="2"/>
      </rPr>
      <t xml:space="preserve">Trip SobreCorrente 51 Neutro 69kV </t>
    </r>
  </si>
  <si>
    <t>ZZZ:02AY:[F1/F2]:SCSA</t>
  </si>
  <si>
    <r>
      <t>ZZZ:02AY:50/51:CS1F</t>
    </r>
    <r>
      <rPr>
        <sz val="10"/>
        <color indexed="12"/>
        <rFont val="Arial"/>
        <family val="2"/>
      </rPr>
      <t>(CS2F)</t>
    </r>
    <r>
      <rPr>
        <sz val="10"/>
        <color indexed="14"/>
        <rFont val="Arial"/>
        <family val="2"/>
      </rPr>
      <t>(CS3F)(SCLS)</t>
    </r>
  </si>
  <si>
    <t>ZZZ:02AY:50/51:CS1A(CS2A)(CS3A)(SCSA)</t>
  </si>
  <si>
    <t>ZZZ:02AY:[F1/F2]:SCSB</t>
  </si>
  <si>
    <t>ZZZ:02AY:50/51:CS1B(CS2B)(CS3B)(SCSB)</t>
  </si>
  <si>
    <t>ZZZ:02AY:[F1/F2]:SCSC</t>
  </si>
  <si>
    <t>ZZZ:02AY:50/51:CS1C(CS2C)(CS3C)(SCSC)</t>
  </si>
  <si>
    <t>F1(F2)(F3)-Trip SobreCorrente 50/51 69kV Fase C</t>
  </si>
  <si>
    <t xml:space="preserve">F1(F2)(F3)-Trip SobreCorrente Fases 50/51 69KV </t>
  </si>
  <si>
    <t>Atende também ao agrupamento dos itens 14 a 18 para anunciador do nível 2 e alarme do nível 3.</t>
  </si>
  <si>
    <t>ZZZ:02AY:50/51:CS1N(CS2N)(CS3N)(SCSN)</t>
  </si>
  <si>
    <t>F1(F2)(F3)-Trip SobreCorrente 50/51 69KV Neutro</t>
  </si>
  <si>
    <t>ZZZ:02AY:[F1/F2]:PDIF</t>
  </si>
  <si>
    <r>
      <t>ZZZ:02AY:87:PDIF</t>
    </r>
    <r>
      <rPr>
        <sz val="10"/>
        <color indexed="60"/>
        <rFont val="Arial"/>
        <family val="2"/>
      </rPr>
      <t/>
    </r>
  </si>
  <si>
    <t>ZZZ:02AY:64:TRCA</t>
  </si>
  <si>
    <t>ZZZ:02AY:26:ATOF</t>
  </si>
  <si>
    <t>ZZZ:02AY:49:ASEF</t>
  </si>
  <si>
    <t>ZZZ:02AY:49:AETF</t>
  </si>
  <si>
    <t>ZZZ:02AY:26/49:TOEP</t>
  </si>
  <si>
    <t>Agrupamento itens 27 a 29. Usar em Nível 2 apenas quando não for possível desmembrar.</t>
  </si>
  <si>
    <t>ZZZ:02AY:26:TOTS</t>
  </si>
  <si>
    <t>ZZZ:02AY:49:AESS</t>
  </si>
  <si>
    <t>Temperatura Enrol 69kV 2.Grau</t>
  </si>
  <si>
    <t>ZZZ:02AY:49:AETS</t>
  </si>
  <si>
    <t>Temperatura Enrol 13.8kV 2.Grau</t>
  </si>
  <si>
    <t>ZZZ:02AY:26/49:TOES</t>
  </si>
  <si>
    <t>Agrupamento itens 33 a 36. Usar em Nível 2 apenas quando não for possível desmembrar.</t>
  </si>
  <si>
    <t>ZZZ:02AY:63:ARGP</t>
  </si>
  <si>
    <t>ZZZ:02AY:63VS:VSPG</t>
  </si>
  <si>
    <t>ZZZ:02AY:63VS:VS1G(VS2G)(VS3G)(VSEG)</t>
  </si>
  <si>
    <t>VS</t>
  </si>
  <si>
    <t>ZZZ:02AY:00:RGVS</t>
  </si>
  <si>
    <t>Relé Gas 1.Grau/Valv. de Segurança</t>
  </si>
  <si>
    <t>ZZZ:02AY:00:NBOL</t>
  </si>
  <si>
    <t>ZZZ:02AY:00:RMCO</t>
  </si>
  <si>
    <t>ZZZ:02AY:00:FCCA</t>
  </si>
  <si>
    <t>ZZZ:02AY:00:FCAA</t>
  </si>
  <si>
    <t>ZZZ:02AY:86:ATR1</t>
  </si>
  <si>
    <t>Atuação Relé de Bloqueio 86.1</t>
  </si>
  <si>
    <t>RELE DE BLOQUEIO</t>
  </si>
  <si>
    <t>ZZZ:02AY:86:ATR2</t>
  </si>
  <si>
    <t>Atuação Relé de Bloqueio 86.2</t>
  </si>
  <si>
    <t>ZZZ:02AY:**:FIRE</t>
  </si>
  <si>
    <t>ZZZ:02AY:**:FCRE</t>
  </si>
  <si>
    <t>ZZZ:02AY:**:FGOP(FGOS)(FGOE)</t>
  </si>
  <si>
    <r>
      <t>PP</t>
    </r>
    <r>
      <rPr>
        <sz val="10"/>
        <color indexed="12"/>
        <rFont val="Arial"/>
        <family val="2"/>
      </rPr>
      <t>(PS)-</t>
    </r>
    <r>
      <rPr>
        <sz val="10"/>
        <rFont val="Arial"/>
        <family val="2"/>
      </rPr>
      <t>Falha de Goose</t>
    </r>
  </si>
  <si>
    <t>ZZZ:02AY:**:FPGP(FSGP)(FGPS)</t>
  </si>
  <si>
    <r>
      <t>PP</t>
    </r>
    <r>
      <rPr>
        <sz val="10"/>
        <color indexed="12"/>
        <rFont val="Arial"/>
        <family val="2"/>
      </rPr>
      <t>(PS)-</t>
    </r>
    <r>
      <rPr>
        <sz val="10"/>
        <rFont val="Arial"/>
        <family val="2"/>
      </rPr>
      <t>Falha de Sincronismo com GPS</t>
    </r>
  </si>
  <si>
    <t>ZZZ:02AY:**:FC1n(FC2n)(FC3n)(FCOn)</t>
  </si>
  <si>
    <t>F1(F2)(F3)-Falha Canal Óptico "n"</t>
  </si>
  <si>
    <t>n - Número do Canal Óptico
** - NEMA da Função principal do Relé. Usar F1, F2 e F3 para os casos onde existem mais de um relé com esta função ou UC1 quando se tratar de Unidade de Controle.</t>
  </si>
  <si>
    <t>ZZZ:02AY:**:BLRE</t>
  </si>
  <si>
    <t>ZZZ:02AY:**:CPTS</t>
  </si>
  <si>
    <t>ZZZ:02AY:**:PFCY</t>
  </si>
  <si>
    <t>ZZZ:02AY:[F1/F2]:ULOC</t>
  </si>
  <si>
    <t>ZZZ:02AY:**:ULOC</t>
  </si>
  <si>
    <t>ZZZ:02AY:**:ILOC</t>
  </si>
  <si>
    <t>ZZZ:02AY:**:FIUC</t>
  </si>
  <si>
    <t>ZZZ:02AY:**:FIID</t>
  </si>
  <si>
    <t>ZZZ:02AY:**:FCUC</t>
  </si>
  <si>
    <t>ZZZ:02AY:**:FCID</t>
  </si>
  <si>
    <t>ZZZ:02AY:**:FSUC</t>
  </si>
  <si>
    <t>ZZZ:02AY:**:FSID</t>
  </si>
  <si>
    <t>ZZZ:02AY:**:FTUC</t>
  </si>
  <si>
    <t>ZZZ:02AY:**:FCCI</t>
  </si>
  <si>
    <t>ZZZ:02AY:**:FTCC</t>
  </si>
  <si>
    <t>ZZZ:02AY:**:FCTm</t>
  </si>
  <si>
    <t>** Nome do Painel com no máximo 6 dígitos.
M- Numeração sequencial do circuito no painel</t>
  </si>
  <si>
    <t>ZZZ:02AY:**:FCSm</t>
  </si>
  <si>
    <t>ZZZ:02AY:**:FCCm</t>
  </si>
  <si>
    <t>ZZZ:02AY:**:FCRm</t>
  </si>
  <si>
    <t>ZZZ:02AY:00:ANPR</t>
  </si>
  <si>
    <t>Agrupamento itens 59 a 96</t>
  </si>
  <si>
    <t>ZZZ:02AY:**:PRTA</t>
  </si>
  <si>
    <t>ZZZ:02AY:**:FCOD</t>
  </si>
  <si>
    <t>ZZZ:0XBY:[F1/F2]:ESTR</t>
  </si>
  <si>
    <t>ZZZ:0XBY:[F1/F2]:TETR</t>
  </si>
  <si>
    <t>Atuação Esquema SobreTensão Residual 3V0</t>
  </si>
  <si>
    <t>3V0</t>
  </si>
  <si>
    <r>
      <t>ZZZ:0XHY:51D:PPDN</t>
    </r>
    <r>
      <rPr>
        <sz val="10"/>
        <color indexed="12"/>
        <rFont val="Arial"/>
        <family val="2"/>
      </rPr>
      <t>(PSDN)</t>
    </r>
    <r>
      <rPr>
        <sz val="10"/>
        <color indexed="14"/>
        <rFont val="Arial"/>
        <family val="2"/>
      </rPr>
      <t>(TSDN)</t>
    </r>
  </si>
  <si>
    <r>
      <t>PP</t>
    </r>
    <r>
      <rPr>
        <sz val="10"/>
        <color indexed="12"/>
        <rFont val="Arial"/>
        <family val="2"/>
      </rPr>
      <t>(PS)-</t>
    </r>
    <r>
      <rPr>
        <sz val="10"/>
        <rFont val="Arial"/>
        <family val="2"/>
      </rPr>
      <t>Trip SobreCorrente Desequilíbrio Neutro</t>
    </r>
  </si>
  <si>
    <t>ZZZ:0XHY:50/51:SCOR</t>
  </si>
  <si>
    <t>ZZZ:0XHY:50/51:SCFA</t>
  </si>
  <si>
    <t>ZZZ:0XHY:50/51:SCFB</t>
  </si>
  <si>
    <t>ZZZ:0XHY:50/51:SCFC</t>
  </si>
  <si>
    <t>ZZZ:0XHY:50/51:SCON</t>
  </si>
  <si>
    <t>ZZZ:0XHY:87:PDIF</t>
  </si>
  <si>
    <t>ZZZ:0XHY:87:PDFA</t>
  </si>
  <si>
    <t>ZZZ:0XHY:87:PDFB</t>
  </si>
  <si>
    <t xml:space="preserve">Trip Relé Diferencial 87 Fase B  </t>
  </si>
  <si>
    <t>ZZZ:0XHY:87:PDFC</t>
  </si>
  <si>
    <t>ZZZ:0XHY:00:TPAB</t>
  </si>
  <si>
    <t>PORTÃO ABERTO</t>
  </si>
  <si>
    <t xml:space="preserve">ZZZ:0XHY:27:SUBT </t>
  </si>
  <si>
    <t xml:space="preserve">ZZZ:0XHY:59:SOBT </t>
  </si>
  <si>
    <t>Trip SobreTensão</t>
  </si>
  <si>
    <t>Atende também ao agrupamento dos itens 26 a 28 para ONS.</t>
  </si>
  <si>
    <t>ZZZ:0XHY:59:SOIN</t>
  </si>
  <si>
    <t>Trip SobreTensão Inst</t>
  </si>
  <si>
    <t>ZZZ:0XHY:59:SOTE</t>
  </si>
  <si>
    <t>Trip Relé SobreTensão Temp</t>
  </si>
  <si>
    <t xml:space="preserve">ZZZ:0XHY:86:ATRB </t>
  </si>
  <si>
    <t>RELE BLOQUEIO</t>
  </si>
  <si>
    <t>Atende também ao agrupamento dos itens 30 a 31 para ONS.</t>
  </si>
  <si>
    <t>8.2.1.3(a)(2)</t>
  </si>
  <si>
    <t>ZZZ:0XHY:86:ATR1</t>
  </si>
  <si>
    <t>ZZZ:0XHY:86:ATR2</t>
  </si>
  <si>
    <t>ZZZ:0XHY:00:BQDB</t>
  </si>
  <si>
    <r>
      <t>ZZZ:0XHY:51D:DPPG</t>
    </r>
    <r>
      <rPr>
        <sz val="10"/>
        <color indexed="12"/>
        <rFont val="Arial"/>
        <family val="2"/>
      </rPr>
      <t>(DSPG)</t>
    </r>
    <r>
      <rPr>
        <sz val="10"/>
        <color indexed="14"/>
        <rFont val="Arial"/>
        <family val="2"/>
      </rPr>
      <t>(DNPG)</t>
    </r>
  </si>
  <si>
    <r>
      <t>PP</t>
    </r>
    <r>
      <rPr>
        <sz val="10"/>
        <color indexed="12"/>
        <rFont val="Arial"/>
        <family val="2"/>
      </rPr>
      <t>(PS)</t>
    </r>
    <r>
      <rPr>
        <sz val="10"/>
        <rFont val="Arial"/>
        <family val="2"/>
      </rPr>
      <t xml:space="preserve">-Atuação Desequilibrio Neutro 1.Grau </t>
    </r>
  </si>
  <si>
    <t>ZZZ:0XHY:86:RERB</t>
  </si>
  <si>
    <t>ZZZ:0XHY:86/1:RERB</t>
  </si>
  <si>
    <t>ZZZ:0XHY:**:PRTA</t>
  </si>
  <si>
    <t>ZZZ:0XHY:**:FIRE</t>
  </si>
  <si>
    <t>ZZZ:0XHY:**:FCRE</t>
  </si>
  <si>
    <t>ZZZ:0XHY:UC1:FSPF</t>
  </si>
  <si>
    <t>ZZZ:0XHY:**:FGOP(FGOS)(FGOE)</t>
  </si>
  <si>
    <r>
      <t>PP</t>
    </r>
    <r>
      <rPr>
        <sz val="10"/>
        <color indexed="12"/>
        <rFont val="Arial"/>
        <family val="2"/>
      </rPr>
      <t>(PS)-</t>
    </r>
    <r>
      <rPr>
        <sz val="10"/>
        <rFont val="Arial"/>
        <family val="2"/>
      </rPr>
      <t>Falha de Goose</t>
    </r>
  </si>
  <si>
    <r>
      <t>ZZZ:0XHY:**:FPGP</t>
    </r>
    <r>
      <rPr>
        <sz val="10"/>
        <color indexed="12"/>
        <rFont val="Arial"/>
        <family val="2"/>
      </rPr>
      <t>(FSGP)</t>
    </r>
    <r>
      <rPr>
        <sz val="10"/>
        <color indexed="14"/>
        <rFont val="Arial"/>
        <family val="2"/>
      </rPr>
      <t>(FGPS)</t>
    </r>
  </si>
  <si>
    <r>
      <t>PP</t>
    </r>
    <r>
      <rPr>
        <sz val="10"/>
        <color indexed="12"/>
        <rFont val="Arial"/>
        <family val="2"/>
      </rPr>
      <t>(PS)-</t>
    </r>
    <r>
      <rPr>
        <sz val="10"/>
        <rFont val="Arial"/>
        <family val="2"/>
      </rPr>
      <t>Falha de Sincronismo com GPS</t>
    </r>
  </si>
  <si>
    <t>ZZZ:0XHY:**:FCOn</t>
  </si>
  <si>
    <t>Falha Canal Óptico "n"</t>
  </si>
  <si>
    <t>ZZZ:0XHY:**:BLRE</t>
  </si>
  <si>
    <t>ZZZ:0XHY:**:CPTS</t>
  </si>
  <si>
    <t>ZZZ:0XHY:**:FIUC</t>
  </si>
  <si>
    <t>ZZZ:0XHY:**:FCUC</t>
  </si>
  <si>
    <t>ZZZ:0XHY:**:FSUC</t>
  </si>
  <si>
    <t>ZZZ:0XHY:**:FTUC</t>
  </si>
  <si>
    <t>ZZZ:0XHY:**:FTCC</t>
  </si>
  <si>
    <t>ZZZ:0XHY:**:FCCQ</t>
  </si>
  <si>
    <t>Falta CC</t>
  </si>
  <si>
    <t>ZZZ:0XHY:**:FCTm</t>
  </si>
  <si>
    <t>ZZZ:0XHY:**:FCSm</t>
  </si>
  <si>
    <t>ZZZ:0XHY:**:FCCm</t>
  </si>
  <si>
    <t>ZZZ:0XHY:**:FCRm</t>
  </si>
  <si>
    <t>ZZZ:0XHY:00:PDBF</t>
  </si>
  <si>
    <t>Agrupamento itens 42 a 70</t>
  </si>
  <si>
    <t>ZZZ:0XHY:**:FCOD</t>
  </si>
  <si>
    <t>ZZZ:1YYY:00:APDM</t>
  </si>
  <si>
    <t>Trip Discordância Entre Módulos</t>
  </si>
  <si>
    <r>
      <t>ZZZ:1YYY:50BF:PPFD</t>
    </r>
    <r>
      <rPr>
        <sz val="10"/>
        <color indexed="12"/>
        <rFont val="Arial"/>
        <family val="2"/>
      </rPr>
      <t>(PSFD)</t>
    </r>
    <r>
      <rPr>
        <sz val="10"/>
        <color indexed="14"/>
        <rFont val="Arial"/>
        <family val="2"/>
      </rPr>
      <t>(FLDI)</t>
    </r>
  </si>
  <si>
    <r>
      <t>PP</t>
    </r>
    <r>
      <rPr>
        <sz val="10"/>
        <color indexed="12"/>
        <rFont val="Arial"/>
        <family val="2"/>
      </rPr>
      <t>(PS)</t>
    </r>
    <r>
      <rPr>
        <sz val="10"/>
        <rFont val="Arial"/>
        <family val="2"/>
      </rPr>
      <t>-Atuação Falha de Disjuntor</t>
    </r>
  </si>
  <si>
    <t xml:space="preserve">Quando houver a supervisão de "FALHA DO DISJUNTOR DE RETAGUARDA", esse ponto deve ser agrupado à FALHA DE DISJUNTOR, gerando um único alarme.Poderá ser usado o código 62BF no lugar do 50BF de acordo com o projeto da instalação. </t>
  </si>
  <si>
    <r>
      <t>ZZZ:1YYY:62BF:PPFD</t>
    </r>
    <r>
      <rPr>
        <sz val="10"/>
        <color indexed="12"/>
        <rFont val="Arial"/>
        <family val="2"/>
      </rPr>
      <t>(PSFD)</t>
    </r>
    <r>
      <rPr>
        <sz val="10"/>
        <color indexed="14"/>
        <rFont val="Arial"/>
        <family val="2"/>
      </rPr>
      <t>(FLDI)</t>
    </r>
  </si>
  <si>
    <t xml:space="preserve">Quando houver a supervisão de "FALHA DO DISJUNTOR DE RETAGUARDA", esse ponto deve ser agrupado à FALHA DE DISJUNTOR, gerando um único alarme.Poderá ser usado o código 50BF no lugar do 62BF de acordo com o projeto da instalação. </t>
  </si>
  <si>
    <t>ZZZ:1YYY:00:RFDJ</t>
  </si>
  <si>
    <t>Reset de Falha de Disjuntor</t>
  </si>
  <si>
    <t>ZZZ:1YYY:00:SCAR</t>
  </si>
  <si>
    <t>ZZZ:1YYY:00:ALSC</t>
  </si>
  <si>
    <t xml:space="preserve">Alarme SobreCarga </t>
  </si>
  <si>
    <r>
      <t>ZZZ:1YYY:67:DFPP</t>
    </r>
    <r>
      <rPr>
        <sz val="10"/>
        <color indexed="12"/>
        <rFont val="Arial"/>
        <family val="2"/>
      </rPr>
      <t>(DFPS)</t>
    </r>
    <r>
      <rPr>
        <sz val="10"/>
        <color indexed="14"/>
        <rFont val="Arial"/>
        <family val="2"/>
      </rPr>
      <t>(SDTI)</t>
    </r>
  </si>
  <si>
    <r>
      <t>PP</t>
    </r>
    <r>
      <rPr>
        <sz val="10"/>
        <color indexed="12"/>
        <rFont val="Arial"/>
        <family val="2"/>
      </rPr>
      <t>(PS)</t>
    </r>
    <r>
      <rPr>
        <sz val="10"/>
        <rFont val="Arial"/>
        <family val="2"/>
      </rPr>
      <t>-Trip SobreCorrente Dir Fase</t>
    </r>
  </si>
  <si>
    <t>No caso de disjuntores que posuem proteção própria.</t>
  </si>
  <si>
    <r>
      <t>ZZZ:1YYY:67T:PPDT</t>
    </r>
    <r>
      <rPr>
        <sz val="10"/>
        <color indexed="12"/>
        <rFont val="Arial"/>
        <family val="2"/>
      </rPr>
      <t>(PSDT)</t>
    </r>
    <r>
      <rPr>
        <sz val="10"/>
        <color indexed="14"/>
        <rFont val="Arial"/>
        <family val="2"/>
      </rPr>
      <t>(PDDT)</t>
    </r>
  </si>
  <si>
    <r>
      <t>PP</t>
    </r>
    <r>
      <rPr>
        <sz val="10"/>
        <color indexed="12"/>
        <rFont val="Arial"/>
        <family val="2"/>
      </rPr>
      <t>(PS)</t>
    </r>
    <r>
      <rPr>
        <sz val="10"/>
        <rFont val="Arial"/>
        <family val="2"/>
      </rPr>
      <t>-Trip SobreCorrente Dir Fase Temp</t>
    </r>
  </si>
  <si>
    <r>
      <t>ZZZ:1YYY:67I:PPDI</t>
    </r>
    <r>
      <rPr>
        <sz val="10"/>
        <color indexed="12"/>
        <rFont val="Arial"/>
        <family val="2"/>
      </rPr>
      <t>(PSDI)</t>
    </r>
    <r>
      <rPr>
        <sz val="10"/>
        <color indexed="14"/>
        <rFont val="Arial"/>
        <family val="2"/>
      </rPr>
      <t>(PDDI)</t>
    </r>
  </si>
  <si>
    <r>
      <t>PP</t>
    </r>
    <r>
      <rPr>
        <sz val="10"/>
        <color indexed="12"/>
        <rFont val="Arial"/>
        <family val="2"/>
      </rPr>
      <t>(PS)</t>
    </r>
    <r>
      <rPr>
        <sz val="10"/>
        <rFont val="Arial"/>
        <family val="2"/>
      </rPr>
      <t>-Trip SobreCorrente Dir Fase Inst</t>
    </r>
  </si>
  <si>
    <r>
      <t>ZZZ:1YYY:67N/T:PPNT</t>
    </r>
    <r>
      <rPr>
        <sz val="10"/>
        <color indexed="12"/>
        <rFont val="Arial"/>
        <family val="2"/>
      </rPr>
      <t>(PSNT)</t>
    </r>
    <r>
      <rPr>
        <sz val="10"/>
        <color indexed="14"/>
        <rFont val="Arial"/>
        <family val="2"/>
      </rPr>
      <t>(SDNT)</t>
    </r>
  </si>
  <si>
    <r>
      <t>PP</t>
    </r>
    <r>
      <rPr>
        <sz val="10"/>
        <color indexed="12"/>
        <rFont val="Arial"/>
        <family val="2"/>
      </rPr>
      <t>(PS)</t>
    </r>
    <r>
      <rPr>
        <sz val="10"/>
        <rFont val="Arial"/>
        <family val="2"/>
      </rPr>
      <t>-Trip SobreCorrente Dir Neutro Temp</t>
    </r>
  </si>
  <si>
    <r>
      <t>ZZZ:1YYY:67N/I:PPNI</t>
    </r>
    <r>
      <rPr>
        <sz val="10"/>
        <color indexed="12"/>
        <rFont val="Arial"/>
        <family val="2"/>
      </rPr>
      <t>(PSNI)</t>
    </r>
    <r>
      <rPr>
        <sz val="10"/>
        <color indexed="14"/>
        <rFont val="Arial"/>
        <family val="2"/>
      </rPr>
      <t>(SDNI)</t>
    </r>
  </si>
  <si>
    <r>
      <t>PP</t>
    </r>
    <r>
      <rPr>
        <sz val="10"/>
        <color indexed="12"/>
        <rFont val="Arial"/>
        <family val="2"/>
      </rPr>
      <t>(PS)</t>
    </r>
    <r>
      <rPr>
        <sz val="10"/>
        <rFont val="Arial"/>
        <family val="2"/>
      </rPr>
      <t>-Trip SobreCorrente Dir Neutro Inst</t>
    </r>
  </si>
  <si>
    <t>ZZZ:1YYY:67N:PPSD(PSSD)(DNTI)</t>
  </si>
  <si>
    <t>PP(PS)-Trip SobreCorrente Dir Neutro</t>
  </si>
  <si>
    <r>
      <t>ZZZ:1YYY:50/51:PSOA</t>
    </r>
    <r>
      <rPr>
        <sz val="10"/>
        <color indexed="12"/>
        <rFont val="Arial"/>
        <family val="2"/>
      </rPr>
      <t>(SSOA)</t>
    </r>
    <r>
      <rPr>
        <sz val="10"/>
        <color indexed="14"/>
        <rFont val="Arial"/>
        <family val="2"/>
      </rPr>
      <t>(SCFA)</t>
    </r>
  </si>
  <si>
    <r>
      <t>PP</t>
    </r>
    <r>
      <rPr>
        <sz val="10"/>
        <color indexed="12"/>
        <rFont val="Arial"/>
        <family val="2"/>
      </rPr>
      <t>(PS)</t>
    </r>
    <r>
      <rPr>
        <sz val="10"/>
        <rFont val="Arial"/>
        <family val="2"/>
      </rPr>
      <t xml:space="preserve">-Trip SobreCorrente 50/51 Fase A </t>
    </r>
  </si>
  <si>
    <r>
      <t>ZZZ:1YYY:50/51:PSOB</t>
    </r>
    <r>
      <rPr>
        <sz val="10"/>
        <color indexed="12"/>
        <rFont val="Arial"/>
        <family val="2"/>
      </rPr>
      <t>(SSOB)</t>
    </r>
    <r>
      <rPr>
        <sz val="10"/>
        <color indexed="14"/>
        <rFont val="Arial"/>
        <family val="2"/>
      </rPr>
      <t>(SCFB)</t>
    </r>
  </si>
  <si>
    <r>
      <t>PP</t>
    </r>
    <r>
      <rPr>
        <sz val="10"/>
        <color indexed="12"/>
        <rFont val="Arial"/>
        <family val="2"/>
      </rPr>
      <t>(PS)</t>
    </r>
    <r>
      <rPr>
        <sz val="10"/>
        <rFont val="Arial"/>
        <family val="2"/>
      </rPr>
      <t xml:space="preserve">-Trip SobreCorrente 50/51 Fase B </t>
    </r>
  </si>
  <si>
    <r>
      <t>ZZZ:1YYY:50/51:PSOC</t>
    </r>
    <r>
      <rPr>
        <sz val="10"/>
        <color indexed="12"/>
        <rFont val="Arial"/>
        <family val="2"/>
      </rPr>
      <t>(SSOC)</t>
    </r>
    <r>
      <rPr>
        <sz val="10"/>
        <color indexed="14"/>
        <rFont val="Arial"/>
        <family val="2"/>
      </rPr>
      <t>(SCFC)</t>
    </r>
  </si>
  <si>
    <r>
      <t>PP</t>
    </r>
    <r>
      <rPr>
        <sz val="10"/>
        <color indexed="12"/>
        <rFont val="Arial"/>
        <family val="2"/>
      </rPr>
      <t>(PS)</t>
    </r>
    <r>
      <rPr>
        <sz val="10"/>
        <rFont val="Arial"/>
        <family val="2"/>
      </rPr>
      <t xml:space="preserve">-Trip SobreCorrente 50/51 Fase C </t>
    </r>
  </si>
  <si>
    <t>ZZZ:1YYY:50/51:SOPP(SOPS)(SCOR)</t>
  </si>
  <si>
    <t>PP(PS)-Trip SobreCorrente 50/51 Fases</t>
  </si>
  <si>
    <r>
      <t>ZZZ:1YYY:50/51:PSON</t>
    </r>
    <r>
      <rPr>
        <sz val="10"/>
        <color indexed="12"/>
        <rFont val="Arial"/>
        <family val="2"/>
      </rPr>
      <t>(SSON)</t>
    </r>
    <r>
      <rPr>
        <sz val="10"/>
        <color indexed="14"/>
        <rFont val="Arial"/>
        <family val="2"/>
      </rPr>
      <t>(SCON)</t>
    </r>
  </si>
  <si>
    <t xml:space="preserve">PP(PS)-Trip SobreCorrente 50/51 Neutro </t>
  </si>
  <si>
    <t>ZZZ:1YYY:86:ATR1</t>
  </si>
  <si>
    <t>ZZZ:1YYY:86:ATR2</t>
  </si>
  <si>
    <t>ZZZ:1YYY:00:TEXT</t>
  </si>
  <si>
    <t>Recepção Trip Externo</t>
  </si>
  <si>
    <t>Este ponto foi suplantado pela proteção atuada do padrão de interface</t>
  </si>
  <si>
    <t>ZZZ:1YYY:00:BPAA</t>
  </si>
  <si>
    <t>Baixa Pressão Sist. Acion. Ar Comp. 1.Grau</t>
  </si>
  <si>
    <t>ZZZ:1YYY:00:BPSA</t>
  </si>
  <si>
    <t>Baixa Pressão Sist. Acion. Ar Comp. 2.Grau</t>
  </si>
  <si>
    <t>ZZZ:1YYY:00:BPTA</t>
  </si>
  <si>
    <t>Baixa Pressão Sist. Acion. Ar Comp. 3.Grau</t>
  </si>
  <si>
    <t>ZZZ:1YYY:00:RCIN</t>
  </si>
  <si>
    <t xml:space="preserve">Recarga de Ar Insuficiente </t>
  </si>
  <si>
    <t>ZZZ:1YYY:00:BPAO</t>
  </si>
  <si>
    <t>Baixa Pressão Sist. Acion. Óleo 1.Grau</t>
  </si>
  <si>
    <t>ZZZ:1YYY:00:BPOS</t>
  </si>
  <si>
    <t>Baixa Pressão Sist. Acion. Óleo 2 Grau</t>
  </si>
  <si>
    <t>ZZZ:1YYY:00:BPOT</t>
  </si>
  <si>
    <t>Baixa Pressão Sist. Acion. Óleo 3 Grau</t>
  </si>
  <si>
    <t>ZZZ:1YYY:00:DPN2</t>
  </si>
  <si>
    <t>Perda de N2</t>
  </si>
  <si>
    <t>ZZZ:1YYY:00:PBOP</t>
  </si>
  <si>
    <t>Baixa Pressão Sist. Extinção Óleo 1.Grau</t>
  </si>
  <si>
    <t>ZZZ:1YYY:00:PBOS</t>
  </si>
  <si>
    <t>Baixa Pressão Sist. Extinção Óleo 2.Grau</t>
  </si>
  <si>
    <t>ZZZ:1YYY:00:PBOT</t>
  </si>
  <si>
    <t>Baixa Pressão Sist. Extinção Óleo 3.Grau</t>
  </si>
  <si>
    <t>ZZZ:1YYY:00:PBAP</t>
  </si>
  <si>
    <t>Baixa Pressão Sist.Extinção Ar Comp.1.Grau</t>
  </si>
  <si>
    <t>ZZZ:1YYY:00:PBAS</t>
  </si>
  <si>
    <t>Baixa Pressão Sist.Extinção Ar Comp.2.Grau</t>
  </si>
  <si>
    <t>ZZZ:1YYY:00:PBAT</t>
  </si>
  <si>
    <t>Baixa Pressão Sist.Extinção Ar Comp.3.Grau</t>
  </si>
  <si>
    <t>ZZZ:1YYY:00:PBST</t>
  </si>
  <si>
    <t>Baixa Pressão Sist. Extinção SF6 3.Grau</t>
  </si>
  <si>
    <t>ZZZ:1YYY:00:PBSI</t>
  </si>
  <si>
    <t>Baixa Pressão Sist. Isolação</t>
  </si>
  <si>
    <t>ZZZ:1YYY:00:BLQF</t>
  </si>
  <si>
    <t>Bloqueio de Função</t>
  </si>
  <si>
    <t>Equivale ao relé K4 em alguns modelos. Trabalha energizado. REVER COM NÍVEL 1</t>
  </si>
  <si>
    <t>ZZZ:1YYY:[F1/F2/F3]:BLQA</t>
  </si>
  <si>
    <t>Abertura Bloqueada</t>
  </si>
  <si>
    <t>8.2.1.8(b)(3)</t>
  </si>
  <si>
    <t>ZZZ:1YYY:00:BLQA</t>
  </si>
  <si>
    <t xml:space="preserve">Verificar projeto para associar a um determinado estágio dos sistemas de acionamento e/ou extinção do disjuntor. </t>
  </si>
  <si>
    <t>ZZZ:1YYY:[F1/F2/F3]:FEBL</t>
  </si>
  <si>
    <t>Fechamento Bloqueado</t>
  </si>
  <si>
    <t>8.2.1.8(b)(2)</t>
  </si>
  <si>
    <t>ZZZ:1YYY:00:FEBL</t>
  </si>
  <si>
    <t>ZZZ:1YYY:00:DJNA</t>
  </si>
  <si>
    <t>Disjuntor não Apto para Religamento</t>
  </si>
  <si>
    <t>ZZZ:1YYY:00:ABEM</t>
  </si>
  <si>
    <t>Abertura de Emergência</t>
  </si>
  <si>
    <t>ZZZ:1YYY:00:ABSI</t>
  </si>
  <si>
    <t>Abertura Seccionadoras Isoladoras</t>
  </si>
  <si>
    <t>ZZZ:1YYY:00:FEEM</t>
  </si>
  <si>
    <t>Fechamento de Emergência</t>
  </si>
  <si>
    <t>ZZZ:1YYY:43:IET</t>
  </si>
  <si>
    <t>Intertravamento Ativado p/ Posição ET</t>
  </si>
  <si>
    <t>Desconsiderar o anunciador caso esteja sinalizado no unifiar.</t>
  </si>
  <si>
    <t>ZZZ:1YYY:43:IN</t>
  </si>
  <si>
    <t>Intertravamento Ativado p/ Posição N</t>
  </si>
  <si>
    <t>ZZZ:1YYY:43:IT</t>
  </si>
  <si>
    <t>Intertravamento Ativado p/ Posição T</t>
  </si>
  <si>
    <t>ZZZ:1YYY:43:TPRI</t>
  </si>
  <si>
    <t>Transferência Proteção Incompleta</t>
  </si>
  <si>
    <t>ZZZ:1YYY:00:ANDS</t>
  </si>
  <si>
    <t>Anormalidade Disj/Secc</t>
  </si>
  <si>
    <t>ZZZ:1YYY:43MT:M</t>
  </si>
  <si>
    <t>ZZZ:1YYY:43MT:T</t>
  </si>
  <si>
    <t>ZZZ:1YYY:43MT:MT</t>
  </si>
  <si>
    <t>ZZZ:1YYY:00:FAAF</t>
  </si>
  <si>
    <t>Falta Alimentação Circuito Fech/Abert1</t>
  </si>
  <si>
    <t>Quando não for possível subir separado.</t>
  </si>
  <si>
    <t>ZZZ:1YYY:00:FACA</t>
  </si>
  <si>
    <t xml:space="preserve">Falta Alimentação Circuito Abert </t>
  </si>
  <si>
    <t>ZZZ:1YYY:00:FAFA</t>
  </si>
  <si>
    <t xml:space="preserve">Falta Alimentação Circuito Fech e Abert </t>
  </si>
  <si>
    <t>ZZZ:1YYY:00:CCCA</t>
  </si>
  <si>
    <t xml:space="preserve">Falta Tensão CC/CA </t>
  </si>
  <si>
    <t>Ponto deve ser evitado em projetos novos.</t>
  </si>
  <si>
    <t>ZZZ:1YYY:00:FTCO</t>
  </si>
  <si>
    <t>ZZZ:1YYY:52:IAFED</t>
  </si>
  <si>
    <t>Ponto de distribuição que inclui o estado de ZZZ:1YYY:52:IAFE e ZZZ:IHM-C:43:N2</t>
  </si>
  <si>
    <t>ZZZ:1YYY:52:IAFE</t>
  </si>
  <si>
    <t>Desconsiderar o anunciador caso esteja sinalizado no unifilar.</t>
  </si>
  <si>
    <t>ZZZ:1YYY:52:LIFE</t>
  </si>
  <si>
    <t>Liberado para Fechamento</t>
  </si>
  <si>
    <t>ZZZ:1YYY:52:IAABD</t>
  </si>
  <si>
    <t>Intertravamento Ativado p/ Abertura</t>
  </si>
  <si>
    <t>Ponto de distribuição que inclui o estado de ZZZ:1YYY:52:IAAB e ZZZ:IHM-C:43:N2</t>
  </si>
  <si>
    <t>ZZZ:1YYY:52:IAAB</t>
  </si>
  <si>
    <t>ZZZ:1YYY:52:LIAB</t>
  </si>
  <si>
    <t>Liberado para Abertura</t>
  </si>
  <si>
    <t>ZZZ:1YYY:52:ANDJ</t>
  </si>
  <si>
    <t>Anormalidade Disjuntor</t>
  </si>
  <si>
    <t>Agrupamento dos itens 79 a 96</t>
  </si>
  <si>
    <t>ZZZ:1YYY:**:FCRm</t>
  </si>
  <si>
    <t>ZZZ:1YYY:00:PCLT</t>
  </si>
  <si>
    <t>ZZZ:1YDY:**:ILOC</t>
  </si>
  <si>
    <t>Usar apenas quando houver unidades exclusivas para Bay de transferência.
** - UCn (n = Numeração sequencial da Unidade de Controle no vão).</t>
  </si>
  <si>
    <t>ZZZ:1YDY:**:FCUC</t>
  </si>
  <si>
    <t>ZZZ:1YYY:**:PRTA</t>
  </si>
  <si>
    <t>ZZZ:1YYY:**:FTCC</t>
  </si>
  <si>
    <t>ZZZ:1YYY:00:SINP</t>
  </si>
  <si>
    <t>ZZZ:1YYY:**:MDnm</t>
  </si>
  <si>
    <t>ZZZ:1YYY:**:FACn</t>
  </si>
  <si>
    <t>ZZZ:1YYY:**:FIRE</t>
  </si>
  <si>
    <t>ZZZ:1YYY:**:FCRE</t>
  </si>
  <si>
    <t>ZZZ:1YYY:UC1:SIND</t>
  </si>
  <si>
    <t>Sincronismo Desativado (25)</t>
  </si>
  <si>
    <t>Onde aplicável. Indica que a função 25 está desativada</t>
  </si>
  <si>
    <t>ZZZ:1YYY:**:FGOE</t>
  </si>
  <si>
    <t>ZZZ:1YYY:**:FGPS</t>
  </si>
  <si>
    <t>ZZZ:1YYY:**:BLRE</t>
  </si>
  <si>
    <t>ZZZ:1YYY:**:FCOD</t>
  </si>
  <si>
    <t>ZZZ:1YYY:**:FIUC</t>
  </si>
  <si>
    <t>N- Numeração sequencial da Unidade de Controle no vão.</t>
  </si>
  <si>
    <t>ZZZ:1YYY:**:FSUC</t>
  </si>
  <si>
    <t>ZZZ:1YYY:**:FTUC</t>
  </si>
  <si>
    <t>ZZZ:1YYY:**:FCTm</t>
  </si>
  <si>
    <t>** Nome do Painel com no máximo 6 dígitos.
M - Numeração sequencial do circuito no painel</t>
  </si>
  <si>
    <t>Selecionar Religamento Mono/Tripolar</t>
  </si>
  <si>
    <t>ZZZ:3YYY-Z:00:AMAN</t>
  </si>
  <si>
    <t>Acionamento em Manual</t>
  </si>
  <si>
    <t>Seccionadora com chave 43-Man/Mot no armário central.</t>
  </si>
  <si>
    <t>ZZZ:3YYY-Z:00:AMOT</t>
  </si>
  <si>
    <t>Acionamento Motorizado</t>
  </si>
  <si>
    <t>ZZZ:3YYY-Z:00:CCCA</t>
  </si>
  <si>
    <t>Quando o alarme for único para todas as seccionadoras de um determinado vão, usar no ID o código operacional sem o dígito indicador de posição ex: LT 04V1-&gt; ZZZ:34V1:00:CCCA</t>
  </si>
  <si>
    <t>ZZZ:3YYY-Z:00:FTDM</t>
  </si>
  <si>
    <t xml:space="preserve">Falta Tensão/Defeito Motor </t>
  </si>
  <si>
    <t>Quando o alarme for único para todas as seccionadoras de um determinado vão, usar no ID o código operacional sem o dígito indicador de posição ex: LT 04V1-&gt; ZZZ:34V1:00:FTDM</t>
  </si>
  <si>
    <t>ZZZ:3YYY-Z:00:ASEC</t>
  </si>
  <si>
    <t>Anormalidade Seccionadora</t>
  </si>
  <si>
    <t>Agrupamento dos itens 9 a 16.
Quando o alarme for único para todas as seccionadoras de um determinado vão, usar no ID o código operacional sem o dígito indicador de posição ex: LT 04V1-&gt; ZZZ:34V1:00:ASEC</t>
  </si>
  <si>
    <t>ZZZ:3YYY-Z:89:LIFE</t>
  </si>
  <si>
    <t>ZZZ:3YYY-Z:89:LIAB</t>
  </si>
  <si>
    <t>ZZZ:3YYY-Z:00:CTRO</t>
  </si>
  <si>
    <t>Cartão de Restrição Operacional</t>
  </si>
  <si>
    <t>Cor amarela</t>
  </si>
  <si>
    <t>ZZZ:3YYY-Z:00:CTOP</t>
  </si>
  <si>
    <t>Cartão de Não Opere</t>
  </si>
  <si>
    <t>Cor vermelha
Boqueia o comando da seccionadora</t>
  </si>
  <si>
    <t>ESQUEMA ESPECIAL</t>
  </si>
  <si>
    <t>ZZZ:0XKY:86:ATRB</t>
  </si>
  <si>
    <t>ZZZ:0XKY:**:ATRB</t>
  </si>
  <si>
    <t>** Nema 86 mais complementação distintiva AT (Bloqueio na Partida), ME (Bloqueio Mecânico), E1 (Bloqueio Elétrico sem Freio), E2 (Bloqueio Elétrico com Freio) etc. Exemplo:86AT.</t>
  </si>
  <si>
    <t>ZZZ:0XKY:**:FIRE</t>
  </si>
  <si>
    <t>ZZZ:0XKY:**:PRTA</t>
  </si>
  <si>
    <t>ZZZ:0XKY:**:SINP</t>
  </si>
  <si>
    <t>ZZZ:0XKY:**:FTCC</t>
  </si>
  <si>
    <t>ZZZ:0XKY:**:MDnm</t>
  </si>
  <si>
    <t>ZZZ:0XKY:**:FACn</t>
  </si>
  <si>
    <t>ZZZ:0XKY:UC1:FSPF</t>
  </si>
  <si>
    <t>ZZZ:0XKY:**:FGOE</t>
  </si>
  <si>
    <t>ZZZ:0XKY:**:FGPS</t>
  </si>
  <si>
    <t>ZZZ:0XKY:**:BLRE</t>
  </si>
  <si>
    <t>ZZZ:0XKY:00:ANPR</t>
  </si>
  <si>
    <t>ZZZ:0XKY:**:FCOD</t>
  </si>
  <si>
    <t>ZZZ:0XKY:00:MVAR</t>
  </si>
  <si>
    <t>SUBFREQUENCIA</t>
  </si>
  <si>
    <t>ZZZ:0XQY:**:PRTA</t>
  </si>
  <si>
    <t>ZZZ:0XQY:**:SINP</t>
  </si>
  <si>
    <t>ZZZ:0XQY:**:FTCC</t>
  </si>
  <si>
    <t>ZZZ:0XQY:**:MDnm</t>
  </si>
  <si>
    <t>ZZZ:0XQY:**:FACn</t>
  </si>
  <si>
    <t>ZZZ:0XQY:**:FIRE</t>
  </si>
  <si>
    <t>ZZZ:0XQY:**:FCRE</t>
  </si>
  <si>
    <t>ZZZ:0XQY:UC1:FSPF</t>
  </si>
  <si>
    <t>ZZZ:0XQY:**:FGOE</t>
  </si>
  <si>
    <t>ZZZ:0XQY:**:FGPS</t>
  </si>
  <si>
    <t>ZZZ:0XQY:**:BLRE</t>
  </si>
  <si>
    <t>ZZZ:0XQY:**:FCOD</t>
  </si>
  <si>
    <r>
      <t>ZZZ:0XHY:00:PLCA</t>
    </r>
    <r>
      <rPr>
        <sz val="10"/>
        <color indexed="12"/>
        <rFont val="Arial"/>
        <family val="2"/>
      </rPr>
      <t>(SLCA)</t>
    </r>
  </si>
  <si>
    <r>
      <t>PP</t>
    </r>
    <r>
      <rPr>
        <sz val="10"/>
        <color indexed="12"/>
        <rFont val="Arial"/>
        <family val="2"/>
      </rPr>
      <t>(PS)</t>
    </r>
    <r>
      <rPr>
        <sz val="10"/>
        <rFont val="Arial"/>
        <family val="2"/>
      </rPr>
      <t xml:space="preserve">-LCU By-Pass Proteção Fase A </t>
    </r>
  </si>
  <si>
    <r>
      <t>ZZZ:0XHY:00:PLCB</t>
    </r>
    <r>
      <rPr>
        <sz val="10"/>
        <color indexed="12"/>
        <rFont val="Arial"/>
        <family val="2"/>
      </rPr>
      <t>(SLCB)</t>
    </r>
  </si>
  <si>
    <r>
      <t>PP</t>
    </r>
    <r>
      <rPr>
        <sz val="10"/>
        <color indexed="12"/>
        <rFont val="Arial"/>
        <family val="2"/>
      </rPr>
      <t>(PS)</t>
    </r>
    <r>
      <rPr>
        <sz val="10"/>
        <rFont val="Arial"/>
        <family val="2"/>
      </rPr>
      <t xml:space="preserve">-LCU By-Pass Proteção Fase B </t>
    </r>
  </si>
  <si>
    <r>
      <t>ZZZ:0XHY:00:PLCC</t>
    </r>
    <r>
      <rPr>
        <sz val="10"/>
        <color indexed="12"/>
        <rFont val="Arial"/>
        <family val="2"/>
      </rPr>
      <t>(SLCC)</t>
    </r>
  </si>
  <si>
    <r>
      <t>PP</t>
    </r>
    <r>
      <rPr>
        <sz val="10"/>
        <color indexed="12"/>
        <rFont val="Arial"/>
        <family val="2"/>
      </rPr>
      <t>(PS)</t>
    </r>
    <r>
      <rPr>
        <sz val="10"/>
        <rFont val="Arial"/>
        <family val="2"/>
      </rPr>
      <t>-LCU By-Pass Proteção Fase C</t>
    </r>
  </si>
  <si>
    <r>
      <t>ZZZ:0XHY:00:PMFA</t>
    </r>
    <r>
      <rPr>
        <sz val="10"/>
        <color indexed="12"/>
        <rFont val="Arial"/>
        <family val="2"/>
      </rPr>
      <t>(SMFA)</t>
    </r>
  </si>
  <si>
    <r>
      <t>PP</t>
    </r>
    <r>
      <rPr>
        <sz val="10"/>
        <color indexed="12"/>
        <rFont val="Arial"/>
        <family val="2"/>
      </rPr>
      <t>(PS)-</t>
    </r>
    <r>
      <rPr>
        <sz val="10"/>
        <rFont val="Arial"/>
        <family val="2"/>
      </rPr>
      <t xml:space="preserve">MOV By-Pass Proteção Fase A </t>
    </r>
  </si>
  <si>
    <r>
      <t>ZZZ:0XHY:00:PMFB</t>
    </r>
    <r>
      <rPr>
        <sz val="10"/>
        <color indexed="12"/>
        <rFont val="Arial"/>
        <family val="2"/>
      </rPr>
      <t>(SMFB)</t>
    </r>
  </si>
  <si>
    <r>
      <t>PP</t>
    </r>
    <r>
      <rPr>
        <sz val="10"/>
        <color indexed="12"/>
        <rFont val="Arial"/>
        <family val="2"/>
      </rPr>
      <t>(PS)-</t>
    </r>
    <r>
      <rPr>
        <sz val="10"/>
        <rFont val="Arial"/>
        <family val="2"/>
      </rPr>
      <t>MOV By-Pass Proteção Fase B</t>
    </r>
  </si>
  <si>
    <r>
      <t>ZZZ:0XHY:00:PMFC</t>
    </r>
    <r>
      <rPr>
        <sz val="10"/>
        <color indexed="12"/>
        <rFont val="Arial"/>
        <family val="2"/>
      </rPr>
      <t>(SMFC)</t>
    </r>
  </si>
  <si>
    <r>
      <t>PP</t>
    </r>
    <r>
      <rPr>
        <sz val="10"/>
        <color indexed="12"/>
        <rFont val="Arial"/>
        <family val="2"/>
      </rPr>
      <t>(PS)-</t>
    </r>
    <r>
      <rPr>
        <sz val="10"/>
        <rFont val="Arial"/>
        <family val="2"/>
      </rPr>
      <t>MOV By-Pass Proteção Fase C</t>
    </r>
  </si>
  <si>
    <r>
      <t>ZZZ:0XHY:00:PCPA</t>
    </r>
    <r>
      <rPr>
        <sz val="10"/>
        <color indexed="12"/>
        <rFont val="Arial"/>
        <family val="2"/>
      </rPr>
      <t>(SCPA)</t>
    </r>
  </si>
  <si>
    <r>
      <t>PP</t>
    </r>
    <r>
      <rPr>
        <sz val="10"/>
        <color indexed="12"/>
        <rFont val="Arial"/>
        <family val="2"/>
      </rPr>
      <t>(PS)-</t>
    </r>
    <r>
      <rPr>
        <sz val="10"/>
        <rFont val="Arial"/>
        <family val="2"/>
      </rPr>
      <t xml:space="preserve">CAP By-Pass Proteção Fase A </t>
    </r>
  </si>
  <si>
    <r>
      <t>ZZZ:0XHY:00:PCPB</t>
    </r>
    <r>
      <rPr>
        <sz val="10"/>
        <color indexed="12"/>
        <rFont val="Arial"/>
        <family val="2"/>
      </rPr>
      <t>(SCPB)</t>
    </r>
  </si>
  <si>
    <r>
      <t>PP</t>
    </r>
    <r>
      <rPr>
        <sz val="10"/>
        <color indexed="12"/>
        <rFont val="Arial"/>
        <family val="2"/>
      </rPr>
      <t>(PS)-</t>
    </r>
    <r>
      <rPr>
        <sz val="10"/>
        <rFont val="Arial"/>
        <family val="2"/>
      </rPr>
      <t xml:space="preserve">CAP By-Pass Proteção Fase B </t>
    </r>
  </si>
  <si>
    <r>
      <t>ZZZ:0XHY:00:PCPC</t>
    </r>
    <r>
      <rPr>
        <sz val="10"/>
        <color indexed="12"/>
        <rFont val="Arial"/>
        <family val="2"/>
      </rPr>
      <t>(SCPC)</t>
    </r>
  </si>
  <si>
    <r>
      <t>PP</t>
    </r>
    <r>
      <rPr>
        <sz val="10"/>
        <color indexed="12"/>
        <rFont val="Arial"/>
        <family val="2"/>
      </rPr>
      <t>(PS)-</t>
    </r>
    <r>
      <rPr>
        <sz val="10"/>
        <rFont val="Arial"/>
        <family val="2"/>
      </rPr>
      <t xml:space="preserve">CAP By-Pass Proteção Fase C </t>
    </r>
  </si>
  <si>
    <r>
      <t>ZZZ:0XHY:00:PBQP</t>
    </r>
    <r>
      <rPr>
        <sz val="10"/>
        <color indexed="12"/>
        <rFont val="Arial"/>
        <family val="2"/>
      </rPr>
      <t>(SBQP)</t>
    </r>
  </si>
  <si>
    <t xml:space="preserve">PP(PS)-Bloqueio Permanente  </t>
  </si>
  <si>
    <r>
      <t>ZZZ:0XHY:00:PADC</t>
    </r>
    <r>
      <rPr>
        <sz val="10"/>
        <color indexed="12"/>
        <rFont val="Arial"/>
        <family val="2"/>
      </rPr>
      <t>(SADC)</t>
    </r>
  </si>
  <si>
    <r>
      <t>PP</t>
    </r>
    <r>
      <rPr>
        <sz val="10"/>
        <color indexed="12"/>
        <rFont val="Arial"/>
        <family val="2"/>
      </rPr>
      <t>(PS)-</t>
    </r>
    <r>
      <rPr>
        <sz val="10"/>
        <color indexed="8"/>
        <rFont val="Arial"/>
        <family val="2"/>
      </rPr>
      <t xml:space="preserve">CAP Alarme Desequilíbrio Corrente </t>
    </r>
  </si>
  <si>
    <r>
      <t>ZZZ:0XHY:00:PBPS</t>
    </r>
    <r>
      <rPr>
        <sz val="10"/>
        <color indexed="12"/>
        <rFont val="Arial"/>
        <family val="2"/>
      </rPr>
      <t>(SBPS)</t>
    </r>
  </si>
  <si>
    <r>
      <t>PP</t>
    </r>
    <r>
      <rPr>
        <sz val="10"/>
        <color indexed="12"/>
        <rFont val="Arial"/>
        <family val="2"/>
      </rPr>
      <t>(PS)</t>
    </r>
    <r>
      <rPr>
        <sz val="10"/>
        <rFont val="Arial"/>
        <family val="2"/>
      </rPr>
      <t>-Bypass Sobrecarga Capacitor</t>
    </r>
  </si>
  <si>
    <r>
      <t>ZZZ:0XHY:00:PBSC</t>
    </r>
    <r>
      <rPr>
        <sz val="10"/>
        <color indexed="12"/>
        <rFont val="Arial"/>
        <family val="2"/>
      </rPr>
      <t>(SBSC)</t>
    </r>
  </si>
  <si>
    <r>
      <t>PP</t>
    </r>
    <r>
      <rPr>
        <sz val="10"/>
        <color indexed="12"/>
        <rFont val="Arial"/>
        <family val="2"/>
      </rPr>
      <t>(PS)</t>
    </r>
    <r>
      <rPr>
        <sz val="10"/>
        <rFont val="Arial"/>
        <family val="2"/>
      </rPr>
      <t>-Bypass Perman. Sobrecarga Capacitor</t>
    </r>
  </si>
  <si>
    <r>
      <t>ZZZ:0XHY:00:PBSM</t>
    </r>
    <r>
      <rPr>
        <sz val="10"/>
        <color indexed="12"/>
        <rFont val="Arial"/>
        <family val="2"/>
      </rPr>
      <t>(SBSM)</t>
    </r>
  </si>
  <si>
    <r>
      <t>PP</t>
    </r>
    <r>
      <rPr>
        <sz val="10"/>
        <color indexed="12"/>
        <rFont val="Arial"/>
        <family val="2"/>
      </rPr>
      <t>(PS)</t>
    </r>
    <r>
      <rPr>
        <sz val="10"/>
        <rFont val="Arial"/>
        <family val="2"/>
      </rPr>
      <t>-Bypass Sobrecarga Mov</t>
    </r>
  </si>
  <si>
    <r>
      <t>ZZZ:0XHY:00:PPDG</t>
    </r>
    <r>
      <rPr>
        <sz val="10"/>
        <color indexed="12"/>
        <rFont val="Arial"/>
        <family val="2"/>
      </rPr>
      <t>(PSDG)</t>
    </r>
  </si>
  <si>
    <r>
      <t>PP</t>
    </r>
    <r>
      <rPr>
        <sz val="10"/>
        <color indexed="12"/>
        <rFont val="Arial"/>
        <family val="2"/>
      </rPr>
      <t>(PS)</t>
    </r>
    <r>
      <rPr>
        <sz val="10"/>
        <rFont val="Arial"/>
        <family val="2"/>
      </rPr>
      <t>-Bypass Disparo GAP</t>
    </r>
  </si>
  <si>
    <r>
      <t>ZZZ:0XHY:00:PPAG</t>
    </r>
    <r>
      <rPr>
        <sz val="10"/>
        <color indexed="12"/>
        <rFont val="Arial"/>
        <family val="2"/>
      </rPr>
      <t>(PSAG)</t>
    </r>
  </si>
  <si>
    <r>
      <t>PP</t>
    </r>
    <r>
      <rPr>
        <sz val="10"/>
        <color indexed="12"/>
        <rFont val="Arial"/>
        <family val="2"/>
      </rPr>
      <t>(PS)</t>
    </r>
    <r>
      <rPr>
        <sz val="10"/>
        <rFont val="Arial"/>
        <family val="2"/>
      </rPr>
      <t>-Bypass Auto Disparo GAP</t>
    </r>
  </si>
  <si>
    <r>
      <t>ZZZ:0XHY:00:PBCC</t>
    </r>
    <r>
      <rPr>
        <sz val="10"/>
        <color indexed="12"/>
        <rFont val="Arial"/>
        <family val="2"/>
      </rPr>
      <t>(SBCC)</t>
    </r>
  </si>
  <si>
    <r>
      <t>PP</t>
    </r>
    <r>
      <rPr>
        <sz val="10"/>
        <color indexed="12"/>
        <rFont val="Arial"/>
        <family val="2"/>
      </rPr>
      <t>(PS)</t>
    </r>
    <r>
      <rPr>
        <sz val="10"/>
        <rFont val="Arial"/>
        <family val="2"/>
      </rPr>
      <t>-Bypass Deseq Corrente Capacitor</t>
    </r>
  </si>
  <si>
    <r>
      <t>ZZZ:0XHY:00:PBDM</t>
    </r>
    <r>
      <rPr>
        <sz val="10"/>
        <color indexed="12"/>
        <rFont val="Arial"/>
        <family val="2"/>
      </rPr>
      <t>(SBDM)</t>
    </r>
  </si>
  <si>
    <r>
      <t>PP</t>
    </r>
    <r>
      <rPr>
        <sz val="10"/>
        <color indexed="12"/>
        <rFont val="Arial"/>
        <family val="2"/>
      </rPr>
      <t>(PS)</t>
    </r>
    <r>
      <rPr>
        <sz val="10"/>
        <rFont val="Arial"/>
        <family val="2"/>
      </rPr>
      <t>-Bypass Deseq Corrente MOV</t>
    </r>
  </si>
  <si>
    <r>
      <t>ZZZ:0XHY:00:PBFP</t>
    </r>
    <r>
      <rPr>
        <sz val="10"/>
        <color indexed="12"/>
        <rFont val="Arial"/>
        <family val="2"/>
      </rPr>
      <t>(SBFP)</t>
    </r>
  </si>
  <si>
    <r>
      <t>PP</t>
    </r>
    <r>
      <rPr>
        <sz val="10"/>
        <color indexed="12"/>
        <rFont val="Arial"/>
        <family val="2"/>
      </rPr>
      <t>(PS)</t>
    </r>
    <r>
      <rPr>
        <sz val="10"/>
        <rFont val="Arial"/>
        <family val="2"/>
      </rPr>
      <t>-Bypass Proteção Falta à Plataforma</t>
    </r>
  </si>
  <si>
    <r>
      <t>ZZZ:0XHY:00:PBPL</t>
    </r>
    <r>
      <rPr>
        <sz val="10"/>
        <color indexed="12"/>
        <rFont val="Arial"/>
        <family val="2"/>
      </rPr>
      <t>(SBPL)</t>
    </r>
  </si>
  <si>
    <r>
      <t>PP</t>
    </r>
    <r>
      <rPr>
        <sz val="10"/>
        <color indexed="12"/>
        <rFont val="Arial"/>
        <family val="2"/>
      </rPr>
      <t>(PS)</t>
    </r>
    <r>
      <rPr>
        <sz val="10"/>
        <rFont val="Arial"/>
        <family val="2"/>
      </rPr>
      <t>-Bypass Proteção LT OXXX</t>
    </r>
  </si>
  <si>
    <r>
      <t>ZZZ:0XHY:00:PPBC</t>
    </r>
    <r>
      <rPr>
        <sz val="10"/>
        <color indexed="12"/>
        <rFont val="Arial"/>
        <family val="2"/>
      </rPr>
      <t>(PSBC)</t>
    </r>
  </si>
  <si>
    <r>
      <t>PP</t>
    </r>
    <r>
      <rPr>
        <sz val="10"/>
        <color indexed="12"/>
        <rFont val="Arial"/>
        <family val="2"/>
      </rPr>
      <t>(PS)</t>
    </r>
    <r>
      <rPr>
        <sz val="10"/>
        <rFont val="Arial"/>
        <family val="2"/>
      </rPr>
      <t>-Trip LT 0XXX Proteção do BC</t>
    </r>
  </si>
  <si>
    <t>ZZZ:0XHY:86:ATRB</t>
  </si>
  <si>
    <t>8.2.1.11(a)(2)</t>
  </si>
  <si>
    <r>
      <t>ZZZ:0XHY:00:PPAP</t>
    </r>
    <r>
      <rPr>
        <sz val="10"/>
        <color indexed="12"/>
        <rFont val="Arial"/>
        <family val="2"/>
      </rPr>
      <t>(PSAP)</t>
    </r>
  </si>
  <si>
    <r>
      <t>PP</t>
    </r>
    <r>
      <rPr>
        <sz val="10"/>
        <color indexed="12"/>
        <rFont val="Arial"/>
        <family val="2"/>
      </rPr>
      <t>(PS)</t>
    </r>
    <r>
      <rPr>
        <sz val="10"/>
        <rFont val="Arial"/>
        <family val="2"/>
      </rPr>
      <t>-Anormalidade Proteção / Controle</t>
    </r>
  </si>
  <si>
    <t xml:space="preserve">Esta sinalização contemplará o agrupamento dos pontos, a seguir, o qual deverá ser feito conforme a supervisão de cada instalação, podendo ser complementada de acordo com o projeto de cada SE : 
FALHA ALIMENT. 125 VCC CIRCUITO 2
FALHA ALIMENTAÇÃO GERAL 125 VCC
LCU FALHA DISPOSIT. PROTEÇÃO PP
MOV FALHA DISPOSITIVO PP
CAP FALHA DISPOSIT PROTEÇÃO PP
MOV FALHA DISPOSITIVO GTE PP
</t>
  </si>
  <si>
    <t>ZZZ:0XHY:**:SINP</t>
  </si>
  <si>
    <t>ZZZ:0XHY:**:MDnm</t>
  </si>
  <si>
    <t>ZZZ:0XHY:**:FACn</t>
  </si>
  <si>
    <t>ZZZ:0XHY:[F1/F2/UC1]:FGOE</t>
  </si>
  <si>
    <t>ZZZ:0XHY:**:FGOE</t>
  </si>
  <si>
    <t>ZZZ:0XHY:**:FGPS</t>
  </si>
  <si>
    <r>
      <t>ZZZ:0XEY:26/49:</t>
    </r>
    <r>
      <rPr>
        <sz val="10"/>
        <color indexed="60"/>
        <rFont val="Arial"/>
        <family val="2"/>
      </rPr>
      <t>TT1E</t>
    </r>
    <r>
      <rPr>
        <sz val="10"/>
        <color indexed="12"/>
        <rFont val="Arial"/>
        <family val="2"/>
      </rPr>
      <t>(TT2E)</t>
    </r>
    <r>
      <rPr>
        <sz val="10"/>
        <color indexed="14"/>
        <rFont val="Arial"/>
        <family val="2"/>
      </rPr>
      <t>(TT3E)</t>
    </r>
    <r>
      <rPr>
        <sz val="10"/>
        <rFont val="Arial"/>
        <family val="2"/>
      </rPr>
      <t>(TTOE)</t>
    </r>
  </si>
  <si>
    <r>
      <t>F1</t>
    </r>
    <r>
      <rPr>
        <sz val="10"/>
        <color indexed="12"/>
        <rFont val="Arial"/>
        <family val="2"/>
      </rPr>
      <t>(F2)</t>
    </r>
    <r>
      <rPr>
        <sz val="10"/>
        <color indexed="14"/>
        <rFont val="Arial"/>
        <family val="2"/>
      </rPr>
      <t>(F3)</t>
    </r>
    <r>
      <rPr>
        <sz val="10"/>
        <rFont val="Arial"/>
        <family val="2"/>
      </rPr>
      <t>-Trip Temper. Óleo/Enrol Temporizado</t>
    </r>
  </si>
  <si>
    <t>Sinal colhido após temporização e enviado via chave 43I.
Usar F1, F2 e F3 para os casos onde existem mais de um relé com esta função.</t>
  </si>
  <si>
    <t>ZZZ:0XEY:26:TTOA</t>
  </si>
  <si>
    <t>ZZZ:0XEY:26:TTOB</t>
  </si>
  <si>
    <t>ZZZ:0XEY:26:TTOC</t>
  </si>
  <si>
    <t>ZZZ:0XEY:26:TTRO</t>
  </si>
  <si>
    <t>Usado excepcionalmente em alguns reatores antigos.</t>
  </si>
  <si>
    <t xml:space="preserve">ZZZ:0XEY:49:TTEA </t>
  </si>
  <si>
    <t xml:space="preserve">Trip Temperatura Enrol Fase A </t>
  </si>
  <si>
    <t xml:space="preserve">ZZZ:0XEY:49:TTEB </t>
  </si>
  <si>
    <t xml:space="preserve">Trip Temperatura Enrol Fase B </t>
  </si>
  <si>
    <t xml:space="preserve">ZZZ:0XEY:49:TTEC </t>
  </si>
  <si>
    <t xml:space="preserve">Trip Temperatura Enrol Fase C </t>
  </si>
  <si>
    <t>ZZZ:0XEY:49:TTES</t>
  </si>
  <si>
    <t>Trip Temperatura Enrolamento</t>
  </si>
  <si>
    <t>ZZZ:0XEY:26/49:TROE</t>
  </si>
  <si>
    <t>Agrupamento itens 7 a 14. Usar em Nível 2 apenas quando não for possível desmembrar.</t>
  </si>
  <si>
    <r>
      <t>ZZZ:0XEY:63:</t>
    </r>
    <r>
      <rPr>
        <sz val="10"/>
        <color indexed="16"/>
        <rFont val="Arial"/>
        <family val="2"/>
      </rPr>
      <t>PG1A</t>
    </r>
    <r>
      <rPr>
        <sz val="10"/>
        <color indexed="12"/>
        <rFont val="Arial"/>
        <family val="2"/>
      </rPr>
      <t>(PG2A)</t>
    </r>
    <r>
      <rPr>
        <sz val="10"/>
        <color indexed="14"/>
        <rFont val="Arial"/>
        <family val="2"/>
      </rPr>
      <t>(PG3A)</t>
    </r>
    <r>
      <rPr>
        <sz val="10"/>
        <rFont val="Arial"/>
        <family val="2"/>
      </rPr>
      <t>(PGFA)</t>
    </r>
  </si>
  <si>
    <r>
      <t>F1</t>
    </r>
    <r>
      <rPr>
        <sz val="10"/>
        <color indexed="12"/>
        <rFont val="Arial"/>
        <family val="2"/>
      </rPr>
      <t>(F2)</t>
    </r>
    <r>
      <rPr>
        <sz val="10"/>
        <color indexed="14"/>
        <rFont val="Arial"/>
        <family val="2"/>
      </rPr>
      <t>(F3)</t>
    </r>
    <r>
      <rPr>
        <sz val="10"/>
        <rFont val="Arial"/>
        <family val="2"/>
      </rPr>
      <t>-Trip Relé de Gás Reator 2.Grau Fase A</t>
    </r>
  </si>
  <si>
    <r>
      <t>ZZZ:0XEY:63:</t>
    </r>
    <r>
      <rPr>
        <sz val="10"/>
        <color indexed="16"/>
        <rFont val="Arial"/>
        <family val="2"/>
      </rPr>
      <t>PG1B</t>
    </r>
    <r>
      <rPr>
        <sz val="10"/>
        <color indexed="12"/>
        <rFont val="Arial"/>
        <family val="2"/>
      </rPr>
      <t>(PG2B)</t>
    </r>
    <r>
      <rPr>
        <sz val="10"/>
        <color indexed="14"/>
        <rFont val="Arial"/>
        <family val="2"/>
      </rPr>
      <t>(PG3B)</t>
    </r>
    <r>
      <rPr>
        <sz val="10"/>
        <rFont val="Arial"/>
        <family val="2"/>
      </rPr>
      <t>(PGFB)</t>
    </r>
  </si>
  <si>
    <r>
      <t>F1</t>
    </r>
    <r>
      <rPr>
        <sz val="10"/>
        <color indexed="12"/>
        <rFont val="Arial"/>
        <family val="2"/>
      </rPr>
      <t>(F2)</t>
    </r>
    <r>
      <rPr>
        <sz val="10"/>
        <color indexed="14"/>
        <rFont val="Arial"/>
        <family val="2"/>
      </rPr>
      <t>(F3)</t>
    </r>
    <r>
      <rPr>
        <sz val="10"/>
        <rFont val="Arial"/>
        <family val="2"/>
      </rPr>
      <t>-Trip Relé de Gás Reator 2.Grau Fase B</t>
    </r>
  </si>
  <si>
    <r>
      <t>ZZZ:0XEY:63:</t>
    </r>
    <r>
      <rPr>
        <sz val="10"/>
        <color indexed="16"/>
        <rFont val="Arial"/>
        <family val="2"/>
      </rPr>
      <t>PG1C</t>
    </r>
    <r>
      <rPr>
        <sz val="10"/>
        <color indexed="12"/>
        <rFont val="Arial"/>
        <family val="2"/>
      </rPr>
      <t>(PG2C)</t>
    </r>
    <r>
      <rPr>
        <sz val="10"/>
        <color indexed="14"/>
        <rFont val="Arial"/>
        <family val="2"/>
      </rPr>
      <t>(PG3C)</t>
    </r>
    <r>
      <rPr>
        <sz val="10"/>
        <rFont val="Arial"/>
        <family val="2"/>
      </rPr>
      <t>(PGFC)</t>
    </r>
  </si>
  <si>
    <r>
      <t>F1</t>
    </r>
    <r>
      <rPr>
        <sz val="10"/>
        <color indexed="12"/>
        <rFont val="Arial"/>
        <family val="2"/>
      </rPr>
      <t>(F2)</t>
    </r>
    <r>
      <rPr>
        <sz val="10"/>
        <color indexed="14"/>
        <rFont val="Arial"/>
        <family val="2"/>
      </rPr>
      <t>(F3)</t>
    </r>
    <r>
      <rPr>
        <sz val="10"/>
        <rFont val="Arial"/>
        <family val="2"/>
      </rPr>
      <t>-Trip Relé de Gás Reator 2.Grau Fase C</t>
    </r>
  </si>
  <si>
    <r>
      <t>ZZZ:0XEY:63:</t>
    </r>
    <r>
      <rPr>
        <sz val="10"/>
        <color indexed="16"/>
        <rFont val="Arial"/>
        <family val="2"/>
      </rPr>
      <t>RG1F</t>
    </r>
    <r>
      <rPr>
        <sz val="10"/>
        <color indexed="12"/>
        <rFont val="Arial"/>
        <family val="2"/>
      </rPr>
      <t>(RG2F)</t>
    </r>
    <r>
      <rPr>
        <sz val="10"/>
        <color indexed="14"/>
        <rFont val="Arial"/>
        <family val="2"/>
      </rPr>
      <t>(RG3F)</t>
    </r>
    <r>
      <rPr>
        <sz val="10"/>
        <rFont val="Arial"/>
        <family val="2"/>
      </rPr>
      <t>(RGFS)</t>
    </r>
  </si>
  <si>
    <r>
      <t>F1</t>
    </r>
    <r>
      <rPr>
        <sz val="10"/>
        <color indexed="12"/>
        <rFont val="Arial"/>
        <family val="2"/>
      </rPr>
      <t>(F2)</t>
    </r>
    <r>
      <rPr>
        <sz val="10"/>
        <color indexed="14"/>
        <rFont val="Arial"/>
        <family val="2"/>
      </rPr>
      <t>(F3)</t>
    </r>
    <r>
      <rPr>
        <sz val="10"/>
        <rFont val="Arial"/>
        <family val="2"/>
      </rPr>
      <t>-Trip Relé de Gás Reator 2.Grau</t>
    </r>
  </si>
  <si>
    <t>Atende também ao agrupamento dos itens 17 a 21 para anunciador do nível 2 e alarme do nível 3.</t>
  </si>
  <si>
    <r>
      <t>ZZZ:0XEY:87:</t>
    </r>
    <r>
      <rPr>
        <sz val="10"/>
        <color indexed="16"/>
        <rFont val="Arial"/>
        <family val="2"/>
      </rPr>
      <t>DF1A</t>
    </r>
    <r>
      <rPr>
        <sz val="10"/>
        <color indexed="12"/>
        <rFont val="Arial"/>
        <family val="2"/>
      </rPr>
      <t>(DF2A)</t>
    </r>
    <r>
      <rPr>
        <sz val="10"/>
        <color indexed="14"/>
        <rFont val="Arial"/>
        <family val="2"/>
      </rPr>
      <t>(DF3A)</t>
    </r>
    <r>
      <rPr>
        <sz val="10"/>
        <rFont val="Arial"/>
        <family val="2"/>
      </rPr>
      <t>(PDFA)</t>
    </r>
  </si>
  <si>
    <r>
      <t>F1</t>
    </r>
    <r>
      <rPr>
        <sz val="10"/>
        <color indexed="12"/>
        <rFont val="Arial"/>
        <family val="2"/>
      </rPr>
      <t>(F2)</t>
    </r>
    <r>
      <rPr>
        <sz val="10"/>
        <color indexed="14"/>
        <rFont val="Arial"/>
        <family val="2"/>
      </rPr>
      <t>(F3)</t>
    </r>
    <r>
      <rPr>
        <sz val="10"/>
        <rFont val="Arial"/>
        <family val="2"/>
      </rPr>
      <t xml:space="preserve">-Trip Relé Diferencial 87 Fase A </t>
    </r>
  </si>
  <si>
    <r>
      <t>ZZZ:0XEY:87:RDF1</t>
    </r>
    <r>
      <rPr>
        <sz val="10"/>
        <color indexed="12"/>
        <rFont val="Arial"/>
        <family val="2"/>
      </rPr>
      <t>(RDF2)</t>
    </r>
    <r>
      <rPr>
        <sz val="10"/>
        <color indexed="14"/>
        <rFont val="Arial"/>
        <family val="2"/>
      </rPr>
      <t>(RDF3)(PDIF)</t>
    </r>
    <r>
      <rPr>
        <sz val="10"/>
        <rFont val="Arial"/>
        <family val="2"/>
      </rPr>
      <t>, ZZZ:0XEY:00:ONS3</t>
    </r>
  </si>
  <si>
    <r>
      <t>ZZZ:0XEY:87:</t>
    </r>
    <r>
      <rPr>
        <sz val="10"/>
        <color indexed="16"/>
        <rFont val="Arial"/>
        <family val="2"/>
      </rPr>
      <t>DF1B</t>
    </r>
    <r>
      <rPr>
        <sz val="10"/>
        <color indexed="12"/>
        <rFont val="Arial"/>
        <family val="2"/>
      </rPr>
      <t>(DF2B)</t>
    </r>
    <r>
      <rPr>
        <sz val="10"/>
        <color indexed="14"/>
        <rFont val="Arial"/>
        <family val="2"/>
      </rPr>
      <t>(DF3B)</t>
    </r>
    <r>
      <rPr>
        <sz val="10"/>
        <rFont val="Arial"/>
        <family val="2"/>
      </rPr>
      <t>(PDFB)</t>
    </r>
  </si>
  <si>
    <r>
      <t>F1</t>
    </r>
    <r>
      <rPr>
        <sz val="10"/>
        <color indexed="12"/>
        <rFont val="Arial"/>
        <family val="2"/>
      </rPr>
      <t>(F2)</t>
    </r>
    <r>
      <rPr>
        <sz val="10"/>
        <color indexed="14"/>
        <rFont val="Arial"/>
        <family val="2"/>
      </rPr>
      <t>(F3)</t>
    </r>
    <r>
      <rPr>
        <sz val="10"/>
        <rFont val="Arial"/>
        <family val="2"/>
      </rPr>
      <t>-Trip Relé Diferencial 87 Fase B</t>
    </r>
  </si>
  <si>
    <r>
      <t>ZZZ:0XEY:87:</t>
    </r>
    <r>
      <rPr>
        <sz val="10"/>
        <color indexed="60"/>
        <rFont val="Arial"/>
        <family val="2"/>
      </rPr>
      <t>DF1C</t>
    </r>
    <r>
      <rPr>
        <sz val="10"/>
        <color indexed="12"/>
        <rFont val="Arial"/>
        <family val="2"/>
      </rPr>
      <t>(DF2C)</t>
    </r>
    <r>
      <rPr>
        <sz val="10"/>
        <color indexed="14"/>
        <rFont val="Arial"/>
        <family val="2"/>
      </rPr>
      <t>(DF3C)</t>
    </r>
    <r>
      <rPr>
        <sz val="10"/>
        <rFont val="Arial"/>
        <family val="2"/>
      </rPr>
      <t>(PDFC)</t>
    </r>
  </si>
  <si>
    <r>
      <t>F1</t>
    </r>
    <r>
      <rPr>
        <sz val="10"/>
        <color indexed="12"/>
        <rFont val="Arial"/>
        <family val="2"/>
      </rPr>
      <t>(F2)</t>
    </r>
    <r>
      <rPr>
        <sz val="10"/>
        <color indexed="14"/>
        <rFont val="Arial"/>
        <family val="2"/>
      </rPr>
      <t>(F3)</t>
    </r>
    <r>
      <rPr>
        <sz val="10"/>
        <rFont val="Arial"/>
        <family val="2"/>
      </rPr>
      <t>-Trip Relé Diferencial 87 Fase C</t>
    </r>
  </si>
  <si>
    <r>
      <t>ZZZ:0XEY:87:</t>
    </r>
    <r>
      <rPr>
        <sz val="10"/>
        <color indexed="16"/>
        <rFont val="Arial"/>
        <family val="2"/>
      </rPr>
      <t>RDF1</t>
    </r>
    <r>
      <rPr>
        <sz val="10"/>
        <color indexed="12"/>
        <rFont val="Arial"/>
        <family val="2"/>
      </rPr>
      <t>(RDF2)</t>
    </r>
    <r>
      <rPr>
        <sz val="10"/>
        <color indexed="14"/>
        <rFont val="Arial"/>
        <family val="2"/>
      </rPr>
      <t>(RDF3)</t>
    </r>
    <r>
      <rPr>
        <sz val="10"/>
        <rFont val="Arial"/>
        <family val="2"/>
      </rPr>
      <t>(PDIF)</t>
    </r>
  </si>
  <si>
    <r>
      <t>F1</t>
    </r>
    <r>
      <rPr>
        <sz val="10"/>
        <color indexed="12"/>
        <rFont val="Arial"/>
        <family val="2"/>
      </rPr>
      <t>(F2)</t>
    </r>
    <r>
      <rPr>
        <sz val="10"/>
        <color indexed="14"/>
        <rFont val="Arial"/>
        <family val="2"/>
      </rPr>
      <t>(F3)</t>
    </r>
    <r>
      <rPr>
        <sz val="10"/>
        <rFont val="Arial"/>
        <family val="2"/>
      </rPr>
      <t>-Trip Relé Diferencial 87</t>
    </r>
  </si>
  <si>
    <t>Atende também ao agrupamento dos itens 25 a 29 para anunciador do nível 2 e alarme do nível 3.</t>
  </si>
  <si>
    <r>
      <t>ZZZ:0XEY:50/51:</t>
    </r>
    <r>
      <rPr>
        <sz val="10"/>
        <color indexed="16"/>
        <rFont val="Arial"/>
        <family val="2"/>
      </rPr>
      <t>SC1A</t>
    </r>
    <r>
      <rPr>
        <sz val="10"/>
        <color indexed="12"/>
        <rFont val="Arial"/>
        <family val="2"/>
      </rPr>
      <t>(SC2A)</t>
    </r>
    <r>
      <rPr>
        <sz val="10"/>
        <color indexed="14"/>
        <rFont val="Arial"/>
        <family val="2"/>
      </rPr>
      <t>(SC3A)</t>
    </r>
    <r>
      <rPr>
        <sz val="10"/>
        <rFont val="Arial"/>
        <family val="2"/>
      </rPr>
      <t>(SCFA)</t>
    </r>
  </si>
  <si>
    <t>F1(F2)(F3)-Trip SobreCorrente 50/51 Fase A</t>
  </si>
  <si>
    <r>
      <t>ZZZ:0XEY:50/51:</t>
    </r>
    <r>
      <rPr>
        <sz val="10"/>
        <color indexed="16"/>
        <rFont val="Arial"/>
        <family val="2"/>
      </rPr>
      <t>SC1B</t>
    </r>
    <r>
      <rPr>
        <sz val="10"/>
        <color indexed="12"/>
        <rFont val="Arial"/>
        <family val="2"/>
      </rPr>
      <t>(SC2B)</t>
    </r>
    <r>
      <rPr>
        <sz val="10"/>
        <color indexed="14"/>
        <rFont val="Arial"/>
        <family val="2"/>
      </rPr>
      <t>(SC3B)</t>
    </r>
    <r>
      <rPr>
        <sz val="10"/>
        <rFont val="Arial"/>
        <family val="2"/>
      </rPr>
      <t>(SCFB)</t>
    </r>
  </si>
  <si>
    <t>F1(F2)(F3)-Trip SobreCorrente 50/51 Fase B</t>
  </si>
  <si>
    <r>
      <t>ZZZ:0XEY:50/51:</t>
    </r>
    <r>
      <rPr>
        <sz val="10"/>
        <color indexed="16"/>
        <rFont val="Arial"/>
        <family val="2"/>
      </rPr>
      <t>SC1C</t>
    </r>
    <r>
      <rPr>
        <sz val="10"/>
        <color indexed="12"/>
        <rFont val="Arial"/>
        <family val="2"/>
      </rPr>
      <t>(SC2C)</t>
    </r>
    <r>
      <rPr>
        <sz val="10"/>
        <color indexed="14"/>
        <rFont val="Arial"/>
        <family val="2"/>
      </rPr>
      <t>(SC3C)</t>
    </r>
    <r>
      <rPr>
        <sz val="10"/>
        <rFont val="Arial"/>
        <family val="2"/>
      </rPr>
      <t>(SCFC)</t>
    </r>
  </si>
  <si>
    <t>F1(F2)(F3)-Trip SobreCorrente 50/51 Fase C</t>
  </si>
  <si>
    <r>
      <t>ZZZ:0XEY:50/51:</t>
    </r>
    <r>
      <rPr>
        <sz val="10"/>
        <color indexed="16"/>
        <rFont val="Arial"/>
        <family val="2"/>
      </rPr>
      <t>SC1F</t>
    </r>
    <r>
      <rPr>
        <sz val="10"/>
        <color indexed="12"/>
        <rFont val="Arial"/>
        <family val="2"/>
      </rPr>
      <t>(SC2F)</t>
    </r>
    <r>
      <rPr>
        <sz val="10"/>
        <color indexed="14"/>
        <rFont val="Arial"/>
        <family val="2"/>
      </rPr>
      <t>(SC3F)</t>
    </r>
    <r>
      <rPr>
        <sz val="10"/>
        <rFont val="Arial"/>
        <family val="2"/>
      </rPr>
      <t>(SCOF)</t>
    </r>
  </si>
  <si>
    <t xml:space="preserve">F1(F2)(F3)-Trip SobreCorrente 50/51 Fases </t>
  </si>
  <si>
    <t>Atende também ao agrupamento dos itens 33 a 37 para anunciador do nível 2 e alarme do nível 3.</t>
  </si>
  <si>
    <r>
      <t>ZZZ:0XEY:50/51V:PPRF</t>
    </r>
    <r>
      <rPr>
        <sz val="10"/>
        <color indexed="12"/>
        <rFont val="Arial"/>
        <family val="2"/>
      </rPr>
      <t>(PSRF)</t>
    </r>
    <r>
      <rPr>
        <sz val="10"/>
        <color indexed="14"/>
        <rFont val="Arial"/>
        <family val="2"/>
      </rPr>
      <t>(SCRF)</t>
    </r>
  </si>
  <si>
    <r>
      <t>PP</t>
    </r>
    <r>
      <rPr>
        <sz val="10"/>
        <color indexed="12"/>
        <rFont val="Arial"/>
        <family val="2"/>
      </rPr>
      <t>(PS)</t>
    </r>
    <r>
      <rPr>
        <sz val="10"/>
        <rFont val="Arial"/>
        <family val="2"/>
      </rPr>
      <t>-Trip SobreCorrente 50/51V Fases</t>
    </r>
  </si>
  <si>
    <t>AGRUPAMENTO DOS ÍTENS 35 A 39</t>
  </si>
  <si>
    <r>
      <t>ZZZ:0XEY:50/51:SC1N</t>
    </r>
    <r>
      <rPr>
        <sz val="10"/>
        <color indexed="12"/>
        <rFont val="Arial"/>
        <family val="2"/>
      </rPr>
      <t>(SC2N)(SC3N)</t>
    </r>
    <r>
      <rPr>
        <sz val="10"/>
        <color indexed="14"/>
        <rFont val="Arial"/>
        <family val="2"/>
      </rPr>
      <t>(SCON)</t>
    </r>
  </si>
  <si>
    <r>
      <t>F1</t>
    </r>
    <r>
      <rPr>
        <sz val="10"/>
        <color indexed="12"/>
        <rFont val="Arial"/>
        <family val="2"/>
      </rPr>
      <t>(F2)</t>
    </r>
    <r>
      <rPr>
        <sz val="10"/>
        <color indexed="14"/>
        <rFont val="Arial"/>
        <family val="2"/>
      </rPr>
      <t>(F3)-</t>
    </r>
    <r>
      <rPr>
        <sz val="10"/>
        <rFont val="Arial"/>
        <family val="2"/>
      </rPr>
      <t>Trip SobreCorrente 50/51 Neutro</t>
    </r>
  </si>
  <si>
    <t>ZZZ:0XEY:50/51G:SC1G(SC2G)(SC3G)(SOCG)</t>
  </si>
  <si>
    <r>
      <t>F1</t>
    </r>
    <r>
      <rPr>
        <sz val="10"/>
        <color indexed="12"/>
        <rFont val="Arial"/>
        <family val="2"/>
      </rPr>
      <t>(F2)</t>
    </r>
    <r>
      <rPr>
        <sz val="10"/>
        <color indexed="14"/>
        <rFont val="Arial"/>
        <family val="2"/>
      </rPr>
      <t>(F3)-</t>
    </r>
    <r>
      <rPr>
        <sz val="10"/>
        <rFont val="Arial"/>
        <family val="2"/>
      </rPr>
      <t>Trip SobreCorrente 50/51G</t>
    </r>
  </si>
  <si>
    <t>ZZZ:0XEY:51:SGS1(SGS2)(SGS3)(SCGS)</t>
  </si>
  <si>
    <r>
      <t>F1</t>
    </r>
    <r>
      <rPr>
        <sz val="10"/>
        <color indexed="12"/>
        <rFont val="Arial"/>
        <family val="2"/>
      </rPr>
      <t>(F2)</t>
    </r>
    <r>
      <rPr>
        <sz val="10"/>
        <color indexed="14"/>
        <rFont val="Arial"/>
        <family val="2"/>
      </rPr>
      <t>(F3)-</t>
    </r>
    <r>
      <rPr>
        <sz val="10"/>
        <rFont val="Arial"/>
        <family val="2"/>
      </rPr>
      <t>Trip SobreCorrente 51GS</t>
    </r>
  </si>
  <si>
    <t>ZZZ:0XEY:50:SC1L(SC2L)(SC3L)(SCLT)</t>
  </si>
  <si>
    <r>
      <t>F1</t>
    </r>
    <r>
      <rPr>
        <sz val="10"/>
        <color indexed="12"/>
        <rFont val="Arial"/>
        <family val="2"/>
      </rPr>
      <t>(F2)</t>
    </r>
    <r>
      <rPr>
        <sz val="10"/>
        <color indexed="14"/>
        <rFont val="Arial"/>
        <family val="2"/>
      </rPr>
      <t>(F3)-</t>
    </r>
    <r>
      <rPr>
        <sz val="10"/>
        <rFont val="Arial"/>
        <family val="2"/>
      </rPr>
      <t xml:space="preserve">Trip SobreCorrente 50 OLT </t>
    </r>
  </si>
  <si>
    <t>ZZZ:0XEY:64:TRCA</t>
  </si>
  <si>
    <t xml:space="preserve">Trip Relé de Carcaça </t>
  </si>
  <si>
    <t>ZZZ:0YYY:**:PDTG</t>
  </si>
  <si>
    <t>Usado apenas em projetos antigos. 
** Usar o nema da proteção ou F1, F2 e F3 para os casos de relés multifuncionais.</t>
  </si>
  <si>
    <t>ZZZ:0XEY:26:ATOA</t>
  </si>
  <si>
    <t>ZZZ:0XEY:26/49:TOEP</t>
  </si>
  <si>
    <t>ZZZ:0XEY:26:ATOF</t>
  </si>
  <si>
    <t>ZZZ:0XEY:26:ATOB</t>
  </si>
  <si>
    <t>ZZZ:0XEY:26:ATOC</t>
  </si>
  <si>
    <t>Atende também ao agrupamento dos itens 52 a 54 para anunciador do nível 2 e alarme do nível 3.</t>
  </si>
  <si>
    <t>ZZZ:0XEY:49 :ATEA</t>
  </si>
  <si>
    <t xml:space="preserve">Temperatura Enrol 1.Grau Fase A </t>
  </si>
  <si>
    <t>ZZZ:0XEY:49:ATEF</t>
  </si>
  <si>
    <t>ZZZ:0XEY:49:ATEB</t>
  </si>
  <si>
    <t xml:space="preserve">Temperatura Enrol 1.Grau Fase B </t>
  </si>
  <si>
    <t>ZZZ:0XEY:49:ATEC</t>
  </si>
  <si>
    <t xml:space="preserve">Temperatura Enrol 1.Grau Fase C </t>
  </si>
  <si>
    <t xml:space="preserve">Temperatura Enrol 1.Grau </t>
  </si>
  <si>
    <t>Atende também ao agrupamento dos itens 56 a 58 para anunciador do nível 2 e alarme do nível 3.</t>
  </si>
  <si>
    <t>ZZZ:0XEY:26:SOFA</t>
  </si>
  <si>
    <t>ZZZ:0XEY:26:TOTS</t>
  </si>
  <si>
    <t>ZZZ:0XEY:26:SOFB</t>
  </si>
  <si>
    <t>ZZZ:0XEY:26:SOFC</t>
  </si>
  <si>
    <t>Atende também ao agrupamento dos itens 64 a 66 para anunciador do nível 2 e alarme do nível 3.</t>
  </si>
  <si>
    <t xml:space="preserve">ZZZ:0XEY:49:SEFA </t>
  </si>
  <si>
    <t xml:space="preserve">Temperatura Enrol 2.Grau Fase A </t>
  </si>
  <si>
    <t xml:space="preserve">ZZZ:0XEY:49:SEFB </t>
  </si>
  <si>
    <t xml:space="preserve">Temperatura Enrol 2.Grau Fase B </t>
  </si>
  <si>
    <t xml:space="preserve">ZZZ:0XEY:49:SEFC </t>
  </si>
  <si>
    <t xml:space="preserve">Temperatura Enrol 2.Grau Fase C </t>
  </si>
  <si>
    <t>Temperatura Enrol 2.Grau</t>
  </si>
  <si>
    <t>Atende também ao agrupamento dos itens 70 a 74 para anunciador do nível 2 e alarme do nível 3.</t>
  </si>
  <si>
    <t>Agrupamento itens 64 a 76. Usar em Nível 2 apenas quando não for possível desmembrar.</t>
  </si>
  <si>
    <t>ZZZ:0XEY:63:ARGA</t>
  </si>
  <si>
    <t>ZZZ:0XEY:63:ARGB</t>
  </si>
  <si>
    <t>ZZZ:0XEY:63:ARGC</t>
  </si>
  <si>
    <t>Atende também ao agrupamento dos itens 82 a 86 para anunciador do nível 2 e alarme do nível 3.</t>
  </si>
  <si>
    <t>ZZZ:0XEY:63VS:VSPA</t>
  </si>
  <si>
    <t>ZZZ:0XEY:63VS:VSPG</t>
  </si>
  <si>
    <t>ZZZ:0XEY:63VS:VSPB</t>
  </si>
  <si>
    <t>ZZZ:0XEY:63VS:VSPC</t>
  </si>
  <si>
    <t>Atende também ao agrupamento dos itens 89 a 91 para anunciador do nível 2 e alarme do nível 3.</t>
  </si>
  <si>
    <t>ZZZ:0XEY:63VS:VSFA</t>
  </si>
  <si>
    <r>
      <t>ZZZ:0XEY:63VS:VS1G</t>
    </r>
    <r>
      <rPr>
        <sz val="10"/>
        <color indexed="12"/>
        <rFont val="Arial"/>
        <family val="2"/>
      </rPr>
      <t>(VS2G)</t>
    </r>
    <r>
      <rPr>
        <sz val="10"/>
        <color indexed="14"/>
        <rFont val="Arial"/>
        <family val="2"/>
      </rPr>
      <t>(VS3G)(VSEG)</t>
    </r>
  </si>
  <si>
    <t>ZZZ:0XEY:63VS:VSFB</t>
  </si>
  <si>
    <t>ZZZ:0XEY:63VS:VSFC</t>
  </si>
  <si>
    <t>Atende também ao agrupamento dos itens 94 a 98 para anunciador do nível 2 e alarme do nível 3.</t>
  </si>
  <si>
    <t>ZZZ:0XEY:00:RGVS</t>
  </si>
  <si>
    <t>ZZZ:0XEY:00:NBOL</t>
  </si>
  <si>
    <t>ZZZ:0XEY:00:RMCO</t>
  </si>
  <si>
    <t>Anormalidade Reator</t>
  </si>
  <si>
    <t>Agrupamento itens 110 a 189</t>
  </si>
  <si>
    <t>ZZZ:0XEY:43I:CT1E(CT2E)(CT3E)(CTOE)</t>
  </si>
  <si>
    <t>ZZZ:0XEY:**:FIRE</t>
  </si>
  <si>
    <t>ZZZ:0XEY:**:FCRE</t>
  </si>
  <si>
    <t>ZZZ:0XEY:**:FSRE</t>
  </si>
  <si>
    <t>F1(F2)(F3)-Falha Sincronismo Relé</t>
  </si>
  <si>
    <t>ZZZ:0XEY:**:FGOP(FGOS)(FGOE)</t>
  </si>
  <si>
    <r>
      <t>PP</t>
    </r>
    <r>
      <rPr>
        <sz val="10"/>
        <color indexed="12"/>
        <rFont val="Arial"/>
        <family val="2"/>
      </rPr>
      <t>(PS)-</t>
    </r>
    <r>
      <rPr>
        <sz val="10"/>
        <rFont val="Arial"/>
        <family val="2"/>
      </rPr>
      <t>Falha de Goose</t>
    </r>
  </si>
  <si>
    <t>ZZZ:0XEY:**:FPGP(FSGP)(FGPS)</t>
  </si>
  <si>
    <r>
      <t>PP</t>
    </r>
    <r>
      <rPr>
        <sz val="10"/>
        <color indexed="12"/>
        <rFont val="Arial"/>
        <family val="2"/>
      </rPr>
      <t>(PS)-</t>
    </r>
    <r>
      <rPr>
        <sz val="10"/>
        <rFont val="Arial"/>
        <family val="2"/>
      </rPr>
      <t>Falha de Sincronismo com GPS</t>
    </r>
  </si>
  <si>
    <t>ZZZ:0XEY:**:FC1n(FC2n)(FC3n)(FCOn)</t>
  </si>
  <si>
    <r>
      <t>F1(F2)(F3)</t>
    </r>
    <r>
      <rPr>
        <sz val="10"/>
        <color indexed="12"/>
        <rFont val="Arial"/>
        <family val="2"/>
      </rPr>
      <t>-</t>
    </r>
    <r>
      <rPr>
        <sz val="10"/>
        <rFont val="Arial"/>
        <family val="2"/>
      </rPr>
      <t>Falha Canal Óptico "n"</t>
    </r>
  </si>
  <si>
    <t>ZZZ:0XEY:**:BLRE</t>
  </si>
  <si>
    <t>ZZZ:0XEY:**:CPTS</t>
  </si>
  <si>
    <t>ZZZ:0XEY:**:PFCY</t>
  </si>
  <si>
    <t>ZZZ:0XEY:**:ULOC</t>
  </si>
  <si>
    <t>ZZZ:0XEY:**:ILOC</t>
  </si>
  <si>
    <t>ZZZ:0XEY:**:FIUC</t>
  </si>
  <si>
    <t>ZZZ:0XEY:**:FIID</t>
  </si>
  <si>
    <t>ZZZ:0XEY:**:FCUC</t>
  </si>
  <si>
    <t>ZZZ:0XEY:**:FCID</t>
  </si>
  <si>
    <t>ZZZ:0XEY:UC1:FSPF</t>
  </si>
  <si>
    <t>ZZZ:0XEY:**:FSID</t>
  </si>
  <si>
    <t>ZZZ:0XEY:**:FTUC</t>
  </si>
  <si>
    <t>ZZZ:0XEY:**:FCCI</t>
  </si>
  <si>
    <t>ZZZ:0XEY:**:FTCC</t>
  </si>
  <si>
    <t>ZZZ:0XEY:**:FCTm</t>
  </si>
  <si>
    <t>ZZZ:0XEY:**:FCSm</t>
  </si>
  <si>
    <t>ZZZ:0XEY:**:FCCm</t>
  </si>
  <si>
    <t>ZZZ:0XEY:**:FCRm</t>
  </si>
  <si>
    <t>ZZZ:0XEY:**:MDnm</t>
  </si>
  <si>
    <t>ZZZ:0XEY:**:SINP</t>
  </si>
  <si>
    <t>ZZZ:0XEY:**:FCOD</t>
  </si>
  <si>
    <t>ZZZ:0XEY:00:FSVA</t>
  </si>
  <si>
    <t>ZZZ:0XEY:00:FSVB</t>
  </si>
  <si>
    <t>ZZZ:0XEY:00:FSVC</t>
  </si>
  <si>
    <t>ZZZ:0XEY:00:FSVF</t>
  </si>
  <si>
    <t>Atende também ao agrupamento dos itens 167 a 169 para anunciador do nível 2.</t>
  </si>
  <si>
    <t>ZZZ:0XEY:00:AFDV</t>
  </si>
  <si>
    <t>ZZZ:0XEY:00:AFDA</t>
  </si>
  <si>
    <t>ZZZ:0XEY:00:AFDB</t>
  </si>
  <si>
    <t>ZZZ:0XEY:00:AFDC</t>
  </si>
  <si>
    <t>ZZZ:0XEY:00:FLDA</t>
  </si>
  <si>
    <t>ZZZ:0XEY:00:FCCA</t>
  </si>
  <si>
    <t>ZZZ:0XEY:00:FDAA</t>
  </si>
  <si>
    <t>ZZZ:0XEY:00:FDAB</t>
  </si>
  <si>
    <t>ZZZ:0XEY:00:FDAC</t>
  </si>
  <si>
    <t>ZZZ:0XEY:00:FCAA</t>
  </si>
  <si>
    <t>ZZZ:0XEY:00:FAAA</t>
  </si>
  <si>
    <t>ZZZ:0XEY:00:FAAB</t>
  </si>
  <si>
    <t>ZZZ:0XEY:00:FAAC</t>
  </si>
  <si>
    <t>Agrupamento itens 119 a 195</t>
  </si>
  <si>
    <t>ZZZ:0XEY:**:PRTA</t>
  </si>
  <si>
    <t>ZZZ:0XEY:25:SIAT</t>
  </si>
  <si>
    <t>Sincronismo Ativo</t>
  </si>
  <si>
    <t>ZZZ:0XEY:00:VTPA</t>
  </si>
  <si>
    <t>ZZZ:0XEY:00:VTPB</t>
  </si>
  <si>
    <t>ZZZ:0XEY:00:VTPC</t>
  </si>
  <si>
    <t>ZZZ:0XEY:00:VSEA</t>
  </si>
  <si>
    <t>ZZZ:0XEY:00:VSEB</t>
  </si>
  <si>
    <t>ZZZ:0XEY:00:VSEC</t>
  </si>
  <si>
    <t>ZZZ:0XEY:00:VTAU</t>
  </si>
  <si>
    <t>ZZZ:0XEY:00:VTAA</t>
  </si>
  <si>
    <t>ZZZ:0XEY:00:VTAB</t>
  </si>
  <si>
    <t>ZZZ:0XEY:00:VTAC</t>
  </si>
  <si>
    <t>ZZZ:0XEY:00:VTML</t>
  </si>
  <si>
    <t>ZZZ:0XEY:00:VTLA</t>
  </si>
  <si>
    <t>ZZZ:0XEY:00:VTLB</t>
  </si>
  <si>
    <t>ZZZ:0XEY:00:VTLC</t>
  </si>
  <si>
    <t>ZZZ:0XEY:00:VTMR</t>
  </si>
  <si>
    <t>ZZZ:0XEY:00:VTRA</t>
  </si>
  <si>
    <t>ZZZ:0XEY:00:VTRB</t>
  </si>
  <si>
    <t>ZZZ:0XEY:00:VTRC</t>
  </si>
  <si>
    <t>ZZZ:mmmmnnn:90:FALH</t>
  </si>
  <si>
    <t>Regulação Falhou</t>
  </si>
  <si>
    <t>ZZZ:mmmmnnn:00:PFAL</t>
  </si>
  <si>
    <t>Falha do Sistema de Paralelismo</t>
  </si>
  <si>
    <t>ZZZ:mmmmnnn:00:PINP</t>
  </si>
  <si>
    <t>Programação Incorreta de Paralelismo</t>
  </si>
  <si>
    <t>ZZZ:X89YY:89</t>
  </si>
  <si>
    <t>Seccionadora X89YY</t>
  </si>
  <si>
    <t>ZZZ:X89YY:89:IDEF</t>
  </si>
  <si>
    <t>ZZZ:X89YY:89:IATV</t>
  </si>
  <si>
    <t>ZZZ:X00BY:27E:FTEN</t>
  </si>
  <si>
    <t>Falta Tensão na Entrada</t>
  </si>
  <si>
    <t>ZZZ:X00GY:00:PTGE</t>
  </si>
  <si>
    <t>Partir GGE</t>
  </si>
  <si>
    <t>ZZZ:X00GY:00:PAGE</t>
  </si>
  <si>
    <t>Parar GGE</t>
  </si>
  <si>
    <t>ZZZ:X00GY:00:GGEC</t>
  </si>
  <si>
    <t>Em Carga</t>
  </si>
  <si>
    <t>ZZZ:X00GY:00:GGPR</t>
  </si>
  <si>
    <t>Intertrav. Ativado (Parada)</t>
  </si>
  <si>
    <t>ZZZ:X00GY:71:GGCS</t>
  </si>
  <si>
    <t>Combust. - Nível Super Baixo</t>
  </si>
  <si>
    <t>ZZZ:X00GY:71:GGCA</t>
  </si>
  <si>
    <t>Combustivel - Nível Alto</t>
  </si>
  <si>
    <t>ZZZ:SA:**:SMAM</t>
  </si>
  <si>
    <t>ZZZ:SA:{PNLSA}:SMML</t>
  </si>
  <si>
    <t>Seleção Modo Manual Local</t>
  </si>
  <si>
    <t>ZZZ:SA:**:SMML</t>
  </si>
  <si>
    <t>ZZZ:SA:{PNLSA}:SMMR</t>
  </si>
  <si>
    <t>Seleção Modo Manual Remoto</t>
  </si>
  <si>
    <t>ZZZ:SA:**:SMMR</t>
  </si>
  <si>
    <t>ZZZ:SA:**:SNLR</t>
  </si>
  <si>
    <t>ZZZ:SA:**:AIAD</t>
  </si>
  <si>
    <t>ZZZ:SA:**:AIAL</t>
  </si>
  <si>
    <t>ZZZ:SA:**:PRTA</t>
  </si>
  <si>
    <t>ZZZ:SA:**:FTCC</t>
  </si>
  <si>
    <t>ZZZ:SA:**:FCEA</t>
  </si>
  <si>
    <t>ZZZ:SA:**:FCEB</t>
  </si>
  <si>
    <t>ZZZ:SA:**:FTCT</t>
  </si>
  <si>
    <t>Falta Tensão Controle</t>
  </si>
  <si>
    <t>ZZZ:SA:**:FTCA</t>
  </si>
  <si>
    <t>ZZZ:SA:**:FUIN</t>
  </si>
  <si>
    <t>ZZZ:SA:**:AINV</t>
  </si>
  <si>
    <t>Anormalidade Inversor</t>
  </si>
  <si>
    <t>ZZZ:SA:**:FCUC</t>
  </si>
  <si>
    <t>ZZZ:SA:**:FTUC</t>
  </si>
  <si>
    <t>ZZZ:SA:**:FCOD</t>
  </si>
  <si>
    <t>ZZZ:SA:{PNL}:FACn</t>
  </si>
  <si>
    <t>ZZZ:0XBY:87B:PDFA</t>
  </si>
  <si>
    <t>ZZZ:0XBY:87B:PDFB</t>
  </si>
  <si>
    <t>ZZZ:0XBY:87B:PDFC</t>
  </si>
  <si>
    <t xml:space="preserve">Trip Relé Diferencial </t>
  </si>
  <si>
    <t>Atende também ao agrupamento dos itens 3 a 7 para ONS.</t>
  </si>
  <si>
    <t xml:space="preserve">ZZZ:0XBY:59:SOBT </t>
  </si>
  <si>
    <t xml:space="preserve">Trip SobreTensão </t>
  </si>
  <si>
    <t>SOBRETENSAO</t>
  </si>
  <si>
    <t>8.2.1.5(a)(1)</t>
  </si>
  <si>
    <t>ZZZ:0XBY:59R:SOTR</t>
  </si>
  <si>
    <t xml:space="preserve">Trip SobreTensão Residual </t>
  </si>
  <si>
    <t xml:space="preserve">ZZZ:0XBY:27:SUBT </t>
  </si>
  <si>
    <t xml:space="preserve">Trip SubTensão </t>
  </si>
  <si>
    <t>SUBTENSAO</t>
  </si>
  <si>
    <r>
      <t>ZZZ:0XBY:50:</t>
    </r>
    <r>
      <rPr>
        <sz val="10"/>
        <color indexed="60"/>
        <rFont val="Arial"/>
        <family val="2"/>
      </rPr>
      <t>TE1F</t>
    </r>
    <r>
      <rPr>
        <sz val="10"/>
        <color indexed="12"/>
        <rFont val="Arial"/>
        <family val="2"/>
      </rPr>
      <t>(TE2F)</t>
    </r>
    <r>
      <rPr>
        <sz val="10"/>
        <color indexed="14"/>
        <rFont val="Arial"/>
        <family val="2"/>
      </rPr>
      <t>(TE3F)</t>
    </r>
    <r>
      <rPr>
        <sz val="10"/>
        <rFont val="Arial"/>
        <family val="2"/>
      </rPr>
      <t>(TEDF)</t>
    </r>
  </si>
  <si>
    <t>F8(F2)(F3)-Trip por End Fault</t>
  </si>
  <si>
    <t xml:space="preserve">ZZZ:0XBY:27:ASUB </t>
  </si>
  <si>
    <t>Alarme SubTensão</t>
  </si>
  <si>
    <t>ZZZ:0XBY:86:ATRB</t>
  </si>
  <si>
    <t xml:space="preserve">Atuacão Relé de Bloqueio </t>
  </si>
  <si>
    <t>8.2.1.5(a)(2)</t>
  </si>
  <si>
    <t>ZZZ:0XBY:86:RERB</t>
  </si>
  <si>
    <t>ZZZ:0XYZ:87B:RVBL</t>
  </si>
  <si>
    <t>0XYZ- codificação operacional do Vão.</t>
  </si>
  <si>
    <t>ZZZ:0XYZ:87B:FIRV</t>
  </si>
  <si>
    <t>ZZZ:0XBY:**:FCOD</t>
  </si>
  <si>
    <t xml:space="preserve">** - Nome do dispositivo sem comunicação, Ex. PLC, OSC (oscilógrafo), PCPG, UTR, SAGE... </t>
  </si>
  <si>
    <t>ZZZ:0XB1:F8.1:FGPS</t>
  </si>
  <si>
    <t>Para arranjos disjuntor e meio. Para Auditor.</t>
  </si>
  <si>
    <t>ZZZ:0XB2:F8.2:FGPS</t>
  </si>
  <si>
    <t>ZZZ:0XBY:**:FPGP(FSGP)(FGPS)</t>
  </si>
  <si>
    <t>** - NEMA da Função principal do Relé ou UCn (n=número da Unidade de Controle). Usar F8, F2... Fn para os casos onde existem mais de um relé com esta função.</t>
  </si>
  <si>
    <t>ZZZ:0XBY:**:ULOC</t>
  </si>
  <si>
    <t>ZZZ:0XBY:**:ILOC</t>
  </si>
  <si>
    <t>ZZZ:0XBY:**:FCUC</t>
  </si>
  <si>
    <t>ZZZ:0XBY:UC1:FSPF</t>
  </si>
  <si>
    <t>ZZZ:0XBY:**:FTUC</t>
  </si>
  <si>
    <t>ZZZ:0XBY:**:FTCC</t>
  </si>
  <si>
    <t>ZZZ:0XBY:{PNL}:FCCP</t>
  </si>
  <si>
    <t>Para Painel próprio da 87B. 
Para arranjos disjuntor e meio.</t>
  </si>
  <si>
    <t>ZZZ:0XBY:{PNL}:FCEA</t>
  </si>
  <si>
    <t>ZZZ:0XBY:{PNL}:FCEB</t>
  </si>
  <si>
    <t>ZZZ:0XBY:**:FCTm</t>
  </si>
  <si>
    <t>** Nome do Painel com no máximo 6 dígitos, ou PNLn, onde n=Numeração sequencial do Painel no vão.
m- Numeração sequencial do circuito no painel.</t>
  </si>
  <si>
    <t>ZZZ:0XBY:**:FCSm</t>
  </si>
  <si>
    <t>ZZZ:0XBY:**:FCCm</t>
  </si>
  <si>
    <t>ZZZ:0XBY:**:FCRm</t>
  </si>
  <si>
    <t>ZZZ:0XBY:{PNL}:PRTA</t>
  </si>
  <si>
    <t>ZZZ:0XBY:**:PRTA</t>
  </si>
  <si>
    <t>ZZZ:0XBY:**:CPTS</t>
  </si>
  <si>
    <t>ZZZ:0XBY:00:DTPR</t>
  </si>
  <si>
    <t>Desligamento Mini Disjuntor TP Prot. 3V0</t>
  </si>
  <si>
    <t>ZZZ:0XBY:59R:TETR</t>
  </si>
  <si>
    <t>ZZZ:0XBY:00:ANPR</t>
  </si>
  <si>
    <t>Atende ao agrupamento dos itens 20 a 63</t>
  </si>
  <si>
    <t>ZZZ:0XBY:**:MDnm</t>
  </si>
  <si>
    <t>ZZZ:0XBY:**:FIRE</t>
  </si>
  <si>
    <t>** - NEMA da Função principal do Relé
Usar F8, F2... Fn para os casos onde existem mais de um relé com esta função.
Usar SPS ou AVR em casos de sistema de paralelismo.</t>
  </si>
  <si>
    <t>ZZZ:0XBY:**:FCRE</t>
  </si>
  <si>
    <t>** - NEMA da Função principal do Relé
Usar F8, F2... Fn para os casos onde existem mais de um relé com esta função.</t>
  </si>
  <si>
    <t>ZZZ:0XBY:**:FSRE</t>
  </si>
  <si>
    <t>Falha Sincronismo Relé</t>
  </si>
  <si>
    <t>ZZZ:0XBY:**:FGOE</t>
  </si>
  <si>
    <t>ZZZ:0XBY:**:BLRE</t>
  </si>
  <si>
    <t>** - NEMA da Função principal do Relé
Usar F8, F2 e F3 para os casos onde existem mais de um relé com esta função</t>
  </si>
  <si>
    <t>ZZZ:0XBY:KVB</t>
  </si>
  <si>
    <t>KV da Fase B do 0XBY-ZZZ</t>
  </si>
  <si>
    <t>KV_BN</t>
  </si>
  <si>
    <t>ZZZ:SD:**:FIRT</t>
  </si>
  <si>
    <t>Falha Roteador</t>
  </si>
  <si>
    <t xml:space="preserve">**- RT+Numeração sequencial do Roteador (por exemplo: RT1). </t>
  </si>
  <si>
    <t>ZZZ:SD:**:FISW</t>
  </si>
  <si>
    <t>Falha Switches</t>
  </si>
  <si>
    <t xml:space="preserve">**- SW+Numeração sequencial do Switch ou do agrupamento de Swiches (por exemplo: SW1). </t>
  </si>
  <si>
    <t>ZZZ:SD:**:FUTR</t>
  </si>
  <si>
    <t>Falha UTR</t>
  </si>
  <si>
    <t xml:space="preserve">**- UTR+Numeração sequencial da UTR (por exemplo: UTR1). </t>
  </si>
  <si>
    <t>ZZZ:SD:**:FCSC</t>
  </si>
  <si>
    <t>Falta CC Circuito Superv. "IHM's/GPS"</t>
  </si>
  <si>
    <t>ZZZ:SD:27:FCSD</t>
  </si>
  <si>
    <t>Falta CC Circuito Superv. Sist. Digital</t>
  </si>
  <si>
    <t>Utilizado quando existe apenas uma sinalização para todo o SD.</t>
  </si>
  <si>
    <t>ZZZ:SD:**:FCSE</t>
  </si>
  <si>
    <t>Falta CC Circuito Superv. MODEMS</t>
  </si>
  <si>
    <t>ZZZ:SD:**:FCSF</t>
  </si>
  <si>
    <t>Falta CC Circuito Superv. SWITCH</t>
  </si>
  <si>
    <t>ZZZ:SD:**:FTCC</t>
  </si>
  <si>
    <t>ZZZ:SD:**:FCSm</t>
  </si>
  <si>
    <t>ZZZ:SD:**:FCCm</t>
  </si>
  <si>
    <t>ZZZ:SD:**:FCRm</t>
  </si>
  <si>
    <t>ZZZ:SD:**:MDnm</t>
  </si>
  <si>
    <t>ZZZ:SD:00:ANSD</t>
  </si>
  <si>
    <t>Anormalidade Sistema Digital</t>
  </si>
  <si>
    <t>AGRUPAMENTO DOS ÍTENS 4 A 17</t>
  </si>
  <si>
    <t>ZZZ:IHM:43:N3</t>
  </si>
  <si>
    <t>Seleção IHM Operação em Nível 3</t>
  </si>
  <si>
    <t>ZZZ:IHM-C:43:N2</t>
  </si>
  <si>
    <t>Seleção IHM Central Operação em Nível N2</t>
  </si>
  <si>
    <t>ZZZ:IHM-L:43:N2</t>
  </si>
  <si>
    <t>Seleção IHM Local Operação em Nível N2</t>
  </si>
  <si>
    <t>L- Diferenciador das IHMs locais;
Ex: 69; 230; CR1; SA; etc..</t>
  </si>
  <si>
    <t>ZZZ:IHM-L:43:N1</t>
  </si>
  <si>
    <t>Seleção IHM Local Operação em Nível N1</t>
  </si>
  <si>
    <t>ZZZ:SD:PNLn:PRTA</t>
  </si>
  <si>
    <t>Painel "n" Porta Aberta</t>
  </si>
  <si>
    <t>n- Numeração sequencial do Painel.</t>
  </si>
  <si>
    <t>ZZZ:SD:**:FCOD</t>
  </si>
  <si>
    <t xml:space="preserve">** - Nome do dispositivo sem comunicação, Ex. PLC, GPS, PCPG, UTR, SAGE... </t>
  </si>
  <si>
    <t>ZZZ:SD:**:TMAP</t>
  </si>
  <si>
    <t>Temperatura Alta no Painel</t>
  </si>
  <si>
    <t>ZZZ:SD:**:FCUC</t>
  </si>
  <si>
    <t>ZZZ:SD:{PNL}:FTCA</t>
  </si>
  <si>
    <t>ZZZ:SD:**:FTCA</t>
  </si>
  <si>
    <t>ZZZ:SD:**:FTCT</t>
  </si>
  <si>
    <t>ZZZ:SD:{PNL}:AINV</t>
  </si>
  <si>
    <t>ZZZ:SD:**:AINV</t>
  </si>
  <si>
    <t>ZZZ:SD:**:FACn</t>
  </si>
  <si>
    <t>ZZZ:SD:[F1/F2/UC1]:**:FCOn</t>
  </si>
  <si>
    <t>ZZZ:IHM-C:43:N2N3</t>
  </si>
  <si>
    <t>ZZZ:**:43:N1N2</t>
  </si>
  <si>
    <t>Seleção Nível de Operação N1/N2</t>
  </si>
  <si>
    <t>** IHM-L (quando existirem mais de uma IHM de Nível 1, usar em vez de "L" um diferenciador das IHM, por exemplo: IHM-SA, IHM-69, IHM-230; IHM-CR1; etc.
Comando existente quando houver IHMs de nível 1 localizadas em ambiente diferente da sala de comando. 
Este comando quando selecionado em Nível 1 bloqueia comandos pelo Nível 2, e quando selecionado Nível 2 perde a possibilidade de comandar pela IHM de Nível 1.</t>
  </si>
  <si>
    <t>Deve ser inserido em conjunto com FCOn sempre</t>
  </si>
  <si>
    <t>ZZZ:0XEY:UC1:RMCA</t>
  </si>
  <si>
    <t>ZZZ:0XEY:UC1:RMCB</t>
  </si>
  <si>
    <t>ZZZ:0XEY:UC1:RMCC</t>
  </si>
  <si>
    <t>Ruptura Membrana do Conservador Fase A</t>
  </si>
  <si>
    <t>Ruptura Membrana do Conservador Fase B</t>
  </si>
  <si>
    <t>Ruptura Membrana do Conservador Fase C</t>
  </si>
  <si>
    <t>ZZZ:1YYY:52:AMDJ</t>
  </si>
  <si>
    <t>Apenas para Banco Monofásico.
#MONOFASICO
Os objetos das fases deverão ficar sobrepostos na Tela.</t>
  </si>
  <si>
    <t>ZZZ:0XEY:F1:PDTA</t>
  </si>
  <si>
    <t>ZZZ:0XEY:F1:PDTB</t>
  </si>
  <si>
    <t>ZZZ:0XEY:F1:PDTC</t>
  </si>
  <si>
    <t>Alerta de Manutenção do Disjuntor</t>
  </si>
  <si>
    <t>1P</t>
  </si>
  <si>
    <t>Inclusão dos pontos não marcados como "Vãos Digitais" na planilha</t>
  </si>
  <si>
    <t xml:space="preserve">(Reunião Padrão 2018.11.23) Inclusão dos pontos de Trip 87G para Banco de Reatores Monofásicos ZZZ:0XEY:F1:PDTA/PDTB/PDTC </t>
  </si>
  <si>
    <t xml:space="preserve">(Reunião Padrão 2018.11.23) Inclusão dos pontos de Ruptura Membrana do Conservador por Fase para Banco de Reatores Monofásicos ZZZ:0XEY:F1:PDTA/PDTB/PDTC </t>
  </si>
  <si>
    <t>(Reunião Padrão 2018.11.23) Inclusão dos pontos de Trip 87G para Banco de Transformadores Monofásicos ZZZ:0XTY:F1:PDTA/PDTB/PDTC como "Vão Digital" e marcado para ir para Tela, com observação de sobreposição de objetos na exibição em tela.</t>
  </si>
  <si>
    <t>(Reunião Padrão 2018.11.23) Inclusão do ponto de "Alerta de Manutenção do Disjuntor" ZZZ:1YYY:52:AMDJ na aba "Disjuntores". Foi adicionada a observação de que o ponto não deveria ser distribuído para o N3.</t>
  </si>
  <si>
    <t>Este ponto deverá estar presente apenas no SAGE N2 e não deverá ser distribuído para o N3. (A não ser que a instalação seja asistida apenas pelo Centro de Operação de nível hieráquico superior)</t>
  </si>
  <si>
    <t>#CHESF. {DISP} = TSn (Terminal Server), RBn (Redbox), MMn (Multimedidor) "n" numeração sequencial do dispositivo.</t>
  </si>
  <si>
    <t>#CHESF. #PAINEL</t>
  </si>
  <si>
    <t>#ACESSADA. #PAINEL</t>
  </si>
  <si>
    <t>#ACESSADA.
#ACESSANTE. #PAINEL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</si>
</sst>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font>
      <sz val="10"/>
      <name val="Arial"/>
    </font>
    <font>
      <sz val="10"/>
      <name val="Arial"/>
      <family val="2"/>
    </font>
    <font>
      <sz val="9"/>
      <name val="Arial"/>
      <family val="2"/>
    </font>
    <font>
      <b/>
      <sz val="9"/>
      <name val="Arial"/>
      <family val="2"/>
    </font>
    <font>
      <b/>
      <sz val="14"/>
      <color indexed="16"/>
      <name val="Arial"/>
      <family val="2"/>
    </font>
    <font>
      <b/>
      <sz val="14"/>
      <name val="Arial"/>
      <family val="2"/>
    </font>
    <font>
      <b/>
      <sz val="14"/>
      <color indexed="17"/>
      <name val="Arial"/>
      <family val="2"/>
    </font>
    <font>
      <b/>
      <sz val="14"/>
      <color indexed="10"/>
      <name val="Arial"/>
      <family val="2"/>
    </font>
    <font>
      <sz val="10"/>
      <color indexed="8"/>
      <name val="MS Sans Serif"/>
      <family val="2"/>
    </font>
    <font>
      <b/>
      <sz val="14"/>
      <color indexed="12"/>
      <name val="Arial"/>
      <family val="2"/>
    </font>
    <font>
      <b/>
      <sz val="14"/>
      <color indexed="13"/>
      <name val="Arial"/>
      <family val="2"/>
    </font>
    <font>
      <b/>
      <sz val="14"/>
      <color indexed="50"/>
      <name val="Arial"/>
      <family val="2"/>
    </font>
    <font>
      <sz val="12"/>
      <name val="Arial"/>
      <family val="2"/>
    </font>
    <font>
      <sz val="8"/>
      <name val="Arial"/>
      <family val="2"/>
    </font>
    <font>
      <b/>
      <sz val="12"/>
      <name val="Arial"/>
      <family val="2"/>
    </font>
    <font>
      <sz val="10"/>
      <name val="Arial"/>
      <family val="2"/>
    </font>
    <font>
      <sz val="10"/>
      <color indexed="12"/>
      <name val="Arial"/>
      <family val="2"/>
    </font>
    <font>
      <sz val="10"/>
      <color indexed="14"/>
      <name val="Arial"/>
      <family val="2"/>
    </font>
    <font>
      <sz val="10"/>
      <color indexed="48"/>
      <name val="Arial"/>
      <family val="2"/>
    </font>
    <font>
      <sz val="10"/>
      <color indexed="53"/>
      <name val="Frutiger-Light"/>
    </font>
    <font>
      <sz val="10"/>
      <color indexed="53"/>
      <name val="Arial"/>
      <family val="2"/>
    </font>
    <font>
      <sz val="10"/>
      <color indexed="25"/>
      <name val="Arial"/>
      <family val="2"/>
    </font>
    <font>
      <sz val="10"/>
      <color indexed="60"/>
      <name val="Arial"/>
      <family val="2"/>
    </font>
    <font>
      <sz val="10"/>
      <color indexed="8"/>
      <name val="Arial"/>
      <family val="2"/>
    </font>
    <font>
      <sz val="10"/>
      <color indexed="10"/>
      <name val="Arial"/>
      <family val="2"/>
    </font>
    <font>
      <sz val="10"/>
      <name val="Arial"/>
      <family val="2"/>
    </font>
    <font>
      <b/>
      <sz val="10"/>
      <name val="Arial"/>
      <family val="2"/>
    </font>
    <font>
      <sz val="10"/>
      <name val="Arial"/>
      <family val="2"/>
    </font>
    <font>
      <b/>
      <sz val="16"/>
      <name val="Arial"/>
      <family val="2"/>
    </font>
    <font>
      <sz val="12"/>
      <name val="Arial"/>
      <family val="2"/>
    </font>
    <font>
      <b/>
      <sz val="10"/>
      <color indexed="14"/>
      <name val="Arial"/>
      <family val="2"/>
    </font>
    <font>
      <u/>
      <sz val="10"/>
      <name val="Arial"/>
      <family val="2"/>
    </font>
    <font>
      <sz val="9"/>
      <color theme="1"/>
      <name val="Arial"/>
      <family val="2"/>
    </font>
    <font>
      <sz val="10"/>
      <color theme="1"/>
      <name val="Arial"/>
      <family val="2"/>
    </font>
    <font>
      <sz val="12"/>
      <color rgb="FF000000"/>
      <name val="Bookman Old Style"/>
      <family val="1"/>
    </font>
    <font>
      <b/>
      <sz val="12"/>
      <color rgb="FF000000"/>
      <name val="Bookman Old Style"/>
      <family val="1"/>
    </font>
    <font>
      <b/>
      <sz val="12"/>
      <color theme="1"/>
      <name val="Arial"/>
      <family val="2"/>
    </font>
    <font>
      <b/>
      <sz val="10"/>
      <color theme="0"/>
      <name val="Arial"/>
      <family val="2"/>
    </font>
    <font>
      <sz val="10"/>
      <name val="Georgia"/>
      <family val="1"/>
    </font>
    <font>
      <sz val="10"/>
      <name val="Frutiger-Light"/>
    </font>
    <font>
      <sz val="10"/>
      <color indexed="12"/>
      <name val="Frutiger-Light"/>
    </font>
    <font>
      <sz val="10"/>
      <color indexed="61"/>
      <name val="Arial"/>
      <family val="2"/>
    </font>
    <font>
      <sz val="10"/>
      <color indexed="16"/>
      <name val="Arial"/>
      <family val="2"/>
    </font>
  </fonts>
  <fills count="19">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indexed="51"/>
        <bgColor indexed="64"/>
      </patternFill>
    </fill>
    <fill>
      <patternFill patternType="solid">
        <fgColor indexed="44"/>
        <bgColor indexed="64"/>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99FF66"/>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9BBB59"/>
      </patternFill>
    </fill>
    <fill>
      <patternFill patternType="solid">
        <fgColor rgb="FFFFC000"/>
        <bgColor indexed="64"/>
      </patternFill>
    </fill>
  </fills>
  <borders count="39">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diagonal/>
    </border>
    <border>
      <left/>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top/>
      <bottom style="thin">
        <color auto="1"/>
      </bottom>
      <diagonal/>
    </border>
    <border>
      <left/>
      <right/>
      <top style="thin">
        <color auto="1"/>
      </top>
      <bottom style="thin">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top style="medium">
        <color auto="1"/>
      </top>
      <bottom style="thin">
        <color indexed="64"/>
      </bottom>
      <diagonal/>
    </border>
    <border>
      <left style="thin">
        <color indexed="64"/>
      </left>
      <right/>
      <top style="medium">
        <color auto="1"/>
      </top>
      <bottom style="thin">
        <color auto="1"/>
      </bottom>
      <diagonal/>
    </border>
    <border>
      <left/>
      <right style="thin">
        <color indexed="64"/>
      </right>
      <top style="medium">
        <color auto="1"/>
      </top>
      <bottom style="thin">
        <color auto="1"/>
      </bottom>
      <diagonal/>
    </border>
    <border>
      <left/>
      <right style="thin">
        <color indexed="64"/>
      </right>
      <top style="medium">
        <color auto="1"/>
      </top>
      <bottom/>
      <diagonal/>
    </border>
    <border>
      <left/>
      <right/>
      <top/>
      <bottom style="thin">
        <color auto="1"/>
      </bottom>
      <diagonal/>
    </border>
    <border>
      <left/>
      <right style="thin">
        <color auto="1"/>
      </right>
      <top/>
      <bottom style="thin">
        <color auto="1"/>
      </bottom>
      <diagonal/>
    </border>
    <border>
      <left/>
      <right style="thin">
        <color indexed="64"/>
      </right>
      <top/>
      <bottom/>
      <diagonal/>
    </border>
  </borders>
  <cellStyleXfs count="2">
    <xf numFmtId="0" fontId="0" fillId="0" borderId="0"/>
    <xf numFmtId="0" fontId="8" fillId="0" borderId="0"/>
  </cellStyleXfs>
  <cellXfs count="695">
    <xf numFmtId="0" fontId="0" fillId="0" borderId="0" xfId="0"/>
    <xf numFmtId="0" fontId="2" fillId="0" borderId="0" xfId="0" applyFont="1"/>
    <xf numFmtId="0" fontId="0" fillId="0" borderId="0" xfId="0" applyAlignment="1">
      <alignment horizontal="left"/>
    </xf>
    <xf numFmtId="0" fontId="2" fillId="0" borderId="0" xfId="0" applyFont="1" applyAlignment="1">
      <alignment horizontal="center"/>
    </xf>
    <xf numFmtId="0" fontId="2" fillId="0" borderId="0" xfId="0" applyFont="1" applyAlignment="1">
      <alignment horizontal="left"/>
    </xf>
    <xf numFmtId="0" fontId="2" fillId="0" borderId="0" xfId="0" applyFont="1" applyAlignment="1"/>
    <xf numFmtId="0" fontId="2" fillId="0" borderId="0" xfId="0" applyFont="1" applyFill="1" applyBorder="1"/>
    <xf numFmtId="0" fontId="2" fillId="0" borderId="0" xfId="0" applyFont="1" applyBorder="1"/>
    <xf numFmtId="0" fontId="11"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9" fillId="0" borderId="0" xfId="0" applyFont="1" applyFill="1" applyBorder="1" applyAlignment="1">
      <alignment horizontal="center" vertical="center"/>
    </xf>
    <xf numFmtId="0" fontId="10" fillId="0" borderId="0" xfId="0" applyFont="1" applyFill="1" applyBorder="1" applyAlignment="1">
      <alignment horizontal="center" vertical="center"/>
    </xf>
    <xf numFmtId="0" fontId="12" fillId="0" borderId="0" xfId="0" applyFont="1" applyFill="1" applyBorder="1"/>
    <xf numFmtId="0" fontId="1" fillId="0" borderId="2" xfId="0" applyFont="1" applyFill="1" applyBorder="1" applyAlignment="1">
      <alignment horizontal="center"/>
    </xf>
    <xf numFmtId="0" fontId="12" fillId="0" borderId="0" xfId="0" applyFont="1" applyFill="1" applyBorder="1" applyAlignment="1">
      <alignment vertical="center"/>
    </xf>
    <xf numFmtId="0" fontId="1" fillId="0" borderId="2" xfId="0" applyFont="1" applyFill="1" applyBorder="1"/>
    <xf numFmtId="0" fontId="12" fillId="0" borderId="0" xfId="0" applyFont="1" applyFill="1" applyBorder="1" applyAlignment="1">
      <alignment horizontal="center"/>
    </xf>
    <xf numFmtId="0" fontId="1" fillId="0" borderId="0" xfId="0" applyFont="1" applyFill="1" applyBorder="1" applyAlignment="1"/>
    <xf numFmtId="0" fontId="12" fillId="0" borderId="0" xfId="0" applyFont="1" applyFill="1"/>
    <xf numFmtId="0" fontId="1" fillId="0" borderId="2" xfId="0" applyFont="1" applyFill="1" applyBorder="1" applyAlignment="1">
      <alignment horizontal="left"/>
    </xf>
    <xf numFmtId="0" fontId="0" fillId="0" borderId="0" xfId="0" applyFill="1"/>
    <xf numFmtId="0" fontId="14" fillId="2" borderId="3" xfId="0" applyFont="1" applyFill="1" applyBorder="1" applyAlignment="1">
      <alignment horizontal="center"/>
    </xf>
    <xf numFmtId="0" fontId="14" fillId="3" borderId="4" xfId="0" applyFont="1" applyFill="1" applyBorder="1" applyAlignment="1">
      <alignment horizontal="left"/>
    </xf>
    <xf numFmtId="0" fontId="14" fillId="3" borderId="4" xfId="0" applyFont="1" applyFill="1" applyBorder="1" applyAlignment="1">
      <alignment horizontal="center"/>
    </xf>
    <xf numFmtId="0" fontId="14" fillId="4" borderId="5" xfId="0" applyFont="1" applyFill="1" applyBorder="1" applyAlignment="1">
      <alignment vertical="center"/>
    </xf>
    <xf numFmtId="0" fontId="14" fillId="4" borderId="4" xfId="0" applyFont="1" applyFill="1" applyBorder="1" applyAlignment="1">
      <alignment vertical="center"/>
    </xf>
    <xf numFmtId="0" fontId="14" fillId="4" borderId="4" xfId="0" applyFont="1" applyFill="1" applyBorder="1" applyAlignment="1"/>
    <xf numFmtId="0" fontId="14" fillId="4" borderId="6" xfId="0" applyFont="1" applyFill="1" applyBorder="1" applyAlignment="1"/>
    <xf numFmtId="0" fontId="14" fillId="5" borderId="7" xfId="0" applyFont="1" applyFill="1" applyBorder="1" applyAlignment="1">
      <alignment horizontal="left"/>
    </xf>
    <xf numFmtId="0" fontId="14" fillId="2" borderId="8" xfId="0" applyFont="1" applyFill="1" applyBorder="1" applyAlignment="1">
      <alignment horizontal="center"/>
    </xf>
    <xf numFmtId="0" fontId="14" fillId="4" borderId="5" xfId="0" applyFont="1" applyFill="1" applyBorder="1" applyAlignment="1">
      <alignment horizontal="left" vertical="center"/>
    </xf>
    <xf numFmtId="0" fontId="14" fillId="4" borderId="6" xfId="0" applyFont="1" applyFill="1" applyBorder="1" applyAlignment="1">
      <alignment vertical="center" wrapText="1"/>
    </xf>
    <xf numFmtId="0" fontId="14" fillId="4" borderId="7" xfId="0" applyFont="1" applyFill="1" applyBorder="1" applyAlignment="1">
      <alignment horizontal="center" vertical="center" textRotation="90" wrapText="1"/>
    </xf>
    <xf numFmtId="49" fontId="1" fillId="0" borderId="1" xfId="0" applyNumberFormat="1" applyFont="1" applyFill="1" applyBorder="1" applyAlignment="1">
      <alignment vertical="center"/>
    </xf>
    <xf numFmtId="49" fontId="1" fillId="0" borderId="1" xfId="0" applyNumberFormat="1" applyFont="1" applyFill="1" applyBorder="1" applyAlignment="1">
      <alignment horizontal="center" vertical="center"/>
    </xf>
    <xf numFmtId="0" fontId="1" fillId="0" borderId="1" xfId="0" applyFont="1" applyFill="1" applyBorder="1" applyAlignment="1">
      <alignment horizontal="left"/>
    </xf>
    <xf numFmtId="0" fontId="1" fillId="0" borderId="1" xfId="0" applyFont="1" applyFill="1" applyBorder="1" applyAlignment="1"/>
    <xf numFmtId="0" fontId="1" fillId="0" borderId="2" xfId="0" applyFont="1" applyFill="1" applyBorder="1" applyAlignment="1">
      <alignment horizontal="right"/>
    </xf>
    <xf numFmtId="49" fontId="1" fillId="0" borderId="2" xfId="0" applyNumberFormat="1" applyFont="1" applyFill="1" applyBorder="1" applyAlignment="1">
      <alignment vertical="center"/>
    </xf>
    <xf numFmtId="49" fontId="1" fillId="0" borderId="1" xfId="0" applyNumberFormat="1" applyFont="1" applyFill="1" applyBorder="1" applyAlignment="1">
      <alignment horizontal="left" vertical="center"/>
    </xf>
    <xf numFmtId="0" fontId="1" fillId="0" borderId="2" xfId="0" applyFont="1" applyFill="1" applyBorder="1" applyAlignment="1">
      <alignment horizontal="center" vertical="center"/>
    </xf>
    <xf numFmtId="49" fontId="1" fillId="0" borderId="2" xfId="0" applyNumberFormat="1" applyFont="1" applyFill="1" applyBorder="1" applyAlignment="1">
      <alignment horizontal="center" vertical="center"/>
    </xf>
    <xf numFmtId="49" fontId="1" fillId="0" borderId="2" xfId="0" quotePrefix="1" applyNumberFormat="1" applyFont="1" applyFill="1" applyBorder="1" applyAlignment="1">
      <alignment horizontal="center" vertical="center"/>
    </xf>
    <xf numFmtId="0" fontId="1" fillId="0" borderId="2" xfId="0" applyFont="1" applyFill="1" applyBorder="1" applyAlignment="1"/>
    <xf numFmtId="0" fontId="1" fillId="0" borderId="10" xfId="0" applyFont="1" applyFill="1" applyBorder="1" applyAlignment="1">
      <alignment horizontal="center"/>
    </xf>
    <xf numFmtId="0" fontId="1" fillId="0" borderId="9" xfId="0" applyFont="1" applyFill="1" applyBorder="1" applyAlignment="1"/>
    <xf numFmtId="49" fontId="1" fillId="0" borderId="2" xfId="0" applyNumberFormat="1" applyFont="1" applyFill="1" applyBorder="1" applyAlignment="1">
      <alignment horizontal="left" vertical="center"/>
    </xf>
    <xf numFmtId="0" fontId="1" fillId="0" borderId="10" xfId="0" applyFont="1" applyFill="1" applyBorder="1" applyAlignment="1">
      <alignment horizontal="left"/>
    </xf>
    <xf numFmtId="49" fontId="1" fillId="0" borderId="11" xfId="0" applyNumberFormat="1" applyFont="1" applyFill="1" applyBorder="1" applyAlignment="1">
      <alignment horizontal="center" vertical="center"/>
    </xf>
    <xf numFmtId="0" fontId="19" fillId="0" borderId="2" xfId="0" applyFont="1" applyBorder="1" applyAlignment="1">
      <alignment horizontal="justify" vertical="center" wrapText="1"/>
    </xf>
    <xf numFmtId="0" fontId="20" fillId="0" borderId="2" xfId="0" applyFont="1" applyBorder="1" applyAlignment="1">
      <alignment horizontal="justify" vertical="center" wrapText="1"/>
    </xf>
    <xf numFmtId="0" fontId="21" fillId="0" borderId="2" xfId="0" applyFont="1" applyBorder="1" applyAlignment="1">
      <alignment horizontal="justify" vertical="center" wrapText="1"/>
    </xf>
    <xf numFmtId="0" fontId="22" fillId="0" borderId="2" xfId="0" applyFont="1" applyBorder="1" applyAlignment="1">
      <alignment horizontal="justify" vertical="center" wrapText="1"/>
    </xf>
    <xf numFmtId="0" fontId="1" fillId="0" borderId="9" xfId="0" applyFont="1" applyFill="1" applyBorder="1" applyAlignment="1">
      <alignment horizontal="left"/>
    </xf>
    <xf numFmtId="0" fontId="0" fillId="0" borderId="0" xfId="0" applyBorder="1"/>
    <xf numFmtId="0" fontId="1" fillId="0" borderId="0" xfId="0" applyFont="1" applyFill="1" applyBorder="1" applyAlignment="1">
      <alignment horizontal="center"/>
    </xf>
    <xf numFmtId="0" fontId="20" fillId="0" borderId="0" xfId="0" applyFont="1" applyBorder="1" applyAlignment="1">
      <alignment horizontal="justify" vertical="center" wrapText="1"/>
    </xf>
    <xf numFmtId="0" fontId="0" fillId="0" borderId="2" xfId="0" applyBorder="1"/>
    <xf numFmtId="0" fontId="14" fillId="2" borderId="13" xfId="0" applyFont="1" applyFill="1" applyBorder="1" applyAlignment="1">
      <alignment horizontal="center" vertical="center" textRotation="90"/>
    </xf>
    <xf numFmtId="0" fontId="0" fillId="0" borderId="2" xfId="0" applyFill="1" applyBorder="1"/>
    <xf numFmtId="0" fontId="0" fillId="0" borderId="2" xfId="0" applyBorder="1" applyAlignment="1">
      <alignment horizontal="center"/>
    </xf>
    <xf numFmtId="0" fontId="0" fillId="0" borderId="2" xfId="0" applyFill="1" applyBorder="1" applyAlignment="1">
      <alignment horizontal="center"/>
    </xf>
    <xf numFmtId="0" fontId="0" fillId="7" borderId="2" xfId="0" applyFill="1" applyBorder="1" applyAlignment="1">
      <alignment horizontal="left" indent="1"/>
    </xf>
    <xf numFmtId="0" fontId="0" fillId="7" borderId="2" xfId="0" applyFill="1" applyBorder="1"/>
    <xf numFmtId="0" fontId="0" fillId="7" borderId="2" xfId="0" applyFill="1" applyBorder="1" applyAlignment="1">
      <alignment horizontal="center"/>
    </xf>
    <xf numFmtId="0" fontId="0" fillId="7" borderId="0" xfId="0" applyFill="1"/>
    <xf numFmtId="0" fontId="0" fillId="0" borderId="0" xfId="0" applyBorder="1" applyAlignment="1">
      <alignment horizontal="justify" vertical="center"/>
    </xf>
    <xf numFmtId="0" fontId="1" fillId="0" borderId="0" xfId="0" applyFont="1" applyFill="1" applyBorder="1" applyAlignment="1">
      <alignment horizontal="center" vertical="center"/>
    </xf>
    <xf numFmtId="0" fontId="0" fillId="0" borderId="0" xfId="0" applyBorder="1" applyAlignment="1">
      <alignment horizontal="center" vertical="center"/>
    </xf>
    <xf numFmtId="0" fontId="15" fillId="0" borderId="0" xfId="0" applyFont="1"/>
    <xf numFmtId="0" fontId="27" fillId="0" borderId="0" xfId="0" applyFont="1"/>
    <xf numFmtId="0" fontId="25" fillId="0" borderId="0" xfId="0" applyFont="1"/>
    <xf numFmtId="0" fontId="1" fillId="0" borderId="0" xfId="0" applyFont="1"/>
    <xf numFmtId="0" fontId="1" fillId="7" borderId="0" xfId="0" applyFont="1" applyFill="1"/>
    <xf numFmtId="0" fontId="14" fillId="0" borderId="0" xfId="0" applyFont="1" applyAlignment="1">
      <alignment horizontal="left"/>
    </xf>
    <xf numFmtId="0" fontId="14" fillId="0" borderId="0" xfId="0" applyFont="1" applyAlignment="1"/>
    <xf numFmtId="0" fontId="14" fillId="0" borderId="13" xfId="0" applyFont="1" applyBorder="1" applyAlignment="1">
      <alignment horizontal="center" vertical="top" wrapText="1"/>
    </xf>
    <xf numFmtId="0" fontId="14" fillId="0" borderId="14" xfId="0" applyFont="1" applyBorder="1" applyAlignment="1">
      <alignment horizontal="center" vertical="top" wrapText="1"/>
    </xf>
    <xf numFmtId="0" fontId="0" fillId="0" borderId="0" xfId="0" applyAlignment="1">
      <alignment horizontal="center"/>
    </xf>
    <xf numFmtId="0" fontId="0" fillId="0" borderId="2" xfId="0" applyFill="1" applyBorder="1" applyAlignment="1">
      <alignment horizontal="left"/>
    </xf>
    <xf numFmtId="0" fontId="0" fillId="0" borderId="0" xfId="0" applyFill="1" applyBorder="1"/>
    <xf numFmtId="0" fontId="14" fillId="4" borderId="4" xfId="0" applyFont="1" applyFill="1" applyBorder="1" applyAlignment="1">
      <alignment horizontal="center" vertical="center"/>
    </xf>
    <xf numFmtId="0" fontId="0" fillId="0" borderId="0" xfId="0" applyBorder="1" applyAlignment="1">
      <alignment horizontal="center"/>
    </xf>
    <xf numFmtId="0" fontId="14" fillId="4" borderId="15" xfId="0" applyFont="1" applyFill="1" applyBorder="1" applyAlignment="1">
      <alignment vertical="center"/>
    </xf>
    <xf numFmtId="0" fontId="14" fillId="4" borderId="16" xfId="0" applyFont="1" applyFill="1" applyBorder="1" applyAlignment="1">
      <alignment vertical="center"/>
    </xf>
    <xf numFmtId="0" fontId="0" fillId="0" borderId="2" xfId="0" applyBorder="1" applyProtection="1">
      <protection locked="0"/>
    </xf>
    <xf numFmtId="0" fontId="0" fillId="0" borderId="0" xfId="0" applyBorder="1" applyProtection="1">
      <protection locked="0"/>
    </xf>
    <xf numFmtId="0" fontId="0" fillId="0" borderId="20" xfId="0" applyBorder="1"/>
    <xf numFmtId="0" fontId="0" fillId="0" borderId="21" xfId="0" applyBorder="1" applyProtection="1">
      <protection locked="0"/>
    </xf>
    <xf numFmtId="0" fontId="0" fillId="0" borderId="20" xfId="0" applyBorder="1" applyProtection="1">
      <protection locked="0"/>
    </xf>
    <xf numFmtId="0" fontId="0" fillId="0" borderId="22" xfId="0" applyBorder="1" applyProtection="1">
      <protection locked="0"/>
    </xf>
    <xf numFmtId="0" fontId="0" fillId="0" borderId="23" xfId="0" applyBorder="1"/>
    <xf numFmtId="0" fontId="0" fillId="0" borderId="24" xfId="0" applyBorder="1"/>
    <xf numFmtId="0" fontId="0" fillId="4" borderId="20" xfId="0" applyFill="1" applyBorder="1"/>
    <xf numFmtId="0" fontId="0" fillId="4" borderId="2" xfId="0" applyFill="1" applyBorder="1" applyAlignment="1">
      <alignment horizontal="center"/>
    </xf>
    <xf numFmtId="0" fontId="0" fillId="4" borderId="2" xfId="0" applyFill="1" applyBorder="1"/>
    <xf numFmtId="0" fontId="0" fillId="4" borderId="2" xfId="0" applyFill="1" applyBorder="1" applyProtection="1">
      <protection locked="0"/>
    </xf>
    <xf numFmtId="0" fontId="0" fillId="4" borderId="21" xfId="0" applyFill="1" applyBorder="1" applyProtection="1">
      <protection locked="0"/>
    </xf>
    <xf numFmtId="0" fontId="0" fillId="4" borderId="20" xfId="0" applyFill="1" applyBorder="1" applyAlignment="1">
      <alignment horizontal="center"/>
    </xf>
    <xf numFmtId="0" fontId="0" fillId="4" borderId="21" xfId="0" applyFill="1" applyBorder="1"/>
    <xf numFmtId="0" fontId="0" fillId="0" borderId="20" xfId="0" applyBorder="1" applyAlignment="1">
      <alignment horizontal="center"/>
    </xf>
    <xf numFmtId="0" fontId="0" fillId="0" borderId="21" xfId="0" applyBorder="1"/>
    <xf numFmtId="0" fontId="0" fillId="4" borderId="20" xfId="0" applyFill="1" applyBorder="1" applyProtection="1">
      <protection locked="0"/>
    </xf>
    <xf numFmtId="0" fontId="0" fillId="4" borderId="2" xfId="0" applyFill="1" applyBorder="1" applyAlignment="1" applyProtection="1">
      <alignment horizontal="center"/>
      <protection locked="0"/>
    </xf>
    <xf numFmtId="0" fontId="0" fillId="0" borderId="2" xfId="0" applyBorder="1" applyAlignment="1" applyProtection="1">
      <alignment horizontal="center"/>
      <protection locked="0"/>
    </xf>
    <xf numFmtId="0" fontId="0" fillId="4" borderId="22" xfId="0" applyFill="1" applyBorder="1" applyProtection="1">
      <protection locked="0"/>
    </xf>
    <xf numFmtId="0" fontId="0" fillId="4" borderId="23" xfId="0" applyFill="1" applyBorder="1" applyAlignment="1">
      <alignment horizontal="center"/>
    </xf>
    <xf numFmtId="0" fontId="0" fillId="4" borderId="23" xfId="0" applyFill="1" applyBorder="1"/>
    <xf numFmtId="0" fontId="0" fillId="4" borderId="24" xfId="0" applyFill="1" applyBorder="1"/>
    <xf numFmtId="0" fontId="0" fillId="4" borderId="22" xfId="0" applyFill="1" applyBorder="1" applyAlignment="1">
      <alignment horizontal="center"/>
    </xf>
    <xf numFmtId="0" fontId="0" fillId="0" borderId="17" xfId="0" applyBorder="1" applyProtection="1">
      <protection locked="0"/>
    </xf>
    <xf numFmtId="0" fontId="0" fillId="0" borderId="18" xfId="0" applyBorder="1" applyAlignment="1" applyProtection="1">
      <alignment horizontal="center"/>
      <protection locked="0"/>
    </xf>
    <xf numFmtId="0" fontId="0" fillId="0" borderId="19" xfId="0" applyBorder="1" applyProtection="1">
      <protection locked="0"/>
    </xf>
    <xf numFmtId="0" fontId="1" fillId="0" borderId="0" xfId="0" applyFont="1" applyBorder="1" applyAlignment="1">
      <alignment horizontal="left" vertical="top" wrapText="1"/>
    </xf>
    <xf numFmtId="0" fontId="1" fillId="0" borderId="0" xfId="0" applyFont="1" applyAlignment="1">
      <alignment vertical="top" wrapText="1"/>
    </xf>
    <xf numFmtId="0" fontId="1" fillId="0" borderId="0" xfId="0" applyFont="1" applyBorder="1" applyAlignment="1">
      <alignment horizontal="left" vertical="top"/>
    </xf>
    <xf numFmtId="0" fontId="1" fillId="0" borderId="0" xfId="0" applyFont="1" applyAlignment="1">
      <alignment vertical="top"/>
    </xf>
    <xf numFmtId="0" fontId="14" fillId="0" borderId="0" xfId="0" applyFont="1" applyFill="1" applyBorder="1" applyProtection="1">
      <protection locked="0"/>
    </xf>
    <xf numFmtId="0" fontId="26" fillId="0" borderId="0" xfId="0" applyFont="1" applyBorder="1" applyAlignment="1">
      <alignment horizontal="left" vertical="top"/>
    </xf>
    <xf numFmtId="0" fontId="0" fillId="0" borderId="0" xfId="0" applyFill="1" applyBorder="1" applyProtection="1">
      <protection locked="0"/>
    </xf>
    <xf numFmtId="0" fontId="0" fillId="0" borderId="22" xfId="0" applyBorder="1"/>
    <xf numFmtId="0" fontId="0" fillId="0" borderId="23" xfId="0" applyBorder="1" applyAlignment="1">
      <alignment horizontal="center"/>
    </xf>
    <xf numFmtId="0" fontId="0" fillId="0" borderId="23" xfId="0" applyBorder="1" applyProtection="1">
      <protection locked="0"/>
    </xf>
    <xf numFmtId="0" fontId="0" fillId="0" borderId="24" xfId="0" applyBorder="1" applyProtection="1">
      <protection locked="0"/>
    </xf>
    <xf numFmtId="0" fontId="0" fillId="0" borderId="22" xfId="0" applyBorder="1" applyAlignment="1">
      <alignment horizontal="center"/>
    </xf>
    <xf numFmtId="0" fontId="0" fillId="7" borderId="2" xfId="0" applyFill="1" applyBorder="1" applyAlignment="1">
      <alignment horizontal="left" vertical="center"/>
    </xf>
    <xf numFmtId="0" fontId="0" fillId="0" borderId="2" xfId="0" applyFill="1" applyBorder="1" applyAlignment="1">
      <alignment horizontal="center" vertical="center"/>
    </xf>
    <xf numFmtId="0" fontId="27" fillId="0" borderId="0" xfId="0" applyFont="1" applyAlignment="1">
      <alignment vertical="center"/>
    </xf>
    <xf numFmtId="0" fontId="27" fillId="0" borderId="0" xfId="0" applyFont="1" applyAlignment="1">
      <alignment vertical="center" wrapText="1"/>
    </xf>
    <xf numFmtId="0" fontId="0" fillId="0" borderId="20" xfId="0" applyFill="1" applyBorder="1"/>
    <xf numFmtId="0" fontId="0" fillId="0" borderId="2" xfId="0" applyFill="1" applyBorder="1" applyProtection="1">
      <protection locked="0"/>
    </xf>
    <xf numFmtId="0" fontId="0" fillId="0" borderId="21" xfId="0" applyFill="1" applyBorder="1" applyProtection="1">
      <protection locked="0"/>
    </xf>
    <xf numFmtId="0" fontId="0" fillId="0" borderId="20" xfId="0" applyFill="1" applyBorder="1" applyAlignment="1">
      <alignment horizontal="center"/>
    </xf>
    <xf numFmtId="0" fontId="0" fillId="0" borderId="21" xfId="0" applyFill="1" applyBorder="1"/>
    <xf numFmtId="0" fontId="0" fillId="7" borderId="0" xfId="0" applyFill="1" applyAlignment="1">
      <alignment horizontal="center"/>
    </xf>
    <xf numFmtId="0" fontId="14" fillId="4" borderId="16" xfId="0" applyFont="1" applyFill="1" applyBorder="1" applyAlignment="1">
      <alignment horizontal="center" vertical="center"/>
    </xf>
    <xf numFmtId="0" fontId="2" fillId="0" borderId="0" xfId="0" applyFont="1" applyAlignment="1">
      <alignment horizontal="center" vertical="center"/>
    </xf>
    <xf numFmtId="0" fontId="0" fillId="7" borderId="0" xfId="0" applyFill="1" applyAlignment="1">
      <alignment horizontal="center" vertical="center"/>
    </xf>
    <xf numFmtId="0" fontId="0" fillId="0" borderId="0" xfId="0" applyAlignment="1">
      <alignment horizontal="center" vertical="center"/>
    </xf>
    <xf numFmtId="0" fontId="0" fillId="7" borderId="2" xfId="0" applyFill="1" applyBorder="1" applyAlignment="1">
      <alignment horizontal="center" vertical="center"/>
    </xf>
    <xf numFmtId="0" fontId="0" fillId="0" borderId="0" xfId="0" applyFill="1" applyBorder="1" applyAlignment="1">
      <alignment horizontal="center" vertical="center"/>
    </xf>
    <xf numFmtId="0" fontId="14" fillId="0" borderId="0" xfId="0" applyFont="1"/>
    <xf numFmtId="0" fontId="0" fillId="7" borderId="0" xfId="0" applyFill="1" applyAlignment="1">
      <alignment vertical="center"/>
    </xf>
    <xf numFmtId="0" fontId="0" fillId="7" borderId="2" xfId="0" applyFill="1" applyBorder="1" applyAlignment="1">
      <alignment vertical="center"/>
    </xf>
    <xf numFmtId="0" fontId="0" fillId="0" borderId="0" xfId="0" applyAlignment="1">
      <alignment vertical="center"/>
    </xf>
    <xf numFmtId="0" fontId="1" fillId="7" borderId="0" xfId="0" applyFont="1" applyFill="1" applyAlignment="1">
      <alignment vertical="center"/>
    </xf>
    <xf numFmtId="0" fontId="2" fillId="0" borderId="0" xfId="0" applyFont="1" applyAlignment="1">
      <alignment vertical="center"/>
    </xf>
    <xf numFmtId="0" fontId="0" fillId="0" borderId="0" xfId="0" applyAlignment="1">
      <alignment horizontal="left" vertical="center"/>
    </xf>
    <xf numFmtId="0" fontId="2" fillId="0" borderId="0" xfId="0" applyFont="1" applyAlignment="1">
      <alignment horizontal="left" vertical="center"/>
    </xf>
    <xf numFmtId="0" fontId="14" fillId="2" borderId="3" xfId="0" applyFont="1" applyFill="1" applyBorder="1" applyAlignment="1">
      <alignment horizontal="center" vertical="center"/>
    </xf>
    <xf numFmtId="0" fontId="14" fillId="3" borderId="16" xfId="0" applyFont="1" applyFill="1" applyBorder="1" applyAlignment="1">
      <alignment horizontal="left" vertical="center"/>
    </xf>
    <xf numFmtId="0" fontId="14" fillId="3" borderId="16" xfId="0" applyFont="1" applyFill="1" applyBorder="1" applyAlignment="1">
      <alignment horizontal="center" vertical="center"/>
    </xf>
    <xf numFmtId="0" fontId="14" fillId="5" borderId="3" xfId="0" applyFont="1" applyFill="1" applyBorder="1" applyAlignment="1">
      <alignment horizontal="left" vertical="center"/>
    </xf>
    <xf numFmtId="0" fontId="2" fillId="0" borderId="0" xfId="0" applyFont="1" applyFill="1" applyBorder="1" applyAlignment="1">
      <alignment vertical="center"/>
    </xf>
    <xf numFmtId="0" fontId="2" fillId="0" borderId="0" xfId="0" applyFont="1" applyBorder="1" applyAlignment="1">
      <alignment vertical="center"/>
    </xf>
    <xf numFmtId="0" fontId="12" fillId="0" borderId="0" xfId="0" applyFont="1" applyFill="1" applyAlignment="1">
      <alignment vertical="center"/>
    </xf>
    <xf numFmtId="0" fontId="14" fillId="3" borderId="4" xfId="0" applyFont="1" applyFill="1" applyBorder="1" applyAlignment="1">
      <alignment horizontal="center" vertical="center"/>
    </xf>
    <xf numFmtId="0" fontId="14" fillId="4" borderId="6" xfId="0" applyFont="1" applyFill="1" applyBorder="1" applyAlignment="1">
      <alignment vertical="center"/>
    </xf>
    <xf numFmtId="0" fontId="14" fillId="5" borderId="7" xfId="0" applyFont="1" applyFill="1" applyBorder="1" applyAlignment="1">
      <alignment horizontal="left" vertical="center"/>
    </xf>
    <xf numFmtId="0" fontId="14" fillId="2" borderId="8" xfId="0" applyFont="1" applyFill="1" applyBorder="1" applyAlignment="1">
      <alignment horizontal="center" vertical="center"/>
    </xf>
    <xf numFmtId="0" fontId="25" fillId="0" borderId="0" xfId="0" applyFont="1" applyAlignment="1">
      <alignment vertical="center"/>
    </xf>
    <xf numFmtId="0" fontId="0" fillId="0" borderId="0" xfId="0" applyBorder="1" applyAlignment="1">
      <alignment vertical="center"/>
    </xf>
    <xf numFmtId="0" fontId="0" fillId="0" borderId="0" xfId="0" applyBorder="1" applyAlignment="1">
      <alignment vertical="center" wrapText="1"/>
    </xf>
    <xf numFmtId="0" fontId="0" fillId="0" borderId="2" xfId="0" applyBorder="1" applyAlignment="1" applyProtection="1">
      <alignment vertical="center"/>
      <protection locked="0"/>
    </xf>
    <xf numFmtId="0" fontId="1" fillId="10" borderId="2" xfId="0" applyFont="1" applyFill="1" applyBorder="1" applyAlignment="1">
      <alignment horizontal="center" vertical="center"/>
    </xf>
    <xf numFmtId="0" fontId="0" fillId="10" borderId="2" xfId="0" applyFill="1" applyBorder="1" applyAlignment="1">
      <alignment vertical="center"/>
    </xf>
    <xf numFmtId="0" fontId="0" fillId="10" borderId="2" xfId="0" applyFill="1" applyBorder="1" applyAlignment="1">
      <alignment horizontal="center" vertical="center"/>
    </xf>
    <xf numFmtId="0" fontId="32" fillId="0" borderId="0" xfId="0" applyFont="1" applyAlignment="1">
      <alignment vertical="center"/>
    </xf>
    <xf numFmtId="0" fontId="33" fillId="0" borderId="0" xfId="0" applyFont="1" applyAlignment="1">
      <alignment vertical="center"/>
    </xf>
    <xf numFmtId="0" fontId="1" fillId="10" borderId="1" xfId="0" applyFont="1" applyFill="1" applyBorder="1" applyAlignment="1">
      <alignment horizontal="center" vertical="center"/>
    </xf>
    <xf numFmtId="0" fontId="1" fillId="10" borderId="9" xfId="0" applyFont="1" applyFill="1" applyBorder="1" applyAlignment="1">
      <alignment horizontal="center" vertical="center"/>
    </xf>
    <xf numFmtId="0" fontId="0" fillId="10" borderId="2" xfId="0" applyFill="1" applyBorder="1" applyAlignment="1">
      <alignment horizontal="center"/>
    </xf>
    <xf numFmtId="0" fontId="1" fillId="10" borderId="2" xfId="0" applyFont="1" applyFill="1" applyBorder="1" applyAlignment="1"/>
    <xf numFmtId="0" fontId="1" fillId="10" borderId="2" xfId="0" applyFont="1" applyFill="1" applyBorder="1" applyAlignment="1">
      <alignment horizontal="center"/>
    </xf>
    <xf numFmtId="0" fontId="1" fillId="10" borderId="2" xfId="0" applyFont="1" applyFill="1" applyBorder="1" applyAlignment="1">
      <alignment horizontal="center" wrapText="1"/>
    </xf>
    <xf numFmtId="0" fontId="0" fillId="10" borderId="2" xfId="0" applyFill="1" applyBorder="1" applyAlignment="1">
      <alignment horizontal="justify" vertical="center"/>
    </xf>
    <xf numFmtId="0" fontId="1" fillId="10" borderId="2" xfId="0" applyFont="1" applyFill="1" applyBorder="1" applyAlignment="1">
      <alignment horizontal="left"/>
    </xf>
    <xf numFmtId="49" fontId="1" fillId="10" borderId="2" xfId="0" applyNumberFormat="1" applyFont="1" applyFill="1" applyBorder="1" applyAlignment="1">
      <alignment horizontal="center" vertical="center"/>
    </xf>
    <xf numFmtId="0" fontId="1" fillId="10" borderId="2" xfId="0" applyFont="1" applyFill="1" applyBorder="1"/>
    <xf numFmtId="0" fontId="12" fillId="10" borderId="0" xfId="0" applyFont="1" applyFill="1"/>
    <xf numFmtId="0" fontId="12" fillId="10" borderId="0" xfId="0" applyFont="1" applyFill="1" applyBorder="1"/>
    <xf numFmtId="0" fontId="1" fillId="10" borderId="9" xfId="0" applyFont="1" applyFill="1" applyBorder="1" applyAlignment="1">
      <alignment horizontal="center"/>
    </xf>
    <xf numFmtId="0" fontId="1" fillId="10" borderId="1" xfId="0" applyFont="1" applyFill="1" applyBorder="1" applyAlignment="1">
      <alignment horizontal="center"/>
    </xf>
    <xf numFmtId="0" fontId="1" fillId="10" borderId="9" xfId="0" applyFont="1" applyFill="1" applyBorder="1" applyAlignment="1"/>
    <xf numFmtId="0" fontId="1" fillId="10" borderId="2" xfId="0" applyFont="1" applyFill="1" applyBorder="1" applyAlignment="1">
      <alignment horizontal="left" vertical="center"/>
    </xf>
    <xf numFmtId="0" fontId="12" fillId="10" borderId="0" xfId="0" applyFont="1" applyFill="1" applyAlignment="1">
      <alignment vertical="center"/>
    </xf>
    <xf numFmtId="49" fontId="1" fillId="10" borderId="2" xfId="0" applyNumberFormat="1" applyFont="1" applyFill="1" applyBorder="1" applyAlignment="1">
      <alignment vertical="center"/>
    </xf>
    <xf numFmtId="49" fontId="1" fillId="10" borderId="2" xfId="0" quotePrefix="1" applyNumberFormat="1" applyFont="1" applyFill="1" applyBorder="1" applyAlignment="1">
      <alignment horizontal="center" vertical="center"/>
    </xf>
    <xf numFmtId="49" fontId="1" fillId="10" borderId="2" xfId="0" applyNumberFormat="1" applyFont="1" applyFill="1" applyBorder="1" applyAlignment="1">
      <alignment horizontal="left" vertical="center"/>
    </xf>
    <xf numFmtId="0" fontId="0" fillId="10" borderId="0" xfId="0" applyFill="1" applyAlignment="1">
      <alignment vertical="center"/>
    </xf>
    <xf numFmtId="0" fontId="1" fillId="10" borderId="10" xfId="0" applyFont="1" applyFill="1" applyBorder="1" applyAlignment="1">
      <alignment horizontal="center"/>
    </xf>
    <xf numFmtId="0" fontId="12" fillId="10" borderId="0" xfId="0" applyFont="1" applyFill="1" applyBorder="1" applyAlignment="1">
      <alignment horizontal="center"/>
    </xf>
    <xf numFmtId="0" fontId="1" fillId="10" borderId="0" xfId="0" applyFont="1" applyFill="1" applyBorder="1" applyAlignment="1"/>
    <xf numFmtId="0" fontId="0" fillId="10" borderId="0" xfId="0" applyFill="1"/>
    <xf numFmtId="0" fontId="1" fillId="10" borderId="10" xfId="0" applyFont="1" applyFill="1" applyBorder="1" applyAlignment="1">
      <alignment horizontal="center" vertical="center"/>
    </xf>
    <xf numFmtId="0" fontId="1" fillId="10" borderId="10" xfId="0" applyFont="1" applyFill="1" applyBorder="1" applyAlignment="1">
      <alignment horizontal="left"/>
    </xf>
    <xf numFmtId="0" fontId="0" fillId="10" borderId="0" xfId="0" applyFill="1" applyBorder="1"/>
    <xf numFmtId="0" fontId="1" fillId="10" borderId="0" xfId="0" applyFont="1" applyFill="1" applyBorder="1" applyAlignment="1">
      <alignment horizontal="center"/>
    </xf>
    <xf numFmtId="0" fontId="1" fillId="0" borderId="2" xfId="0" applyFont="1" applyFill="1" applyBorder="1" applyAlignment="1">
      <alignment vertical="center"/>
    </xf>
    <xf numFmtId="0" fontId="0" fillId="0" borderId="2" xfId="0" applyFill="1" applyBorder="1" applyAlignment="1">
      <alignment vertical="center"/>
    </xf>
    <xf numFmtId="0" fontId="0" fillId="0" borderId="2" xfId="0" applyFill="1" applyBorder="1" applyAlignment="1">
      <alignment horizontal="left" vertical="center" wrapText="1"/>
    </xf>
    <xf numFmtId="0" fontId="0" fillId="0" borderId="2" xfId="0" applyFill="1" applyBorder="1" applyAlignment="1">
      <alignment vertical="center" wrapText="1"/>
    </xf>
    <xf numFmtId="0" fontId="1" fillId="0" borderId="2" xfId="0" applyFont="1" applyFill="1" applyBorder="1" applyAlignment="1">
      <alignment horizontal="center" vertical="center" wrapText="1"/>
    </xf>
    <xf numFmtId="0" fontId="0" fillId="0" borderId="2" xfId="0" applyFill="1" applyBorder="1" applyAlignment="1">
      <alignment horizontal="center" vertical="center" wrapText="1"/>
    </xf>
    <xf numFmtId="0" fontId="1" fillId="0" borderId="2" xfId="0" applyFont="1" applyFill="1" applyBorder="1" applyAlignment="1">
      <alignment horizontal="left" vertical="center" wrapText="1"/>
    </xf>
    <xf numFmtId="0" fontId="0" fillId="0" borderId="2" xfId="0" applyFill="1" applyBorder="1" applyAlignment="1">
      <alignment horizontal="left" vertical="top" wrapText="1"/>
    </xf>
    <xf numFmtId="0" fontId="1" fillId="0" borderId="2" xfId="0" applyFont="1" applyFill="1" applyBorder="1" applyAlignment="1">
      <alignment horizontal="left" vertical="top" wrapText="1"/>
    </xf>
    <xf numFmtId="0" fontId="0" fillId="0" borderId="1" xfId="0" applyFill="1" applyBorder="1" applyAlignment="1">
      <alignment vertical="center"/>
    </xf>
    <xf numFmtId="0" fontId="26" fillId="0" borderId="2" xfId="0" applyFont="1" applyFill="1" applyBorder="1" applyAlignment="1">
      <alignment horizontal="justify" vertical="center" wrapText="1"/>
    </xf>
    <xf numFmtId="0" fontId="26" fillId="0" borderId="2" xfId="0" applyFont="1" applyFill="1" applyBorder="1" applyAlignment="1">
      <alignment horizontal="justify" vertical="center"/>
    </xf>
    <xf numFmtId="0" fontId="26" fillId="0" borderId="2" xfId="0" applyFont="1" applyFill="1" applyBorder="1" applyAlignment="1">
      <alignment horizontal="left" vertical="center"/>
    </xf>
    <xf numFmtId="0" fontId="0" fillId="0" borderId="9" xfId="0" applyFill="1" applyBorder="1" applyAlignment="1">
      <alignment vertical="center"/>
    </xf>
    <xf numFmtId="0" fontId="0" fillId="0" borderId="2" xfId="0" applyFill="1" applyBorder="1" applyAlignment="1">
      <alignment horizontal="left" vertical="center"/>
    </xf>
    <xf numFmtId="0" fontId="0" fillId="0" borderId="9" xfId="0" applyFill="1" applyBorder="1" applyAlignment="1">
      <alignment horizontal="center" vertical="center"/>
    </xf>
    <xf numFmtId="0" fontId="1" fillId="0" borderId="0" xfId="0" applyFont="1" applyFill="1"/>
    <xf numFmtId="0" fontId="1" fillId="0" borderId="2" xfId="0" applyFont="1" applyFill="1" applyBorder="1" applyAlignment="1">
      <alignment horizontal="justify" vertical="center" wrapText="1"/>
    </xf>
    <xf numFmtId="0" fontId="0" fillId="0" borderId="2" xfId="0" applyFill="1" applyBorder="1" applyAlignment="1">
      <alignment horizontal="left" wrapText="1"/>
    </xf>
    <xf numFmtId="0" fontId="0" fillId="0" borderId="2" xfId="0" applyFill="1" applyBorder="1" applyAlignment="1">
      <alignment horizontal="justify" vertical="center"/>
    </xf>
    <xf numFmtId="0" fontId="1" fillId="0" borderId="2" xfId="0" applyFont="1" applyFill="1" applyBorder="1" applyAlignment="1">
      <alignment vertical="center" wrapText="1"/>
    </xf>
    <xf numFmtId="0" fontId="0" fillId="0" borderId="2" xfId="0" applyFill="1" applyBorder="1" applyAlignment="1">
      <alignment wrapText="1"/>
    </xf>
    <xf numFmtId="0" fontId="1" fillId="0" borderId="2" xfId="0" applyFont="1" applyFill="1" applyBorder="1" applyAlignment="1">
      <alignment horizontal="left" wrapText="1"/>
    </xf>
    <xf numFmtId="0" fontId="0" fillId="0" borderId="0" xfId="0" applyFill="1" applyBorder="1" applyAlignment="1">
      <alignment horizontal="center"/>
    </xf>
    <xf numFmtId="0" fontId="20" fillId="0" borderId="0" xfId="0" applyFont="1" applyFill="1" applyBorder="1" applyAlignment="1">
      <alignment horizontal="justify" vertical="center" wrapText="1"/>
    </xf>
    <xf numFmtId="0" fontId="0" fillId="0" borderId="11" xfId="0" applyFill="1" applyBorder="1" applyAlignment="1">
      <alignment horizontal="center" vertical="center"/>
    </xf>
    <xf numFmtId="0" fontId="1" fillId="0" borderId="10" xfId="0" applyFont="1" applyFill="1" applyBorder="1" applyAlignment="1">
      <alignment horizontal="center" vertical="center"/>
    </xf>
    <xf numFmtId="0" fontId="23" fillId="0" borderId="2" xfId="0" applyFont="1" applyFill="1" applyBorder="1" applyAlignment="1">
      <alignment horizontal="justify" vertical="center" wrapText="1"/>
    </xf>
    <xf numFmtId="0" fontId="0" fillId="0" borderId="1" xfId="0" applyFill="1" applyBorder="1" applyAlignment="1">
      <alignment horizontal="center" vertical="center"/>
    </xf>
    <xf numFmtId="0" fontId="14" fillId="0" borderId="0" xfId="0" applyFont="1" applyFill="1"/>
    <xf numFmtId="0" fontId="1" fillId="11" borderId="2" xfId="0" applyFont="1" applyFill="1" applyBorder="1" applyAlignment="1">
      <alignment horizontal="center" vertical="center"/>
    </xf>
    <xf numFmtId="0" fontId="1" fillId="7" borderId="0" xfId="0" applyFont="1" applyFill="1" applyAlignment="1">
      <alignment vertical="center" wrapText="1"/>
    </xf>
    <xf numFmtId="0" fontId="0" fillId="7" borderId="1" xfId="0" applyFill="1" applyBorder="1" applyAlignment="1">
      <alignment horizontal="center" vertical="center"/>
    </xf>
    <xf numFmtId="0" fontId="1" fillId="9" borderId="2" xfId="0" applyFont="1" applyFill="1" applyBorder="1" applyAlignment="1">
      <alignment horizontal="left" vertical="center" wrapText="1"/>
    </xf>
    <xf numFmtId="0" fontId="1" fillId="0" borderId="2" xfId="0" applyFont="1" applyFill="1" applyBorder="1" applyAlignment="1">
      <alignment horizontal="left" vertical="center"/>
    </xf>
    <xf numFmtId="0" fontId="1" fillId="0" borderId="1" xfId="0" applyFont="1" applyFill="1" applyBorder="1" applyAlignment="1">
      <alignment horizontal="left" vertical="center"/>
    </xf>
    <xf numFmtId="0" fontId="0" fillId="0" borderId="2" xfId="0" applyFont="1" applyFill="1" applyBorder="1" applyAlignment="1">
      <alignment vertical="center" wrapText="1"/>
    </xf>
    <xf numFmtId="0" fontId="1" fillId="0" borderId="9" xfId="0" applyFont="1" applyFill="1" applyBorder="1" applyAlignment="1">
      <alignment horizontal="left" vertical="center"/>
    </xf>
    <xf numFmtId="0" fontId="0" fillId="0" borderId="0" xfId="0" applyFill="1" applyAlignment="1">
      <alignment vertical="center"/>
    </xf>
    <xf numFmtId="0" fontId="12" fillId="0" borderId="0" xfId="0" applyFont="1" applyFill="1" applyBorder="1" applyAlignment="1">
      <alignment horizontal="center" vertical="center"/>
    </xf>
    <xf numFmtId="0" fontId="1" fillId="0" borderId="0" xfId="0" applyFont="1" applyFill="1" applyBorder="1" applyAlignment="1">
      <alignment vertical="center"/>
    </xf>
    <xf numFmtId="0" fontId="0" fillId="0" borderId="2" xfId="0" applyFill="1" applyBorder="1" applyAlignment="1">
      <alignment horizontal="justify" vertical="center" wrapText="1"/>
    </xf>
    <xf numFmtId="0" fontId="33" fillId="0" borderId="2" xfId="0" applyFont="1" applyFill="1" applyBorder="1" applyAlignment="1">
      <alignment horizontal="left" vertical="center" wrapText="1"/>
    </xf>
    <xf numFmtId="49" fontId="33" fillId="0" borderId="2" xfId="0" applyNumberFormat="1" applyFont="1" applyFill="1" applyBorder="1" applyAlignment="1">
      <alignment horizontal="left" vertical="center" wrapText="1"/>
    </xf>
    <xf numFmtId="0" fontId="26" fillId="0" borderId="2" xfId="0" applyFont="1" applyFill="1" applyBorder="1" applyAlignment="1">
      <alignment horizontal="left" vertical="center" wrapText="1"/>
    </xf>
    <xf numFmtId="0" fontId="27" fillId="0" borderId="0" xfId="0" applyFont="1" applyFill="1" applyAlignment="1">
      <alignment vertical="center"/>
    </xf>
    <xf numFmtId="0" fontId="0" fillId="0" borderId="2" xfId="0" applyFont="1" applyFill="1" applyBorder="1" applyAlignment="1">
      <alignment horizontal="left" vertical="center" wrapText="1"/>
    </xf>
    <xf numFmtId="0" fontId="1" fillId="0" borderId="2" xfId="0" applyFont="1" applyFill="1" applyBorder="1" applyAlignment="1">
      <alignment horizontal="right" vertical="center"/>
    </xf>
    <xf numFmtId="0" fontId="1" fillId="0" borderId="0" xfId="0" applyFont="1" applyFill="1" applyAlignment="1">
      <alignment vertical="center"/>
    </xf>
    <xf numFmtId="0" fontId="0" fillId="0" borderId="2" xfId="0" applyFont="1" applyFill="1" applyBorder="1" applyAlignment="1">
      <alignment horizontal="justify" vertical="center" wrapText="1"/>
    </xf>
    <xf numFmtId="0" fontId="0" fillId="0" borderId="2" xfId="0" applyFont="1" applyFill="1" applyBorder="1" applyAlignment="1">
      <alignment horizontal="justify" vertical="center"/>
    </xf>
    <xf numFmtId="0" fontId="23" fillId="0" borderId="2" xfId="0" applyFont="1" applyFill="1" applyBorder="1" applyAlignment="1">
      <alignment vertical="center" wrapText="1"/>
    </xf>
    <xf numFmtId="0" fontId="23" fillId="0" borderId="2" xfId="0" applyFont="1" applyFill="1" applyBorder="1" applyAlignment="1">
      <alignment horizontal="left" vertical="center"/>
    </xf>
    <xf numFmtId="0" fontId="23" fillId="0" borderId="2" xfId="0" applyFont="1" applyFill="1" applyBorder="1" applyAlignment="1">
      <alignment horizontal="left" vertical="center" wrapText="1"/>
    </xf>
    <xf numFmtId="0" fontId="1" fillId="0" borderId="1" xfId="0" applyFont="1" applyFill="1" applyBorder="1" applyAlignment="1">
      <alignment horizontal="center" vertical="center" wrapText="1"/>
    </xf>
    <xf numFmtId="0" fontId="1" fillId="0" borderId="10" xfId="0" applyFont="1" applyFill="1" applyBorder="1" applyAlignment="1">
      <alignment horizontal="left" vertical="center" wrapText="1"/>
    </xf>
    <xf numFmtId="0" fontId="0" fillId="0" borderId="2" xfId="0" applyFont="1" applyFill="1" applyBorder="1" applyAlignment="1">
      <alignment horizontal="center" vertical="center"/>
    </xf>
    <xf numFmtId="0" fontId="33" fillId="0" borderId="2" xfId="0" applyFont="1" applyFill="1" applyBorder="1" applyAlignment="1">
      <alignment vertical="center"/>
    </xf>
    <xf numFmtId="0" fontId="0" fillId="0" borderId="0" xfId="0" applyFill="1" applyBorder="1" applyAlignment="1">
      <alignment vertical="center"/>
    </xf>
    <xf numFmtId="0" fontId="0" fillId="0" borderId="2" xfId="0" applyFill="1" applyBorder="1" applyAlignment="1"/>
    <xf numFmtId="0" fontId="0" fillId="0" borderId="1" xfId="0" applyFill="1" applyBorder="1"/>
    <xf numFmtId="0" fontId="1" fillId="0" borderId="2" xfId="0" applyFont="1" applyFill="1" applyBorder="1" applyAlignment="1">
      <alignment horizontal="center" wrapText="1"/>
    </xf>
    <xf numFmtId="0" fontId="0" fillId="0" borderId="9" xfId="0" applyFill="1" applyBorder="1"/>
    <xf numFmtId="0" fontId="0" fillId="0" borderId="1" xfId="0" applyFill="1" applyBorder="1" applyAlignment="1"/>
    <xf numFmtId="0" fontId="30" fillId="0" borderId="2" xfId="0" applyFont="1" applyFill="1" applyBorder="1"/>
    <xf numFmtId="0" fontId="29" fillId="0" borderId="0" xfId="0" applyFont="1" applyFill="1"/>
    <xf numFmtId="0" fontId="0" fillId="0" borderId="2" xfId="0" applyFont="1" applyFill="1" applyBorder="1" applyAlignment="1">
      <alignment horizontal="justify"/>
    </xf>
    <xf numFmtId="0" fontId="18" fillId="0" borderId="2" xfId="0" applyFont="1" applyFill="1" applyBorder="1" applyAlignment="1">
      <alignment vertical="top" wrapText="1"/>
    </xf>
    <xf numFmtId="0" fontId="1" fillId="0" borderId="9" xfId="0" applyFont="1" applyFill="1" applyBorder="1"/>
    <xf numFmtId="0" fontId="1" fillId="0" borderId="26" xfId="0" applyFont="1" applyFill="1" applyBorder="1" applyAlignment="1">
      <alignment horizontal="left"/>
    </xf>
    <xf numFmtId="0" fontId="16" fillId="0" borderId="2" xfId="0" applyFont="1" applyFill="1" applyBorder="1" applyAlignment="1">
      <alignment horizontal="justify" wrapText="1"/>
    </xf>
    <xf numFmtId="0" fontId="16" fillId="0" borderId="2" xfId="0" applyFont="1" applyFill="1" applyBorder="1" applyAlignment="1">
      <alignment vertical="top" wrapText="1"/>
    </xf>
    <xf numFmtId="0" fontId="0" fillId="0" borderId="1" xfId="0" applyFill="1" applyBorder="1" applyAlignment="1">
      <alignment horizontal="center"/>
    </xf>
    <xf numFmtId="49" fontId="1" fillId="0" borderId="2" xfId="0" applyNumberFormat="1" applyFont="1" applyFill="1" applyBorder="1" applyAlignment="1">
      <alignment horizontal="center" vertical="center" wrapText="1"/>
    </xf>
    <xf numFmtId="0" fontId="1" fillId="0" borderId="1" xfId="0" applyFont="1" applyFill="1" applyBorder="1" applyAlignment="1">
      <alignment horizontal="center" wrapText="1"/>
    </xf>
    <xf numFmtId="0" fontId="1" fillId="0" borderId="9" xfId="0" applyFont="1" applyFill="1" applyBorder="1" applyAlignment="1">
      <alignment horizontal="center" wrapText="1"/>
    </xf>
    <xf numFmtId="0" fontId="1" fillId="0" borderId="9" xfId="0" applyFont="1" applyFill="1" applyBorder="1" applyAlignment="1">
      <alignment horizontal="center" vertical="center" wrapText="1"/>
    </xf>
    <xf numFmtId="0" fontId="1" fillId="0" borderId="2" xfId="0" applyFont="1" applyFill="1" applyBorder="1" applyAlignment="1">
      <alignment wrapText="1"/>
    </xf>
    <xf numFmtId="0" fontId="12" fillId="0" borderId="0" xfId="0" applyFont="1" applyFill="1" applyBorder="1" applyAlignment="1">
      <alignment wrapText="1"/>
    </xf>
    <xf numFmtId="0" fontId="0" fillId="0" borderId="2" xfId="0" applyFill="1" applyBorder="1" applyAlignment="1">
      <alignment vertical="top" wrapText="1"/>
    </xf>
    <xf numFmtId="0" fontId="0" fillId="0" borderId="0" xfId="0" applyFill="1" applyAlignment="1">
      <alignment wrapText="1"/>
    </xf>
    <xf numFmtId="0" fontId="0" fillId="0" borderId="1" xfId="0" applyFill="1" applyBorder="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left" vertical="top" wrapText="1"/>
    </xf>
    <xf numFmtId="0" fontId="1" fillId="0" borderId="0" xfId="0" applyFont="1" applyAlignment="1">
      <alignment horizontal="left" vertical="center"/>
    </xf>
    <xf numFmtId="0" fontId="1" fillId="0" borderId="0" xfId="0" applyFont="1" applyFill="1" applyAlignment="1">
      <alignment horizontal="center" vertical="center"/>
    </xf>
    <xf numFmtId="0" fontId="37" fillId="13" borderId="2" xfId="0" applyFont="1" applyFill="1" applyBorder="1" applyAlignment="1">
      <alignment horizontal="center" vertical="center"/>
    </xf>
    <xf numFmtId="0" fontId="37" fillId="13" borderId="2" xfId="0" applyFont="1" applyFill="1" applyBorder="1" applyAlignment="1">
      <alignment horizontal="left" vertical="top" wrapText="1"/>
    </xf>
    <xf numFmtId="0" fontId="37" fillId="13" borderId="2" xfId="0" applyFont="1" applyFill="1" applyBorder="1" applyAlignment="1">
      <alignment horizontal="center" vertical="center" wrapText="1"/>
    </xf>
    <xf numFmtId="0" fontId="1" fillId="14" borderId="2" xfId="0" applyFont="1" applyFill="1" applyBorder="1" applyAlignment="1">
      <alignment horizontal="center" vertical="center"/>
    </xf>
    <xf numFmtId="14" fontId="0" fillId="14" borderId="2" xfId="0" applyNumberFormat="1" applyFill="1" applyBorder="1" applyAlignment="1">
      <alignment horizontal="center" vertical="center"/>
    </xf>
    <xf numFmtId="0" fontId="1" fillId="14" borderId="2" xfId="0" applyFont="1" applyFill="1" applyBorder="1" applyAlignment="1">
      <alignment horizontal="left" vertical="top" wrapText="1"/>
    </xf>
    <xf numFmtId="0" fontId="0" fillId="0" borderId="2" xfId="0" applyBorder="1" applyAlignment="1">
      <alignment horizontal="center" vertical="center"/>
    </xf>
    <xf numFmtId="0" fontId="1" fillId="0" borderId="2" xfId="0" applyFont="1" applyBorder="1" applyAlignment="1">
      <alignment horizontal="center" vertical="center"/>
    </xf>
    <xf numFmtId="0" fontId="1" fillId="9" borderId="2" xfId="0" applyFont="1" applyFill="1" applyBorder="1" applyAlignment="1">
      <alignment horizontal="center" vertical="center"/>
    </xf>
    <xf numFmtId="0" fontId="1" fillId="0" borderId="2" xfId="0" applyFont="1" applyBorder="1" applyAlignment="1">
      <alignment horizontal="left" vertical="center"/>
    </xf>
    <xf numFmtId="0" fontId="1" fillId="15" borderId="2" xfId="0" applyFont="1" applyFill="1" applyBorder="1" applyAlignment="1">
      <alignment horizontal="center" vertical="center"/>
    </xf>
    <xf numFmtId="0" fontId="0" fillId="9" borderId="2" xfId="0" applyFill="1" applyBorder="1" applyAlignment="1">
      <alignment horizontal="center" vertical="center"/>
    </xf>
    <xf numFmtId="0" fontId="1" fillId="9" borderId="2" xfId="0" applyFont="1" applyFill="1" applyBorder="1" applyAlignment="1">
      <alignment horizontal="center" vertical="center" wrapText="1"/>
    </xf>
    <xf numFmtId="0" fontId="1" fillId="9" borderId="2" xfId="0" applyFont="1" applyFill="1" applyBorder="1" applyAlignment="1">
      <alignment horizontal="justify" vertical="center"/>
    </xf>
    <xf numFmtId="0" fontId="1" fillId="9" borderId="2" xfId="0" applyFont="1" applyFill="1" applyBorder="1" applyAlignment="1">
      <alignment vertical="center" wrapText="1"/>
    </xf>
    <xf numFmtId="0" fontId="1" fillId="9" borderId="2" xfId="0" applyFont="1" applyFill="1" applyBorder="1" applyAlignment="1">
      <alignment horizontal="justify" vertical="center" wrapText="1"/>
    </xf>
    <xf numFmtId="0" fontId="1" fillId="16" borderId="2" xfId="0" applyFont="1" applyFill="1" applyBorder="1" applyAlignment="1">
      <alignment horizontal="center" vertical="center"/>
    </xf>
    <xf numFmtId="14" fontId="0" fillId="16" borderId="2" xfId="0" applyNumberFormat="1" applyFill="1" applyBorder="1" applyAlignment="1">
      <alignment horizontal="center" vertical="center"/>
    </xf>
    <xf numFmtId="0" fontId="1" fillId="16" borderId="2" xfId="0" applyFont="1" applyFill="1" applyBorder="1" applyAlignment="1">
      <alignment horizontal="left" vertical="top" wrapText="1"/>
    </xf>
    <xf numFmtId="0" fontId="14" fillId="4" borderId="4" xfId="0" applyFont="1" applyFill="1" applyBorder="1" applyAlignment="1">
      <alignment vertical="center" wrapText="1"/>
    </xf>
    <xf numFmtId="0" fontId="1" fillId="9" borderId="2" xfId="0" applyFont="1" applyFill="1" applyBorder="1" applyAlignment="1">
      <alignment wrapText="1"/>
    </xf>
    <xf numFmtId="0" fontId="1" fillId="9" borderId="1" xfId="0" applyFont="1" applyFill="1" applyBorder="1" applyAlignment="1">
      <alignment horizontal="center" vertical="center"/>
    </xf>
    <xf numFmtId="0" fontId="1" fillId="10" borderId="2" xfId="0" applyFont="1" applyFill="1" applyBorder="1" applyAlignment="1">
      <alignment horizontal="justify" vertical="center"/>
    </xf>
    <xf numFmtId="14" fontId="1" fillId="14" borderId="2" xfId="0" applyNumberFormat="1" applyFont="1" applyFill="1" applyBorder="1" applyAlignment="1">
      <alignment horizontal="center" vertical="center"/>
    </xf>
    <xf numFmtId="0" fontId="1" fillId="14" borderId="2" xfId="0" applyFont="1" applyFill="1" applyBorder="1" applyAlignment="1">
      <alignment horizontal="left" vertical="center"/>
    </xf>
    <xf numFmtId="0" fontId="0" fillId="0" borderId="9" xfId="0" applyFill="1" applyBorder="1" applyAlignment="1">
      <alignment horizontal="left"/>
    </xf>
    <xf numFmtId="0" fontId="1" fillId="0" borderId="9" xfId="0" applyFont="1" applyFill="1" applyBorder="1" applyAlignment="1">
      <alignment vertical="center" wrapText="1"/>
    </xf>
    <xf numFmtId="0" fontId="1" fillId="7" borderId="2" xfId="0" applyFont="1" applyFill="1" applyBorder="1" applyAlignment="1">
      <alignment horizontal="left" vertical="top" wrapText="1"/>
    </xf>
    <xf numFmtId="0" fontId="1" fillId="7" borderId="2" xfId="0" applyFont="1" applyFill="1" applyBorder="1"/>
    <xf numFmtId="0" fontId="31" fillId="0" borderId="2" xfId="0" applyFont="1" applyFill="1" applyBorder="1" applyAlignment="1">
      <alignment horizontal="justify" vertical="center" wrapText="1"/>
    </xf>
    <xf numFmtId="0" fontId="1" fillId="0" borderId="0" xfId="0" applyFont="1" applyFill="1" applyBorder="1" applyAlignment="1">
      <alignment horizontal="justify" vertical="center" wrapText="1"/>
    </xf>
    <xf numFmtId="0" fontId="1" fillId="9" borderId="2" xfId="0" applyFont="1" applyFill="1" applyBorder="1" applyAlignment="1">
      <alignment horizontal="left" vertical="top" wrapText="1"/>
    </xf>
    <xf numFmtId="0" fontId="31" fillId="9" borderId="2" xfId="0" applyFont="1" applyFill="1" applyBorder="1" applyAlignment="1">
      <alignment horizontal="justify" vertical="center" wrapText="1"/>
    </xf>
    <xf numFmtId="0" fontId="0" fillId="9" borderId="1" xfId="0" applyFill="1" applyBorder="1" applyAlignment="1">
      <alignment horizontal="center" vertical="center"/>
    </xf>
    <xf numFmtId="0" fontId="12" fillId="0" borderId="0" xfId="0" applyFont="1"/>
    <xf numFmtId="0" fontId="12" fillId="0" borderId="7" xfId="0" applyFont="1" applyBorder="1" applyAlignment="1">
      <alignment horizontal="center" vertical="top" wrapText="1"/>
    </xf>
    <xf numFmtId="0" fontId="12" fillId="0" borderId="6" xfId="0" applyFont="1" applyBorder="1" applyAlignment="1">
      <alignment horizontal="center" vertical="top" wrapText="1"/>
    </xf>
    <xf numFmtId="0" fontId="12" fillId="0" borderId="0" xfId="0" applyFont="1" applyAlignment="1">
      <alignment horizontal="center"/>
    </xf>
    <xf numFmtId="0" fontId="12" fillId="0" borderId="0" xfId="0" applyFont="1" applyAlignment="1"/>
    <xf numFmtId="0" fontId="26" fillId="0" borderId="0" xfId="0" applyFont="1"/>
    <xf numFmtId="0" fontId="12" fillId="0" borderId="0" xfId="0" applyFont="1" applyBorder="1" applyAlignment="1">
      <alignment vertical="top"/>
    </xf>
    <xf numFmtId="0" fontId="12" fillId="0" borderId="0" xfId="0" applyFont="1" applyAlignment="1">
      <alignment vertical="top" wrapText="1"/>
    </xf>
    <xf numFmtId="0" fontId="12" fillId="0" borderId="0" xfId="0" applyFont="1" applyBorder="1" applyAlignment="1">
      <alignment horizontal="left" vertical="top"/>
    </xf>
    <xf numFmtId="0" fontId="12" fillId="0" borderId="0" xfId="0" applyFont="1" applyBorder="1" applyAlignment="1">
      <alignment horizontal="left" vertical="top" wrapText="1"/>
    </xf>
    <xf numFmtId="0" fontId="12" fillId="0" borderId="0" xfId="0" applyFont="1" applyAlignment="1">
      <alignment vertical="top"/>
    </xf>
    <xf numFmtId="0" fontId="26" fillId="0" borderId="17" xfId="0" applyFont="1" applyBorder="1" applyAlignment="1">
      <alignment horizontal="center"/>
    </xf>
    <xf numFmtId="0" fontId="26" fillId="0" borderId="18" xfId="0" applyFont="1" applyBorder="1" applyAlignment="1">
      <alignment horizontal="center"/>
    </xf>
    <xf numFmtId="0" fontId="26" fillId="0" borderId="19" xfId="0" applyFont="1" applyBorder="1" applyAlignment="1">
      <alignment horizontal="center"/>
    </xf>
    <xf numFmtId="0" fontId="1" fillId="0" borderId="20" xfId="0" applyFont="1" applyFill="1" applyBorder="1"/>
    <xf numFmtId="0" fontId="1" fillId="0" borderId="20" xfId="0" applyFont="1" applyBorder="1"/>
    <xf numFmtId="0" fontId="26" fillId="0" borderId="0" xfId="0" applyFont="1" applyFill="1" applyBorder="1" applyProtection="1">
      <protection locked="0"/>
    </xf>
    <xf numFmtId="0" fontId="1" fillId="0" borderId="0" xfId="0" applyFont="1" applyAlignment="1">
      <alignment horizontal="left"/>
    </xf>
    <xf numFmtId="0" fontId="26" fillId="0" borderId="0" xfId="0" applyFont="1" applyAlignment="1">
      <alignment horizontal="center"/>
    </xf>
    <xf numFmtId="0" fontId="26" fillId="0" borderId="2" xfId="0" applyFont="1" applyBorder="1" applyAlignment="1">
      <alignment horizontal="center" vertical="center"/>
    </xf>
    <xf numFmtId="0" fontId="26" fillId="0" borderId="2" xfId="0" applyFont="1" applyBorder="1" applyAlignment="1" applyProtection="1">
      <alignment vertical="center"/>
      <protection locked="0"/>
    </xf>
    <xf numFmtId="0" fontId="1" fillId="0" borderId="2" xfId="0" applyFont="1" applyBorder="1" applyAlignment="1">
      <alignment horizontal="right" vertical="center"/>
    </xf>
    <xf numFmtId="0" fontId="1" fillId="0" borderId="2" xfId="0" applyFont="1" applyBorder="1" applyAlignment="1">
      <alignment vertical="center" wrapText="1"/>
    </xf>
    <xf numFmtId="0" fontId="26" fillId="0" borderId="2" xfId="0" applyFont="1" applyBorder="1" applyAlignment="1">
      <alignment horizontal="center"/>
    </xf>
    <xf numFmtId="0" fontId="1" fillId="0" borderId="2" xfId="0" applyFont="1" applyBorder="1"/>
    <xf numFmtId="0" fontId="24" fillId="0" borderId="2" xfId="0" applyFont="1" applyBorder="1"/>
    <xf numFmtId="0" fontId="1" fillId="0" borderId="2" xfId="0" applyFont="1" applyBorder="1" applyProtection="1">
      <protection locked="0"/>
    </xf>
    <xf numFmtId="0" fontId="1" fillId="4" borderId="2" xfId="0" applyFont="1" applyFill="1" applyBorder="1"/>
    <xf numFmtId="0" fontId="1" fillId="0" borderId="0" xfId="0" applyFont="1" applyAlignment="1">
      <alignment vertical="center"/>
    </xf>
    <xf numFmtId="0" fontId="1" fillId="0" borderId="0" xfId="0" applyFont="1" applyAlignment="1">
      <alignment vertical="center" wrapText="1"/>
    </xf>
    <xf numFmtId="0" fontId="2" fillId="0" borderId="0" xfId="0" applyFont="1" applyAlignment="1">
      <alignment horizontal="center" vertical="center" wrapText="1"/>
    </xf>
    <xf numFmtId="0" fontId="26" fillId="0" borderId="2" xfId="0" applyFont="1" applyFill="1" applyBorder="1" applyAlignment="1">
      <alignment horizontal="center" vertical="center"/>
    </xf>
    <xf numFmtId="0" fontId="1" fillId="0" borderId="9" xfId="0" applyFont="1" applyFill="1" applyBorder="1" applyAlignment="1">
      <alignment vertical="center"/>
    </xf>
    <xf numFmtId="49" fontId="1" fillId="0" borderId="2" xfId="0" applyNumberFormat="1" applyFont="1" applyFill="1" applyBorder="1" applyAlignment="1">
      <alignment horizontal="left" vertical="center" wrapText="1"/>
    </xf>
    <xf numFmtId="0" fontId="1" fillId="10" borderId="2" xfId="0" applyFont="1" applyFill="1" applyBorder="1" applyAlignment="1">
      <alignment horizontal="left" vertical="center" wrapText="1"/>
    </xf>
    <xf numFmtId="0" fontId="1" fillId="0" borderId="0" xfId="0" applyFont="1" applyFill="1" applyBorder="1" applyAlignment="1">
      <alignment horizontal="center" vertical="center" wrapText="1"/>
    </xf>
    <xf numFmtId="0" fontId="1" fillId="7" borderId="2" xfId="0" applyFont="1" applyFill="1" applyBorder="1" applyAlignment="1">
      <alignment horizontal="left" vertical="center" wrapText="1"/>
    </xf>
    <xf numFmtId="0" fontId="1" fillId="7" borderId="2" xfId="0" applyFont="1" applyFill="1" applyBorder="1" applyAlignment="1">
      <alignment vertical="center"/>
    </xf>
    <xf numFmtId="0" fontId="1" fillId="10" borderId="0" xfId="0" applyFont="1" applyFill="1" applyBorder="1" applyAlignment="1">
      <alignment horizontal="justify" vertical="center" wrapText="1"/>
    </xf>
    <xf numFmtId="0" fontId="1" fillId="0" borderId="0" xfId="0" applyFont="1" applyBorder="1" applyAlignment="1">
      <alignment horizontal="left" vertical="center" wrapText="1"/>
    </xf>
    <xf numFmtId="0" fontId="1" fillId="0" borderId="0" xfId="0" applyFont="1" applyBorder="1" applyAlignment="1">
      <alignment vertical="center" wrapText="1"/>
    </xf>
    <xf numFmtId="0" fontId="1" fillId="0" borderId="0" xfId="0" applyFont="1" applyBorder="1" applyAlignment="1">
      <alignment vertical="center"/>
    </xf>
    <xf numFmtId="0" fontId="1" fillId="0" borderId="0" xfId="0" applyFont="1" applyBorder="1" applyAlignment="1">
      <alignment horizontal="justify" vertical="center"/>
    </xf>
    <xf numFmtId="0" fontId="1" fillId="0" borderId="9" xfId="0" applyFont="1" applyFill="1" applyBorder="1" applyAlignment="1">
      <alignment horizontal="left" vertical="center" wrapText="1"/>
    </xf>
    <xf numFmtId="0" fontId="1" fillId="0" borderId="2" xfId="0" applyFont="1" applyFill="1" applyBorder="1" applyAlignment="1">
      <alignment horizontal="justify"/>
    </xf>
    <xf numFmtId="0" fontId="16" fillId="0" borderId="2" xfId="0" applyFont="1" applyFill="1" applyBorder="1" applyAlignment="1"/>
    <xf numFmtId="0" fontId="1" fillId="0" borderId="2" xfId="0" applyFont="1" applyFill="1" applyBorder="1" applyAlignment="1" applyProtection="1">
      <alignment horizontal="justify" vertical="center" wrapText="1"/>
      <protection locked="0"/>
    </xf>
    <xf numFmtId="0" fontId="1" fillId="10" borderId="2" xfId="0" applyFont="1" applyFill="1" applyBorder="1" applyAlignment="1">
      <alignment horizontal="justify" vertical="center" wrapText="1"/>
    </xf>
    <xf numFmtId="0" fontId="26" fillId="0" borderId="1" xfId="0" applyFont="1" applyFill="1" applyBorder="1" applyAlignment="1">
      <alignment horizontal="center" vertical="center"/>
    </xf>
    <xf numFmtId="0" fontId="1" fillId="0" borderId="1" xfId="0" applyFont="1" applyFill="1" applyBorder="1" applyAlignment="1">
      <alignment horizontal="left" vertical="center" wrapText="1"/>
    </xf>
    <xf numFmtId="0" fontId="1" fillId="0" borderId="2" xfId="0" applyFont="1" applyFill="1" applyBorder="1" applyAlignment="1">
      <alignment horizontal="justify" wrapText="1"/>
    </xf>
    <xf numFmtId="49" fontId="12" fillId="0" borderId="2" xfId="0" applyNumberFormat="1" applyFont="1" applyFill="1" applyBorder="1" applyAlignment="1">
      <alignment horizontal="center" vertical="center" wrapText="1"/>
    </xf>
    <xf numFmtId="49" fontId="12" fillId="0" borderId="9" xfId="0" applyNumberFormat="1" applyFont="1" applyFill="1" applyBorder="1" applyAlignment="1">
      <alignment horizontal="center" vertical="center" wrapText="1"/>
    </xf>
    <xf numFmtId="0" fontId="26" fillId="0" borderId="2" xfId="0" applyFont="1" applyFill="1" applyBorder="1" applyAlignment="1">
      <alignment horizontal="center" vertical="center" wrapText="1"/>
    </xf>
    <xf numFmtId="0" fontId="1" fillId="10" borderId="2" xfId="0" applyFont="1" applyFill="1" applyBorder="1" applyAlignment="1">
      <alignment vertical="center" wrapText="1"/>
    </xf>
    <xf numFmtId="0" fontId="26" fillId="10" borderId="2" xfId="0" applyFont="1" applyFill="1" applyBorder="1" applyAlignment="1">
      <alignment horizontal="center" vertical="center" wrapText="1"/>
    </xf>
    <xf numFmtId="49" fontId="1" fillId="0" borderId="2" xfId="0" applyNumberFormat="1" applyFont="1" applyFill="1" applyBorder="1" applyAlignment="1">
      <alignment vertical="center" wrapText="1"/>
    </xf>
    <xf numFmtId="49" fontId="12" fillId="0" borderId="2" xfId="0" quotePrefix="1" applyNumberFormat="1" applyFont="1" applyFill="1" applyBorder="1" applyAlignment="1">
      <alignment horizontal="center" vertical="center" wrapText="1"/>
    </xf>
    <xf numFmtId="0" fontId="1" fillId="0" borderId="2" xfId="0" applyFont="1" applyFill="1" applyBorder="1" applyAlignment="1">
      <alignment horizontal="left" vertical="center" wrapText="1" indent="1"/>
    </xf>
    <xf numFmtId="0" fontId="1" fillId="0" borderId="9" xfId="0" applyFont="1" applyBorder="1" applyAlignment="1">
      <alignment horizontal="justify" vertical="center" wrapText="1"/>
    </xf>
    <xf numFmtId="0" fontId="1" fillId="6" borderId="0" xfId="0" applyFont="1" applyFill="1" applyBorder="1" applyAlignment="1">
      <alignment horizontal="justify" vertical="center" wrapText="1"/>
    </xf>
    <xf numFmtId="0" fontId="0" fillId="17" borderId="2" xfId="0" applyFill="1" applyBorder="1"/>
    <xf numFmtId="0" fontId="1" fillId="17" borderId="2" xfId="0" applyFont="1" applyFill="1" applyBorder="1" applyAlignment="1">
      <alignment horizontal="justify" vertical="center"/>
    </xf>
    <xf numFmtId="0" fontId="1" fillId="17" borderId="2" xfId="0" applyFont="1" applyFill="1" applyBorder="1" applyAlignment="1">
      <alignment horizontal="left" vertical="center" wrapText="1"/>
    </xf>
    <xf numFmtId="0" fontId="0" fillId="17" borderId="2" xfId="0" applyFill="1" applyBorder="1" applyAlignment="1">
      <alignment horizontal="center" vertical="center"/>
    </xf>
    <xf numFmtId="0" fontId="1" fillId="17" borderId="2" xfId="0" applyFont="1" applyFill="1" applyBorder="1" applyAlignment="1">
      <alignment horizontal="center" vertical="center"/>
    </xf>
    <xf numFmtId="0" fontId="1" fillId="17" borderId="2" xfId="0" applyFont="1" applyFill="1" applyBorder="1" applyAlignment="1">
      <alignment horizontal="left" vertical="top" wrapText="1"/>
    </xf>
    <xf numFmtId="0" fontId="1" fillId="17" borderId="2" xfId="0" applyFont="1" applyFill="1" applyBorder="1"/>
    <xf numFmtId="0" fontId="12" fillId="17" borderId="0" xfId="0" applyFont="1" applyFill="1"/>
    <xf numFmtId="0" fontId="0" fillId="17" borderId="0" xfId="0" applyFill="1"/>
    <xf numFmtId="0" fontId="12" fillId="0" borderId="0" xfId="0" applyFont="1" applyAlignment="1">
      <alignment horizontal="left"/>
    </xf>
    <xf numFmtId="0" fontId="14" fillId="0" borderId="0" xfId="0" applyFont="1" applyAlignment="1">
      <alignment horizontal="center"/>
    </xf>
    <xf numFmtId="0" fontId="14" fillId="3" borderId="3" xfId="0" applyFont="1" applyFill="1" applyBorder="1" applyAlignment="1">
      <alignment horizontal="center" vertical="center" textRotation="90" wrapText="1"/>
    </xf>
    <xf numFmtId="0" fontId="14" fillId="3" borderId="4" xfId="0" applyFont="1" applyFill="1" applyBorder="1" applyAlignment="1">
      <alignment horizontal="left" vertical="center"/>
    </xf>
    <xf numFmtId="0" fontId="5" fillId="0" borderId="0" xfId="0" applyFont="1" applyFill="1" applyBorder="1" applyAlignment="1">
      <alignment horizontal="center" vertical="center"/>
    </xf>
    <xf numFmtId="0" fontId="3" fillId="0" borderId="0" xfId="0" applyFont="1" applyFill="1" applyBorder="1" applyAlignment="1">
      <alignment horizontal="center" vertical="center" textRotation="90"/>
    </xf>
    <xf numFmtId="0" fontId="4" fillId="0" borderId="0" xfId="0" applyFont="1" applyFill="1" applyBorder="1" applyAlignment="1">
      <alignment horizontal="center" vertical="center"/>
    </xf>
    <xf numFmtId="0" fontId="3" fillId="0" borderId="0" xfId="0" applyFont="1" applyFill="1" applyBorder="1" applyAlignment="1">
      <alignment horizontal="center" vertical="center" wrapText="1"/>
    </xf>
    <xf numFmtId="0" fontId="14" fillId="3" borderId="13" xfId="0" applyFont="1" applyFill="1" applyBorder="1" applyAlignment="1">
      <alignment horizontal="center" vertical="center" textRotation="90" wrapText="1"/>
    </xf>
    <xf numFmtId="0" fontId="1" fillId="0" borderId="2" xfId="0" applyFont="1" applyBorder="1" applyAlignment="1">
      <alignment horizontal="justify" vertical="center" wrapText="1"/>
    </xf>
    <xf numFmtId="0" fontId="1" fillId="0" borderId="0" xfId="0" applyFont="1" applyBorder="1" applyAlignment="1">
      <alignment horizontal="justify" vertical="center" wrapText="1"/>
    </xf>
    <xf numFmtId="0" fontId="1" fillId="0" borderId="2" xfId="0" applyFont="1" applyFill="1" applyBorder="1" applyAlignment="1">
      <alignment horizontal="justify" vertical="center"/>
    </xf>
    <xf numFmtId="0" fontId="1" fillId="0" borderId="9" xfId="0" applyFont="1" applyFill="1" applyBorder="1" applyAlignment="1">
      <alignment horizontal="center"/>
    </xf>
    <xf numFmtId="0" fontId="1" fillId="0" borderId="12" xfId="0" applyFont="1" applyFill="1" applyBorder="1" applyAlignment="1">
      <alignment horizontal="center"/>
    </xf>
    <xf numFmtId="0" fontId="1" fillId="0" borderId="1" xfId="0" applyFont="1" applyFill="1" applyBorder="1" applyAlignment="1">
      <alignment horizontal="center"/>
    </xf>
    <xf numFmtId="0" fontId="1" fillId="0" borderId="9" xfId="0" applyFont="1" applyFill="1" applyBorder="1" applyAlignment="1">
      <alignment horizontal="center" vertical="center"/>
    </xf>
    <xf numFmtId="0" fontId="1" fillId="0" borderId="1" xfId="0" applyFont="1" applyFill="1" applyBorder="1" applyAlignment="1">
      <alignment horizontal="center" vertical="center"/>
    </xf>
    <xf numFmtId="0" fontId="26" fillId="7" borderId="10" xfId="0" applyFont="1" applyFill="1" applyBorder="1" applyAlignment="1">
      <alignment horizontal="left" vertical="center"/>
    </xf>
    <xf numFmtId="0" fontId="26" fillId="7" borderId="27" xfId="0" applyFont="1" applyFill="1" applyBorder="1" applyAlignment="1">
      <alignment horizontal="left" vertical="center"/>
    </xf>
    <xf numFmtId="0" fontId="26" fillId="7" borderId="11" xfId="0" applyFont="1" applyFill="1" applyBorder="1" applyAlignment="1">
      <alignment horizontal="left" vertical="center"/>
    </xf>
    <xf numFmtId="0" fontId="4" fillId="0" borderId="0" xfId="0" applyFont="1" applyFill="1" applyBorder="1" applyAlignment="1">
      <alignment horizontal="center" vertical="center"/>
    </xf>
    <xf numFmtId="0" fontId="3" fillId="0" borderId="0" xfId="0" applyFont="1" applyFill="1" applyBorder="1" applyAlignment="1">
      <alignment horizontal="center" vertical="center" wrapText="1"/>
    </xf>
    <xf numFmtId="0" fontId="5" fillId="0" borderId="0" xfId="0" applyFont="1" applyFill="1" applyBorder="1" applyAlignment="1">
      <alignment horizontal="center" vertical="center"/>
    </xf>
    <xf numFmtId="0" fontId="3" fillId="0" borderId="0" xfId="0" applyFont="1" applyFill="1" applyBorder="1" applyAlignment="1">
      <alignment horizontal="center" vertical="center" textRotation="90"/>
    </xf>
    <xf numFmtId="0" fontId="1" fillId="0" borderId="2" xfId="0" applyFont="1" applyFill="1" applyBorder="1" applyAlignment="1">
      <alignment horizontal="justify" vertical="center"/>
    </xf>
    <xf numFmtId="0" fontId="1" fillId="0" borderId="9" xfId="0" applyFont="1" applyFill="1" applyBorder="1" applyAlignment="1">
      <alignment horizontal="center"/>
    </xf>
    <xf numFmtId="0" fontId="1" fillId="0" borderId="1" xfId="0" applyFont="1" applyFill="1" applyBorder="1" applyAlignment="1">
      <alignment horizontal="center"/>
    </xf>
    <xf numFmtId="0" fontId="1" fillId="0" borderId="9" xfId="0" applyFont="1" applyFill="1" applyBorder="1" applyAlignment="1">
      <alignment horizontal="center" vertical="center"/>
    </xf>
    <xf numFmtId="0" fontId="1" fillId="0" borderId="1" xfId="0" applyFont="1" applyFill="1" applyBorder="1" applyAlignment="1">
      <alignment horizontal="center" vertical="center"/>
    </xf>
    <xf numFmtId="0" fontId="33" fillId="0" borderId="2" xfId="0" applyFont="1" applyFill="1" applyBorder="1" applyAlignment="1">
      <alignment horizontal="justify" vertical="center" wrapText="1"/>
    </xf>
    <xf numFmtId="0" fontId="33" fillId="0" borderId="2" xfId="0" applyFont="1" applyFill="1" applyBorder="1" applyAlignment="1">
      <alignment vertical="center" wrapText="1"/>
    </xf>
    <xf numFmtId="0" fontId="0" fillId="7" borderId="32" xfId="0" applyFill="1" applyBorder="1" applyAlignment="1">
      <alignment horizontal="center" vertical="center"/>
    </xf>
    <xf numFmtId="0" fontId="0" fillId="7" borderId="32" xfId="0" applyFill="1" applyBorder="1" applyAlignment="1">
      <alignment vertical="center"/>
    </xf>
    <xf numFmtId="0" fontId="14" fillId="4" borderId="5" xfId="0" applyFont="1" applyFill="1" applyBorder="1" applyAlignment="1"/>
    <xf numFmtId="0" fontId="0" fillId="0" borderId="15" xfId="0" applyBorder="1"/>
    <xf numFmtId="0" fontId="0" fillId="0" borderId="25" xfId="0" applyBorder="1"/>
    <xf numFmtId="0" fontId="0" fillId="0" borderId="28" xfId="0" applyBorder="1"/>
    <xf numFmtId="0" fontId="0" fillId="0" borderId="29" xfId="0" applyBorder="1"/>
    <xf numFmtId="0" fontId="0" fillId="0" borderId="28" xfId="0" applyBorder="1" applyAlignment="1">
      <alignment horizontal="left"/>
    </xf>
    <xf numFmtId="0" fontId="0" fillId="0" borderId="29" xfId="0" applyBorder="1" applyAlignment="1">
      <alignment horizontal="left"/>
    </xf>
    <xf numFmtId="0" fontId="0" fillId="7" borderId="34" xfId="0" applyFill="1" applyBorder="1"/>
    <xf numFmtId="0" fontId="12" fillId="0" borderId="2" xfId="0" applyFont="1" applyFill="1" applyBorder="1"/>
    <xf numFmtId="0" fontId="0" fillId="7" borderId="35" xfId="0" applyFill="1" applyBorder="1"/>
    <xf numFmtId="0" fontId="0" fillId="0" borderId="0" xfId="0" applyAlignment="1"/>
    <xf numFmtId="0" fontId="1" fillId="7" borderId="0" xfId="0" applyFont="1" applyFill="1" applyAlignment="1"/>
    <xf numFmtId="0" fontId="1" fillId="10" borderId="2" xfId="0" applyFont="1" applyFill="1" applyBorder="1" applyAlignment="1">
      <alignment horizontal="left" wrapText="1"/>
    </xf>
    <xf numFmtId="0" fontId="1" fillId="7" borderId="2" xfId="0" applyFont="1" applyFill="1" applyBorder="1" applyAlignment="1">
      <alignment horizontal="left" wrapText="1"/>
    </xf>
    <xf numFmtId="0" fontId="0" fillId="0" borderId="0" xfId="0" applyBorder="1" applyAlignment="1"/>
    <xf numFmtId="0" fontId="0" fillId="14" borderId="2" xfId="0" applyFill="1" applyBorder="1" applyAlignment="1">
      <alignment horizontal="center" vertical="center"/>
    </xf>
    <xf numFmtId="0" fontId="1" fillId="14" borderId="2" xfId="0" applyFont="1" applyFill="1" applyBorder="1" applyAlignment="1">
      <alignment horizontal="center" vertical="top" wrapText="1"/>
    </xf>
    <xf numFmtId="0" fontId="0" fillId="14" borderId="2" xfId="0" applyFill="1" applyBorder="1" applyAlignment="1">
      <alignment horizontal="center" vertical="center" wrapText="1"/>
    </xf>
    <xf numFmtId="0" fontId="0" fillId="14" borderId="2" xfId="0" applyFill="1" applyBorder="1" applyAlignment="1">
      <alignment horizontal="center" vertical="top" wrapText="1"/>
    </xf>
    <xf numFmtId="0" fontId="1" fillId="14" borderId="2" xfId="0" applyFont="1" applyFill="1" applyBorder="1" applyAlignment="1">
      <alignment horizontal="center" vertical="center" wrapText="1"/>
    </xf>
    <xf numFmtId="0" fontId="14" fillId="3" borderId="4" xfId="0" applyFont="1" applyFill="1" applyBorder="1" applyAlignment="1">
      <alignment horizontal="left" vertical="center"/>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26" fillId="7" borderId="27" xfId="0" applyFont="1" applyFill="1" applyBorder="1" applyAlignment="1">
      <alignment horizontal="left" vertical="center"/>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0" xfId="0" applyFont="1" applyBorder="1" applyAlignment="1">
      <alignment horizontal="justify" vertical="center" wrapText="1"/>
    </xf>
    <xf numFmtId="0" fontId="12" fillId="0" borderId="2" xfId="0" applyFont="1" applyFill="1" applyBorder="1" applyAlignment="1">
      <alignment vertical="center"/>
    </xf>
    <xf numFmtId="0" fontId="39" fillId="0" borderId="2" xfId="0" applyFont="1" applyFill="1" applyBorder="1" applyAlignment="1">
      <alignment horizontal="justify" vertical="center" wrapText="1"/>
    </xf>
    <xf numFmtId="0" fontId="0" fillId="0" borderId="0" xfId="0" applyFill="1" applyAlignment="1">
      <alignment vertical="center" wrapText="1"/>
    </xf>
    <xf numFmtId="0" fontId="1" fillId="18" borderId="2" xfId="0" applyFont="1" applyFill="1" applyBorder="1" applyAlignment="1">
      <alignment horizontal="center" vertical="center"/>
    </xf>
    <xf numFmtId="0" fontId="1" fillId="18" borderId="1" xfId="0" applyFont="1" applyFill="1" applyBorder="1" applyAlignment="1">
      <alignment horizontal="center" vertical="center"/>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0" xfId="0" applyFont="1" applyBorder="1" applyAlignment="1">
      <alignment horizontal="justify" vertical="center" wrapText="1"/>
    </xf>
    <xf numFmtId="0" fontId="26" fillId="7" borderId="27" xfId="0" applyFont="1" applyFill="1" applyBorder="1" applyAlignment="1">
      <alignment horizontal="left" vertical="center"/>
    </xf>
    <xf numFmtId="0" fontId="22" fillId="0" borderId="2" xfId="0" applyFont="1" applyFill="1" applyBorder="1" applyAlignment="1">
      <alignment horizontal="left" vertical="center" wrapText="1"/>
    </xf>
    <xf numFmtId="49" fontId="22" fillId="0" borderId="2" xfId="0" applyNumberFormat="1" applyFont="1" applyFill="1" applyBorder="1" applyAlignment="1">
      <alignment horizontal="left" vertical="center" wrapText="1"/>
    </xf>
    <xf numFmtId="0" fontId="1" fillId="0" borderId="10" xfId="0" applyFont="1" applyFill="1" applyBorder="1" applyAlignment="1">
      <alignment horizontal="left" vertical="center"/>
    </xf>
    <xf numFmtId="0" fontId="1" fillId="0" borderId="12" xfId="0" applyFont="1" applyFill="1" applyBorder="1" applyAlignment="1">
      <alignment horizontal="center" vertical="center"/>
    </xf>
    <xf numFmtId="0" fontId="1" fillId="0" borderId="12" xfId="0" applyFont="1" applyFill="1" applyBorder="1" applyAlignment="1">
      <alignment horizontal="left" vertical="center" wrapText="1"/>
    </xf>
    <xf numFmtId="0" fontId="1" fillId="0" borderId="0" xfId="0" applyFont="1" applyFill="1" applyAlignment="1">
      <alignment vertical="center" wrapText="1"/>
    </xf>
    <xf numFmtId="0" fontId="1" fillId="0" borderId="1" xfId="0" applyFont="1" applyFill="1" applyBorder="1" applyAlignment="1">
      <alignment vertical="center"/>
    </xf>
    <xf numFmtId="0" fontId="26" fillId="7" borderId="33" xfId="0" applyFont="1" applyFill="1" applyBorder="1" applyAlignment="1">
      <alignment vertical="center"/>
    </xf>
    <xf numFmtId="0" fontId="26" fillId="7" borderId="2" xfId="0" applyFont="1" applyFill="1" applyBorder="1" applyAlignment="1">
      <alignment horizontal="left" vertical="center"/>
    </xf>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2" xfId="0" applyFont="1" applyBorder="1" applyAlignment="1">
      <alignment horizontal="justify" vertical="center" wrapText="1"/>
    </xf>
    <xf numFmtId="0" fontId="1" fillId="0" borderId="0" xfId="0" applyFont="1" applyBorder="1" applyAlignment="1">
      <alignment horizontal="justify" vertical="center" wrapText="1"/>
    </xf>
    <xf numFmtId="0" fontId="1" fillId="0" borderId="1" xfId="0" applyFont="1" applyFill="1" applyBorder="1" applyAlignment="1">
      <alignment horizontal="justify" vertical="center"/>
    </xf>
    <xf numFmtId="0" fontId="42" fillId="0" borderId="2" xfId="0" applyFont="1" applyFill="1" applyBorder="1" applyAlignment="1">
      <alignment horizontal="left" vertical="center" wrapText="1"/>
    </xf>
    <xf numFmtId="0" fontId="0" fillId="0" borderId="10" xfId="0" applyFill="1" applyBorder="1" applyAlignment="1">
      <alignment horizontal="center" vertical="center"/>
    </xf>
    <xf numFmtId="0" fontId="1" fillId="0" borderId="11" xfId="0" applyFont="1" applyFill="1" applyBorder="1" applyAlignment="1">
      <alignment horizontal="left" vertical="center" wrapText="1"/>
    </xf>
    <xf numFmtId="0" fontId="1" fillId="0" borderId="11" xfId="0" applyFont="1" applyFill="1" applyBorder="1" applyAlignment="1">
      <alignment horizontal="justify" vertical="center"/>
    </xf>
    <xf numFmtId="0" fontId="26" fillId="0" borderId="11" xfId="0" applyFont="1" applyFill="1" applyBorder="1" applyAlignment="1">
      <alignment horizontal="left" vertical="center"/>
    </xf>
    <xf numFmtId="0" fontId="1" fillId="0" borderId="11" xfId="0" applyFont="1" applyFill="1" applyBorder="1" applyAlignment="1">
      <alignment horizontal="left" vertical="center"/>
    </xf>
    <xf numFmtId="0" fontId="1" fillId="0" borderId="11" xfId="0" applyFont="1" applyFill="1" applyBorder="1" applyAlignment="1">
      <alignment horizontal="left" vertical="top" wrapText="1"/>
    </xf>
    <xf numFmtId="0" fontId="1" fillId="0" borderId="9" xfId="0" applyFont="1" applyFill="1" applyBorder="1" applyAlignment="1">
      <alignment horizontal="justify" vertical="center" wrapText="1"/>
    </xf>
    <xf numFmtId="0" fontId="1" fillId="0" borderId="9" xfId="0" applyFont="1" applyFill="1" applyBorder="1" applyAlignment="1">
      <alignment horizontal="left" vertical="top" wrapText="1"/>
    </xf>
    <xf numFmtId="0" fontId="0" fillId="0" borderId="12" xfId="0" applyFill="1" applyBorder="1" applyAlignment="1">
      <alignment horizontal="center" vertical="center"/>
    </xf>
    <xf numFmtId="0" fontId="26" fillId="7" borderId="2" xfId="0" applyFont="1" applyFill="1" applyBorder="1" applyAlignment="1">
      <alignment vertical="center"/>
    </xf>
    <xf numFmtId="0" fontId="1" fillId="18" borderId="2" xfId="0" applyFont="1" applyFill="1" applyBorder="1" applyAlignment="1">
      <alignment horizontal="center"/>
    </xf>
    <xf numFmtId="0" fontId="26" fillId="7" borderId="0" xfId="0" applyFont="1" applyFill="1" applyAlignment="1">
      <alignment horizontal="left" vertical="center"/>
    </xf>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2" xfId="0" applyFont="1" applyBorder="1" applyAlignment="1">
      <alignment horizontal="justify" vertical="center" wrapText="1"/>
    </xf>
    <xf numFmtId="0" fontId="1" fillId="0" borderId="0" xfId="0" applyFont="1" applyBorder="1" applyAlignment="1">
      <alignment horizontal="justify" vertical="center" wrapText="1"/>
    </xf>
    <xf numFmtId="0" fontId="0" fillId="0" borderId="2" xfId="0" applyFill="1" applyBorder="1" applyAlignment="1" applyProtection="1">
      <alignment horizontal="justify" vertical="center" wrapText="1"/>
      <protection locked="0"/>
    </xf>
    <xf numFmtId="0" fontId="1" fillId="0" borderId="9" xfId="0" applyFont="1" applyFill="1" applyBorder="1" applyAlignment="1">
      <alignment horizontal="justify" vertical="center"/>
    </xf>
    <xf numFmtId="0" fontId="0" fillId="10" borderId="2" xfId="0" applyFill="1" applyBorder="1"/>
    <xf numFmtId="0" fontId="1" fillId="10" borderId="1" xfId="0" applyFont="1" applyFill="1" applyBorder="1" applyAlignment="1">
      <alignment horizontal="justify" vertical="center" wrapText="1"/>
    </xf>
    <xf numFmtId="0" fontId="1" fillId="10" borderId="1" xfId="0" applyFont="1" applyFill="1" applyBorder="1" applyAlignment="1">
      <alignment horizontal="left" vertical="center" wrapText="1"/>
    </xf>
    <xf numFmtId="0" fontId="0" fillId="10" borderId="1" xfId="0" applyFill="1" applyBorder="1"/>
    <xf numFmtId="0" fontId="1" fillId="10" borderId="1" xfId="0" applyFont="1" applyFill="1" applyBorder="1"/>
    <xf numFmtId="0" fontId="26" fillId="7" borderId="2" xfId="0" applyFont="1" applyFill="1" applyBorder="1" applyAlignment="1"/>
    <xf numFmtId="0" fontId="30" fillId="0" borderId="2" xfId="0" applyFont="1" applyFill="1" applyBorder="1" applyAlignment="1"/>
    <xf numFmtId="0" fontId="0" fillId="0" borderId="2" xfId="0" applyFill="1" applyBorder="1" applyAlignment="1">
      <alignment horizontal="justify" wrapText="1"/>
    </xf>
    <xf numFmtId="0" fontId="18" fillId="0" borderId="2" xfId="0" applyFont="1" applyFill="1" applyBorder="1" applyAlignment="1">
      <alignment wrapText="1"/>
    </xf>
    <xf numFmtId="0" fontId="0" fillId="0" borderId="0" xfId="0" applyFill="1" applyAlignment="1"/>
    <xf numFmtId="0" fontId="0" fillId="0" borderId="2" xfId="0" applyFont="1" applyFill="1" applyBorder="1" applyAlignment="1">
      <alignment horizontal="left" wrapText="1"/>
    </xf>
    <xf numFmtId="0" fontId="26" fillId="0" borderId="2" xfId="0" applyFont="1" applyFill="1" applyBorder="1" applyAlignment="1">
      <alignment horizontal="justify"/>
    </xf>
    <xf numFmtId="0" fontId="1" fillId="0" borderId="9" xfId="0" applyFont="1" applyFill="1" applyBorder="1" applyAlignment="1">
      <alignment horizontal="left" wrapText="1"/>
    </xf>
    <xf numFmtId="0" fontId="1" fillId="10" borderId="1" xfId="0" applyFont="1" applyFill="1" applyBorder="1" applyAlignment="1">
      <alignment horizontal="left" wrapText="1"/>
    </xf>
    <xf numFmtId="0" fontId="26" fillId="7" borderId="0" xfId="0" applyFont="1" applyFill="1"/>
    <xf numFmtId="0" fontId="1" fillId="0" borderId="1" xfId="0" applyFont="1" applyFill="1" applyBorder="1" applyAlignment="1">
      <alignment horizontal="justify" vertical="center" wrapText="1"/>
    </xf>
    <xf numFmtId="0" fontId="23" fillId="0" borderId="2" xfId="0" applyFont="1" applyFill="1" applyBorder="1" applyAlignment="1">
      <alignment horizontal="justify" vertical="center"/>
    </xf>
    <xf numFmtId="0" fontId="0" fillId="0" borderId="9" xfId="0" applyFill="1" applyBorder="1" applyAlignment="1">
      <alignment horizontal="left" vertical="center" wrapText="1"/>
    </xf>
    <xf numFmtId="0" fontId="16" fillId="0" borderId="2" xfId="0" applyFont="1" applyFill="1" applyBorder="1" applyAlignment="1">
      <alignment horizontal="left" vertical="center" wrapText="1"/>
    </xf>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2" xfId="0" applyFont="1" applyBorder="1" applyAlignment="1">
      <alignment horizontal="justify" vertical="center" wrapText="1"/>
    </xf>
    <xf numFmtId="0" fontId="1" fillId="0" borderId="0" xfId="0" applyFont="1" applyBorder="1" applyAlignment="1">
      <alignment horizontal="justify" vertical="center" wrapText="1"/>
    </xf>
    <xf numFmtId="0" fontId="0" fillId="0" borderId="1" xfId="0" applyFill="1" applyBorder="1" applyAlignment="1">
      <alignment horizontal="justify" vertical="center" wrapText="1"/>
    </xf>
    <xf numFmtId="0" fontId="0" fillId="0" borderId="1" xfId="0" applyFill="1" applyBorder="1" applyAlignment="1">
      <alignment horizontal="justify" vertical="center"/>
    </xf>
    <xf numFmtId="0" fontId="12" fillId="0" borderId="2" xfId="0" applyFont="1" applyFill="1" applyBorder="1" applyAlignment="1">
      <alignment vertical="center" wrapText="1"/>
    </xf>
    <xf numFmtId="0" fontId="23" fillId="0" borderId="1" xfId="0" applyFont="1" applyFill="1" applyBorder="1" applyAlignment="1">
      <alignment horizontal="justify" vertical="center"/>
    </xf>
    <xf numFmtId="0" fontId="26" fillId="7" borderId="0" xfId="0" applyFont="1" applyFill="1" applyAlignment="1">
      <alignment horizontal="left"/>
    </xf>
    <xf numFmtId="0" fontId="0" fillId="0" borderId="0" xfId="0" applyAlignment="1">
      <alignment vertical="center" wrapText="1"/>
    </xf>
    <xf numFmtId="0" fontId="1" fillId="18" borderId="12" xfId="0" applyFont="1" applyFill="1" applyBorder="1" applyAlignment="1">
      <alignment horizontal="center" vertical="center"/>
    </xf>
    <xf numFmtId="0" fontId="0" fillId="7" borderId="38" xfId="0" applyFill="1" applyBorder="1"/>
    <xf numFmtId="0" fontId="0" fillId="7" borderId="10" xfId="0" applyFill="1" applyBorder="1" applyAlignment="1">
      <alignment horizontal="left" indent="1"/>
    </xf>
    <xf numFmtId="0" fontId="1" fillId="0" borderId="26" xfId="0" applyFont="1" applyFill="1" applyBorder="1" applyAlignment="1">
      <alignment horizontal="justify" vertical="center"/>
    </xf>
    <xf numFmtId="0" fontId="1" fillId="0" borderId="1" xfId="0" applyFont="1" applyFill="1" applyBorder="1"/>
    <xf numFmtId="0" fontId="0" fillId="7" borderId="27" xfId="0" applyFill="1" applyBorder="1"/>
    <xf numFmtId="0" fontId="0" fillId="7" borderId="27" xfId="0" applyFill="1" applyBorder="1" applyAlignment="1">
      <alignment horizontal="center"/>
    </xf>
    <xf numFmtId="0" fontId="1" fillId="7" borderId="27" xfId="0" applyFont="1" applyFill="1" applyBorder="1" applyAlignment="1">
      <alignment horizontal="left" vertical="top" wrapText="1"/>
    </xf>
    <xf numFmtId="0" fontId="1" fillId="7" borderId="27" xfId="0" applyFont="1" applyFill="1" applyBorder="1"/>
    <xf numFmtId="0" fontId="0" fillId="7" borderId="11" xfId="0" applyFill="1" applyBorder="1"/>
    <xf numFmtId="0" fontId="26" fillId="7" borderId="10" xfId="0" applyFont="1" applyFill="1" applyBorder="1" applyAlignment="1"/>
    <xf numFmtId="0" fontId="1" fillId="0" borderId="1" xfId="0" applyFont="1" applyFill="1" applyBorder="1" applyAlignment="1">
      <alignment horizontal="left" wrapText="1"/>
    </xf>
    <xf numFmtId="0" fontId="26" fillId="7" borderId="0" xfId="0" applyFont="1" applyFill="1" applyAlignment="1">
      <alignment vertical="center"/>
    </xf>
    <xf numFmtId="0" fontId="16" fillId="0" borderId="2" xfId="0" applyFont="1" applyFill="1" applyBorder="1" applyAlignment="1">
      <alignment horizontal="justify" vertical="center" wrapText="1"/>
    </xf>
    <xf numFmtId="0" fontId="1" fillId="7" borderId="2" xfId="0" applyFont="1" applyFill="1" applyBorder="1" applyAlignment="1">
      <alignment horizontal="center" vertical="center"/>
    </xf>
    <xf numFmtId="49" fontId="26" fillId="0" borderId="2" xfId="0" applyNumberFormat="1" applyFont="1" applyFill="1" applyBorder="1" applyAlignment="1">
      <alignment horizontal="center" vertical="center" wrapText="1"/>
    </xf>
    <xf numFmtId="49" fontId="1" fillId="0" borderId="9" xfId="0" applyNumberFormat="1" applyFont="1" applyFill="1" applyBorder="1" applyAlignment="1">
      <alignment horizontal="center" vertical="center"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0" xfId="0" applyFont="1" applyBorder="1" applyAlignment="1">
      <alignment horizontal="justify" vertical="center" wrapText="1"/>
    </xf>
    <xf numFmtId="0" fontId="0" fillId="7" borderId="37" xfId="0" applyFill="1" applyBorder="1"/>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23" fillId="0" borderId="1" xfId="0" applyFont="1" applyFill="1" applyBorder="1" applyAlignment="1">
      <alignment horizontal="justify" vertical="center" wrapText="1"/>
    </xf>
    <xf numFmtId="0" fontId="26" fillId="18" borderId="0" xfId="0" applyFont="1" applyFill="1"/>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0" xfId="0" applyFont="1" applyBorder="1" applyAlignment="1">
      <alignment horizontal="justify" vertical="center" wrapText="1"/>
    </xf>
    <xf numFmtId="0" fontId="1" fillId="0" borderId="2" xfId="0" applyFont="1" applyFill="1" applyBorder="1" applyAlignment="1">
      <alignment horizontal="left" vertical="center" wrapText="1" readingOrder="1"/>
    </xf>
    <xf numFmtId="0" fontId="31" fillId="0" borderId="2" xfId="0" applyFont="1" applyFill="1" applyBorder="1"/>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0" xfId="0" applyFont="1" applyBorder="1" applyAlignment="1">
      <alignment horizontal="justify" vertical="center" wrapText="1"/>
    </xf>
    <xf numFmtId="0" fontId="1" fillId="15" borderId="2" xfId="0" applyFont="1" applyFill="1" applyBorder="1" applyAlignment="1">
      <alignment horizontal="center"/>
    </xf>
    <xf numFmtId="0" fontId="1" fillId="10" borderId="2" xfId="0" applyFont="1" applyFill="1" applyBorder="1" applyAlignment="1">
      <alignment horizontal="center" vertical="center" wrapText="1"/>
    </xf>
    <xf numFmtId="0" fontId="0" fillId="10" borderId="2" xfId="0" applyFill="1" applyBorder="1" applyAlignment="1">
      <alignment horizontal="center" vertical="center" wrapText="1"/>
    </xf>
    <xf numFmtId="49" fontId="12" fillId="0" borderId="1" xfId="0" applyNumberFormat="1" applyFont="1" applyFill="1" applyBorder="1" applyAlignment="1">
      <alignment horizontal="center" vertical="center" wrapText="1"/>
    </xf>
    <xf numFmtId="0" fontId="0" fillId="0" borderId="1" xfId="0" applyFill="1" applyBorder="1" applyAlignment="1">
      <alignment vertical="center" wrapText="1"/>
    </xf>
    <xf numFmtId="0" fontId="0" fillId="0" borderId="9" xfId="0" applyFill="1" applyBorder="1" applyAlignment="1">
      <alignment horizontal="justify" vertical="center"/>
    </xf>
    <xf numFmtId="0" fontId="0" fillId="0" borderId="9" xfId="0" applyFill="1" applyBorder="1" applyAlignment="1">
      <alignment wrapText="1"/>
    </xf>
    <xf numFmtId="0" fontId="0" fillId="0" borderId="12" xfId="0" applyFill="1" applyBorder="1"/>
    <xf numFmtId="0" fontId="1" fillId="18" borderId="9" xfId="0" applyFont="1" applyFill="1" applyBorder="1" applyAlignment="1">
      <alignment horizontal="center" vertical="center"/>
    </xf>
    <xf numFmtId="0" fontId="1" fillId="7" borderId="0" xfId="0" applyFont="1" applyFill="1" applyAlignment="1">
      <alignment horizontal="center" vertical="center"/>
    </xf>
    <xf numFmtId="0" fontId="1" fillId="7" borderId="2" xfId="0" applyFont="1" applyFill="1" applyBorder="1" applyAlignment="1">
      <alignment horizontal="center" vertical="center" wrapText="1"/>
    </xf>
    <xf numFmtId="0" fontId="0" fillId="0" borderId="1" xfId="0" applyFill="1" applyBorder="1" applyAlignment="1">
      <alignment horizontal="center" vertical="center" wrapText="1"/>
    </xf>
    <xf numFmtId="0" fontId="0" fillId="0" borderId="9" xfId="0" applyFill="1" applyBorder="1" applyAlignment="1">
      <alignment horizontal="center" vertical="center" wrapText="1"/>
    </xf>
    <xf numFmtId="0" fontId="0" fillId="7" borderId="10" xfId="0" applyFill="1" applyBorder="1" applyAlignment="1">
      <alignment horizontal="left" vertical="center"/>
    </xf>
    <xf numFmtId="0" fontId="0" fillId="0" borderId="9" xfId="0" applyFont="1" applyFill="1" applyBorder="1" applyAlignment="1">
      <alignment vertical="center" wrapText="1"/>
    </xf>
    <xf numFmtId="0" fontId="0" fillId="0" borderId="9" xfId="0" applyFont="1" applyFill="1" applyBorder="1" applyAlignment="1">
      <alignment horizontal="center" vertical="center" wrapText="1"/>
    </xf>
    <xf numFmtId="49" fontId="1" fillId="0" borderId="1" xfId="0" applyNumberFormat="1" applyFont="1" applyFill="1" applyBorder="1" applyAlignment="1">
      <alignment vertical="center" wrapText="1"/>
    </xf>
    <xf numFmtId="49" fontId="1" fillId="0" borderId="1" xfId="0" applyNumberFormat="1" applyFont="1" applyFill="1" applyBorder="1" applyAlignment="1">
      <alignment horizontal="center" vertical="center" wrapText="1"/>
    </xf>
    <xf numFmtId="0" fontId="26" fillId="18" borderId="10" xfId="0" applyFont="1" applyFill="1" applyBorder="1" applyAlignment="1">
      <alignment horizontal="left" vertical="center"/>
    </xf>
    <xf numFmtId="0" fontId="0" fillId="7" borderId="27" xfId="0" applyFill="1" applyBorder="1" applyAlignment="1">
      <alignment vertical="center"/>
    </xf>
    <xf numFmtId="0" fontId="1" fillId="7" borderId="27" xfId="0" applyFont="1" applyFill="1" applyBorder="1" applyAlignment="1">
      <alignment horizontal="center" vertical="center"/>
    </xf>
    <xf numFmtId="0" fontId="0" fillId="7" borderId="27" xfId="0" applyFill="1" applyBorder="1" applyAlignment="1">
      <alignment horizontal="center" vertical="center"/>
    </xf>
    <xf numFmtId="0" fontId="1" fillId="7" borderId="27" xfId="0" applyFont="1" applyFill="1" applyBorder="1" applyAlignment="1">
      <alignment horizontal="center" vertical="center" wrapText="1"/>
    </xf>
    <xf numFmtId="0" fontId="1" fillId="7" borderId="27" xfId="0" applyFont="1" applyFill="1" applyBorder="1" applyAlignment="1">
      <alignment horizontal="left" vertical="center" wrapText="1"/>
    </xf>
    <xf numFmtId="0" fontId="1" fillId="7" borderId="27" xfId="0" applyFont="1" applyFill="1" applyBorder="1" applyAlignment="1">
      <alignment vertical="center"/>
    </xf>
    <xf numFmtId="0" fontId="0" fillId="7" borderId="11" xfId="0" applyFill="1" applyBorder="1" applyAlignment="1">
      <alignment vertical="center"/>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0" borderId="0" xfId="0" applyFont="1" applyBorder="1" applyAlignment="1">
      <alignment horizontal="justify" vertical="center" wrapText="1"/>
    </xf>
    <xf numFmtId="0" fontId="22" fillId="0" borderId="2" xfId="0" applyFont="1" applyFill="1" applyBorder="1" applyAlignment="1">
      <alignment horizontal="left" vertical="center"/>
    </xf>
    <xf numFmtId="0" fontId="22" fillId="0" borderId="1" xfId="0" applyFont="1" applyFill="1" applyBorder="1" applyAlignment="1">
      <alignment horizontal="left" vertical="center"/>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4" fillId="3" borderId="4" xfId="0" applyFont="1" applyFill="1" applyBorder="1" applyAlignment="1">
      <alignment horizontal="left" vertical="center"/>
    </xf>
    <xf numFmtId="0" fontId="1" fillId="0" borderId="0" xfId="0" applyFont="1" applyBorder="1" applyAlignment="1">
      <alignment horizontal="justify" vertical="center" wrapText="1"/>
    </xf>
    <xf numFmtId="0" fontId="26" fillId="7" borderId="27" xfId="0" applyFont="1" applyFill="1" applyBorder="1" applyAlignment="1">
      <alignment horizontal="left" vertical="center"/>
    </xf>
    <xf numFmtId="0" fontId="0" fillId="0" borderId="9" xfId="0" applyFill="1" applyBorder="1" applyAlignment="1">
      <alignment horizontal="center"/>
    </xf>
    <xf numFmtId="0" fontId="26" fillId="7" borderId="0" xfId="0" applyFont="1" applyFill="1" applyAlignment="1"/>
    <xf numFmtId="0" fontId="1" fillId="17" borderId="2" xfId="0" applyFont="1" applyFill="1" applyBorder="1" applyAlignment="1">
      <alignment wrapText="1"/>
    </xf>
    <xf numFmtId="0" fontId="1" fillId="0" borderId="0" xfId="0" applyFont="1" applyBorder="1" applyAlignment="1">
      <alignment horizontal="justify" wrapText="1"/>
    </xf>
    <xf numFmtId="0" fontId="1" fillId="0" borderId="0" xfId="0" applyFont="1" applyFill="1" applyBorder="1" applyAlignment="1">
      <alignment horizontal="justify" wrapText="1"/>
    </xf>
    <xf numFmtId="0" fontId="1" fillId="0" borderId="2" xfId="0" applyFont="1" applyBorder="1" applyAlignment="1">
      <alignment horizontal="justify" wrapText="1"/>
    </xf>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 fillId="9" borderId="1" xfId="0" applyFont="1" applyFill="1" applyBorder="1" applyAlignment="1">
      <alignment horizontal="left" vertical="center" wrapText="1"/>
    </xf>
    <xf numFmtId="0" fontId="33" fillId="0" borderId="2" xfId="0" applyFont="1" applyFill="1" applyBorder="1" applyAlignment="1">
      <alignment horizontal="justify" vertical="center"/>
    </xf>
    <xf numFmtId="0" fontId="0" fillId="9" borderId="2" xfId="0" applyFill="1" applyBorder="1"/>
    <xf numFmtId="0" fontId="1" fillId="9" borderId="2" xfId="0" applyFont="1" applyFill="1" applyBorder="1" applyAlignment="1">
      <alignment horizontal="left" vertical="center"/>
    </xf>
    <xf numFmtId="0" fontId="0" fillId="9" borderId="2" xfId="0" applyFill="1" applyBorder="1" applyAlignment="1">
      <alignment horizontal="center"/>
    </xf>
    <xf numFmtId="0" fontId="1" fillId="9" borderId="2" xfId="0" applyFont="1" applyFill="1" applyBorder="1"/>
    <xf numFmtId="0" fontId="0" fillId="9" borderId="2" xfId="0" applyFill="1" applyBorder="1" applyAlignment="1">
      <alignment vertical="center"/>
    </xf>
    <xf numFmtId="0" fontId="0" fillId="9" borderId="1" xfId="0" applyFill="1" applyBorder="1" applyAlignment="1">
      <alignment vertical="center"/>
    </xf>
    <xf numFmtId="0" fontId="1" fillId="9" borderId="1" xfId="0" applyFont="1" applyFill="1" applyBorder="1" applyAlignment="1">
      <alignment vertical="center" wrapText="1"/>
    </xf>
    <xf numFmtId="0" fontId="1" fillId="9" borderId="2" xfId="0" applyFont="1" applyFill="1" applyBorder="1" applyAlignment="1">
      <alignment horizontal="left"/>
    </xf>
    <xf numFmtId="49" fontId="1" fillId="9" borderId="11" xfId="0" applyNumberFormat="1" applyFont="1" applyFill="1" applyBorder="1" applyAlignment="1">
      <alignment horizontal="center" vertical="center"/>
    </xf>
    <xf numFmtId="0" fontId="1" fillId="9" borderId="2" xfId="0" applyFont="1" applyFill="1" applyBorder="1" applyAlignment="1">
      <alignment horizontal="center"/>
    </xf>
    <xf numFmtId="0" fontId="26" fillId="9" borderId="2" xfId="0" applyFont="1" applyFill="1" applyBorder="1" applyAlignment="1">
      <alignment horizontal="center" vertical="center"/>
    </xf>
    <xf numFmtId="0" fontId="1" fillId="9" borderId="9" xfId="0" applyFont="1" applyFill="1" applyBorder="1" applyAlignment="1">
      <alignment horizontal="justify" vertical="center" wrapText="1"/>
    </xf>
    <xf numFmtId="0" fontId="1" fillId="9" borderId="9" xfId="0" applyFont="1" applyFill="1" applyBorder="1" applyAlignment="1">
      <alignment horizontal="center" vertical="center"/>
    </xf>
    <xf numFmtId="0" fontId="1" fillId="9" borderId="2" xfId="0" applyFont="1" applyFill="1" applyBorder="1" applyAlignment="1"/>
    <xf numFmtId="0" fontId="1" fillId="14" borderId="2" xfId="0" applyFont="1" applyFill="1" applyBorder="1" applyAlignment="1">
      <alignment horizontal="left" vertical="center" wrapText="1"/>
    </xf>
    <xf numFmtId="0" fontId="34" fillId="0" borderId="10" xfId="0" applyFont="1" applyBorder="1" applyAlignment="1">
      <alignment horizontal="center" vertical="top" wrapText="1"/>
    </xf>
    <xf numFmtId="0" fontId="34" fillId="0" borderId="27" xfId="0" applyFont="1" applyBorder="1" applyAlignment="1">
      <alignment horizontal="center" vertical="top" wrapText="1"/>
    </xf>
    <xf numFmtId="0" fontId="34" fillId="0" borderId="11" xfId="0" applyFont="1" applyBorder="1" applyAlignment="1">
      <alignment horizontal="center" vertical="top" wrapText="1"/>
    </xf>
    <xf numFmtId="0" fontId="34" fillId="0" borderId="2" xfId="0" applyFont="1" applyBorder="1" applyAlignment="1">
      <alignment horizontal="center" vertical="top" wrapText="1"/>
    </xf>
    <xf numFmtId="0" fontId="12" fillId="0" borderId="0" xfId="0" applyFont="1" applyAlignment="1">
      <alignment horizontal="left"/>
    </xf>
    <xf numFmtId="0" fontId="28" fillId="0" borderId="0" xfId="0" applyFont="1" applyAlignment="1">
      <alignment horizontal="center"/>
    </xf>
    <xf numFmtId="0" fontId="35" fillId="0" borderId="2" xfId="0" applyFont="1" applyBorder="1" applyAlignment="1">
      <alignment horizontal="center" vertical="top" wrapText="1"/>
    </xf>
    <xf numFmtId="0" fontId="14" fillId="0" borderId="0" xfId="0" applyFont="1" applyAlignment="1">
      <alignment horizontal="center"/>
    </xf>
    <xf numFmtId="0" fontId="26" fillId="0" borderId="0" xfId="0" applyFont="1" applyAlignment="1">
      <alignment horizontal="left"/>
    </xf>
    <xf numFmtId="0" fontId="14" fillId="4" borderId="0" xfId="0" applyFont="1" applyFill="1" applyAlignment="1">
      <alignment horizontal="center"/>
    </xf>
    <xf numFmtId="0" fontId="14" fillId="12" borderId="15" xfId="0" applyFont="1" applyFill="1" applyBorder="1" applyAlignment="1">
      <alignment horizontal="center" vertical="center" textRotation="90" wrapText="1"/>
    </xf>
    <xf numFmtId="0" fontId="14" fillId="12" borderId="30" xfId="0" applyFont="1" applyFill="1" applyBorder="1" applyAlignment="1">
      <alignment horizontal="center" vertical="center" textRotation="90" wrapText="1"/>
    </xf>
    <xf numFmtId="0" fontId="14" fillId="3" borderId="3" xfId="0" applyFont="1" applyFill="1" applyBorder="1" applyAlignment="1">
      <alignment horizontal="center" vertical="center" textRotation="90" wrapText="1"/>
    </xf>
    <xf numFmtId="0" fontId="14" fillId="3" borderId="13" xfId="0" applyFont="1" applyFill="1" applyBorder="1" applyAlignment="1">
      <alignment horizontal="center" vertical="center" textRotation="90" wrapText="1"/>
    </xf>
    <xf numFmtId="0" fontId="14" fillId="3" borderId="4" xfId="0" applyFont="1" applyFill="1" applyBorder="1" applyAlignment="1">
      <alignment horizontal="left" vertical="center"/>
    </xf>
    <xf numFmtId="0" fontId="36" fillId="12" borderId="3" xfId="0" applyFont="1" applyFill="1" applyBorder="1" applyAlignment="1">
      <alignment horizontal="center" vertical="center" textRotation="90" wrapText="1"/>
    </xf>
    <xf numFmtId="0" fontId="36" fillId="12" borderId="13" xfId="0" applyFont="1" applyFill="1" applyBorder="1" applyAlignment="1">
      <alignment horizontal="center" vertical="center" textRotation="90" wrapText="1"/>
    </xf>
    <xf numFmtId="0" fontId="5" fillId="0" borderId="0" xfId="0" applyFont="1" applyFill="1" applyBorder="1" applyAlignment="1">
      <alignment horizontal="center" vertical="center"/>
    </xf>
    <xf numFmtId="0" fontId="14" fillId="5" borderId="3" xfId="0" applyFont="1" applyFill="1" applyBorder="1" applyAlignment="1">
      <alignment horizontal="center" vertical="center" textRotation="90" wrapText="1"/>
    </xf>
    <xf numFmtId="0" fontId="14" fillId="5" borderId="13" xfId="0" applyFont="1" applyFill="1" applyBorder="1" applyAlignment="1">
      <alignment horizontal="center" vertical="center" textRotation="90" wrapText="1"/>
    </xf>
    <xf numFmtId="0" fontId="3" fillId="0" borderId="0" xfId="0" applyFont="1" applyFill="1" applyBorder="1" applyAlignment="1">
      <alignment horizontal="center" vertical="center" textRotation="90"/>
    </xf>
    <xf numFmtId="0" fontId="14" fillId="3" borderId="3" xfId="0" applyFont="1" applyFill="1" applyBorder="1" applyAlignment="1">
      <alignment horizontal="center" vertical="center" textRotation="90"/>
    </xf>
    <xf numFmtId="0" fontId="14" fillId="3" borderId="13" xfId="0" applyFont="1" applyFill="1" applyBorder="1" applyAlignment="1">
      <alignment horizontal="center" vertical="center" textRotation="90"/>
    </xf>
    <xf numFmtId="0" fontId="14" fillId="4" borderId="3" xfId="0" applyFont="1" applyFill="1" applyBorder="1" applyAlignment="1">
      <alignment horizontal="center" vertical="center" textRotation="90"/>
    </xf>
    <xf numFmtId="0" fontId="14" fillId="4" borderId="13" xfId="0" applyFont="1" applyFill="1" applyBorder="1" applyAlignment="1">
      <alignment horizontal="center" vertical="center" textRotation="90"/>
    </xf>
    <xf numFmtId="0" fontId="10" fillId="0" borderId="0" xfId="1" applyFont="1" applyFill="1" applyBorder="1" applyAlignment="1">
      <alignment horizontal="center" vertical="center" wrapText="1"/>
    </xf>
    <xf numFmtId="0" fontId="7" fillId="0" borderId="0" xfId="1" applyFont="1" applyFill="1" applyBorder="1" applyAlignment="1">
      <alignment horizontal="center" vertical="center" wrapText="1"/>
    </xf>
    <xf numFmtId="0" fontId="4" fillId="0" borderId="0" xfId="0" applyFont="1" applyFill="1" applyBorder="1" applyAlignment="1">
      <alignment horizontal="center" vertical="center"/>
    </xf>
    <xf numFmtId="0" fontId="6" fillId="0" borderId="0" xfId="0" applyFont="1" applyFill="1" applyBorder="1" applyAlignment="1">
      <alignment horizontal="center" vertical="center"/>
    </xf>
    <xf numFmtId="0" fontId="14" fillId="8" borderId="3" xfId="0" applyFont="1" applyFill="1" applyBorder="1" applyAlignment="1">
      <alignment horizontal="center" vertical="center" textRotation="90"/>
    </xf>
    <xf numFmtId="0" fontId="14" fillId="8" borderId="13" xfId="0" applyFont="1" applyFill="1" applyBorder="1" applyAlignment="1">
      <alignment horizontal="center" vertical="center" textRotation="90"/>
    </xf>
    <xf numFmtId="0" fontId="3" fillId="0" borderId="0" xfId="0" applyFont="1" applyFill="1" applyBorder="1" applyAlignment="1">
      <alignment horizontal="center" vertical="center" wrapText="1"/>
    </xf>
    <xf numFmtId="0" fontId="9" fillId="0" borderId="0" xfId="1" applyFont="1" applyFill="1" applyBorder="1" applyAlignment="1">
      <alignment horizontal="center" vertical="center" wrapText="1"/>
    </xf>
    <xf numFmtId="0" fontId="26" fillId="7" borderId="26" xfId="0" applyFont="1" applyFill="1" applyBorder="1" applyAlignment="1">
      <alignment horizontal="left" vertical="center"/>
    </xf>
    <xf numFmtId="0" fontId="26" fillId="7" borderId="36" xfId="0" applyFont="1" applyFill="1" applyBorder="1" applyAlignment="1">
      <alignment horizontal="left" vertical="center"/>
    </xf>
    <xf numFmtId="0" fontId="26" fillId="7" borderId="37" xfId="0" applyFont="1" applyFill="1" applyBorder="1" applyAlignment="1">
      <alignment horizontal="left" vertical="center"/>
    </xf>
    <xf numFmtId="0" fontId="14" fillId="8" borderId="5" xfId="0" applyFont="1" applyFill="1" applyBorder="1" applyAlignment="1">
      <alignment horizontal="left" vertical="center"/>
    </xf>
    <xf numFmtId="0" fontId="14" fillId="8" borderId="4" xfId="0" applyFont="1" applyFill="1" applyBorder="1" applyAlignment="1">
      <alignment horizontal="left" vertical="center"/>
    </xf>
    <xf numFmtId="0" fontId="14" fillId="8" borderId="6" xfId="0" applyFont="1" applyFill="1" applyBorder="1" applyAlignment="1">
      <alignment horizontal="left" vertical="center"/>
    </xf>
    <xf numFmtId="0" fontId="14" fillId="8" borderId="25" xfId="0" applyFont="1" applyFill="1" applyBorder="1" applyAlignment="1">
      <alignment horizontal="center" vertical="center" textRotation="90"/>
    </xf>
    <xf numFmtId="0" fontId="14" fillId="8" borderId="14" xfId="0" applyFont="1" applyFill="1" applyBorder="1" applyAlignment="1">
      <alignment horizontal="center" vertical="center" textRotation="90"/>
    </xf>
    <xf numFmtId="0" fontId="14" fillId="12" borderId="5" xfId="0" applyFont="1" applyFill="1" applyBorder="1" applyAlignment="1">
      <alignment horizontal="center" vertical="center"/>
    </xf>
    <xf numFmtId="0" fontId="14" fillId="12" borderId="4" xfId="0" applyFont="1" applyFill="1" applyBorder="1" applyAlignment="1">
      <alignment horizontal="center" vertical="center"/>
    </xf>
    <xf numFmtId="0" fontId="14" fillId="12" borderId="6" xfId="0" applyFont="1" applyFill="1" applyBorder="1" applyAlignment="1">
      <alignment horizontal="center" vertical="center"/>
    </xf>
    <xf numFmtId="0" fontId="14" fillId="3" borderId="5" xfId="0" applyFont="1" applyFill="1" applyBorder="1" applyAlignment="1">
      <alignment horizontal="left" vertical="center"/>
    </xf>
    <xf numFmtId="0" fontId="14" fillId="4" borderId="3" xfId="0" applyFont="1" applyFill="1" applyBorder="1" applyAlignment="1">
      <alignment horizontal="center" vertical="center" textRotation="90" wrapText="1"/>
    </xf>
    <xf numFmtId="0" fontId="14" fillId="4" borderId="13" xfId="0" applyFont="1" applyFill="1" applyBorder="1" applyAlignment="1">
      <alignment horizontal="center" vertical="center" textRotation="90" wrapText="1"/>
    </xf>
    <xf numFmtId="0" fontId="14" fillId="12" borderId="3" xfId="0" applyFont="1" applyFill="1" applyBorder="1" applyAlignment="1">
      <alignment horizontal="center" vertical="center" textRotation="90" wrapText="1"/>
    </xf>
    <xf numFmtId="0" fontId="14" fillId="12" borderId="13" xfId="0" applyFont="1" applyFill="1" applyBorder="1" applyAlignment="1">
      <alignment horizontal="center" vertical="center" textRotation="90" wrapText="1"/>
    </xf>
    <xf numFmtId="0" fontId="14" fillId="8" borderId="29" xfId="0" applyFont="1" applyFill="1" applyBorder="1" applyAlignment="1">
      <alignment horizontal="center" vertical="center" textRotation="90"/>
    </xf>
    <xf numFmtId="0" fontId="14" fillId="3" borderId="15" xfId="0" applyFont="1" applyFill="1" applyBorder="1" applyAlignment="1">
      <alignment horizontal="center" vertical="center" textRotation="90" wrapText="1"/>
    </xf>
    <xf numFmtId="0" fontId="14" fillId="3" borderId="30" xfId="0" applyFont="1" applyFill="1" applyBorder="1" applyAlignment="1">
      <alignment horizontal="center" vertical="center" textRotation="90" wrapText="1"/>
    </xf>
    <xf numFmtId="0" fontId="14" fillId="3" borderId="16" xfId="0" applyFont="1" applyFill="1" applyBorder="1" applyAlignment="1">
      <alignment horizontal="center" vertical="center" textRotation="90" wrapText="1"/>
    </xf>
    <xf numFmtId="0" fontId="14" fillId="3" borderId="31" xfId="0" applyFont="1" applyFill="1" applyBorder="1" applyAlignment="1">
      <alignment horizontal="center" vertical="center" textRotation="90" wrapText="1"/>
    </xf>
    <xf numFmtId="0" fontId="14" fillId="8" borderId="5" xfId="0" applyFont="1" applyFill="1" applyBorder="1" applyAlignment="1">
      <alignment horizontal="left"/>
    </xf>
    <xf numFmtId="0" fontId="14" fillId="8" borderId="6" xfId="0" applyFont="1" applyFill="1" applyBorder="1" applyAlignment="1">
      <alignment horizontal="left"/>
    </xf>
    <xf numFmtId="0" fontId="36" fillId="12" borderId="8" xfId="0" applyFont="1" applyFill="1" applyBorder="1" applyAlignment="1">
      <alignment horizontal="center" vertical="center" textRotation="90" wrapText="1"/>
    </xf>
    <xf numFmtId="0" fontId="14" fillId="12" borderId="28" xfId="0" applyFont="1" applyFill="1" applyBorder="1" applyAlignment="1">
      <alignment horizontal="center" vertical="center" textRotation="90" wrapText="1"/>
    </xf>
    <xf numFmtId="0" fontId="14" fillId="4" borderId="3" xfId="0" applyFont="1" applyFill="1" applyBorder="1" applyAlignment="1">
      <alignment horizontal="center" textRotation="90"/>
    </xf>
    <xf numFmtId="0" fontId="14" fillId="4" borderId="13" xfId="0" applyFont="1" applyFill="1" applyBorder="1" applyAlignment="1">
      <alignment horizontal="center" textRotation="90"/>
    </xf>
    <xf numFmtId="0" fontId="1" fillId="0" borderId="1" xfId="0" applyFont="1" applyBorder="1" applyAlignment="1">
      <alignment horizontal="justify" vertical="center" wrapText="1"/>
    </xf>
    <xf numFmtId="0" fontId="1" fillId="0" borderId="2" xfId="0" applyFont="1" applyBorder="1" applyAlignment="1">
      <alignment horizontal="justify" vertical="center" wrapText="1"/>
    </xf>
    <xf numFmtId="0" fontId="1" fillId="0" borderId="0" xfId="0" applyFont="1" applyBorder="1" applyAlignment="1">
      <alignment horizontal="justify" vertical="center" wrapText="1"/>
    </xf>
    <xf numFmtId="0" fontId="14" fillId="8" borderId="15" xfId="0" applyFont="1" applyFill="1" applyBorder="1" applyAlignment="1">
      <alignment horizontal="left" vertical="center"/>
    </xf>
    <xf numFmtId="0" fontId="14" fillId="8" borderId="25" xfId="0" applyFont="1" applyFill="1" applyBorder="1" applyAlignment="1">
      <alignment horizontal="left" vertical="center"/>
    </xf>
    <xf numFmtId="0" fontId="14" fillId="8" borderId="16" xfId="0" applyFont="1" applyFill="1" applyBorder="1" applyAlignment="1">
      <alignment horizontal="left" vertical="center"/>
    </xf>
    <xf numFmtId="0" fontId="1" fillId="0" borderId="2" xfId="0" applyFont="1" applyBorder="1" applyAlignment="1">
      <alignment horizontal="justify" wrapText="1"/>
    </xf>
    <xf numFmtId="0" fontId="1" fillId="0" borderId="0" xfId="0" applyFont="1" applyBorder="1" applyAlignment="1">
      <alignment horizontal="justify" wrapText="1"/>
    </xf>
    <xf numFmtId="0" fontId="1" fillId="0" borderId="1" xfId="0" applyFont="1" applyBorder="1" applyAlignment="1">
      <alignment horizontal="justify" wrapText="1"/>
    </xf>
    <xf numFmtId="0" fontId="5" fillId="0" borderId="0" xfId="0" applyFont="1" applyAlignment="1">
      <alignment horizontal="center" vertical="center"/>
    </xf>
  </cellXfs>
  <cellStyles count="2">
    <cellStyle name="Normal" xfId="0" builtinId="0"/>
    <cellStyle name="Normal_Sheet1" xfId="1" xr:uid="{00000000-0005-0000-0000-000001000000}"/>
  </cellStyles>
  <dxfs count="36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0066"/>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B2:AA50"/>
  <sheetViews>
    <sheetView showRuler="0" topLeftCell="B10" workbookViewId="0">
      <selection activeCell="U33" sqref="U33"/>
    </sheetView>
  </sheetViews>
  <sheetFormatPr defaultColWidth="8.88671875" defaultRowHeight="13.2"/>
  <cols>
    <col min="2" max="25" width="5.6640625" customWidth="1"/>
  </cols>
  <sheetData>
    <row r="2" spans="2:25" ht="21">
      <c r="B2" s="630" t="s">
        <v>0</v>
      </c>
      <c r="C2" s="630"/>
      <c r="D2" s="630"/>
      <c r="E2" s="630"/>
      <c r="F2" s="630"/>
      <c r="G2" s="630"/>
      <c r="H2" s="630"/>
      <c r="I2" s="630"/>
      <c r="J2" s="630"/>
      <c r="K2" s="630"/>
      <c r="L2" s="630"/>
      <c r="M2" s="630"/>
      <c r="N2" s="630"/>
      <c r="O2" s="630"/>
      <c r="P2" s="630"/>
    </row>
    <row r="3" spans="2:25" ht="15">
      <c r="B3" s="318"/>
    </row>
    <row r="4" spans="2:25" ht="15.6" thickBot="1">
      <c r="B4" s="318" t="s">
        <v>1</v>
      </c>
    </row>
    <row r="5" spans="2:25" ht="15.6" thickBot="1">
      <c r="B5" s="319">
        <v>1</v>
      </c>
      <c r="C5" s="320">
        <v>2</v>
      </c>
      <c r="D5" s="320">
        <v>3</v>
      </c>
      <c r="E5" s="320">
        <v>4</v>
      </c>
      <c r="F5" s="320">
        <v>5</v>
      </c>
      <c r="G5" s="320">
        <v>6</v>
      </c>
      <c r="H5" s="320">
        <v>7</v>
      </c>
      <c r="I5" s="320">
        <v>8</v>
      </c>
      <c r="J5" s="320">
        <v>9</v>
      </c>
      <c r="K5" s="320">
        <v>10</v>
      </c>
      <c r="L5" s="320">
        <v>11</v>
      </c>
      <c r="M5" s="320">
        <v>12</v>
      </c>
      <c r="N5" s="320">
        <v>13</v>
      </c>
      <c r="O5" s="320">
        <v>14</v>
      </c>
      <c r="P5" s="320">
        <v>15</v>
      </c>
      <c r="Q5" s="320">
        <v>16</v>
      </c>
      <c r="R5" s="320">
        <v>17</v>
      </c>
      <c r="S5" s="320">
        <v>18</v>
      </c>
      <c r="T5" s="320">
        <v>19</v>
      </c>
      <c r="U5" s="320">
        <v>20</v>
      </c>
      <c r="V5" s="320">
        <v>21</v>
      </c>
      <c r="W5" s="320">
        <v>22</v>
      </c>
      <c r="X5" s="320">
        <v>23</v>
      </c>
      <c r="Y5" s="320">
        <v>24</v>
      </c>
    </row>
    <row r="6" spans="2:25" ht="16.2" thickBot="1">
      <c r="B6" s="76" t="s">
        <v>2</v>
      </c>
      <c r="C6" s="77" t="s">
        <v>2</v>
      </c>
      <c r="D6" s="77" t="s">
        <v>2</v>
      </c>
      <c r="E6" s="77" t="s">
        <v>2</v>
      </c>
      <c r="F6" s="77" t="s">
        <v>3</v>
      </c>
      <c r="G6" s="77" t="s">
        <v>4</v>
      </c>
      <c r="H6" s="77" t="s">
        <v>4</v>
      </c>
      <c r="I6" s="77" t="s">
        <v>4</v>
      </c>
      <c r="J6" s="77" t="s">
        <v>4</v>
      </c>
      <c r="K6" s="77" t="s">
        <v>4</v>
      </c>
      <c r="L6" s="77" t="s">
        <v>4</v>
      </c>
      <c r="M6" s="77" t="s">
        <v>4</v>
      </c>
      <c r="N6" s="77" t="s">
        <v>3</v>
      </c>
      <c r="O6" s="77" t="s">
        <v>5</v>
      </c>
      <c r="P6" s="77" t="s">
        <v>5</v>
      </c>
      <c r="Q6" s="77" t="s">
        <v>5</v>
      </c>
      <c r="R6" s="77" t="s">
        <v>5</v>
      </c>
      <c r="S6" s="77" t="s">
        <v>5</v>
      </c>
      <c r="T6" s="77" t="s">
        <v>5</v>
      </c>
      <c r="U6" s="77" t="s">
        <v>3</v>
      </c>
      <c r="V6" s="77" t="s">
        <v>6</v>
      </c>
      <c r="W6" s="77" t="s">
        <v>6</v>
      </c>
      <c r="X6" s="77" t="s">
        <v>6</v>
      </c>
      <c r="Y6" s="77" t="s">
        <v>6</v>
      </c>
    </row>
    <row r="7" spans="2:25" ht="15">
      <c r="B7" s="321"/>
      <c r="C7" s="78"/>
      <c r="D7" s="78"/>
      <c r="E7" s="78"/>
      <c r="F7" s="78"/>
      <c r="G7" s="78"/>
      <c r="H7" s="78"/>
      <c r="I7" s="78"/>
      <c r="J7" s="78"/>
      <c r="K7" s="78"/>
      <c r="L7" s="78"/>
      <c r="M7" s="78"/>
      <c r="N7" s="78"/>
      <c r="O7" s="78"/>
      <c r="P7" s="78"/>
      <c r="Q7" s="78"/>
      <c r="R7" s="78"/>
      <c r="S7" s="78"/>
      <c r="T7" s="78"/>
      <c r="U7" s="78"/>
      <c r="V7" s="78"/>
      <c r="W7" s="78"/>
      <c r="X7" s="78"/>
      <c r="Y7" s="78"/>
    </row>
    <row r="8" spans="2:25" ht="15.6" thickBot="1">
      <c r="B8" s="388" t="s">
        <v>7</v>
      </c>
      <c r="C8" s="78"/>
      <c r="D8" s="78"/>
      <c r="E8" s="78"/>
      <c r="F8" s="78"/>
      <c r="G8" s="78"/>
      <c r="H8" s="78"/>
      <c r="I8" s="78"/>
      <c r="J8" s="78"/>
      <c r="K8" s="78"/>
      <c r="L8" s="78"/>
      <c r="M8" s="78"/>
      <c r="N8" s="78"/>
      <c r="O8" s="78"/>
      <c r="P8" s="78"/>
      <c r="Q8" s="78"/>
      <c r="R8" s="78"/>
      <c r="S8" s="78"/>
      <c r="T8" s="78"/>
      <c r="U8" s="78"/>
      <c r="V8" s="78"/>
      <c r="W8" s="78"/>
      <c r="X8" s="78"/>
      <c r="Y8" s="78"/>
    </row>
    <row r="9" spans="2:25" ht="15.6" thickBot="1">
      <c r="B9" s="319">
        <v>1</v>
      </c>
      <c r="C9" s="320">
        <v>2</v>
      </c>
      <c r="D9" s="320">
        <v>3</v>
      </c>
      <c r="E9" s="320">
        <v>4</v>
      </c>
      <c r="F9" s="320">
        <v>5</v>
      </c>
      <c r="G9" s="320">
        <v>6</v>
      </c>
      <c r="H9" s="320">
        <v>7</v>
      </c>
      <c r="I9" s="320">
        <v>8</v>
      </c>
      <c r="J9" s="320">
        <v>9</v>
      </c>
      <c r="K9" s="320">
        <v>10</v>
      </c>
      <c r="L9" s="320">
        <v>11</v>
      </c>
      <c r="M9" s="320">
        <v>12</v>
      </c>
      <c r="N9" s="320">
        <v>13</v>
      </c>
      <c r="O9" s="320">
        <v>14</v>
      </c>
      <c r="P9" s="320">
        <v>15</v>
      </c>
      <c r="Q9" s="320">
        <v>16</v>
      </c>
      <c r="R9" s="320">
        <v>17</v>
      </c>
      <c r="S9" s="320">
        <v>18</v>
      </c>
      <c r="T9" s="320">
        <v>19</v>
      </c>
      <c r="U9" s="320">
        <v>20</v>
      </c>
      <c r="V9" s="320">
        <v>21</v>
      </c>
      <c r="W9" s="320">
        <v>22</v>
      </c>
      <c r="X9" s="320">
        <v>23</v>
      </c>
      <c r="Y9" s="320">
        <v>24</v>
      </c>
    </row>
    <row r="10" spans="2:25" ht="16.2" thickBot="1">
      <c r="B10" s="76" t="s">
        <v>2</v>
      </c>
      <c r="C10" s="77" t="s">
        <v>2</v>
      </c>
      <c r="D10" s="77" t="s">
        <v>2</v>
      </c>
      <c r="E10" s="77" t="s">
        <v>2</v>
      </c>
      <c r="F10" s="77" t="s">
        <v>3</v>
      </c>
      <c r="G10" s="77" t="s">
        <v>4</v>
      </c>
      <c r="H10" s="77" t="s">
        <v>4</v>
      </c>
      <c r="I10" s="77" t="s">
        <v>4</v>
      </c>
      <c r="J10" s="77" t="s">
        <v>4</v>
      </c>
      <c r="K10" s="77" t="s">
        <v>4</v>
      </c>
      <c r="L10" s="77" t="s">
        <v>4</v>
      </c>
      <c r="M10" s="77" t="s">
        <v>4</v>
      </c>
      <c r="N10" s="77" t="s">
        <v>3</v>
      </c>
      <c r="O10" s="77" t="s">
        <v>8</v>
      </c>
      <c r="P10" s="77" t="s">
        <v>8</v>
      </c>
      <c r="Q10" s="77" t="s">
        <v>8</v>
      </c>
      <c r="R10" s="77" t="s">
        <v>8</v>
      </c>
      <c r="S10" s="77" t="s">
        <v>3</v>
      </c>
      <c r="T10" s="77" t="s">
        <v>6</v>
      </c>
      <c r="U10" s="77" t="s">
        <v>6</v>
      </c>
      <c r="V10" s="77" t="s">
        <v>6</v>
      </c>
      <c r="W10" s="77" t="s">
        <v>6</v>
      </c>
      <c r="X10" s="77" t="s">
        <v>6</v>
      </c>
      <c r="Y10" s="77" t="s">
        <v>6</v>
      </c>
    </row>
    <row r="11" spans="2:25" ht="15">
      <c r="B11" s="318"/>
    </row>
    <row r="12" spans="2:25" ht="15">
      <c r="B12" s="318" t="s">
        <v>9</v>
      </c>
    </row>
    <row r="13" spans="2:25" ht="15.6">
      <c r="B13" s="74" t="s">
        <v>10</v>
      </c>
    </row>
    <row r="14" spans="2:25" ht="15.6">
      <c r="B14" s="75" t="s">
        <v>11</v>
      </c>
    </row>
    <row r="15" spans="2:25" ht="15.6">
      <c r="B15" s="75" t="s">
        <v>12</v>
      </c>
    </row>
    <row r="16" spans="2:25" ht="15.6">
      <c r="B16" s="75" t="s">
        <v>13</v>
      </c>
    </row>
    <row r="17" spans="2:21" ht="15.6">
      <c r="B17" s="75" t="s">
        <v>14</v>
      </c>
    </row>
    <row r="18" spans="2:21" ht="15.6">
      <c r="B18" s="75" t="s">
        <v>15</v>
      </c>
    </row>
    <row r="19" spans="2:21" ht="15">
      <c r="B19" s="322"/>
    </row>
    <row r="20" spans="2:21" ht="15">
      <c r="B20" s="322" t="s">
        <v>16</v>
      </c>
    </row>
    <row r="21" spans="2:21" ht="15">
      <c r="B21" s="629" t="s">
        <v>17</v>
      </c>
      <c r="C21" s="629"/>
      <c r="D21" s="629"/>
      <c r="E21" s="629"/>
      <c r="F21" s="629"/>
      <c r="G21" s="629"/>
      <c r="H21" s="629"/>
    </row>
    <row r="22" spans="2:21" ht="15">
      <c r="B22" s="629" t="s">
        <v>18</v>
      </c>
      <c r="C22" s="629"/>
      <c r="D22" s="629"/>
      <c r="E22" s="629"/>
      <c r="F22" s="629"/>
      <c r="G22" s="629"/>
      <c r="H22" s="629"/>
      <c r="I22" s="629"/>
      <c r="J22" s="629"/>
      <c r="K22" s="629"/>
      <c r="L22" s="629"/>
      <c r="M22" s="629"/>
      <c r="N22" s="629"/>
      <c r="O22" s="629"/>
      <c r="P22" s="629"/>
      <c r="Q22" s="629"/>
      <c r="R22" s="629"/>
      <c r="S22" s="629"/>
      <c r="T22" s="629"/>
      <c r="U22" s="629"/>
    </row>
    <row r="23" spans="2:21" ht="15">
      <c r="B23" s="388"/>
      <c r="C23" s="388"/>
      <c r="D23" s="388"/>
      <c r="E23" s="388"/>
      <c r="F23" s="388"/>
      <c r="G23" s="388"/>
      <c r="H23" s="388"/>
      <c r="I23" s="388"/>
      <c r="J23" s="388"/>
      <c r="K23" s="388"/>
      <c r="L23" s="388"/>
      <c r="M23" s="388"/>
      <c r="N23" s="388"/>
      <c r="O23" s="388"/>
      <c r="P23" s="388"/>
      <c r="Q23" s="388"/>
      <c r="R23" s="388"/>
      <c r="S23" s="388"/>
      <c r="T23" s="388"/>
      <c r="U23" s="388"/>
    </row>
    <row r="24" spans="2:21" ht="15">
      <c r="B24" s="388"/>
      <c r="C24" s="388"/>
      <c r="D24" s="388"/>
      <c r="E24" s="388"/>
      <c r="F24" s="388"/>
      <c r="G24" s="388"/>
      <c r="H24" s="388"/>
      <c r="I24" s="388"/>
      <c r="J24" s="388"/>
      <c r="K24" s="388"/>
      <c r="L24" s="388"/>
      <c r="M24" s="388"/>
      <c r="N24" s="388"/>
      <c r="O24" s="388"/>
      <c r="P24" s="388"/>
      <c r="Q24" s="388"/>
      <c r="R24" s="388"/>
      <c r="S24" s="388"/>
      <c r="T24" s="388"/>
      <c r="U24" s="388"/>
    </row>
    <row r="25" spans="2:21" ht="15.6">
      <c r="B25" s="141" t="s">
        <v>19</v>
      </c>
    </row>
    <row r="26" spans="2:21">
      <c r="B26" t="s">
        <v>20</v>
      </c>
    </row>
    <row r="27" spans="2:21">
      <c r="B27" t="s">
        <v>21</v>
      </c>
    </row>
    <row r="28" spans="2:21">
      <c r="B28" t="s">
        <v>22</v>
      </c>
    </row>
    <row r="32" spans="2:21" ht="15.6">
      <c r="B32" s="141" t="s">
        <v>23</v>
      </c>
    </row>
    <row r="33" spans="2:27">
      <c r="B33" s="72"/>
    </row>
    <row r="34" spans="2:27">
      <c r="B34" s="72"/>
    </row>
    <row r="35" spans="2:27">
      <c r="B35" s="323" t="s">
        <v>24</v>
      </c>
    </row>
    <row r="36" spans="2:27" ht="15.6">
      <c r="B36" s="631" t="s">
        <v>25</v>
      </c>
      <c r="C36" s="631"/>
      <c r="D36" s="631"/>
      <c r="E36" s="631" t="s">
        <v>26</v>
      </c>
      <c r="F36" s="631"/>
      <c r="G36" s="631"/>
      <c r="H36" s="631" t="s">
        <v>27</v>
      </c>
      <c r="I36" s="631"/>
      <c r="J36" s="631"/>
    </row>
    <row r="37" spans="2:27" ht="15.6">
      <c r="B37" s="628" t="s">
        <v>28</v>
      </c>
      <c r="C37" s="628"/>
      <c r="D37" s="628"/>
      <c r="E37" s="628" t="s">
        <v>29</v>
      </c>
      <c r="F37" s="628"/>
      <c r="G37" s="628"/>
      <c r="H37" s="628" t="s">
        <v>30</v>
      </c>
      <c r="I37" s="628"/>
      <c r="J37" s="628"/>
    </row>
    <row r="38" spans="2:27" ht="15.6">
      <c r="B38" s="625" t="s">
        <v>31</v>
      </c>
      <c r="C38" s="626"/>
      <c r="D38" s="627"/>
      <c r="E38" s="625" t="s">
        <v>31</v>
      </c>
      <c r="F38" s="626"/>
      <c r="G38" s="627"/>
      <c r="H38" s="625" t="s">
        <v>28</v>
      </c>
      <c r="I38" s="626"/>
      <c r="J38" s="627"/>
    </row>
    <row r="39" spans="2:27" ht="15.75" customHeight="1">
      <c r="B39" s="625" t="s">
        <v>32</v>
      </c>
      <c r="C39" s="626"/>
      <c r="D39" s="627"/>
      <c r="E39" s="625" t="s">
        <v>32</v>
      </c>
      <c r="F39" s="626"/>
      <c r="G39" s="627"/>
      <c r="H39" s="625" t="s">
        <v>33</v>
      </c>
      <c r="I39" s="626"/>
      <c r="J39" s="627"/>
    </row>
    <row r="41" spans="2:27">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row>
    <row r="42" spans="2:27" ht="15.6">
      <c r="B42" s="227" t="s">
        <v>34</v>
      </c>
      <c r="C42" s="20"/>
      <c r="D42" s="20"/>
      <c r="E42" s="20"/>
      <c r="F42" s="20"/>
      <c r="G42" s="20"/>
      <c r="H42" s="20"/>
      <c r="I42" s="20"/>
      <c r="J42" s="20"/>
      <c r="K42" s="20"/>
      <c r="L42" s="20"/>
      <c r="M42" s="20"/>
      <c r="N42" s="20"/>
      <c r="O42" s="20"/>
      <c r="P42" s="20"/>
      <c r="Q42" s="20"/>
      <c r="R42" s="20"/>
      <c r="S42" s="20"/>
      <c r="T42" s="20"/>
      <c r="U42" s="20"/>
      <c r="V42" s="20"/>
      <c r="W42" s="20"/>
      <c r="X42" s="20"/>
      <c r="Y42" s="20"/>
      <c r="Z42" s="20"/>
      <c r="AA42" s="20"/>
    </row>
    <row r="43" spans="2:27">
      <c r="B43" s="20" t="s">
        <v>35</v>
      </c>
      <c r="C43" s="20"/>
      <c r="D43" s="20"/>
      <c r="E43" s="20"/>
      <c r="F43" s="20"/>
      <c r="G43" s="20"/>
      <c r="H43" s="20"/>
      <c r="I43" s="20"/>
      <c r="J43" s="20"/>
      <c r="K43" s="20"/>
      <c r="L43" s="20"/>
      <c r="M43" s="20"/>
      <c r="N43" s="20"/>
      <c r="O43" s="20"/>
      <c r="P43" s="20"/>
      <c r="Q43" s="20"/>
      <c r="R43" s="20"/>
      <c r="S43" s="20"/>
      <c r="T43" s="20"/>
      <c r="U43" s="20"/>
      <c r="V43" s="20"/>
      <c r="W43" s="20"/>
      <c r="X43" s="20"/>
      <c r="Y43" s="20"/>
      <c r="Z43" s="20"/>
      <c r="AA43" s="20"/>
    </row>
    <row r="44" spans="2:27">
      <c r="B44" s="20" t="s">
        <v>36</v>
      </c>
      <c r="C44" s="20"/>
      <c r="D44" s="20"/>
      <c r="E44" s="20"/>
      <c r="F44" s="20"/>
      <c r="G44" s="20"/>
      <c r="H44" s="20"/>
      <c r="I44" s="20"/>
      <c r="J44" s="20"/>
      <c r="K44" s="20"/>
      <c r="L44" s="20"/>
      <c r="M44" s="20"/>
      <c r="N44" s="20"/>
      <c r="O44" s="20"/>
      <c r="P44" s="20"/>
      <c r="Q44" s="20"/>
      <c r="R44" s="20"/>
      <c r="S44" s="20"/>
      <c r="T44" s="20"/>
      <c r="U44" s="20"/>
      <c r="V44" s="20"/>
      <c r="W44" s="20"/>
      <c r="X44" s="20"/>
      <c r="Y44" s="20"/>
      <c r="Z44" s="20"/>
      <c r="AA44" s="20"/>
    </row>
    <row r="45" spans="2:27">
      <c r="B45" s="20" t="s">
        <v>37</v>
      </c>
      <c r="C45" s="20"/>
      <c r="D45" s="20"/>
      <c r="E45" s="20"/>
      <c r="F45" s="20"/>
      <c r="G45" s="20"/>
      <c r="H45" s="20"/>
      <c r="I45" s="20"/>
      <c r="J45" s="20"/>
      <c r="K45" s="20"/>
      <c r="L45" s="20"/>
      <c r="M45" s="20"/>
      <c r="N45" s="20"/>
      <c r="O45" s="20"/>
      <c r="P45" s="20"/>
      <c r="Q45" s="20"/>
      <c r="R45" s="20"/>
      <c r="S45" s="20"/>
      <c r="T45" s="20"/>
      <c r="U45" s="20"/>
      <c r="V45" s="20"/>
      <c r="W45" s="20"/>
      <c r="X45" s="20"/>
      <c r="Y45" s="20"/>
      <c r="Z45" s="20"/>
      <c r="AA45" s="20"/>
    </row>
    <row r="46" spans="2:27">
      <c r="B46" s="20" t="s">
        <v>38</v>
      </c>
      <c r="C46" s="20"/>
      <c r="D46" s="20"/>
      <c r="E46" s="20"/>
      <c r="F46" s="20"/>
      <c r="G46" s="20"/>
      <c r="H46" s="20"/>
      <c r="I46" s="20"/>
      <c r="J46" s="20"/>
      <c r="K46" s="20"/>
      <c r="L46" s="20"/>
      <c r="M46" s="20"/>
      <c r="N46" s="20"/>
      <c r="O46" s="20"/>
      <c r="P46" s="20"/>
      <c r="Q46" s="20"/>
      <c r="R46" s="20"/>
      <c r="S46" s="20"/>
      <c r="T46" s="20"/>
      <c r="U46" s="20"/>
      <c r="V46" s="20"/>
      <c r="W46" s="20"/>
      <c r="X46" s="20"/>
      <c r="Y46" s="20"/>
      <c r="Z46" s="20"/>
      <c r="AA46" s="20"/>
    </row>
    <row r="47" spans="2:27">
      <c r="B47" s="20" t="s">
        <v>39</v>
      </c>
      <c r="C47" s="20"/>
      <c r="D47" s="20"/>
      <c r="E47" s="20"/>
      <c r="F47" s="20"/>
      <c r="G47" s="20"/>
      <c r="H47" s="20"/>
      <c r="I47" s="20"/>
      <c r="J47" s="20"/>
      <c r="K47" s="20"/>
      <c r="L47" s="20"/>
      <c r="M47" s="20"/>
      <c r="N47" s="20"/>
      <c r="O47" s="20"/>
      <c r="P47" s="20"/>
      <c r="Q47" s="20"/>
      <c r="R47" s="20"/>
      <c r="S47" s="20"/>
      <c r="T47" s="20"/>
      <c r="U47" s="20"/>
      <c r="V47" s="20"/>
      <c r="W47" s="20"/>
      <c r="X47" s="20"/>
      <c r="Y47" s="20"/>
      <c r="Z47" s="20"/>
      <c r="AA47" s="20"/>
    </row>
    <row r="48" spans="2:27">
      <c r="B48" s="20" t="s">
        <v>40</v>
      </c>
      <c r="C48" s="20"/>
      <c r="D48" s="20"/>
      <c r="E48" s="20"/>
      <c r="F48" s="20"/>
      <c r="G48" s="20"/>
      <c r="H48" s="20"/>
      <c r="I48" s="20"/>
      <c r="J48" s="20"/>
      <c r="K48" s="20"/>
      <c r="L48" s="20"/>
      <c r="M48" s="20"/>
      <c r="N48" s="20"/>
      <c r="O48" s="20"/>
      <c r="P48" s="20"/>
      <c r="Q48" s="20"/>
      <c r="R48" s="20"/>
      <c r="S48" s="20"/>
      <c r="T48" s="20"/>
      <c r="U48" s="20"/>
      <c r="V48" s="20"/>
      <c r="W48" s="20"/>
      <c r="X48" s="20"/>
      <c r="Y48" s="20"/>
      <c r="Z48" s="20"/>
      <c r="AA48" s="20"/>
    </row>
    <row r="49" spans="2:27">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row>
    <row r="50" spans="2:27">
      <c r="B50" s="20"/>
      <c r="C50" s="20"/>
      <c r="D50" s="20"/>
      <c r="E50" s="20"/>
      <c r="F50" s="20"/>
      <c r="G50" s="20"/>
      <c r="H50" s="20"/>
      <c r="I50" s="20"/>
      <c r="J50" s="20"/>
      <c r="K50" s="20"/>
      <c r="L50" s="20"/>
      <c r="M50" s="20"/>
      <c r="N50" s="20"/>
      <c r="O50" s="20"/>
      <c r="P50" s="20"/>
      <c r="Q50" s="20"/>
      <c r="R50" s="20"/>
      <c r="S50" s="20"/>
    </row>
  </sheetData>
  <mergeCells count="15">
    <mergeCell ref="B2:P2"/>
    <mergeCell ref="B36:D36"/>
    <mergeCell ref="E36:G36"/>
    <mergeCell ref="B37:D37"/>
    <mergeCell ref="H36:J36"/>
    <mergeCell ref="H38:J38"/>
    <mergeCell ref="H37:J37"/>
    <mergeCell ref="H39:J39"/>
    <mergeCell ref="B21:H21"/>
    <mergeCell ref="B22:U22"/>
    <mergeCell ref="B38:D38"/>
    <mergeCell ref="B39:D39"/>
    <mergeCell ref="E37:G37"/>
    <mergeCell ref="E38:G38"/>
    <mergeCell ref="E39:G39"/>
  </mergeCells>
  <phoneticPr fontId="13" type="noConversion"/>
  <pageMargins left="0.78740157499999996" right="0.78740157499999996" top="0.984251969" bottom="0.984251969" header="0.49212598499999999" footer="0.49212598499999999"/>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T96"/>
  <sheetViews>
    <sheetView showRuler="0" workbookViewId="0">
      <selection activeCell="F59" sqref="F59"/>
    </sheetView>
  </sheetViews>
  <sheetFormatPr defaultColWidth="8.88671875" defaultRowHeight="13.2"/>
  <cols>
    <col min="1" max="1" width="18.44140625" customWidth="1"/>
    <col min="2" max="2" width="14.88671875" bestFit="1" customWidth="1"/>
    <col min="3" max="3" width="14.88671875" customWidth="1"/>
    <col min="4" max="4" width="20.44140625" bestFit="1" customWidth="1"/>
    <col min="5" max="5" width="9.44140625" bestFit="1" customWidth="1"/>
    <col min="6" max="6" width="14.88671875" bestFit="1" customWidth="1"/>
    <col min="7" max="7" width="14.88671875" customWidth="1"/>
    <col min="8" max="8" width="20.44140625" bestFit="1" customWidth="1"/>
    <col min="9" max="9" width="9.44140625" bestFit="1" customWidth="1"/>
  </cols>
  <sheetData>
    <row r="1" spans="1:20" ht="15.6">
      <c r="A1" s="632" t="s">
        <v>41</v>
      </c>
      <c r="B1" s="632"/>
      <c r="C1" s="632"/>
      <c r="D1" s="632"/>
      <c r="E1" s="632"/>
      <c r="F1" s="632"/>
      <c r="G1" s="632"/>
      <c r="H1" s="632"/>
      <c r="I1" s="632"/>
    </row>
    <row r="3" spans="1:20" ht="15.6">
      <c r="A3" s="324" t="s">
        <v>42</v>
      </c>
      <c r="B3" s="324"/>
      <c r="C3" s="324"/>
      <c r="D3" s="324"/>
      <c r="E3" s="324"/>
      <c r="F3" s="325"/>
      <c r="G3" s="325"/>
      <c r="H3" s="325"/>
      <c r="I3" s="325"/>
      <c r="J3" s="325"/>
      <c r="K3" s="325"/>
      <c r="L3" s="325"/>
      <c r="M3" s="325"/>
      <c r="N3" s="325"/>
      <c r="O3" s="325"/>
      <c r="P3" s="325"/>
      <c r="Q3" s="325"/>
      <c r="R3" s="325"/>
      <c r="S3" s="325"/>
      <c r="T3" s="325"/>
    </row>
    <row r="4" spans="1:20" ht="15">
      <c r="A4" s="326" t="s">
        <v>43</v>
      </c>
      <c r="B4" s="327"/>
      <c r="C4" s="327"/>
      <c r="D4" s="327"/>
      <c r="E4" s="327"/>
      <c r="F4" s="325"/>
      <c r="G4" s="325"/>
      <c r="H4" s="325"/>
      <c r="I4" s="325"/>
      <c r="J4" s="325"/>
      <c r="K4" s="325"/>
      <c r="L4" s="325"/>
      <c r="M4" s="325"/>
      <c r="N4" s="325"/>
      <c r="O4" s="325"/>
      <c r="P4" s="325"/>
      <c r="Q4" s="325"/>
      <c r="R4" s="325"/>
      <c r="S4" s="325"/>
      <c r="T4" s="325"/>
    </row>
    <row r="5" spans="1:20" ht="15">
      <c r="A5" s="326"/>
      <c r="B5" s="327"/>
      <c r="C5" s="327"/>
      <c r="D5" s="327"/>
      <c r="E5" s="327"/>
      <c r="F5" s="325"/>
      <c r="G5" s="325"/>
      <c r="H5" s="325"/>
      <c r="I5" s="325"/>
      <c r="J5" s="325"/>
      <c r="K5" s="325"/>
      <c r="L5" s="325"/>
      <c r="M5" s="325"/>
      <c r="N5" s="325"/>
      <c r="O5" s="325"/>
      <c r="P5" s="325"/>
      <c r="Q5" s="325"/>
      <c r="R5" s="325"/>
      <c r="S5" s="325"/>
      <c r="T5" s="325"/>
    </row>
    <row r="6" spans="1:20" ht="15.6" thickBot="1">
      <c r="A6" s="326" t="s">
        <v>44</v>
      </c>
      <c r="B6" s="326"/>
      <c r="C6" s="326"/>
      <c r="D6" s="326"/>
      <c r="E6" s="326"/>
      <c r="F6" s="328"/>
      <c r="G6" s="328"/>
      <c r="H6" s="328"/>
      <c r="I6" s="328"/>
      <c r="J6" s="325"/>
      <c r="K6" s="325"/>
      <c r="L6" s="325"/>
      <c r="M6" s="325"/>
      <c r="N6" s="325"/>
      <c r="O6" s="325"/>
      <c r="P6" s="325"/>
      <c r="Q6" s="325"/>
      <c r="R6" s="325"/>
      <c r="S6" s="325"/>
      <c r="T6" s="325"/>
    </row>
    <row r="7" spans="1:20">
      <c r="A7" s="329" t="s">
        <v>45</v>
      </c>
      <c r="B7" s="330" t="s">
        <v>46</v>
      </c>
      <c r="C7" s="330" t="s">
        <v>47</v>
      </c>
      <c r="D7" s="330" t="s">
        <v>48</v>
      </c>
      <c r="E7" s="331" t="s">
        <v>49</v>
      </c>
      <c r="F7" s="329" t="s">
        <v>50</v>
      </c>
      <c r="G7" s="330" t="s">
        <v>51</v>
      </c>
      <c r="H7" s="330" t="s">
        <v>52</v>
      </c>
      <c r="I7" s="331" t="s">
        <v>53</v>
      </c>
    </row>
    <row r="8" spans="1:20" s="20" customFormat="1">
      <c r="A8" s="129" t="s">
        <v>54</v>
      </c>
      <c r="B8" s="61" t="s">
        <v>55</v>
      </c>
      <c r="C8" s="59" t="s">
        <v>56</v>
      </c>
      <c r="D8" s="130" t="s">
        <v>57</v>
      </c>
      <c r="E8" s="131" t="s">
        <v>58</v>
      </c>
      <c r="F8" s="132" t="s">
        <v>59</v>
      </c>
      <c r="G8" s="59" t="s">
        <v>56</v>
      </c>
      <c r="H8" s="59" t="s">
        <v>60</v>
      </c>
      <c r="I8" s="133" t="s">
        <v>58</v>
      </c>
    </row>
    <row r="9" spans="1:20" s="20" customFormat="1">
      <c r="A9" s="332" t="s">
        <v>61</v>
      </c>
      <c r="B9" s="61" t="s">
        <v>59</v>
      </c>
      <c r="C9" s="59" t="s">
        <v>62</v>
      </c>
      <c r="D9" s="130" t="s">
        <v>63</v>
      </c>
      <c r="E9" s="131" t="s">
        <v>58</v>
      </c>
      <c r="F9" s="132" t="s">
        <v>59</v>
      </c>
      <c r="G9" s="59" t="s">
        <v>62</v>
      </c>
      <c r="H9" s="59" t="s">
        <v>64</v>
      </c>
      <c r="I9" s="133" t="s">
        <v>58</v>
      </c>
    </row>
    <row r="10" spans="1:20">
      <c r="A10" s="87" t="s">
        <v>65</v>
      </c>
      <c r="B10" s="60" t="s">
        <v>58</v>
      </c>
      <c r="C10" s="57" t="s">
        <v>56</v>
      </c>
      <c r="D10" s="85" t="s">
        <v>57</v>
      </c>
      <c r="E10" s="88" t="s">
        <v>58</v>
      </c>
      <c r="F10" s="100" t="s">
        <v>59</v>
      </c>
      <c r="G10" s="57" t="s">
        <v>56</v>
      </c>
      <c r="H10" s="57" t="s">
        <v>60</v>
      </c>
      <c r="I10" s="101" t="s">
        <v>58</v>
      </c>
    </row>
    <row r="11" spans="1:20">
      <c r="A11" s="93" t="s">
        <v>66</v>
      </c>
      <c r="B11" s="94" t="s">
        <v>59</v>
      </c>
      <c r="C11" s="95" t="s">
        <v>62</v>
      </c>
      <c r="D11" s="96" t="s">
        <v>67</v>
      </c>
      <c r="E11" s="97" t="s">
        <v>58</v>
      </c>
      <c r="F11" s="98" t="s">
        <v>59</v>
      </c>
      <c r="G11" s="95" t="s">
        <v>62</v>
      </c>
      <c r="H11" s="95" t="s">
        <v>68</v>
      </c>
      <c r="I11" s="99" t="s">
        <v>58</v>
      </c>
    </row>
    <row r="12" spans="1:20">
      <c r="A12" s="93" t="s">
        <v>69</v>
      </c>
      <c r="B12" s="94" t="s">
        <v>55</v>
      </c>
      <c r="C12" s="95" t="s">
        <v>56</v>
      </c>
      <c r="D12" s="96" t="s">
        <v>70</v>
      </c>
      <c r="E12" s="97" t="s">
        <v>58</v>
      </c>
      <c r="F12" s="98" t="s">
        <v>59</v>
      </c>
      <c r="G12" s="95" t="s">
        <v>56</v>
      </c>
      <c r="H12" s="95" t="s">
        <v>71</v>
      </c>
      <c r="I12" s="99" t="s">
        <v>58</v>
      </c>
    </row>
    <row r="13" spans="1:20">
      <c r="A13" s="93" t="s">
        <v>72</v>
      </c>
      <c r="B13" s="94" t="s">
        <v>59</v>
      </c>
      <c r="C13" s="95" t="s">
        <v>62</v>
      </c>
      <c r="D13" s="96" t="s">
        <v>73</v>
      </c>
      <c r="E13" s="97" t="s">
        <v>58</v>
      </c>
      <c r="F13" s="98" t="s">
        <v>59</v>
      </c>
      <c r="G13" s="95" t="s">
        <v>62</v>
      </c>
      <c r="H13" s="95" t="s">
        <v>74</v>
      </c>
      <c r="I13" s="99" t="s">
        <v>58</v>
      </c>
    </row>
    <row r="14" spans="1:20">
      <c r="A14" s="87" t="s">
        <v>75</v>
      </c>
      <c r="B14" s="60" t="s">
        <v>58</v>
      </c>
      <c r="C14" s="57" t="s">
        <v>56</v>
      </c>
      <c r="D14" s="85" t="s">
        <v>70</v>
      </c>
      <c r="E14" s="88" t="s">
        <v>58</v>
      </c>
      <c r="F14" s="100" t="s">
        <v>59</v>
      </c>
      <c r="G14" s="57" t="s">
        <v>56</v>
      </c>
      <c r="H14" s="57" t="s">
        <v>71</v>
      </c>
      <c r="I14" s="101" t="s">
        <v>58</v>
      </c>
    </row>
    <row r="15" spans="1:20">
      <c r="A15" s="93" t="s">
        <v>76</v>
      </c>
      <c r="B15" s="94" t="s">
        <v>59</v>
      </c>
      <c r="C15" s="95" t="s">
        <v>62</v>
      </c>
      <c r="D15" s="96" t="s">
        <v>77</v>
      </c>
      <c r="E15" s="97" t="s">
        <v>58</v>
      </c>
      <c r="F15" s="98" t="s">
        <v>59</v>
      </c>
      <c r="G15" s="95" t="s">
        <v>62</v>
      </c>
      <c r="H15" s="95" t="s">
        <v>78</v>
      </c>
      <c r="I15" s="99" t="s">
        <v>58</v>
      </c>
    </row>
    <row r="16" spans="1:20" s="20" customFormat="1">
      <c r="A16" s="93" t="s">
        <v>79</v>
      </c>
      <c r="B16" s="94" t="s">
        <v>55</v>
      </c>
      <c r="C16" s="95" t="s">
        <v>56</v>
      </c>
      <c r="D16" s="96" t="s">
        <v>80</v>
      </c>
      <c r="E16" s="96" t="s">
        <v>58</v>
      </c>
      <c r="F16" s="98" t="s">
        <v>55</v>
      </c>
      <c r="G16" s="95" t="s">
        <v>56</v>
      </c>
      <c r="H16" s="95" t="s">
        <v>81</v>
      </c>
      <c r="I16" s="99" t="s">
        <v>58</v>
      </c>
    </row>
    <row r="17" spans="1:9">
      <c r="A17" s="93" t="s">
        <v>82</v>
      </c>
      <c r="B17" s="94" t="s">
        <v>59</v>
      </c>
      <c r="C17" s="95" t="s">
        <v>62</v>
      </c>
      <c r="D17" s="96" t="s">
        <v>83</v>
      </c>
      <c r="E17" s="97" t="s">
        <v>58</v>
      </c>
      <c r="F17" s="98" t="s">
        <v>59</v>
      </c>
      <c r="G17" s="95" t="s">
        <v>62</v>
      </c>
      <c r="H17" s="95" t="s">
        <v>84</v>
      </c>
      <c r="I17" s="99" t="s">
        <v>58</v>
      </c>
    </row>
    <row r="18" spans="1:9" s="20" customFormat="1">
      <c r="A18" s="129" t="s">
        <v>85</v>
      </c>
      <c r="B18" s="61" t="s">
        <v>55</v>
      </c>
      <c r="C18" s="59" t="s">
        <v>86</v>
      </c>
      <c r="D18" s="130" t="s">
        <v>87</v>
      </c>
      <c r="E18" s="131" t="s">
        <v>88</v>
      </c>
      <c r="F18" s="132" t="s">
        <v>55</v>
      </c>
      <c r="G18" s="59" t="s">
        <v>86</v>
      </c>
      <c r="H18" s="59" t="s">
        <v>89</v>
      </c>
      <c r="I18" s="131" t="s">
        <v>88</v>
      </c>
    </row>
    <row r="19" spans="1:9" s="20" customFormat="1">
      <c r="A19" s="129" t="s">
        <v>90</v>
      </c>
      <c r="B19" s="61" t="s">
        <v>59</v>
      </c>
      <c r="C19" s="59" t="s">
        <v>62</v>
      </c>
      <c r="D19" s="130" t="s">
        <v>91</v>
      </c>
      <c r="E19" s="131" t="s">
        <v>58</v>
      </c>
      <c r="F19" s="132" t="s">
        <v>59</v>
      </c>
      <c r="G19" s="59" t="s">
        <v>62</v>
      </c>
      <c r="H19" s="59" t="s">
        <v>92</v>
      </c>
      <c r="I19" s="133" t="s">
        <v>58</v>
      </c>
    </row>
    <row r="20" spans="1:9" s="20" customFormat="1">
      <c r="A20" s="129" t="s">
        <v>93</v>
      </c>
      <c r="B20" s="61" t="s">
        <v>94</v>
      </c>
      <c r="C20" s="59" t="s">
        <v>86</v>
      </c>
      <c r="D20" s="130" t="s">
        <v>87</v>
      </c>
      <c r="E20" s="131" t="s">
        <v>88</v>
      </c>
      <c r="F20" s="61" t="s">
        <v>94</v>
      </c>
      <c r="G20" s="59" t="s">
        <v>86</v>
      </c>
      <c r="H20" s="59" t="s">
        <v>89</v>
      </c>
      <c r="I20" s="131" t="s">
        <v>88</v>
      </c>
    </row>
    <row r="21" spans="1:9" s="20" customFormat="1">
      <c r="A21" s="93" t="s">
        <v>95</v>
      </c>
      <c r="B21" s="94" t="s">
        <v>58</v>
      </c>
      <c r="C21" s="95" t="s">
        <v>56</v>
      </c>
      <c r="D21" s="96" t="s">
        <v>87</v>
      </c>
      <c r="E21" s="97" t="s">
        <v>88</v>
      </c>
      <c r="F21" s="98" t="s">
        <v>94</v>
      </c>
      <c r="G21" s="95" t="s">
        <v>96</v>
      </c>
      <c r="H21" s="95" t="s">
        <v>89</v>
      </c>
      <c r="I21" s="99" t="s">
        <v>88</v>
      </c>
    </row>
    <row r="22" spans="1:9">
      <c r="A22" s="93" t="s">
        <v>97</v>
      </c>
      <c r="B22" s="94" t="s">
        <v>55</v>
      </c>
      <c r="C22" s="95" t="s">
        <v>96</v>
      </c>
      <c r="D22" s="96" t="s">
        <v>98</v>
      </c>
      <c r="E22" s="97" t="s">
        <v>58</v>
      </c>
      <c r="F22" s="98" t="s">
        <v>59</v>
      </c>
      <c r="G22" s="95" t="s">
        <v>56</v>
      </c>
      <c r="H22" s="95" t="s">
        <v>99</v>
      </c>
      <c r="I22" s="99" t="s">
        <v>58</v>
      </c>
    </row>
    <row r="23" spans="1:9">
      <c r="A23" s="87" t="s">
        <v>100</v>
      </c>
      <c r="B23" s="60" t="s">
        <v>59</v>
      </c>
      <c r="C23" s="57" t="s">
        <v>62</v>
      </c>
      <c r="D23" s="85" t="s">
        <v>101</v>
      </c>
      <c r="E23" s="88" t="s">
        <v>58</v>
      </c>
      <c r="F23" s="100" t="s">
        <v>59</v>
      </c>
      <c r="G23" s="57" t="s">
        <v>62</v>
      </c>
      <c r="H23" s="57" t="s">
        <v>102</v>
      </c>
      <c r="I23" s="101" t="s">
        <v>58</v>
      </c>
    </row>
    <row r="24" spans="1:9">
      <c r="A24" s="333" t="s">
        <v>103</v>
      </c>
      <c r="B24" s="60" t="s">
        <v>58</v>
      </c>
      <c r="C24" s="57" t="s">
        <v>56</v>
      </c>
      <c r="D24" s="85" t="s">
        <v>98</v>
      </c>
      <c r="E24" s="88" t="s">
        <v>58</v>
      </c>
      <c r="F24" s="100" t="s">
        <v>59</v>
      </c>
      <c r="G24" s="57" t="s">
        <v>56</v>
      </c>
      <c r="H24" s="57" t="s">
        <v>99</v>
      </c>
      <c r="I24" s="101" t="s">
        <v>58</v>
      </c>
    </row>
    <row r="25" spans="1:9">
      <c r="A25" s="93" t="s">
        <v>104</v>
      </c>
      <c r="B25" s="94" t="s">
        <v>59</v>
      </c>
      <c r="C25" s="95" t="s">
        <v>62</v>
      </c>
      <c r="D25" s="96" t="s">
        <v>105</v>
      </c>
      <c r="E25" s="97" t="s">
        <v>58</v>
      </c>
      <c r="F25" s="98" t="s">
        <v>59</v>
      </c>
      <c r="G25" s="95" t="s">
        <v>62</v>
      </c>
      <c r="H25" s="95" t="s">
        <v>106</v>
      </c>
      <c r="I25" s="99" t="s">
        <v>58</v>
      </c>
    </row>
    <row r="26" spans="1:9">
      <c r="A26" s="93" t="s">
        <v>107</v>
      </c>
      <c r="B26" s="94" t="s">
        <v>55</v>
      </c>
      <c r="C26" s="95" t="s">
        <v>56</v>
      </c>
      <c r="D26" s="96" t="s">
        <v>108</v>
      </c>
      <c r="E26" s="97" t="s">
        <v>58</v>
      </c>
      <c r="F26" s="98" t="s">
        <v>59</v>
      </c>
      <c r="G26" s="95" t="s">
        <v>56</v>
      </c>
      <c r="H26" s="95" t="s">
        <v>109</v>
      </c>
      <c r="I26" s="99" t="s">
        <v>58</v>
      </c>
    </row>
    <row r="27" spans="1:9">
      <c r="A27" s="87" t="s">
        <v>110</v>
      </c>
      <c r="B27" s="60" t="s">
        <v>59</v>
      </c>
      <c r="C27" s="57" t="s">
        <v>62</v>
      </c>
      <c r="D27" s="85" t="s">
        <v>111</v>
      </c>
      <c r="E27" s="88" t="s">
        <v>58</v>
      </c>
      <c r="F27" s="100" t="s">
        <v>59</v>
      </c>
      <c r="G27" s="57" t="s">
        <v>62</v>
      </c>
      <c r="H27" s="57" t="s">
        <v>112</v>
      </c>
      <c r="I27" s="101" t="s">
        <v>58</v>
      </c>
    </row>
    <row r="28" spans="1:9">
      <c r="A28" s="87" t="s">
        <v>113</v>
      </c>
      <c r="B28" s="60" t="s">
        <v>58</v>
      </c>
      <c r="C28" s="57" t="s">
        <v>56</v>
      </c>
      <c r="D28" s="85" t="s">
        <v>108</v>
      </c>
      <c r="E28" s="88" t="s">
        <v>58</v>
      </c>
      <c r="F28" s="100" t="s">
        <v>59</v>
      </c>
      <c r="G28" s="57" t="s">
        <v>56</v>
      </c>
      <c r="H28" s="57" t="s">
        <v>109</v>
      </c>
      <c r="I28" s="101" t="s">
        <v>58</v>
      </c>
    </row>
    <row r="29" spans="1:9">
      <c r="A29" s="93" t="s">
        <v>114</v>
      </c>
      <c r="B29" s="94" t="s">
        <v>59</v>
      </c>
      <c r="C29" s="95" t="s">
        <v>62</v>
      </c>
      <c r="D29" s="96" t="s">
        <v>115</v>
      </c>
      <c r="E29" s="97" t="s">
        <v>58</v>
      </c>
      <c r="F29" s="98" t="s">
        <v>59</v>
      </c>
      <c r="G29" s="95" t="s">
        <v>62</v>
      </c>
      <c r="H29" s="95" t="s">
        <v>116</v>
      </c>
      <c r="I29" s="99" t="s">
        <v>58</v>
      </c>
    </row>
    <row r="30" spans="1:9" s="20" customFormat="1">
      <c r="A30" s="129" t="s">
        <v>117</v>
      </c>
      <c r="B30" s="61" t="s">
        <v>55</v>
      </c>
      <c r="C30" s="59" t="s">
        <v>86</v>
      </c>
      <c r="D30" s="130" t="s">
        <v>118</v>
      </c>
      <c r="E30" s="131" t="s">
        <v>58</v>
      </c>
      <c r="F30" s="132" t="s">
        <v>59</v>
      </c>
      <c r="G30" s="59" t="s">
        <v>56</v>
      </c>
      <c r="H30" s="59" t="s">
        <v>119</v>
      </c>
      <c r="I30" s="133" t="s">
        <v>58</v>
      </c>
    </row>
    <row r="31" spans="1:9" s="20" customFormat="1">
      <c r="A31" s="129" t="s">
        <v>120</v>
      </c>
      <c r="B31" s="61" t="s">
        <v>55</v>
      </c>
      <c r="C31" s="59" t="s">
        <v>86</v>
      </c>
      <c r="D31" s="130" t="s">
        <v>121</v>
      </c>
      <c r="E31" s="131" t="s">
        <v>58</v>
      </c>
      <c r="F31" s="132" t="s">
        <v>59</v>
      </c>
      <c r="G31" s="59" t="s">
        <v>56</v>
      </c>
      <c r="H31" s="59" t="s">
        <v>119</v>
      </c>
      <c r="I31" s="133" t="s">
        <v>58</v>
      </c>
    </row>
    <row r="32" spans="1:9" s="20" customFormat="1">
      <c r="A32" s="129" t="s">
        <v>122</v>
      </c>
      <c r="B32" s="61" t="s">
        <v>94</v>
      </c>
      <c r="C32" s="59" t="s">
        <v>86</v>
      </c>
      <c r="D32" s="130" t="s">
        <v>121</v>
      </c>
      <c r="E32" s="131" t="s">
        <v>58</v>
      </c>
      <c r="F32" s="132" t="s">
        <v>59</v>
      </c>
      <c r="G32" s="59" t="s">
        <v>56</v>
      </c>
      <c r="H32" s="59" t="s">
        <v>119</v>
      </c>
      <c r="I32" s="133" t="s">
        <v>58</v>
      </c>
    </row>
    <row r="33" spans="1:9" s="20" customFormat="1">
      <c r="A33" s="93" t="s">
        <v>123</v>
      </c>
      <c r="B33" s="94" t="s">
        <v>124</v>
      </c>
      <c r="C33" s="95" t="s">
        <v>56</v>
      </c>
      <c r="D33" s="96" t="s">
        <v>121</v>
      </c>
      <c r="E33" s="97" t="s">
        <v>58</v>
      </c>
      <c r="F33" s="98" t="s">
        <v>59</v>
      </c>
      <c r="G33" s="95" t="s">
        <v>56</v>
      </c>
      <c r="H33" s="95" t="s">
        <v>119</v>
      </c>
      <c r="I33" s="99" t="s">
        <v>58</v>
      </c>
    </row>
    <row r="34" spans="1:9" s="20" customFormat="1">
      <c r="A34" s="129" t="s">
        <v>125</v>
      </c>
      <c r="B34" s="61" t="s">
        <v>59</v>
      </c>
      <c r="C34" s="59" t="s">
        <v>62</v>
      </c>
      <c r="D34" s="130" t="s">
        <v>126</v>
      </c>
      <c r="E34" s="131" t="s">
        <v>58</v>
      </c>
      <c r="F34" s="132" t="s">
        <v>59</v>
      </c>
      <c r="G34" s="59" t="s">
        <v>62</v>
      </c>
      <c r="H34" s="59" t="s">
        <v>127</v>
      </c>
      <c r="I34" s="133" t="s">
        <v>58</v>
      </c>
    </row>
    <row r="35" spans="1:9" s="20" customFormat="1">
      <c r="A35" s="332" t="s">
        <v>128</v>
      </c>
      <c r="B35" s="61" t="s">
        <v>58</v>
      </c>
      <c r="C35" s="59" t="s">
        <v>56</v>
      </c>
      <c r="D35" s="130" t="s">
        <v>118</v>
      </c>
      <c r="E35" s="131" t="s">
        <v>58</v>
      </c>
      <c r="F35" s="132" t="s">
        <v>59</v>
      </c>
      <c r="G35" s="59" t="s">
        <v>56</v>
      </c>
      <c r="H35" s="59" t="s">
        <v>119</v>
      </c>
      <c r="I35" s="133" t="s">
        <v>58</v>
      </c>
    </row>
    <row r="36" spans="1:9" s="20" customFormat="1">
      <c r="A36" s="129" t="s">
        <v>129</v>
      </c>
      <c r="B36" s="61" t="s">
        <v>59</v>
      </c>
      <c r="C36" s="59" t="s">
        <v>62</v>
      </c>
      <c r="D36" s="130" t="s">
        <v>130</v>
      </c>
      <c r="E36" s="131" t="s">
        <v>58</v>
      </c>
      <c r="F36" s="132" t="s">
        <v>59</v>
      </c>
      <c r="G36" s="59" t="s">
        <v>62</v>
      </c>
      <c r="H36" s="59" t="s">
        <v>131</v>
      </c>
      <c r="I36" s="133" t="s">
        <v>58</v>
      </c>
    </row>
    <row r="37" spans="1:9" s="20" customFormat="1">
      <c r="A37" s="129" t="s">
        <v>117</v>
      </c>
      <c r="B37" s="61" t="s">
        <v>55</v>
      </c>
      <c r="C37" s="59" t="s">
        <v>86</v>
      </c>
      <c r="D37" s="130" t="s">
        <v>118</v>
      </c>
      <c r="E37" s="131" t="s">
        <v>58</v>
      </c>
      <c r="F37" s="132" t="s">
        <v>59</v>
      </c>
      <c r="G37" s="59" t="s">
        <v>56</v>
      </c>
      <c r="H37" s="59" t="s">
        <v>119</v>
      </c>
      <c r="I37" s="133" t="s">
        <v>58</v>
      </c>
    </row>
    <row r="38" spans="1:9" s="20" customFormat="1">
      <c r="A38" s="129" t="s">
        <v>132</v>
      </c>
      <c r="B38" s="61" t="s">
        <v>94</v>
      </c>
      <c r="C38" s="59" t="s">
        <v>86</v>
      </c>
      <c r="D38" s="130" t="s">
        <v>118</v>
      </c>
      <c r="E38" s="131" t="s">
        <v>58</v>
      </c>
      <c r="F38" s="132" t="s">
        <v>59</v>
      </c>
      <c r="G38" s="59" t="s">
        <v>56</v>
      </c>
      <c r="H38" s="59" t="s">
        <v>119</v>
      </c>
      <c r="I38" s="133" t="s">
        <v>58</v>
      </c>
    </row>
    <row r="39" spans="1:9" s="20" customFormat="1">
      <c r="A39" s="93" t="s">
        <v>133</v>
      </c>
      <c r="B39" s="94" t="s">
        <v>55</v>
      </c>
      <c r="C39" s="95" t="s">
        <v>56</v>
      </c>
      <c r="D39" s="96" t="s">
        <v>118</v>
      </c>
      <c r="E39" s="97" t="s">
        <v>58</v>
      </c>
      <c r="F39" s="98" t="s">
        <v>59</v>
      </c>
      <c r="G39" s="95" t="s">
        <v>56</v>
      </c>
      <c r="H39" s="95" t="s">
        <v>119</v>
      </c>
      <c r="I39" s="99" t="s">
        <v>58</v>
      </c>
    </row>
    <row r="40" spans="1:9" s="20" customFormat="1">
      <c r="A40" s="129" t="s">
        <v>134</v>
      </c>
      <c r="B40" s="61" t="s">
        <v>55</v>
      </c>
      <c r="C40" s="59" t="s">
        <v>56</v>
      </c>
      <c r="D40" s="130" t="s">
        <v>135</v>
      </c>
      <c r="E40" s="131" t="s">
        <v>58</v>
      </c>
      <c r="F40" s="132" t="s">
        <v>59</v>
      </c>
      <c r="G40" s="59" t="s">
        <v>56</v>
      </c>
      <c r="H40" s="59" t="s">
        <v>136</v>
      </c>
      <c r="I40" s="133" t="s">
        <v>58</v>
      </c>
    </row>
    <row r="41" spans="1:9">
      <c r="A41" s="87" t="s">
        <v>137</v>
      </c>
      <c r="B41" s="60" t="s">
        <v>59</v>
      </c>
      <c r="C41" s="57" t="s">
        <v>62</v>
      </c>
      <c r="D41" s="85" t="s">
        <v>138</v>
      </c>
      <c r="E41" s="88" t="s">
        <v>58</v>
      </c>
      <c r="F41" s="100" t="s">
        <v>59</v>
      </c>
      <c r="G41" s="57" t="s">
        <v>62</v>
      </c>
      <c r="H41" s="57" t="s">
        <v>139</v>
      </c>
      <c r="I41" s="101" t="s">
        <v>58</v>
      </c>
    </row>
    <row r="42" spans="1:9">
      <c r="A42" s="87" t="s">
        <v>140</v>
      </c>
      <c r="B42" s="60" t="s">
        <v>58</v>
      </c>
      <c r="C42" s="57" t="s">
        <v>56</v>
      </c>
      <c r="D42" s="85" t="s">
        <v>135</v>
      </c>
      <c r="E42" s="88" t="s">
        <v>58</v>
      </c>
      <c r="F42" s="100" t="s">
        <v>141</v>
      </c>
      <c r="G42" s="57" t="s">
        <v>56</v>
      </c>
      <c r="H42" s="57" t="s">
        <v>136</v>
      </c>
      <c r="I42" s="101" t="s">
        <v>58</v>
      </c>
    </row>
    <row r="43" spans="1:9">
      <c r="A43" s="102" t="s">
        <v>142</v>
      </c>
      <c r="B43" s="103" t="s">
        <v>59</v>
      </c>
      <c r="C43" s="95" t="s">
        <v>62</v>
      </c>
      <c r="D43" s="96" t="s">
        <v>143</v>
      </c>
      <c r="E43" s="97" t="s">
        <v>58</v>
      </c>
      <c r="F43" s="98" t="s">
        <v>59</v>
      </c>
      <c r="G43" s="95" t="s">
        <v>62</v>
      </c>
      <c r="H43" s="95" t="s">
        <v>144</v>
      </c>
      <c r="I43" s="99" t="s">
        <v>58</v>
      </c>
    </row>
    <row r="44" spans="1:9">
      <c r="A44" s="102" t="s">
        <v>145</v>
      </c>
      <c r="B44" s="103" t="s">
        <v>55</v>
      </c>
      <c r="C44" s="95" t="s">
        <v>56</v>
      </c>
      <c r="D44" s="96" t="s">
        <v>108</v>
      </c>
      <c r="E44" s="97" t="s">
        <v>58</v>
      </c>
      <c r="F44" s="98" t="s">
        <v>59</v>
      </c>
      <c r="G44" s="95" t="s">
        <v>56</v>
      </c>
      <c r="H44" s="95" t="s">
        <v>146</v>
      </c>
      <c r="I44" s="99" t="s">
        <v>58</v>
      </c>
    </row>
    <row r="45" spans="1:9">
      <c r="A45" s="102" t="s">
        <v>147</v>
      </c>
      <c r="B45" s="103" t="s">
        <v>59</v>
      </c>
      <c r="C45" s="95" t="s">
        <v>62</v>
      </c>
      <c r="D45" s="96" t="s">
        <v>111</v>
      </c>
      <c r="E45" s="97" t="s">
        <v>58</v>
      </c>
      <c r="F45" s="98" t="s">
        <v>59</v>
      </c>
      <c r="G45" s="95" t="s">
        <v>62</v>
      </c>
      <c r="H45" s="95" t="s">
        <v>148</v>
      </c>
      <c r="I45" s="99" t="s">
        <v>58</v>
      </c>
    </row>
    <row r="46" spans="1:9">
      <c r="A46" s="89" t="s">
        <v>149</v>
      </c>
      <c r="B46" s="104" t="s">
        <v>58</v>
      </c>
      <c r="C46" s="57" t="s">
        <v>56</v>
      </c>
      <c r="D46" s="85" t="s">
        <v>108</v>
      </c>
      <c r="E46" s="88" t="s">
        <v>58</v>
      </c>
      <c r="F46" s="100" t="s">
        <v>59</v>
      </c>
      <c r="G46" s="57" t="s">
        <v>56</v>
      </c>
      <c r="H46" s="57" t="s">
        <v>146</v>
      </c>
      <c r="I46" s="101" t="s">
        <v>58</v>
      </c>
    </row>
    <row r="47" spans="1:9" ht="13.8" thickBot="1">
      <c r="A47" s="105" t="s">
        <v>150</v>
      </c>
      <c r="B47" s="106" t="s">
        <v>59</v>
      </c>
      <c r="C47" s="107" t="s">
        <v>62</v>
      </c>
      <c r="D47" s="107" t="s">
        <v>115</v>
      </c>
      <c r="E47" s="108" t="s">
        <v>58</v>
      </c>
      <c r="F47" s="109" t="s">
        <v>59</v>
      </c>
      <c r="G47" s="107" t="s">
        <v>62</v>
      </c>
      <c r="H47" s="107" t="s">
        <v>151</v>
      </c>
      <c r="I47" s="108" t="s">
        <v>58</v>
      </c>
    </row>
    <row r="48" spans="1:9">
      <c r="A48" s="86"/>
      <c r="B48" s="82"/>
      <c r="C48" s="54"/>
      <c r="D48" s="54"/>
      <c r="E48" s="54"/>
      <c r="F48" s="82"/>
      <c r="G48" s="54"/>
      <c r="H48" s="54"/>
      <c r="I48" s="54"/>
    </row>
    <row r="49" spans="1:20" ht="15.6" thickBot="1">
      <c r="A49" s="326" t="s">
        <v>152</v>
      </c>
      <c r="B49" s="82"/>
      <c r="C49" s="54"/>
      <c r="D49" s="54"/>
      <c r="E49" s="54"/>
      <c r="F49" s="82"/>
      <c r="G49" s="54"/>
      <c r="H49" s="54"/>
      <c r="I49" s="54"/>
    </row>
    <row r="50" spans="1:20">
      <c r="A50" s="329" t="s">
        <v>45</v>
      </c>
      <c r="B50" s="330" t="s">
        <v>46</v>
      </c>
      <c r="C50" s="330" t="s">
        <v>47</v>
      </c>
      <c r="D50" s="330" t="s">
        <v>48</v>
      </c>
      <c r="E50" s="331" t="s">
        <v>49</v>
      </c>
      <c r="F50" s="329" t="s">
        <v>50</v>
      </c>
      <c r="G50" s="330" t="s">
        <v>51</v>
      </c>
      <c r="H50" s="330" t="s">
        <v>52</v>
      </c>
      <c r="I50" s="331" t="s">
        <v>53</v>
      </c>
    </row>
    <row r="51" spans="1:20">
      <c r="A51" s="87" t="s">
        <v>153</v>
      </c>
      <c r="B51" s="60" t="s">
        <v>59</v>
      </c>
      <c r="C51" s="57" t="s">
        <v>56</v>
      </c>
      <c r="D51" s="85" t="s">
        <v>109</v>
      </c>
      <c r="E51" s="88" t="s">
        <v>58</v>
      </c>
      <c r="F51" s="100" t="s">
        <v>55</v>
      </c>
      <c r="G51" s="57" t="s">
        <v>56</v>
      </c>
      <c r="H51" s="57" t="s">
        <v>108</v>
      </c>
      <c r="I51" s="101" t="s">
        <v>58</v>
      </c>
    </row>
    <row r="52" spans="1:20">
      <c r="A52" s="87" t="s">
        <v>154</v>
      </c>
      <c r="B52" s="60" t="s">
        <v>59</v>
      </c>
      <c r="C52" s="57" t="s">
        <v>62</v>
      </c>
      <c r="D52" s="85" t="s">
        <v>112</v>
      </c>
      <c r="E52" s="88" t="s">
        <v>58</v>
      </c>
      <c r="F52" s="100" t="s">
        <v>59</v>
      </c>
      <c r="G52" s="57" t="s">
        <v>62</v>
      </c>
      <c r="H52" s="57" t="s">
        <v>111</v>
      </c>
      <c r="I52" s="101" t="s">
        <v>58</v>
      </c>
    </row>
    <row r="53" spans="1:20">
      <c r="A53" s="87" t="s">
        <v>155</v>
      </c>
      <c r="B53" s="60" t="s">
        <v>59</v>
      </c>
      <c r="C53" s="57" t="s">
        <v>56</v>
      </c>
      <c r="D53" s="85" t="s">
        <v>109</v>
      </c>
      <c r="E53" s="88" t="s">
        <v>58</v>
      </c>
      <c r="F53" s="100" t="s">
        <v>58</v>
      </c>
      <c r="G53" s="57" t="s">
        <v>56</v>
      </c>
      <c r="H53" s="57" t="s">
        <v>108</v>
      </c>
      <c r="I53" s="101" t="s">
        <v>58</v>
      </c>
    </row>
    <row r="54" spans="1:20" ht="13.8" thickBot="1">
      <c r="A54" s="120" t="s">
        <v>156</v>
      </c>
      <c r="B54" s="121" t="s">
        <v>59</v>
      </c>
      <c r="C54" s="91" t="s">
        <v>62</v>
      </c>
      <c r="D54" s="122" t="s">
        <v>116</v>
      </c>
      <c r="E54" s="123" t="s">
        <v>58</v>
      </c>
      <c r="F54" s="124" t="s">
        <v>59</v>
      </c>
      <c r="G54" s="91" t="s">
        <v>62</v>
      </c>
      <c r="H54" s="91" t="s">
        <v>115</v>
      </c>
      <c r="I54" s="92" t="s">
        <v>58</v>
      </c>
    </row>
    <row r="55" spans="1:20">
      <c r="D55" s="54"/>
      <c r="E55" s="54"/>
      <c r="F55" s="82"/>
      <c r="G55" s="54"/>
      <c r="H55" s="54"/>
      <c r="I55" s="54"/>
    </row>
    <row r="56" spans="1:20" ht="13.8" thickBot="1">
      <c r="A56" s="334" t="s">
        <v>157</v>
      </c>
      <c r="D56" s="54"/>
      <c r="E56" s="54"/>
      <c r="F56" s="82"/>
      <c r="G56" s="54"/>
      <c r="H56" s="54"/>
      <c r="I56" s="54"/>
    </row>
    <row r="57" spans="1:20">
      <c r="A57" s="110" t="s">
        <v>158</v>
      </c>
      <c r="B57" s="111" t="s">
        <v>159</v>
      </c>
      <c r="C57" s="112" t="s">
        <v>58</v>
      </c>
      <c r="F57" s="78"/>
      <c r="G57" s="78"/>
    </row>
    <row r="58" spans="1:20">
      <c r="A58" s="89" t="s">
        <v>160</v>
      </c>
      <c r="B58" s="104" t="s">
        <v>159</v>
      </c>
      <c r="C58" s="88" t="s">
        <v>58</v>
      </c>
    </row>
    <row r="59" spans="1:20" s="72" customFormat="1">
      <c r="A59" s="89" t="s">
        <v>161</v>
      </c>
      <c r="B59" s="104" t="s">
        <v>159</v>
      </c>
      <c r="C59" s="88" t="s">
        <v>58</v>
      </c>
      <c r="D59" s="113"/>
      <c r="E59" s="113"/>
      <c r="F59" s="114"/>
      <c r="G59" s="114"/>
      <c r="H59" s="114"/>
      <c r="I59" s="114"/>
      <c r="J59" s="114"/>
      <c r="K59" s="114"/>
      <c r="L59" s="114"/>
      <c r="M59" s="114"/>
      <c r="N59" s="114"/>
      <c r="O59" s="114"/>
      <c r="P59" s="114"/>
      <c r="Q59" s="114"/>
      <c r="R59" s="114"/>
      <c r="S59" s="114"/>
      <c r="T59" s="114"/>
    </row>
    <row r="60" spans="1:20" s="72" customFormat="1">
      <c r="A60" s="89" t="s">
        <v>162</v>
      </c>
      <c r="B60" s="104" t="s">
        <v>159</v>
      </c>
      <c r="C60" s="88" t="s">
        <v>58</v>
      </c>
      <c r="D60" s="115"/>
      <c r="E60" s="115"/>
      <c r="F60" s="116"/>
      <c r="G60" s="116"/>
      <c r="H60" s="116"/>
      <c r="I60" s="116"/>
      <c r="J60" s="114"/>
      <c r="K60" s="114"/>
      <c r="L60" s="114"/>
      <c r="M60" s="114"/>
      <c r="N60" s="114"/>
      <c r="O60" s="114"/>
      <c r="P60" s="114"/>
      <c r="Q60" s="114"/>
      <c r="R60" s="114"/>
      <c r="S60" s="114"/>
      <c r="T60" s="114"/>
    </row>
    <row r="61" spans="1:20" s="72" customFormat="1">
      <c r="A61" s="89" t="s">
        <v>163</v>
      </c>
      <c r="B61" s="57" t="s">
        <v>164</v>
      </c>
      <c r="C61" s="101"/>
      <c r="D61" s="115"/>
      <c r="E61" s="115"/>
      <c r="F61" s="116"/>
      <c r="G61" s="116"/>
      <c r="H61" s="116"/>
      <c r="I61" s="116"/>
      <c r="J61" s="114"/>
      <c r="K61" s="114"/>
      <c r="L61" s="114"/>
      <c r="M61" s="114"/>
      <c r="N61" s="114"/>
      <c r="O61" s="114"/>
      <c r="P61" s="114"/>
      <c r="Q61" s="114"/>
      <c r="R61" s="114"/>
      <c r="S61" s="114"/>
      <c r="T61" s="114"/>
    </row>
    <row r="62" spans="1:20" s="72" customFormat="1" ht="13.8" thickBot="1">
      <c r="A62" s="90" t="s">
        <v>165</v>
      </c>
      <c r="B62" s="91" t="s">
        <v>164</v>
      </c>
      <c r="C62" s="92"/>
      <c r="D62" s="115"/>
      <c r="E62" s="115"/>
      <c r="F62" s="116"/>
      <c r="G62" s="116"/>
      <c r="H62" s="116"/>
      <c r="I62" s="116"/>
      <c r="J62" s="114"/>
      <c r="K62" s="114"/>
      <c r="L62" s="114"/>
      <c r="M62" s="114"/>
      <c r="N62" s="114"/>
      <c r="O62" s="114"/>
      <c r="P62" s="114"/>
      <c r="Q62" s="114"/>
      <c r="R62" s="114"/>
      <c r="S62" s="114"/>
      <c r="T62" s="114"/>
    </row>
    <row r="63" spans="1:20" s="72" customFormat="1">
      <c r="A63"/>
      <c r="B63" s="78"/>
      <c r="C63" s="78"/>
      <c r="D63" s="115"/>
      <c r="E63" s="115"/>
      <c r="F63" s="116"/>
      <c r="G63" s="116"/>
      <c r="H63" s="116"/>
      <c r="I63" s="116"/>
      <c r="J63" s="114"/>
      <c r="K63" s="114"/>
      <c r="L63" s="114"/>
      <c r="M63" s="114"/>
      <c r="N63" s="114"/>
      <c r="O63" s="114"/>
      <c r="P63" s="114"/>
      <c r="Q63" s="114"/>
      <c r="R63" s="114"/>
      <c r="S63" s="114"/>
      <c r="T63" s="114"/>
    </row>
    <row r="64" spans="1:20" s="72" customFormat="1" ht="15.6">
      <c r="A64" s="117" t="s">
        <v>166</v>
      </c>
      <c r="B64"/>
      <c r="C64"/>
      <c r="D64" s="115"/>
      <c r="E64" s="115"/>
      <c r="F64" s="116"/>
      <c r="G64" s="116"/>
      <c r="H64" s="116"/>
      <c r="I64" s="116"/>
      <c r="J64" s="114"/>
      <c r="K64" s="114"/>
      <c r="L64" s="114"/>
      <c r="M64" s="114"/>
      <c r="N64" s="114"/>
      <c r="O64" s="114"/>
      <c r="P64" s="114"/>
      <c r="Q64" s="114"/>
      <c r="R64" s="114"/>
      <c r="S64" s="114"/>
      <c r="T64" s="114"/>
    </row>
    <row r="65" spans="1:20" s="72" customFormat="1">
      <c r="A65" s="118" t="s">
        <v>167</v>
      </c>
      <c r="B65" s="113"/>
      <c r="C65" s="113"/>
      <c r="D65" s="115"/>
      <c r="E65" s="115"/>
      <c r="F65" s="116"/>
      <c r="G65" s="116"/>
      <c r="H65" s="116"/>
      <c r="I65" s="116"/>
      <c r="J65" s="114"/>
      <c r="K65" s="114"/>
      <c r="L65" s="114"/>
      <c r="M65" s="114"/>
      <c r="N65" s="114"/>
      <c r="O65" s="114"/>
      <c r="P65" s="114"/>
      <c r="Q65" s="114"/>
      <c r="R65" s="114"/>
      <c r="S65" s="114"/>
      <c r="T65" s="114"/>
    </row>
    <row r="66" spans="1:20" s="72" customFormat="1">
      <c r="A66" s="115" t="s">
        <v>168</v>
      </c>
      <c r="B66" s="115"/>
      <c r="C66" s="115"/>
      <c r="D66" s="115"/>
      <c r="E66" s="115"/>
      <c r="F66" s="116"/>
      <c r="G66" s="116"/>
      <c r="H66" s="116"/>
      <c r="I66" s="116"/>
      <c r="J66" s="114"/>
      <c r="K66" s="114"/>
      <c r="L66" s="114"/>
      <c r="M66" s="114"/>
      <c r="N66" s="114"/>
      <c r="O66" s="114"/>
      <c r="P66" s="114"/>
      <c r="Q66" s="114"/>
      <c r="R66" s="114"/>
      <c r="S66" s="114"/>
      <c r="T66" s="114"/>
    </row>
    <row r="67" spans="1:20" s="72" customFormat="1">
      <c r="A67" s="115" t="s">
        <v>169</v>
      </c>
      <c r="B67" s="115"/>
      <c r="C67" s="115"/>
      <c r="D67" s="115"/>
      <c r="E67" s="115"/>
      <c r="F67" s="116"/>
      <c r="G67" s="116"/>
      <c r="H67" s="116"/>
      <c r="I67" s="116"/>
      <c r="J67" s="114"/>
      <c r="K67" s="114"/>
      <c r="L67" s="114"/>
      <c r="M67" s="114"/>
      <c r="N67" s="114"/>
      <c r="O67" s="114"/>
      <c r="P67" s="114"/>
      <c r="Q67" s="114"/>
      <c r="R67" s="114"/>
      <c r="S67" s="114"/>
      <c r="T67" s="114"/>
    </row>
    <row r="68" spans="1:20" s="72" customFormat="1">
      <c r="A68" s="115" t="s">
        <v>170</v>
      </c>
      <c r="B68" s="115"/>
      <c r="C68" s="115"/>
      <c r="D68" s="115"/>
      <c r="E68" s="115"/>
      <c r="F68" s="116"/>
      <c r="G68" s="116"/>
      <c r="H68" s="116"/>
      <c r="I68" s="116"/>
      <c r="J68" s="114"/>
      <c r="K68" s="114"/>
      <c r="L68" s="114"/>
      <c r="M68" s="114"/>
      <c r="N68" s="114"/>
      <c r="O68" s="114"/>
      <c r="P68" s="114"/>
      <c r="Q68" s="114"/>
      <c r="R68" s="114"/>
      <c r="S68" s="114"/>
      <c r="T68" s="114"/>
    </row>
    <row r="69" spans="1:20" s="72" customFormat="1">
      <c r="A69" s="118" t="s">
        <v>171</v>
      </c>
      <c r="B69" s="115"/>
      <c r="C69" s="115"/>
      <c r="D69" s="115"/>
      <c r="E69" s="115"/>
      <c r="F69" s="116"/>
      <c r="G69" s="116"/>
      <c r="H69" s="116"/>
      <c r="I69" s="116"/>
      <c r="J69" s="114"/>
      <c r="K69" s="114"/>
      <c r="L69" s="114"/>
      <c r="M69" s="114"/>
      <c r="N69" s="114"/>
      <c r="O69" s="114"/>
      <c r="P69" s="114"/>
      <c r="Q69" s="114"/>
      <c r="R69" s="114"/>
      <c r="S69" s="114"/>
      <c r="T69" s="114"/>
    </row>
    <row r="70" spans="1:20" ht="15">
      <c r="A70" s="118" t="s">
        <v>172</v>
      </c>
      <c r="B70" s="115"/>
      <c r="C70" s="115"/>
      <c r="D70" s="326"/>
      <c r="E70" s="326"/>
      <c r="F70" s="328"/>
      <c r="G70" s="328"/>
      <c r="H70" s="328"/>
      <c r="I70" s="328"/>
      <c r="J70" s="325"/>
      <c r="K70" s="325"/>
      <c r="L70" s="325"/>
      <c r="M70" s="325"/>
      <c r="N70" s="325"/>
      <c r="O70" s="325"/>
      <c r="P70" s="325"/>
      <c r="Q70" s="325"/>
      <c r="R70" s="325"/>
      <c r="S70" s="325"/>
      <c r="T70" s="325"/>
    </row>
    <row r="71" spans="1:20">
      <c r="A71" s="115" t="s">
        <v>173</v>
      </c>
      <c r="B71" s="115"/>
      <c r="C71" s="115"/>
    </row>
    <row r="72" spans="1:20">
      <c r="A72" s="115" t="s">
        <v>174</v>
      </c>
      <c r="B72" s="115"/>
      <c r="C72" s="115"/>
    </row>
    <row r="73" spans="1:20">
      <c r="A73" s="115" t="s">
        <v>175</v>
      </c>
      <c r="B73" s="115"/>
      <c r="C73" s="115"/>
    </row>
    <row r="74" spans="1:20">
      <c r="A74" s="115" t="s">
        <v>176</v>
      </c>
      <c r="B74" s="115"/>
      <c r="C74" s="115"/>
    </row>
    <row r="75" spans="1:20" ht="15">
      <c r="A75" s="326"/>
      <c r="B75" s="326"/>
      <c r="C75" s="326"/>
    </row>
    <row r="76" spans="1:20">
      <c r="A76" s="334" t="s">
        <v>177</v>
      </c>
    </row>
    <row r="77" spans="1:20">
      <c r="A77" t="s">
        <v>178</v>
      </c>
    </row>
    <row r="78" spans="1:20">
      <c r="A78" s="119" t="s">
        <v>179</v>
      </c>
    </row>
    <row r="79" spans="1:20">
      <c r="A79" t="s">
        <v>180</v>
      </c>
    </row>
    <row r="80" spans="1:20">
      <c r="A80" s="119" t="s">
        <v>181</v>
      </c>
    </row>
    <row r="81" spans="1:1">
      <c r="A81" s="119" t="s">
        <v>182</v>
      </c>
    </row>
    <row r="83" spans="1:1">
      <c r="A83" s="334" t="s">
        <v>183</v>
      </c>
    </row>
    <row r="84" spans="1:1">
      <c r="A84" t="s">
        <v>184</v>
      </c>
    </row>
    <row r="85" spans="1:1">
      <c r="A85" s="119" t="s">
        <v>185</v>
      </c>
    </row>
    <row r="86" spans="1:1">
      <c r="A86" t="s">
        <v>186</v>
      </c>
    </row>
    <row r="87" spans="1:1">
      <c r="A87" s="119" t="s">
        <v>187</v>
      </c>
    </row>
    <row r="89" spans="1:1">
      <c r="A89" s="334" t="s">
        <v>188</v>
      </c>
    </row>
    <row r="90" spans="1:1">
      <c r="A90" t="s">
        <v>189</v>
      </c>
    </row>
    <row r="91" spans="1:1">
      <c r="A91" t="s">
        <v>190</v>
      </c>
    </row>
    <row r="93" spans="1:1">
      <c r="A93" s="334" t="s">
        <v>191</v>
      </c>
    </row>
    <row r="94" spans="1:1">
      <c r="A94" t="s">
        <v>192</v>
      </c>
    </row>
    <row r="95" spans="1:1">
      <c r="A95" t="s">
        <v>193</v>
      </c>
    </row>
    <row r="96" spans="1:1">
      <c r="A96" t="s">
        <v>194</v>
      </c>
    </row>
  </sheetData>
  <mergeCells count="1">
    <mergeCell ref="A1:I1"/>
  </mergeCells>
  <phoneticPr fontId="13" type="noConversion"/>
  <printOptions horizontalCentered="1"/>
  <pageMargins left="0.23622047244094491" right="0.23622047244094491" top="0.43307086614173229" bottom="0.39370078740157483" header="0.31496062992125984" footer="0.31496062992125984"/>
  <pageSetup paperSize="9" scale="87" fitToHeight="2" orientation="landscape" horizontalDpi="300" verticalDpi="300"/>
  <rowBreaks count="1" manualBreakCount="1">
    <brk id="4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H99"/>
  <sheetViews>
    <sheetView showRuler="0" topLeftCell="A13" workbookViewId="0">
      <selection activeCell="H16" sqref="H16"/>
    </sheetView>
  </sheetViews>
  <sheetFormatPr defaultColWidth="8.88671875" defaultRowHeight="13.2"/>
  <cols>
    <col min="1" max="1" width="5.6640625" customWidth="1"/>
    <col min="2" max="2" width="8.109375" bestFit="1" customWidth="1"/>
    <col min="3" max="3" width="7.109375" customWidth="1"/>
    <col min="4" max="4" width="13.33203125" customWidth="1"/>
    <col min="5" max="5" width="12.88671875" customWidth="1"/>
    <col min="6" max="6" width="14.6640625" customWidth="1"/>
    <col min="7" max="7" width="18.44140625" bestFit="1" customWidth="1"/>
    <col min="8" max="8" width="59" bestFit="1" customWidth="1"/>
  </cols>
  <sheetData>
    <row r="1" spans="1:8" ht="15.6">
      <c r="A1" s="634" t="s">
        <v>195</v>
      </c>
      <c r="B1" s="634"/>
      <c r="C1" s="634"/>
      <c r="D1" s="634"/>
      <c r="E1" s="634"/>
      <c r="F1" s="634"/>
      <c r="G1" s="634"/>
      <c r="H1" s="634"/>
    </row>
    <row r="2" spans="1:8" ht="15.6">
      <c r="A2" s="634" t="s">
        <v>196</v>
      </c>
      <c r="B2" s="634"/>
      <c r="C2" s="634"/>
      <c r="D2" s="634"/>
      <c r="E2" s="634"/>
      <c r="F2" s="634"/>
      <c r="G2" s="634"/>
      <c r="H2" s="634"/>
    </row>
    <row r="3" spans="1:8" ht="15.6">
      <c r="A3" s="389"/>
      <c r="B3" s="389"/>
      <c r="C3" s="389"/>
      <c r="D3" s="389"/>
      <c r="E3" s="389"/>
      <c r="F3" s="389"/>
      <c r="G3" s="389"/>
    </row>
    <row r="4" spans="1:8" s="69" customFormat="1" ht="15.6">
      <c r="A4" s="141" t="s">
        <v>197</v>
      </c>
      <c r="B4" s="72"/>
      <c r="C4" s="72"/>
      <c r="D4" s="72"/>
      <c r="E4" s="72"/>
      <c r="F4" s="72"/>
      <c r="G4" s="72"/>
      <c r="H4" s="72"/>
    </row>
    <row r="5" spans="1:8" s="69" customFormat="1">
      <c r="A5" s="633" t="s">
        <v>198</v>
      </c>
      <c r="B5" s="633"/>
      <c r="C5" s="335" t="s">
        <v>199</v>
      </c>
      <c r="D5" s="336"/>
      <c r="E5" s="336"/>
      <c r="F5" s="336"/>
      <c r="G5" s="336"/>
      <c r="H5" s="336"/>
    </row>
    <row r="6" spans="1:8" s="69" customFormat="1">
      <c r="A6" s="633" t="s">
        <v>200</v>
      </c>
      <c r="B6" s="633"/>
      <c r="C6" s="335" t="s">
        <v>201</v>
      </c>
      <c r="D6" s="336"/>
      <c r="E6" s="336"/>
      <c r="F6" s="336"/>
      <c r="G6" s="336"/>
      <c r="H6" s="336"/>
    </row>
    <row r="7" spans="1:8" s="69" customFormat="1">
      <c r="A7" s="633" t="s">
        <v>202</v>
      </c>
      <c r="B7" s="633"/>
      <c r="C7" s="335" t="s">
        <v>203</v>
      </c>
      <c r="D7" s="336"/>
      <c r="E7" s="336"/>
      <c r="F7" s="336"/>
      <c r="G7" s="336"/>
      <c r="H7" s="336"/>
    </row>
    <row r="8" spans="1:8" s="69" customFormat="1">
      <c r="A8" s="633" t="s">
        <v>204</v>
      </c>
      <c r="B8" s="633"/>
      <c r="C8" s="335" t="s">
        <v>205</v>
      </c>
      <c r="D8" s="336"/>
      <c r="E8" s="336"/>
      <c r="F8" s="336"/>
      <c r="G8" s="336"/>
      <c r="H8" s="336"/>
    </row>
    <row r="9" spans="1:8" s="69" customFormat="1">
      <c r="A9" s="633" t="s">
        <v>206</v>
      </c>
      <c r="B9" s="633"/>
      <c r="C9" s="335" t="s">
        <v>207</v>
      </c>
      <c r="D9" s="72"/>
      <c r="E9" s="72"/>
      <c r="F9" s="72"/>
      <c r="G9" s="72"/>
      <c r="H9" s="72"/>
    </row>
    <row r="10" spans="1:8" s="69" customFormat="1">
      <c r="A10" s="633" t="s">
        <v>208</v>
      </c>
      <c r="B10" s="633"/>
      <c r="C10" s="335" t="s">
        <v>209</v>
      </c>
      <c r="D10" s="72"/>
      <c r="E10" s="72"/>
      <c r="F10" s="72"/>
      <c r="G10" s="72"/>
      <c r="H10" s="72"/>
    </row>
    <row r="11" spans="1:8" s="69" customFormat="1">
      <c r="A11" s="633" t="s">
        <v>210</v>
      </c>
      <c r="B11" s="633"/>
      <c r="C11" s="335" t="s">
        <v>211</v>
      </c>
      <c r="D11" s="72"/>
      <c r="E11" s="72"/>
      <c r="F11" s="72"/>
      <c r="G11" s="72"/>
      <c r="H11" s="72"/>
    </row>
    <row r="12" spans="1:8" s="69" customFormat="1">
      <c r="A12" s="72"/>
      <c r="B12" s="72"/>
      <c r="C12" s="72"/>
      <c r="D12" s="72"/>
      <c r="E12" s="72"/>
      <c r="F12" s="72"/>
      <c r="G12" s="72"/>
      <c r="H12" s="72"/>
    </row>
    <row r="13" spans="1:8" s="69" customFormat="1" ht="15.6">
      <c r="A13" s="141" t="s">
        <v>212</v>
      </c>
      <c r="B13" s="72"/>
      <c r="C13" s="72"/>
      <c r="D13" s="72"/>
      <c r="E13" s="72"/>
      <c r="F13" s="72"/>
      <c r="G13" s="72"/>
      <c r="H13" s="72"/>
    </row>
    <row r="14" spans="1:8" s="69" customFormat="1">
      <c r="A14" s="337" t="s">
        <v>213</v>
      </c>
      <c r="B14" s="337" t="s">
        <v>214</v>
      </c>
      <c r="C14" s="338" t="s">
        <v>215</v>
      </c>
      <c r="D14" s="338" t="s">
        <v>216</v>
      </c>
      <c r="E14" s="338" t="s">
        <v>217</v>
      </c>
      <c r="F14" s="338" t="s">
        <v>218</v>
      </c>
      <c r="G14" s="338" t="s">
        <v>219</v>
      </c>
      <c r="H14" s="337" t="s">
        <v>220</v>
      </c>
    </row>
    <row r="15" spans="1:8" s="69" customFormat="1">
      <c r="A15" s="95">
        <v>1</v>
      </c>
      <c r="B15" s="95" t="s">
        <v>221</v>
      </c>
      <c r="C15" s="95" t="s">
        <v>222</v>
      </c>
      <c r="D15" s="95" t="s">
        <v>223</v>
      </c>
      <c r="E15" s="95" t="s">
        <v>224</v>
      </c>
      <c r="F15" s="95" t="s">
        <v>225</v>
      </c>
      <c r="G15" s="95" t="s">
        <v>226</v>
      </c>
      <c r="H15" s="95" t="s">
        <v>227</v>
      </c>
    </row>
    <row r="16" spans="1:8" s="69" customFormat="1">
      <c r="A16" s="95">
        <v>2</v>
      </c>
      <c r="B16" s="95" t="s">
        <v>228</v>
      </c>
      <c r="C16" s="95" t="s">
        <v>222</v>
      </c>
      <c r="D16" s="95" t="s">
        <v>229</v>
      </c>
      <c r="E16" s="95" t="s">
        <v>230</v>
      </c>
      <c r="F16" s="95" t="s">
        <v>231</v>
      </c>
      <c r="G16" s="95" t="s">
        <v>232</v>
      </c>
      <c r="H16" s="95" t="s">
        <v>233</v>
      </c>
    </row>
    <row r="17" spans="1:8" s="69" customFormat="1">
      <c r="A17" s="95">
        <v>3</v>
      </c>
      <c r="B17" s="95" t="s">
        <v>234</v>
      </c>
      <c r="C17" s="95" t="s">
        <v>222</v>
      </c>
      <c r="D17" s="95" t="s">
        <v>108</v>
      </c>
      <c r="E17" s="95" t="s">
        <v>109</v>
      </c>
      <c r="F17" s="95" t="s">
        <v>108</v>
      </c>
      <c r="G17" s="95" t="s">
        <v>109</v>
      </c>
      <c r="H17" s="95" t="s">
        <v>235</v>
      </c>
    </row>
    <row r="18" spans="1:8" s="69" customFormat="1">
      <c r="A18" s="339">
        <v>4</v>
      </c>
      <c r="B18" s="85" t="s">
        <v>236</v>
      </c>
      <c r="C18" s="85" t="s">
        <v>222</v>
      </c>
      <c r="D18" s="85" t="s">
        <v>237</v>
      </c>
      <c r="E18" s="85" t="s">
        <v>238</v>
      </c>
      <c r="F18" s="85" t="s">
        <v>239</v>
      </c>
      <c r="G18" s="85" t="s">
        <v>240</v>
      </c>
      <c r="H18" s="340" t="s">
        <v>241</v>
      </c>
    </row>
    <row r="19" spans="1:8" s="69" customFormat="1">
      <c r="A19" s="95">
        <v>5</v>
      </c>
      <c r="B19" s="95" t="s">
        <v>242</v>
      </c>
      <c r="C19" s="95" t="s">
        <v>222</v>
      </c>
      <c r="D19" s="95" t="s">
        <v>71</v>
      </c>
      <c r="E19" s="95" t="s">
        <v>70</v>
      </c>
      <c r="F19" s="95" t="s">
        <v>71</v>
      </c>
      <c r="G19" s="95" t="s">
        <v>70</v>
      </c>
      <c r="H19" s="95" t="s">
        <v>243</v>
      </c>
    </row>
    <row r="20" spans="1:8" s="69" customFormat="1">
      <c r="A20" s="95">
        <v>6</v>
      </c>
      <c r="B20" s="95" t="s">
        <v>244</v>
      </c>
      <c r="C20" s="95" t="s">
        <v>222</v>
      </c>
      <c r="D20" s="95" t="s">
        <v>98</v>
      </c>
      <c r="E20" s="95" t="s">
        <v>99</v>
      </c>
      <c r="F20" s="95" t="s">
        <v>245</v>
      </c>
      <c r="G20" s="95" t="s">
        <v>246</v>
      </c>
      <c r="H20" s="95" t="s">
        <v>247</v>
      </c>
    </row>
    <row r="21" spans="1:8" s="69" customFormat="1">
      <c r="A21" s="95">
        <v>7</v>
      </c>
      <c r="B21" s="95" t="s">
        <v>248</v>
      </c>
      <c r="C21" s="95" t="s">
        <v>222</v>
      </c>
      <c r="D21" s="95" t="s">
        <v>249</v>
      </c>
      <c r="E21" s="95" t="s">
        <v>250</v>
      </c>
      <c r="F21" s="95" t="s">
        <v>249</v>
      </c>
      <c r="G21" s="95" t="s">
        <v>250</v>
      </c>
      <c r="H21" s="95" t="s">
        <v>251</v>
      </c>
    </row>
    <row r="22" spans="1:8" s="69" customFormat="1">
      <c r="A22" s="339">
        <v>8</v>
      </c>
      <c r="B22" s="85" t="s">
        <v>252</v>
      </c>
      <c r="C22" s="85" t="s">
        <v>222</v>
      </c>
      <c r="D22" s="85" t="s">
        <v>253</v>
      </c>
      <c r="E22" s="85" t="s">
        <v>254</v>
      </c>
      <c r="F22" s="85" t="s">
        <v>253</v>
      </c>
      <c r="G22" s="85" t="s">
        <v>254</v>
      </c>
      <c r="H22" s="340" t="s">
        <v>255</v>
      </c>
    </row>
    <row r="23" spans="1:8" s="69" customFormat="1">
      <c r="A23" s="95">
        <v>9</v>
      </c>
      <c r="B23" s="95" t="s">
        <v>256</v>
      </c>
      <c r="C23" s="95" t="s">
        <v>222</v>
      </c>
      <c r="D23" s="95" t="s">
        <v>257</v>
      </c>
      <c r="E23" s="95" t="s">
        <v>258</v>
      </c>
      <c r="F23" s="95" t="s">
        <v>259</v>
      </c>
      <c r="G23" s="95" t="s">
        <v>260</v>
      </c>
      <c r="H23" s="95" t="s">
        <v>261</v>
      </c>
    </row>
    <row r="24" spans="1:8" s="69" customFormat="1">
      <c r="A24" s="339">
        <v>10</v>
      </c>
      <c r="B24" s="85" t="s">
        <v>262</v>
      </c>
      <c r="C24" s="85" t="s">
        <v>222</v>
      </c>
      <c r="D24" s="85" t="s">
        <v>263</v>
      </c>
      <c r="E24" s="85" t="s">
        <v>264</v>
      </c>
      <c r="F24" s="85" t="s">
        <v>249</v>
      </c>
      <c r="G24" s="85" t="s">
        <v>250</v>
      </c>
      <c r="H24" s="340" t="s">
        <v>265</v>
      </c>
    </row>
    <row r="25" spans="1:8" s="69" customFormat="1">
      <c r="A25" s="95">
        <v>11</v>
      </c>
      <c r="B25" s="95" t="s">
        <v>266</v>
      </c>
      <c r="C25" s="95" t="s">
        <v>222</v>
      </c>
      <c r="D25" s="95" t="s">
        <v>267</v>
      </c>
      <c r="E25" s="95" t="s">
        <v>268</v>
      </c>
      <c r="F25" s="95" t="s">
        <v>269</v>
      </c>
      <c r="G25" s="95" t="s">
        <v>260</v>
      </c>
      <c r="H25" s="95" t="s">
        <v>270</v>
      </c>
    </row>
    <row r="26" spans="1:8" s="69" customFormat="1">
      <c r="A26" s="95">
        <v>12</v>
      </c>
      <c r="B26" s="95" t="s">
        <v>271</v>
      </c>
      <c r="C26" s="95" t="s">
        <v>222</v>
      </c>
      <c r="D26" s="95" t="s">
        <v>272</v>
      </c>
      <c r="E26" s="95" t="s">
        <v>272</v>
      </c>
      <c r="F26" s="95" t="s">
        <v>273</v>
      </c>
      <c r="G26" s="95" t="s">
        <v>260</v>
      </c>
      <c r="H26" s="95" t="s">
        <v>274</v>
      </c>
    </row>
    <row r="27" spans="1:8" s="69" customFormat="1">
      <c r="A27" s="57">
        <v>13</v>
      </c>
      <c r="B27" s="85" t="s">
        <v>275</v>
      </c>
      <c r="C27" s="85" t="s">
        <v>222</v>
      </c>
      <c r="D27" s="85" t="s">
        <v>276</v>
      </c>
      <c r="E27" s="85" t="s">
        <v>276</v>
      </c>
      <c r="F27" s="85" t="s">
        <v>260</v>
      </c>
      <c r="G27" s="85" t="s">
        <v>277</v>
      </c>
      <c r="H27" s="340" t="s">
        <v>278</v>
      </c>
    </row>
    <row r="28" spans="1:8" s="69" customFormat="1">
      <c r="A28" s="339">
        <v>14</v>
      </c>
      <c r="B28" s="85" t="s">
        <v>279</v>
      </c>
      <c r="C28" s="85" t="s">
        <v>280</v>
      </c>
      <c r="D28" s="85" t="s">
        <v>281</v>
      </c>
      <c r="E28" s="85" t="s">
        <v>281</v>
      </c>
      <c r="F28" s="85" t="s">
        <v>260</v>
      </c>
      <c r="G28" s="85" t="s">
        <v>282</v>
      </c>
      <c r="H28" s="340" t="s">
        <v>283</v>
      </c>
    </row>
    <row r="29" spans="1:8" s="69" customFormat="1">
      <c r="A29" s="57">
        <v>15</v>
      </c>
      <c r="B29" s="85" t="s">
        <v>284</v>
      </c>
      <c r="C29" s="85" t="s">
        <v>280</v>
      </c>
      <c r="D29" s="85" t="s">
        <v>285</v>
      </c>
      <c r="E29" s="85" t="s">
        <v>285</v>
      </c>
      <c r="F29" s="85" t="s">
        <v>260</v>
      </c>
      <c r="G29" s="85" t="s">
        <v>286</v>
      </c>
      <c r="H29" s="340" t="s">
        <v>287</v>
      </c>
    </row>
    <row r="30" spans="1:8" s="69" customFormat="1">
      <c r="A30" s="339">
        <v>16</v>
      </c>
      <c r="B30" s="85" t="s">
        <v>288</v>
      </c>
      <c r="C30" s="85" t="s">
        <v>280</v>
      </c>
      <c r="D30" s="85" t="s">
        <v>289</v>
      </c>
      <c r="E30" s="85" t="s">
        <v>289</v>
      </c>
      <c r="F30" s="85" t="s">
        <v>260</v>
      </c>
      <c r="G30" s="85" t="s">
        <v>290</v>
      </c>
      <c r="H30" s="340" t="s">
        <v>291</v>
      </c>
    </row>
    <row r="31" spans="1:8" s="69" customFormat="1">
      <c r="A31" s="57">
        <v>17</v>
      </c>
      <c r="B31" s="85" t="s">
        <v>292</v>
      </c>
      <c r="C31" s="85" t="s">
        <v>222</v>
      </c>
      <c r="D31" s="85" t="s">
        <v>293</v>
      </c>
      <c r="E31" s="85" t="s">
        <v>294</v>
      </c>
      <c r="F31" s="85" t="s">
        <v>260</v>
      </c>
      <c r="G31" s="85" t="s">
        <v>259</v>
      </c>
      <c r="H31" s="340" t="s">
        <v>295</v>
      </c>
    </row>
    <row r="32" spans="1:8" s="69" customFormat="1">
      <c r="A32" s="339">
        <v>18</v>
      </c>
      <c r="B32" s="85" t="s">
        <v>296</v>
      </c>
      <c r="C32" s="85" t="s">
        <v>280</v>
      </c>
      <c r="D32" s="85" t="s">
        <v>297</v>
      </c>
      <c r="E32" s="85" t="s">
        <v>298</v>
      </c>
      <c r="F32" s="85" t="s">
        <v>299</v>
      </c>
      <c r="G32" s="85" t="s">
        <v>299</v>
      </c>
      <c r="H32" s="340" t="s">
        <v>300</v>
      </c>
    </row>
    <row r="33" spans="1:8" s="69" customFormat="1">
      <c r="A33" s="57">
        <v>19</v>
      </c>
      <c r="B33" s="85" t="s">
        <v>301</v>
      </c>
      <c r="C33" s="85" t="s">
        <v>280</v>
      </c>
      <c r="D33" s="85" t="s">
        <v>281</v>
      </c>
      <c r="E33" s="85" t="s">
        <v>281</v>
      </c>
      <c r="F33" s="85" t="s">
        <v>260</v>
      </c>
      <c r="G33" s="85" t="s">
        <v>302</v>
      </c>
      <c r="H33" s="340" t="s">
        <v>303</v>
      </c>
    </row>
    <row r="34" spans="1:8" s="69" customFormat="1">
      <c r="A34" s="339">
        <v>20</v>
      </c>
      <c r="B34" s="85" t="s">
        <v>304</v>
      </c>
      <c r="C34" s="85" t="s">
        <v>280</v>
      </c>
      <c r="D34" s="85" t="s">
        <v>289</v>
      </c>
      <c r="E34" s="85" t="s">
        <v>289</v>
      </c>
      <c r="F34" s="85" t="s">
        <v>260</v>
      </c>
      <c r="G34" s="85" t="s">
        <v>305</v>
      </c>
      <c r="H34" s="340" t="s">
        <v>306</v>
      </c>
    </row>
    <row r="35" spans="1:8" s="69" customFormat="1">
      <c r="A35" s="57">
        <v>21</v>
      </c>
      <c r="B35" s="85" t="s">
        <v>307</v>
      </c>
      <c r="C35" s="85" t="s">
        <v>280</v>
      </c>
      <c r="D35" s="85" t="s">
        <v>285</v>
      </c>
      <c r="E35" s="85" t="s">
        <v>285</v>
      </c>
      <c r="F35" s="85" t="s">
        <v>260</v>
      </c>
      <c r="G35" s="85" t="s">
        <v>308</v>
      </c>
      <c r="H35" s="340" t="s">
        <v>309</v>
      </c>
    </row>
    <row r="36" spans="1:8" s="69" customFormat="1" ht="26.4">
      <c r="A36" s="339">
        <v>22</v>
      </c>
      <c r="B36" s="163" t="s">
        <v>310</v>
      </c>
      <c r="C36" s="163" t="s">
        <v>280</v>
      </c>
      <c r="D36" s="163" t="s">
        <v>289</v>
      </c>
      <c r="E36" s="163" t="s">
        <v>289</v>
      </c>
      <c r="F36" s="163" t="s">
        <v>260</v>
      </c>
      <c r="G36" s="163" t="s">
        <v>311</v>
      </c>
      <c r="H36" s="340" t="s">
        <v>312</v>
      </c>
    </row>
    <row r="37" spans="1:8" s="69" customFormat="1">
      <c r="A37" s="57">
        <v>23</v>
      </c>
      <c r="B37" s="85" t="s">
        <v>313</v>
      </c>
      <c r="C37" s="85" t="s">
        <v>280</v>
      </c>
      <c r="D37" s="85" t="s">
        <v>285</v>
      </c>
      <c r="E37" s="85" t="s">
        <v>285</v>
      </c>
      <c r="F37" s="85" t="s">
        <v>260</v>
      </c>
      <c r="G37" s="85" t="s">
        <v>314</v>
      </c>
      <c r="H37" s="340" t="s">
        <v>315</v>
      </c>
    </row>
    <row r="38" spans="1:8" s="69" customFormat="1">
      <c r="A38" s="339">
        <v>24</v>
      </c>
      <c r="B38" s="85" t="s">
        <v>316</v>
      </c>
      <c r="C38" s="85" t="s">
        <v>280</v>
      </c>
      <c r="D38" s="85" t="s">
        <v>289</v>
      </c>
      <c r="E38" s="85" t="s">
        <v>289</v>
      </c>
      <c r="F38" s="85" t="s">
        <v>260</v>
      </c>
      <c r="G38" s="85" t="s">
        <v>317</v>
      </c>
      <c r="H38" s="340" t="s">
        <v>318</v>
      </c>
    </row>
    <row r="39" spans="1:8" s="69" customFormat="1">
      <c r="A39" s="57">
        <v>25</v>
      </c>
      <c r="B39" s="85" t="s">
        <v>319</v>
      </c>
      <c r="C39" s="85" t="s">
        <v>280</v>
      </c>
      <c r="D39" s="85" t="s">
        <v>285</v>
      </c>
      <c r="E39" s="85" t="s">
        <v>285</v>
      </c>
      <c r="F39" s="85" t="s">
        <v>260</v>
      </c>
      <c r="G39" s="85" t="s">
        <v>320</v>
      </c>
      <c r="H39" s="340" t="s">
        <v>321</v>
      </c>
    </row>
    <row r="40" spans="1:8" s="69" customFormat="1">
      <c r="A40" s="339">
        <v>26</v>
      </c>
      <c r="B40" s="85" t="s">
        <v>322</v>
      </c>
      <c r="C40" s="85" t="s">
        <v>280</v>
      </c>
      <c r="D40" s="85" t="s">
        <v>289</v>
      </c>
      <c r="E40" s="85" t="s">
        <v>289</v>
      </c>
      <c r="F40" s="85" t="s">
        <v>260</v>
      </c>
      <c r="G40" s="85" t="s">
        <v>323</v>
      </c>
      <c r="H40" s="340" t="s">
        <v>324</v>
      </c>
    </row>
    <row r="41" spans="1:8" s="69" customFormat="1">
      <c r="A41" s="57">
        <v>27</v>
      </c>
      <c r="B41" s="85" t="s">
        <v>325</v>
      </c>
      <c r="C41" s="85" t="s">
        <v>280</v>
      </c>
      <c r="D41" s="85" t="s">
        <v>285</v>
      </c>
      <c r="E41" s="85" t="s">
        <v>285</v>
      </c>
      <c r="F41" s="85" t="s">
        <v>260</v>
      </c>
      <c r="G41" s="85" t="s">
        <v>326</v>
      </c>
      <c r="H41" s="340" t="s">
        <v>327</v>
      </c>
    </row>
    <row r="42" spans="1:8" s="69" customFormat="1">
      <c r="A42" s="339">
        <v>28</v>
      </c>
      <c r="B42" s="85" t="s">
        <v>328</v>
      </c>
      <c r="C42" s="85" t="s">
        <v>280</v>
      </c>
      <c r="D42" s="85" t="s">
        <v>289</v>
      </c>
      <c r="E42" s="85" t="s">
        <v>289</v>
      </c>
      <c r="F42" s="85" t="s">
        <v>260</v>
      </c>
      <c r="G42" s="85" t="s">
        <v>329</v>
      </c>
      <c r="H42" s="340" t="s">
        <v>330</v>
      </c>
    </row>
    <row r="43" spans="1:8" s="69" customFormat="1">
      <c r="A43" s="57">
        <v>29</v>
      </c>
      <c r="B43" s="85" t="s">
        <v>331</v>
      </c>
      <c r="C43" s="85" t="s">
        <v>280</v>
      </c>
      <c r="D43" s="85" t="s">
        <v>285</v>
      </c>
      <c r="E43" s="85" t="s">
        <v>285</v>
      </c>
      <c r="F43" s="85" t="s">
        <v>260</v>
      </c>
      <c r="G43" s="85" t="s">
        <v>332</v>
      </c>
      <c r="H43" s="340" t="s">
        <v>333</v>
      </c>
    </row>
    <row r="44" spans="1:8" s="69" customFormat="1">
      <c r="A44" s="339">
        <v>30</v>
      </c>
      <c r="B44" s="85" t="s">
        <v>334</v>
      </c>
      <c r="C44" s="85" t="s">
        <v>280</v>
      </c>
      <c r="D44" s="85" t="s">
        <v>289</v>
      </c>
      <c r="E44" s="85" t="s">
        <v>289</v>
      </c>
      <c r="F44" s="85" t="s">
        <v>260</v>
      </c>
      <c r="G44" s="85" t="s">
        <v>335</v>
      </c>
      <c r="H44" s="340" t="s">
        <v>336</v>
      </c>
    </row>
    <row r="45" spans="1:8" s="69" customFormat="1">
      <c r="A45" s="57">
        <v>31</v>
      </c>
      <c r="B45" s="85" t="s">
        <v>337</v>
      </c>
      <c r="C45" s="85" t="s">
        <v>280</v>
      </c>
      <c r="D45" s="85" t="s">
        <v>285</v>
      </c>
      <c r="E45" s="85" t="s">
        <v>285</v>
      </c>
      <c r="F45" s="85" t="s">
        <v>260</v>
      </c>
      <c r="G45" s="85" t="s">
        <v>338</v>
      </c>
      <c r="H45" s="340" t="s">
        <v>339</v>
      </c>
    </row>
    <row r="46" spans="1:8" s="69" customFormat="1">
      <c r="A46" s="339">
        <v>32</v>
      </c>
      <c r="B46" s="85" t="s">
        <v>340</v>
      </c>
      <c r="C46" s="85" t="s">
        <v>280</v>
      </c>
      <c r="D46" s="85" t="s">
        <v>289</v>
      </c>
      <c r="E46" s="85" t="s">
        <v>289</v>
      </c>
      <c r="F46" s="85" t="s">
        <v>260</v>
      </c>
      <c r="G46" s="85" t="s">
        <v>341</v>
      </c>
      <c r="H46" s="340" t="s">
        <v>342</v>
      </c>
    </row>
    <row r="47" spans="1:8" s="69" customFormat="1">
      <c r="A47" s="57">
        <v>33</v>
      </c>
      <c r="B47" s="85" t="s">
        <v>343</v>
      </c>
      <c r="C47" s="85" t="s">
        <v>280</v>
      </c>
      <c r="D47" s="85" t="s">
        <v>285</v>
      </c>
      <c r="E47" s="85" t="s">
        <v>285</v>
      </c>
      <c r="F47" s="85" t="s">
        <v>260</v>
      </c>
      <c r="G47" s="85" t="s">
        <v>344</v>
      </c>
      <c r="H47" s="340" t="s">
        <v>345</v>
      </c>
    </row>
    <row r="48" spans="1:8" s="69" customFormat="1">
      <c r="A48" s="339">
        <v>34</v>
      </c>
      <c r="B48" s="85" t="s">
        <v>346</v>
      </c>
      <c r="C48" s="85" t="s">
        <v>280</v>
      </c>
      <c r="D48" s="85" t="s">
        <v>289</v>
      </c>
      <c r="E48" s="85" t="s">
        <v>289</v>
      </c>
      <c r="F48" s="85" t="s">
        <v>260</v>
      </c>
      <c r="G48" s="85" t="s">
        <v>347</v>
      </c>
      <c r="H48" s="340" t="s">
        <v>348</v>
      </c>
    </row>
    <row r="49" spans="1:8" s="69" customFormat="1">
      <c r="A49" s="57">
        <v>35</v>
      </c>
      <c r="B49" s="85" t="s">
        <v>349</v>
      </c>
      <c r="C49" s="85" t="s">
        <v>280</v>
      </c>
      <c r="D49" s="85" t="s">
        <v>285</v>
      </c>
      <c r="E49" s="85" t="s">
        <v>285</v>
      </c>
      <c r="F49" s="85" t="s">
        <v>260</v>
      </c>
      <c r="G49" s="85" t="s">
        <v>350</v>
      </c>
      <c r="H49" s="340" t="s">
        <v>351</v>
      </c>
    </row>
    <row r="50" spans="1:8" s="69" customFormat="1">
      <c r="A50" s="339">
        <v>36</v>
      </c>
      <c r="B50" s="85" t="s">
        <v>352</v>
      </c>
      <c r="C50" s="85" t="s">
        <v>280</v>
      </c>
      <c r="D50" s="85" t="s">
        <v>289</v>
      </c>
      <c r="E50" s="85" t="s">
        <v>289</v>
      </c>
      <c r="F50" s="85" t="s">
        <v>260</v>
      </c>
      <c r="G50" s="85" t="s">
        <v>353</v>
      </c>
      <c r="H50" s="340" t="s">
        <v>354</v>
      </c>
    </row>
    <row r="51" spans="1:8" s="69" customFormat="1">
      <c r="A51" s="57">
        <v>37</v>
      </c>
      <c r="B51" s="85" t="s">
        <v>355</v>
      </c>
      <c r="C51" s="85" t="s">
        <v>280</v>
      </c>
      <c r="D51" s="85" t="s">
        <v>285</v>
      </c>
      <c r="E51" s="85" t="s">
        <v>285</v>
      </c>
      <c r="F51" s="85" t="s">
        <v>260</v>
      </c>
      <c r="G51" s="85" t="s">
        <v>356</v>
      </c>
      <c r="H51" s="340" t="s">
        <v>357</v>
      </c>
    </row>
    <row r="52" spans="1:8" s="69" customFormat="1">
      <c r="A52" s="339">
        <v>38</v>
      </c>
      <c r="B52" s="85" t="s">
        <v>358</v>
      </c>
      <c r="C52" s="85" t="s">
        <v>280</v>
      </c>
      <c r="D52" s="85" t="s">
        <v>289</v>
      </c>
      <c r="E52" s="85" t="s">
        <v>289</v>
      </c>
      <c r="F52" s="85" t="s">
        <v>260</v>
      </c>
      <c r="G52" s="85" t="s">
        <v>359</v>
      </c>
      <c r="H52" s="340" t="s">
        <v>360</v>
      </c>
    </row>
    <row r="53" spans="1:8" s="69" customFormat="1">
      <c r="A53" s="57">
        <v>39</v>
      </c>
      <c r="B53" s="85" t="s">
        <v>361</v>
      </c>
      <c r="C53" s="85" t="s">
        <v>280</v>
      </c>
      <c r="D53" s="85" t="s">
        <v>285</v>
      </c>
      <c r="E53" s="85" t="s">
        <v>285</v>
      </c>
      <c r="F53" s="85" t="s">
        <v>260</v>
      </c>
      <c r="G53" s="85" t="s">
        <v>362</v>
      </c>
      <c r="H53" s="340" t="s">
        <v>363</v>
      </c>
    </row>
    <row r="54" spans="1:8" s="69" customFormat="1">
      <c r="A54" s="339">
        <v>40</v>
      </c>
      <c r="B54" s="85" t="s">
        <v>364</v>
      </c>
      <c r="C54" s="85" t="s">
        <v>280</v>
      </c>
      <c r="D54" s="85" t="s">
        <v>289</v>
      </c>
      <c r="E54" s="85" t="s">
        <v>289</v>
      </c>
      <c r="F54" s="85" t="s">
        <v>260</v>
      </c>
      <c r="G54" s="85" t="s">
        <v>365</v>
      </c>
      <c r="H54" s="340" t="s">
        <v>366</v>
      </c>
    </row>
    <row r="55" spans="1:8" s="69" customFormat="1">
      <c r="A55" s="57">
        <v>41</v>
      </c>
      <c r="B55" s="85" t="s">
        <v>367</v>
      </c>
      <c r="C55" s="85" t="s">
        <v>280</v>
      </c>
      <c r="D55" s="85" t="s">
        <v>285</v>
      </c>
      <c r="E55" s="85" t="s">
        <v>285</v>
      </c>
      <c r="F55" s="85" t="s">
        <v>260</v>
      </c>
      <c r="G55" s="85" t="s">
        <v>368</v>
      </c>
      <c r="H55" s="340" t="s">
        <v>369</v>
      </c>
    </row>
    <row r="56" spans="1:8" s="69" customFormat="1">
      <c r="A56" s="72"/>
      <c r="B56" s="72"/>
      <c r="C56" s="72"/>
      <c r="D56" s="72"/>
      <c r="E56" s="72"/>
      <c r="F56" s="72"/>
      <c r="G56" s="72"/>
      <c r="H56" s="72"/>
    </row>
    <row r="57" spans="1:8" s="69" customFormat="1" ht="15.6">
      <c r="A57" s="141" t="s">
        <v>370</v>
      </c>
      <c r="B57" s="72"/>
      <c r="C57" s="72"/>
      <c r="D57" s="72"/>
      <c r="E57" s="72"/>
      <c r="F57" s="72"/>
      <c r="G57" s="72"/>
      <c r="H57" s="72"/>
    </row>
    <row r="58" spans="1:8" s="69" customFormat="1">
      <c r="A58" s="341" t="s">
        <v>213</v>
      </c>
      <c r="B58" s="341" t="s">
        <v>214</v>
      </c>
      <c r="C58" s="341" t="s">
        <v>215</v>
      </c>
      <c r="D58" s="341" t="s">
        <v>216</v>
      </c>
      <c r="E58" s="341" t="s">
        <v>217</v>
      </c>
      <c r="F58" s="341" t="s">
        <v>218</v>
      </c>
      <c r="G58" s="341" t="s">
        <v>219</v>
      </c>
      <c r="H58" s="337" t="s">
        <v>220</v>
      </c>
    </row>
    <row r="59" spans="1:8" s="69" customFormat="1">
      <c r="A59" s="57">
        <v>42</v>
      </c>
      <c r="B59" s="57" t="s">
        <v>371</v>
      </c>
      <c r="C59" s="57" t="s">
        <v>222</v>
      </c>
      <c r="D59" s="57" t="s">
        <v>57</v>
      </c>
      <c r="E59" s="57" t="s">
        <v>60</v>
      </c>
      <c r="F59" s="57" t="s">
        <v>372</v>
      </c>
      <c r="G59" s="57" t="s">
        <v>373</v>
      </c>
      <c r="H59" s="342" t="s">
        <v>374</v>
      </c>
    </row>
    <row r="60" spans="1:8" s="69" customFormat="1">
      <c r="A60" s="57">
        <v>43</v>
      </c>
      <c r="B60" s="57" t="s">
        <v>375</v>
      </c>
      <c r="C60" s="57" t="s">
        <v>222</v>
      </c>
      <c r="D60" s="57" t="s">
        <v>60</v>
      </c>
      <c r="E60" s="57" t="s">
        <v>57</v>
      </c>
      <c r="F60" s="57" t="s">
        <v>373</v>
      </c>
      <c r="G60" s="57" t="s">
        <v>372</v>
      </c>
      <c r="H60" s="342" t="s">
        <v>376</v>
      </c>
    </row>
    <row r="61" spans="1:8" s="69" customFormat="1">
      <c r="A61" s="57">
        <v>44</v>
      </c>
      <c r="B61" s="57" t="s">
        <v>377</v>
      </c>
      <c r="C61" s="57" t="s">
        <v>222</v>
      </c>
      <c r="D61" s="57" t="s">
        <v>70</v>
      </c>
      <c r="E61" s="57" t="s">
        <v>71</v>
      </c>
      <c r="F61" s="57" t="s">
        <v>70</v>
      </c>
      <c r="G61" s="57" t="s">
        <v>71</v>
      </c>
      <c r="H61" s="342" t="s">
        <v>378</v>
      </c>
    </row>
    <row r="62" spans="1:8" s="69" customFormat="1">
      <c r="A62" s="57">
        <v>45</v>
      </c>
      <c r="B62" s="57" t="s">
        <v>379</v>
      </c>
      <c r="C62" s="57" t="s">
        <v>222</v>
      </c>
      <c r="D62" s="57" t="s">
        <v>70</v>
      </c>
      <c r="E62" s="57" t="s">
        <v>71</v>
      </c>
      <c r="F62" s="57" t="s">
        <v>70</v>
      </c>
      <c r="G62" s="57" t="s">
        <v>71</v>
      </c>
      <c r="H62" s="342" t="s">
        <v>376</v>
      </c>
    </row>
    <row r="63" spans="1:8" s="69" customFormat="1">
      <c r="A63" s="57">
        <v>46</v>
      </c>
      <c r="B63" s="57" t="s">
        <v>380</v>
      </c>
      <c r="C63" s="57" t="s">
        <v>222</v>
      </c>
      <c r="D63" s="57" t="s">
        <v>381</v>
      </c>
      <c r="E63" s="57" t="s">
        <v>382</v>
      </c>
      <c r="F63" s="57" t="s">
        <v>383</v>
      </c>
      <c r="G63" s="57" t="s">
        <v>384</v>
      </c>
      <c r="H63" s="342" t="s">
        <v>378</v>
      </c>
    </row>
    <row r="64" spans="1:8" s="69" customFormat="1">
      <c r="A64" s="57">
        <v>47</v>
      </c>
      <c r="B64" s="57" t="s">
        <v>385</v>
      </c>
      <c r="C64" s="57" t="s">
        <v>222</v>
      </c>
      <c r="D64" s="57" t="s">
        <v>381</v>
      </c>
      <c r="E64" s="57" t="s">
        <v>382</v>
      </c>
      <c r="F64" s="57" t="s">
        <v>383</v>
      </c>
      <c r="G64" s="57" t="s">
        <v>384</v>
      </c>
      <c r="H64" s="343" t="s">
        <v>386</v>
      </c>
    </row>
    <row r="65" spans="1:8" s="69" customFormat="1">
      <c r="A65" s="57">
        <v>48</v>
      </c>
      <c r="B65" s="57" t="s">
        <v>387</v>
      </c>
      <c r="C65" s="57" t="s">
        <v>222</v>
      </c>
      <c r="D65" s="57" t="s">
        <v>388</v>
      </c>
      <c r="E65" s="57" t="s">
        <v>388</v>
      </c>
      <c r="F65" s="57" t="s">
        <v>388</v>
      </c>
      <c r="G65" s="57" t="s">
        <v>260</v>
      </c>
      <c r="H65" s="342" t="s">
        <v>389</v>
      </c>
    </row>
    <row r="66" spans="1:8" s="69" customFormat="1">
      <c r="A66" s="57">
        <v>49</v>
      </c>
      <c r="B66" s="57" t="s">
        <v>390</v>
      </c>
      <c r="C66" s="57" t="s">
        <v>222</v>
      </c>
      <c r="D66" s="57" t="s">
        <v>391</v>
      </c>
      <c r="E66" s="57" t="s">
        <v>392</v>
      </c>
      <c r="F66" s="57" t="s">
        <v>393</v>
      </c>
      <c r="G66" s="57" t="s">
        <v>394</v>
      </c>
      <c r="H66" s="343" t="s">
        <v>386</v>
      </c>
    </row>
    <row r="67" spans="1:8" s="69" customFormat="1">
      <c r="A67" s="57">
        <v>50</v>
      </c>
      <c r="B67" s="57" t="s">
        <v>395</v>
      </c>
      <c r="C67" s="57" t="s">
        <v>222</v>
      </c>
      <c r="D67" s="57" t="s">
        <v>60</v>
      </c>
      <c r="E67" s="57" t="s">
        <v>57</v>
      </c>
      <c r="F67" s="57" t="s">
        <v>373</v>
      </c>
      <c r="G67" s="57" t="s">
        <v>372</v>
      </c>
      <c r="H67" s="342" t="s">
        <v>389</v>
      </c>
    </row>
    <row r="68" spans="1:8" s="69" customFormat="1">
      <c r="A68" s="57">
        <v>51</v>
      </c>
      <c r="B68" s="344" t="s">
        <v>396</v>
      </c>
      <c r="C68" s="344" t="s">
        <v>222</v>
      </c>
      <c r="D68" s="344" t="s">
        <v>60</v>
      </c>
      <c r="E68" s="344" t="s">
        <v>57</v>
      </c>
      <c r="F68" s="344" t="s">
        <v>373</v>
      </c>
      <c r="G68" s="85" t="s">
        <v>372</v>
      </c>
      <c r="H68" s="343" t="s">
        <v>386</v>
      </c>
    </row>
    <row r="69" spans="1:8" s="69" customFormat="1">
      <c r="A69" s="57">
        <v>52</v>
      </c>
      <c r="B69" s="344" t="s">
        <v>397</v>
      </c>
      <c r="C69" s="344" t="s">
        <v>222</v>
      </c>
      <c r="D69" s="344" t="s">
        <v>398</v>
      </c>
      <c r="E69" s="344" t="s">
        <v>399</v>
      </c>
      <c r="F69" s="344" t="s">
        <v>398</v>
      </c>
      <c r="G69" s="85" t="s">
        <v>260</v>
      </c>
      <c r="H69" s="342" t="s">
        <v>400</v>
      </c>
    </row>
    <row r="70" spans="1:8" s="69" customFormat="1">
      <c r="A70" s="57">
        <v>53</v>
      </c>
      <c r="B70" s="344" t="s">
        <v>401</v>
      </c>
      <c r="C70" s="344" t="s">
        <v>222</v>
      </c>
      <c r="D70" s="344" t="s">
        <v>402</v>
      </c>
      <c r="E70" s="344" t="s">
        <v>402</v>
      </c>
      <c r="F70" s="344" t="s">
        <v>403</v>
      </c>
      <c r="G70" s="85" t="s">
        <v>260</v>
      </c>
      <c r="H70" s="343" t="s">
        <v>386</v>
      </c>
    </row>
    <row r="71" spans="1:8" s="69" customFormat="1">
      <c r="A71" s="57">
        <v>54</v>
      </c>
      <c r="B71" s="344" t="s">
        <v>404</v>
      </c>
      <c r="C71" s="344" t="s">
        <v>222</v>
      </c>
      <c r="D71" s="344" t="s">
        <v>405</v>
      </c>
      <c r="E71" s="344" t="s">
        <v>405</v>
      </c>
      <c r="F71" s="344" t="s">
        <v>406</v>
      </c>
      <c r="G71" s="85" t="s">
        <v>260</v>
      </c>
      <c r="H71" s="343" t="s">
        <v>386</v>
      </c>
    </row>
    <row r="72" spans="1:8" s="69" customFormat="1">
      <c r="A72" s="95">
        <v>55</v>
      </c>
      <c r="B72" s="95" t="s">
        <v>407</v>
      </c>
      <c r="C72" s="95" t="s">
        <v>222</v>
      </c>
      <c r="D72" s="95" t="s">
        <v>57</v>
      </c>
      <c r="E72" s="95" t="s">
        <v>60</v>
      </c>
      <c r="F72" s="95" t="s">
        <v>372</v>
      </c>
      <c r="G72" s="95" t="s">
        <v>373</v>
      </c>
      <c r="H72" s="95" t="s">
        <v>408</v>
      </c>
    </row>
    <row r="73" spans="1:8" s="69" customFormat="1">
      <c r="A73" s="57">
        <v>56</v>
      </c>
      <c r="B73" s="57" t="s">
        <v>409</v>
      </c>
      <c r="C73" s="57" t="s">
        <v>222</v>
      </c>
      <c r="D73" s="57" t="s">
        <v>60</v>
      </c>
      <c r="E73" s="57" t="s">
        <v>57</v>
      </c>
      <c r="F73" s="57" t="s">
        <v>373</v>
      </c>
      <c r="G73" s="57" t="s">
        <v>372</v>
      </c>
      <c r="H73" s="57" t="s">
        <v>410</v>
      </c>
    </row>
    <row r="74" spans="1:8" s="69" customFormat="1">
      <c r="A74" s="95">
        <v>57</v>
      </c>
      <c r="B74" s="95" t="s">
        <v>411</v>
      </c>
      <c r="C74" s="95" t="s">
        <v>222</v>
      </c>
      <c r="D74" s="95" t="s">
        <v>70</v>
      </c>
      <c r="E74" s="95" t="s">
        <v>71</v>
      </c>
      <c r="F74" s="95" t="s">
        <v>70</v>
      </c>
      <c r="G74" s="95" t="s">
        <v>71</v>
      </c>
      <c r="H74" s="345" t="s">
        <v>412</v>
      </c>
    </row>
    <row r="75" spans="1:8" s="69" customFormat="1">
      <c r="A75" s="95">
        <v>58</v>
      </c>
      <c r="B75" s="95" t="s">
        <v>413</v>
      </c>
      <c r="C75" s="95" t="s">
        <v>222</v>
      </c>
      <c r="D75" s="95" t="s">
        <v>398</v>
      </c>
      <c r="E75" s="95" t="s">
        <v>399</v>
      </c>
      <c r="F75" s="95" t="s">
        <v>414</v>
      </c>
      <c r="G75" s="95" t="s">
        <v>260</v>
      </c>
      <c r="H75" s="345" t="s">
        <v>415</v>
      </c>
    </row>
    <row r="76" spans="1:8" s="69" customFormat="1">
      <c r="A76" s="95">
        <v>59</v>
      </c>
      <c r="B76" s="95" t="s">
        <v>416</v>
      </c>
      <c r="C76" s="95" t="s">
        <v>222</v>
      </c>
      <c r="D76" s="95" t="s">
        <v>257</v>
      </c>
      <c r="E76" s="95" t="s">
        <v>258</v>
      </c>
      <c r="F76" s="95" t="s">
        <v>372</v>
      </c>
      <c r="G76" s="95" t="s">
        <v>260</v>
      </c>
      <c r="H76" s="345" t="s">
        <v>417</v>
      </c>
    </row>
    <row r="77" spans="1:8" s="69" customFormat="1">
      <c r="A77" s="95">
        <v>60</v>
      </c>
      <c r="B77" s="95" t="s">
        <v>418</v>
      </c>
      <c r="C77" s="95" t="s">
        <v>222</v>
      </c>
      <c r="D77" s="95" t="s">
        <v>257</v>
      </c>
      <c r="E77" s="95" t="s">
        <v>258</v>
      </c>
      <c r="F77" s="95" t="s">
        <v>373</v>
      </c>
      <c r="G77" s="95" t="s">
        <v>260</v>
      </c>
      <c r="H77" s="345" t="s">
        <v>419</v>
      </c>
    </row>
    <row r="78" spans="1:8" s="69" customFormat="1">
      <c r="A78" s="95">
        <v>61</v>
      </c>
      <c r="B78" s="95" t="s">
        <v>420</v>
      </c>
      <c r="C78" s="95" t="s">
        <v>222</v>
      </c>
      <c r="D78" s="95" t="s">
        <v>257</v>
      </c>
      <c r="E78" s="95" t="s">
        <v>258</v>
      </c>
      <c r="F78" s="95" t="s">
        <v>249</v>
      </c>
      <c r="G78" s="95" t="s">
        <v>260</v>
      </c>
      <c r="H78" s="345" t="s">
        <v>421</v>
      </c>
    </row>
    <row r="79" spans="1:8" s="69" customFormat="1">
      <c r="A79" s="95">
        <v>62</v>
      </c>
      <c r="B79" s="95" t="s">
        <v>422</v>
      </c>
      <c r="C79" s="95" t="s">
        <v>222</v>
      </c>
      <c r="D79" s="95" t="s">
        <v>257</v>
      </c>
      <c r="E79" s="95" t="s">
        <v>258</v>
      </c>
      <c r="F79" s="95" t="s">
        <v>250</v>
      </c>
      <c r="G79" s="95" t="s">
        <v>260</v>
      </c>
      <c r="H79" s="345" t="s">
        <v>421</v>
      </c>
    </row>
    <row r="80" spans="1:8" s="69" customFormat="1">
      <c r="A80" s="95">
        <v>63</v>
      </c>
      <c r="B80" s="95" t="s">
        <v>423</v>
      </c>
      <c r="C80" s="95" t="s">
        <v>222</v>
      </c>
      <c r="D80" s="95" t="s">
        <v>257</v>
      </c>
      <c r="E80" s="95" t="s">
        <v>258</v>
      </c>
      <c r="F80" s="95" t="s">
        <v>70</v>
      </c>
      <c r="G80" s="95" t="s">
        <v>260</v>
      </c>
      <c r="H80" s="345" t="s">
        <v>424</v>
      </c>
    </row>
    <row r="81" spans="1:8" s="69" customFormat="1">
      <c r="A81" s="95">
        <v>64</v>
      </c>
      <c r="B81" s="95" t="s">
        <v>425</v>
      </c>
      <c r="C81" s="95" t="s">
        <v>222</v>
      </c>
      <c r="D81" s="95" t="s">
        <v>257</v>
      </c>
      <c r="E81" s="95" t="s">
        <v>258</v>
      </c>
      <c r="F81" s="95" t="s">
        <v>71</v>
      </c>
      <c r="G81" s="95" t="s">
        <v>260</v>
      </c>
      <c r="H81" s="345" t="s">
        <v>426</v>
      </c>
    </row>
    <row r="82" spans="1:8" s="69" customFormat="1">
      <c r="A82" s="95">
        <v>65</v>
      </c>
      <c r="B82" s="95" t="s">
        <v>427</v>
      </c>
      <c r="C82" s="95" t="s">
        <v>222</v>
      </c>
      <c r="D82" s="95" t="s">
        <v>257</v>
      </c>
      <c r="E82" s="95" t="s">
        <v>258</v>
      </c>
      <c r="F82" s="95" t="s">
        <v>428</v>
      </c>
      <c r="G82" s="95" t="s">
        <v>260</v>
      </c>
      <c r="H82" s="345"/>
    </row>
    <row r="83" spans="1:8" s="69" customFormat="1">
      <c r="A83" s="95">
        <v>66</v>
      </c>
      <c r="B83" s="95" t="s">
        <v>429</v>
      </c>
      <c r="C83" s="95" t="s">
        <v>222</v>
      </c>
      <c r="D83" s="95" t="s">
        <v>257</v>
      </c>
      <c r="E83" s="95" t="s">
        <v>258</v>
      </c>
      <c r="F83" s="95" t="s">
        <v>430</v>
      </c>
      <c r="G83" s="95" t="s">
        <v>260</v>
      </c>
      <c r="H83" s="345"/>
    </row>
    <row r="84" spans="1:8" s="69" customFormat="1">
      <c r="A84" s="95">
        <v>67</v>
      </c>
      <c r="B84" s="95" t="s">
        <v>431</v>
      </c>
      <c r="C84" s="95" t="s">
        <v>222</v>
      </c>
      <c r="D84" s="95" t="s">
        <v>257</v>
      </c>
      <c r="E84" s="95" t="s">
        <v>258</v>
      </c>
      <c r="F84" s="95" t="s">
        <v>432</v>
      </c>
      <c r="G84" s="95" t="s">
        <v>260</v>
      </c>
      <c r="H84" s="95"/>
    </row>
    <row r="85" spans="1:8" s="69" customFormat="1">
      <c r="A85" s="95">
        <v>68</v>
      </c>
      <c r="B85" s="95" t="s">
        <v>433</v>
      </c>
      <c r="C85" s="95" t="s">
        <v>222</v>
      </c>
      <c r="D85" s="95" t="s">
        <v>257</v>
      </c>
      <c r="E85" s="95" t="s">
        <v>258</v>
      </c>
      <c r="F85" s="95" t="s">
        <v>434</v>
      </c>
      <c r="G85" s="95" t="s">
        <v>260</v>
      </c>
      <c r="H85" s="345"/>
    </row>
    <row r="86" spans="1:8" s="69" customFormat="1">
      <c r="A86" s="95">
        <v>69</v>
      </c>
      <c r="B86" s="95" t="s">
        <v>435</v>
      </c>
      <c r="C86" s="95" t="s">
        <v>222</v>
      </c>
      <c r="D86" s="95" t="s">
        <v>436</v>
      </c>
      <c r="E86" s="95" t="s">
        <v>437</v>
      </c>
      <c r="F86" s="95" t="s">
        <v>436</v>
      </c>
      <c r="G86" s="95" t="s">
        <v>437</v>
      </c>
      <c r="H86" s="95"/>
    </row>
    <row r="87" spans="1:8" s="69" customFormat="1">
      <c r="A87" s="95">
        <v>70</v>
      </c>
      <c r="B87" s="95" t="s">
        <v>438</v>
      </c>
      <c r="C87" s="95" t="s">
        <v>222</v>
      </c>
      <c r="D87" s="95" t="s">
        <v>437</v>
      </c>
      <c r="E87" s="95" t="s">
        <v>439</v>
      </c>
      <c r="F87" s="95" t="s">
        <v>437</v>
      </c>
      <c r="G87" s="95" t="s">
        <v>439</v>
      </c>
      <c r="H87" s="95"/>
    </row>
    <row r="88" spans="1:8" s="69" customFormat="1">
      <c r="A88" s="57">
        <v>71</v>
      </c>
      <c r="B88" s="85" t="s">
        <v>440</v>
      </c>
      <c r="C88" s="85" t="s">
        <v>222</v>
      </c>
      <c r="D88" s="344" t="s">
        <v>109</v>
      </c>
      <c r="E88" s="344" t="s">
        <v>108</v>
      </c>
      <c r="F88" s="344" t="s">
        <v>109</v>
      </c>
      <c r="G88" s="344" t="s">
        <v>108</v>
      </c>
      <c r="H88" s="57"/>
    </row>
    <row r="89" spans="1:8" s="69" customFormat="1">
      <c r="A89" s="95">
        <v>72</v>
      </c>
      <c r="B89" s="95" t="s">
        <v>441</v>
      </c>
      <c r="C89" s="95" t="s">
        <v>222</v>
      </c>
      <c r="D89" s="95" t="s">
        <v>442</v>
      </c>
      <c r="E89" s="95" t="s">
        <v>443</v>
      </c>
      <c r="F89" s="95" t="s">
        <v>442</v>
      </c>
      <c r="G89" s="95" t="s">
        <v>443</v>
      </c>
      <c r="H89" s="95"/>
    </row>
    <row r="90" spans="1:8" s="69" customFormat="1">
      <c r="A90" s="57">
        <v>73</v>
      </c>
      <c r="B90" s="85" t="s">
        <v>444</v>
      </c>
      <c r="C90" s="85" t="s">
        <v>222</v>
      </c>
      <c r="D90" s="344" t="s">
        <v>445</v>
      </c>
      <c r="E90" s="344" t="s">
        <v>446</v>
      </c>
      <c r="F90" s="344" t="s">
        <v>445</v>
      </c>
      <c r="G90" s="344" t="s">
        <v>446</v>
      </c>
      <c r="H90" s="57"/>
    </row>
    <row r="91" spans="1:8" s="69" customFormat="1">
      <c r="A91" s="57">
        <v>74</v>
      </c>
      <c r="B91" s="85" t="s">
        <v>447</v>
      </c>
      <c r="C91" s="85" t="s">
        <v>222</v>
      </c>
      <c r="D91" s="344" t="s">
        <v>448</v>
      </c>
      <c r="E91" s="344" t="s">
        <v>230</v>
      </c>
      <c r="F91" s="344" t="s">
        <v>449</v>
      </c>
      <c r="G91" s="344" t="s">
        <v>232</v>
      </c>
      <c r="H91" s="57"/>
    </row>
    <row r="92" spans="1:8" s="69" customFormat="1">
      <c r="A92" s="57">
        <v>75</v>
      </c>
      <c r="B92" s="85" t="s">
        <v>450</v>
      </c>
      <c r="C92" s="85" t="s">
        <v>222</v>
      </c>
      <c r="D92" s="344" t="s">
        <v>451</v>
      </c>
      <c r="E92" s="344" t="s">
        <v>451</v>
      </c>
      <c r="F92" s="344" t="s">
        <v>452</v>
      </c>
      <c r="G92" s="344" t="s">
        <v>260</v>
      </c>
      <c r="H92" s="57" t="s">
        <v>453</v>
      </c>
    </row>
    <row r="93" spans="1:8" s="69" customFormat="1">
      <c r="A93" s="57">
        <v>76</v>
      </c>
      <c r="B93" s="85" t="s">
        <v>454</v>
      </c>
      <c r="C93" s="85" t="s">
        <v>222</v>
      </c>
      <c r="D93" s="344" t="s">
        <v>455</v>
      </c>
      <c r="E93" s="344" t="s">
        <v>455</v>
      </c>
      <c r="F93" s="344" t="s">
        <v>260</v>
      </c>
      <c r="G93" s="344" t="s">
        <v>455</v>
      </c>
      <c r="H93" s="57" t="s">
        <v>453</v>
      </c>
    </row>
    <row r="94" spans="1:8" s="69" customFormat="1">
      <c r="A94" s="57">
        <v>77</v>
      </c>
      <c r="B94" s="85" t="s">
        <v>456</v>
      </c>
      <c r="C94" s="85" t="s">
        <v>222</v>
      </c>
      <c r="D94" s="344" t="s">
        <v>457</v>
      </c>
      <c r="E94" s="344" t="s">
        <v>458</v>
      </c>
      <c r="F94" s="344" t="s">
        <v>457</v>
      </c>
      <c r="G94" s="344" t="s">
        <v>458</v>
      </c>
      <c r="H94" s="57" t="s">
        <v>453</v>
      </c>
    </row>
    <row r="95" spans="1:8" s="69" customFormat="1">
      <c r="A95" s="57">
        <v>78</v>
      </c>
      <c r="B95" s="85" t="s">
        <v>459</v>
      </c>
      <c r="C95" s="85" t="s">
        <v>222</v>
      </c>
      <c r="D95" s="344" t="s">
        <v>460</v>
      </c>
      <c r="E95" s="344" t="s">
        <v>461</v>
      </c>
      <c r="F95" s="344" t="s">
        <v>460</v>
      </c>
      <c r="G95" s="344" t="s">
        <v>461</v>
      </c>
      <c r="H95" s="57"/>
    </row>
    <row r="96" spans="1:8" s="69" customFormat="1">
      <c r="A96" s="72"/>
      <c r="B96" s="72"/>
      <c r="C96" s="72"/>
      <c r="D96" s="72"/>
      <c r="E96" s="72"/>
      <c r="F96" s="72"/>
      <c r="G96" s="72"/>
      <c r="H96" s="72"/>
    </row>
    <row r="97" s="69" customFormat="1"/>
    <row r="98" s="69" customFormat="1"/>
    <row r="99" s="69" customFormat="1"/>
  </sheetData>
  <mergeCells count="9">
    <mergeCell ref="A11:B11"/>
    <mergeCell ref="A8:B8"/>
    <mergeCell ref="A9:B9"/>
    <mergeCell ref="A10:B10"/>
    <mergeCell ref="A1:H1"/>
    <mergeCell ref="A5:B5"/>
    <mergeCell ref="A6:B6"/>
    <mergeCell ref="A7:B7"/>
    <mergeCell ref="A2:H2"/>
  </mergeCells>
  <phoneticPr fontId="13" type="noConversion"/>
  <pageMargins left="0.78740157499999996" right="0.78740157499999996" top="0.53" bottom="0.56000000000000005" header="0.49212598499999999" footer="0.49212598499999999"/>
  <pageSetup paperSize="9" orientation="landscape" horizontalDpi="300"/>
  <rowBreaks count="1" manualBreakCount="1">
    <brk id="5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CI619"/>
  <sheetViews>
    <sheetView showGridLines="0" showRuler="0" topLeftCell="A4" zoomScale="60" zoomScaleNormal="60" workbookViewId="0">
      <pane ySplit="3" topLeftCell="A125" activePane="bottomLeft" state="frozenSplit"/>
      <selection activeCell="A4" sqref="A4"/>
      <selection pane="bottomLeft" activeCell="U135" sqref="U135"/>
    </sheetView>
  </sheetViews>
  <sheetFormatPr defaultColWidth="9.109375" defaultRowHeight="13.2"/>
  <cols>
    <col min="1" max="1" width="5.6640625" style="144" customWidth="1"/>
    <col min="2" max="2" width="46.44140625" style="144" hidden="1" customWidth="1"/>
    <col min="3" max="3" width="4.33203125" style="144" hidden="1" customWidth="1"/>
    <col min="4" max="4" width="22" style="144" hidden="1" customWidth="1"/>
    <col min="5" max="5" width="4.6640625" style="144" hidden="1" customWidth="1"/>
    <col min="6" max="6" width="4.109375" style="144" hidden="1" customWidth="1"/>
    <col min="7" max="7" width="4.44140625" style="144" hidden="1" customWidth="1"/>
    <col min="8" max="9" width="4.88671875" style="144" hidden="1" customWidth="1"/>
    <col min="10" max="10" width="36.6640625" style="144" customWidth="1"/>
    <col min="11" max="11" width="19" style="144" bestFit="1" customWidth="1"/>
    <col min="12" max="12" width="46.5546875" style="144" bestFit="1" customWidth="1"/>
    <col min="13" max="13" width="37.6640625" style="144" customWidth="1"/>
    <col min="14" max="14" width="8.6640625" style="138" bestFit="1" customWidth="1"/>
    <col min="15" max="15" width="5.44140625" style="144" bestFit="1" customWidth="1"/>
    <col min="16" max="16" width="7.33203125" style="144" bestFit="1" customWidth="1"/>
    <col min="17" max="18" width="4.6640625" style="144" customWidth="1"/>
    <col min="19" max="19" width="4.44140625" style="144" customWidth="1"/>
    <col min="20" max="20" width="4.44140625" style="138" customWidth="1"/>
    <col min="21" max="21" width="77.109375" style="160" customWidth="1"/>
    <col min="22" max="22" width="32.6640625" style="160" customWidth="1"/>
    <col min="23" max="23" width="19.109375" style="144" customWidth="1"/>
    <col min="24" max="24" width="15.6640625" style="144" customWidth="1"/>
    <col min="25" max="25" width="11.88671875" style="144" customWidth="1"/>
    <col min="26" max="26" width="15" style="168" customWidth="1"/>
    <col min="27" max="27" width="4.6640625" style="144" customWidth="1"/>
    <col min="28" max="28" width="31.109375" style="144" customWidth="1"/>
    <col min="29" max="29" width="16.109375" style="144" customWidth="1"/>
    <col min="30" max="30" width="22.109375" style="144" customWidth="1"/>
    <col min="31" max="31" width="19.109375" style="144" customWidth="1"/>
    <col min="32" max="32" width="5.6640625" style="144" customWidth="1"/>
    <col min="33" max="33" width="17.33203125" style="144" bestFit="1" customWidth="1"/>
    <col min="34" max="35" width="4.6640625" style="144" customWidth="1"/>
    <col min="36" max="36" width="34.6640625" style="127" customWidth="1"/>
    <col min="37" max="37" width="9.109375" style="144" customWidth="1"/>
    <col min="38" max="38" width="30.6640625" style="144" customWidth="1"/>
    <col min="39" max="39" width="14" style="144" customWidth="1"/>
    <col min="40" max="40" width="70.6640625" style="144" customWidth="1"/>
    <col min="41" max="47" width="11.44140625" style="144" customWidth="1"/>
    <col min="48" max="48" width="30.6640625" style="144" customWidth="1"/>
    <col min="49" max="49" width="0" style="144" hidden="1" customWidth="1"/>
    <col min="50" max="16384" width="9.109375" style="144"/>
  </cols>
  <sheetData>
    <row r="1" spans="1:87" hidden="1">
      <c r="U1" s="346"/>
      <c r="V1" s="346"/>
      <c r="AJ1" s="346"/>
    </row>
    <row r="2" spans="1:87" hidden="1">
      <c r="U2" s="346"/>
      <c r="V2" s="346"/>
      <c r="AJ2" s="346"/>
    </row>
    <row r="3" spans="1:87" s="146" customFormat="1" ht="13.8" hidden="1" thickBot="1">
      <c r="C3" s="147"/>
      <c r="E3" s="136"/>
      <c r="F3" s="136"/>
      <c r="G3" s="136"/>
      <c r="H3" s="136"/>
      <c r="I3" s="136"/>
      <c r="J3" s="136"/>
      <c r="K3" s="136"/>
      <c r="L3" s="136"/>
      <c r="M3" s="136"/>
      <c r="N3" s="136"/>
      <c r="O3" s="136"/>
      <c r="P3" s="136"/>
      <c r="Q3" s="136"/>
      <c r="R3" s="136"/>
      <c r="S3" s="136"/>
      <c r="T3" s="136"/>
      <c r="U3" s="136"/>
      <c r="V3" s="136"/>
      <c r="W3" s="136"/>
      <c r="X3" s="148"/>
      <c r="Z3" s="167"/>
      <c r="AA3" s="136"/>
      <c r="AB3" s="136"/>
      <c r="AC3" s="136"/>
      <c r="AD3" s="136"/>
      <c r="AE3" s="136"/>
      <c r="AF3" s="148"/>
      <c r="AI3" s="136"/>
      <c r="AJ3" s="136"/>
      <c r="AK3" s="147"/>
      <c r="AL3" s="147"/>
      <c r="AM3" s="147"/>
      <c r="AN3" s="147"/>
      <c r="AO3" s="147"/>
      <c r="AP3" s="147"/>
      <c r="AQ3" s="147"/>
    </row>
    <row r="4" spans="1:87" s="146" customFormat="1" ht="16.5" customHeight="1" thickBot="1">
      <c r="A4" s="149"/>
      <c r="B4" s="661" t="s">
        <v>462</v>
      </c>
      <c r="C4" s="663"/>
      <c r="D4" s="441" t="s">
        <v>463</v>
      </c>
      <c r="E4" s="156"/>
      <c r="F4" s="156"/>
      <c r="G4" s="156"/>
      <c r="H4" s="156"/>
      <c r="I4" s="156"/>
      <c r="J4" s="24" t="s">
        <v>464</v>
      </c>
      <c r="K4" s="25"/>
      <c r="L4" s="25"/>
      <c r="M4" s="25"/>
      <c r="N4" s="81"/>
      <c r="O4" s="25"/>
      <c r="P4" s="25"/>
      <c r="Q4" s="25"/>
      <c r="R4" s="25"/>
      <c r="S4" s="25"/>
      <c r="T4" s="81"/>
      <c r="U4" s="25"/>
      <c r="V4" s="25"/>
      <c r="W4" s="666" t="s">
        <v>465</v>
      </c>
      <c r="X4" s="667"/>
      <c r="Y4" s="667"/>
      <c r="Z4" s="667"/>
      <c r="AA4" s="667"/>
      <c r="AB4" s="667"/>
      <c r="AC4" s="667"/>
      <c r="AD4" s="668"/>
      <c r="AE4" s="639" t="s">
        <v>466</v>
      </c>
      <c r="AF4" s="639"/>
      <c r="AG4" s="639"/>
      <c r="AH4" s="639"/>
      <c r="AI4" s="639"/>
      <c r="AJ4" s="639"/>
      <c r="AK4" s="639"/>
      <c r="AL4" s="639"/>
      <c r="AM4" s="24" t="s">
        <v>467</v>
      </c>
      <c r="AN4" s="157"/>
      <c r="AO4" s="661" t="s">
        <v>468</v>
      </c>
      <c r="AP4" s="662"/>
      <c r="AQ4" s="662"/>
      <c r="AR4" s="662"/>
      <c r="AS4" s="662"/>
      <c r="AT4" s="662"/>
      <c r="AU4" s="663"/>
      <c r="AV4" s="158"/>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row>
    <row r="5" spans="1:87" s="146" customFormat="1" ht="28.5" customHeight="1" thickBot="1">
      <c r="A5" s="159"/>
      <c r="B5" s="654" t="s">
        <v>469</v>
      </c>
      <c r="C5" s="654" t="s">
        <v>470</v>
      </c>
      <c r="D5" s="637" t="s">
        <v>471</v>
      </c>
      <c r="E5" s="637" t="s">
        <v>472</v>
      </c>
      <c r="F5" s="637" t="s">
        <v>473</v>
      </c>
      <c r="G5" s="637" t="s">
        <v>474</v>
      </c>
      <c r="H5" s="637" t="s">
        <v>475</v>
      </c>
      <c r="I5" s="646" t="s">
        <v>476</v>
      </c>
      <c r="J5" s="648" t="s">
        <v>477</v>
      </c>
      <c r="K5" s="648" t="s">
        <v>478</v>
      </c>
      <c r="L5" s="648" t="s">
        <v>479</v>
      </c>
      <c r="M5" s="442"/>
      <c r="N5" s="648" t="s">
        <v>480</v>
      </c>
      <c r="O5" s="648" t="s">
        <v>481</v>
      </c>
      <c r="P5" s="648" t="s">
        <v>482</v>
      </c>
      <c r="Q5" s="648" t="s">
        <v>483</v>
      </c>
      <c r="R5" s="648" t="s">
        <v>484</v>
      </c>
      <c r="S5" s="648" t="s">
        <v>485</v>
      </c>
      <c r="T5" s="648" t="s">
        <v>486</v>
      </c>
      <c r="U5" s="648" t="s">
        <v>487</v>
      </c>
      <c r="V5" s="648" t="s">
        <v>488</v>
      </c>
      <c r="W5" s="635" t="s">
        <v>478</v>
      </c>
      <c r="X5" s="635" t="s">
        <v>489</v>
      </c>
      <c r="Y5" s="635" t="s">
        <v>482</v>
      </c>
      <c r="Z5" s="640" t="s">
        <v>490</v>
      </c>
      <c r="AA5" s="635" t="s">
        <v>485</v>
      </c>
      <c r="AB5" s="635" t="s">
        <v>487</v>
      </c>
      <c r="AC5" s="635" t="s">
        <v>491</v>
      </c>
      <c r="AD5" s="635" t="s">
        <v>488</v>
      </c>
      <c r="AE5" s="637" t="s">
        <v>478</v>
      </c>
      <c r="AF5" s="637" t="s">
        <v>489</v>
      </c>
      <c r="AG5" s="637" t="s">
        <v>482</v>
      </c>
      <c r="AH5" s="637" t="s">
        <v>490</v>
      </c>
      <c r="AI5" s="637" t="s">
        <v>485</v>
      </c>
      <c r="AJ5" s="637" t="s">
        <v>487</v>
      </c>
      <c r="AK5" s="637" t="s">
        <v>491</v>
      </c>
      <c r="AL5" s="637" t="s">
        <v>488</v>
      </c>
      <c r="AM5" s="30" t="s">
        <v>492</v>
      </c>
      <c r="AN5" s="31"/>
      <c r="AO5" s="654" t="s">
        <v>493</v>
      </c>
      <c r="AP5" s="654" t="s">
        <v>494</v>
      </c>
      <c r="AQ5" s="654" t="s">
        <v>495</v>
      </c>
      <c r="AR5" s="654" t="s">
        <v>496</v>
      </c>
      <c r="AS5" s="654" t="s">
        <v>497</v>
      </c>
      <c r="AT5" s="654" t="s">
        <v>498</v>
      </c>
      <c r="AU5" s="66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153"/>
      <c r="CF5" s="153"/>
      <c r="CG5" s="153"/>
      <c r="CH5" s="153"/>
    </row>
    <row r="6" spans="1:87" s="154" customFormat="1" ht="109.5" customHeight="1" thickBot="1">
      <c r="A6" s="58" t="s">
        <v>501</v>
      </c>
      <c r="B6" s="655"/>
      <c r="C6" s="655"/>
      <c r="D6" s="638"/>
      <c r="E6" s="638"/>
      <c r="F6" s="638"/>
      <c r="G6" s="638"/>
      <c r="H6" s="638"/>
      <c r="I6" s="647"/>
      <c r="J6" s="649"/>
      <c r="K6" s="649"/>
      <c r="L6" s="649"/>
      <c r="M6" s="443" t="s">
        <v>3506</v>
      </c>
      <c r="N6" s="649"/>
      <c r="O6" s="649"/>
      <c r="P6" s="649"/>
      <c r="Q6" s="649"/>
      <c r="R6" s="649"/>
      <c r="S6" s="649"/>
      <c r="T6" s="649"/>
      <c r="U6" s="649"/>
      <c r="V6" s="649"/>
      <c r="W6" s="636"/>
      <c r="X6" s="636"/>
      <c r="Y6" s="636"/>
      <c r="Z6" s="641"/>
      <c r="AA6" s="636"/>
      <c r="AB6" s="636"/>
      <c r="AC6" s="636"/>
      <c r="AD6" s="636"/>
      <c r="AE6" s="638"/>
      <c r="AF6" s="638"/>
      <c r="AG6" s="638"/>
      <c r="AH6" s="638"/>
      <c r="AI6" s="63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153"/>
      <c r="CF6" s="153"/>
      <c r="CG6" s="153"/>
      <c r="CH6" s="153"/>
    </row>
    <row r="7" spans="1:87" ht="15">
      <c r="A7" s="452">
        <f>ROW() - 6</f>
        <v>1</v>
      </c>
      <c r="B7" s="658" t="s">
        <v>503</v>
      </c>
      <c r="C7" s="659"/>
      <c r="D7" s="659"/>
      <c r="E7" s="659"/>
      <c r="F7" s="659"/>
      <c r="G7" s="659"/>
      <c r="H7" s="659"/>
      <c r="I7" s="659"/>
      <c r="J7" s="659"/>
      <c r="K7" s="659"/>
      <c r="L7" s="659"/>
      <c r="M7" s="659"/>
      <c r="N7" s="659"/>
      <c r="O7" s="659"/>
      <c r="P7" s="659"/>
      <c r="Q7" s="659"/>
      <c r="R7" s="659"/>
      <c r="S7" s="659"/>
      <c r="T7" s="659"/>
      <c r="U7" s="659"/>
      <c r="V7" s="659"/>
      <c r="W7" s="659"/>
      <c r="X7" s="659"/>
      <c r="Y7" s="659"/>
      <c r="Z7" s="659"/>
      <c r="AA7" s="659"/>
      <c r="AB7" s="659"/>
      <c r="AC7" s="659"/>
      <c r="AD7" s="659"/>
      <c r="AE7" s="659"/>
      <c r="AF7" s="659"/>
      <c r="AG7" s="659"/>
      <c r="AH7" s="659"/>
      <c r="AI7" s="659"/>
      <c r="AJ7" s="659"/>
      <c r="AK7" s="659"/>
      <c r="AL7" s="659"/>
      <c r="AM7" s="659"/>
      <c r="AN7" s="659"/>
      <c r="AO7" s="659"/>
      <c r="AP7" s="659"/>
      <c r="AQ7" s="659"/>
      <c r="AR7" s="659"/>
      <c r="AS7" s="659"/>
      <c r="AT7" s="659"/>
      <c r="AU7" s="659"/>
      <c r="AV7" s="660"/>
      <c r="AW7" s="155">
        <f t="shared" ref="AW7" si="0">LEN(L7)</f>
        <v>0</v>
      </c>
    </row>
    <row r="8" spans="1:87" s="14" customFormat="1" ht="15">
      <c r="A8" s="40">
        <f t="shared" ref="A8:A71" si="1">ROW() - 6</f>
        <v>2</v>
      </c>
      <c r="B8" s="38"/>
      <c r="C8" s="42"/>
      <c r="D8" s="38"/>
      <c r="E8" s="46"/>
      <c r="F8" s="46"/>
      <c r="G8" s="46"/>
      <c r="H8" s="40"/>
      <c r="I8" s="40"/>
      <c r="J8" s="215" t="s">
        <v>506</v>
      </c>
      <c r="K8" s="204" t="s">
        <v>125</v>
      </c>
      <c r="L8" s="204" t="s">
        <v>507</v>
      </c>
      <c r="M8" s="204"/>
      <c r="N8" s="40" t="s">
        <v>504</v>
      </c>
      <c r="O8" s="40"/>
      <c r="P8" s="40"/>
      <c r="Q8" s="40"/>
      <c r="R8" s="40"/>
      <c r="S8" s="40" t="s">
        <v>6</v>
      </c>
      <c r="T8" s="126" t="s">
        <v>6</v>
      </c>
      <c r="U8" s="204" t="s">
        <v>508</v>
      </c>
      <c r="V8" s="204"/>
      <c r="W8" s="204" t="s">
        <v>125</v>
      </c>
      <c r="X8" s="40"/>
      <c r="Y8" s="40"/>
      <c r="Z8" s="40" t="s">
        <v>6</v>
      </c>
      <c r="AA8" s="40" t="s">
        <v>6</v>
      </c>
      <c r="AB8" s="204"/>
      <c r="AC8" s="40"/>
      <c r="AD8" s="40"/>
      <c r="AE8" s="204" t="s">
        <v>125</v>
      </c>
      <c r="AF8" s="40"/>
      <c r="AG8" s="40"/>
      <c r="AH8" s="40" t="s">
        <v>6</v>
      </c>
      <c r="AI8" s="40" t="s">
        <v>6</v>
      </c>
      <c r="AJ8" s="204"/>
      <c r="AK8" s="40"/>
      <c r="AL8" s="40"/>
      <c r="AM8" s="198" t="s">
        <v>509</v>
      </c>
      <c r="AN8" s="232"/>
      <c r="AO8" s="198"/>
      <c r="AP8" s="198"/>
      <c r="AQ8" s="198"/>
      <c r="AR8" s="198"/>
      <c r="AS8" s="198"/>
      <c r="AT8" s="198"/>
      <c r="AU8" s="198"/>
      <c r="AV8" s="40"/>
      <c r="AW8" s="155">
        <f t="shared" ref="AW8:AW45" si="2">LEN(L8)</f>
        <v>39</v>
      </c>
    </row>
    <row r="9" spans="1:87" s="14" customFormat="1" ht="26.4">
      <c r="A9" s="40">
        <f t="shared" si="1"/>
        <v>3</v>
      </c>
      <c r="B9" s="38"/>
      <c r="C9" s="42"/>
      <c r="D9" s="38"/>
      <c r="E9" s="46"/>
      <c r="F9" s="46"/>
      <c r="G9" s="46"/>
      <c r="H9" s="40"/>
      <c r="I9" s="40"/>
      <c r="J9" s="215" t="s">
        <v>510</v>
      </c>
      <c r="K9" s="204" t="s">
        <v>117</v>
      </c>
      <c r="L9" s="215" t="s">
        <v>511</v>
      </c>
      <c r="M9" s="215" t="s">
        <v>3560</v>
      </c>
      <c r="N9" s="40" t="s">
        <v>504</v>
      </c>
      <c r="O9" s="40"/>
      <c r="P9" s="40"/>
      <c r="Q9" s="40"/>
      <c r="R9" s="40" t="s">
        <v>6</v>
      </c>
      <c r="S9" s="40" t="s">
        <v>6</v>
      </c>
      <c r="T9" s="126" t="s">
        <v>6</v>
      </c>
      <c r="U9" s="204" t="s">
        <v>512</v>
      </c>
      <c r="V9" s="204"/>
      <c r="W9" s="204" t="s">
        <v>133</v>
      </c>
      <c r="X9" s="40"/>
      <c r="Y9" s="40"/>
      <c r="Z9" s="40" t="s">
        <v>6</v>
      </c>
      <c r="AA9" s="40" t="s">
        <v>6</v>
      </c>
      <c r="AB9" s="204"/>
      <c r="AC9" s="40"/>
      <c r="AD9" s="40"/>
      <c r="AE9" s="204" t="s">
        <v>133</v>
      </c>
      <c r="AF9" s="40"/>
      <c r="AG9" s="40"/>
      <c r="AH9" s="40" t="s">
        <v>6</v>
      </c>
      <c r="AI9" s="40" t="s">
        <v>6</v>
      </c>
      <c r="AJ9" s="204"/>
      <c r="AK9" s="40"/>
      <c r="AL9" s="40"/>
      <c r="AM9" s="198"/>
      <c r="AN9" s="232"/>
      <c r="AO9" s="198"/>
      <c r="AP9" s="198"/>
      <c r="AQ9" s="198"/>
      <c r="AR9" s="198"/>
      <c r="AS9" s="198"/>
      <c r="AT9" s="198"/>
      <c r="AU9" s="198"/>
      <c r="AV9" s="40"/>
      <c r="AW9" s="155">
        <f t="shared" si="2"/>
        <v>20</v>
      </c>
    </row>
    <row r="10" spans="1:87" s="155" customFormat="1" ht="26.4">
      <c r="A10" s="40">
        <f t="shared" si="1"/>
        <v>4</v>
      </c>
      <c r="B10" s="232"/>
      <c r="C10" s="41"/>
      <c r="D10" s="232"/>
      <c r="E10" s="232"/>
      <c r="F10" s="232"/>
      <c r="G10" s="232"/>
      <c r="H10" s="40"/>
      <c r="I10" s="40"/>
      <c r="J10" s="215" t="s">
        <v>513</v>
      </c>
      <c r="K10" s="204" t="s">
        <v>132</v>
      </c>
      <c r="L10" s="215" t="s">
        <v>514</v>
      </c>
      <c r="M10" s="215" t="s">
        <v>3571</v>
      </c>
      <c r="N10" s="40" t="s">
        <v>504</v>
      </c>
      <c r="O10" s="40"/>
      <c r="P10" s="40"/>
      <c r="Q10" s="40" t="s">
        <v>6</v>
      </c>
      <c r="R10" s="40" t="s">
        <v>6</v>
      </c>
      <c r="S10" s="40" t="s">
        <v>6</v>
      </c>
      <c r="T10" s="126" t="s">
        <v>6</v>
      </c>
      <c r="U10" s="204" t="s">
        <v>515</v>
      </c>
      <c r="V10" s="204"/>
      <c r="W10" s="204" t="s">
        <v>133</v>
      </c>
      <c r="X10" s="40"/>
      <c r="Y10" s="40"/>
      <c r="Z10" s="40" t="s">
        <v>6</v>
      </c>
      <c r="AA10" s="40" t="s">
        <v>6</v>
      </c>
      <c r="AB10" s="204"/>
      <c r="AC10" s="40"/>
      <c r="AD10" s="40"/>
      <c r="AE10" s="204" t="s">
        <v>133</v>
      </c>
      <c r="AF10" s="40"/>
      <c r="AG10" s="40"/>
      <c r="AH10" s="40" t="s">
        <v>6</v>
      </c>
      <c r="AI10" s="40" t="s">
        <v>6</v>
      </c>
      <c r="AJ10" s="204"/>
      <c r="AK10" s="40"/>
      <c r="AL10" s="40"/>
      <c r="AM10" s="198" t="s">
        <v>516</v>
      </c>
      <c r="AN10" s="232"/>
      <c r="AO10" s="198"/>
      <c r="AP10" s="198"/>
      <c r="AQ10" s="198"/>
      <c r="AR10" s="198"/>
      <c r="AS10" s="198"/>
      <c r="AT10" s="198"/>
      <c r="AU10" s="40"/>
      <c r="AV10" s="198"/>
      <c r="AW10" s="155">
        <f t="shared" si="2"/>
        <v>25</v>
      </c>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row>
    <row r="11" spans="1:87" s="14" customFormat="1" ht="26.4">
      <c r="A11" s="40">
        <f t="shared" si="1"/>
        <v>5</v>
      </c>
      <c r="B11" s="232"/>
      <c r="C11" s="41"/>
      <c r="D11" s="232"/>
      <c r="E11" s="232"/>
      <c r="F11" s="232"/>
      <c r="G11" s="232"/>
      <c r="H11" s="40"/>
      <c r="I11" s="40"/>
      <c r="J11" s="215" t="s">
        <v>517</v>
      </c>
      <c r="K11" s="204" t="s">
        <v>132</v>
      </c>
      <c r="L11" s="215" t="s">
        <v>518</v>
      </c>
      <c r="M11" s="215" t="s">
        <v>3560</v>
      </c>
      <c r="N11" s="40" t="s">
        <v>504</v>
      </c>
      <c r="O11" s="40"/>
      <c r="P11" s="40"/>
      <c r="Q11" s="40" t="s">
        <v>6</v>
      </c>
      <c r="R11" s="40" t="s">
        <v>6</v>
      </c>
      <c r="S11" s="40" t="s">
        <v>6</v>
      </c>
      <c r="T11" s="126" t="s">
        <v>6</v>
      </c>
      <c r="U11" s="204" t="s">
        <v>519</v>
      </c>
      <c r="V11" s="204"/>
      <c r="W11" s="204" t="s">
        <v>133</v>
      </c>
      <c r="X11" s="40"/>
      <c r="Y11" s="40"/>
      <c r="Z11" s="40" t="s">
        <v>6</v>
      </c>
      <c r="AA11" s="40" t="s">
        <v>6</v>
      </c>
      <c r="AB11" s="204"/>
      <c r="AC11" s="40"/>
      <c r="AD11" s="215" t="s">
        <v>520</v>
      </c>
      <c r="AE11" s="204" t="s">
        <v>133</v>
      </c>
      <c r="AF11" s="40"/>
      <c r="AG11" s="40"/>
      <c r="AH11" s="40" t="s">
        <v>6</v>
      </c>
      <c r="AI11" s="40" t="s">
        <v>6</v>
      </c>
      <c r="AJ11" s="204"/>
      <c r="AK11" s="40"/>
      <c r="AL11" s="215" t="s">
        <v>520</v>
      </c>
      <c r="AM11" s="198" t="s">
        <v>516</v>
      </c>
      <c r="AN11" s="40"/>
      <c r="AO11" s="40"/>
      <c r="AP11" s="40"/>
      <c r="AQ11" s="40"/>
      <c r="AR11" s="40"/>
      <c r="AS11" s="40"/>
      <c r="AT11" s="40"/>
      <c r="AU11" s="198"/>
      <c r="AV11" s="198"/>
      <c r="AW11" s="155">
        <f t="shared" si="2"/>
        <v>20</v>
      </c>
    </row>
    <row r="12" spans="1:87" s="14" customFormat="1" ht="26.4">
      <c r="A12" s="40">
        <f t="shared" si="1"/>
        <v>6</v>
      </c>
      <c r="B12" s="232"/>
      <c r="C12" s="41"/>
      <c r="D12" s="232"/>
      <c r="E12" s="232"/>
      <c r="F12" s="232"/>
      <c r="G12" s="232"/>
      <c r="H12" s="40"/>
      <c r="I12" s="40"/>
      <c r="J12" s="417" t="s">
        <v>521</v>
      </c>
      <c r="K12" s="204" t="s">
        <v>132</v>
      </c>
      <c r="L12" s="215" t="s">
        <v>522</v>
      </c>
      <c r="M12" s="215" t="s">
        <v>3806</v>
      </c>
      <c r="N12" s="40" t="s">
        <v>504</v>
      </c>
      <c r="O12" s="40"/>
      <c r="P12" s="40"/>
      <c r="Q12" s="40" t="s">
        <v>6</v>
      </c>
      <c r="R12" s="40" t="s">
        <v>6</v>
      </c>
      <c r="S12" s="40" t="s">
        <v>6</v>
      </c>
      <c r="T12" s="126" t="s">
        <v>6</v>
      </c>
      <c r="U12" s="204" t="s">
        <v>519</v>
      </c>
      <c r="V12" s="204"/>
      <c r="W12" s="204" t="s">
        <v>133</v>
      </c>
      <c r="X12" s="40"/>
      <c r="Y12" s="40"/>
      <c r="Z12" s="40" t="s">
        <v>6</v>
      </c>
      <c r="AA12" s="40" t="s">
        <v>6</v>
      </c>
      <c r="AB12" s="204"/>
      <c r="AC12" s="40"/>
      <c r="AD12" s="215" t="s">
        <v>520</v>
      </c>
      <c r="AE12" s="204" t="s">
        <v>133</v>
      </c>
      <c r="AF12" s="40"/>
      <c r="AG12" s="40"/>
      <c r="AH12" s="40" t="s">
        <v>6</v>
      </c>
      <c r="AI12" s="40" t="s">
        <v>6</v>
      </c>
      <c r="AJ12" s="204"/>
      <c r="AK12" s="40"/>
      <c r="AL12" s="215" t="s">
        <v>520</v>
      </c>
      <c r="AM12" s="198" t="s">
        <v>516</v>
      </c>
      <c r="AN12" s="40"/>
      <c r="AO12" s="40"/>
      <c r="AP12" s="40"/>
      <c r="AQ12" s="40"/>
      <c r="AR12" s="40"/>
      <c r="AS12" s="40"/>
      <c r="AT12" s="40"/>
      <c r="AU12" s="198"/>
      <c r="AV12" s="198"/>
      <c r="AW12" s="155">
        <f t="shared" si="2"/>
        <v>21</v>
      </c>
    </row>
    <row r="13" spans="1:87" s="14" customFormat="1" ht="26.4">
      <c r="A13" s="40">
        <f t="shared" si="1"/>
        <v>7</v>
      </c>
      <c r="B13" s="38"/>
      <c r="C13" s="41"/>
      <c r="D13" s="38"/>
      <c r="E13" s="46"/>
      <c r="F13" s="46"/>
      <c r="G13" s="46"/>
      <c r="H13" s="40"/>
      <c r="I13" s="40"/>
      <c r="J13" s="215" t="s">
        <v>523</v>
      </c>
      <c r="K13" s="204" t="s">
        <v>132</v>
      </c>
      <c r="L13" s="215" t="s">
        <v>524</v>
      </c>
      <c r="M13" s="215" t="s">
        <v>3560</v>
      </c>
      <c r="N13" s="40" t="s">
        <v>504</v>
      </c>
      <c r="O13" s="40"/>
      <c r="P13" s="40"/>
      <c r="Q13" s="40"/>
      <c r="R13" s="40" t="s">
        <v>6</v>
      </c>
      <c r="S13" s="40" t="s">
        <v>6</v>
      </c>
      <c r="T13" s="126" t="s">
        <v>6</v>
      </c>
      <c r="U13" s="204" t="s">
        <v>525</v>
      </c>
      <c r="V13" s="204"/>
      <c r="W13" s="204" t="s">
        <v>133</v>
      </c>
      <c r="X13" s="40"/>
      <c r="Y13" s="40"/>
      <c r="Z13" s="40" t="s">
        <v>6</v>
      </c>
      <c r="AA13" s="40" t="s">
        <v>6</v>
      </c>
      <c r="AB13" s="204"/>
      <c r="AC13" s="40"/>
      <c r="AD13" s="215" t="s">
        <v>520</v>
      </c>
      <c r="AE13" s="204" t="s">
        <v>133</v>
      </c>
      <c r="AF13" s="40"/>
      <c r="AG13" s="40"/>
      <c r="AH13" s="40" t="s">
        <v>6</v>
      </c>
      <c r="AI13" s="40" t="s">
        <v>6</v>
      </c>
      <c r="AJ13" s="204"/>
      <c r="AK13" s="40"/>
      <c r="AL13" s="215" t="s">
        <v>520</v>
      </c>
      <c r="AM13" s="198" t="s">
        <v>516</v>
      </c>
      <c r="AN13" s="40"/>
      <c r="AO13" s="198"/>
      <c r="AP13" s="198"/>
      <c r="AQ13" s="198"/>
      <c r="AR13" s="198"/>
      <c r="AS13" s="198"/>
      <c r="AT13" s="198"/>
      <c r="AU13" s="198"/>
      <c r="AV13" s="232"/>
      <c r="AW13" s="155">
        <f t="shared" si="2"/>
        <v>16</v>
      </c>
    </row>
    <row r="14" spans="1:87" s="236" customFormat="1" ht="26.4">
      <c r="A14" s="40">
        <f t="shared" si="1"/>
        <v>8</v>
      </c>
      <c r="B14" s="38"/>
      <c r="C14" s="41"/>
      <c r="D14" s="38"/>
      <c r="E14" s="46"/>
      <c r="F14" s="46"/>
      <c r="G14" s="46"/>
      <c r="H14" s="40"/>
      <c r="I14" s="40"/>
      <c r="J14" s="215" t="s">
        <v>526</v>
      </c>
      <c r="K14" s="204" t="s">
        <v>132</v>
      </c>
      <c r="L14" s="215" t="s">
        <v>527</v>
      </c>
      <c r="M14" s="215" t="s">
        <v>3560</v>
      </c>
      <c r="N14" s="40" t="s">
        <v>504</v>
      </c>
      <c r="O14" s="40"/>
      <c r="P14" s="40"/>
      <c r="Q14" s="40"/>
      <c r="R14" s="40" t="s">
        <v>6</v>
      </c>
      <c r="S14" s="40" t="s">
        <v>6</v>
      </c>
      <c r="T14" s="126" t="s">
        <v>6</v>
      </c>
      <c r="U14" s="204" t="s">
        <v>525</v>
      </c>
      <c r="V14" s="204"/>
      <c r="W14" s="204" t="s">
        <v>133</v>
      </c>
      <c r="X14" s="40"/>
      <c r="Y14" s="40"/>
      <c r="Z14" s="40" t="s">
        <v>6</v>
      </c>
      <c r="AA14" s="40" t="s">
        <v>6</v>
      </c>
      <c r="AB14" s="204"/>
      <c r="AC14" s="40"/>
      <c r="AD14" s="215" t="s">
        <v>520</v>
      </c>
      <c r="AE14" s="204" t="s">
        <v>133</v>
      </c>
      <c r="AF14" s="40"/>
      <c r="AG14" s="40"/>
      <c r="AH14" s="40" t="s">
        <v>6</v>
      </c>
      <c r="AI14" s="40" t="s">
        <v>6</v>
      </c>
      <c r="AJ14" s="204"/>
      <c r="AK14" s="40"/>
      <c r="AL14" s="215" t="s">
        <v>520</v>
      </c>
      <c r="AM14" s="198" t="s">
        <v>516</v>
      </c>
      <c r="AN14" s="232"/>
      <c r="AO14" s="40"/>
      <c r="AP14" s="40"/>
      <c r="AQ14" s="40"/>
      <c r="AR14" s="40"/>
      <c r="AS14" s="40"/>
      <c r="AT14" s="40"/>
      <c r="AU14" s="40"/>
      <c r="AV14" s="232"/>
      <c r="AW14" s="155">
        <f t="shared" si="2"/>
        <v>16</v>
      </c>
    </row>
    <row r="15" spans="1:87" s="236" customFormat="1" ht="26.4">
      <c r="A15" s="40">
        <f t="shared" si="1"/>
        <v>9</v>
      </c>
      <c r="B15" s="38"/>
      <c r="C15" s="41"/>
      <c r="D15" s="38"/>
      <c r="E15" s="46"/>
      <c r="F15" s="46"/>
      <c r="G15" s="46"/>
      <c r="H15" s="40"/>
      <c r="I15" s="40"/>
      <c r="J15" s="215" t="s">
        <v>528</v>
      </c>
      <c r="K15" s="204" t="s">
        <v>132</v>
      </c>
      <c r="L15" s="215" t="s">
        <v>529</v>
      </c>
      <c r="M15" s="215" t="s">
        <v>3560</v>
      </c>
      <c r="N15" s="40" t="s">
        <v>504</v>
      </c>
      <c r="O15" s="40"/>
      <c r="P15" s="40"/>
      <c r="Q15" s="40"/>
      <c r="R15" s="40" t="s">
        <v>6</v>
      </c>
      <c r="S15" s="40" t="s">
        <v>6</v>
      </c>
      <c r="T15" s="126" t="s">
        <v>6</v>
      </c>
      <c r="U15" s="204" t="s">
        <v>525</v>
      </c>
      <c r="V15" s="204"/>
      <c r="W15" s="204" t="s">
        <v>133</v>
      </c>
      <c r="X15" s="40"/>
      <c r="Y15" s="40"/>
      <c r="Z15" s="40" t="s">
        <v>6</v>
      </c>
      <c r="AA15" s="40" t="s">
        <v>6</v>
      </c>
      <c r="AB15" s="204"/>
      <c r="AC15" s="40"/>
      <c r="AD15" s="215" t="s">
        <v>520</v>
      </c>
      <c r="AE15" s="204" t="s">
        <v>133</v>
      </c>
      <c r="AF15" s="40"/>
      <c r="AG15" s="40"/>
      <c r="AH15" s="40" t="s">
        <v>6</v>
      </c>
      <c r="AI15" s="40" t="s">
        <v>6</v>
      </c>
      <c r="AJ15" s="204"/>
      <c r="AK15" s="40"/>
      <c r="AL15" s="215" t="s">
        <v>520</v>
      </c>
      <c r="AM15" s="198" t="s">
        <v>516</v>
      </c>
      <c r="AN15" s="232"/>
      <c r="AO15" s="40"/>
      <c r="AP15" s="40"/>
      <c r="AQ15" s="40"/>
      <c r="AR15" s="40"/>
      <c r="AS15" s="40"/>
      <c r="AT15" s="40"/>
      <c r="AU15" s="40"/>
      <c r="AV15" s="232"/>
      <c r="AW15" s="155">
        <f t="shared" si="2"/>
        <v>16</v>
      </c>
    </row>
    <row r="16" spans="1:87" s="14" customFormat="1" ht="39.6">
      <c r="A16" s="40">
        <f t="shared" si="1"/>
        <v>10</v>
      </c>
      <c r="B16" s="232"/>
      <c r="C16" s="41"/>
      <c r="D16" s="232"/>
      <c r="E16" s="232"/>
      <c r="F16" s="232"/>
      <c r="G16" s="232"/>
      <c r="H16" s="40"/>
      <c r="I16" s="40"/>
      <c r="J16" s="215" t="s">
        <v>531</v>
      </c>
      <c r="K16" s="204" t="s">
        <v>132</v>
      </c>
      <c r="L16" s="215" t="s">
        <v>532</v>
      </c>
      <c r="M16" s="215" t="s">
        <v>3560</v>
      </c>
      <c r="N16" s="40" t="s">
        <v>504</v>
      </c>
      <c r="O16" s="40"/>
      <c r="P16" s="40"/>
      <c r="Q16" s="40" t="s">
        <v>6</v>
      </c>
      <c r="R16" s="40" t="s">
        <v>6</v>
      </c>
      <c r="S16" s="40" t="s">
        <v>6</v>
      </c>
      <c r="T16" s="126" t="s">
        <v>6</v>
      </c>
      <c r="U16" s="204" t="s">
        <v>525</v>
      </c>
      <c r="V16" s="204"/>
      <c r="W16" s="204" t="s">
        <v>133</v>
      </c>
      <c r="X16" s="40"/>
      <c r="Y16" s="40"/>
      <c r="Z16" s="40" t="s">
        <v>6</v>
      </c>
      <c r="AA16" s="40" t="s">
        <v>6</v>
      </c>
      <c r="AB16" s="204"/>
      <c r="AC16" s="40"/>
      <c r="AD16" s="215" t="s">
        <v>530</v>
      </c>
      <c r="AE16" s="204" t="s">
        <v>133</v>
      </c>
      <c r="AF16" s="40"/>
      <c r="AG16" s="40"/>
      <c r="AH16" s="40"/>
      <c r="AI16" s="40" t="s">
        <v>6</v>
      </c>
      <c r="AJ16" s="204"/>
      <c r="AK16" s="40"/>
      <c r="AL16" s="215" t="s">
        <v>530</v>
      </c>
      <c r="AM16" s="198"/>
      <c r="AN16" s="40"/>
      <c r="AO16" s="198"/>
      <c r="AP16" s="198"/>
      <c r="AQ16" s="198"/>
      <c r="AR16" s="198"/>
      <c r="AS16" s="198"/>
      <c r="AT16" s="198"/>
      <c r="AU16" s="198"/>
      <c r="AV16" s="198"/>
      <c r="AW16" s="155">
        <f t="shared" si="2"/>
        <v>19</v>
      </c>
      <c r="AX16" s="237"/>
      <c r="AY16" s="238"/>
    </row>
    <row r="17" spans="1:49" s="236" customFormat="1" ht="26.4">
      <c r="A17" s="40">
        <f t="shared" si="1"/>
        <v>11</v>
      </c>
      <c r="B17" s="232"/>
      <c r="C17" s="41"/>
      <c r="D17" s="232"/>
      <c r="E17" s="232"/>
      <c r="F17" s="232"/>
      <c r="G17" s="232"/>
      <c r="H17" s="40"/>
      <c r="I17" s="40"/>
      <c r="J17" s="215" t="s">
        <v>533</v>
      </c>
      <c r="K17" s="204" t="s">
        <v>132</v>
      </c>
      <c r="L17" s="204" t="s">
        <v>534</v>
      </c>
      <c r="M17" s="215" t="s">
        <v>3560</v>
      </c>
      <c r="N17" s="40" t="s">
        <v>504</v>
      </c>
      <c r="O17" s="40"/>
      <c r="P17" s="40"/>
      <c r="Q17" s="40" t="s">
        <v>6</v>
      </c>
      <c r="R17" s="40" t="s">
        <v>6</v>
      </c>
      <c r="S17" s="40" t="s">
        <v>6</v>
      </c>
      <c r="T17" s="126" t="s">
        <v>6</v>
      </c>
      <c r="U17" s="204" t="s">
        <v>535</v>
      </c>
      <c r="V17" s="204"/>
      <c r="W17" s="204" t="s">
        <v>125</v>
      </c>
      <c r="X17" s="198"/>
      <c r="Y17" s="40"/>
      <c r="Z17" s="40" t="s">
        <v>6</v>
      </c>
      <c r="AA17" s="40" t="s">
        <v>6</v>
      </c>
      <c r="AB17" s="204"/>
      <c r="AC17" s="40"/>
      <c r="AD17" s="215" t="s">
        <v>520</v>
      </c>
      <c r="AE17" s="204" t="s">
        <v>125</v>
      </c>
      <c r="AF17" s="198"/>
      <c r="AG17" s="40"/>
      <c r="AH17" s="40"/>
      <c r="AI17" s="40" t="s">
        <v>6</v>
      </c>
      <c r="AJ17" s="204"/>
      <c r="AK17" s="40"/>
      <c r="AL17" s="215" t="s">
        <v>520</v>
      </c>
      <c r="AM17" s="198" t="s">
        <v>536</v>
      </c>
      <c r="AN17" s="232"/>
      <c r="AO17" s="40"/>
      <c r="AP17" s="40"/>
      <c r="AQ17" s="40"/>
      <c r="AR17" s="40"/>
      <c r="AS17" s="40"/>
      <c r="AT17" s="40"/>
      <c r="AU17" s="198"/>
      <c r="AV17" s="198"/>
      <c r="AW17" s="155">
        <f t="shared" si="2"/>
        <v>31</v>
      </c>
    </row>
    <row r="18" spans="1:49" s="236" customFormat="1" ht="26.4">
      <c r="A18" s="40">
        <f t="shared" si="1"/>
        <v>12</v>
      </c>
      <c r="B18" s="232"/>
      <c r="C18" s="41"/>
      <c r="D18" s="232"/>
      <c r="E18" s="232"/>
      <c r="F18" s="232"/>
      <c r="G18" s="232"/>
      <c r="H18" s="40"/>
      <c r="I18" s="40"/>
      <c r="J18" s="215" t="s">
        <v>537</v>
      </c>
      <c r="K18" s="204" t="s">
        <v>132</v>
      </c>
      <c r="L18" s="215" t="s">
        <v>538</v>
      </c>
      <c r="M18" s="215" t="s">
        <v>3560</v>
      </c>
      <c r="N18" s="40" t="s">
        <v>504</v>
      </c>
      <c r="O18" s="40"/>
      <c r="P18" s="40"/>
      <c r="Q18" s="40" t="s">
        <v>6</v>
      </c>
      <c r="R18" s="40" t="s">
        <v>6</v>
      </c>
      <c r="S18" s="40" t="s">
        <v>6</v>
      </c>
      <c r="T18" s="126" t="s">
        <v>6</v>
      </c>
      <c r="U18" s="204" t="s">
        <v>525</v>
      </c>
      <c r="V18" s="204"/>
      <c r="W18" s="204" t="s">
        <v>133</v>
      </c>
      <c r="X18" s="198"/>
      <c r="Y18" s="40"/>
      <c r="Z18" s="40" t="s">
        <v>6</v>
      </c>
      <c r="AA18" s="40" t="s">
        <v>6</v>
      </c>
      <c r="AB18" s="204"/>
      <c r="AC18" s="40"/>
      <c r="AD18" s="215" t="s">
        <v>520</v>
      </c>
      <c r="AE18" s="204" t="s">
        <v>133</v>
      </c>
      <c r="AF18" s="198"/>
      <c r="AG18" s="40"/>
      <c r="AH18" s="40"/>
      <c r="AI18" s="40" t="s">
        <v>6</v>
      </c>
      <c r="AJ18" s="204"/>
      <c r="AK18" s="40"/>
      <c r="AL18" s="215" t="s">
        <v>520</v>
      </c>
      <c r="AM18" s="198" t="s">
        <v>516</v>
      </c>
      <c r="AN18" s="232"/>
      <c r="AO18" s="40"/>
      <c r="AP18" s="40"/>
      <c r="AQ18" s="40"/>
      <c r="AR18" s="40"/>
      <c r="AS18" s="40"/>
      <c r="AT18" s="40"/>
      <c r="AU18" s="198"/>
      <c r="AV18" s="198"/>
      <c r="AW18" s="155">
        <f t="shared" si="2"/>
        <v>15</v>
      </c>
    </row>
    <row r="19" spans="1:49" s="236" customFormat="1" ht="15">
      <c r="A19" s="40">
        <f t="shared" si="1"/>
        <v>13</v>
      </c>
      <c r="B19" s="38"/>
      <c r="C19" s="41"/>
      <c r="D19" s="232"/>
      <c r="E19" s="232"/>
      <c r="F19" s="232"/>
      <c r="G19" s="232"/>
      <c r="H19" s="40"/>
      <c r="I19" s="40"/>
      <c r="J19" s="215" t="s">
        <v>539</v>
      </c>
      <c r="K19" s="204" t="s">
        <v>132</v>
      </c>
      <c r="L19" s="215" t="s">
        <v>540</v>
      </c>
      <c r="M19" s="215" t="s">
        <v>3560</v>
      </c>
      <c r="N19" s="40" t="s">
        <v>504</v>
      </c>
      <c r="O19" s="40"/>
      <c r="P19" s="40"/>
      <c r="Q19" s="40" t="s">
        <v>6</v>
      </c>
      <c r="R19" s="40" t="s">
        <v>6</v>
      </c>
      <c r="S19" s="40" t="s">
        <v>6</v>
      </c>
      <c r="T19" s="126" t="s">
        <v>6</v>
      </c>
      <c r="U19" s="204" t="s">
        <v>525</v>
      </c>
      <c r="V19" s="204"/>
      <c r="W19" s="204" t="s">
        <v>133</v>
      </c>
      <c r="X19" s="198"/>
      <c r="Y19" s="40"/>
      <c r="Z19" s="40" t="s">
        <v>6</v>
      </c>
      <c r="AA19" s="40" t="s">
        <v>6</v>
      </c>
      <c r="AB19" s="204"/>
      <c r="AC19" s="40"/>
      <c r="AD19" s="40"/>
      <c r="AE19" s="204" t="s">
        <v>133</v>
      </c>
      <c r="AF19" s="198"/>
      <c r="AG19" s="40"/>
      <c r="AH19" s="40" t="s">
        <v>6</v>
      </c>
      <c r="AI19" s="40" t="s">
        <v>6</v>
      </c>
      <c r="AJ19" s="204"/>
      <c r="AK19" s="40"/>
      <c r="AL19" s="40"/>
      <c r="AM19" s="198" t="s">
        <v>516</v>
      </c>
      <c r="AN19" s="232"/>
      <c r="AO19" s="40"/>
      <c r="AP19" s="40"/>
      <c r="AQ19" s="40"/>
      <c r="AR19" s="40"/>
      <c r="AS19" s="40"/>
      <c r="AT19" s="40"/>
      <c r="AU19" s="198"/>
      <c r="AV19" s="198"/>
      <c r="AW19" s="155">
        <f t="shared" si="2"/>
        <v>23</v>
      </c>
    </row>
    <row r="20" spans="1:49" s="236" customFormat="1" ht="15">
      <c r="A20" s="40">
        <f t="shared" si="1"/>
        <v>14</v>
      </c>
      <c r="B20" s="38"/>
      <c r="C20" s="41"/>
      <c r="D20" s="232"/>
      <c r="E20" s="232"/>
      <c r="F20" s="232"/>
      <c r="G20" s="232"/>
      <c r="H20" s="40"/>
      <c r="I20" s="40"/>
      <c r="J20" s="215" t="s">
        <v>541</v>
      </c>
      <c r="K20" s="204" t="s">
        <v>132</v>
      </c>
      <c r="L20" s="215" t="s">
        <v>542</v>
      </c>
      <c r="M20" s="215" t="s">
        <v>3560</v>
      </c>
      <c r="N20" s="40" t="s">
        <v>504</v>
      </c>
      <c r="O20" s="40"/>
      <c r="P20" s="40"/>
      <c r="Q20" s="40" t="s">
        <v>6</v>
      </c>
      <c r="R20" s="40" t="s">
        <v>6</v>
      </c>
      <c r="S20" s="40" t="s">
        <v>6</v>
      </c>
      <c r="T20" s="126" t="s">
        <v>6</v>
      </c>
      <c r="U20" s="204" t="s">
        <v>525</v>
      </c>
      <c r="V20" s="204"/>
      <c r="W20" s="204" t="s">
        <v>133</v>
      </c>
      <c r="X20" s="198"/>
      <c r="Y20" s="198"/>
      <c r="Z20" s="40" t="s">
        <v>6</v>
      </c>
      <c r="AA20" s="40" t="s">
        <v>6</v>
      </c>
      <c r="AB20" s="204"/>
      <c r="AC20" s="40"/>
      <c r="AD20" s="40"/>
      <c r="AE20" s="204" t="s">
        <v>133</v>
      </c>
      <c r="AF20" s="198"/>
      <c r="AG20" s="198"/>
      <c r="AH20" s="40" t="s">
        <v>6</v>
      </c>
      <c r="AI20" s="40" t="s">
        <v>6</v>
      </c>
      <c r="AJ20" s="204"/>
      <c r="AK20" s="40"/>
      <c r="AL20" s="40"/>
      <c r="AM20" s="198" t="s">
        <v>516</v>
      </c>
      <c r="AN20" s="40"/>
      <c r="AO20" s="198"/>
      <c r="AP20" s="198"/>
      <c r="AQ20" s="198"/>
      <c r="AR20" s="198"/>
      <c r="AS20" s="198"/>
      <c r="AT20" s="198"/>
      <c r="AU20" s="198"/>
      <c r="AV20" s="40"/>
      <c r="AW20" s="155">
        <f t="shared" si="2"/>
        <v>16</v>
      </c>
    </row>
    <row r="21" spans="1:49" s="236" customFormat="1" ht="15">
      <c r="A21" s="40">
        <f t="shared" si="1"/>
        <v>15</v>
      </c>
      <c r="B21" s="38"/>
      <c r="C21" s="41"/>
      <c r="D21" s="232"/>
      <c r="E21" s="232"/>
      <c r="F21" s="232"/>
      <c r="G21" s="232"/>
      <c r="H21" s="40"/>
      <c r="I21" s="40"/>
      <c r="J21" s="215" t="s">
        <v>543</v>
      </c>
      <c r="K21" s="204" t="s">
        <v>132</v>
      </c>
      <c r="L21" s="215" t="s">
        <v>544</v>
      </c>
      <c r="M21" s="215" t="s">
        <v>3560</v>
      </c>
      <c r="N21" s="40" t="s">
        <v>504</v>
      </c>
      <c r="O21" s="40"/>
      <c r="P21" s="40"/>
      <c r="Q21" s="40" t="s">
        <v>6</v>
      </c>
      <c r="R21" s="40" t="s">
        <v>6</v>
      </c>
      <c r="S21" s="40" t="s">
        <v>6</v>
      </c>
      <c r="T21" s="126" t="s">
        <v>6</v>
      </c>
      <c r="U21" s="204" t="s">
        <v>525</v>
      </c>
      <c r="V21" s="204"/>
      <c r="W21" s="204" t="s">
        <v>133</v>
      </c>
      <c r="X21" s="198"/>
      <c r="Y21" s="198"/>
      <c r="Z21" s="40" t="s">
        <v>6</v>
      </c>
      <c r="AA21" s="40" t="s">
        <v>6</v>
      </c>
      <c r="AB21" s="204"/>
      <c r="AC21" s="40"/>
      <c r="AD21" s="232" t="s">
        <v>545</v>
      </c>
      <c r="AE21" s="204" t="s">
        <v>133</v>
      </c>
      <c r="AF21" s="198"/>
      <c r="AG21" s="198"/>
      <c r="AH21" s="40" t="s">
        <v>6</v>
      </c>
      <c r="AI21" s="40" t="s">
        <v>6</v>
      </c>
      <c r="AJ21" s="204"/>
      <c r="AK21" s="40"/>
      <c r="AL21" s="232" t="s">
        <v>545</v>
      </c>
      <c r="AM21" s="198" t="s">
        <v>546</v>
      </c>
      <c r="AN21" s="40"/>
      <c r="AO21" s="198"/>
      <c r="AP21" s="198"/>
      <c r="AQ21" s="198"/>
      <c r="AR21" s="198"/>
      <c r="AS21" s="198"/>
      <c r="AT21" s="198"/>
      <c r="AU21" s="198"/>
      <c r="AV21" s="40"/>
      <c r="AW21" s="155">
        <f t="shared" si="2"/>
        <v>16</v>
      </c>
    </row>
    <row r="22" spans="1:49" s="236" customFormat="1" ht="15">
      <c r="A22" s="40">
        <f t="shared" si="1"/>
        <v>16</v>
      </c>
      <c r="B22" s="38"/>
      <c r="C22" s="41"/>
      <c r="D22" s="38"/>
      <c r="E22" s="46"/>
      <c r="F22" s="46"/>
      <c r="G22" s="46"/>
      <c r="H22" s="40"/>
      <c r="I22" s="40"/>
      <c r="J22" s="215" t="s">
        <v>547</v>
      </c>
      <c r="K22" s="204" t="s">
        <v>132</v>
      </c>
      <c r="L22" s="215" t="s">
        <v>548</v>
      </c>
      <c r="M22" s="215" t="s">
        <v>3560</v>
      </c>
      <c r="N22" s="40" t="s">
        <v>504</v>
      </c>
      <c r="O22" s="40"/>
      <c r="P22" s="40"/>
      <c r="Q22" s="40" t="s">
        <v>6</v>
      </c>
      <c r="R22" s="40" t="s">
        <v>6</v>
      </c>
      <c r="S22" s="40" t="s">
        <v>6</v>
      </c>
      <c r="T22" s="126" t="s">
        <v>6</v>
      </c>
      <c r="U22" s="204" t="s">
        <v>525</v>
      </c>
      <c r="V22" s="204"/>
      <c r="W22" s="204" t="s">
        <v>133</v>
      </c>
      <c r="X22" s="198"/>
      <c r="Y22" s="198"/>
      <c r="Z22" s="40" t="s">
        <v>6</v>
      </c>
      <c r="AA22" s="40" t="s">
        <v>6</v>
      </c>
      <c r="AB22" s="204"/>
      <c r="AC22" s="40"/>
      <c r="AD22" s="232" t="s">
        <v>545</v>
      </c>
      <c r="AE22" s="204" t="s">
        <v>133</v>
      </c>
      <c r="AF22" s="198"/>
      <c r="AG22" s="198"/>
      <c r="AH22" s="40" t="s">
        <v>6</v>
      </c>
      <c r="AI22" s="40" t="s">
        <v>6</v>
      </c>
      <c r="AJ22" s="204"/>
      <c r="AK22" s="40"/>
      <c r="AL22" s="232" t="s">
        <v>545</v>
      </c>
      <c r="AM22" s="198" t="s">
        <v>549</v>
      </c>
      <c r="AN22" s="40"/>
      <c r="AO22" s="198"/>
      <c r="AP22" s="198"/>
      <c r="AQ22" s="198"/>
      <c r="AR22" s="198"/>
      <c r="AS22" s="198"/>
      <c r="AT22" s="198"/>
      <c r="AU22" s="198"/>
      <c r="AV22" s="40"/>
      <c r="AW22" s="155">
        <f t="shared" si="2"/>
        <v>16</v>
      </c>
    </row>
    <row r="23" spans="1:49" s="236" customFormat="1" ht="15">
      <c r="A23" s="40">
        <f t="shared" si="1"/>
        <v>17</v>
      </c>
      <c r="B23" s="38"/>
      <c r="C23" s="41"/>
      <c r="D23" s="232"/>
      <c r="E23" s="198"/>
      <c r="F23" s="198"/>
      <c r="G23" s="198"/>
      <c r="H23" s="40"/>
      <c r="I23" s="40"/>
      <c r="J23" s="215" t="s">
        <v>550</v>
      </c>
      <c r="K23" s="204" t="s">
        <v>132</v>
      </c>
      <c r="L23" s="215" t="s">
        <v>551</v>
      </c>
      <c r="M23" s="215" t="s">
        <v>3560</v>
      </c>
      <c r="N23" s="40" t="s">
        <v>504</v>
      </c>
      <c r="O23" s="40"/>
      <c r="P23" s="40"/>
      <c r="Q23" s="40" t="s">
        <v>6</v>
      </c>
      <c r="R23" s="40" t="s">
        <v>6</v>
      </c>
      <c r="S23" s="40" t="s">
        <v>6</v>
      </c>
      <c r="T23" s="126" t="s">
        <v>6</v>
      </c>
      <c r="U23" s="204" t="s">
        <v>525</v>
      </c>
      <c r="V23" s="204"/>
      <c r="W23" s="204" t="s">
        <v>133</v>
      </c>
      <c r="X23" s="40"/>
      <c r="Y23" s="40"/>
      <c r="Z23" s="40" t="s">
        <v>6</v>
      </c>
      <c r="AA23" s="40" t="s">
        <v>6</v>
      </c>
      <c r="AB23" s="204"/>
      <c r="AC23" s="40"/>
      <c r="AD23" s="232" t="s">
        <v>545</v>
      </c>
      <c r="AE23" s="204" t="s">
        <v>133</v>
      </c>
      <c r="AF23" s="40"/>
      <c r="AG23" s="40"/>
      <c r="AH23" s="40" t="s">
        <v>6</v>
      </c>
      <c r="AI23" s="40" t="s">
        <v>6</v>
      </c>
      <c r="AJ23" s="204"/>
      <c r="AK23" s="40"/>
      <c r="AL23" s="232" t="s">
        <v>545</v>
      </c>
      <c r="AM23" s="198" t="s">
        <v>552</v>
      </c>
      <c r="AN23" s="232"/>
      <c r="AO23" s="198"/>
      <c r="AP23" s="198"/>
      <c r="AQ23" s="198"/>
      <c r="AR23" s="198"/>
      <c r="AS23" s="198"/>
      <c r="AT23" s="198"/>
      <c r="AU23" s="198"/>
      <c r="AV23" s="198"/>
      <c r="AW23" s="155">
        <f t="shared" si="2"/>
        <v>16</v>
      </c>
    </row>
    <row r="24" spans="1:49" s="236" customFormat="1" ht="15">
      <c r="A24" s="40">
        <f t="shared" si="1"/>
        <v>18</v>
      </c>
      <c r="B24" s="232"/>
      <c r="C24" s="41"/>
      <c r="D24" s="232"/>
      <c r="E24" s="232"/>
      <c r="F24" s="232"/>
      <c r="G24" s="232"/>
      <c r="H24" s="40"/>
      <c r="I24" s="40"/>
      <c r="J24" s="215" t="s">
        <v>553</v>
      </c>
      <c r="K24" s="204" t="s">
        <v>132</v>
      </c>
      <c r="L24" s="215" t="s">
        <v>554</v>
      </c>
      <c r="M24" s="215" t="s">
        <v>3560</v>
      </c>
      <c r="N24" s="40" t="s">
        <v>504</v>
      </c>
      <c r="O24" s="40"/>
      <c r="P24" s="40"/>
      <c r="Q24" s="40" t="s">
        <v>6</v>
      </c>
      <c r="R24" s="40" t="s">
        <v>6</v>
      </c>
      <c r="S24" s="40" t="s">
        <v>6</v>
      </c>
      <c r="T24" s="126" t="s">
        <v>6</v>
      </c>
      <c r="U24" s="204" t="s">
        <v>525</v>
      </c>
      <c r="V24" s="204"/>
      <c r="W24" s="204" t="s">
        <v>133</v>
      </c>
      <c r="X24" s="40"/>
      <c r="Y24" s="40"/>
      <c r="Z24" s="40" t="s">
        <v>6</v>
      </c>
      <c r="AA24" s="40" t="s">
        <v>6</v>
      </c>
      <c r="AB24" s="204"/>
      <c r="AC24" s="40"/>
      <c r="AD24" s="40"/>
      <c r="AE24" s="204" t="s">
        <v>133</v>
      </c>
      <c r="AF24" s="40"/>
      <c r="AG24" s="40"/>
      <c r="AH24" s="40" t="s">
        <v>6</v>
      </c>
      <c r="AI24" s="40" t="s">
        <v>6</v>
      </c>
      <c r="AJ24" s="204"/>
      <c r="AK24" s="40"/>
      <c r="AL24" s="40"/>
      <c r="AM24" s="198"/>
      <c r="AN24" s="232"/>
      <c r="AO24" s="40"/>
      <c r="AP24" s="40"/>
      <c r="AQ24" s="40"/>
      <c r="AR24" s="40"/>
      <c r="AS24" s="40"/>
      <c r="AT24" s="40"/>
      <c r="AU24" s="40"/>
      <c r="AV24" s="232"/>
      <c r="AW24" s="155">
        <f t="shared" si="2"/>
        <v>16</v>
      </c>
    </row>
    <row r="25" spans="1:49" s="236" customFormat="1" ht="15">
      <c r="A25" s="40">
        <f t="shared" si="1"/>
        <v>19</v>
      </c>
      <c r="B25" s="199"/>
      <c r="C25" s="199"/>
      <c r="D25" s="199"/>
      <c r="E25" s="199"/>
      <c r="F25" s="199"/>
      <c r="G25" s="199"/>
      <c r="H25" s="199"/>
      <c r="I25" s="199"/>
      <c r="J25" s="215" t="s">
        <v>556</v>
      </c>
      <c r="K25" s="204" t="s">
        <v>128</v>
      </c>
      <c r="L25" s="204" t="s">
        <v>557</v>
      </c>
      <c r="M25" s="204"/>
      <c r="N25" s="40" t="s">
        <v>504</v>
      </c>
      <c r="O25" s="40"/>
      <c r="P25" s="40"/>
      <c r="Q25" s="40"/>
      <c r="R25" s="40"/>
      <c r="S25" s="40" t="s">
        <v>6</v>
      </c>
      <c r="T25" s="126" t="s">
        <v>6</v>
      </c>
      <c r="U25" s="204"/>
      <c r="V25" s="204"/>
      <c r="W25" s="204" t="s">
        <v>128</v>
      </c>
      <c r="X25" s="40"/>
      <c r="Y25" s="40"/>
      <c r="Z25" s="40" t="s">
        <v>6</v>
      </c>
      <c r="AA25" s="40" t="s">
        <v>6</v>
      </c>
      <c r="AB25" s="204"/>
      <c r="AC25" s="40"/>
      <c r="AD25" s="40"/>
      <c r="AE25" s="204" t="s">
        <v>128</v>
      </c>
      <c r="AF25" s="40"/>
      <c r="AG25" s="40"/>
      <c r="AH25" s="40" t="s">
        <v>6</v>
      </c>
      <c r="AI25" s="40" t="s">
        <v>6</v>
      </c>
      <c r="AJ25" s="204"/>
      <c r="AK25" s="40"/>
      <c r="AL25" s="40"/>
      <c r="AM25" s="198"/>
      <c r="AN25" s="40"/>
      <c r="AO25" s="198"/>
      <c r="AP25" s="198"/>
      <c r="AQ25" s="198"/>
      <c r="AR25" s="198"/>
      <c r="AS25" s="198"/>
      <c r="AT25" s="198"/>
      <c r="AU25" s="198"/>
      <c r="AV25" s="198"/>
      <c r="AW25" s="155">
        <f t="shared" si="2"/>
        <v>36</v>
      </c>
    </row>
    <row r="26" spans="1:49" s="236" customFormat="1" ht="26.4">
      <c r="A26" s="40">
        <f t="shared" si="1"/>
        <v>20</v>
      </c>
      <c r="B26" s="199"/>
      <c r="C26" s="199"/>
      <c r="D26" s="199"/>
      <c r="E26" s="199"/>
      <c r="F26" s="199"/>
      <c r="G26" s="199"/>
      <c r="H26" s="199"/>
      <c r="I26" s="199"/>
      <c r="J26" s="215" t="s">
        <v>558</v>
      </c>
      <c r="K26" s="204" t="s">
        <v>128</v>
      </c>
      <c r="L26" s="204" t="s">
        <v>559</v>
      </c>
      <c r="M26" s="204"/>
      <c r="N26" s="40" t="s">
        <v>504</v>
      </c>
      <c r="O26" s="40"/>
      <c r="P26" s="40"/>
      <c r="Q26" s="40"/>
      <c r="R26" s="40"/>
      <c r="S26" s="40" t="s">
        <v>6</v>
      </c>
      <c r="T26" s="126" t="s">
        <v>6</v>
      </c>
      <c r="U26" s="204" t="s">
        <v>515</v>
      </c>
      <c r="V26" s="204"/>
      <c r="W26" s="204" t="s">
        <v>128</v>
      </c>
      <c r="X26" s="40"/>
      <c r="Y26" s="40"/>
      <c r="Z26" s="40" t="s">
        <v>6</v>
      </c>
      <c r="AA26" s="40" t="s">
        <v>6</v>
      </c>
      <c r="AB26" s="198"/>
      <c r="AC26" s="40"/>
      <c r="AD26" s="40"/>
      <c r="AE26" s="204" t="s">
        <v>128</v>
      </c>
      <c r="AF26" s="40"/>
      <c r="AG26" s="40"/>
      <c r="AH26" s="40" t="s">
        <v>6</v>
      </c>
      <c r="AI26" s="40" t="s">
        <v>6</v>
      </c>
      <c r="AJ26" s="198"/>
      <c r="AK26" s="40"/>
      <c r="AL26" s="40"/>
      <c r="AM26" s="198"/>
      <c r="AN26" s="40"/>
      <c r="AO26" s="198"/>
      <c r="AP26" s="198"/>
      <c r="AQ26" s="198"/>
      <c r="AR26" s="198"/>
      <c r="AS26" s="198"/>
      <c r="AT26" s="198"/>
      <c r="AU26" s="198"/>
      <c r="AV26" s="198"/>
      <c r="AW26" s="155">
        <f t="shared" si="2"/>
        <v>39</v>
      </c>
    </row>
    <row r="27" spans="1:49" s="236" customFormat="1" ht="26.4">
      <c r="A27" s="40">
        <f t="shared" si="1"/>
        <v>21</v>
      </c>
      <c r="B27" s="199"/>
      <c r="C27" s="199"/>
      <c r="D27" s="199"/>
      <c r="E27" s="199"/>
      <c r="F27" s="199"/>
      <c r="G27" s="199"/>
      <c r="H27" s="199"/>
      <c r="I27" s="199"/>
      <c r="J27" s="215" t="s">
        <v>561</v>
      </c>
      <c r="K27" s="204" t="s">
        <v>128</v>
      </c>
      <c r="L27" s="204" t="s">
        <v>562</v>
      </c>
      <c r="M27" s="204"/>
      <c r="N27" s="40" t="s">
        <v>504</v>
      </c>
      <c r="O27" s="199"/>
      <c r="P27" s="199"/>
      <c r="Q27" s="40"/>
      <c r="R27" s="40"/>
      <c r="S27" s="40" t="s">
        <v>6</v>
      </c>
      <c r="T27" s="126" t="s">
        <v>6</v>
      </c>
      <c r="U27" s="204" t="s">
        <v>515</v>
      </c>
      <c r="V27" s="204"/>
      <c r="W27" s="204" t="s">
        <v>128</v>
      </c>
      <c r="X27" s="199"/>
      <c r="Y27" s="199"/>
      <c r="Z27" s="40" t="s">
        <v>6</v>
      </c>
      <c r="AA27" s="40" t="s">
        <v>6</v>
      </c>
      <c r="AB27" s="198"/>
      <c r="AC27" s="199"/>
      <c r="AD27" s="199"/>
      <c r="AE27" s="204" t="s">
        <v>128</v>
      </c>
      <c r="AF27" s="199"/>
      <c r="AG27" s="199"/>
      <c r="AH27" s="40" t="s">
        <v>6</v>
      </c>
      <c r="AI27" s="40" t="s">
        <v>6</v>
      </c>
      <c r="AJ27" s="198"/>
      <c r="AK27" s="199"/>
      <c r="AL27" s="199"/>
      <c r="AM27" s="198"/>
      <c r="AN27" s="199"/>
      <c r="AO27" s="199"/>
      <c r="AP27" s="199"/>
      <c r="AQ27" s="199"/>
      <c r="AR27" s="199"/>
      <c r="AS27" s="199"/>
      <c r="AT27" s="199"/>
      <c r="AU27" s="199"/>
      <c r="AV27" s="199"/>
      <c r="AW27" s="155">
        <f t="shared" si="2"/>
        <v>39</v>
      </c>
    </row>
    <row r="28" spans="1:49" s="236" customFormat="1" ht="15">
      <c r="A28" s="40">
        <f t="shared" si="1"/>
        <v>22</v>
      </c>
      <c r="B28" s="199"/>
      <c r="C28" s="199"/>
      <c r="D28" s="199"/>
      <c r="E28" s="199"/>
      <c r="F28" s="199"/>
      <c r="G28" s="199"/>
      <c r="H28" s="199"/>
      <c r="I28" s="199"/>
      <c r="J28" s="215" t="s">
        <v>563</v>
      </c>
      <c r="K28" s="204" t="s">
        <v>125</v>
      </c>
      <c r="L28" s="204" t="s">
        <v>564</v>
      </c>
      <c r="M28" s="204"/>
      <c r="N28" s="40" t="s">
        <v>504</v>
      </c>
      <c r="O28" s="199"/>
      <c r="P28" s="199"/>
      <c r="Q28" s="40"/>
      <c r="R28" s="40"/>
      <c r="S28" s="40" t="s">
        <v>6</v>
      </c>
      <c r="T28" s="126" t="s">
        <v>6</v>
      </c>
      <c r="U28" s="204"/>
      <c r="V28" s="204"/>
      <c r="W28" s="204" t="s">
        <v>125</v>
      </c>
      <c r="X28" s="199"/>
      <c r="Y28" s="199"/>
      <c r="Z28" s="40"/>
      <c r="AA28" s="40" t="s">
        <v>6</v>
      </c>
      <c r="AB28" s="204"/>
      <c r="AC28" s="199"/>
      <c r="AD28" s="199"/>
      <c r="AE28" s="204" t="s">
        <v>125</v>
      </c>
      <c r="AF28" s="199"/>
      <c r="AG28" s="199"/>
      <c r="AH28" s="126"/>
      <c r="AI28" s="40" t="s">
        <v>6</v>
      </c>
      <c r="AJ28" s="204"/>
      <c r="AK28" s="199"/>
      <c r="AL28" s="199"/>
      <c r="AM28" s="198" t="s">
        <v>565</v>
      </c>
      <c r="AN28" s="412" t="s">
        <v>505</v>
      </c>
      <c r="AO28" s="199"/>
      <c r="AP28" s="199"/>
      <c r="AQ28" s="199"/>
      <c r="AR28" s="199"/>
      <c r="AS28" s="199"/>
      <c r="AT28" s="199"/>
      <c r="AU28" s="199"/>
      <c r="AV28" s="199"/>
      <c r="AW28" s="155">
        <f t="shared" si="2"/>
        <v>35</v>
      </c>
    </row>
    <row r="29" spans="1:49" s="236" customFormat="1" ht="52.8">
      <c r="A29" s="40">
        <f t="shared" si="1"/>
        <v>23</v>
      </c>
      <c r="B29" s="199"/>
      <c r="C29" s="199"/>
      <c r="D29" s="199"/>
      <c r="E29" s="199"/>
      <c r="F29" s="199"/>
      <c r="G29" s="199"/>
      <c r="H29" s="199"/>
      <c r="I29" s="199"/>
      <c r="J29" s="215" t="s">
        <v>566</v>
      </c>
      <c r="K29" s="204" t="s">
        <v>117</v>
      </c>
      <c r="L29" s="204" t="s">
        <v>567</v>
      </c>
      <c r="M29" s="204"/>
      <c r="N29" s="40" t="s">
        <v>504</v>
      </c>
      <c r="O29" s="199"/>
      <c r="P29" s="199"/>
      <c r="Q29" s="40" t="s">
        <v>6</v>
      </c>
      <c r="R29" s="40" t="s">
        <v>6</v>
      </c>
      <c r="S29" s="40" t="s">
        <v>6</v>
      </c>
      <c r="T29" s="126" t="s">
        <v>6</v>
      </c>
      <c r="U29" s="204"/>
      <c r="V29" s="204"/>
      <c r="W29" s="204" t="s">
        <v>128</v>
      </c>
      <c r="X29" s="199"/>
      <c r="Y29" s="199"/>
      <c r="Z29" s="40" t="s">
        <v>6</v>
      </c>
      <c r="AA29" s="40" t="s">
        <v>6</v>
      </c>
      <c r="AB29" s="204" t="s">
        <v>568</v>
      </c>
      <c r="AC29" s="199"/>
      <c r="AD29" s="199"/>
      <c r="AE29" s="204" t="s">
        <v>128</v>
      </c>
      <c r="AF29" s="199"/>
      <c r="AG29" s="199"/>
      <c r="AH29" s="40" t="s">
        <v>6</v>
      </c>
      <c r="AI29" s="40" t="s">
        <v>6</v>
      </c>
      <c r="AJ29" s="204" t="s">
        <v>568</v>
      </c>
      <c r="AK29" s="199"/>
      <c r="AL29" s="199"/>
      <c r="AM29" s="199"/>
      <c r="AN29" s="199"/>
      <c r="AO29" s="199"/>
      <c r="AP29" s="199"/>
      <c r="AQ29" s="199"/>
      <c r="AR29" s="199"/>
      <c r="AS29" s="199"/>
      <c r="AT29" s="199"/>
      <c r="AU29" s="199"/>
      <c r="AV29" s="199"/>
      <c r="AW29" s="155">
        <f t="shared" si="2"/>
        <v>26</v>
      </c>
    </row>
    <row r="30" spans="1:49" s="236" customFormat="1" ht="52.8">
      <c r="A30" s="40">
        <f t="shared" si="1"/>
        <v>24</v>
      </c>
      <c r="B30" s="199"/>
      <c r="C30" s="199"/>
      <c r="D30" s="199"/>
      <c r="E30" s="199"/>
      <c r="F30" s="199"/>
      <c r="G30" s="199"/>
      <c r="H30" s="199"/>
      <c r="I30" s="199"/>
      <c r="J30" s="215" t="s">
        <v>569</v>
      </c>
      <c r="K30" s="204" t="s">
        <v>117</v>
      </c>
      <c r="L30" s="204" t="s">
        <v>570</v>
      </c>
      <c r="M30" s="204"/>
      <c r="N30" s="40" t="s">
        <v>504</v>
      </c>
      <c r="O30" s="199"/>
      <c r="P30" s="199"/>
      <c r="Q30" s="40"/>
      <c r="R30" s="40"/>
      <c r="S30" s="40" t="s">
        <v>6</v>
      </c>
      <c r="T30" s="126" t="s">
        <v>6</v>
      </c>
      <c r="U30" s="204" t="s">
        <v>515</v>
      </c>
      <c r="V30" s="204"/>
      <c r="W30" s="204" t="s">
        <v>128</v>
      </c>
      <c r="X30" s="199"/>
      <c r="Y30" s="199"/>
      <c r="Z30" s="40" t="s">
        <v>6</v>
      </c>
      <c r="AA30" s="40" t="s">
        <v>6</v>
      </c>
      <c r="AB30" s="204" t="s">
        <v>568</v>
      </c>
      <c r="AC30" s="199"/>
      <c r="AD30" s="199"/>
      <c r="AE30" s="204" t="s">
        <v>128</v>
      </c>
      <c r="AF30" s="199"/>
      <c r="AG30" s="199"/>
      <c r="AH30" s="40" t="s">
        <v>6</v>
      </c>
      <c r="AI30" s="40" t="s">
        <v>6</v>
      </c>
      <c r="AJ30" s="204" t="s">
        <v>568</v>
      </c>
      <c r="AK30" s="199"/>
      <c r="AL30" s="199"/>
      <c r="AM30" s="199"/>
      <c r="AN30" s="199"/>
      <c r="AO30" s="199"/>
      <c r="AP30" s="199"/>
      <c r="AQ30" s="199"/>
      <c r="AR30" s="199"/>
      <c r="AS30" s="199"/>
      <c r="AT30" s="199"/>
      <c r="AU30" s="199"/>
      <c r="AV30" s="199"/>
      <c r="AW30" s="155">
        <f t="shared" si="2"/>
        <v>41</v>
      </c>
    </row>
    <row r="31" spans="1:49" s="236" customFormat="1" ht="52.8">
      <c r="A31" s="40">
        <f t="shared" si="1"/>
        <v>25</v>
      </c>
      <c r="B31" s="199"/>
      <c r="C31" s="199"/>
      <c r="D31" s="199"/>
      <c r="E31" s="199"/>
      <c r="F31" s="199"/>
      <c r="G31" s="199"/>
      <c r="H31" s="199"/>
      <c r="I31" s="199"/>
      <c r="J31" s="215" t="s">
        <v>571</v>
      </c>
      <c r="K31" s="204" t="s">
        <v>117</v>
      </c>
      <c r="L31" s="204" t="s">
        <v>572</v>
      </c>
      <c r="M31" s="204"/>
      <c r="N31" s="40" t="s">
        <v>504</v>
      </c>
      <c r="O31" s="199"/>
      <c r="P31" s="199"/>
      <c r="Q31" s="40"/>
      <c r="R31" s="40"/>
      <c r="S31" s="40" t="s">
        <v>6</v>
      </c>
      <c r="T31" s="126" t="s">
        <v>6</v>
      </c>
      <c r="U31" s="204" t="s">
        <v>515</v>
      </c>
      <c r="V31" s="204"/>
      <c r="W31" s="204" t="s">
        <v>128</v>
      </c>
      <c r="X31" s="199"/>
      <c r="Y31" s="199"/>
      <c r="Z31" s="40" t="s">
        <v>6</v>
      </c>
      <c r="AA31" s="40" t="s">
        <v>6</v>
      </c>
      <c r="AB31" s="204" t="s">
        <v>568</v>
      </c>
      <c r="AC31" s="199"/>
      <c r="AD31" s="199"/>
      <c r="AE31" s="204" t="s">
        <v>128</v>
      </c>
      <c r="AF31" s="199"/>
      <c r="AG31" s="199"/>
      <c r="AH31" s="40" t="s">
        <v>6</v>
      </c>
      <c r="AI31" s="40" t="s">
        <v>6</v>
      </c>
      <c r="AJ31" s="204" t="s">
        <v>568</v>
      </c>
      <c r="AK31" s="199"/>
      <c r="AL31" s="199"/>
      <c r="AM31" s="199"/>
      <c r="AN31" s="199"/>
      <c r="AO31" s="199"/>
      <c r="AP31" s="199"/>
      <c r="AQ31" s="199"/>
      <c r="AR31" s="199"/>
      <c r="AS31" s="199"/>
      <c r="AT31" s="199"/>
      <c r="AU31" s="199"/>
      <c r="AV31" s="199"/>
      <c r="AW31" s="155">
        <f t="shared" si="2"/>
        <v>40</v>
      </c>
    </row>
    <row r="32" spans="1:49" s="236" customFormat="1" ht="15">
      <c r="A32" s="40">
        <f t="shared" si="1"/>
        <v>26</v>
      </c>
      <c r="B32" s="199"/>
      <c r="C32" s="199"/>
      <c r="D32" s="199"/>
      <c r="E32" s="199"/>
      <c r="F32" s="199"/>
      <c r="G32" s="199"/>
      <c r="H32" s="199"/>
      <c r="I32" s="199"/>
      <c r="J32" s="215" t="s">
        <v>573</v>
      </c>
      <c r="K32" s="204" t="s">
        <v>128</v>
      </c>
      <c r="L32" s="204" t="s">
        <v>574</v>
      </c>
      <c r="M32" s="204"/>
      <c r="N32" s="40" t="s">
        <v>504</v>
      </c>
      <c r="O32" s="199"/>
      <c r="P32" s="199"/>
      <c r="Q32" s="40" t="s">
        <v>6</v>
      </c>
      <c r="R32" s="40" t="s">
        <v>6</v>
      </c>
      <c r="S32" s="40" t="s">
        <v>6</v>
      </c>
      <c r="T32" s="126" t="s">
        <v>6</v>
      </c>
      <c r="U32" s="204"/>
      <c r="V32" s="204"/>
      <c r="W32" s="204" t="s">
        <v>128</v>
      </c>
      <c r="X32" s="199"/>
      <c r="Y32" s="199"/>
      <c r="Z32" s="40" t="s">
        <v>6</v>
      </c>
      <c r="AA32" s="40" t="s">
        <v>6</v>
      </c>
      <c r="AB32" s="198"/>
      <c r="AC32" s="199"/>
      <c r="AD32" s="199"/>
      <c r="AE32" s="204" t="s">
        <v>128</v>
      </c>
      <c r="AF32" s="199"/>
      <c r="AG32" s="199"/>
      <c r="AH32" s="40" t="s">
        <v>6</v>
      </c>
      <c r="AI32" s="40" t="s">
        <v>6</v>
      </c>
      <c r="AJ32" s="198"/>
      <c r="AK32" s="199"/>
      <c r="AL32" s="199"/>
      <c r="AM32" s="199"/>
      <c r="AN32" s="199"/>
      <c r="AO32" s="199"/>
      <c r="AP32" s="199"/>
      <c r="AQ32" s="199"/>
      <c r="AR32" s="199"/>
      <c r="AS32" s="199"/>
      <c r="AT32" s="199"/>
      <c r="AU32" s="199"/>
      <c r="AV32" s="199"/>
      <c r="AW32" s="155">
        <f t="shared" si="2"/>
        <v>25</v>
      </c>
    </row>
    <row r="33" spans="1:49" s="236" customFormat="1" ht="26.4">
      <c r="A33" s="40">
        <f t="shared" si="1"/>
        <v>27</v>
      </c>
      <c r="B33" s="199"/>
      <c r="C33" s="199"/>
      <c r="D33" s="199"/>
      <c r="E33" s="199"/>
      <c r="F33" s="199"/>
      <c r="G33" s="199"/>
      <c r="H33" s="199"/>
      <c r="I33" s="199"/>
      <c r="J33" s="215" t="s">
        <v>575</v>
      </c>
      <c r="K33" s="204" t="s">
        <v>128</v>
      </c>
      <c r="L33" s="204" t="s">
        <v>576</v>
      </c>
      <c r="M33" s="204"/>
      <c r="N33" s="40" t="s">
        <v>504</v>
      </c>
      <c r="O33" s="199"/>
      <c r="P33" s="199"/>
      <c r="Q33" s="40" t="s">
        <v>6</v>
      </c>
      <c r="R33" s="40" t="s">
        <v>6</v>
      </c>
      <c r="S33" s="40" t="s">
        <v>6</v>
      </c>
      <c r="T33" s="126" t="s">
        <v>6</v>
      </c>
      <c r="U33" s="204" t="s">
        <v>515</v>
      </c>
      <c r="V33" s="204"/>
      <c r="W33" s="204" t="s">
        <v>128</v>
      </c>
      <c r="X33" s="199"/>
      <c r="Y33" s="199"/>
      <c r="Z33" s="40" t="s">
        <v>6</v>
      </c>
      <c r="AA33" s="40" t="s">
        <v>6</v>
      </c>
      <c r="AB33" s="198"/>
      <c r="AC33" s="199"/>
      <c r="AD33" s="199"/>
      <c r="AE33" s="204" t="s">
        <v>128</v>
      </c>
      <c r="AF33" s="199"/>
      <c r="AG33" s="199"/>
      <c r="AH33" s="40" t="s">
        <v>6</v>
      </c>
      <c r="AI33" s="40" t="s">
        <v>6</v>
      </c>
      <c r="AJ33" s="198"/>
      <c r="AK33" s="199"/>
      <c r="AL33" s="199"/>
      <c r="AM33" s="199"/>
      <c r="AN33" s="199"/>
      <c r="AO33" s="199"/>
      <c r="AP33" s="199"/>
      <c r="AQ33" s="199"/>
      <c r="AR33" s="199"/>
      <c r="AS33" s="199"/>
      <c r="AT33" s="199"/>
      <c r="AU33" s="199"/>
      <c r="AV33" s="199"/>
      <c r="AW33" s="155">
        <f t="shared" si="2"/>
        <v>39</v>
      </c>
    </row>
    <row r="34" spans="1:49" s="236" customFormat="1" ht="26.4">
      <c r="A34" s="40">
        <f t="shared" si="1"/>
        <v>28</v>
      </c>
      <c r="B34" s="199"/>
      <c r="C34" s="199"/>
      <c r="D34" s="199"/>
      <c r="E34" s="199"/>
      <c r="F34" s="199"/>
      <c r="G34" s="199"/>
      <c r="H34" s="199"/>
      <c r="I34" s="199"/>
      <c r="J34" s="215" t="s">
        <v>577</v>
      </c>
      <c r="K34" s="204" t="s">
        <v>128</v>
      </c>
      <c r="L34" s="204" t="s">
        <v>578</v>
      </c>
      <c r="M34" s="204"/>
      <c r="N34" s="40" t="s">
        <v>504</v>
      </c>
      <c r="O34" s="199"/>
      <c r="P34" s="199"/>
      <c r="Q34" s="40" t="s">
        <v>6</v>
      </c>
      <c r="R34" s="40" t="s">
        <v>6</v>
      </c>
      <c r="S34" s="40" t="s">
        <v>6</v>
      </c>
      <c r="T34" s="126" t="s">
        <v>6</v>
      </c>
      <c r="U34" s="204" t="s">
        <v>515</v>
      </c>
      <c r="V34" s="204"/>
      <c r="W34" s="204" t="s">
        <v>128</v>
      </c>
      <c r="X34" s="199"/>
      <c r="Y34" s="199"/>
      <c r="Z34" s="40" t="s">
        <v>6</v>
      </c>
      <c r="AA34" s="40" t="s">
        <v>6</v>
      </c>
      <c r="AB34" s="198"/>
      <c r="AC34" s="199"/>
      <c r="AD34" s="199"/>
      <c r="AE34" s="204" t="s">
        <v>128</v>
      </c>
      <c r="AF34" s="199"/>
      <c r="AG34" s="199"/>
      <c r="AH34" s="40" t="s">
        <v>6</v>
      </c>
      <c r="AI34" s="40" t="s">
        <v>6</v>
      </c>
      <c r="AJ34" s="198"/>
      <c r="AK34" s="199"/>
      <c r="AL34" s="199"/>
      <c r="AM34" s="199"/>
      <c r="AN34" s="199"/>
      <c r="AO34" s="199"/>
      <c r="AP34" s="199"/>
      <c r="AQ34" s="199"/>
      <c r="AR34" s="199"/>
      <c r="AS34" s="199"/>
      <c r="AT34" s="199"/>
      <c r="AU34" s="199"/>
      <c r="AV34" s="199"/>
      <c r="AW34" s="155">
        <f t="shared" si="2"/>
        <v>38</v>
      </c>
    </row>
    <row r="35" spans="1:49" s="236" customFormat="1" ht="26.4">
      <c r="A35" s="40">
        <f t="shared" si="1"/>
        <v>29</v>
      </c>
      <c r="B35" s="199"/>
      <c r="C35" s="199"/>
      <c r="D35" s="199"/>
      <c r="E35" s="199"/>
      <c r="F35" s="199"/>
      <c r="G35" s="199"/>
      <c r="H35" s="199"/>
      <c r="I35" s="199"/>
      <c r="J35" s="215" t="s">
        <v>579</v>
      </c>
      <c r="K35" s="204" t="s">
        <v>128</v>
      </c>
      <c r="L35" s="204" t="s">
        <v>580</v>
      </c>
      <c r="M35" s="204"/>
      <c r="N35" s="40" t="s">
        <v>504</v>
      </c>
      <c r="O35" s="199"/>
      <c r="P35" s="199"/>
      <c r="Q35" s="40" t="s">
        <v>6</v>
      </c>
      <c r="R35" s="40" t="s">
        <v>6</v>
      </c>
      <c r="S35" s="40" t="s">
        <v>6</v>
      </c>
      <c r="T35" s="126" t="s">
        <v>6</v>
      </c>
      <c r="U35" s="204" t="s">
        <v>515</v>
      </c>
      <c r="V35" s="204"/>
      <c r="W35" s="204" t="s">
        <v>128</v>
      </c>
      <c r="X35" s="199"/>
      <c r="Y35" s="199"/>
      <c r="Z35" s="40" t="s">
        <v>6</v>
      </c>
      <c r="AA35" s="40" t="s">
        <v>6</v>
      </c>
      <c r="AB35" s="198"/>
      <c r="AC35" s="199"/>
      <c r="AD35" s="199"/>
      <c r="AE35" s="204" t="s">
        <v>128</v>
      </c>
      <c r="AF35" s="199"/>
      <c r="AG35" s="199"/>
      <c r="AH35" s="40" t="s">
        <v>6</v>
      </c>
      <c r="AI35" s="40" t="s">
        <v>6</v>
      </c>
      <c r="AJ35" s="198"/>
      <c r="AK35" s="199"/>
      <c r="AL35" s="199"/>
      <c r="AM35" s="199"/>
      <c r="AN35" s="199"/>
      <c r="AO35" s="199"/>
      <c r="AP35" s="199"/>
      <c r="AQ35" s="199"/>
      <c r="AR35" s="199"/>
      <c r="AS35" s="199"/>
      <c r="AT35" s="199"/>
      <c r="AU35" s="199"/>
      <c r="AV35" s="199"/>
      <c r="AW35" s="155">
        <f t="shared" si="2"/>
        <v>41</v>
      </c>
    </row>
    <row r="36" spans="1:49" s="236" customFormat="1" ht="26.4">
      <c r="A36" s="40">
        <f t="shared" si="1"/>
        <v>30</v>
      </c>
      <c r="B36" s="199"/>
      <c r="C36" s="199"/>
      <c r="D36" s="199"/>
      <c r="E36" s="199"/>
      <c r="F36" s="199"/>
      <c r="G36" s="199"/>
      <c r="H36" s="199"/>
      <c r="I36" s="199"/>
      <c r="J36" s="215" t="s">
        <v>581</v>
      </c>
      <c r="K36" s="204" t="s">
        <v>140</v>
      </c>
      <c r="L36" s="204" t="s">
        <v>582</v>
      </c>
      <c r="M36" s="204"/>
      <c r="N36" s="40" t="s">
        <v>504</v>
      </c>
      <c r="O36" s="199"/>
      <c r="P36" s="199"/>
      <c r="Q36" s="40" t="s">
        <v>6</v>
      </c>
      <c r="R36" s="40" t="s">
        <v>6</v>
      </c>
      <c r="S36" s="40" t="s">
        <v>6</v>
      </c>
      <c r="T36" s="126" t="s">
        <v>6</v>
      </c>
      <c r="U36" s="204" t="s">
        <v>515</v>
      </c>
      <c r="V36" s="204"/>
      <c r="W36" s="204" t="s">
        <v>140</v>
      </c>
      <c r="X36" s="199"/>
      <c r="Y36" s="199"/>
      <c r="Z36" s="40" t="s">
        <v>6</v>
      </c>
      <c r="AA36" s="40" t="s">
        <v>6</v>
      </c>
      <c r="AB36" s="198"/>
      <c r="AC36" s="199"/>
      <c r="AD36" s="199"/>
      <c r="AE36" s="204" t="s">
        <v>140</v>
      </c>
      <c r="AF36" s="199"/>
      <c r="AG36" s="199"/>
      <c r="AH36" s="40" t="s">
        <v>6</v>
      </c>
      <c r="AI36" s="40" t="s">
        <v>6</v>
      </c>
      <c r="AJ36" s="198"/>
      <c r="AK36" s="199"/>
      <c r="AL36" s="199"/>
      <c r="AM36" s="199"/>
      <c r="AN36" s="199"/>
      <c r="AO36" s="199"/>
      <c r="AP36" s="199"/>
      <c r="AQ36" s="199"/>
      <c r="AR36" s="199"/>
      <c r="AS36" s="199"/>
      <c r="AT36" s="199"/>
      <c r="AU36" s="199"/>
      <c r="AV36" s="199"/>
      <c r="AW36" s="155">
        <f t="shared" si="2"/>
        <v>38</v>
      </c>
    </row>
    <row r="37" spans="1:49" s="236" customFormat="1" ht="26.4">
      <c r="A37" s="40">
        <f t="shared" si="1"/>
        <v>31</v>
      </c>
      <c r="B37" s="199"/>
      <c r="C37" s="199"/>
      <c r="D37" s="199"/>
      <c r="E37" s="199"/>
      <c r="F37" s="199"/>
      <c r="G37" s="199"/>
      <c r="H37" s="199"/>
      <c r="I37" s="199"/>
      <c r="J37" s="215" t="s">
        <v>583</v>
      </c>
      <c r="K37" s="204" t="s">
        <v>140</v>
      </c>
      <c r="L37" s="204" t="s">
        <v>584</v>
      </c>
      <c r="M37" s="204"/>
      <c r="N37" s="40" t="s">
        <v>504</v>
      </c>
      <c r="O37" s="199"/>
      <c r="P37" s="199"/>
      <c r="Q37" s="40" t="s">
        <v>6</v>
      </c>
      <c r="R37" s="40" t="s">
        <v>6</v>
      </c>
      <c r="S37" s="40" t="s">
        <v>6</v>
      </c>
      <c r="T37" s="126" t="s">
        <v>6</v>
      </c>
      <c r="U37" s="204" t="s">
        <v>515</v>
      </c>
      <c r="V37" s="204"/>
      <c r="W37" s="204" t="s">
        <v>140</v>
      </c>
      <c r="X37" s="199"/>
      <c r="Y37" s="199"/>
      <c r="Z37" s="40" t="s">
        <v>6</v>
      </c>
      <c r="AA37" s="40" t="s">
        <v>6</v>
      </c>
      <c r="AB37" s="198"/>
      <c r="AC37" s="199"/>
      <c r="AD37" s="199"/>
      <c r="AE37" s="204" t="s">
        <v>140</v>
      </c>
      <c r="AF37" s="199"/>
      <c r="AG37" s="199"/>
      <c r="AH37" s="40" t="s">
        <v>6</v>
      </c>
      <c r="AI37" s="40" t="s">
        <v>6</v>
      </c>
      <c r="AJ37" s="198"/>
      <c r="AK37" s="199"/>
      <c r="AL37" s="199"/>
      <c r="AM37" s="199"/>
      <c r="AN37" s="199"/>
      <c r="AO37" s="199"/>
      <c r="AP37" s="199"/>
      <c r="AQ37" s="199"/>
      <c r="AR37" s="199"/>
      <c r="AS37" s="199"/>
      <c r="AT37" s="199"/>
      <c r="AU37" s="199"/>
      <c r="AV37" s="199"/>
      <c r="AW37" s="155">
        <f t="shared" si="2"/>
        <v>37</v>
      </c>
    </row>
    <row r="38" spans="1:49" s="236" customFormat="1" ht="26.4">
      <c r="A38" s="40">
        <f t="shared" si="1"/>
        <v>32</v>
      </c>
      <c r="B38" s="199"/>
      <c r="C38" s="199"/>
      <c r="D38" s="199"/>
      <c r="E38" s="199"/>
      <c r="F38" s="199"/>
      <c r="G38" s="199"/>
      <c r="H38" s="199"/>
      <c r="I38" s="199"/>
      <c r="J38" s="215" t="s">
        <v>585</v>
      </c>
      <c r="K38" s="204" t="s">
        <v>140</v>
      </c>
      <c r="L38" s="204" t="s">
        <v>586</v>
      </c>
      <c r="M38" s="204"/>
      <c r="N38" s="40" t="s">
        <v>504</v>
      </c>
      <c r="O38" s="199"/>
      <c r="P38" s="199"/>
      <c r="Q38" s="40" t="s">
        <v>6</v>
      </c>
      <c r="R38" s="40" t="s">
        <v>6</v>
      </c>
      <c r="S38" s="40" t="s">
        <v>6</v>
      </c>
      <c r="T38" s="126" t="s">
        <v>6</v>
      </c>
      <c r="U38" s="204" t="s">
        <v>515</v>
      </c>
      <c r="V38" s="204"/>
      <c r="W38" s="204" t="s">
        <v>140</v>
      </c>
      <c r="X38" s="199"/>
      <c r="Y38" s="199"/>
      <c r="Z38" s="40" t="s">
        <v>6</v>
      </c>
      <c r="AA38" s="40" t="s">
        <v>6</v>
      </c>
      <c r="AB38" s="198"/>
      <c r="AC38" s="199"/>
      <c r="AD38" s="199"/>
      <c r="AE38" s="204" t="s">
        <v>140</v>
      </c>
      <c r="AF38" s="199"/>
      <c r="AG38" s="199"/>
      <c r="AH38" s="40" t="s">
        <v>6</v>
      </c>
      <c r="AI38" s="40" t="s">
        <v>6</v>
      </c>
      <c r="AJ38" s="198"/>
      <c r="AK38" s="199"/>
      <c r="AL38" s="199"/>
      <c r="AM38" s="199"/>
      <c r="AN38" s="199"/>
      <c r="AO38" s="199"/>
      <c r="AP38" s="199"/>
      <c r="AQ38" s="199"/>
      <c r="AR38" s="199"/>
      <c r="AS38" s="199"/>
      <c r="AT38" s="199"/>
      <c r="AU38" s="199"/>
      <c r="AV38" s="199"/>
      <c r="AW38" s="155">
        <f t="shared" si="2"/>
        <v>37</v>
      </c>
    </row>
    <row r="39" spans="1:49" s="236" customFormat="1" ht="26.4">
      <c r="A39" s="40">
        <f t="shared" si="1"/>
        <v>33</v>
      </c>
      <c r="B39" s="199"/>
      <c r="C39" s="199"/>
      <c r="D39" s="199"/>
      <c r="E39" s="199"/>
      <c r="F39" s="199"/>
      <c r="G39" s="199"/>
      <c r="H39" s="199"/>
      <c r="I39" s="199"/>
      <c r="J39" s="215" t="s">
        <v>587</v>
      </c>
      <c r="K39" s="204" t="s">
        <v>140</v>
      </c>
      <c r="L39" s="204" t="s">
        <v>588</v>
      </c>
      <c r="M39" s="204"/>
      <c r="N39" s="40" t="s">
        <v>504</v>
      </c>
      <c r="O39" s="199"/>
      <c r="P39" s="199"/>
      <c r="Q39" s="40" t="s">
        <v>6</v>
      </c>
      <c r="R39" s="40" t="s">
        <v>6</v>
      </c>
      <c r="S39" s="40" t="s">
        <v>6</v>
      </c>
      <c r="T39" s="126" t="s">
        <v>6</v>
      </c>
      <c r="U39" s="204" t="s">
        <v>515</v>
      </c>
      <c r="V39" s="204"/>
      <c r="W39" s="204" t="s">
        <v>140</v>
      </c>
      <c r="X39" s="199"/>
      <c r="Y39" s="199"/>
      <c r="Z39" s="40" t="s">
        <v>6</v>
      </c>
      <c r="AA39" s="40" t="s">
        <v>6</v>
      </c>
      <c r="AB39" s="198"/>
      <c r="AC39" s="199"/>
      <c r="AD39" s="199"/>
      <c r="AE39" s="204" t="s">
        <v>140</v>
      </c>
      <c r="AF39" s="199"/>
      <c r="AG39" s="199"/>
      <c r="AH39" s="40" t="s">
        <v>6</v>
      </c>
      <c r="AI39" s="40" t="s">
        <v>6</v>
      </c>
      <c r="AJ39" s="198"/>
      <c r="AK39" s="199"/>
      <c r="AL39" s="199"/>
      <c r="AM39" s="199"/>
      <c r="AN39" s="199"/>
      <c r="AO39" s="199"/>
      <c r="AP39" s="199"/>
      <c r="AQ39" s="199"/>
      <c r="AR39" s="199"/>
      <c r="AS39" s="199"/>
      <c r="AT39" s="199"/>
      <c r="AU39" s="199"/>
      <c r="AV39" s="199"/>
      <c r="AW39" s="155">
        <f t="shared" si="2"/>
        <v>37</v>
      </c>
    </row>
    <row r="40" spans="1:49" s="236" customFormat="1" ht="15">
      <c r="A40" s="40">
        <f t="shared" si="1"/>
        <v>34</v>
      </c>
      <c r="B40" s="199"/>
      <c r="C40" s="199"/>
      <c r="D40" s="199"/>
      <c r="E40" s="199"/>
      <c r="F40" s="199"/>
      <c r="G40" s="199"/>
      <c r="H40" s="199"/>
      <c r="I40" s="199"/>
      <c r="J40" s="215" t="s">
        <v>589</v>
      </c>
      <c r="K40" s="204" t="s">
        <v>140</v>
      </c>
      <c r="L40" s="204" t="s">
        <v>590</v>
      </c>
      <c r="M40" s="204"/>
      <c r="N40" s="40" t="s">
        <v>504</v>
      </c>
      <c r="O40" s="199"/>
      <c r="P40" s="199"/>
      <c r="Q40" s="40" t="s">
        <v>6</v>
      </c>
      <c r="R40" s="40" t="s">
        <v>6</v>
      </c>
      <c r="S40" s="40" t="s">
        <v>6</v>
      </c>
      <c r="T40" s="126" t="s">
        <v>6</v>
      </c>
      <c r="U40" s="200" t="s">
        <v>591</v>
      </c>
      <c r="V40" s="204"/>
      <c r="W40" s="204" t="s">
        <v>140</v>
      </c>
      <c r="X40" s="199"/>
      <c r="Y40" s="199"/>
      <c r="Z40" s="40" t="s">
        <v>6</v>
      </c>
      <c r="AA40" s="40" t="s">
        <v>6</v>
      </c>
      <c r="AB40" s="204"/>
      <c r="AC40" s="199"/>
      <c r="AD40" s="199"/>
      <c r="AE40" s="204" t="s">
        <v>140</v>
      </c>
      <c r="AF40" s="199"/>
      <c r="AG40" s="199"/>
      <c r="AH40" s="40" t="s">
        <v>6</v>
      </c>
      <c r="AI40" s="40" t="s">
        <v>6</v>
      </c>
      <c r="AJ40" s="204"/>
      <c r="AK40" s="199"/>
      <c r="AL40" s="199"/>
      <c r="AM40" s="199"/>
      <c r="AN40" s="199"/>
      <c r="AO40" s="199"/>
      <c r="AP40" s="199"/>
      <c r="AQ40" s="199"/>
      <c r="AR40" s="199"/>
      <c r="AS40" s="199"/>
      <c r="AT40" s="199"/>
      <c r="AU40" s="199"/>
      <c r="AV40" s="199"/>
      <c r="AW40" s="155">
        <f t="shared" si="2"/>
        <v>29</v>
      </c>
    </row>
    <row r="41" spans="1:49" s="236" customFormat="1" ht="15">
      <c r="A41" s="40">
        <f t="shared" si="1"/>
        <v>35</v>
      </c>
      <c r="B41" s="199"/>
      <c r="C41" s="199"/>
      <c r="D41" s="199"/>
      <c r="E41" s="199"/>
      <c r="F41" s="199"/>
      <c r="G41" s="199"/>
      <c r="H41" s="199"/>
      <c r="I41" s="199"/>
      <c r="J41" s="215" t="s">
        <v>592</v>
      </c>
      <c r="K41" s="204" t="s">
        <v>140</v>
      </c>
      <c r="L41" s="204" t="s">
        <v>590</v>
      </c>
      <c r="M41" s="204"/>
      <c r="N41" s="40" t="s">
        <v>504</v>
      </c>
      <c r="O41" s="199"/>
      <c r="P41" s="199"/>
      <c r="Q41" s="40"/>
      <c r="R41" s="40"/>
      <c r="S41" s="40" t="s">
        <v>6</v>
      </c>
      <c r="T41" s="126" t="s">
        <v>6</v>
      </c>
      <c r="U41" s="200" t="s">
        <v>591</v>
      </c>
      <c r="V41" s="204"/>
      <c r="W41" s="204" t="s">
        <v>140</v>
      </c>
      <c r="X41" s="199"/>
      <c r="Y41" s="199"/>
      <c r="Z41" s="40" t="s">
        <v>6</v>
      </c>
      <c r="AA41" s="40" t="s">
        <v>6</v>
      </c>
      <c r="AB41" s="204"/>
      <c r="AC41" s="199"/>
      <c r="AD41" s="199"/>
      <c r="AE41" s="204" t="s">
        <v>140</v>
      </c>
      <c r="AF41" s="199"/>
      <c r="AG41" s="199"/>
      <c r="AH41" s="40" t="s">
        <v>6</v>
      </c>
      <c r="AI41" s="40" t="s">
        <v>6</v>
      </c>
      <c r="AJ41" s="204"/>
      <c r="AK41" s="199"/>
      <c r="AL41" s="199"/>
      <c r="AM41" s="199"/>
      <c r="AN41" s="199"/>
      <c r="AO41" s="199"/>
      <c r="AP41" s="199"/>
      <c r="AQ41" s="199"/>
      <c r="AR41" s="199"/>
      <c r="AS41" s="199"/>
      <c r="AT41" s="199"/>
      <c r="AU41" s="199"/>
      <c r="AV41" s="199"/>
      <c r="AW41" s="155">
        <f t="shared" si="2"/>
        <v>29</v>
      </c>
    </row>
    <row r="42" spans="1:49" s="236" customFormat="1" ht="26.4">
      <c r="A42" s="40">
        <f t="shared" si="1"/>
        <v>36</v>
      </c>
      <c r="B42" s="199"/>
      <c r="C42" s="199"/>
      <c r="D42" s="199"/>
      <c r="E42" s="199"/>
      <c r="F42" s="199"/>
      <c r="G42" s="199"/>
      <c r="H42" s="199"/>
      <c r="I42" s="199"/>
      <c r="J42" s="215" t="s">
        <v>593</v>
      </c>
      <c r="K42" s="204" t="s">
        <v>140</v>
      </c>
      <c r="L42" s="204" t="s">
        <v>594</v>
      </c>
      <c r="M42" s="204"/>
      <c r="N42" s="40" t="s">
        <v>504</v>
      </c>
      <c r="O42" s="199"/>
      <c r="P42" s="199"/>
      <c r="Q42" s="40" t="s">
        <v>6</v>
      </c>
      <c r="R42" s="40" t="s">
        <v>6</v>
      </c>
      <c r="S42" s="40" t="s">
        <v>6</v>
      </c>
      <c r="T42" s="126" t="s">
        <v>6</v>
      </c>
      <c r="U42" s="200" t="s">
        <v>595</v>
      </c>
      <c r="V42" s="204"/>
      <c r="W42" s="204" t="s">
        <v>140</v>
      </c>
      <c r="X42" s="199"/>
      <c r="Y42" s="199"/>
      <c r="Z42" s="40" t="s">
        <v>6</v>
      </c>
      <c r="AA42" s="40" t="s">
        <v>6</v>
      </c>
      <c r="AB42" s="204"/>
      <c r="AC42" s="199"/>
      <c r="AD42" s="199"/>
      <c r="AE42" s="204" t="s">
        <v>140</v>
      </c>
      <c r="AF42" s="199"/>
      <c r="AG42" s="199"/>
      <c r="AH42" s="40" t="s">
        <v>6</v>
      </c>
      <c r="AI42" s="40" t="s">
        <v>6</v>
      </c>
      <c r="AJ42" s="204"/>
      <c r="AK42" s="199"/>
      <c r="AL42" s="199"/>
      <c r="AM42" s="199"/>
      <c r="AN42" s="199"/>
      <c r="AO42" s="199"/>
      <c r="AP42" s="199"/>
      <c r="AQ42" s="199"/>
      <c r="AR42" s="199"/>
      <c r="AS42" s="199"/>
      <c r="AT42" s="199"/>
      <c r="AU42" s="199"/>
      <c r="AV42" s="199"/>
      <c r="AW42" s="155">
        <f t="shared" si="2"/>
        <v>28</v>
      </c>
    </row>
    <row r="43" spans="1:49" s="236" customFormat="1" ht="26.4">
      <c r="A43" s="40">
        <f t="shared" si="1"/>
        <v>37</v>
      </c>
      <c r="B43" s="199"/>
      <c r="C43" s="199"/>
      <c r="D43" s="199"/>
      <c r="E43" s="199"/>
      <c r="F43" s="199"/>
      <c r="G43" s="199"/>
      <c r="H43" s="199"/>
      <c r="I43" s="199"/>
      <c r="J43" s="215" t="s">
        <v>596</v>
      </c>
      <c r="K43" s="204" t="s">
        <v>140</v>
      </c>
      <c r="L43" s="204" t="s">
        <v>594</v>
      </c>
      <c r="M43" s="204"/>
      <c r="N43" s="40" t="s">
        <v>504</v>
      </c>
      <c r="O43" s="199"/>
      <c r="P43" s="199"/>
      <c r="Q43" s="40"/>
      <c r="R43" s="40"/>
      <c r="S43" s="40" t="s">
        <v>6</v>
      </c>
      <c r="T43" s="126" t="s">
        <v>6</v>
      </c>
      <c r="U43" s="200" t="s">
        <v>595</v>
      </c>
      <c r="V43" s="204"/>
      <c r="W43" s="204" t="s">
        <v>140</v>
      </c>
      <c r="X43" s="199"/>
      <c r="Y43" s="199"/>
      <c r="Z43" s="40" t="s">
        <v>6</v>
      </c>
      <c r="AA43" s="40" t="s">
        <v>6</v>
      </c>
      <c r="AB43" s="204"/>
      <c r="AC43" s="199"/>
      <c r="AD43" s="199"/>
      <c r="AE43" s="204" t="s">
        <v>140</v>
      </c>
      <c r="AF43" s="199"/>
      <c r="AG43" s="199"/>
      <c r="AH43" s="40" t="s">
        <v>6</v>
      </c>
      <c r="AI43" s="40" t="s">
        <v>6</v>
      </c>
      <c r="AJ43" s="204"/>
      <c r="AK43" s="199"/>
      <c r="AL43" s="199"/>
      <c r="AM43" s="199"/>
      <c r="AN43" s="199"/>
      <c r="AO43" s="199"/>
      <c r="AP43" s="199"/>
      <c r="AQ43" s="199"/>
      <c r="AR43" s="199"/>
      <c r="AS43" s="199"/>
      <c r="AT43" s="199"/>
      <c r="AU43" s="199"/>
      <c r="AV43" s="199"/>
      <c r="AW43" s="155">
        <f t="shared" si="2"/>
        <v>28</v>
      </c>
    </row>
    <row r="44" spans="1:49" s="236" customFormat="1" ht="15">
      <c r="A44" s="40">
        <f t="shared" si="1"/>
        <v>38</v>
      </c>
      <c r="B44" s="199"/>
      <c r="C44" s="199"/>
      <c r="D44" s="199"/>
      <c r="E44" s="199"/>
      <c r="F44" s="199"/>
      <c r="G44" s="199"/>
      <c r="H44" s="199"/>
      <c r="I44" s="199"/>
      <c r="J44" s="215" t="s">
        <v>597</v>
      </c>
      <c r="K44" s="204" t="s">
        <v>65</v>
      </c>
      <c r="L44" s="204" t="s">
        <v>598</v>
      </c>
      <c r="M44" s="204"/>
      <c r="N44" s="40" t="s">
        <v>504</v>
      </c>
      <c r="O44" s="199"/>
      <c r="P44" s="199"/>
      <c r="Q44" s="40" t="s">
        <v>6</v>
      </c>
      <c r="R44" s="40" t="s">
        <v>6</v>
      </c>
      <c r="S44" s="40" t="s">
        <v>6</v>
      </c>
      <c r="T44" s="126" t="s">
        <v>6</v>
      </c>
      <c r="U44" s="204"/>
      <c r="V44" s="204"/>
      <c r="W44" s="204" t="s">
        <v>65</v>
      </c>
      <c r="X44" s="199"/>
      <c r="Y44" s="199"/>
      <c r="Z44" s="40" t="s">
        <v>6</v>
      </c>
      <c r="AA44" s="40" t="s">
        <v>6</v>
      </c>
      <c r="AB44" s="198"/>
      <c r="AC44" s="199"/>
      <c r="AD44" s="199"/>
      <c r="AE44" s="204" t="s">
        <v>65</v>
      </c>
      <c r="AF44" s="199"/>
      <c r="AG44" s="199"/>
      <c r="AH44" s="40" t="s">
        <v>6</v>
      </c>
      <c r="AI44" s="40" t="s">
        <v>6</v>
      </c>
      <c r="AJ44" s="198"/>
      <c r="AK44" s="199"/>
      <c r="AL44" s="199"/>
      <c r="AM44" s="199"/>
      <c r="AN44" s="199"/>
      <c r="AO44" s="199"/>
      <c r="AP44" s="199"/>
      <c r="AQ44" s="199"/>
      <c r="AR44" s="199"/>
      <c r="AS44" s="199"/>
      <c r="AT44" s="199"/>
      <c r="AU44" s="199"/>
      <c r="AV44" s="199"/>
      <c r="AW44" s="155">
        <f t="shared" si="2"/>
        <v>32</v>
      </c>
    </row>
    <row r="45" spans="1:49" s="236" customFormat="1" ht="15">
      <c r="A45" s="40">
        <f t="shared" si="1"/>
        <v>39</v>
      </c>
      <c r="B45" s="199"/>
      <c r="C45" s="199"/>
      <c r="D45" s="199"/>
      <c r="E45" s="199"/>
      <c r="F45" s="199"/>
      <c r="G45" s="199"/>
      <c r="H45" s="199"/>
      <c r="I45" s="199"/>
      <c r="J45" s="215" t="s">
        <v>599</v>
      </c>
      <c r="K45" s="204" t="s">
        <v>65</v>
      </c>
      <c r="L45" s="204" t="s">
        <v>598</v>
      </c>
      <c r="M45" s="204"/>
      <c r="N45" s="40" t="s">
        <v>504</v>
      </c>
      <c r="O45" s="199"/>
      <c r="P45" s="199"/>
      <c r="Q45" s="40"/>
      <c r="R45" s="40"/>
      <c r="S45" s="40" t="s">
        <v>6</v>
      </c>
      <c r="T45" s="126" t="s">
        <v>6</v>
      </c>
      <c r="U45" s="204"/>
      <c r="V45" s="204"/>
      <c r="W45" s="204" t="s">
        <v>65</v>
      </c>
      <c r="X45" s="199"/>
      <c r="Y45" s="199"/>
      <c r="Z45" s="40" t="s">
        <v>6</v>
      </c>
      <c r="AA45" s="40" t="s">
        <v>6</v>
      </c>
      <c r="AB45" s="198"/>
      <c r="AC45" s="199"/>
      <c r="AD45" s="199"/>
      <c r="AE45" s="204" t="s">
        <v>65</v>
      </c>
      <c r="AF45" s="199"/>
      <c r="AG45" s="199"/>
      <c r="AH45" s="40" t="s">
        <v>6</v>
      </c>
      <c r="AI45" s="40" t="s">
        <v>6</v>
      </c>
      <c r="AJ45" s="198"/>
      <c r="AK45" s="199"/>
      <c r="AL45" s="199"/>
      <c r="AM45" s="199"/>
      <c r="AN45" s="199"/>
      <c r="AO45" s="199"/>
      <c r="AP45" s="199"/>
      <c r="AQ45" s="199"/>
      <c r="AR45" s="199"/>
      <c r="AS45" s="199"/>
      <c r="AT45" s="199"/>
      <c r="AU45" s="199"/>
      <c r="AV45" s="199"/>
      <c r="AW45" s="155">
        <f t="shared" si="2"/>
        <v>32</v>
      </c>
    </row>
    <row r="46" spans="1:49" s="236" customFormat="1" ht="15">
      <c r="A46" s="40">
        <f t="shared" si="1"/>
        <v>40</v>
      </c>
      <c r="B46" s="199"/>
      <c r="C46" s="199"/>
      <c r="D46" s="199"/>
      <c r="E46" s="199"/>
      <c r="F46" s="199"/>
      <c r="G46" s="199"/>
      <c r="H46" s="199"/>
      <c r="I46" s="199"/>
      <c r="J46" s="218" t="s">
        <v>600</v>
      </c>
      <c r="K46" s="204" t="s">
        <v>137</v>
      </c>
      <c r="L46" s="204" t="s">
        <v>601</v>
      </c>
      <c r="M46" s="204"/>
      <c r="N46" s="40" t="s">
        <v>504</v>
      </c>
      <c r="O46" s="199"/>
      <c r="P46" s="199"/>
      <c r="Q46" s="40"/>
      <c r="R46" s="40"/>
      <c r="S46" s="40" t="s">
        <v>6</v>
      </c>
      <c r="T46" s="126" t="s">
        <v>6</v>
      </c>
      <c r="U46" s="200"/>
      <c r="V46" s="204"/>
      <c r="W46" s="204" t="s">
        <v>137</v>
      </c>
      <c r="X46" s="199"/>
      <c r="Y46" s="199"/>
      <c r="Z46" s="40"/>
      <c r="AA46" s="40" t="s">
        <v>6</v>
      </c>
      <c r="AB46" s="198"/>
      <c r="AC46" s="199"/>
      <c r="AD46" s="199"/>
      <c r="AE46" s="204" t="s">
        <v>137</v>
      </c>
      <c r="AF46" s="199"/>
      <c r="AG46" s="199"/>
      <c r="AH46" s="199"/>
      <c r="AI46" s="40" t="s">
        <v>6</v>
      </c>
      <c r="AJ46" s="198"/>
      <c r="AK46" s="199"/>
      <c r="AL46" s="199"/>
      <c r="AM46" s="199"/>
      <c r="AN46" s="199"/>
      <c r="AO46" s="199"/>
      <c r="AP46" s="199"/>
      <c r="AQ46" s="199"/>
      <c r="AR46" s="199"/>
      <c r="AS46" s="199"/>
      <c r="AT46" s="199"/>
      <c r="AU46" s="199"/>
      <c r="AV46" s="199"/>
      <c r="AW46" s="155">
        <f t="shared" ref="AW46:AW66" si="3">LEN(L46)</f>
        <v>17</v>
      </c>
    </row>
    <row r="47" spans="1:49" s="236" customFormat="1" ht="26.4">
      <c r="A47" s="40">
        <f t="shared" si="1"/>
        <v>41</v>
      </c>
      <c r="B47" s="199"/>
      <c r="C47" s="199"/>
      <c r="D47" s="199"/>
      <c r="E47" s="199"/>
      <c r="F47" s="199"/>
      <c r="G47" s="199"/>
      <c r="H47" s="199"/>
      <c r="I47" s="199"/>
      <c r="J47" s="218" t="s">
        <v>602</v>
      </c>
      <c r="K47" s="204" t="s">
        <v>137</v>
      </c>
      <c r="L47" s="204" t="s">
        <v>603</v>
      </c>
      <c r="M47" s="204"/>
      <c r="N47" s="40" t="s">
        <v>504</v>
      </c>
      <c r="O47" s="199"/>
      <c r="P47" s="199"/>
      <c r="Q47" s="40"/>
      <c r="R47" s="40"/>
      <c r="S47" s="40" t="s">
        <v>6</v>
      </c>
      <c r="T47" s="126" t="s">
        <v>6</v>
      </c>
      <c r="U47" s="200" t="s">
        <v>604</v>
      </c>
      <c r="V47" s="204"/>
      <c r="W47" s="204" t="s">
        <v>137</v>
      </c>
      <c r="X47" s="199"/>
      <c r="Y47" s="199"/>
      <c r="Z47" s="40"/>
      <c r="AA47" s="40" t="s">
        <v>6</v>
      </c>
      <c r="AB47" s="198"/>
      <c r="AC47" s="199"/>
      <c r="AD47" s="199"/>
      <c r="AE47" s="204" t="s">
        <v>137</v>
      </c>
      <c r="AF47" s="199"/>
      <c r="AG47" s="199"/>
      <c r="AH47" s="199"/>
      <c r="AI47" s="40" t="s">
        <v>6</v>
      </c>
      <c r="AJ47" s="198"/>
      <c r="AK47" s="199"/>
      <c r="AL47" s="199"/>
      <c r="AM47" s="199"/>
      <c r="AN47" s="199"/>
      <c r="AO47" s="199"/>
      <c r="AP47" s="199"/>
      <c r="AQ47" s="199"/>
      <c r="AR47" s="199"/>
      <c r="AS47" s="199"/>
      <c r="AT47" s="199"/>
      <c r="AU47" s="199"/>
      <c r="AV47" s="199"/>
      <c r="AW47" s="155">
        <f t="shared" si="3"/>
        <v>17</v>
      </c>
    </row>
    <row r="48" spans="1:49" s="236" customFormat="1" ht="15">
      <c r="A48" s="40">
        <f t="shared" si="1"/>
        <v>42</v>
      </c>
      <c r="B48" s="199"/>
      <c r="C48" s="199"/>
      <c r="D48" s="199"/>
      <c r="E48" s="199"/>
      <c r="F48" s="199"/>
      <c r="G48" s="199"/>
      <c r="H48" s="199"/>
      <c r="I48" s="199"/>
      <c r="J48" s="218" t="s">
        <v>605</v>
      </c>
      <c r="K48" s="204" t="s">
        <v>117</v>
      </c>
      <c r="L48" s="204" t="s">
        <v>606</v>
      </c>
      <c r="M48" s="204"/>
      <c r="N48" s="40" t="s">
        <v>504</v>
      </c>
      <c r="O48" s="199"/>
      <c r="P48" s="199"/>
      <c r="Q48" s="40"/>
      <c r="R48" s="40" t="s">
        <v>6</v>
      </c>
      <c r="S48" s="40" t="s">
        <v>6</v>
      </c>
      <c r="T48" s="126" t="s">
        <v>6</v>
      </c>
      <c r="U48" s="204"/>
      <c r="V48" s="204"/>
      <c r="W48" s="204" t="s">
        <v>133</v>
      </c>
      <c r="X48" s="199"/>
      <c r="Y48" s="199"/>
      <c r="Z48" s="40" t="s">
        <v>6</v>
      </c>
      <c r="AA48" s="40" t="s">
        <v>6</v>
      </c>
      <c r="AB48" s="198"/>
      <c r="AC48" s="199"/>
      <c r="AD48" s="199"/>
      <c r="AE48" s="204" t="s">
        <v>133</v>
      </c>
      <c r="AF48" s="199"/>
      <c r="AG48" s="199"/>
      <c r="AH48" s="199"/>
      <c r="AI48" s="40" t="s">
        <v>6</v>
      </c>
      <c r="AJ48" s="198"/>
      <c r="AK48" s="199"/>
      <c r="AL48" s="199"/>
      <c r="AM48" s="199"/>
      <c r="AN48" s="199"/>
      <c r="AO48" s="199"/>
      <c r="AP48" s="199"/>
      <c r="AQ48" s="199"/>
      <c r="AR48" s="199"/>
      <c r="AS48" s="199"/>
      <c r="AT48" s="199"/>
      <c r="AU48" s="199"/>
      <c r="AV48" s="199"/>
      <c r="AW48" s="155">
        <f t="shared" si="3"/>
        <v>21</v>
      </c>
    </row>
    <row r="49" spans="1:49" s="236" customFormat="1" ht="39.6">
      <c r="A49" s="40">
        <f t="shared" si="1"/>
        <v>43</v>
      </c>
      <c r="B49" s="199"/>
      <c r="C49" s="199"/>
      <c r="D49" s="199"/>
      <c r="E49" s="199"/>
      <c r="F49" s="199"/>
      <c r="G49" s="199"/>
      <c r="H49" s="199"/>
      <c r="I49" s="199"/>
      <c r="J49" s="215" t="s">
        <v>607</v>
      </c>
      <c r="K49" s="204" t="s">
        <v>117</v>
      </c>
      <c r="L49" s="204" t="s">
        <v>608</v>
      </c>
      <c r="M49" s="204" t="s">
        <v>3695</v>
      </c>
      <c r="N49" s="40" t="s">
        <v>504</v>
      </c>
      <c r="O49" s="199"/>
      <c r="P49" s="199"/>
      <c r="Q49" s="40"/>
      <c r="R49" s="40" t="s">
        <v>6</v>
      </c>
      <c r="S49" s="40" t="s">
        <v>6</v>
      </c>
      <c r="T49" s="126" t="s">
        <v>6</v>
      </c>
      <c r="U49" s="204"/>
      <c r="V49" s="204"/>
      <c r="W49" s="204" t="s">
        <v>125</v>
      </c>
      <c r="X49" s="199"/>
      <c r="Y49" s="199"/>
      <c r="Z49" s="40" t="s">
        <v>6</v>
      </c>
      <c r="AA49" s="40" t="s">
        <v>6</v>
      </c>
      <c r="AB49" s="218"/>
      <c r="AC49" s="199"/>
      <c r="AD49" s="218" t="s">
        <v>609</v>
      </c>
      <c r="AE49" s="204" t="s">
        <v>125</v>
      </c>
      <c r="AF49" s="199"/>
      <c r="AG49" s="199"/>
      <c r="AH49" s="126"/>
      <c r="AI49" s="40" t="s">
        <v>6</v>
      </c>
      <c r="AJ49" s="218"/>
      <c r="AK49" s="199"/>
      <c r="AL49" s="218" t="s">
        <v>609</v>
      </c>
      <c r="AM49" s="198" t="s">
        <v>610</v>
      </c>
      <c r="AN49" s="199"/>
      <c r="AO49" s="199"/>
      <c r="AP49" s="199"/>
      <c r="AQ49" s="199"/>
      <c r="AR49" s="199"/>
      <c r="AS49" s="199"/>
      <c r="AT49" s="199"/>
      <c r="AU49" s="199"/>
      <c r="AV49" s="199"/>
      <c r="AW49" s="155">
        <f>LEN(L49)</f>
        <v>27</v>
      </c>
    </row>
    <row r="50" spans="1:49" s="236" customFormat="1" ht="39.6">
      <c r="A50" s="40">
        <f t="shared" si="1"/>
        <v>44</v>
      </c>
      <c r="B50" s="199"/>
      <c r="C50" s="199"/>
      <c r="D50" s="199"/>
      <c r="E50" s="199"/>
      <c r="F50" s="199"/>
      <c r="G50" s="199"/>
      <c r="H50" s="199"/>
      <c r="I50" s="199"/>
      <c r="J50" s="215" t="s">
        <v>611</v>
      </c>
      <c r="K50" s="204" t="s">
        <v>117</v>
      </c>
      <c r="L50" s="204" t="s">
        <v>612</v>
      </c>
      <c r="M50" s="204" t="s">
        <v>3695</v>
      </c>
      <c r="N50" s="40" t="s">
        <v>504</v>
      </c>
      <c r="O50" s="199"/>
      <c r="P50" s="199"/>
      <c r="Q50" s="40"/>
      <c r="R50" s="40"/>
      <c r="S50" s="40" t="s">
        <v>6</v>
      </c>
      <c r="T50" s="126" t="s">
        <v>6</v>
      </c>
      <c r="U50" s="204" t="s">
        <v>519</v>
      </c>
      <c r="V50" s="204"/>
      <c r="W50" s="204" t="s">
        <v>125</v>
      </c>
      <c r="X50" s="199"/>
      <c r="Y50" s="199"/>
      <c r="Z50" s="40" t="s">
        <v>6</v>
      </c>
      <c r="AA50" s="40" t="s">
        <v>6</v>
      </c>
      <c r="AB50" s="218"/>
      <c r="AC50" s="199"/>
      <c r="AD50" s="218" t="s">
        <v>609</v>
      </c>
      <c r="AE50" s="204" t="s">
        <v>125</v>
      </c>
      <c r="AF50" s="199"/>
      <c r="AG50" s="199"/>
      <c r="AH50" s="126"/>
      <c r="AI50" s="40" t="s">
        <v>6</v>
      </c>
      <c r="AJ50" s="218"/>
      <c r="AK50" s="199"/>
      <c r="AL50" s="218" t="s">
        <v>609</v>
      </c>
      <c r="AM50" s="199"/>
      <c r="AN50" s="199"/>
      <c r="AO50" s="199"/>
      <c r="AP50" s="199"/>
      <c r="AQ50" s="199"/>
      <c r="AR50" s="199"/>
      <c r="AS50" s="199"/>
      <c r="AT50" s="199"/>
      <c r="AU50" s="199"/>
      <c r="AV50" s="199"/>
      <c r="AW50" s="155">
        <f>LEN(L50)</f>
        <v>34</v>
      </c>
    </row>
    <row r="51" spans="1:49" s="236" customFormat="1" ht="39.6">
      <c r="A51" s="40">
        <f t="shared" si="1"/>
        <v>45</v>
      </c>
      <c r="B51" s="199"/>
      <c r="C51" s="199"/>
      <c r="D51" s="199"/>
      <c r="E51" s="199"/>
      <c r="F51" s="199"/>
      <c r="G51" s="199"/>
      <c r="H51" s="199"/>
      <c r="I51" s="199"/>
      <c r="J51" s="215" t="s">
        <v>613</v>
      </c>
      <c r="K51" s="204" t="s">
        <v>117</v>
      </c>
      <c r="L51" s="204" t="s">
        <v>614</v>
      </c>
      <c r="M51" s="204" t="s">
        <v>3695</v>
      </c>
      <c r="N51" s="40" t="s">
        <v>504</v>
      </c>
      <c r="O51" s="199"/>
      <c r="P51" s="199"/>
      <c r="Q51" s="40"/>
      <c r="R51" s="40"/>
      <c r="S51" s="40" t="s">
        <v>6</v>
      </c>
      <c r="T51" s="126" t="s">
        <v>6</v>
      </c>
      <c r="U51" s="204" t="s">
        <v>519</v>
      </c>
      <c r="V51" s="204"/>
      <c r="W51" s="204" t="s">
        <v>125</v>
      </c>
      <c r="X51" s="199"/>
      <c r="Y51" s="199"/>
      <c r="Z51" s="40" t="s">
        <v>6</v>
      </c>
      <c r="AA51" s="40" t="s">
        <v>6</v>
      </c>
      <c r="AB51" s="218"/>
      <c r="AC51" s="199"/>
      <c r="AD51" s="218" t="s">
        <v>609</v>
      </c>
      <c r="AE51" s="204" t="s">
        <v>125</v>
      </c>
      <c r="AF51" s="199"/>
      <c r="AG51" s="199"/>
      <c r="AH51" s="126"/>
      <c r="AI51" s="40" t="s">
        <v>6</v>
      </c>
      <c r="AJ51" s="218"/>
      <c r="AK51" s="199"/>
      <c r="AL51" s="218" t="s">
        <v>609</v>
      </c>
      <c r="AM51" s="199"/>
      <c r="AN51" s="199"/>
      <c r="AO51" s="199"/>
      <c r="AP51" s="199"/>
      <c r="AQ51" s="199"/>
      <c r="AR51" s="199"/>
      <c r="AS51" s="199"/>
      <c r="AT51" s="199"/>
      <c r="AU51" s="199"/>
      <c r="AV51" s="199"/>
      <c r="AW51" s="155">
        <f t="shared" si="3"/>
        <v>34</v>
      </c>
    </row>
    <row r="52" spans="1:49" s="236" customFormat="1" ht="39.6">
      <c r="A52" s="40">
        <f t="shared" si="1"/>
        <v>46</v>
      </c>
      <c r="B52" s="199"/>
      <c r="C52" s="199"/>
      <c r="D52" s="199"/>
      <c r="E52" s="199"/>
      <c r="F52" s="199"/>
      <c r="G52" s="199"/>
      <c r="H52" s="199"/>
      <c r="I52" s="199"/>
      <c r="J52" s="215" t="s">
        <v>615</v>
      </c>
      <c r="K52" s="204" t="s">
        <v>117</v>
      </c>
      <c r="L52" s="204" t="s">
        <v>616</v>
      </c>
      <c r="M52" s="204" t="s">
        <v>3695</v>
      </c>
      <c r="N52" s="40" t="s">
        <v>504</v>
      </c>
      <c r="O52" s="199"/>
      <c r="P52" s="199"/>
      <c r="Q52" s="40"/>
      <c r="R52" s="40"/>
      <c r="S52" s="40" t="s">
        <v>6</v>
      </c>
      <c r="T52" s="126" t="s">
        <v>6</v>
      </c>
      <c r="U52" s="204" t="s">
        <v>617</v>
      </c>
      <c r="V52" s="204"/>
      <c r="W52" s="204" t="s">
        <v>125</v>
      </c>
      <c r="X52" s="199"/>
      <c r="Y52" s="199"/>
      <c r="Z52" s="40" t="s">
        <v>6</v>
      </c>
      <c r="AA52" s="40" t="s">
        <v>6</v>
      </c>
      <c r="AB52" s="218"/>
      <c r="AC52" s="199"/>
      <c r="AD52" s="218" t="s">
        <v>609</v>
      </c>
      <c r="AE52" s="204" t="s">
        <v>125</v>
      </c>
      <c r="AF52" s="199"/>
      <c r="AG52" s="199"/>
      <c r="AH52" s="126"/>
      <c r="AI52" s="40" t="s">
        <v>6</v>
      </c>
      <c r="AJ52" s="218"/>
      <c r="AK52" s="199"/>
      <c r="AL52" s="218" t="s">
        <v>609</v>
      </c>
      <c r="AM52" s="199"/>
      <c r="AN52" s="199"/>
      <c r="AO52" s="199"/>
      <c r="AP52" s="199"/>
      <c r="AQ52" s="199"/>
      <c r="AR52" s="199"/>
      <c r="AS52" s="199"/>
      <c r="AT52" s="199"/>
      <c r="AU52" s="199"/>
      <c r="AV52" s="199"/>
      <c r="AW52" s="155">
        <f t="shared" si="3"/>
        <v>34</v>
      </c>
    </row>
    <row r="53" spans="1:49" s="236" customFormat="1" ht="39.6">
      <c r="A53" s="40">
        <f t="shared" si="1"/>
        <v>47</v>
      </c>
      <c r="B53" s="199"/>
      <c r="C53" s="199"/>
      <c r="D53" s="199"/>
      <c r="E53" s="199"/>
      <c r="F53" s="199"/>
      <c r="G53" s="199"/>
      <c r="H53" s="199"/>
      <c r="I53" s="199"/>
      <c r="J53" s="215" t="s">
        <v>618</v>
      </c>
      <c r="K53" s="204" t="s">
        <v>117</v>
      </c>
      <c r="L53" s="204" t="s">
        <v>619</v>
      </c>
      <c r="M53" s="204" t="s">
        <v>3695</v>
      </c>
      <c r="N53" s="40" t="s">
        <v>504</v>
      </c>
      <c r="O53" s="199"/>
      <c r="P53" s="199"/>
      <c r="Q53" s="40"/>
      <c r="R53" s="40"/>
      <c r="S53" s="40" t="s">
        <v>6</v>
      </c>
      <c r="T53" s="126" t="s">
        <v>6</v>
      </c>
      <c r="U53" s="204" t="s">
        <v>617</v>
      </c>
      <c r="V53" s="204"/>
      <c r="W53" s="204" t="s">
        <v>125</v>
      </c>
      <c r="X53" s="199"/>
      <c r="Y53" s="199"/>
      <c r="Z53" s="40" t="s">
        <v>6</v>
      </c>
      <c r="AA53" s="40" t="s">
        <v>6</v>
      </c>
      <c r="AB53" s="218"/>
      <c r="AC53" s="199"/>
      <c r="AD53" s="218" t="s">
        <v>609</v>
      </c>
      <c r="AE53" s="204" t="s">
        <v>125</v>
      </c>
      <c r="AF53" s="199"/>
      <c r="AG53" s="199"/>
      <c r="AH53" s="126"/>
      <c r="AI53" s="40" t="s">
        <v>6</v>
      </c>
      <c r="AJ53" s="218"/>
      <c r="AK53" s="199"/>
      <c r="AL53" s="218" t="s">
        <v>609</v>
      </c>
      <c r="AM53" s="199"/>
      <c r="AN53" s="199"/>
      <c r="AO53" s="199"/>
      <c r="AP53" s="199"/>
      <c r="AQ53" s="199"/>
      <c r="AR53" s="199"/>
      <c r="AS53" s="199"/>
      <c r="AT53" s="199"/>
      <c r="AU53" s="199"/>
      <c r="AV53" s="199"/>
      <c r="AW53" s="155">
        <f t="shared" si="3"/>
        <v>34</v>
      </c>
    </row>
    <row r="54" spans="1:49" s="236" customFormat="1" ht="26.4">
      <c r="A54" s="40">
        <f t="shared" si="1"/>
        <v>48</v>
      </c>
      <c r="B54" s="199"/>
      <c r="C54" s="199"/>
      <c r="D54" s="199"/>
      <c r="E54" s="199"/>
      <c r="F54" s="199"/>
      <c r="G54" s="199"/>
      <c r="H54" s="199"/>
      <c r="I54" s="199"/>
      <c r="J54" s="215" t="s">
        <v>620</v>
      </c>
      <c r="K54" s="204" t="s">
        <v>125</v>
      </c>
      <c r="L54" s="204" t="s">
        <v>621</v>
      </c>
      <c r="M54" s="204" t="s">
        <v>3695</v>
      </c>
      <c r="N54" s="40" t="s">
        <v>504</v>
      </c>
      <c r="O54" s="199"/>
      <c r="P54" s="199"/>
      <c r="Q54" s="40"/>
      <c r="R54" s="40"/>
      <c r="S54" s="40" t="s">
        <v>6</v>
      </c>
      <c r="T54" s="126" t="s">
        <v>6</v>
      </c>
      <c r="U54" s="204" t="s">
        <v>519</v>
      </c>
      <c r="V54" s="204"/>
      <c r="W54" s="204" t="s">
        <v>125</v>
      </c>
      <c r="X54" s="199"/>
      <c r="Y54" s="199"/>
      <c r="Z54" s="40" t="s">
        <v>6</v>
      </c>
      <c r="AA54" s="40" t="s">
        <v>6</v>
      </c>
      <c r="AB54" s="218"/>
      <c r="AC54" s="199"/>
      <c r="AD54" s="218" t="s">
        <v>622</v>
      </c>
      <c r="AE54" s="204" t="s">
        <v>125</v>
      </c>
      <c r="AF54" s="199"/>
      <c r="AG54" s="199"/>
      <c r="AH54" s="126"/>
      <c r="AI54" s="40" t="s">
        <v>6</v>
      </c>
      <c r="AJ54" s="218"/>
      <c r="AK54" s="199"/>
      <c r="AL54" s="218" t="s">
        <v>622</v>
      </c>
      <c r="AM54" s="199"/>
      <c r="AN54" s="199"/>
      <c r="AO54" s="199"/>
      <c r="AP54" s="199"/>
      <c r="AQ54" s="199"/>
      <c r="AR54" s="199"/>
      <c r="AS54" s="199"/>
      <c r="AT54" s="199"/>
      <c r="AU54" s="199"/>
      <c r="AV54" s="199"/>
      <c r="AW54" s="155">
        <f>LEN(L54)</f>
        <v>31</v>
      </c>
    </row>
    <row r="55" spans="1:49" s="236" customFormat="1" ht="26.4">
      <c r="A55" s="40">
        <f t="shared" si="1"/>
        <v>49</v>
      </c>
      <c r="B55" s="199"/>
      <c r="C55" s="199"/>
      <c r="D55" s="199"/>
      <c r="E55" s="199"/>
      <c r="F55" s="199"/>
      <c r="G55" s="199"/>
      <c r="H55" s="199"/>
      <c r="I55" s="199"/>
      <c r="J55" s="215" t="s">
        <v>623</v>
      </c>
      <c r="K55" s="204" t="s">
        <v>125</v>
      </c>
      <c r="L55" s="204" t="s">
        <v>624</v>
      </c>
      <c r="M55" s="204" t="s">
        <v>3695</v>
      </c>
      <c r="N55" s="40" t="s">
        <v>504</v>
      </c>
      <c r="O55" s="199"/>
      <c r="P55" s="199"/>
      <c r="Q55" s="40"/>
      <c r="R55" s="40"/>
      <c r="S55" s="40" t="s">
        <v>6</v>
      </c>
      <c r="T55" s="126" t="s">
        <v>6</v>
      </c>
      <c r="U55" s="204" t="s">
        <v>519</v>
      </c>
      <c r="V55" s="204"/>
      <c r="W55" s="204" t="s">
        <v>125</v>
      </c>
      <c r="X55" s="199"/>
      <c r="Y55" s="199"/>
      <c r="Z55" s="40" t="s">
        <v>6</v>
      </c>
      <c r="AA55" s="40" t="s">
        <v>6</v>
      </c>
      <c r="AB55" s="218"/>
      <c r="AC55" s="199"/>
      <c r="AD55" s="218" t="s">
        <v>622</v>
      </c>
      <c r="AE55" s="204" t="s">
        <v>125</v>
      </c>
      <c r="AF55" s="199"/>
      <c r="AG55" s="199"/>
      <c r="AH55" s="126"/>
      <c r="AI55" s="40" t="s">
        <v>6</v>
      </c>
      <c r="AJ55" s="218"/>
      <c r="AK55" s="199"/>
      <c r="AL55" s="218" t="s">
        <v>622</v>
      </c>
      <c r="AM55" s="199"/>
      <c r="AN55" s="199"/>
      <c r="AO55" s="199"/>
      <c r="AP55" s="199"/>
      <c r="AQ55" s="199"/>
      <c r="AR55" s="199"/>
      <c r="AS55" s="199"/>
      <c r="AT55" s="199"/>
      <c r="AU55" s="199"/>
      <c r="AV55" s="199"/>
      <c r="AW55" s="155">
        <f t="shared" si="3"/>
        <v>31</v>
      </c>
    </row>
    <row r="56" spans="1:49" s="236" customFormat="1" ht="26.4">
      <c r="A56" s="40">
        <f t="shared" si="1"/>
        <v>50</v>
      </c>
      <c r="B56" s="199"/>
      <c r="C56" s="199"/>
      <c r="D56" s="199"/>
      <c r="E56" s="199"/>
      <c r="F56" s="199"/>
      <c r="G56" s="199"/>
      <c r="H56" s="199"/>
      <c r="I56" s="199"/>
      <c r="J56" s="215" t="s">
        <v>625</v>
      </c>
      <c r="K56" s="204" t="s">
        <v>125</v>
      </c>
      <c r="L56" s="204" t="s">
        <v>626</v>
      </c>
      <c r="M56" s="204" t="s">
        <v>3695</v>
      </c>
      <c r="N56" s="40" t="s">
        <v>504</v>
      </c>
      <c r="O56" s="199"/>
      <c r="P56" s="199"/>
      <c r="Q56" s="40"/>
      <c r="R56" s="40"/>
      <c r="S56" s="40" t="s">
        <v>6</v>
      </c>
      <c r="T56" s="126" t="s">
        <v>6</v>
      </c>
      <c r="U56" s="204" t="s">
        <v>617</v>
      </c>
      <c r="V56" s="204"/>
      <c r="W56" s="204" t="s">
        <v>125</v>
      </c>
      <c r="X56" s="199"/>
      <c r="Y56" s="199"/>
      <c r="Z56" s="40" t="s">
        <v>6</v>
      </c>
      <c r="AA56" s="40" t="s">
        <v>6</v>
      </c>
      <c r="AB56" s="218"/>
      <c r="AC56" s="199"/>
      <c r="AD56" s="218" t="s">
        <v>622</v>
      </c>
      <c r="AE56" s="204" t="s">
        <v>125</v>
      </c>
      <c r="AF56" s="199"/>
      <c r="AG56" s="199"/>
      <c r="AH56" s="126"/>
      <c r="AI56" s="40" t="s">
        <v>6</v>
      </c>
      <c r="AJ56" s="218"/>
      <c r="AK56" s="199"/>
      <c r="AL56" s="218" t="s">
        <v>622</v>
      </c>
      <c r="AM56" s="199"/>
      <c r="AN56" s="199"/>
      <c r="AO56" s="199"/>
      <c r="AP56" s="199"/>
      <c r="AQ56" s="199"/>
      <c r="AR56" s="199"/>
      <c r="AS56" s="199"/>
      <c r="AT56" s="199"/>
      <c r="AU56" s="199"/>
      <c r="AV56" s="199"/>
      <c r="AW56" s="155">
        <f t="shared" si="3"/>
        <v>31</v>
      </c>
    </row>
    <row r="57" spans="1:49" s="236" customFormat="1" ht="26.4">
      <c r="A57" s="40">
        <f t="shared" si="1"/>
        <v>51</v>
      </c>
      <c r="B57" s="199"/>
      <c r="C57" s="199"/>
      <c r="D57" s="199"/>
      <c r="E57" s="199"/>
      <c r="F57" s="199"/>
      <c r="G57" s="199"/>
      <c r="H57" s="199"/>
      <c r="I57" s="199"/>
      <c r="J57" s="215" t="s">
        <v>627</v>
      </c>
      <c r="K57" s="204" t="s">
        <v>125</v>
      </c>
      <c r="L57" s="204" t="s">
        <v>628</v>
      </c>
      <c r="M57" s="204" t="s">
        <v>3695</v>
      </c>
      <c r="N57" s="40" t="s">
        <v>504</v>
      </c>
      <c r="O57" s="199"/>
      <c r="P57" s="199"/>
      <c r="Q57" s="40"/>
      <c r="R57" s="40"/>
      <c r="S57" s="40" t="s">
        <v>6</v>
      </c>
      <c r="T57" s="126" t="s">
        <v>6</v>
      </c>
      <c r="U57" s="204" t="s">
        <v>617</v>
      </c>
      <c r="V57" s="204"/>
      <c r="W57" s="204" t="s">
        <v>125</v>
      </c>
      <c r="X57" s="199"/>
      <c r="Y57" s="199"/>
      <c r="Z57" s="40" t="s">
        <v>6</v>
      </c>
      <c r="AA57" s="40" t="s">
        <v>6</v>
      </c>
      <c r="AB57" s="218"/>
      <c r="AC57" s="199"/>
      <c r="AD57" s="218" t="s">
        <v>622</v>
      </c>
      <c r="AE57" s="204" t="s">
        <v>125</v>
      </c>
      <c r="AF57" s="199"/>
      <c r="AG57" s="199"/>
      <c r="AH57" s="126"/>
      <c r="AI57" s="40" t="s">
        <v>6</v>
      </c>
      <c r="AJ57" s="218"/>
      <c r="AK57" s="199"/>
      <c r="AL57" s="218" t="s">
        <v>622</v>
      </c>
      <c r="AM57" s="199"/>
      <c r="AN57" s="199"/>
      <c r="AO57" s="199"/>
      <c r="AP57" s="199"/>
      <c r="AQ57" s="199"/>
      <c r="AR57" s="199"/>
      <c r="AS57" s="199"/>
      <c r="AT57" s="199"/>
      <c r="AU57" s="199"/>
      <c r="AV57" s="199"/>
      <c r="AW57" s="155">
        <f t="shared" si="3"/>
        <v>31</v>
      </c>
    </row>
    <row r="58" spans="1:49" s="236" customFormat="1" ht="15">
      <c r="A58" s="40">
        <f t="shared" si="1"/>
        <v>52</v>
      </c>
      <c r="B58" s="199"/>
      <c r="C58" s="199"/>
      <c r="D58" s="199"/>
      <c r="E58" s="199"/>
      <c r="F58" s="199"/>
      <c r="G58" s="199"/>
      <c r="H58" s="199"/>
      <c r="I58" s="199"/>
      <c r="J58" s="215" t="s">
        <v>630</v>
      </c>
      <c r="K58" s="204" t="s">
        <v>132</v>
      </c>
      <c r="L58" s="204" t="s">
        <v>631</v>
      </c>
      <c r="M58" s="204" t="s">
        <v>3781</v>
      </c>
      <c r="N58" s="40" t="s">
        <v>504</v>
      </c>
      <c r="O58" s="199"/>
      <c r="P58" s="199"/>
      <c r="Q58" s="40" t="s">
        <v>6</v>
      </c>
      <c r="R58" s="40" t="s">
        <v>6</v>
      </c>
      <c r="S58" s="40"/>
      <c r="T58" s="126" t="s">
        <v>6</v>
      </c>
      <c r="U58" s="204"/>
      <c r="V58" s="204"/>
      <c r="W58" s="204" t="s">
        <v>133</v>
      </c>
      <c r="X58" s="199"/>
      <c r="Y58" s="199"/>
      <c r="Z58" s="40" t="s">
        <v>6</v>
      </c>
      <c r="AA58" s="40" t="s">
        <v>6</v>
      </c>
      <c r="AB58" s="242"/>
      <c r="AC58" s="199"/>
      <c r="AD58" s="199"/>
      <c r="AE58" s="204" t="s">
        <v>133</v>
      </c>
      <c r="AF58" s="199"/>
      <c r="AG58" s="199"/>
      <c r="AH58" s="40" t="s">
        <v>6</v>
      </c>
      <c r="AI58" s="40" t="s">
        <v>6</v>
      </c>
      <c r="AJ58" s="242"/>
      <c r="AK58" s="199"/>
      <c r="AL58" s="199"/>
      <c r="AM58" s="199" t="s">
        <v>632</v>
      </c>
      <c r="AN58" s="199"/>
      <c r="AO58" s="199"/>
      <c r="AP58" s="199"/>
      <c r="AQ58" s="199"/>
      <c r="AR58" s="199"/>
      <c r="AS58" s="199"/>
      <c r="AT58" s="199"/>
      <c r="AU58" s="199"/>
      <c r="AV58" s="199"/>
      <c r="AW58" s="155">
        <f t="shared" ref="AW58:AW65" si="4">LEN(L58)</f>
        <v>33</v>
      </c>
    </row>
    <row r="59" spans="1:49" s="236" customFormat="1" ht="15">
      <c r="A59" s="40">
        <f t="shared" si="1"/>
        <v>53</v>
      </c>
      <c r="B59" s="199"/>
      <c r="C59" s="199"/>
      <c r="D59" s="199"/>
      <c r="E59" s="199"/>
      <c r="F59" s="199"/>
      <c r="G59" s="199"/>
      <c r="H59" s="199"/>
      <c r="I59" s="199"/>
      <c r="J59" s="215" t="s">
        <v>633</v>
      </c>
      <c r="K59" s="204" t="s">
        <v>132</v>
      </c>
      <c r="L59" s="204" t="s">
        <v>634</v>
      </c>
      <c r="M59" s="204" t="s">
        <v>3781</v>
      </c>
      <c r="N59" s="40" t="s">
        <v>504</v>
      </c>
      <c r="O59" s="199"/>
      <c r="P59" s="199"/>
      <c r="Q59" s="40"/>
      <c r="R59" s="40"/>
      <c r="S59" s="40" t="s">
        <v>6</v>
      </c>
      <c r="T59" s="126" t="s">
        <v>6</v>
      </c>
      <c r="U59" s="204"/>
      <c r="V59" s="204"/>
      <c r="W59" s="204" t="s">
        <v>133</v>
      </c>
      <c r="X59" s="199"/>
      <c r="Y59" s="199"/>
      <c r="Z59" s="40" t="s">
        <v>6</v>
      </c>
      <c r="AA59" s="40" t="s">
        <v>6</v>
      </c>
      <c r="AB59" s="204"/>
      <c r="AC59" s="199"/>
      <c r="AD59" s="199"/>
      <c r="AE59" s="204" t="s">
        <v>133</v>
      </c>
      <c r="AF59" s="199"/>
      <c r="AG59" s="199"/>
      <c r="AH59" s="40" t="s">
        <v>6</v>
      </c>
      <c r="AI59" s="40" t="s">
        <v>6</v>
      </c>
      <c r="AJ59" s="204"/>
      <c r="AK59" s="199"/>
      <c r="AL59" s="199"/>
      <c r="AM59" s="199" t="s">
        <v>632</v>
      </c>
      <c r="AN59" s="202" t="s">
        <v>635</v>
      </c>
      <c r="AO59" s="199"/>
      <c r="AP59" s="199"/>
      <c r="AQ59" s="199"/>
      <c r="AR59" s="199"/>
      <c r="AS59" s="199"/>
      <c r="AT59" s="199"/>
      <c r="AU59" s="199"/>
      <c r="AV59" s="199"/>
      <c r="AW59" s="155">
        <f t="shared" si="4"/>
        <v>27</v>
      </c>
    </row>
    <row r="60" spans="1:49" s="236" customFormat="1" ht="15">
      <c r="A60" s="40">
        <f t="shared" si="1"/>
        <v>54</v>
      </c>
      <c r="B60" s="199"/>
      <c r="C60" s="199"/>
      <c r="D60" s="199"/>
      <c r="E60" s="199"/>
      <c r="F60" s="199"/>
      <c r="G60" s="199"/>
      <c r="H60" s="199"/>
      <c r="I60" s="199"/>
      <c r="J60" s="215" t="s">
        <v>636</v>
      </c>
      <c r="K60" s="204" t="s">
        <v>132</v>
      </c>
      <c r="L60" s="204" t="s">
        <v>637</v>
      </c>
      <c r="M60" s="204" t="s">
        <v>3781</v>
      </c>
      <c r="N60" s="40" t="s">
        <v>504</v>
      </c>
      <c r="O60" s="199"/>
      <c r="P60" s="199"/>
      <c r="Q60" s="40"/>
      <c r="R60" s="40"/>
      <c r="S60" s="40" t="s">
        <v>6</v>
      </c>
      <c r="T60" s="126" t="s">
        <v>6</v>
      </c>
      <c r="U60" s="204"/>
      <c r="V60" s="204"/>
      <c r="W60" s="204" t="s">
        <v>133</v>
      </c>
      <c r="X60" s="199"/>
      <c r="Y60" s="199"/>
      <c r="Z60" s="40" t="s">
        <v>6</v>
      </c>
      <c r="AA60" s="40" t="s">
        <v>6</v>
      </c>
      <c r="AB60" s="204"/>
      <c r="AC60" s="199"/>
      <c r="AD60" s="199"/>
      <c r="AE60" s="204" t="s">
        <v>133</v>
      </c>
      <c r="AF60" s="199"/>
      <c r="AG60" s="199"/>
      <c r="AH60" s="40" t="s">
        <v>6</v>
      </c>
      <c r="AI60" s="40" t="s">
        <v>6</v>
      </c>
      <c r="AJ60" s="204"/>
      <c r="AK60" s="199"/>
      <c r="AL60" s="199"/>
      <c r="AM60" s="199" t="s">
        <v>632</v>
      </c>
      <c r="AN60" s="202" t="s">
        <v>635</v>
      </c>
      <c r="AO60" s="199"/>
      <c r="AP60" s="199"/>
      <c r="AQ60" s="199"/>
      <c r="AR60" s="199"/>
      <c r="AS60" s="199"/>
      <c r="AT60" s="199"/>
      <c r="AU60" s="199"/>
      <c r="AV60" s="199"/>
      <c r="AW60" s="155">
        <f t="shared" si="4"/>
        <v>27</v>
      </c>
    </row>
    <row r="61" spans="1:49" s="236" customFormat="1" ht="15">
      <c r="A61" s="40">
        <f t="shared" si="1"/>
        <v>55</v>
      </c>
      <c r="B61" s="199"/>
      <c r="C61" s="199"/>
      <c r="D61" s="199"/>
      <c r="E61" s="199"/>
      <c r="F61" s="199"/>
      <c r="G61" s="199"/>
      <c r="H61" s="199"/>
      <c r="I61" s="199"/>
      <c r="J61" s="215" t="s">
        <v>638</v>
      </c>
      <c r="K61" s="204" t="s">
        <v>132</v>
      </c>
      <c r="L61" s="204" t="s">
        <v>639</v>
      </c>
      <c r="M61" s="204" t="s">
        <v>3788</v>
      </c>
      <c r="N61" s="40" t="s">
        <v>504</v>
      </c>
      <c r="O61" s="199"/>
      <c r="P61" s="199"/>
      <c r="Q61" s="40" t="s">
        <v>6</v>
      </c>
      <c r="R61" s="40" t="s">
        <v>6</v>
      </c>
      <c r="S61" s="40" t="s">
        <v>6</v>
      </c>
      <c r="T61" s="126" t="s">
        <v>6</v>
      </c>
      <c r="U61" s="204" t="s">
        <v>640</v>
      </c>
      <c r="V61" s="204"/>
      <c r="W61" s="204" t="s">
        <v>133</v>
      </c>
      <c r="X61" s="199"/>
      <c r="Y61" s="199"/>
      <c r="Z61" s="40" t="s">
        <v>6</v>
      </c>
      <c r="AA61" s="40" t="s">
        <v>6</v>
      </c>
      <c r="AB61" s="204"/>
      <c r="AC61" s="199"/>
      <c r="AD61" s="199"/>
      <c r="AE61" s="204" t="s">
        <v>133</v>
      </c>
      <c r="AF61" s="199"/>
      <c r="AG61" s="199"/>
      <c r="AH61" s="40" t="s">
        <v>6</v>
      </c>
      <c r="AI61" s="40" t="s">
        <v>6</v>
      </c>
      <c r="AJ61" s="204"/>
      <c r="AK61" s="199"/>
      <c r="AL61" s="199"/>
      <c r="AM61" s="198" t="s">
        <v>641</v>
      </c>
      <c r="AN61" s="199"/>
      <c r="AO61" s="199"/>
      <c r="AP61" s="199"/>
      <c r="AQ61" s="199"/>
      <c r="AR61" s="199"/>
      <c r="AS61" s="199"/>
      <c r="AT61" s="199"/>
      <c r="AU61" s="199"/>
      <c r="AV61" s="199"/>
      <c r="AW61" s="155">
        <f t="shared" si="4"/>
        <v>38</v>
      </c>
    </row>
    <row r="62" spans="1:49" s="236" customFormat="1" ht="15">
      <c r="A62" s="40">
        <f t="shared" si="1"/>
        <v>56</v>
      </c>
      <c r="B62" s="199"/>
      <c r="C62" s="199"/>
      <c r="D62" s="199"/>
      <c r="E62" s="199"/>
      <c r="F62" s="199"/>
      <c r="G62" s="199"/>
      <c r="H62" s="199"/>
      <c r="I62" s="199"/>
      <c r="J62" s="215" t="s">
        <v>642</v>
      </c>
      <c r="K62" s="204" t="s">
        <v>132</v>
      </c>
      <c r="L62" s="204" t="s">
        <v>643</v>
      </c>
      <c r="M62" s="204" t="s">
        <v>3788</v>
      </c>
      <c r="N62" s="40" t="s">
        <v>504</v>
      </c>
      <c r="O62" s="199"/>
      <c r="P62" s="199"/>
      <c r="Q62" s="40" t="s">
        <v>6</v>
      </c>
      <c r="R62" s="40" t="s">
        <v>6</v>
      </c>
      <c r="S62" s="40" t="s">
        <v>6</v>
      </c>
      <c r="T62" s="126" t="s">
        <v>6</v>
      </c>
      <c r="U62" s="204" t="s">
        <v>640</v>
      </c>
      <c r="V62" s="204"/>
      <c r="W62" s="204" t="s">
        <v>133</v>
      </c>
      <c r="X62" s="199"/>
      <c r="Y62" s="199"/>
      <c r="Z62" s="40" t="s">
        <v>6</v>
      </c>
      <c r="AA62" s="40" t="s">
        <v>6</v>
      </c>
      <c r="AB62" s="204"/>
      <c r="AC62" s="199"/>
      <c r="AD62" s="199"/>
      <c r="AE62" s="204" t="s">
        <v>133</v>
      </c>
      <c r="AF62" s="199"/>
      <c r="AG62" s="199"/>
      <c r="AH62" s="40" t="s">
        <v>6</v>
      </c>
      <c r="AI62" s="40" t="s">
        <v>6</v>
      </c>
      <c r="AJ62" s="204"/>
      <c r="AK62" s="199"/>
      <c r="AL62" s="199"/>
      <c r="AM62" s="198" t="s">
        <v>644</v>
      </c>
      <c r="AN62" s="199"/>
      <c r="AO62" s="199"/>
      <c r="AP62" s="199"/>
      <c r="AQ62" s="199"/>
      <c r="AR62" s="199"/>
      <c r="AS62" s="199"/>
      <c r="AT62" s="199"/>
      <c r="AU62" s="199"/>
      <c r="AV62" s="199"/>
      <c r="AW62" s="155">
        <f t="shared" si="4"/>
        <v>38</v>
      </c>
    </row>
    <row r="63" spans="1:49" s="236" customFormat="1" ht="15">
      <c r="A63" s="40">
        <f t="shared" si="1"/>
        <v>57</v>
      </c>
      <c r="B63" s="199"/>
      <c r="C63" s="199"/>
      <c r="D63" s="199"/>
      <c r="E63" s="199"/>
      <c r="F63" s="199"/>
      <c r="G63" s="199"/>
      <c r="H63" s="199"/>
      <c r="I63" s="199"/>
      <c r="J63" s="215" t="s">
        <v>645</v>
      </c>
      <c r="K63" s="204" t="s">
        <v>132</v>
      </c>
      <c r="L63" s="204" t="s">
        <v>646</v>
      </c>
      <c r="M63" s="204" t="s">
        <v>3797</v>
      </c>
      <c r="N63" s="40" t="s">
        <v>504</v>
      </c>
      <c r="O63" s="199"/>
      <c r="P63" s="199"/>
      <c r="Q63" s="40" t="s">
        <v>6</v>
      </c>
      <c r="R63" s="40" t="s">
        <v>6</v>
      </c>
      <c r="S63" s="40" t="s">
        <v>6</v>
      </c>
      <c r="T63" s="126" t="s">
        <v>6</v>
      </c>
      <c r="U63" s="204"/>
      <c r="V63" s="204"/>
      <c r="W63" s="204" t="s">
        <v>133</v>
      </c>
      <c r="X63" s="199"/>
      <c r="Y63" s="199"/>
      <c r="Z63" s="40" t="s">
        <v>6</v>
      </c>
      <c r="AA63" s="40" t="s">
        <v>6</v>
      </c>
      <c r="AB63" s="204"/>
      <c r="AC63" s="199"/>
      <c r="AD63" s="199" t="s">
        <v>545</v>
      </c>
      <c r="AE63" s="204" t="s">
        <v>133</v>
      </c>
      <c r="AF63" s="199"/>
      <c r="AG63" s="199"/>
      <c r="AH63" s="40" t="s">
        <v>6</v>
      </c>
      <c r="AI63" s="40" t="s">
        <v>6</v>
      </c>
      <c r="AJ63" s="204"/>
      <c r="AK63" s="199"/>
      <c r="AL63" s="199" t="s">
        <v>545</v>
      </c>
      <c r="AM63" s="198" t="s">
        <v>641</v>
      </c>
      <c r="AN63" s="199"/>
      <c r="AO63" s="199"/>
      <c r="AP63" s="199"/>
      <c r="AQ63" s="199"/>
      <c r="AR63" s="199"/>
      <c r="AS63" s="199"/>
      <c r="AT63" s="199"/>
      <c r="AU63" s="199"/>
      <c r="AV63" s="199"/>
      <c r="AW63" s="155">
        <f t="shared" si="4"/>
        <v>41</v>
      </c>
    </row>
    <row r="64" spans="1:49" s="236" customFormat="1" ht="15">
      <c r="A64" s="40">
        <f t="shared" si="1"/>
        <v>58</v>
      </c>
      <c r="B64" s="199"/>
      <c r="C64" s="199"/>
      <c r="D64" s="199"/>
      <c r="E64" s="199"/>
      <c r="F64" s="199"/>
      <c r="G64" s="199"/>
      <c r="H64" s="199"/>
      <c r="I64" s="199"/>
      <c r="J64" s="215" t="s">
        <v>647</v>
      </c>
      <c r="K64" s="204" t="s">
        <v>132</v>
      </c>
      <c r="L64" s="204" t="s">
        <v>648</v>
      </c>
      <c r="M64" s="204" t="s">
        <v>3797</v>
      </c>
      <c r="N64" s="40" t="s">
        <v>504</v>
      </c>
      <c r="O64" s="199"/>
      <c r="P64" s="199"/>
      <c r="Q64" s="40" t="s">
        <v>6</v>
      </c>
      <c r="R64" s="40" t="s">
        <v>6</v>
      </c>
      <c r="S64" s="40" t="s">
        <v>6</v>
      </c>
      <c r="T64" s="126" t="s">
        <v>6</v>
      </c>
      <c r="U64" s="204"/>
      <c r="V64" s="204"/>
      <c r="W64" s="204" t="s">
        <v>133</v>
      </c>
      <c r="X64" s="199"/>
      <c r="Y64" s="199"/>
      <c r="Z64" s="40" t="s">
        <v>6</v>
      </c>
      <c r="AA64" s="40" t="s">
        <v>6</v>
      </c>
      <c r="AB64" s="204"/>
      <c r="AC64" s="199"/>
      <c r="AD64" s="199" t="s">
        <v>545</v>
      </c>
      <c r="AE64" s="204" t="s">
        <v>133</v>
      </c>
      <c r="AF64" s="199"/>
      <c r="AG64" s="199"/>
      <c r="AH64" s="40" t="s">
        <v>6</v>
      </c>
      <c r="AI64" s="40" t="s">
        <v>6</v>
      </c>
      <c r="AJ64" s="204"/>
      <c r="AK64" s="199"/>
      <c r="AL64" s="199" t="s">
        <v>545</v>
      </c>
      <c r="AM64" s="198" t="s">
        <v>644</v>
      </c>
      <c r="AN64" s="199"/>
      <c r="AO64" s="199"/>
      <c r="AP64" s="199"/>
      <c r="AQ64" s="199"/>
      <c r="AR64" s="199"/>
      <c r="AS64" s="199"/>
      <c r="AT64" s="199"/>
      <c r="AU64" s="199"/>
      <c r="AV64" s="199"/>
      <c r="AW64" s="155">
        <f t="shared" si="4"/>
        <v>41</v>
      </c>
    </row>
    <row r="65" spans="1:49" s="236" customFormat="1" ht="26.4">
      <c r="A65" s="40">
        <f t="shared" si="1"/>
        <v>59</v>
      </c>
      <c r="B65" s="199"/>
      <c r="C65" s="199"/>
      <c r="D65" s="199"/>
      <c r="E65" s="199"/>
      <c r="F65" s="199"/>
      <c r="G65" s="199"/>
      <c r="H65" s="199"/>
      <c r="I65" s="199"/>
      <c r="J65" s="215" t="s">
        <v>650</v>
      </c>
      <c r="K65" s="204" t="s">
        <v>132</v>
      </c>
      <c r="L65" s="204" t="s">
        <v>651</v>
      </c>
      <c r="M65" s="204" t="s">
        <v>4033</v>
      </c>
      <c r="N65" s="40" t="s">
        <v>504</v>
      </c>
      <c r="O65" s="199"/>
      <c r="P65" s="199"/>
      <c r="Q65" s="40"/>
      <c r="R65" s="40" t="s">
        <v>6</v>
      </c>
      <c r="S65" s="40" t="s">
        <v>6</v>
      </c>
      <c r="T65" s="126" t="s">
        <v>6</v>
      </c>
      <c r="U65" s="204" t="s">
        <v>652</v>
      </c>
      <c r="V65" s="204"/>
      <c r="W65" s="204" t="s">
        <v>125</v>
      </c>
      <c r="X65" s="199"/>
      <c r="Y65" s="199"/>
      <c r="Z65" s="40" t="s">
        <v>6</v>
      </c>
      <c r="AA65" s="40" t="s">
        <v>6</v>
      </c>
      <c r="AB65" s="218"/>
      <c r="AC65" s="199"/>
      <c r="AD65" s="218" t="s">
        <v>653</v>
      </c>
      <c r="AE65" s="204" t="s">
        <v>125</v>
      </c>
      <c r="AF65" s="199"/>
      <c r="AG65" s="199"/>
      <c r="AH65" s="126"/>
      <c r="AI65" s="40" t="s">
        <v>6</v>
      </c>
      <c r="AJ65" s="218"/>
      <c r="AK65" s="199"/>
      <c r="AL65" s="218" t="s">
        <v>653</v>
      </c>
      <c r="AM65" s="198" t="s">
        <v>516</v>
      </c>
      <c r="AN65" s="199"/>
      <c r="AO65" s="199"/>
      <c r="AP65" s="199"/>
      <c r="AQ65" s="199"/>
      <c r="AR65" s="199"/>
      <c r="AS65" s="199"/>
      <c r="AT65" s="199"/>
      <c r="AU65" s="199"/>
      <c r="AV65" s="199"/>
      <c r="AW65" s="155">
        <f t="shared" si="4"/>
        <v>31</v>
      </c>
    </row>
    <row r="66" spans="1:49" s="236" customFormat="1" ht="26.4">
      <c r="A66" s="40">
        <f t="shared" si="1"/>
        <v>60</v>
      </c>
      <c r="B66" s="199"/>
      <c r="C66" s="199"/>
      <c r="D66" s="199"/>
      <c r="E66" s="199"/>
      <c r="F66" s="199"/>
      <c r="G66" s="199"/>
      <c r="H66" s="199"/>
      <c r="I66" s="199"/>
      <c r="J66" s="215" t="s">
        <v>654</v>
      </c>
      <c r="K66" s="204" t="s">
        <v>132</v>
      </c>
      <c r="L66" s="204" t="s">
        <v>655</v>
      </c>
      <c r="M66" s="204" t="s">
        <v>4033</v>
      </c>
      <c r="N66" s="40" t="s">
        <v>504</v>
      </c>
      <c r="O66" s="199"/>
      <c r="P66" s="199"/>
      <c r="Q66" s="40"/>
      <c r="R66" s="40" t="s">
        <v>6</v>
      </c>
      <c r="S66" s="40" t="s">
        <v>6</v>
      </c>
      <c r="T66" s="126" t="s">
        <v>6</v>
      </c>
      <c r="U66" s="204" t="s">
        <v>652</v>
      </c>
      <c r="V66" s="204"/>
      <c r="W66" s="204" t="s">
        <v>125</v>
      </c>
      <c r="X66" s="199"/>
      <c r="Y66" s="199"/>
      <c r="Z66" s="40" t="s">
        <v>6</v>
      </c>
      <c r="AA66" s="40" t="s">
        <v>6</v>
      </c>
      <c r="AB66" s="218"/>
      <c r="AC66" s="199"/>
      <c r="AD66" s="218" t="s">
        <v>653</v>
      </c>
      <c r="AE66" s="204" t="s">
        <v>125</v>
      </c>
      <c r="AF66" s="199"/>
      <c r="AG66" s="199"/>
      <c r="AH66" s="126"/>
      <c r="AI66" s="40" t="s">
        <v>6</v>
      </c>
      <c r="AJ66" s="218"/>
      <c r="AK66" s="199"/>
      <c r="AL66" s="218" t="s">
        <v>653</v>
      </c>
      <c r="AM66" s="198" t="s">
        <v>516</v>
      </c>
      <c r="AN66" s="199"/>
      <c r="AO66" s="199"/>
      <c r="AP66" s="199"/>
      <c r="AQ66" s="199"/>
      <c r="AR66" s="199"/>
      <c r="AS66" s="199"/>
      <c r="AT66" s="199"/>
      <c r="AU66" s="199"/>
      <c r="AV66" s="199"/>
      <c r="AW66" s="155">
        <f t="shared" si="3"/>
        <v>31</v>
      </c>
    </row>
    <row r="67" spans="1:49" s="236" customFormat="1" ht="26.4">
      <c r="A67" s="40">
        <f t="shared" si="1"/>
        <v>61</v>
      </c>
      <c r="B67" s="199"/>
      <c r="C67" s="199"/>
      <c r="D67" s="199"/>
      <c r="E67" s="199"/>
      <c r="F67" s="199"/>
      <c r="G67" s="199"/>
      <c r="H67" s="199"/>
      <c r="I67" s="199"/>
      <c r="J67" s="215" t="s">
        <v>656</v>
      </c>
      <c r="K67" s="204" t="s">
        <v>132</v>
      </c>
      <c r="L67" s="204" t="s">
        <v>657</v>
      </c>
      <c r="M67" s="204" t="s">
        <v>4033</v>
      </c>
      <c r="N67" s="40" t="s">
        <v>504</v>
      </c>
      <c r="O67" s="199"/>
      <c r="P67" s="199"/>
      <c r="Q67" s="40"/>
      <c r="R67" s="40" t="s">
        <v>6</v>
      </c>
      <c r="S67" s="40" t="s">
        <v>6</v>
      </c>
      <c r="T67" s="126" t="s">
        <v>6</v>
      </c>
      <c r="U67" s="204" t="s">
        <v>652</v>
      </c>
      <c r="V67" s="204"/>
      <c r="W67" s="204" t="s">
        <v>125</v>
      </c>
      <c r="X67" s="199"/>
      <c r="Y67" s="199"/>
      <c r="Z67" s="40" t="s">
        <v>6</v>
      </c>
      <c r="AA67" s="40" t="s">
        <v>6</v>
      </c>
      <c r="AB67" s="218"/>
      <c r="AC67" s="199"/>
      <c r="AD67" s="218" t="s">
        <v>653</v>
      </c>
      <c r="AE67" s="204" t="s">
        <v>125</v>
      </c>
      <c r="AF67" s="199"/>
      <c r="AG67" s="199"/>
      <c r="AH67" s="126"/>
      <c r="AI67" s="40" t="s">
        <v>6</v>
      </c>
      <c r="AJ67" s="218"/>
      <c r="AK67" s="199"/>
      <c r="AL67" s="218" t="s">
        <v>653</v>
      </c>
      <c r="AM67" s="198" t="s">
        <v>516</v>
      </c>
      <c r="AN67" s="199"/>
      <c r="AO67" s="199"/>
      <c r="AP67" s="199"/>
      <c r="AQ67" s="199"/>
      <c r="AR67" s="199"/>
      <c r="AS67" s="199"/>
      <c r="AT67" s="199"/>
      <c r="AU67" s="199"/>
      <c r="AV67" s="199"/>
      <c r="AW67" s="155">
        <f t="shared" ref="AW67:AW75" si="5">LEN(L67)</f>
        <v>31</v>
      </c>
    </row>
    <row r="68" spans="1:49" s="236" customFormat="1" ht="26.4">
      <c r="A68" s="40">
        <f t="shared" si="1"/>
        <v>62</v>
      </c>
      <c r="B68" s="199"/>
      <c r="C68" s="199"/>
      <c r="D68" s="199"/>
      <c r="E68" s="199"/>
      <c r="F68" s="199"/>
      <c r="G68" s="199"/>
      <c r="H68" s="199"/>
      <c r="I68" s="199"/>
      <c r="J68" s="215" t="s">
        <v>658</v>
      </c>
      <c r="K68" s="204" t="s">
        <v>132</v>
      </c>
      <c r="L68" s="204" t="s">
        <v>659</v>
      </c>
      <c r="M68" s="204" t="s">
        <v>4034</v>
      </c>
      <c r="N68" s="40" t="s">
        <v>504</v>
      </c>
      <c r="O68" s="199"/>
      <c r="P68" s="199"/>
      <c r="Q68" s="40" t="s">
        <v>6</v>
      </c>
      <c r="R68" s="40" t="s">
        <v>6</v>
      </c>
      <c r="S68" s="40" t="s">
        <v>6</v>
      </c>
      <c r="T68" s="126" t="s">
        <v>6</v>
      </c>
      <c r="U68" s="204" t="s">
        <v>652</v>
      </c>
      <c r="V68" s="204"/>
      <c r="W68" s="204" t="s">
        <v>133</v>
      </c>
      <c r="X68" s="199"/>
      <c r="Y68" s="199"/>
      <c r="Z68" s="40" t="s">
        <v>6</v>
      </c>
      <c r="AA68" s="40" t="s">
        <v>6</v>
      </c>
      <c r="AB68" s="218"/>
      <c r="AC68" s="199"/>
      <c r="AD68" s="218" t="s">
        <v>653</v>
      </c>
      <c r="AE68" s="204" t="s">
        <v>133</v>
      </c>
      <c r="AF68" s="199"/>
      <c r="AG68" s="199"/>
      <c r="AH68" s="40" t="s">
        <v>6</v>
      </c>
      <c r="AI68" s="40" t="s">
        <v>6</v>
      </c>
      <c r="AJ68" s="218"/>
      <c r="AK68" s="199"/>
      <c r="AL68" s="218" t="s">
        <v>653</v>
      </c>
      <c r="AM68" s="198" t="s">
        <v>555</v>
      </c>
      <c r="AN68" s="199"/>
      <c r="AO68" s="199"/>
      <c r="AP68" s="199"/>
      <c r="AQ68" s="199"/>
      <c r="AR68" s="199"/>
      <c r="AS68" s="199"/>
      <c r="AT68" s="199"/>
      <c r="AU68" s="199"/>
      <c r="AV68" s="199"/>
      <c r="AW68" s="155">
        <f t="shared" si="5"/>
        <v>31</v>
      </c>
    </row>
    <row r="69" spans="1:49" s="236" customFormat="1" ht="15">
      <c r="A69" s="40">
        <f t="shared" si="1"/>
        <v>63</v>
      </c>
      <c r="B69" s="199"/>
      <c r="C69" s="199"/>
      <c r="D69" s="199"/>
      <c r="E69" s="199"/>
      <c r="F69" s="199"/>
      <c r="G69" s="199"/>
      <c r="H69" s="199"/>
      <c r="I69" s="199"/>
      <c r="J69" s="215" t="s">
        <v>660</v>
      </c>
      <c r="K69" s="204" t="s">
        <v>132</v>
      </c>
      <c r="L69" s="204" t="s">
        <v>661</v>
      </c>
      <c r="M69" s="204" t="s">
        <v>4035</v>
      </c>
      <c r="N69" s="40" t="s">
        <v>504</v>
      </c>
      <c r="O69" s="199"/>
      <c r="P69" s="199"/>
      <c r="Q69" s="40" t="s">
        <v>6</v>
      </c>
      <c r="R69" s="40"/>
      <c r="S69" s="40" t="s">
        <v>6</v>
      </c>
      <c r="T69" s="126" t="s">
        <v>6</v>
      </c>
      <c r="U69" s="218" t="s">
        <v>662</v>
      </c>
      <c r="V69" s="204"/>
      <c r="W69" s="204" t="s">
        <v>133</v>
      </c>
      <c r="X69" s="199"/>
      <c r="Y69" s="199"/>
      <c r="Z69" s="40" t="s">
        <v>6</v>
      </c>
      <c r="AA69" s="40" t="s">
        <v>6</v>
      </c>
      <c r="AB69" s="215"/>
      <c r="AC69" s="199"/>
      <c r="AD69" s="199"/>
      <c r="AE69" s="204" t="s">
        <v>133</v>
      </c>
      <c r="AF69" s="199"/>
      <c r="AG69" s="199"/>
      <c r="AH69" s="40" t="s">
        <v>6</v>
      </c>
      <c r="AI69" s="40" t="s">
        <v>6</v>
      </c>
      <c r="AJ69" s="215" t="str">
        <f>"AGRUPAMENTO DOS ÍTENS "&amp;A65&amp;" A "&amp;A67</f>
        <v>AGRUPAMENTO DOS ÍTENS 59 A 61</v>
      </c>
      <c r="AK69" s="199"/>
      <c r="AL69" s="199"/>
      <c r="AM69" s="198" t="s">
        <v>516</v>
      </c>
      <c r="AN69" s="199"/>
      <c r="AO69" s="199"/>
      <c r="AP69" s="199"/>
      <c r="AQ69" s="199"/>
      <c r="AR69" s="199"/>
      <c r="AS69" s="199"/>
      <c r="AT69" s="199"/>
      <c r="AU69" s="199"/>
      <c r="AV69" s="199"/>
      <c r="AW69" s="155">
        <f t="shared" si="5"/>
        <v>30</v>
      </c>
    </row>
    <row r="70" spans="1:49" s="236" customFormat="1" ht="15">
      <c r="A70" s="40">
        <f t="shared" si="1"/>
        <v>64</v>
      </c>
      <c r="B70" s="199"/>
      <c r="C70" s="199"/>
      <c r="D70" s="199"/>
      <c r="E70" s="199"/>
      <c r="F70" s="199"/>
      <c r="G70" s="199"/>
      <c r="H70" s="199"/>
      <c r="I70" s="199"/>
      <c r="J70" s="215" t="s">
        <v>663</v>
      </c>
      <c r="K70" s="204" t="s">
        <v>132</v>
      </c>
      <c r="L70" s="204" t="s">
        <v>664</v>
      </c>
      <c r="M70" s="204" t="s">
        <v>4036</v>
      </c>
      <c r="N70" s="40" t="s">
        <v>504</v>
      </c>
      <c r="O70" s="199"/>
      <c r="P70" s="199"/>
      <c r="Q70" s="40" t="s">
        <v>6</v>
      </c>
      <c r="R70" s="40" t="s">
        <v>6</v>
      </c>
      <c r="S70" s="40" t="s">
        <v>6</v>
      </c>
      <c r="T70" s="126" t="s">
        <v>6</v>
      </c>
      <c r="U70" s="204"/>
      <c r="V70" s="204"/>
      <c r="W70" s="204" t="s">
        <v>133</v>
      </c>
      <c r="X70" s="199"/>
      <c r="Y70" s="199"/>
      <c r="Z70" s="40" t="s">
        <v>6</v>
      </c>
      <c r="AA70" s="40" t="s">
        <v>6</v>
      </c>
      <c r="AB70" s="204"/>
      <c r="AC70" s="199"/>
      <c r="AD70" s="199"/>
      <c r="AE70" s="204" t="s">
        <v>133</v>
      </c>
      <c r="AF70" s="199"/>
      <c r="AG70" s="199"/>
      <c r="AH70" s="40" t="s">
        <v>6</v>
      </c>
      <c r="AI70" s="40" t="s">
        <v>6</v>
      </c>
      <c r="AJ70" s="204"/>
      <c r="AK70" s="199"/>
      <c r="AL70" s="199"/>
      <c r="AM70" s="198" t="s">
        <v>516</v>
      </c>
      <c r="AN70" s="199"/>
      <c r="AO70" s="199"/>
      <c r="AP70" s="199"/>
      <c r="AQ70" s="199"/>
      <c r="AR70" s="199"/>
      <c r="AS70" s="199"/>
      <c r="AT70" s="199"/>
      <c r="AU70" s="199"/>
      <c r="AV70" s="199"/>
      <c r="AW70" s="155">
        <f t="shared" si="5"/>
        <v>29</v>
      </c>
    </row>
    <row r="71" spans="1:49" s="236" customFormat="1" ht="39.6">
      <c r="A71" s="40">
        <f t="shared" si="1"/>
        <v>65</v>
      </c>
      <c r="B71" s="199"/>
      <c r="C71" s="199"/>
      <c r="D71" s="199"/>
      <c r="E71" s="199"/>
      <c r="F71" s="199"/>
      <c r="G71" s="199"/>
      <c r="H71" s="199"/>
      <c r="I71" s="199"/>
      <c r="J71" s="215" t="s">
        <v>665</v>
      </c>
      <c r="K71" s="204" t="s">
        <v>132</v>
      </c>
      <c r="L71" s="204" t="s">
        <v>666</v>
      </c>
      <c r="M71" s="204" t="s">
        <v>4037</v>
      </c>
      <c r="N71" s="40" t="s">
        <v>504</v>
      </c>
      <c r="O71" s="199"/>
      <c r="P71" s="199"/>
      <c r="Q71" s="40"/>
      <c r="R71" s="40" t="s">
        <v>6</v>
      </c>
      <c r="S71" s="40" t="s">
        <v>6</v>
      </c>
      <c r="T71" s="126" t="s">
        <v>6</v>
      </c>
      <c r="U71" s="204" t="s">
        <v>667</v>
      </c>
      <c r="V71" s="204"/>
      <c r="W71" s="204" t="s">
        <v>125</v>
      </c>
      <c r="X71" s="199"/>
      <c r="Y71" s="199"/>
      <c r="Z71" s="40" t="s">
        <v>6</v>
      </c>
      <c r="AA71" s="40" t="s">
        <v>6</v>
      </c>
      <c r="AB71" s="218"/>
      <c r="AC71" s="199"/>
      <c r="AD71" s="218" t="s">
        <v>668</v>
      </c>
      <c r="AE71" s="204" t="s">
        <v>125</v>
      </c>
      <c r="AF71" s="199"/>
      <c r="AG71" s="199"/>
      <c r="AH71" s="126"/>
      <c r="AI71" s="40" t="s">
        <v>6</v>
      </c>
      <c r="AJ71" s="218"/>
      <c r="AK71" s="199"/>
      <c r="AL71" s="218" t="s">
        <v>668</v>
      </c>
      <c r="AM71" s="198" t="s">
        <v>516</v>
      </c>
      <c r="AN71" s="199"/>
      <c r="AO71" s="199"/>
      <c r="AP71" s="199"/>
      <c r="AQ71" s="199"/>
      <c r="AR71" s="199"/>
      <c r="AS71" s="199"/>
      <c r="AT71" s="199"/>
      <c r="AU71" s="199"/>
      <c r="AV71" s="199"/>
      <c r="AW71" s="155">
        <f t="shared" si="5"/>
        <v>32</v>
      </c>
    </row>
    <row r="72" spans="1:49" s="236" customFormat="1" ht="39.6">
      <c r="A72" s="40">
        <f t="shared" ref="A72:A135" si="6">ROW() - 6</f>
        <v>66</v>
      </c>
      <c r="B72" s="199"/>
      <c r="C72" s="199"/>
      <c r="D72" s="199"/>
      <c r="E72" s="199"/>
      <c r="F72" s="199"/>
      <c r="G72" s="199"/>
      <c r="H72" s="199"/>
      <c r="I72" s="199"/>
      <c r="J72" s="215" t="s">
        <v>669</v>
      </c>
      <c r="K72" s="204" t="s">
        <v>132</v>
      </c>
      <c r="L72" s="204" t="s">
        <v>670</v>
      </c>
      <c r="M72" s="204" t="s">
        <v>4037</v>
      </c>
      <c r="N72" s="40" t="s">
        <v>504</v>
      </c>
      <c r="O72" s="199"/>
      <c r="P72" s="199"/>
      <c r="Q72" s="40"/>
      <c r="R72" s="40" t="s">
        <v>6</v>
      </c>
      <c r="S72" s="40" t="s">
        <v>6</v>
      </c>
      <c r="T72" s="126" t="s">
        <v>6</v>
      </c>
      <c r="U72" s="204" t="s">
        <v>667</v>
      </c>
      <c r="V72" s="204"/>
      <c r="W72" s="204" t="s">
        <v>125</v>
      </c>
      <c r="X72" s="199"/>
      <c r="Y72" s="199"/>
      <c r="Z72" s="40" t="s">
        <v>6</v>
      </c>
      <c r="AA72" s="40" t="s">
        <v>6</v>
      </c>
      <c r="AB72" s="218"/>
      <c r="AC72" s="199"/>
      <c r="AD72" s="218" t="s">
        <v>668</v>
      </c>
      <c r="AE72" s="204" t="s">
        <v>125</v>
      </c>
      <c r="AF72" s="199"/>
      <c r="AG72" s="199"/>
      <c r="AH72" s="126"/>
      <c r="AI72" s="40" t="s">
        <v>6</v>
      </c>
      <c r="AJ72" s="218"/>
      <c r="AK72" s="199"/>
      <c r="AL72" s="218" t="s">
        <v>668</v>
      </c>
      <c r="AM72" s="198" t="s">
        <v>516</v>
      </c>
      <c r="AN72" s="199"/>
      <c r="AO72" s="199"/>
      <c r="AP72" s="199"/>
      <c r="AQ72" s="199"/>
      <c r="AR72" s="199"/>
      <c r="AS72" s="199"/>
      <c r="AT72" s="199"/>
      <c r="AU72" s="199"/>
      <c r="AV72" s="199"/>
      <c r="AW72" s="155">
        <f t="shared" si="5"/>
        <v>32</v>
      </c>
    </row>
    <row r="73" spans="1:49" s="236" customFormat="1" ht="39.6">
      <c r="A73" s="40">
        <f t="shared" si="6"/>
        <v>67</v>
      </c>
      <c r="B73" s="199"/>
      <c r="C73" s="199"/>
      <c r="D73" s="199"/>
      <c r="E73" s="199"/>
      <c r="F73" s="199"/>
      <c r="G73" s="199"/>
      <c r="H73" s="199"/>
      <c r="I73" s="199"/>
      <c r="J73" s="215" t="s">
        <v>671</v>
      </c>
      <c r="K73" s="204" t="s">
        <v>132</v>
      </c>
      <c r="L73" s="204" t="s">
        <v>672</v>
      </c>
      <c r="M73" s="204" t="s">
        <v>4037</v>
      </c>
      <c r="N73" s="40" t="s">
        <v>504</v>
      </c>
      <c r="O73" s="199"/>
      <c r="P73" s="199"/>
      <c r="Q73" s="40"/>
      <c r="R73" s="40" t="s">
        <v>6</v>
      </c>
      <c r="S73" s="40" t="s">
        <v>6</v>
      </c>
      <c r="T73" s="126" t="s">
        <v>6</v>
      </c>
      <c r="U73" s="204" t="s">
        <v>667</v>
      </c>
      <c r="V73" s="204"/>
      <c r="W73" s="204" t="s">
        <v>125</v>
      </c>
      <c r="X73" s="199"/>
      <c r="Y73" s="199"/>
      <c r="Z73" s="40" t="s">
        <v>6</v>
      </c>
      <c r="AA73" s="40" t="s">
        <v>6</v>
      </c>
      <c r="AB73" s="218"/>
      <c r="AC73" s="199"/>
      <c r="AD73" s="218" t="s">
        <v>668</v>
      </c>
      <c r="AE73" s="204" t="s">
        <v>125</v>
      </c>
      <c r="AF73" s="199"/>
      <c r="AG73" s="199"/>
      <c r="AH73" s="126"/>
      <c r="AI73" s="40" t="s">
        <v>6</v>
      </c>
      <c r="AJ73" s="218"/>
      <c r="AK73" s="199"/>
      <c r="AL73" s="218" t="s">
        <v>668</v>
      </c>
      <c r="AM73" s="198" t="s">
        <v>516</v>
      </c>
      <c r="AN73" s="199"/>
      <c r="AO73" s="199"/>
      <c r="AP73" s="199"/>
      <c r="AQ73" s="199"/>
      <c r="AR73" s="199"/>
      <c r="AS73" s="199"/>
      <c r="AT73" s="199"/>
      <c r="AU73" s="199"/>
      <c r="AV73" s="199"/>
      <c r="AW73" s="155">
        <f t="shared" si="5"/>
        <v>32</v>
      </c>
    </row>
    <row r="74" spans="1:49" s="236" customFormat="1" ht="26.4">
      <c r="A74" s="40">
        <f t="shared" si="6"/>
        <v>68</v>
      </c>
      <c r="B74" s="199"/>
      <c r="C74" s="199"/>
      <c r="D74" s="199"/>
      <c r="E74" s="199"/>
      <c r="F74" s="199"/>
      <c r="G74" s="199"/>
      <c r="H74" s="199"/>
      <c r="I74" s="199"/>
      <c r="J74" s="215" t="s">
        <v>673</v>
      </c>
      <c r="K74" s="204" t="s">
        <v>132</v>
      </c>
      <c r="L74" s="204" t="s">
        <v>674</v>
      </c>
      <c r="M74" s="204" t="s">
        <v>4037</v>
      </c>
      <c r="N74" s="40" t="s">
        <v>504</v>
      </c>
      <c r="O74" s="199"/>
      <c r="P74" s="199"/>
      <c r="Q74" s="40" t="s">
        <v>6</v>
      </c>
      <c r="R74" s="40"/>
      <c r="S74" s="40" t="s">
        <v>6</v>
      </c>
      <c r="T74" s="126" t="s">
        <v>6</v>
      </c>
      <c r="U74" s="200" t="s">
        <v>675</v>
      </c>
      <c r="V74" s="204"/>
      <c r="W74" s="204" t="s">
        <v>133</v>
      </c>
      <c r="X74" s="199"/>
      <c r="Y74" s="199"/>
      <c r="Z74" s="40" t="s">
        <v>6</v>
      </c>
      <c r="AA74" s="40" t="s">
        <v>6</v>
      </c>
      <c r="AB74" s="215"/>
      <c r="AC74" s="199"/>
      <c r="AD74" s="199"/>
      <c r="AE74" s="204" t="s">
        <v>133</v>
      </c>
      <c r="AF74" s="199"/>
      <c r="AG74" s="199"/>
      <c r="AH74" s="40" t="s">
        <v>6</v>
      </c>
      <c r="AI74" s="40" t="s">
        <v>6</v>
      </c>
      <c r="AJ74" s="215" t="str">
        <f>"AGRUPAMENTO DOS ÍTENS "&amp;A71&amp;" A "&amp;A73</f>
        <v>AGRUPAMENTO DOS ÍTENS 65 A 67</v>
      </c>
      <c r="AK74" s="199"/>
      <c r="AL74" s="199"/>
      <c r="AM74" s="198" t="s">
        <v>516</v>
      </c>
      <c r="AN74" s="199"/>
      <c r="AO74" s="199"/>
      <c r="AP74" s="199"/>
      <c r="AQ74" s="199"/>
      <c r="AR74" s="199"/>
      <c r="AS74" s="199"/>
      <c r="AT74" s="199"/>
      <c r="AU74" s="199"/>
      <c r="AV74" s="199"/>
      <c r="AW74" s="155">
        <f t="shared" si="5"/>
        <v>24</v>
      </c>
    </row>
    <row r="75" spans="1:49" s="236" customFormat="1" ht="39.6">
      <c r="A75" s="40">
        <f t="shared" si="6"/>
        <v>69</v>
      </c>
      <c r="B75" s="199"/>
      <c r="C75" s="199"/>
      <c r="D75" s="199"/>
      <c r="E75" s="199"/>
      <c r="F75" s="199"/>
      <c r="G75" s="199"/>
      <c r="H75" s="199"/>
      <c r="I75" s="199"/>
      <c r="J75" s="215" t="s">
        <v>676</v>
      </c>
      <c r="K75" s="204" t="s">
        <v>117</v>
      </c>
      <c r="L75" s="204" t="s">
        <v>677</v>
      </c>
      <c r="M75" s="204" t="s">
        <v>3695</v>
      </c>
      <c r="N75" s="40" t="s">
        <v>504</v>
      </c>
      <c r="O75" s="199"/>
      <c r="P75" s="199"/>
      <c r="Q75" s="40"/>
      <c r="R75" s="40" t="s">
        <v>6</v>
      </c>
      <c r="S75" s="40" t="s">
        <v>6</v>
      </c>
      <c r="T75" s="126" t="s">
        <v>6</v>
      </c>
      <c r="U75" s="218" t="s">
        <v>678</v>
      </c>
      <c r="V75" s="204"/>
      <c r="W75" s="204" t="s">
        <v>125</v>
      </c>
      <c r="X75" s="199"/>
      <c r="Y75" s="199"/>
      <c r="Z75" s="40" t="s">
        <v>6</v>
      </c>
      <c r="AA75" s="40" t="s">
        <v>6</v>
      </c>
      <c r="AB75" s="218"/>
      <c r="AC75" s="199"/>
      <c r="AD75" s="218" t="s">
        <v>609</v>
      </c>
      <c r="AE75" s="204" t="s">
        <v>125</v>
      </c>
      <c r="AF75" s="199"/>
      <c r="AG75" s="199"/>
      <c r="AH75" s="126"/>
      <c r="AI75" s="40" t="s">
        <v>6</v>
      </c>
      <c r="AJ75" s="218"/>
      <c r="AK75" s="199"/>
      <c r="AL75" s="218" t="s">
        <v>609</v>
      </c>
      <c r="AM75" s="198" t="s">
        <v>610</v>
      </c>
      <c r="AN75" s="199"/>
      <c r="AO75" s="199"/>
      <c r="AP75" s="199"/>
      <c r="AQ75" s="199"/>
      <c r="AR75" s="199"/>
      <c r="AS75" s="199"/>
      <c r="AT75" s="199"/>
      <c r="AU75" s="199"/>
      <c r="AV75" s="199"/>
      <c r="AW75" s="155">
        <f t="shared" si="5"/>
        <v>30</v>
      </c>
    </row>
    <row r="76" spans="1:49" s="236" customFormat="1" ht="39.6">
      <c r="A76" s="40">
        <f t="shared" si="6"/>
        <v>70</v>
      </c>
      <c r="B76" s="199"/>
      <c r="C76" s="199"/>
      <c r="D76" s="199"/>
      <c r="E76" s="199"/>
      <c r="F76" s="199"/>
      <c r="G76" s="199"/>
      <c r="H76" s="199"/>
      <c r="I76" s="199"/>
      <c r="J76" s="215" t="s">
        <v>679</v>
      </c>
      <c r="K76" s="204" t="s">
        <v>117</v>
      </c>
      <c r="L76" s="204" t="s">
        <v>680</v>
      </c>
      <c r="M76" s="204" t="s">
        <v>3695</v>
      </c>
      <c r="N76" s="40" t="s">
        <v>504</v>
      </c>
      <c r="O76" s="199"/>
      <c r="P76" s="199"/>
      <c r="Q76" s="126"/>
      <c r="R76" s="40" t="s">
        <v>6</v>
      </c>
      <c r="S76" s="40" t="s">
        <v>6</v>
      </c>
      <c r="T76" s="126" t="s">
        <v>6</v>
      </c>
      <c r="U76" s="204" t="s">
        <v>519</v>
      </c>
      <c r="V76" s="204"/>
      <c r="W76" s="204" t="s">
        <v>133</v>
      </c>
      <c r="X76" s="199"/>
      <c r="Y76" s="199"/>
      <c r="Z76" s="40" t="s">
        <v>6</v>
      </c>
      <c r="AA76" s="40" t="s">
        <v>6</v>
      </c>
      <c r="AB76" s="218"/>
      <c r="AC76" s="199"/>
      <c r="AD76" s="218" t="s">
        <v>629</v>
      </c>
      <c r="AE76" s="204" t="s">
        <v>133</v>
      </c>
      <c r="AF76" s="199"/>
      <c r="AG76" s="199"/>
      <c r="AH76" s="40" t="s">
        <v>6</v>
      </c>
      <c r="AI76" s="40" t="s">
        <v>6</v>
      </c>
      <c r="AJ76" s="218"/>
      <c r="AK76" s="199"/>
      <c r="AL76" s="218" t="s">
        <v>629</v>
      </c>
      <c r="AM76" s="198" t="s">
        <v>610</v>
      </c>
      <c r="AN76" s="199"/>
      <c r="AO76" s="199"/>
      <c r="AP76" s="199"/>
      <c r="AQ76" s="199"/>
      <c r="AR76" s="199"/>
      <c r="AS76" s="199"/>
      <c r="AT76" s="199"/>
      <c r="AU76" s="199"/>
      <c r="AV76" s="199"/>
      <c r="AW76" s="155">
        <f t="shared" ref="AW76:AW78" si="7">LEN(L76)</f>
        <v>33</v>
      </c>
    </row>
    <row r="77" spans="1:49" s="236" customFormat="1" ht="39.6">
      <c r="A77" s="40">
        <f t="shared" si="6"/>
        <v>71</v>
      </c>
      <c r="B77" s="199"/>
      <c r="C77" s="199"/>
      <c r="D77" s="199"/>
      <c r="E77" s="199"/>
      <c r="F77" s="199"/>
      <c r="G77" s="199"/>
      <c r="H77" s="199"/>
      <c r="I77" s="199"/>
      <c r="J77" s="215" t="s">
        <v>681</v>
      </c>
      <c r="K77" s="204" t="s">
        <v>132</v>
      </c>
      <c r="L77" s="204" t="s">
        <v>682</v>
      </c>
      <c r="M77" s="204" t="s">
        <v>3695</v>
      </c>
      <c r="N77" s="40" t="s">
        <v>504</v>
      </c>
      <c r="O77" s="199"/>
      <c r="P77" s="199"/>
      <c r="Q77" s="40" t="s">
        <v>6</v>
      </c>
      <c r="R77" s="40" t="s">
        <v>6</v>
      </c>
      <c r="S77" s="40" t="s">
        <v>6</v>
      </c>
      <c r="T77" s="126" t="s">
        <v>6</v>
      </c>
      <c r="U77" s="204" t="s">
        <v>519</v>
      </c>
      <c r="V77" s="204"/>
      <c r="W77" s="204" t="s">
        <v>133</v>
      </c>
      <c r="X77" s="199"/>
      <c r="Y77" s="199"/>
      <c r="Z77" s="40" t="s">
        <v>6</v>
      </c>
      <c r="AA77" s="40" t="s">
        <v>6</v>
      </c>
      <c r="AB77" s="218"/>
      <c r="AC77" s="199"/>
      <c r="AD77" s="218" t="s">
        <v>629</v>
      </c>
      <c r="AE77" s="204" t="s">
        <v>133</v>
      </c>
      <c r="AF77" s="199"/>
      <c r="AG77" s="199"/>
      <c r="AH77" s="40" t="s">
        <v>6</v>
      </c>
      <c r="AI77" s="40" t="s">
        <v>6</v>
      </c>
      <c r="AJ77" s="218"/>
      <c r="AK77" s="199"/>
      <c r="AL77" s="218" t="s">
        <v>629</v>
      </c>
      <c r="AM77" s="198" t="s">
        <v>683</v>
      </c>
      <c r="AN77" s="199"/>
      <c r="AO77" s="199"/>
      <c r="AP77" s="199"/>
      <c r="AQ77" s="199"/>
      <c r="AR77" s="199"/>
      <c r="AS77" s="199"/>
      <c r="AT77" s="199"/>
      <c r="AU77" s="199"/>
      <c r="AV77" s="199"/>
      <c r="AW77" s="155">
        <f t="shared" si="7"/>
        <v>30</v>
      </c>
    </row>
    <row r="78" spans="1:49" s="236" customFormat="1" ht="39.6">
      <c r="A78" s="40">
        <f t="shared" si="6"/>
        <v>72</v>
      </c>
      <c r="B78" s="199"/>
      <c r="C78" s="199"/>
      <c r="D78" s="199"/>
      <c r="E78" s="199"/>
      <c r="F78" s="199"/>
      <c r="G78" s="199"/>
      <c r="H78" s="199"/>
      <c r="I78" s="199"/>
      <c r="J78" s="215" t="s">
        <v>684</v>
      </c>
      <c r="K78" s="204" t="s">
        <v>132</v>
      </c>
      <c r="L78" s="204" t="s">
        <v>685</v>
      </c>
      <c r="M78" s="204" t="s">
        <v>3695</v>
      </c>
      <c r="N78" s="40" t="s">
        <v>504</v>
      </c>
      <c r="O78" s="199"/>
      <c r="P78" s="199"/>
      <c r="Q78" s="40" t="s">
        <v>6</v>
      </c>
      <c r="R78" s="40" t="s">
        <v>6</v>
      </c>
      <c r="S78" s="40" t="s">
        <v>6</v>
      </c>
      <c r="T78" s="126" t="s">
        <v>6</v>
      </c>
      <c r="U78" s="218" t="s">
        <v>686</v>
      </c>
      <c r="V78" s="204"/>
      <c r="W78" s="204" t="s">
        <v>133</v>
      </c>
      <c r="X78" s="199"/>
      <c r="Y78" s="199"/>
      <c r="Z78" s="40" t="s">
        <v>6</v>
      </c>
      <c r="AA78" s="40" t="s">
        <v>6</v>
      </c>
      <c r="AB78" s="218"/>
      <c r="AC78" s="199"/>
      <c r="AD78" s="218" t="s">
        <v>629</v>
      </c>
      <c r="AE78" s="204" t="s">
        <v>133</v>
      </c>
      <c r="AF78" s="199"/>
      <c r="AG78" s="199"/>
      <c r="AH78" s="40" t="s">
        <v>6</v>
      </c>
      <c r="AI78" s="40" t="s">
        <v>6</v>
      </c>
      <c r="AJ78" s="218"/>
      <c r="AK78" s="199"/>
      <c r="AL78" s="218" t="s">
        <v>629</v>
      </c>
      <c r="AM78" s="198" t="s">
        <v>683</v>
      </c>
      <c r="AN78" s="199"/>
      <c r="AO78" s="199"/>
      <c r="AP78" s="199"/>
      <c r="AQ78" s="199"/>
      <c r="AR78" s="199"/>
      <c r="AS78" s="199"/>
      <c r="AT78" s="199"/>
      <c r="AU78" s="199"/>
      <c r="AV78" s="199"/>
      <c r="AW78" s="155">
        <f t="shared" si="7"/>
        <v>27</v>
      </c>
    </row>
    <row r="79" spans="1:49" s="236" customFormat="1" ht="39.6">
      <c r="A79" s="40">
        <f t="shared" si="6"/>
        <v>73</v>
      </c>
      <c r="B79" s="199"/>
      <c r="C79" s="199"/>
      <c r="D79" s="199"/>
      <c r="E79" s="199"/>
      <c r="F79" s="199"/>
      <c r="G79" s="199"/>
      <c r="H79" s="199"/>
      <c r="I79" s="199"/>
      <c r="J79" s="215" t="s">
        <v>687</v>
      </c>
      <c r="K79" s="204" t="s">
        <v>117</v>
      </c>
      <c r="L79" s="204" t="s">
        <v>688</v>
      </c>
      <c r="M79" s="204" t="s">
        <v>3695</v>
      </c>
      <c r="N79" s="40" t="s">
        <v>504</v>
      </c>
      <c r="O79" s="199"/>
      <c r="P79" s="199"/>
      <c r="Q79" s="40"/>
      <c r="R79" s="40" t="s">
        <v>6</v>
      </c>
      <c r="S79" s="40" t="s">
        <v>6</v>
      </c>
      <c r="T79" s="126" t="s">
        <v>6</v>
      </c>
      <c r="U79" s="204" t="s">
        <v>689</v>
      </c>
      <c r="V79" s="204"/>
      <c r="W79" s="204" t="s">
        <v>125</v>
      </c>
      <c r="X79" s="199"/>
      <c r="Y79" s="199"/>
      <c r="Z79" s="40" t="s">
        <v>6</v>
      </c>
      <c r="AA79" s="40" t="s">
        <v>6</v>
      </c>
      <c r="AB79" s="218"/>
      <c r="AC79" s="199"/>
      <c r="AD79" s="218" t="s">
        <v>609</v>
      </c>
      <c r="AE79" s="204" t="s">
        <v>125</v>
      </c>
      <c r="AF79" s="199"/>
      <c r="AG79" s="199"/>
      <c r="AH79" s="126"/>
      <c r="AI79" s="40" t="s">
        <v>6</v>
      </c>
      <c r="AJ79" s="218"/>
      <c r="AK79" s="199"/>
      <c r="AL79" s="218" t="s">
        <v>609</v>
      </c>
      <c r="AM79" s="198" t="s">
        <v>690</v>
      </c>
      <c r="AN79" s="199"/>
      <c r="AO79" s="199"/>
      <c r="AP79" s="199"/>
      <c r="AQ79" s="199"/>
      <c r="AR79" s="199"/>
      <c r="AS79" s="199"/>
      <c r="AT79" s="199"/>
      <c r="AU79" s="199"/>
      <c r="AV79" s="199"/>
      <c r="AW79" s="155">
        <f>LEN(L79)</f>
        <v>24</v>
      </c>
    </row>
    <row r="80" spans="1:49" s="236" customFormat="1" ht="15">
      <c r="A80" s="40">
        <f t="shared" si="6"/>
        <v>74</v>
      </c>
      <c r="B80" s="199"/>
      <c r="C80" s="199"/>
      <c r="D80" s="199"/>
      <c r="E80" s="199"/>
      <c r="F80" s="199"/>
      <c r="G80" s="199"/>
      <c r="H80" s="199"/>
      <c r="I80" s="199"/>
      <c r="J80" s="218" t="s">
        <v>692</v>
      </c>
      <c r="K80" s="204" t="s">
        <v>128</v>
      </c>
      <c r="L80" s="204" t="s">
        <v>693</v>
      </c>
      <c r="M80" s="204"/>
      <c r="N80" s="40" t="s">
        <v>504</v>
      </c>
      <c r="O80" s="199"/>
      <c r="P80" s="199"/>
      <c r="Q80" s="40"/>
      <c r="R80" s="126" t="s">
        <v>6</v>
      </c>
      <c r="S80" s="40" t="s">
        <v>6</v>
      </c>
      <c r="T80" s="126" t="s">
        <v>6</v>
      </c>
      <c r="U80" s="198"/>
      <c r="V80" s="198"/>
      <c r="W80" s="204" t="s">
        <v>125</v>
      </c>
      <c r="X80" s="199"/>
      <c r="Y80" s="199"/>
      <c r="Z80" s="126" t="s">
        <v>6</v>
      </c>
      <c r="AA80" s="40" t="s">
        <v>6</v>
      </c>
      <c r="AB80" s="198"/>
      <c r="AC80" s="199"/>
      <c r="AD80" s="199"/>
      <c r="AE80" s="204" t="s">
        <v>125</v>
      </c>
      <c r="AF80" s="199"/>
      <c r="AG80" s="199"/>
      <c r="AH80" s="199"/>
      <c r="AI80" s="40" t="s">
        <v>6</v>
      </c>
      <c r="AJ80" s="198"/>
      <c r="AK80" s="199"/>
      <c r="AL80" s="199"/>
      <c r="AM80" s="199"/>
      <c r="AN80" s="199"/>
      <c r="AO80" s="199"/>
      <c r="AP80" s="199"/>
      <c r="AQ80" s="199"/>
      <c r="AR80" s="199"/>
      <c r="AS80" s="199"/>
      <c r="AT80" s="199"/>
      <c r="AU80" s="199"/>
      <c r="AV80" s="199"/>
      <c r="AW80" s="155">
        <f t="shared" ref="AW80:AW382" si="8">LEN(L80)</f>
        <v>23</v>
      </c>
    </row>
    <row r="81" spans="1:49" s="236" customFormat="1" ht="15">
      <c r="A81" s="40">
        <f t="shared" si="6"/>
        <v>75</v>
      </c>
      <c r="B81" s="199"/>
      <c r="C81" s="199"/>
      <c r="D81" s="199"/>
      <c r="E81" s="199"/>
      <c r="F81" s="199"/>
      <c r="G81" s="199"/>
      <c r="H81" s="199"/>
      <c r="I81" s="199"/>
      <c r="J81" s="218" t="s">
        <v>694</v>
      </c>
      <c r="K81" s="204" t="s">
        <v>117</v>
      </c>
      <c r="L81" s="204" t="s">
        <v>695</v>
      </c>
      <c r="M81" s="204"/>
      <c r="N81" s="40" t="s">
        <v>504</v>
      </c>
      <c r="O81" s="199"/>
      <c r="P81" s="199"/>
      <c r="Q81" s="40"/>
      <c r="R81" s="40" t="s">
        <v>6</v>
      </c>
      <c r="S81" s="40" t="s">
        <v>6</v>
      </c>
      <c r="T81" s="126" t="s">
        <v>6</v>
      </c>
      <c r="U81" s="198"/>
      <c r="V81" s="198"/>
      <c r="W81" s="204" t="s">
        <v>125</v>
      </c>
      <c r="X81" s="199"/>
      <c r="Y81" s="199"/>
      <c r="Z81" s="40" t="s">
        <v>6</v>
      </c>
      <c r="AA81" s="40" t="s">
        <v>6</v>
      </c>
      <c r="AB81" s="198"/>
      <c r="AC81" s="199"/>
      <c r="AD81" s="199"/>
      <c r="AE81" s="204" t="s">
        <v>125</v>
      </c>
      <c r="AF81" s="199"/>
      <c r="AG81" s="199"/>
      <c r="AH81" s="199"/>
      <c r="AI81" s="40" t="s">
        <v>6</v>
      </c>
      <c r="AJ81" s="198"/>
      <c r="AK81" s="199"/>
      <c r="AL81" s="199"/>
      <c r="AM81" s="199"/>
      <c r="AN81" s="199"/>
      <c r="AO81" s="199"/>
      <c r="AP81" s="199"/>
      <c r="AQ81" s="199"/>
      <c r="AR81" s="199"/>
      <c r="AS81" s="199"/>
      <c r="AT81" s="199"/>
      <c r="AU81" s="199"/>
      <c r="AV81" s="199"/>
      <c r="AW81" s="155">
        <f t="shared" si="8"/>
        <v>23</v>
      </c>
    </row>
    <row r="82" spans="1:49" s="236" customFormat="1" ht="15">
      <c r="A82" s="40">
        <f t="shared" si="6"/>
        <v>76</v>
      </c>
      <c r="B82" s="199"/>
      <c r="C82" s="199"/>
      <c r="D82" s="199"/>
      <c r="E82" s="199"/>
      <c r="F82" s="199"/>
      <c r="G82" s="199"/>
      <c r="H82" s="199"/>
      <c r="I82" s="199"/>
      <c r="J82" s="218" t="s">
        <v>696</v>
      </c>
      <c r="K82" s="204" t="s">
        <v>117</v>
      </c>
      <c r="L82" s="204" t="s">
        <v>697</v>
      </c>
      <c r="M82" s="204"/>
      <c r="N82" s="40" t="s">
        <v>504</v>
      </c>
      <c r="O82" s="199"/>
      <c r="P82" s="199"/>
      <c r="Q82" s="40"/>
      <c r="R82" s="40" t="s">
        <v>6</v>
      </c>
      <c r="S82" s="40" t="s">
        <v>6</v>
      </c>
      <c r="T82" s="126" t="s">
        <v>6</v>
      </c>
      <c r="U82" s="198"/>
      <c r="V82" s="198"/>
      <c r="W82" s="204" t="s">
        <v>125</v>
      </c>
      <c r="X82" s="199"/>
      <c r="Y82" s="199"/>
      <c r="Z82" s="40" t="s">
        <v>6</v>
      </c>
      <c r="AA82" s="40" t="s">
        <v>6</v>
      </c>
      <c r="AB82" s="198"/>
      <c r="AC82" s="199"/>
      <c r="AD82" s="199"/>
      <c r="AE82" s="204" t="s">
        <v>125</v>
      </c>
      <c r="AF82" s="199"/>
      <c r="AG82" s="199"/>
      <c r="AH82" s="199"/>
      <c r="AI82" s="40" t="s">
        <v>6</v>
      </c>
      <c r="AJ82" s="198"/>
      <c r="AK82" s="199"/>
      <c r="AL82" s="199"/>
      <c r="AM82" s="199"/>
      <c r="AN82" s="199"/>
      <c r="AO82" s="199"/>
      <c r="AP82" s="199"/>
      <c r="AQ82" s="199"/>
      <c r="AR82" s="199"/>
      <c r="AS82" s="199"/>
      <c r="AT82" s="199"/>
      <c r="AU82" s="199"/>
      <c r="AV82" s="199"/>
      <c r="AW82" s="155">
        <f t="shared" si="8"/>
        <v>28</v>
      </c>
    </row>
    <row r="83" spans="1:49" s="236" customFormat="1" ht="15">
      <c r="A83" s="40">
        <f t="shared" si="6"/>
        <v>77</v>
      </c>
      <c r="B83" s="199"/>
      <c r="C83" s="199"/>
      <c r="D83" s="199"/>
      <c r="E83" s="199"/>
      <c r="F83" s="199"/>
      <c r="G83" s="199"/>
      <c r="H83" s="199"/>
      <c r="I83" s="199"/>
      <c r="J83" s="218" t="s">
        <v>698</v>
      </c>
      <c r="K83" s="204" t="s">
        <v>117</v>
      </c>
      <c r="L83" s="204" t="s">
        <v>699</v>
      </c>
      <c r="M83" s="204"/>
      <c r="N83" s="40" t="s">
        <v>504</v>
      </c>
      <c r="O83" s="199"/>
      <c r="P83" s="199"/>
      <c r="Q83" s="40"/>
      <c r="R83" s="40" t="s">
        <v>6</v>
      </c>
      <c r="S83" s="40" t="s">
        <v>6</v>
      </c>
      <c r="T83" s="126" t="s">
        <v>6</v>
      </c>
      <c r="U83" s="198"/>
      <c r="V83" s="198"/>
      <c r="W83" s="204" t="s">
        <v>125</v>
      </c>
      <c r="X83" s="199"/>
      <c r="Y83" s="199"/>
      <c r="Z83" s="40" t="s">
        <v>6</v>
      </c>
      <c r="AA83" s="40" t="s">
        <v>6</v>
      </c>
      <c r="AB83" s="198"/>
      <c r="AC83" s="199"/>
      <c r="AD83" s="199"/>
      <c r="AE83" s="204" t="s">
        <v>125</v>
      </c>
      <c r="AF83" s="199"/>
      <c r="AG83" s="199"/>
      <c r="AH83" s="199"/>
      <c r="AI83" s="40" t="s">
        <v>6</v>
      </c>
      <c r="AJ83" s="198"/>
      <c r="AK83" s="199"/>
      <c r="AL83" s="199"/>
      <c r="AM83" s="199"/>
      <c r="AN83" s="199"/>
      <c r="AO83" s="199"/>
      <c r="AP83" s="199"/>
      <c r="AQ83" s="199"/>
      <c r="AR83" s="199"/>
      <c r="AS83" s="199"/>
      <c r="AT83" s="199"/>
      <c r="AU83" s="199"/>
      <c r="AV83" s="199"/>
      <c r="AW83" s="155">
        <f>LEN(L83)</f>
        <v>32</v>
      </c>
    </row>
    <row r="84" spans="1:49" s="243" customFormat="1" ht="15">
      <c r="A84" s="40">
        <f t="shared" si="6"/>
        <v>78</v>
      </c>
      <c r="B84" s="198"/>
      <c r="C84" s="198"/>
      <c r="D84" s="198"/>
      <c r="E84" s="198"/>
      <c r="F84" s="198"/>
      <c r="G84" s="198"/>
      <c r="H84" s="198"/>
      <c r="I84" s="198"/>
      <c r="J84" s="200" t="s">
        <v>700</v>
      </c>
      <c r="K84" s="204" t="s">
        <v>132</v>
      </c>
      <c r="L84" s="212" t="s">
        <v>701</v>
      </c>
      <c r="M84" s="204"/>
      <c r="N84" s="40" t="s">
        <v>504</v>
      </c>
      <c r="O84" s="232"/>
      <c r="P84" s="232"/>
      <c r="Q84" s="40" t="s">
        <v>6</v>
      </c>
      <c r="R84" s="40" t="s">
        <v>6</v>
      </c>
      <c r="S84" s="40" t="s">
        <v>6</v>
      </c>
      <c r="T84" s="126" t="s">
        <v>6</v>
      </c>
      <c r="U84" s="209"/>
      <c r="V84" s="209"/>
      <c r="W84" s="204" t="s">
        <v>133</v>
      </c>
      <c r="X84" s="198"/>
      <c r="Y84" s="198"/>
      <c r="Z84" s="40" t="s">
        <v>6</v>
      </c>
      <c r="AA84" s="40" t="s">
        <v>6</v>
      </c>
      <c r="AB84" s="198"/>
      <c r="AC84" s="198"/>
      <c r="AD84" s="198"/>
      <c r="AE84" s="204" t="s">
        <v>133</v>
      </c>
      <c r="AF84" s="198"/>
      <c r="AG84" s="198"/>
      <c r="AH84" s="40" t="s">
        <v>6</v>
      </c>
      <c r="AI84" s="40" t="s">
        <v>6</v>
      </c>
      <c r="AJ84" s="198"/>
      <c r="AK84" s="198"/>
      <c r="AL84" s="198"/>
      <c r="AM84" s="198" t="s">
        <v>516</v>
      </c>
      <c r="AN84" s="198"/>
      <c r="AO84" s="198"/>
      <c r="AP84" s="198"/>
      <c r="AQ84" s="198"/>
      <c r="AR84" s="198"/>
      <c r="AS84" s="198"/>
      <c r="AT84" s="198"/>
      <c r="AU84" s="198"/>
      <c r="AV84" s="198"/>
      <c r="AW84" s="155">
        <f>LEN(L84)</f>
        <v>18</v>
      </c>
    </row>
    <row r="85" spans="1:49" s="236" customFormat="1" ht="15">
      <c r="A85" s="40">
        <f t="shared" si="6"/>
        <v>79</v>
      </c>
      <c r="B85" s="199"/>
      <c r="C85" s="199"/>
      <c r="D85" s="199"/>
      <c r="E85" s="199"/>
      <c r="F85" s="199"/>
      <c r="G85" s="199"/>
      <c r="H85" s="199"/>
      <c r="I85" s="199"/>
      <c r="J85" s="218" t="s">
        <v>702</v>
      </c>
      <c r="K85" s="204" t="s">
        <v>128</v>
      </c>
      <c r="L85" s="204" t="s">
        <v>703</v>
      </c>
      <c r="M85" s="204"/>
      <c r="N85" s="40" t="s">
        <v>504</v>
      </c>
      <c r="O85" s="199"/>
      <c r="P85" s="199"/>
      <c r="Q85" s="40" t="s">
        <v>6</v>
      </c>
      <c r="R85" s="40" t="s">
        <v>6</v>
      </c>
      <c r="S85" s="40" t="s">
        <v>6</v>
      </c>
      <c r="T85" s="126" t="s">
        <v>6</v>
      </c>
      <c r="U85" s="200"/>
      <c r="V85" s="204"/>
      <c r="W85" s="204" t="s">
        <v>125</v>
      </c>
      <c r="X85" s="199"/>
      <c r="Y85" s="199"/>
      <c r="Z85" s="40" t="s">
        <v>6</v>
      </c>
      <c r="AA85" s="40" t="s">
        <v>6</v>
      </c>
      <c r="AB85" s="198"/>
      <c r="AC85" s="199"/>
      <c r="AD85" s="199"/>
      <c r="AE85" s="204" t="s">
        <v>125</v>
      </c>
      <c r="AF85" s="199"/>
      <c r="AG85" s="199"/>
      <c r="AH85" s="199"/>
      <c r="AI85" s="40" t="s">
        <v>6</v>
      </c>
      <c r="AJ85" s="198"/>
      <c r="AK85" s="199"/>
      <c r="AL85" s="199"/>
      <c r="AM85" s="199"/>
      <c r="AN85" s="199"/>
      <c r="AO85" s="199"/>
      <c r="AP85" s="199"/>
      <c r="AQ85" s="199"/>
      <c r="AR85" s="199"/>
      <c r="AS85" s="199"/>
      <c r="AT85" s="199"/>
      <c r="AU85" s="199"/>
      <c r="AV85" s="199"/>
      <c r="AW85" s="155">
        <f>LEN(L85)</f>
        <v>19</v>
      </c>
    </row>
    <row r="86" spans="1:49" s="236" customFormat="1" ht="15">
      <c r="A86" s="40">
        <f t="shared" si="6"/>
        <v>80</v>
      </c>
      <c r="B86" s="199"/>
      <c r="C86" s="199"/>
      <c r="D86" s="199"/>
      <c r="E86" s="199"/>
      <c r="F86" s="199"/>
      <c r="G86" s="199"/>
      <c r="H86" s="199"/>
      <c r="I86" s="199"/>
      <c r="J86" s="215" t="s">
        <v>704</v>
      </c>
      <c r="K86" s="204" t="s">
        <v>117</v>
      </c>
      <c r="L86" s="204" t="s">
        <v>705</v>
      </c>
      <c r="M86" s="204"/>
      <c r="N86" s="40" t="s">
        <v>504</v>
      </c>
      <c r="O86" s="199"/>
      <c r="P86" s="199"/>
      <c r="Q86" s="40" t="s">
        <v>6</v>
      </c>
      <c r="R86" s="40" t="s">
        <v>6</v>
      </c>
      <c r="S86" s="40" t="s">
        <v>6</v>
      </c>
      <c r="T86" s="126" t="s">
        <v>6</v>
      </c>
      <c r="U86" s="204"/>
      <c r="V86" s="204"/>
      <c r="W86" s="204" t="s">
        <v>125</v>
      </c>
      <c r="X86" s="199"/>
      <c r="Y86" s="199"/>
      <c r="Z86" s="40" t="s">
        <v>6</v>
      </c>
      <c r="AA86" s="40" t="s">
        <v>6</v>
      </c>
      <c r="AB86" s="198"/>
      <c r="AC86" s="199"/>
      <c r="AD86" s="199"/>
      <c r="AE86" s="204" t="s">
        <v>125</v>
      </c>
      <c r="AF86" s="199"/>
      <c r="AG86" s="199"/>
      <c r="AH86" s="126"/>
      <c r="AI86" s="40" t="s">
        <v>6</v>
      </c>
      <c r="AJ86" s="198"/>
      <c r="AK86" s="199"/>
      <c r="AL86" s="199"/>
      <c r="AM86" s="199"/>
      <c r="AN86" s="199"/>
      <c r="AO86" s="199"/>
      <c r="AP86" s="199"/>
      <c r="AQ86" s="199"/>
      <c r="AR86" s="199"/>
      <c r="AS86" s="199"/>
      <c r="AT86" s="199"/>
      <c r="AU86" s="199"/>
      <c r="AV86" s="199"/>
      <c r="AW86" s="155">
        <f t="shared" si="8"/>
        <v>37</v>
      </c>
    </row>
    <row r="87" spans="1:49" s="236" customFormat="1" ht="26.4">
      <c r="A87" s="40">
        <f t="shared" si="6"/>
        <v>81</v>
      </c>
      <c r="B87" s="199"/>
      <c r="C87" s="199"/>
      <c r="D87" s="199"/>
      <c r="E87" s="199"/>
      <c r="F87" s="199"/>
      <c r="G87" s="199"/>
      <c r="H87" s="199"/>
      <c r="I87" s="199"/>
      <c r="J87" s="247" t="s">
        <v>706</v>
      </c>
      <c r="K87" s="204" t="s">
        <v>117</v>
      </c>
      <c r="L87" s="244" t="s">
        <v>707</v>
      </c>
      <c r="M87" s="204"/>
      <c r="N87" s="40" t="s">
        <v>504</v>
      </c>
      <c r="O87" s="199"/>
      <c r="P87" s="199"/>
      <c r="Q87" s="40" t="s">
        <v>6</v>
      </c>
      <c r="R87" s="40" t="s">
        <v>6</v>
      </c>
      <c r="S87" s="40" t="s">
        <v>6</v>
      </c>
      <c r="T87" s="126" t="s">
        <v>6</v>
      </c>
      <c r="U87" s="244" t="s">
        <v>708</v>
      </c>
      <c r="V87" s="204"/>
      <c r="W87" s="204" t="s">
        <v>125</v>
      </c>
      <c r="X87" s="199"/>
      <c r="Y87" s="199"/>
      <c r="Z87" s="40" t="s">
        <v>6</v>
      </c>
      <c r="AA87" s="40" t="s">
        <v>6</v>
      </c>
      <c r="AB87" s="218"/>
      <c r="AC87" s="199"/>
      <c r="AD87" s="218" t="s">
        <v>709</v>
      </c>
      <c r="AE87" s="204" t="s">
        <v>125</v>
      </c>
      <c r="AF87" s="199"/>
      <c r="AG87" s="199"/>
      <c r="AH87" s="126"/>
      <c r="AI87" s="40" t="s">
        <v>6</v>
      </c>
      <c r="AJ87" s="218"/>
      <c r="AK87" s="199"/>
      <c r="AL87" s="218" t="s">
        <v>709</v>
      </c>
      <c r="AM87" s="199"/>
      <c r="AN87" s="199"/>
      <c r="AO87" s="199"/>
      <c r="AP87" s="199"/>
      <c r="AQ87" s="199"/>
      <c r="AR87" s="199"/>
      <c r="AS87" s="199"/>
      <c r="AT87" s="199"/>
      <c r="AU87" s="199"/>
      <c r="AV87" s="199"/>
      <c r="AW87" s="155">
        <f>LEN(L87)</f>
        <v>36</v>
      </c>
    </row>
    <row r="88" spans="1:49" s="236" customFormat="1" ht="26.4">
      <c r="A88" s="40">
        <f t="shared" si="6"/>
        <v>82</v>
      </c>
      <c r="B88" s="199"/>
      <c r="C88" s="199"/>
      <c r="D88" s="199"/>
      <c r="E88" s="199"/>
      <c r="F88" s="199"/>
      <c r="G88" s="199"/>
      <c r="H88" s="199"/>
      <c r="I88" s="199"/>
      <c r="J88" s="247" t="s">
        <v>710</v>
      </c>
      <c r="K88" s="204" t="s">
        <v>117</v>
      </c>
      <c r="L88" s="244" t="s">
        <v>711</v>
      </c>
      <c r="M88" s="204"/>
      <c r="N88" s="40" t="s">
        <v>504</v>
      </c>
      <c r="O88" s="199"/>
      <c r="P88" s="199"/>
      <c r="Q88" s="40" t="s">
        <v>6</v>
      </c>
      <c r="R88" s="40" t="s">
        <v>6</v>
      </c>
      <c r="S88" s="40" t="s">
        <v>6</v>
      </c>
      <c r="T88" s="126" t="s">
        <v>6</v>
      </c>
      <c r="U88" s="244" t="s">
        <v>712</v>
      </c>
      <c r="V88" s="204"/>
      <c r="W88" s="204" t="s">
        <v>125</v>
      </c>
      <c r="X88" s="199"/>
      <c r="Y88" s="199"/>
      <c r="Z88" s="40" t="s">
        <v>6</v>
      </c>
      <c r="AA88" s="40" t="s">
        <v>6</v>
      </c>
      <c r="AB88" s="218"/>
      <c r="AC88" s="199"/>
      <c r="AD88" s="218" t="s">
        <v>709</v>
      </c>
      <c r="AE88" s="204" t="s">
        <v>125</v>
      </c>
      <c r="AF88" s="199"/>
      <c r="AG88" s="199"/>
      <c r="AH88" s="126"/>
      <c r="AI88" s="40" t="s">
        <v>6</v>
      </c>
      <c r="AJ88" s="218"/>
      <c r="AK88" s="199"/>
      <c r="AL88" s="218" t="s">
        <v>709</v>
      </c>
      <c r="AM88" s="199"/>
      <c r="AN88" s="199"/>
      <c r="AO88" s="199"/>
      <c r="AP88" s="199"/>
      <c r="AQ88" s="199"/>
      <c r="AR88" s="199"/>
      <c r="AS88" s="199"/>
      <c r="AT88" s="199"/>
      <c r="AU88" s="199"/>
      <c r="AV88" s="199"/>
      <c r="AW88" s="155">
        <f>LEN(L88)</f>
        <v>36</v>
      </c>
    </row>
    <row r="89" spans="1:49" s="236" customFormat="1" ht="26.4">
      <c r="A89" s="40">
        <f t="shared" si="6"/>
        <v>83</v>
      </c>
      <c r="B89" s="199"/>
      <c r="C89" s="199"/>
      <c r="D89" s="199"/>
      <c r="E89" s="199"/>
      <c r="F89" s="199"/>
      <c r="G89" s="199"/>
      <c r="H89" s="199"/>
      <c r="I89" s="199"/>
      <c r="J89" s="247" t="s">
        <v>713</v>
      </c>
      <c r="K89" s="204" t="s">
        <v>117</v>
      </c>
      <c r="L89" s="244" t="s">
        <v>714</v>
      </c>
      <c r="M89" s="204"/>
      <c r="N89" s="40" t="s">
        <v>504</v>
      </c>
      <c r="O89" s="199"/>
      <c r="P89" s="199"/>
      <c r="Q89" s="40" t="s">
        <v>6</v>
      </c>
      <c r="R89" s="40" t="s">
        <v>6</v>
      </c>
      <c r="S89" s="40" t="s">
        <v>6</v>
      </c>
      <c r="T89" s="126" t="s">
        <v>6</v>
      </c>
      <c r="U89" s="244" t="s">
        <v>715</v>
      </c>
      <c r="V89" s="204"/>
      <c r="W89" s="204" t="s">
        <v>125</v>
      </c>
      <c r="X89" s="199"/>
      <c r="Y89" s="199"/>
      <c r="Z89" s="40" t="s">
        <v>6</v>
      </c>
      <c r="AA89" s="40" t="s">
        <v>6</v>
      </c>
      <c r="AB89" s="218"/>
      <c r="AC89" s="199"/>
      <c r="AD89" s="218" t="s">
        <v>709</v>
      </c>
      <c r="AE89" s="204" t="s">
        <v>125</v>
      </c>
      <c r="AF89" s="199"/>
      <c r="AG89" s="199"/>
      <c r="AH89" s="126"/>
      <c r="AI89" s="40" t="s">
        <v>6</v>
      </c>
      <c r="AJ89" s="218"/>
      <c r="AK89" s="199"/>
      <c r="AL89" s="218" t="s">
        <v>709</v>
      </c>
      <c r="AM89" s="199"/>
      <c r="AN89" s="199"/>
      <c r="AO89" s="199"/>
      <c r="AP89" s="199"/>
      <c r="AQ89" s="199"/>
      <c r="AR89" s="199"/>
      <c r="AS89" s="199"/>
      <c r="AT89" s="199"/>
      <c r="AU89" s="199"/>
      <c r="AV89" s="199"/>
      <c r="AW89" s="155">
        <f t="shared" si="8"/>
        <v>37</v>
      </c>
    </row>
    <row r="90" spans="1:49" s="236" customFormat="1" ht="26.4">
      <c r="A90" s="40">
        <f t="shared" si="6"/>
        <v>84</v>
      </c>
      <c r="B90" s="199"/>
      <c r="C90" s="199"/>
      <c r="D90" s="199"/>
      <c r="E90" s="199"/>
      <c r="F90" s="199"/>
      <c r="G90" s="199"/>
      <c r="H90" s="199"/>
      <c r="I90" s="199"/>
      <c r="J90" s="247" t="s">
        <v>716</v>
      </c>
      <c r="K90" s="204" t="s">
        <v>117</v>
      </c>
      <c r="L90" s="244" t="s">
        <v>717</v>
      </c>
      <c r="M90" s="204"/>
      <c r="N90" s="40" t="s">
        <v>504</v>
      </c>
      <c r="O90" s="199"/>
      <c r="P90" s="199"/>
      <c r="Q90" s="40" t="s">
        <v>6</v>
      </c>
      <c r="R90" s="40" t="s">
        <v>6</v>
      </c>
      <c r="S90" s="40" t="s">
        <v>6</v>
      </c>
      <c r="T90" s="126" t="s">
        <v>6</v>
      </c>
      <c r="U90" s="244" t="s">
        <v>712</v>
      </c>
      <c r="V90" s="204"/>
      <c r="W90" s="204" t="s">
        <v>125</v>
      </c>
      <c r="X90" s="199"/>
      <c r="Y90" s="199"/>
      <c r="Z90" s="40" t="s">
        <v>6</v>
      </c>
      <c r="AA90" s="40" t="s">
        <v>6</v>
      </c>
      <c r="AB90" s="218"/>
      <c r="AC90" s="199"/>
      <c r="AD90" s="218" t="s">
        <v>709</v>
      </c>
      <c r="AE90" s="204" t="s">
        <v>125</v>
      </c>
      <c r="AF90" s="199"/>
      <c r="AG90" s="199"/>
      <c r="AH90" s="126"/>
      <c r="AI90" s="40" t="s">
        <v>6</v>
      </c>
      <c r="AJ90" s="218"/>
      <c r="AK90" s="199"/>
      <c r="AL90" s="218" t="s">
        <v>709</v>
      </c>
      <c r="AM90" s="199"/>
      <c r="AN90" s="199"/>
      <c r="AO90" s="199"/>
      <c r="AP90" s="199"/>
      <c r="AQ90" s="199"/>
      <c r="AR90" s="199"/>
      <c r="AS90" s="199"/>
      <c r="AT90" s="199"/>
      <c r="AU90" s="199"/>
      <c r="AV90" s="199"/>
      <c r="AW90" s="155">
        <f>LEN(L90)</f>
        <v>37</v>
      </c>
    </row>
    <row r="91" spans="1:49" s="236" customFormat="1" ht="26.4">
      <c r="A91" s="40">
        <f t="shared" si="6"/>
        <v>85</v>
      </c>
      <c r="B91" s="199"/>
      <c r="C91" s="199"/>
      <c r="D91" s="199"/>
      <c r="E91" s="199"/>
      <c r="F91" s="199"/>
      <c r="G91" s="199"/>
      <c r="H91" s="199"/>
      <c r="I91" s="199"/>
      <c r="J91" s="215" t="s">
        <v>718</v>
      </c>
      <c r="K91" s="204" t="s">
        <v>117</v>
      </c>
      <c r="L91" s="204" t="s">
        <v>719</v>
      </c>
      <c r="M91" s="204"/>
      <c r="N91" s="40" t="s">
        <v>504</v>
      </c>
      <c r="O91" s="199"/>
      <c r="P91" s="199"/>
      <c r="Q91" s="40" t="s">
        <v>6</v>
      </c>
      <c r="R91" s="40" t="s">
        <v>6</v>
      </c>
      <c r="S91" s="40" t="s">
        <v>6</v>
      </c>
      <c r="T91" s="126" t="s">
        <v>6</v>
      </c>
      <c r="U91" s="204"/>
      <c r="V91" s="204"/>
      <c r="W91" s="204" t="s">
        <v>125</v>
      </c>
      <c r="X91" s="199"/>
      <c r="Y91" s="199"/>
      <c r="Z91" s="40" t="s">
        <v>6</v>
      </c>
      <c r="AA91" s="40" t="s">
        <v>6</v>
      </c>
      <c r="AB91" s="218"/>
      <c r="AC91" s="199"/>
      <c r="AD91" s="218" t="s">
        <v>709</v>
      </c>
      <c r="AE91" s="204" t="s">
        <v>125</v>
      </c>
      <c r="AF91" s="199"/>
      <c r="AG91" s="199"/>
      <c r="AH91" s="126"/>
      <c r="AI91" s="40" t="s">
        <v>6</v>
      </c>
      <c r="AJ91" s="218"/>
      <c r="AK91" s="199"/>
      <c r="AL91" s="218" t="s">
        <v>709</v>
      </c>
      <c r="AM91" s="199"/>
      <c r="AN91" s="199"/>
      <c r="AO91" s="199"/>
      <c r="AP91" s="199"/>
      <c r="AQ91" s="199"/>
      <c r="AR91" s="199"/>
      <c r="AS91" s="199"/>
      <c r="AT91" s="199"/>
      <c r="AU91" s="199"/>
      <c r="AV91" s="199"/>
      <c r="AW91" s="155">
        <f t="shared" si="8"/>
        <v>38</v>
      </c>
    </row>
    <row r="92" spans="1:49" s="246" customFormat="1" ht="26.4">
      <c r="A92" s="40">
        <f t="shared" si="6"/>
        <v>86</v>
      </c>
      <c r="B92" s="198"/>
      <c r="C92" s="198"/>
      <c r="D92" s="198"/>
      <c r="E92" s="198"/>
      <c r="F92" s="198"/>
      <c r="G92" s="198"/>
      <c r="H92" s="198"/>
      <c r="I92" s="198"/>
      <c r="J92" s="215" t="s">
        <v>720</v>
      </c>
      <c r="K92" s="204" t="s">
        <v>117</v>
      </c>
      <c r="L92" s="204" t="s">
        <v>721</v>
      </c>
      <c r="M92" s="204"/>
      <c r="N92" s="40" t="s">
        <v>504</v>
      </c>
      <c r="O92" s="198"/>
      <c r="P92" s="198"/>
      <c r="Q92" s="40" t="s">
        <v>6</v>
      </c>
      <c r="R92" s="40" t="s">
        <v>6</v>
      </c>
      <c r="S92" s="40" t="s">
        <v>6</v>
      </c>
      <c r="T92" s="40" t="s">
        <v>6</v>
      </c>
      <c r="U92" s="204" t="s">
        <v>722</v>
      </c>
      <c r="V92" s="204"/>
      <c r="W92" s="204" t="s">
        <v>125</v>
      </c>
      <c r="X92" s="198"/>
      <c r="Y92" s="198"/>
      <c r="Z92" s="40" t="s">
        <v>6</v>
      </c>
      <c r="AA92" s="40" t="s">
        <v>6</v>
      </c>
      <c r="AB92" s="218"/>
      <c r="AC92" s="198"/>
      <c r="AD92" s="218" t="s">
        <v>723</v>
      </c>
      <c r="AE92" s="204" t="s">
        <v>125</v>
      </c>
      <c r="AF92" s="198"/>
      <c r="AG92" s="198"/>
      <c r="AH92" s="40"/>
      <c r="AI92" s="40" t="s">
        <v>6</v>
      </c>
      <c r="AJ92" s="218"/>
      <c r="AK92" s="198"/>
      <c r="AL92" s="218" t="s">
        <v>723</v>
      </c>
      <c r="AM92" s="198"/>
      <c r="AN92" s="198"/>
      <c r="AO92" s="198"/>
      <c r="AP92" s="198"/>
      <c r="AQ92" s="198"/>
      <c r="AR92" s="198"/>
      <c r="AS92" s="198"/>
      <c r="AT92" s="198"/>
      <c r="AU92" s="198"/>
      <c r="AV92" s="198"/>
      <c r="AW92" s="155">
        <f t="shared" ref="AW92" si="9">LEN(L92)</f>
        <v>41</v>
      </c>
    </row>
    <row r="93" spans="1:49" s="236" customFormat="1" ht="39.6">
      <c r="A93" s="40">
        <f t="shared" si="6"/>
        <v>87</v>
      </c>
      <c r="B93" s="199"/>
      <c r="C93" s="199"/>
      <c r="D93" s="199"/>
      <c r="E93" s="199"/>
      <c r="F93" s="199"/>
      <c r="G93" s="199"/>
      <c r="H93" s="199"/>
      <c r="I93" s="199"/>
      <c r="J93" s="215" t="s">
        <v>724</v>
      </c>
      <c r="K93" s="204" t="s">
        <v>117</v>
      </c>
      <c r="L93" s="204" t="s">
        <v>725</v>
      </c>
      <c r="M93" s="204"/>
      <c r="N93" s="40" t="s">
        <v>504</v>
      </c>
      <c r="O93" s="199"/>
      <c r="P93" s="199"/>
      <c r="Q93" s="40" t="s">
        <v>6</v>
      </c>
      <c r="R93" s="40" t="s">
        <v>6</v>
      </c>
      <c r="S93" s="40" t="s">
        <v>6</v>
      </c>
      <c r="T93" s="126" t="s">
        <v>6</v>
      </c>
      <c r="U93" s="204"/>
      <c r="V93" s="204"/>
      <c r="W93" s="204" t="s">
        <v>125</v>
      </c>
      <c r="X93" s="199"/>
      <c r="Y93" s="199"/>
      <c r="Z93" s="40" t="s">
        <v>6</v>
      </c>
      <c r="AA93" s="40" t="s">
        <v>6</v>
      </c>
      <c r="AB93" s="218"/>
      <c r="AC93" s="199"/>
      <c r="AD93" s="218" t="s">
        <v>726</v>
      </c>
      <c r="AE93" s="204" t="s">
        <v>125</v>
      </c>
      <c r="AF93" s="199"/>
      <c r="AG93" s="199"/>
      <c r="AH93" s="126"/>
      <c r="AI93" s="40" t="s">
        <v>6</v>
      </c>
      <c r="AJ93" s="218"/>
      <c r="AK93" s="199"/>
      <c r="AL93" s="218" t="s">
        <v>726</v>
      </c>
      <c r="AM93" s="198" t="s">
        <v>727</v>
      </c>
      <c r="AN93" s="199"/>
      <c r="AO93" s="199"/>
      <c r="AP93" s="199"/>
      <c r="AQ93" s="199"/>
      <c r="AR93" s="199"/>
      <c r="AS93" s="199"/>
      <c r="AT93" s="199"/>
      <c r="AU93" s="199"/>
      <c r="AV93" s="199"/>
      <c r="AW93" s="155">
        <f>LEN(L93)</f>
        <v>37</v>
      </c>
    </row>
    <row r="94" spans="1:49" s="236" customFormat="1" ht="26.4">
      <c r="A94" s="40">
        <f t="shared" si="6"/>
        <v>88</v>
      </c>
      <c r="B94" s="199"/>
      <c r="C94" s="199"/>
      <c r="D94" s="199"/>
      <c r="E94" s="199"/>
      <c r="F94" s="199"/>
      <c r="G94" s="199"/>
      <c r="H94" s="199"/>
      <c r="I94" s="199"/>
      <c r="J94" s="218" t="s">
        <v>728</v>
      </c>
      <c r="K94" s="204" t="s">
        <v>117</v>
      </c>
      <c r="L94" s="204" t="s">
        <v>729</v>
      </c>
      <c r="M94" s="204"/>
      <c r="N94" s="40" t="s">
        <v>504</v>
      </c>
      <c r="O94" s="199"/>
      <c r="P94" s="199"/>
      <c r="Q94" s="40" t="s">
        <v>6</v>
      </c>
      <c r="R94" s="40" t="s">
        <v>6</v>
      </c>
      <c r="S94" s="40" t="s">
        <v>6</v>
      </c>
      <c r="T94" s="126" t="s">
        <v>6</v>
      </c>
      <c r="U94" s="204"/>
      <c r="V94" s="204"/>
      <c r="W94" s="204" t="s">
        <v>125</v>
      </c>
      <c r="X94" s="199"/>
      <c r="Y94" s="199"/>
      <c r="Z94" s="40" t="s">
        <v>6</v>
      </c>
      <c r="AA94" s="40" t="s">
        <v>6</v>
      </c>
      <c r="AB94" s="218"/>
      <c r="AC94" s="199"/>
      <c r="AD94" s="218" t="s">
        <v>709</v>
      </c>
      <c r="AE94" s="204" t="s">
        <v>125</v>
      </c>
      <c r="AF94" s="199"/>
      <c r="AG94" s="199"/>
      <c r="AH94" s="199"/>
      <c r="AI94" s="40" t="s">
        <v>6</v>
      </c>
      <c r="AJ94" s="218"/>
      <c r="AK94" s="199"/>
      <c r="AL94" s="218" t="s">
        <v>709</v>
      </c>
      <c r="AM94" s="199"/>
      <c r="AN94" s="199"/>
      <c r="AO94" s="199"/>
      <c r="AP94" s="199"/>
      <c r="AQ94" s="199"/>
      <c r="AR94" s="199"/>
      <c r="AS94" s="199"/>
      <c r="AT94" s="199"/>
      <c r="AU94" s="199"/>
      <c r="AV94" s="199"/>
      <c r="AW94" s="155">
        <f>LEN(L94)</f>
        <v>18</v>
      </c>
    </row>
    <row r="95" spans="1:49" s="236" customFormat="1" ht="15">
      <c r="A95" s="40">
        <f t="shared" si="6"/>
        <v>89</v>
      </c>
      <c r="B95" s="199"/>
      <c r="C95" s="199"/>
      <c r="D95" s="199"/>
      <c r="E95" s="199"/>
      <c r="F95" s="199"/>
      <c r="G95" s="199"/>
      <c r="H95" s="199"/>
      <c r="I95" s="199"/>
      <c r="J95" s="218" t="s">
        <v>731</v>
      </c>
      <c r="K95" s="204" t="s">
        <v>117</v>
      </c>
      <c r="L95" s="204" t="s">
        <v>732</v>
      </c>
      <c r="M95" s="204"/>
      <c r="N95" s="40" t="s">
        <v>504</v>
      </c>
      <c r="O95" s="199"/>
      <c r="P95" s="199"/>
      <c r="Q95" s="40" t="s">
        <v>6</v>
      </c>
      <c r="R95" s="40" t="s">
        <v>6</v>
      </c>
      <c r="S95" s="40" t="s">
        <v>6</v>
      </c>
      <c r="T95" s="40" t="s">
        <v>6</v>
      </c>
      <c r="U95" s="204" t="s">
        <v>733</v>
      </c>
      <c r="V95" s="204"/>
      <c r="W95" s="204"/>
      <c r="X95" s="199"/>
      <c r="Y95" s="199"/>
      <c r="Z95" s="40"/>
      <c r="AA95" s="40"/>
      <c r="AB95" s="218"/>
      <c r="AC95" s="199"/>
      <c r="AD95" s="218"/>
      <c r="AE95" s="204"/>
      <c r="AF95" s="199"/>
      <c r="AG95" s="199"/>
      <c r="AH95" s="199"/>
      <c r="AI95" s="40"/>
      <c r="AJ95" s="218"/>
      <c r="AK95" s="199"/>
      <c r="AL95" s="218"/>
      <c r="AM95" s="199"/>
      <c r="AN95" s="199"/>
      <c r="AO95" s="199"/>
      <c r="AP95" s="199"/>
      <c r="AQ95" s="199"/>
      <c r="AR95" s="199"/>
      <c r="AS95" s="199"/>
      <c r="AT95" s="199"/>
      <c r="AU95" s="199"/>
      <c r="AV95" s="199"/>
      <c r="AW95" s="155">
        <f t="shared" si="8"/>
        <v>29</v>
      </c>
    </row>
    <row r="96" spans="1:49" s="236" customFormat="1" ht="26.4">
      <c r="A96" s="40">
        <f t="shared" si="6"/>
        <v>90</v>
      </c>
      <c r="B96" s="199"/>
      <c r="C96" s="199"/>
      <c r="D96" s="199"/>
      <c r="E96" s="199"/>
      <c r="F96" s="199"/>
      <c r="G96" s="199"/>
      <c r="H96" s="199"/>
      <c r="I96" s="199"/>
      <c r="J96" s="218" t="s">
        <v>734</v>
      </c>
      <c r="K96" s="204" t="s">
        <v>117</v>
      </c>
      <c r="L96" s="204" t="s">
        <v>735</v>
      </c>
      <c r="M96" s="204"/>
      <c r="N96" s="40" t="s">
        <v>504</v>
      </c>
      <c r="O96" s="199"/>
      <c r="P96" s="199"/>
      <c r="Q96" s="40" t="s">
        <v>6</v>
      </c>
      <c r="R96" s="40" t="s">
        <v>6</v>
      </c>
      <c r="S96" s="40" t="s">
        <v>6</v>
      </c>
      <c r="T96" s="126" t="s">
        <v>6</v>
      </c>
      <c r="U96" s="204"/>
      <c r="V96" s="204"/>
      <c r="W96" s="204" t="s">
        <v>125</v>
      </c>
      <c r="X96" s="199"/>
      <c r="Y96" s="199"/>
      <c r="Z96" s="40" t="s">
        <v>6</v>
      </c>
      <c r="AA96" s="40" t="s">
        <v>6</v>
      </c>
      <c r="AB96" s="218"/>
      <c r="AC96" s="199"/>
      <c r="AD96" s="218" t="s">
        <v>709</v>
      </c>
      <c r="AE96" s="204" t="s">
        <v>125</v>
      </c>
      <c r="AF96" s="199"/>
      <c r="AG96" s="199"/>
      <c r="AH96" s="199"/>
      <c r="AI96" s="40" t="s">
        <v>6</v>
      </c>
      <c r="AJ96" s="218"/>
      <c r="AK96" s="199"/>
      <c r="AL96" s="218" t="s">
        <v>709</v>
      </c>
      <c r="AM96" s="199"/>
      <c r="AN96" s="199"/>
      <c r="AO96" s="199"/>
      <c r="AP96" s="199"/>
      <c r="AQ96" s="199"/>
      <c r="AR96" s="199"/>
      <c r="AS96" s="199"/>
      <c r="AT96" s="199"/>
      <c r="AU96" s="199"/>
      <c r="AV96" s="199"/>
      <c r="AW96" s="155">
        <f t="shared" ref="AW96:AW113" si="10">LEN(L96)</f>
        <v>14</v>
      </c>
    </row>
    <row r="97" spans="1:49" s="236" customFormat="1" ht="26.4">
      <c r="A97" s="40">
        <f t="shared" si="6"/>
        <v>91</v>
      </c>
      <c r="B97" s="199"/>
      <c r="C97" s="199"/>
      <c r="D97" s="199"/>
      <c r="E97" s="199"/>
      <c r="F97" s="199"/>
      <c r="G97" s="199"/>
      <c r="H97" s="199"/>
      <c r="I97" s="199"/>
      <c r="J97" s="218" t="s">
        <v>736</v>
      </c>
      <c r="K97" s="204" t="s">
        <v>117</v>
      </c>
      <c r="L97" s="204" t="s">
        <v>737</v>
      </c>
      <c r="M97" s="204"/>
      <c r="N97" s="40" t="s">
        <v>504</v>
      </c>
      <c r="O97" s="199"/>
      <c r="P97" s="199"/>
      <c r="Q97" s="40" t="s">
        <v>6</v>
      </c>
      <c r="R97" s="40" t="s">
        <v>6</v>
      </c>
      <c r="S97" s="40" t="s">
        <v>6</v>
      </c>
      <c r="T97" s="126" t="s">
        <v>6</v>
      </c>
      <c r="U97" s="204"/>
      <c r="V97" s="204"/>
      <c r="W97" s="204" t="s">
        <v>125</v>
      </c>
      <c r="X97" s="199"/>
      <c r="Y97" s="199"/>
      <c r="Z97" s="40" t="s">
        <v>6</v>
      </c>
      <c r="AA97" s="40" t="s">
        <v>6</v>
      </c>
      <c r="AB97" s="218"/>
      <c r="AC97" s="199"/>
      <c r="AD97" s="218" t="s">
        <v>709</v>
      </c>
      <c r="AE97" s="204" t="s">
        <v>125</v>
      </c>
      <c r="AF97" s="199"/>
      <c r="AG97" s="199"/>
      <c r="AH97" s="199"/>
      <c r="AI97" s="40" t="s">
        <v>6</v>
      </c>
      <c r="AJ97" s="218"/>
      <c r="AK97" s="199"/>
      <c r="AL97" s="218" t="s">
        <v>709</v>
      </c>
      <c r="AM97" s="199"/>
      <c r="AN97" s="199"/>
      <c r="AO97" s="199"/>
      <c r="AP97" s="199"/>
      <c r="AQ97" s="199"/>
      <c r="AR97" s="199"/>
      <c r="AS97" s="199"/>
      <c r="AT97" s="199"/>
      <c r="AU97" s="199"/>
      <c r="AV97" s="199"/>
      <c r="AW97" s="155">
        <f t="shared" si="10"/>
        <v>28</v>
      </c>
    </row>
    <row r="98" spans="1:49" s="236" customFormat="1" ht="26.4">
      <c r="A98" s="40">
        <f t="shared" si="6"/>
        <v>92</v>
      </c>
      <c r="B98" s="199"/>
      <c r="C98" s="199"/>
      <c r="D98" s="199"/>
      <c r="E98" s="199"/>
      <c r="F98" s="199"/>
      <c r="G98" s="199"/>
      <c r="H98" s="199"/>
      <c r="I98" s="199"/>
      <c r="J98" s="218" t="s">
        <v>739</v>
      </c>
      <c r="K98" s="204" t="s">
        <v>117</v>
      </c>
      <c r="L98" s="204" t="s">
        <v>740</v>
      </c>
      <c r="M98" s="204"/>
      <c r="N98" s="40" t="s">
        <v>504</v>
      </c>
      <c r="O98" s="199"/>
      <c r="P98" s="199"/>
      <c r="Q98" s="40" t="s">
        <v>6</v>
      </c>
      <c r="R98" s="40" t="s">
        <v>6</v>
      </c>
      <c r="S98" s="40" t="s">
        <v>6</v>
      </c>
      <c r="T98" s="126" t="s">
        <v>6</v>
      </c>
      <c r="U98" s="204" t="s">
        <v>741</v>
      </c>
      <c r="V98" s="204"/>
      <c r="W98" s="204" t="s">
        <v>125</v>
      </c>
      <c r="X98" s="199"/>
      <c r="Y98" s="199"/>
      <c r="Z98" s="40" t="s">
        <v>6</v>
      </c>
      <c r="AA98" s="40" t="s">
        <v>6</v>
      </c>
      <c r="AB98" s="218"/>
      <c r="AC98" s="199"/>
      <c r="AD98" s="218" t="s">
        <v>709</v>
      </c>
      <c r="AE98" s="204" t="s">
        <v>125</v>
      </c>
      <c r="AF98" s="199"/>
      <c r="AG98" s="199"/>
      <c r="AH98" s="199"/>
      <c r="AI98" s="40" t="s">
        <v>6</v>
      </c>
      <c r="AJ98" s="218"/>
      <c r="AK98" s="199"/>
      <c r="AL98" s="218" t="s">
        <v>709</v>
      </c>
      <c r="AM98" s="199"/>
      <c r="AN98" s="199"/>
      <c r="AO98" s="199"/>
      <c r="AP98" s="199"/>
      <c r="AQ98" s="199"/>
      <c r="AR98" s="199"/>
      <c r="AS98" s="199"/>
      <c r="AT98" s="199"/>
      <c r="AU98" s="199"/>
      <c r="AV98" s="199"/>
      <c r="AW98" s="155">
        <f t="shared" si="10"/>
        <v>26</v>
      </c>
    </row>
    <row r="99" spans="1:49" s="236" customFormat="1" ht="26.4">
      <c r="A99" s="40">
        <f t="shared" si="6"/>
        <v>93</v>
      </c>
      <c r="B99" s="199"/>
      <c r="C99" s="199"/>
      <c r="D99" s="199"/>
      <c r="E99" s="199"/>
      <c r="F99" s="199"/>
      <c r="G99" s="199"/>
      <c r="H99" s="199"/>
      <c r="I99" s="199"/>
      <c r="J99" s="218" t="s">
        <v>743</v>
      </c>
      <c r="K99" s="204" t="s">
        <v>134</v>
      </c>
      <c r="L99" s="204" t="s">
        <v>744</v>
      </c>
      <c r="M99" s="204"/>
      <c r="N99" s="40" t="s">
        <v>504</v>
      </c>
      <c r="O99" s="199"/>
      <c r="P99" s="199"/>
      <c r="Q99" s="40" t="s">
        <v>6</v>
      </c>
      <c r="R99" s="40" t="s">
        <v>6</v>
      </c>
      <c r="S99" s="40" t="s">
        <v>6</v>
      </c>
      <c r="T99" s="126" t="s">
        <v>6</v>
      </c>
      <c r="U99" s="200"/>
      <c r="V99" s="204"/>
      <c r="W99" s="204" t="s">
        <v>137</v>
      </c>
      <c r="X99" s="199"/>
      <c r="Y99" s="199"/>
      <c r="Z99" s="40" t="s">
        <v>6</v>
      </c>
      <c r="AA99" s="40" t="s">
        <v>6</v>
      </c>
      <c r="AB99" s="218"/>
      <c r="AC99" s="199"/>
      <c r="AD99" s="218" t="s">
        <v>709</v>
      </c>
      <c r="AE99" s="204" t="s">
        <v>137</v>
      </c>
      <c r="AF99" s="199"/>
      <c r="AG99" s="199"/>
      <c r="AH99" s="199"/>
      <c r="AI99" s="40" t="s">
        <v>6</v>
      </c>
      <c r="AJ99" s="218"/>
      <c r="AK99" s="199"/>
      <c r="AL99" s="218" t="s">
        <v>709</v>
      </c>
      <c r="AM99" s="199"/>
      <c r="AN99" s="199"/>
      <c r="AO99" s="199"/>
      <c r="AP99" s="199"/>
      <c r="AQ99" s="199"/>
      <c r="AR99" s="199"/>
      <c r="AS99" s="199"/>
      <c r="AT99" s="199"/>
      <c r="AU99" s="199"/>
      <c r="AV99" s="199"/>
      <c r="AW99" s="155">
        <f t="shared" si="10"/>
        <v>17</v>
      </c>
    </row>
    <row r="100" spans="1:49" s="236" customFormat="1" ht="26.4">
      <c r="A100" s="40">
        <f t="shared" si="6"/>
        <v>94</v>
      </c>
      <c r="B100" s="199"/>
      <c r="C100" s="199"/>
      <c r="D100" s="199"/>
      <c r="E100" s="199"/>
      <c r="F100" s="199"/>
      <c r="G100" s="199"/>
      <c r="H100" s="199"/>
      <c r="I100" s="199"/>
      <c r="J100" s="218" t="s">
        <v>745</v>
      </c>
      <c r="K100" s="204" t="s">
        <v>117</v>
      </c>
      <c r="L100" s="204" t="s">
        <v>746</v>
      </c>
      <c r="M100" s="204"/>
      <c r="N100" s="40" t="s">
        <v>504</v>
      </c>
      <c r="O100" s="199"/>
      <c r="P100" s="199"/>
      <c r="Q100" s="40" t="s">
        <v>6</v>
      </c>
      <c r="R100" s="40" t="s">
        <v>6</v>
      </c>
      <c r="S100" s="40" t="s">
        <v>6</v>
      </c>
      <c r="T100" s="40" t="s">
        <v>6</v>
      </c>
      <c r="U100" s="200" t="s">
        <v>747</v>
      </c>
      <c r="V100" s="204"/>
      <c r="W100" s="204" t="s">
        <v>133</v>
      </c>
      <c r="X100" s="199"/>
      <c r="Y100" s="199"/>
      <c r="Z100" s="40" t="s">
        <v>6</v>
      </c>
      <c r="AA100" s="40" t="s">
        <v>6</v>
      </c>
      <c r="AB100" s="218"/>
      <c r="AC100" s="199"/>
      <c r="AD100" s="218" t="s">
        <v>709</v>
      </c>
      <c r="AE100" s="204" t="s">
        <v>125</v>
      </c>
      <c r="AF100" s="199"/>
      <c r="AG100" s="199"/>
      <c r="AH100" s="199"/>
      <c r="AI100" s="40" t="s">
        <v>6</v>
      </c>
      <c r="AJ100" s="218"/>
      <c r="AK100" s="199"/>
      <c r="AL100" s="218" t="s">
        <v>709</v>
      </c>
      <c r="AM100" s="199"/>
      <c r="AN100" s="199"/>
      <c r="AO100" s="199"/>
      <c r="AP100" s="199"/>
      <c r="AQ100" s="199"/>
      <c r="AR100" s="199"/>
      <c r="AS100" s="199"/>
      <c r="AT100" s="199"/>
      <c r="AU100" s="199"/>
      <c r="AV100" s="199"/>
      <c r="AW100" s="155">
        <f t="shared" si="10"/>
        <v>38</v>
      </c>
    </row>
    <row r="101" spans="1:49" s="236" customFormat="1" ht="26.4">
      <c r="A101" s="40">
        <f t="shared" si="6"/>
        <v>95</v>
      </c>
      <c r="B101" s="199"/>
      <c r="C101" s="199"/>
      <c r="D101" s="199"/>
      <c r="E101" s="199"/>
      <c r="F101" s="199"/>
      <c r="G101" s="199"/>
      <c r="H101" s="199"/>
      <c r="I101" s="199"/>
      <c r="J101" s="218" t="s">
        <v>748</v>
      </c>
      <c r="K101" s="204" t="s">
        <v>140</v>
      </c>
      <c r="L101" s="204" t="s">
        <v>749</v>
      </c>
      <c r="M101" s="204"/>
      <c r="N101" s="40" t="s">
        <v>504</v>
      </c>
      <c r="O101" s="199"/>
      <c r="P101" s="199"/>
      <c r="Q101" s="40" t="s">
        <v>6</v>
      </c>
      <c r="R101" s="40" t="s">
        <v>6</v>
      </c>
      <c r="S101" s="40" t="s">
        <v>6</v>
      </c>
      <c r="T101" s="126" t="s">
        <v>6</v>
      </c>
      <c r="U101" s="244" t="s">
        <v>750</v>
      </c>
      <c r="V101" s="204"/>
      <c r="W101" s="204" t="s">
        <v>140</v>
      </c>
      <c r="X101" s="199"/>
      <c r="Y101" s="199"/>
      <c r="Z101" s="40" t="s">
        <v>6</v>
      </c>
      <c r="AA101" s="40" t="s">
        <v>6</v>
      </c>
      <c r="AB101" s="218"/>
      <c r="AC101" s="199"/>
      <c r="AD101" s="218" t="s">
        <v>709</v>
      </c>
      <c r="AE101" s="204" t="s">
        <v>137</v>
      </c>
      <c r="AF101" s="199"/>
      <c r="AG101" s="199"/>
      <c r="AH101" s="199"/>
      <c r="AI101" s="40" t="s">
        <v>6</v>
      </c>
      <c r="AJ101" s="218"/>
      <c r="AK101" s="199"/>
      <c r="AL101" s="218" t="s">
        <v>709</v>
      </c>
      <c r="AM101" s="199"/>
      <c r="AN101" s="199"/>
      <c r="AO101" s="199"/>
      <c r="AP101" s="199"/>
      <c r="AQ101" s="199"/>
      <c r="AR101" s="199"/>
      <c r="AS101" s="199"/>
      <c r="AT101" s="199"/>
      <c r="AU101" s="199"/>
      <c r="AV101" s="199"/>
      <c r="AW101" s="155">
        <f t="shared" si="10"/>
        <v>28</v>
      </c>
    </row>
    <row r="102" spans="1:49" s="236" customFormat="1" ht="26.4">
      <c r="A102" s="40">
        <f t="shared" si="6"/>
        <v>96</v>
      </c>
      <c r="B102" s="199"/>
      <c r="C102" s="199"/>
      <c r="D102" s="199"/>
      <c r="E102" s="199"/>
      <c r="F102" s="199"/>
      <c r="G102" s="199"/>
      <c r="H102" s="199"/>
      <c r="I102" s="199"/>
      <c r="J102" s="234" t="s">
        <v>751</v>
      </c>
      <c r="K102" s="204" t="s">
        <v>140</v>
      </c>
      <c r="L102" s="204" t="s">
        <v>749</v>
      </c>
      <c r="M102" s="204"/>
      <c r="N102" s="40" t="s">
        <v>504</v>
      </c>
      <c r="O102" s="199"/>
      <c r="P102" s="199"/>
      <c r="Q102" s="40"/>
      <c r="R102" s="40"/>
      <c r="S102" s="40" t="s">
        <v>6</v>
      </c>
      <c r="T102" s="126" t="s">
        <v>6</v>
      </c>
      <c r="U102" s="244" t="s">
        <v>752</v>
      </c>
      <c r="V102" s="204"/>
      <c r="W102" s="204" t="s">
        <v>140</v>
      </c>
      <c r="X102" s="199"/>
      <c r="Y102" s="199"/>
      <c r="Z102" s="40" t="s">
        <v>6</v>
      </c>
      <c r="AA102" s="40" t="s">
        <v>6</v>
      </c>
      <c r="AB102" s="218"/>
      <c r="AC102" s="199"/>
      <c r="AD102" s="218" t="s">
        <v>709</v>
      </c>
      <c r="AE102" s="204" t="s">
        <v>137</v>
      </c>
      <c r="AF102" s="199"/>
      <c r="AG102" s="199"/>
      <c r="AH102" s="199"/>
      <c r="AI102" s="40" t="s">
        <v>6</v>
      </c>
      <c r="AJ102" s="218"/>
      <c r="AK102" s="199"/>
      <c r="AL102" s="218" t="s">
        <v>709</v>
      </c>
      <c r="AM102" s="199"/>
      <c r="AN102" s="199"/>
      <c r="AO102" s="199"/>
      <c r="AP102" s="199"/>
      <c r="AQ102" s="199"/>
      <c r="AR102" s="199"/>
      <c r="AS102" s="199"/>
      <c r="AT102" s="199"/>
      <c r="AU102" s="199"/>
      <c r="AV102" s="199"/>
      <c r="AW102" s="155">
        <f t="shared" si="10"/>
        <v>28</v>
      </c>
    </row>
    <row r="103" spans="1:49" s="236" customFormat="1" ht="26.4">
      <c r="A103" s="40">
        <f t="shared" si="6"/>
        <v>97</v>
      </c>
      <c r="B103" s="199"/>
      <c r="C103" s="199"/>
      <c r="D103" s="199"/>
      <c r="E103" s="199"/>
      <c r="F103" s="199"/>
      <c r="G103" s="199"/>
      <c r="H103" s="199"/>
      <c r="I103" s="199"/>
      <c r="J103" s="234" t="s">
        <v>753</v>
      </c>
      <c r="K103" s="204" t="s">
        <v>140</v>
      </c>
      <c r="L103" s="204" t="s">
        <v>754</v>
      </c>
      <c r="M103" s="204"/>
      <c r="N103" s="40" t="s">
        <v>504</v>
      </c>
      <c r="O103" s="199"/>
      <c r="P103" s="199"/>
      <c r="Q103" s="40"/>
      <c r="R103" s="40"/>
      <c r="S103" s="40" t="s">
        <v>6</v>
      </c>
      <c r="T103" s="126" t="s">
        <v>6</v>
      </c>
      <c r="U103" s="244" t="s">
        <v>755</v>
      </c>
      <c r="V103" s="204"/>
      <c r="W103" s="204" t="s">
        <v>140</v>
      </c>
      <c r="X103" s="199"/>
      <c r="Y103" s="199"/>
      <c r="Z103" s="40" t="s">
        <v>6</v>
      </c>
      <c r="AA103" s="40" t="s">
        <v>6</v>
      </c>
      <c r="AB103" s="218"/>
      <c r="AC103" s="199"/>
      <c r="AD103" s="218" t="s">
        <v>709</v>
      </c>
      <c r="AE103" s="204" t="s">
        <v>137</v>
      </c>
      <c r="AF103" s="199"/>
      <c r="AG103" s="199"/>
      <c r="AH103" s="199"/>
      <c r="AI103" s="40" t="s">
        <v>6</v>
      </c>
      <c r="AJ103" s="218"/>
      <c r="AK103" s="199"/>
      <c r="AL103" s="218" t="s">
        <v>709</v>
      </c>
      <c r="AM103" s="199"/>
      <c r="AN103" s="199"/>
      <c r="AO103" s="199"/>
      <c r="AP103" s="199"/>
      <c r="AQ103" s="199"/>
      <c r="AR103" s="199"/>
      <c r="AS103" s="199"/>
      <c r="AT103" s="199"/>
      <c r="AU103" s="199"/>
      <c r="AV103" s="199"/>
      <c r="AW103" s="155">
        <f t="shared" si="10"/>
        <v>12</v>
      </c>
    </row>
    <row r="104" spans="1:49" s="236" customFormat="1" ht="26.4">
      <c r="A104" s="40">
        <f t="shared" si="6"/>
        <v>98</v>
      </c>
      <c r="B104" s="199"/>
      <c r="C104" s="199"/>
      <c r="D104" s="199"/>
      <c r="E104" s="199"/>
      <c r="F104" s="199"/>
      <c r="G104" s="199"/>
      <c r="H104" s="199"/>
      <c r="I104" s="199"/>
      <c r="J104" s="218" t="s">
        <v>756</v>
      </c>
      <c r="K104" s="204" t="s">
        <v>140</v>
      </c>
      <c r="L104" s="204" t="s">
        <v>754</v>
      </c>
      <c r="M104" s="204"/>
      <c r="N104" s="40" t="s">
        <v>504</v>
      </c>
      <c r="O104" s="199"/>
      <c r="P104" s="199"/>
      <c r="Q104" s="40" t="s">
        <v>6</v>
      </c>
      <c r="R104" s="40" t="s">
        <v>6</v>
      </c>
      <c r="S104" s="40" t="s">
        <v>6</v>
      </c>
      <c r="T104" s="126" t="s">
        <v>6</v>
      </c>
      <c r="U104" s="200" t="s">
        <v>757</v>
      </c>
      <c r="V104" s="204"/>
      <c r="W104" s="204" t="s">
        <v>140</v>
      </c>
      <c r="X104" s="199"/>
      <c r="Y104" s="199"/>
      <c r="Z104" s="40" t="s">
        <v>6</v>
      </c>
      <c r="AA104" s="40" t="s">
        <v>6</v>
      </c>
      <c r="AB104" s="218"/>
      <c r="AC104" s="199"/>
      <c r="AD104" s="218" t="s">
        <v>709</v>
      </c>
      <c r="AE104" s="204" t="s">
        <v>137</v>
      </c>
      <c r="AF104" s="199"/>
      <c r="AG104" s="199"/>
      <c r="AH104" s="199"/>
      <c r="AI104" s="40" t="s">
        <v>6</v>
      </c>
      <c r="AJ104" s="218"/>
      <c r="AK104" s="199"/>
      <c r="AL104" s="218" t="s">
        <v>709</v>
      </c>
      <c r="AM104" s="199"/>
      <c r="AN104" s="199"/>
      <c r="AO104" s="199"/>
      <c r="AP104" s="199"/>
      <c r="AQ104" s="199"/>
      <c r="AR104" s="199"/>
      <c r="AS104" s="199"/>
      <c r="AT104" s="199"/>
      <c r="AU104" s="199"/>
      <c r="AV104" s="199"/>
      <c r="AW104" s="155">
        <f t="shared" si="10"/>
        <v>12</v>
      </c>
    </row>
    <row r="105" spans="1:49" s="236" customFormat="1" ht="26.4">
      <c r="A105" s="40">
        <f t="shared" si="6"/>
        <v>99</v>
      </c>
      <c r="B105" s="199"/>
      <c r="C105" s="199"/>
      <c r="D105" s="199"/>
      <c r="E105" s="199"/>
      <c r="F105" s="199"/>
      <c r="G105" s="199"/>
      <c r="H105" s="199"/>
      <c r="I105" s="199"/>
      <c r="J105" s="218" t="s">
        <v>758</v>
      </c>
      <c r="K105" s="204" t="s">
        <v>117</v>
      </c>
      <c r="L105" s="204" t="s">
        <v>759</v>
      </c>
      <c r="M105" s="204"/>
      <c r="N105" s="40" t="s">
        <v>504</v>
      </c>
      <c r="O105" s="199"/>
      <c r="P105" s="199"/>
      <c r="Q105" s="40" t="s">
        <v>6</v>
      </c>
      <c r="R105" s="40" t="s">
        <v>6</v>
      </c>
      <c r="S105" s="40" t="s">
        <v>6</v>
      </c>
      <c r="T105" s="126" t="s">
        <v>6</v>
      </c>
      <c r="U105" s="204"/>
      <c r="V105" s="204"/>
      <c r="W105" s="204" t="s">
        <v>133</v>
      </c>
      <c r="X105" s="199"/>
      <c r="Y105" s="199"/>
      <c r="Z105" s="40" t="s">
        <v>6</v>
      </c>
      <c r="AA105" s="40" t="s">
        <v>6</v>
      </c>
      <c r="AB105" s="218"/>
      <c r="AC105" s="199"/>
      <c r="AD105" s="218" t="s">
        <v>709</v>
      </c>
      <c r="AE105" s="204" t="s">
        <v>125</v>
      </c>
      <c r="AF105" s="199"/>
      <c r="AG105" s="199"/>
      <c r="AH105" s="199"/>
      <c r="AI105" s="40" t="s">
        <v>6</v>
      </c>
      <c r="AJ105" s="218"/>
      <c r="AK105" s="199"/>
      <c r="AL105" s="218" t="s">
        <v>709</v>
      </c>
      <c r="AM105" s="199"/>
      <c r="AN105" s="199"/>
      <c r="AO105" s="199"/>
      <c r="AP105" s="199"/>
      <c r="AQ105" s="199"/>
      <c r="AR105" s="199"/>
      <c r="AS105" s="199"/>
      <c r="AT105" s="199"/>
      <c r="AU105" s="199"/>
      <c r="AV105" s="199"/>
      <c r="AW105" s="155">
        <f t="shared" si="10"/>
        <v>33</v>
      </c>
    </row>
    <row r="106" spans="1:49" s="236" customFormat="1" ht="26.4">
      <c r="A106" s="40">
        <f t="shared" si="6"/>
        <v>100</v>
      </c>
      <c r="B106" s="199"/>
      <c r="C106" s="199"/>
      <c r="D106" s="199"/>
      <c r="E106" s="199"/>
      <c r="F106" s="199"/>
      <c r="G106" s="199"/>
      <c r="H106" s="199"/>
      <c r="I106" s="199"/>
      <c r="J106" s="218" t="s">
        <v>760</v>
      </c>
      <c r="K106" s="204" t="s">
        <v>117</v>
      </c>
      <c r="L106" s="204" t="s">
        <v>761</v>
      </c>
      <c r="M106" s="204"/>
      <c r="N106" s="40" t="s">
        <v>504</v>
      </c>
      <c r="O106" s="199"/>
      <c r="P106" s="199"/>
      <c r="Q106" s="40" t="s">
        <v>6</v>
      </c>
      <c r="R106" s="40" t="s">
        <v>6</v>
      </c>
      <c r="S106" s="40" t="s">
        <v>6</v>
      </c>
      <c r="T106" s="40" t="s">
        <v>6</v>
      </c>
      <c r="U106" s="204"/>
      <c r="V106" s="204"/>
      <c r="W106" s="204" t="s">
        <v>133</v>
      </c>
      <c r="X106" s="199"/>
      <c r="Y106" s="199"/>
      <c r="Z106" s="40" t="s">
        <v>6</v>
      </c>
      <c r="AA106" s="40" t="s">
        <v>6</v>
      </c>
      <c r="AB106" s="218"/>
      <c r="AC106" s="199"/>
      <c r="AD106" s="218" t="s">
        <v>709</v>
      </c>
      <c r="AE106" s="204" t="s">
        <v>125</v>
      </c>
      <c r="AF106" s="199"/>
      <c r="AG106" s="199"/>
      <c r="AH106" s="199"/>
      <c r="AI106" s="40" t="s">
        <v>6</v>
      </c>
      <c r="AJ106" s="218"/>
      <c r="AK106" s="199"/>
      <c r="AL106" s="218" t="s">
        <v>709</v>
      </c>
      <c r="AM106" s="199"/>
      <c r="AN106" s="199"/>
      <c r="AO106" s="199"/>
      <c r="AP106" s="199"/>
      <c r="AQ106" s="199"/>
      <c r="AR106" s="199"/>
      <c r="AS106" s="199"/>
      <c r="AT106" s="199"/>
      <c r="AU106" s="199"/>
      <c r="AV106" s="199"/>
      <c r="AW106" s="155">
        <f t="shared" si="10"/>
        <v>37</v>
      </c>
    </row>
    <row r="107" spans="1:49" s="236" customFormat="1" ht="26.4">
      <c r="A107" s="40">
        <f t="shared" si="6"/>
        <v>101</v>
      </c>
      <c r="B107" s="199"/>
      <c r="C107" s="199"/>
      <c r="D107" s="199"/>
      <c r="E107" s="199"/>
      <c r="F107" s="199"/>
      <c r="G107" s="199"/>
      <c r="H107" s="199"/>
      <c r="I107" s="199"/>
      <c r="J107" s="218" t="s">
        <v>762</v>
      </c>
      <c r="K107" s="204" t="s">
        <v>117</v>
      </c>
      <c r="L107" s="204" t="s">
        <v>763</v>
      </c>
      <c r="M107" s="204"/>
      <c r="N107" s="40" t="s">
        <v>504</v>
      </c>
      <c r="O107" s="199"/>
      <c r="P107" s="199"/>
      <c r="Q107" s="40" t="s">
        <v>6</v>
      </c>
      <c r="R107" s="40" t="s">
        <v>6</v>
      </c>
      <c r="S107" s="40" t="s">
        <v>6</v>
      </c>
      <c r="T107" s="126" t="s">
        <v>6</v>
      </c>
      <c r="U107" s="200"/>
      <c r="V107" s="204"/>
      <c r="W107" s="204" t="s">
        <v>133</v>
      </c>
      <c r="X107" s="199"/>
      <c r="Y107" s="199"/>
      <c r="Z107" s="40" t="s">
        <v>6</v>
      </c>
      <c r="AA107" s="40" t="s">
        <v>6</v>
      </c>
      <c r="AB107" s="218"/>
      <c r="AC107" s="199"/>
      <c r="AD107" s="218" t="s">
        <v>709</v>
      </c>
      <c r="AE107" s="204" t="s">
        <v>125</v>
      </c>
      <c r="AF107" s="199"/>
      <c r="AG107" s="199"/>
      <c r="AH107" s="199"/>
      <c r="AI107" s="40" t="s">
        <v>6</v>
      </c>
      <c r="AJ107" s="218"/>
      <c r="AK107" s="199"/>
      <c r="AL107" s="218" t="s">
        <v>709</v>
      </c>
      <c r="AM107" s="199"/>
      <c r="AN107" s="199"/>
      <c r="AO107" s="199"/>
      <c r="AP107" s="199"/>
      <c r="AQ107" s="199"/>
      <c r="AR107" s="199"/>
      <c r="AS107" s="199"/>
      <c r="AT107" s="199"/>
      <c r="AU107" s="199"/>
      <c r="AV107" s="199"/>
      <c r="AW107" s="155">
        <f t="shared" si="10"/>
        <v>24</v>
      </c>
    </row>
    <row r="108" spans="1:49" s="236" customFormat="1" ht="15">
      <c r="A108" s="40">
        <f t="shared" si="6"/>
        <v>102</v>
      </c>
      <c r="B108" s="199"/>
      <c r="C108" s="199"/>
      <c r="D108" s="199"/>
      <c r="E108" s="199"/>
      <c r="F108" s="199"/>
      <c r="G108" s="199"/>
      <c r="H108" s="199"/>
      <c r="I108" s="199"/>
      <c r="J108" s="218" t="s">
        <v>764</v>
      </c>
      <c r="K108" s="232" t="s">
        <v>117</v>
      </c>
      <c r="L108" s="204" t="s">
        <v>765</v>
      </c>
      <c r="M108" s="204"/>
      <c r="N108" s="126" t="s">
        <v>504</v>
      </c>
      <c r="O108" s="126"/>
      <c r="P108" s="126"/>
      <c r="Q108" s="40" t="s">
        <v>6</v>
      </c>
      <c r="R108" s="40" t="s">
        <v>6</v>
      </c>
      <c r="S108" s="126" t="s">
        <v>6</v>
      </c>
      <c r="T108" s="40" t="s">
        <v>6</v>
      </c>
      <c r="U108" s="200"/>
      <c r="V108" s="204"/>
      <c r="W108" s="204" t="s">
        <v>133</v>
      </c>
      <c r="X108" s="199"/>
      <c r="Y108" s="199"/>
      <c r="Z108" s="40" t="s">
        <v>6</v>
      </c>
      <c r="AA108" s="126" t="s">
        <v>6</v>
      </c>
      <c r="AB108" s="198"/>
      <c r="AC108" s="199"/>
      <c r="AD108" s="199"/>
      <c r="AE108" s="232" t="s">
        <v>125</v>
      </c>
      <c r="AF108" s="199"/>
      <c r="AG108" s="199"/>
      <c r="AH108" s="199"/>
      <c r="AI108" s="126" t="s">
        <v>6</v>
      </c>
      <c r="AJ108" s="198"/>
      <c r="AK108" s="199"/>
      <c r="AL108" s="199"/>
      <c r="AM108" s="199"/>
      <c r="AN108" s="199"/>
      <c r="AO108" s="199"/>
      <c r="AP108" s="199"/>
      <c r="AQ108" s="199"/>
      <c r="AR108" s="199"/>
      <c r="AS108" s="199"/>
      <c r="AT108" s="199"/>
      <c r="AU108" s="199"/>
      <c r="AV108" s="199"/>
      <c r="AW108" s="155">
        <f t="shared" si="10"/>
        <v>25</v>
      </c>
    </row>
    <row r="109" spans="1:49" s="236" customFormat="1" ht="15">
      <c r="A109" s="40">
        <f t="shared" si="6"/>
        <v>103</v>
      </c>
      <c r="B109" s="199"/>
      <c r="C109" s="199"/>
      <c r="D109" s="199"/>
      <c r="E109" s="199"/>
      <c r="F109" s="199"/>
      <c r="G109" s="199"/>
      <c r="H109" s="199"/>
      <c r="I109" s="199"/>
      <c r="J109" s="218" t="s">
        <v>766</v>
      </c>
      <c r="K109" s="232" t="s">
        <v>117</v>
      </c>
      <c r="L109" s="204" t="s">
        <v>767</v>
      </c>
      <c r="M109" s="204"/>
      <c r="N109" s="126" t="s">
        <v>504</v>
      </c>
      <c r="O109" s="126"/>
      <c r="P109" s="126"/>
      <c r="Q109" s="40" t="s">
        <v>6</v>
      </c>
      <c r="R109" s="40" t="s">
        <v>6</v>
      </c>
      <c r="S109" s="126" t="s">
        <v>6</v>
      </c>
      <c r="T109" s="40" t="s">
        <v>6</v>
      </c>
      <c r="U109" s="200"/>
      <c r="V109" s="204"/>
      <c r="W109" s="204" t="s">
        <v>133</v>
      </c>
      <c r="X109" s="199"/>
      <c r="Y109" s="199"/>
      <c r="Z109" s="40" t="s">
        <v>6</v>
      </c>
      <c r="AA109" s="126" t="s">
        <v>6</v>
      </c>
      <c r="AB109" s="198"/>
      <c r="AC109" s="199"/>
      <c r="AD109" s="199"/>
      <c r="AE109" s="232" t="s">
        <v>125</v>
      </c>
      <c r="AF109" s="199"/>
      <c r="AG109" s="199"/>
      <c r="AH109" s="199"/>
      <c r="AI109" s="126" t="s">
        <v>6</v>
      </c>
      <c r="AJ109" s="198"/>
      <c r="AK109" s="199"/>
      <c r="AL109" s="199"/>
      <c r="AM109" s="199"/>
      <c r="AN109" s="199"/>
      <c r="AO109" s="199"/>
      <c r="AP109" s="199"/>
      <c r="AQ109" s="199"/>
      <c r="AR109" s="199"/>
      <c r="AS109" s="199"/>
      <c r="AT109" s="199"/>
      <c r="AU109" s="199"/>
      <c r="AV109" s="199"/>
      <c r="AW109" s="155">
        <f t="shared" si="10"/>
        <v>25</v>
      </c>
    </row>
    <row r="110" spans="1:49" s="236" customFormat="1" ht="15">
      <c r="A110" s="40">
        <f t="shared" si="6"/>
        <v>104</v>
      </c>
      <c r="B110" s="199"/>
      <c r="C110" s="199"/>
      <c r="D110" s="199"/>
      <c r="E110" s="199"/>
      <c r="F110" s="199"/>
      <c r="G110" s="199"/>
      <c r="H110" s="199"/>
      <c r="I110" s="199"/>
      <c r="J110" s="218" t="s">
        <v>3332</v>
      </c>
      <c r="K110" s="232" t="s">
        <v>117</v>
      </c>
      <c r="L110" s="204" t="s">
        <v>3333</v>
      </c>
      <c r="M110" s="204"/>
      <c r="N110" s="126" t="s">
        <v>504</v>
      </c>
      <c r="O110" s="126"/>
      <c r="P110" s="126"/>
      <c r="Q110" s="40"/>
      <c r="R110" s="40" t="s">
        <v>6</v>
      </c>
      <c r="S110" s="126" t="s">
        <v>6</v>
      </c>
      <c r="T110" s="40" t="s">
        <v>6</v>
      </c>
      <c r="U110" s="200"/>
      <c r="V110" s="204"/>
      <c r="W110" s="204" t="s">
        <v>133</v>
      </c>
      <c r="X110" s="199"/>
      <c r="Y110" s="199"/>
      <c r="Z110" s="40" t="s">
        <v>6</v>
      </c>
      <c r="AA110" s="126" t="s">
        <v>6</v>
      </c>
      <c r="AB110" s="198"/>
      <c r="AC110" s="199"/>
      <c r="AD110" s="199"/>
      <c r="AE110" s="232" t="s">
        <v>125</v>
      </c>
      <c r="AF110" s="199"/>
      <c r="AG110" s="199"/>
      <c r="AH110" s="199"/>
      <c r="AI110" s="126" t="s">
        <v>6</v>
      </c>
      <c r="AJ110" s="198"/>
      <c r="AK110" s="199"/>
      <c r="AL110" s="199"/>
      <c r="AM110" s="199"/>
      <c r="AN110" s="199"/>
      <c r="AO110" s="199"/>
      <c r="AP110" s="199"/>
      <c r="AQ110" s="199"/>
      <c r="AR110" s="199"/>
      <c r="AS110" s="199"/>
      <c r="AT110" s="199"/>
      <c r="AU110" s="199"/>
      <c r="AV110" s="199"/>
      <c r="AW110" s="155">
        <f t="shared" ref="AW110" si="11">LEN(L110)</f>
        <v>32</v>
      </c>
    </row>
    <row r="111" spans="1:49" s="236" customFormat="1" ht="15">
      <c r="A111" s="40">
        <f t="shared" si="6"/>
        <v>105</v>
      </c>
      <c r="B111" s="199"/>
      <c r="C111" s="199"/>
      <c r="D111" s="199"/>
      <c r="E111" s="199"/>
      <c r="F111" s="199"/>
      <c r="G111" s="199"/>
      <c r="H111" s="199"/>
      <c r="I111" s="199"/>
      <c r="J111" s="218" t="s">
        <v>3334</v>
      </c>
      <c r="K111" s="232" t="s">
        <v>117</v>
      </c>
      <c r="L111" s="204" t="s">
        <v>3335</v>
      </c>
      <c r="M111" s="204"/>
      <c r="N111" s="126" t="s">
        <v>504</v>
      </c>
      <c r="O111" s="126"/>
      <c r="P111" s="126"/>
      <c r="Q111" s="40"/>
      <c r="R111" s="40" t="s">
        <v>6</v>
      </c>
      <c r="S111" s="126" t="s">
        <v>6</v>
      </c>
      <c r="T111" s="40" t="s">
        <v>6</v>
      </c>
      <c r="U111" s="200"/>
      <c r="V111" s="204"/>
      <c r="W111" s="204" t="s">
        <v>133</v>
      </c>
      <c r="X111" s="199"/>
      <c r="Y111" s="199"/>
      <c r="Z111" s="40" t="s">
        <v>6</v>
      </c>
      <c r="AA111" s="126" t="s">
        <v>6</v>
      </c>
      <c r="AB111" s="198"/>
      <c r="AC111" s="199"/>
      <c r="AD111" s="199"/>
      <c r="AE111" s="232" t="s">
        <v>125</v>
      </c>
      <c r="AF111" s="199"/>
      <c r="AG111" s="199"/>
      <c r="AH111" s="199"/>
      <c r="AI111" s="126" t="s">
        <v>6</v>
      </c>
      <c r="AJ111" s="198"/>
      <c r="AK111" s="199"/>
      <c r="AL111" s="199"/>
      <c r="AM111" s="199"/>
      <c r="AN111" s="199"/>
      <c r="AO111" s="199"/>
      <c r="AP111" s="199"/>
      <c r="AQ111" s="199"/>
      <c r="AR111" s="199"/>
      <c r="AS111" s="199"/>
      <c r="AT111" s="199"/>
      <c r="AU111" s="199"/>
      <c r="AV111" s="199"/>
      <c r="AW111" s="155">
        <f t="shared" ref="AW111" si="12">LEN(L111)</f>
        <v>32</v>
      </c>
    </row>
    <row r="112" spans="1:49" s="236" customFormat="1" ht="15">
      <c r="A112" s="40">
        <f t="shared" si="6"/>
        <v>106</v>
      </c>
      <c r="B112" s="199"/>
      <c r="C112" s="199"/>
      <c r="D112" s="199"/>
      <c r="E112" s="199"/>
      <c r="F112" s="199"/>
      <c r="G112" s="199"/>
      <c r="H112" s="199"/>
      <c r="I112" s="199"/>
      <c r="J112" s="218" t="s">
        <v>3336</v>
      </c>
      <c r="K112" s="232" t="s">
        <v>117</v>
      </c>
      <c r="L112" s="204" t="s">
        <v>3337</v>
      </c>
      <c r="M112" s="204"/>
      <c r="N112" s="126" t="s">
        <v>504</v>
      </c>
      <c r="O112" s="126"/>
      <c r="P112" s="126"/>
      <c r="Q112" s="40"/>
      <c r="R112" s="40" t="s">
        <v>6</v>
      </c>
      <c r="S112" s="126" t="s">
        <v>6</v>
      </c>
      <c r="T112" s="40" t="s">
        <v>6</v>
      </c>
      <c r="U112" s="200"/>
      <c r="V112" s="204"/>
      <c r="W112" s="204" t="s">
        <v>133</v>
      </c>
      <c r="X112" s="199"/>
      <c r="Y112" s="199"/>
      <c r="Z112" s="40" t="s">
        <v>6</v>
      </c>
      <c r="AA112" s="126" t="s">
        <v>6</v>
      </c>
      <c r="AB112" s="198"/>
      <c r="AC112" s="199"/>
      <c r="AD112" s="199"/>
      <c r="AE112" s="232" t="s">
        <v>125</v>
      </c>
      <c r="AF112" s="199"/>
      <c r="AG112" s="199"/>
      <c r="AH112" s="199"/>
      <c r="AI112" s="126" t="s">
        <v>6</v>
      </c>
      <c r="AJ112" s="198"/>
      <c r="AK112" s="199"/>
      <c r="AL112" s="199"/>
      <c r="AM112" s="199"/>
      <c r="AN112" s="199"/>
      <c r="AO112" s="199"/>
      <c r="AP112" s="199"/>
      <c r="AQ112" s="199"/>
      <c r="AR112" s="199"/>
      <c r="AS112" s="199"/>
      <c r="AT112" s="199"/>
      <c r="AU112" s="199"/>
      <c r="AV112" s="199"/>
      <c r="AW112" s="155">
        <f t="shared" ref="AW112" si="13">LEN(L112)</f>
        <v>32</v>
      </c>
    </row>
    <row r="113" spans="1:87" s="236" customFormat="1" ht="26.4">
      <c r="A113" s="40">
        <f t="shared" si="6"/>
        <v>107</v>
      </c>
      <c r="B113" s="199"/>
      <c r="C113" s="199"/>
      <c r="D113" s="199"/>
      <c r="E113" s="199"/>
      <c r="F113" s="199"/>
      <c r="G113" s="199"/>
      <c r="H113" s="199"/>
      <c r="I113" s="199"/>
      <c r="J113" s="218" t="s">
        <v>769</v>
      </c>
      <c r="K113" s="204" t="s">
        <v>117</v>
      </c>
      <c r="L113" s="204" t="s">
        <v>770</v>
      </c>
      <c r="M113" s="204"/>
      <c r="N113" s="40" t="s">
        <v>504</v>
      </c>
      <c r="O113" s="199"/>
      <c r="P113" s="199"/>
      <c r="Q113" s="40"/>
      <c r="R113" s="40" t="s">
        <v>6</v>
      </c>
      <c r="S113" s="40" t="s">
        <v>6</v>
      </c>
      <c r="T113" s="126" t="s">
        <v>6</v>
      </c>
      <c r="U113" s="200" t="s">
        <v>771</v>
      </c>
      <c r="V113" s="204"/>
      <c r="W113" s="204" t="s">
        <v>133</v>
      </c>
      <c r="X113" s="199"/>
      <c r="Y113" s="199"/>
      <c r="Z113" s="40" t="s">
        <v>6</v>
      </c>
      <c r="AA113" s="40" t="s">
        <v>6</v>
      </c>
      <c r="AB113" s="218"/>
      <c r="AC113" s="199"/>
      <c r="AD113" s="218" t="s">
        <v>772</v>
      </c>
      <c r="AE113" s="204" t="s">
        <v>125</v>
      </c>
      <c r="AF113" s="199"/>
      <c r="AG113" s="199"/>
      <c r="AH113" s="199"/>
      <c r="AI113" s="40" t="s">
        <v>6</v>
      </c>
      <c r="AJ113" s="218"/>
      <c r="AK113" s="199"/>
      <c r="AL113" s="218" t="s">
        <v>773</v>
      </c>
      <c r="AM113" s="199"/>
      <c r="AN113" s="199"/>
      <c r="AO113" s="199"/>
      <c r="AP113" s="199"/>
      <c r="AQ113" s="199"/>
      <c r="AR113" s="199"/>
      <c r="AS113" s="199"/>
      <c r="AT113" s="199"/>
      <c r="AU113" s="199"/>
      <c r="AV113" s="199"/>
      <c r="AW113" s="155">
        <f t="shared" si="10"/>
        <v>21</v>
      </c>
    </row>
    <row r="114" spans="1:87" s="236" customFormat="1" ht="26.4">
      <c r="A114" s="40">
        <f t="shared" si="6"/>
        <v>108</v>
      </c>
      <c r="B114" s="199"/>
      <c r="C114" s="199"/>
      <c r="D114" s="199"/>
      <c r="E114" s="199"/>
      <c r="F114" s="199"/>
      <c r="G114" s="199"/>
      <c r="H114" s="199"/>
      <c r="I114" s="199"/>
      <c r="J114" s="218" t="s">
        <v>774</v>
      </c>
      <c r="K114" s="204" t="s">
        <v>117</v>
      </c>
      <c r="L114" s="204" t="s">
        <v>775</v>
      </c>
      <c r="M114" s="204"/>
      <c r="N114" s="40" t="s">
        <v>504</v>
      </c>
      <c r="O114" s="199"/>
      <c r="P114" s="199"/>
      <c r="Q114" s="40"/>
      <c r="R114" s="40" t="s">
        <v>6</v>
      </c>
      <c r="S114" s="40" t="s">
        <v>6</v>
      </c>
      <c r="T114" s="126" t="s">
        <v>6</v>
      </c>
      <c r="U114" s="200" t="s">
        <v>771</v>
      </c>
      <c r="V114" s="204"/>
      <c r="W114" s="204" t="s">
        <v>133</v>
      </c>
      <c r="X114" s="199"/>
      <c r="Y114" s="199"/>
      <c r="Z114" s="40" t="s">
        <v>6</v>
      </c>
      <c r="AA114" s="40" t="s">
        <v>6</v>
      </c>
      <c r="AB114" s="218"/>
      <c r="AC114" s="199"/>
      <c r="AD114" s="218" t="s">
        <v>772</v>
      </c>
      <c r="AE114" s="204" t="s">
        <v>125</v>
      </c>
      <c r="AF114" s="199"/>
      <c r="AG114" s="199"/>
      <c r="AH114" s="199"/>
      <c r="AI114" s="40" t="s">
        <v>6</v>
      </c>
      <c r="AJ114" s="218"/>
      <c r="AK114" s="199"/>
      <c r="AL114" s="218" t="s">
        <v>773</v>
      </c>
      <c r="AM114" s="199"/>
      <c r="AN114" s="199"/>
      <c r="AO114" s="199"/>
      <c r="AP114" s="199"/>
      <c r="AQ114" s="199"/>
      <c r="AR114" s="199"/>
      <c r="AS114" s="199"/>
      <c r="AT114" s="199"/>
      <c r="AU114" s="199"/>
      <c r="AV114" s="199"/>
      <c r="AW114" s="155">
        <f t="shared" si="8"/>
        <v>27</v>
      </c>
    </row>
    <row r="115" spans="1:87" s="236" customFormat="1" ht="26.4">
      <c r="A115" s="40">
        <f t="shared" si="6"/>
        <v>109</v>
      </c>
      <c r="B115" s="199"/>
      <c r="C115" s="199"/>
      <c r="D115" s="199"/>
      <c r="E115" s="199"/>
      <c r="F115" s="199"/>
      <c r="G115" s="199"/>
      <c r="H115" s="199"/>
      <c r="I115" s="199"/>
      <c r="J115" s="218" t="s">
        <v>776</v>
      </c>
      <c r="K115" s="204" t="s">
        <v>117</v>
      </c>
      <c r="L115" s="204" t="s">
        <v>777</v>
      </c>
      <c r="M115" s="204"/>
      <c r="N115" s="40" t="s">
        <v>504</v>
      </c>
      <c r="O115" s="199"/>
      <c r="P115" s="199"/>
      <c r="Q115" s="40"/>
      <c r="R115" s="40" t="s">
        <v>6</v>
      </c>
      <c r="S115" s="40" t="s">
        <v>6</v>
      </c>
      <c r="T115" s="126" t="s">
        <v>6</v>
      </c>
      <c r="U115" s="200" t="s">
        <v>771</v>
      </c>
      <c r="V115" s="204"/>
      <c r="W115" s="204" t="s">
        <v>133</v>
      </c>
      <c r="X115" s="199"/>
      <c r="Y115" s="199"/>
      <c r="Z115" s="40" t="s">
        <v>6</v>
      </c>
      <c r="AA115" s="40" t="s">
        <v>6</v>
      </c>
      <c r="AB115" s="218"/>
      <c r="AC115" s="199"/>
      <c r="AD115" s="218" t="s">
        <v>772</v>
      </c>
      <c r="AE115" s="204" t="s">
        <v>125</v>
      </c>
      <c r="AF115" s="199"/>
      <c r="AG115" s="199"/>
      <c r="AH115" s="199"/>
      <c r="AI115" s="40" t="s">
        <v>6</v>
      </c>
      <c r="AJ115" s="218"/>
      <c r="AK115" s="199"/>
      <c r="AL115" s="218" t="s">
        <v>773</v>
      </c>
      <c r="AM115" s="199"/>
      <c r="AN115" s="199"/>
      <c r="AO115" s="199"/>
      <c r="AP115" s="199"/>
      <c r="AQ115" s="199"/>
      <c r="AR115" s="199"/>
      <c r="AS115" s="199"/>
      <c r="AT115" s="199"/>
      <c r="AU115" s="199"/>
      <c r="AV115" s="199"/>
      <c r="AW115" s="155">
        <f t="shared" si="8"/>
        <v>31</v>
      </c>
    </row>
    <row r="116" spans="1:87" s="236" customFormat="1" ht="26.4">
      <c r="A116" s="40">
        <f t="shared" si="6"/>
        <v>110</v>
      </c>
      <c r="B116" s="199"/>
      <c r="C116" s="199"/>
      <c r="D116" s="199"/>
      <c r="E116" s="199"/>
      <c r="F116" s="199"/>
      <c r="G116" s="199"/>
      <c r="H116" s="199"/>
      <c r="I116" s="199"/>
      <c r="J116" s="218" t="s">
        <v>778</v>
      </c>
      <c r="K116" s="204" t="s">
        <v>117</v>
      </c>
      <c r="L116" s="204" t="s">
        <v>779</v>
      </c>
      <c r="M116" s="204"/>
      <c r="N116" s="40" t="s">
        <v>504</v>
      </c>
      <c r="O116" s="199"/>
      <c r="P116" s="199"/>
      <c r="Q116" s="40"/>
      <c r="R116" s="40" t="s">
        <v>6</v>
      </c>
      <c r="S116" s="40" t="s">
        <v>6</v>
      </c>
      <c r="T116" s="126" t="s">
        <v>6</v>
      </c>
      <c r="U116" s="200" t="s">
        <v>771</v>
      </c>
      <c r="V116" s="204"/>
      <c r="W116" s="204" t="s">
        <v>133</v>
      </c>
      <c r="X116" s="199"/>
      <c r="Y116" s="199"/>
      <c r="Z116" s="40" t="s">
        <v>6</v>
      </c>
      <c r="AA116" s="40" t="s">
        <v>6</v>
      </c>
      <c r="AB116" s="218"/>
      <c r="AC116" s="199"/>
      <c r="AD116" s="218" t="s">
        <v>772</v>
      </c>
      <c r="AE116" s="204" t="s">
        <v>125</v>
      </c>
      <c r="AF116" s="199"/>
      <c r="AG116" s="199"/>
      <c r="AH116" s="199"/>
      <c r="AI116" s="40" t="s">
        <v>6</v>
      </c>
      <c r="AJ116" s="218"/>
      <c r="AK116" s="199"/>
      <c r="AL116" s="218" t="s">
        <v>773</v>
      </c>
      <c r="AM116" s="199"/>
      <c r="AN116" s="199"/>
      <c r="AO116" s="199"/>
      <c r="AP116" s="199"/>
      <c r="AQ116" s="199"/>
      <c r="AR116" s="199"/>
      <c r="AS116" s="199"/>
      <c r="AT116" s="199"/>
      <c r="AU116" s="199"/>
      <c r="AV116" s="199"/>
      <c r="AW116" s="155">
        <f t="shared" si="8"/>
        <v>26</v>
      </c>
    </row>
    <row r="117" spans="1:87" s="236" customFormat="1" ht="26.4">
      <c r="A117" s="40">
        <f t="shared" si="6"/>
        <v>111</v>
      </c>
      <c r="B117" s="199"/>
      <c r="C117" s="199"/>
      <c r="D117" s="199"/>
      <c r="E117" s="199"/>
      <c r="F117" s="199"/>
      <c r="G117" s="199"/>
      <c r="H117" s="199"/>
      <c r="I117" s="199"/>
      <c r="J117" s="218" t="s">
        <v>780</v>
      </c>
      <c r="K117" s="204" t="s">
        <v>117</v>
      </c>
      <c r="L117" s="204" t="s">
        <v>781</v>
      </c>
      <c r="M117" s="204"/>
      <c r="N117" s="40" t="s">
        <v>504</v>
      </c>
      <c r="O117" s="199"/>
      <c r="P117" s="199"/>
      <c r="Q117" s="40"/>
      <c r="R117" s="40" t="s">
        <v>6</v>
      </c>
      <c r="S117" s="40" t="s">
        <v>6</v>
      </c>
      <c r="T117" s="126" t="s">
        <v>6</v>
      </c>
      <c r="U117" s="200" t="s">
        <v>771</v>
      </c>
      <c r="V117" s="204"/>
      <c r="W117" s="204" t="s">
        <v>133</v>
      </c>
      <c r="X117" s="199"/>
      <c r="Y117" s="199"/>
      <c r="Z117" s="40" t="s">
        <v>6</v>
      </c>
      <c r="AA117" s="40" t="s">
        <v>6</v>
      </c>
      <c r="AB117" s="218"/>
      <c r="AC117" s="199"/>
      <c r="AD117" s="218" t="s">
        <v>772</v>
      </c>
      <c r="AE117" s="204" t="s">
        <v>125</v>
      </c>
      <c r="AF117" s="199"/>
      <c r="AG117" s="199"/>
      <c r="AH117" s="199"/>
      <c r="AI117" s="40" t="s">
        <v>6</v>
      </c>
      <c r="AJ117" s="218"/>
      <c r="AK117" s="199"/>
      <c r="AL117" s="218" t="s">
        <v>773</v>
      </c>
      <c r="AM117" s="199"/>
      <c r="AN117" s="199"/>
      <c r="AO117" s="199"/>
      <c r="AP117" s="199"/>
      <c r="AQ117" s="199"/>
      <c r="AR117" s="199"/>
      <c r="AS117" s="199"/>
      <c r="AT117" s="199"/>
      <c r="AU117" s="199"/>
      <c r="AV117" s="199"/>
      <c r="AW117" s="155">
        <f t="shared" si="8"/>
        <v>30</v>
      </c>
    </row>
    <row r="118" spans="1:87" s="236" customFormat="1" ht="26.4">
      <c r="A118" s="40">
        <f t="shared" si="6"/>
        <v>112</v>
      </c>
      <c r="B118" s="199"/>
      <c r="C118" s="199"/>
      <c r="D118" s="199"/>
      <c r="E118" s="199"/>
      <c r="F118" s="199"/>
      <c r="G118" s="199"/>
      <c r="H118" s="199"/>
      <c r="I118" s="199"/>
      <c r="J118" s="218" t="s">
        <v>782</v>
      </c>
      <c r="K118" s="204" t="s">
        <v>117</v>
      </c>
      <c r="L118" s="204" t="s">
        <v>783</v>
      </c>
      <c r="M118" s="204"/>
      <c r="N118" s="40" t="s">
        <v>504</v>
      </c>
      <c r="O118" s="199"/>
      <c r="P118" s="199"/>
      <c r="Q118" s="40"/>
      <c r="R118" s="40" t="s">
        <v>6</v>
      </c>
      <c r="S118" s="40" t="s">
        <v>6</v>
      </c>
      <c r="T118" s="126" t="s">
        <v>6</v>
      </c>
      <c r="U118" s="200" t="s">
        <v>771</v>
      </c>
      <c r="V118" s="204"/>
      <c r="W118" s="204" t="s">
        <v>133</v>
      </c>
      <c r="X118" s="199"/>
      <c r="Y118" s="199"/>
      <c r="Z118" s="40" t="s">
        <v>6</v>
      </c>
      <c r="AA118" s="40" t="s">
        <v>6</v>
      </c>
      <c r="AB118" s="218"/>
      <c r="AC118" s="199"/>
      <c r="AD118" s="218" t="s">
        <v>772</v>
      </c>
      <c r="AE118" s="204" t="s">
        <v>125</v>
      </c>
      <c r="AF118" s="199"/>
      <c r="AG118" s="199"/>
      <c r="AH118" s="199"/>
      <c r="AI118" s="40" t="s">
        <v>6</v>
      </c>
      <c r="AJ118" s="218"/>
      <c r="AK118" s="199"/>
      <c r="AL118" s="218" t="s">
        <v>773</v>
      </c>
      <c r="AM118" s="199"/>
      <c r="AN118" s="199"/>
      <c r="AO118" s="199"/>
      <c r="AP118" s="199"/>
      <c r="AQ118" s="199"/>
      <c r="AR118" s="199"/>
      <c r="AS118" s="199"/>
      <c r="AT118" s="199"/>
      <c r="AU118" s="199"/>
      <c r="AV118" s="199"/>
      <c r="AW118" s="155">
        <f t="shared" si="8"/>
        <v>27</v>
      </c>
    </row>
    <row r="119" spans="1:87" s="236" customFormat="1" ht="26.4">
      <c r="A119" s="40">
        <f t="shared" si="6"/>
        <v>113</v>
      </c>
      <c r="B119" s="199"/>
      <c r="C119" s="199"/>
      <c r="D119" s="199"/>
      <c r="E119" s="199"/>
      <c r="F119" s="199"/>
      <c r="G119" s="199"/>
      <c r="H119" s="199"/>
      <c r="I119" s="199"/>
      <c r="J119" s="218" t="s">
        <v>784</v>
      </c>
      <c r="K119" s="204" t="s">
        <v>117</v>
      </c>
      <c r="L119" s="204" t="s">
        <v>785</v>
      </c>
      <c r="M119" s="204"/>
      <c r="N119" s="40" t="s">
        <v>504</v>
      </c>
      <c r="O119" s="199"/>
      <c r="P119" s="199"/>
      <c r="Q119" s="40"/>
      <c r="R119" s="40" t="s">
        <v>6</v>
      </c>
      <c r="S119" s="40" t="s">
        <v>6</v>
      </c>
      <c r="T119" s="126" t="s">
        <v>6</v>
      </c>
      <c r="U119" s="200" t="s">
        <v>771</v>
      </c>
      <c r="V119" s="204"/>
      <c r="W119" s="204" t="s">
        <v>133</v>
      </c>
      <c r="X119" s="199"/>
      <c r="Y119" s="199"/>
      <c r="Z119" s="40" t="s">
        <v>6</v>
      </c>
      <c r="AA119" s="40" t="s">
        <v>6</v>
      </c>
      <c r="AB119" s="218"/>
      <c r="AC119" s="199"/>
      <c r="AD119" s="218" t="s">
        <v>772</v>
      </c>
      <c r="AE119" s="204" t="s">
        <v>125</v>
      </c>
      <c r="AF119" s="199"/>
      <c r="AG119" s="199"/>
      <c r="AH119" s="199"/>
      <c r="AI119" s="40" t="s">
        <v>6</v>
      </c>
      <c r="AJ119" s="218"/>
      <c r="AK119" s="199"/>
      <c r="AL119" s="218" t="s">
        <v>773</v>
      </c>
      <c r="AM119" s="199"/>
      <c r="AN119" s="199"/>
      <c r="AO119" s="199"/>
      <c r="AP119" s="199"/>
      <c r="AQ119" s="199"/>
      <c r="AR119" s="199"/>
      <c r="AS119" s="199"/>
      <c r="AT119" s="199"/>
      <c r="AU119" s="199"/>
      <c r="AV119" s="199"/>
      <c r="AW119" s="155">
        <f t="shared" si="8"/>
        <v>28</v>
      </c>
    </row>
    <row r="120" spans="1:87" s="236" customFormat="1" ht="26.4">
      <c r="A120" s="40">
        <f t="shared" si="6"/>
        <v>114</v>
      </c>
      <c r="B120" s="199"/>
      <c r="C120" s="199"/>
      <c r="D120" s="199"/>
      <c r="E120" s="199"/>
      <c r="F120" s="199"/>
      <c r="G120" s="199"/>
      <c r="H120" s="199"/>
      <c r="I120" s="199"/>
      <c r="J120" s="218" t="s">
        <v>786</v>
      </c>
      <c r="K120" s="204" t="s">
        <v>117</v>
      </c>
      <c r="L120" s="204" t="s">
        <v>787</v>
      </c>
      <c r="M120" s="204"/>
      <c r="N120" s="40" t="s">
        <v>504</v>
      </c>
      <c r="O120" s="199"/>
      <c r="P120" s="199"/>
      <c r="Q120" s="40" t="s">
        <v>6</v>
      </c>
      <c r="R120" s="40" t="s">
        <v>6</v>
      </c>
      <c r="S120" s="40" t="s">
        <v>6</v>
      </c>
      <c r="T120" s="126" t="s">
        <v>6</v>
      </c>
      <c r="U120" s="200" t="s">
        <v>771</v>
      </c>
      <c r="V120" s="204"/>
      <c r="W120" s="204" t="s">
        <v>133</v>
      </c>
      <c r="X120" s="199"/>
      <c r="Y120" s="199"/>
      <c r="Z120" s="40" t="s">
        <v>6</v>
      </c>
      <c r="AA120" s="40" t="s">
        <v>6</v>
      </c>
      <c r="AB120" s="218"/>
      <c r="AC120" s="199"/>
      <c r="AD120" s="218" t="s">
        <v>772</v>
      </c>
      <c r="AE120" s="204" t="s">
        <v>125</v>
      </c>
      <c r="AF120" s="199"/>
      <c r="AG120" s="199"/>
      <c r="AH120" s="199"/>
      <c r="AI120" s="40" t="s">
        <v>6</v>
      </c>
      <c r="AJ120" s="218"/>
      <c r="AK120" s="199"/>
      <c r="AL120" s="218" t="s">
        <v>773</v>
      </c>
      <c r="AM120" s="199"/>
      <c r="AN120" s="199"/>
      <c r="AO120" s="199"/>
      <c r="AP120" s="199"/>
      <c r="AQ120" s="199"/>
      <c r="AR120" s="199"/>
      <c r="AS120" s="199"/>
      <c r="AT120" s="199"/>
      <c r="AU120" s="199"/>
      <c r="AV120" s="199"/>
      <c r="AW120" s="155">
        <f>LEN(L120)</f>
        <v>24</v>
      </c>
    </row>
    <row r="121" spans="1:87" s="236" customFormat="1" ht="26.4">
      <c r="A121" s="40">
        <f t="shared" si="6"/>
        <v>115</v>
      </c>
      <c r="B121" s="199"/>
      <c r="C121" s="199"/>
      <c r="D121" s="199"/>
      <c r="E121" s="199"/>
      <c r="F121" s="199"/>
      <c r="G121" s="199"/>
      <c r="H121" s="199"/>
      <c r="I121" s="199"/>
      <c r="J121" s="218" t="s">
        <v>788</v>
      </c>
      <c r="K121" s="204" t="s">
        <v>117</v>
      </c>
      <c r="L121" s="204" t="s">
        <v>789</v>
      </c>
      <c r="M121" s="204"/>
      <c r="N121" s="40" t="s">
        <v>504</v>
      </c>
      <c r="O121" s="199"/>
      <c r="P121" s="199"/>
      <c r="Q121" s="40"/>
      <c r="R121" s="40" t="s">
        <v>6</v>
      </c>
      <c r="S121" s="40" t="s">
        <v>6</v>
      </c>
      <c r="T121" s="126" t="s">
        <v>6</v>
      </c>
      <c r="U121" s="200" t="s">
        <v>771</v>
      </c>
      <c r="V121" s="204"/>
      <c r="W121" s="204" t="s">
        <v>133</v>
      </c>
      <c r="X121" s="199"/>
      <c r="Y121" s="199"/>
      <c r="Z121" s="40" t="s">
        <v>6</v>
      </c>
      <c r="AA121" s="40" t="s">
        <v>6</v>
      </c>
      <c r="AB121" s="218"/>
      <c r="AC121" s="199"/>
      <c r="AD121" s="218" t="s">
        <v>772</v>
      </c>
      <c r="AE121" s="204" t="s">
        <v>125</v>
      </c>
      <c r="AF121" s="199"/>
      <c r="AG121" s="199"/>
      <c r="AH121" s="199"/>
      <c r="AI121" s="40" t="s">
        <v>6</v>
      </c>
      <c r="AJ121" s="218"/>
      <c r="AK121" s="199"/>
      <c r="AL121" s="218" t="s">
        <v>773</v>
      </c>
      <c r="AM121" s="199"/>
      <c r="AN121" s="199"/>
      <c r="AO121" s="199"/>
      <c r="AP121" s="199"/>
      <c r="AQ121" s="199"/>
      <c r="AR121" s="199"/>
      <c r="AS121" s="199"/>
      <c r="AT121" s="199"/>
      <c r="AU121" s="199"/>
      <c r="AV121" s="199"/>
      <c r="AW121" s="155">
        <f>LEN(L121)</f>
        <v>38</v>
      </c>
    </row>
    <row r="122" spans="1:87" s="236" customFormat="1" ht="26.4">
      <c r="A122" s="40">
        <f t="shared" si="6"/>
        <v>116</v>
      </c>
      <c r="B122" s="199"/>
      <c r="C122" s="199"/>
      <c r="D122" s="199"/>
      <c r="E122" s="199"/>
      <c r="F122" s="199"/>
      <c r="G122" s="199"/>
      <c r="H122" s="199"/>
      <c r="I122" s="199"/>
      <c r="J122" s="218" t="s">
        <v>790</v>
      </c>
      <c r="K122" s="204" t="s">
        <v>134</v>
      </c>
      <c r="L122" s="204" t="s">
        <v>791</v>
      </c>
      <c r="M122" s="204"/>
      <c r="N122" s="40" t="s">
        <v>504</v>
      </c>
      <c r="O122" s="199"/>
      <c r="P122" s="199"/>
      <c r="Q122" s="40" t="s">
        <v>6</v>
      </c>
      <c r="R122" s="40" t="s">
        <v>6</v>
      </c>
      <c r="S122" s="40" t="s">
        <v>6</v>
      </c>
      <c r="T122" s="126" t="s">
        <v>6</v>
      </c>
      <c r="U122" s="200" t="s">
        <v>771</v>
      </c>
      <c r="V122" s="204"/>
      <c r="W122" s="204" t="s">
        <v>140</v>
      </c>
      <c r="X122" s="199"/>
      <c r="Y122" s="199"/>
      <c r="Z122" s="40" t="s">
        <v>6</v>
      </c>
      <c r="AA122" s="40" t="s">
        <v>6</v>
      </c>
      <c r="AB122" s="218"/>
      <c r="AC122" s="199"/>
      <c r="AD122" s="199"/>
      <c r="AE122" s="204" t="s">
        <v>140</v>
      </c>
      <c r="AF122" s="199"/>
      <c r="AG122" s="199"/>
      <c r="AH122" s="40" t="s">
        <v>6</v>
      </c>
      <c r="AI122" s="40" t="s">
        <v>6</v>
      </c>
      <c r="AJ122" s="218"/>
      <c r="AK122" s="199"/>
      <c r="AL122" s="199"/>
      <c r="AM122" s="199"/>
      <c r="AN122" s="199"/>
      <c r="AO122" s="199"/>
      <c r="AP122" s="199"/>
      <c r="AQ122" s="199"/>
      <c r="AR122" s="199"/>
      <c r="AS122" s="199"/>
      <c r="AT122" s="199"/>
      <c r="AU122" s="199"/>
      <c r="AV122" s="199"/>
      <c r="AW122" s="155">
        <f>LEN(L122)</f>
        <v>21</v>
      </c>
    </row>
    <row r="123" spans="1:87" s="14" customFormat="1" ht="15">
      <c r="A123" s="40">
        <f t="shared" si="6"/>
        <v>117</v>
      </c>
      <c r="B123" s="38"/>
      <c r="C123" s="42"/>
      <c r="D123" s="38"/>
      <c r="E123" s="46"/>
      <c r="F123" s="46"/>
      <c r="G123" s="46"/>
      <c r="H123" s="40"/>
      <c r="I123" s="40"/>
      <c r="J123" s="215" t="s">
        <v>796</v>
      </c>
      <c r="K123" s="204" t="s">
        <v>125</v>
      </c>
      <c r="L123" s="204" t="s">
        <v>797</v>
      </c>
      <c r="M123" s="204"/>
      <c r="N123" s="40" t="s">
        <v>504</v>
      </c>
      <c r="O123" s="40"/>
      <c r="P123" s="40"/>
      <c r="Q123" s="40"/>
      <c r="R123" s="40"/>
      <c r="S123" s="40" t="s">
        <v>6</v>
      </c>
      <c r="T123" s="126" t="s">
        <v>6</v>
      </c>
      <c r="U123" s="204" t="s">
        <v>508</v>
      </c>
      <c r="V123" s="204"/>
      <c r="W123" s="204" t="s">
        <v>125</v>
      </c>
      <c r="X123" s="40"/>
      <c r="Y123" s="40"/>
      <c r="Z123" s="40"/>
      <c r="AA123" s="40" t="s">
        <v>6</v>
      </c>
      <c r="AB123" s="204"/>
      <c r="AC123" s="40"/>
      <c r="AD123" s="40"/>
      <c r="AE123" s="204" t="s">
        <v>125</v>
      </c>
      <c r="AF123" s="40"/>
      <c r="AG123" s="40"/>
      <c r="AH123" s="40"/>
      <c r="AI123" s="40" t="s">
        <v>6</v>
      </c>
      <c r="AJ123" s="204"/>
      <c r="AK123" s="40"/>
      <c r="AL123" s="40"/>
      <c r="AM123" s="198" t="s">
        <v>509</v>
      </c>
      <c r="AN123" s="232"/>
      <c r="AO123" s="198"/>
      <c r="AP123" s="198"/>
      <c r="AQ123" s="198"/>
      <c r="AR123" s="198"/>
      <c r="AS123" s="198"/>
      <c r="AT123" s="198"/>
      <c r="AU123" s="198"/>
      <c r="AV123" s="40"/>
      <c r="AW123" s="155">
        <f>LEN(L123)</f>
        <v>34</v>
      </c>
    </row>
    <row r="124" spans="1:87" s="236" customFormat="1" ht="15">
      <c r="A124" s="40">
        <f t="shared" si="6"/>
        <v>118</v>
      </c>
      <c r="B124" s="199"/>
      <c r="C124" s="199"/>
      <c r="D124" s="199"/>
      <c r="E124" s="199"/>
      <c r="F124" s="199"/>
      <c r="G124" s="199"/>
      <c r="H124" s="199"/>
      <c r="I124" s="199"/>
      <c r="J124" s="218" t="s">
        <v>545</v>
      </c>
      <c r="K124" s="204" t="s">
        <v>125</v>
      </c>
      <c r="L124" s="204" t="s">
        <v>798</v>
      </c>
      <c r="M124" s="204"/>
      <c r="N124" s="40" t="s">
        <v>504</v>
      </c>
      <c r="O124" s="199"/>
      <c r="P124" s="199"/>
      <c r="Q124" s="40"/>
      <c r="R124" s="40"/>
      <c r="S124" s="40" t="s">
        <v>6</v>
      </c>
      <c r="T124" s="126" t="s">
        <v>6</v>
      </c>
      <c r="U124" s="198"/>
      <c r="V124" s="198"/>
      <c r="W124" s="204" t="s">
        <v>125</v>
      </c>
      <c r="X124" s="199"/>
      <c r="Y124" s="199"/>
      <c r="Z124" s="40"/>
      <c r="AA124" s="40" t="s">
        <v>6</v>
      </c>
      <c r="AB124" s="198"/>
      <c r="AC124" s="199"/>
      <c r="AD124" s="199"/>
      <c r="AE124" s="204" t="s">
        <v>125</v>
      </c>
      <c r="AF124" s="199"/>
      <c r="AG124" s="199"/>
      <c r="AH124" s="199"/>
      <c r="AI124" s="40" t="s">
        <v>6</v>
      </c>
      <c r="AJ124" s="198"/>
      <c r="AK124" s="199"/>
      <c r="AL124" s="199"/>
      <c r="AM124" s="199" t="s">
        <v>799</v>
      </c>
      <c r="AN124" s="200" t="e">
        <f>"Agrupamento itens "&amp;#REF!&amp;", "&amp;#REF!&amp;", "&amp;#REF!&amp;" a "&amp;#REF!&amp;", "&amp;#REF!&amp;" a "&amp;#REF!&amp;", "&amp;#REF!&amp;", "&amp;#REF!&amp;", "&amp;#REF!&amp;" a "&amp;#REF!&amp;", "&amp;#REF!&amp;" a "&amp;#REF!&amp;", "&amp;#REF!&amp;" a "&amp;#REF!&amp;", "&amp;#REF!</f>
        <v>#REF!</v>
      </c>
      <c r="AO124" s="199"/>
      <c r="AP124" s="199"/>
      <c r="AQ124" s="199"/>
      <c r="AR124" s="199"/>
      <c r="AS124" s="199"/>
      <c r="AT124" s="199"/>
      <c r="AU124" s="199"/>
      <c r="AV124" s="199"/>
      <c r="AW124" s="155">
        <f t="shared" si="8"/>
        <v>29</v>
      </c>
    </row>
    <row r="125" spans="1:87" s="12" customFormat="1" ht="15">
      <c r="A125" s="40">
        <f t="shared" si="6"/>
        <v>119</v>
      </c>
      <c r="B125" s="38"/>
      <c r="C125" s="42"/>
      <c r="D125" s="19"/>
      <c r="E125" s="19"/>
      <c r="F125" s="19"/>
      <c r="G125" s="19"/>
      <c r="H125" s="13"/>
      <c r="I125" s="13"/>
      <c r="J125" s="218" t="s">
        <v>800</v>
      </c>
      <c r="K125" s="399" t="s">
        <v>117</v>
      </c>
      <c r="L125" s="204" t="s">
        <v>801</v>
      </c>
      <c r="M125" s="204"/>
      <c r="N125" s="40" t="s">
        <v>504</v>
      </c>
      <c r="O125" s="126"/>
      <c r="P125" s="126"/>
      <c r="Q125" s="40" t="s">
        <v>6</v>
      </c>
      <c r="R125" s="40" t="s">
        <v>6</v>
      </c>
      <c r="S125" s="40" t="s">
        <v>6</v>
      </c>
      <c r="T125" s="40" t="s">
        <v>6</v>
      </c>
      <c r="U125" s="200" t="s">
        <v>802</v>
      </c>
      <c r="V125" s="206"/>
      <c r="W125" s="204" t="s">
        <v>133</v>
      </c>
      <c r="X125" s="59"/>
      <c r="Y125" s="59"/>
      <c r="Z125" s="40" t="s">
        <v>6</v>
      </c>
      <c r="AA125" s="40" t="s">
        <v>6</v>
      </c>
      <c r="AB125" s="13"/>
      <c r="AC125" s="40"/>
      <c r="AD125" s="40"/>
      <c r="AE125" s="399" t="s">
        <v>125</v>
      </c>
      <c r="AF125" s="59"/>
      <c r="AG125" s="59"/>
      <c r="AH125" s="59"/>
      <c r="AI125" s="40" t="s">
        <v>6</v>
      </c>
      <c r="AJ125" s="13"/>
      <c r="AK125" s="40"/>
      <c r="AL125" s="40"/>
      <c r="AM125" s="43"/>
      <c r="AN125" s="13"/>
      <c r="AO125" s="13"/>
      <c r="AP125" s="13"/>
      <c r="AQ125" s="13"/>
      <c r="AR125" s="13"/>
      <c r="AS125" s="13"/>
      <c r="AT125" s="13"/>
      <c r="AU125" s="13"/>
      <c r="AV125" s="13"/>
      <c r="AW125" s="18">
        <f>LEN(L125)</f>
        <v>21</v>
      </c>
      <c r="AX125" s="16"/>
      <c r="AY125" s="17"/>
    </row>
    <row r="126" spans="1:87" s="18" customFormat="1" ht="15">
      <c r="A126" s="40">
        <f t="shared" si="6"/>
        <v>120</v>
      </c>
      <c r="B126" s="38"/>
      <c r="C126" s="42"/>
      <c r="D126" s="38"/>
      <c r="E126" s="46"/>
      <c r="F126" s="46"/>
      <c r="G126" s="46"/>
      <c r="H126" s="13"/>
      <c r="I126" s="40"/>
      <c r="J126" s="218" t="s">
        <v>803</v>
      </c>
      <c r="K126" s="399" t="s">
        <v>117</v>
      </c>
      <c r="L126" s="204" t="s">
        <v>804</v>
      </c>
      <c r="M126" s="204"/>
      <c r="N126" s="40" t="s">
        <v>504</v>
      </c>
      <c r="O126" s="126"/>
      <c r="P126" s="126"/>
      <c r="Q126" s="40" t="s">
        <v>6</v>
      </c>
      <c r="R126" s="40" t="s">
        <v>6</v>
      </c>
      <c r="S126" s="40" t="s">
        <v>6</v>
      </c>
      <c r="T126" s="40" t="s">
        <v>6</v>
      </c>
      <c r="U126" s="200" t="s">
        <v>802</v>
      </c>
      <c r="V126" s="206"/>
      <c r="W126" s="204" t="s">
        <v>133</v>
      </c>
      <c r="X126" s="59"/>
      <c r="Y126" s="59"/>
      <c r="Z126" s="40" t="s">
        <v>6</v>
      </c>
      <c r="AA126" s="40" t="s">
        <v>6</v>
      </c>
      <c r="AB126" s="13"/>
      <c r="AC126" s="13"/>
      <c r="AD126" s="13"/>
      <c r="AE126" s="399" t="s">
        <v>125</v>
      </c>
      <c r="AF126" s="59"/>
      <c r="AG126" s="59"/>
      <c r="AH126" s="59"/>
      <c r="AI126" s="40" t="s">
        <v>6</v>
      </c>
      <c r="AJ126" s="13"/>
      <c r="AK126" s="13"/>
      <c r="AL126" s="13"/>
      <c r="AM126" s="43"/>
      <c r="AN126" s="19"/>
      <c r="AO126" s="15"/>
      <c r="AP126" s="15"/>
      <c r="AQ126" s="15"/>
      <c r="AR126" s="15"/>
      <c r="AS126" s="15"/>
      <c r="AT126" s="15"/>
      <c r="AU126" s="15"/>
      <c r="AV126" s="13"/>
      <c r="AW126" s="18">
        <f>LEN(L126)</f>
        <v>25</v>
      </c>
      <c r="AX126" s="12"/>
      <c r="AY126" s="12"/>
      <c r="AZ126" s="12"/>
      <c r="BA126" s="12"/>
      <c r="BB126" s="12"/>
      <c r="BC126" s="12"/>
      <c r="BD126" s="12"/>
      <c r="BE126" s="12"/>
      <c r="BF126" s="12"/>
      <c r="BG126" s="12"/>
      <c r="BH126" s="12"/>
      <c r="BI126" s="12"/>
      <c r="BJ126" s="12"/>
      <c r="BK126" s="12"/>
      <c r="BL126" s="12"/>
      <c r="BM126" s="12"/>
      <c r="BN126" s="12"/>
      <c r="BO126" s="12"/>
      <c r="BP126" s="12"/>
      <c r="BQ126" s="12"/>
      <c r="BR126" s="12"/>
      <c r="BS126" s="12"/>
      <c r="BT126" s="12"/>
      <c r="BU126" s="12"/>
      <c r="BV126" s="12"/>
      <c r="BW126" s="12"/>
      <c r="BX126" s="12"/>
      <c r="BY126" s="12"/>
      <c r="BZ126" s="12"/>
      <c r="CA126" s="12"/>
      <c r="CB126" s="12"/>
      <c r="CC126" s="12"/>
      <c r="CD126" s="12"/>
      <c r="CE126" s="12"/>
      <c r="CF126" s="12"/>
      <c r="CG126" s="12"/>
      <c r="CH126" s="12"/>
      <c r="CI126" s="12"/>
    </row>
    <row r="127" spans="1:87" s="236" customFormat="1" ht="15">
      <c r="A127" s="40">
        <f t="shared" si="6"/>
        <v>121</v>
      </c>
      <c r="B127" s="199"/>
      <c r="C127" s="199"/>
      <c r="D127" s="199"/>
      <c r="E127" s="199"/>
      <c r="F127" s="199"/>
      <c r="G127" s="199"/>
      <c r="H127" s="199"/>
      <c r="I127" s="199"/>
      <c r="J127" s="218" t="s">
        <v>3363</v>
      </c>
      <c r="K127" s="204" t="s">
        <v>117</v>
      </c>
      <c r="L127" s="204" t="s">
        <v>732</v>
      </c>
      <c r="M127" s="204"/>
      <c r="N127" s="40" t="s">
        <v>504</v>
      </c>
      <c r="O127" s="199"/>
      <c r="P127" s="199"/>
      <c r="Q127" s="40" t="s">
        <v>6</v>
      </c>
      <c r="R127" s="40" t="s">
        <v>6</v>
      </c>
      <c r="S127" s="40" t="s">
        <v>6</v>
      </c>
      <c r="T127" s="40" t="s">
        <v>6</v>
      </c>
      <c r="U127" s="204" t="s">
        <v>733</v>
      </c>
      <c r="V127" s="204"/>
      <c r="W127" s="204"/>
      <c r="X127" s="199"/>
      <c r="Y127" s="199"/>
      <c r="Z127" s="40"/>
      <c r="AA127" s="40"/>
      <c r="AB127" s="218"/>
      <c r="AC127" s="199"/>
      <c r="AD127" s="218"/>
      <c r="AE127" s="204"/>
      <c r="AF127" s="199"/>
      <c r="AG127" s="199"/>
      <c r="AH127" s="199"/>
      <c r="AI127" s="40"/>
      <c r="AJ127" s="218"/>
      <c r="AK127" s="199"/>
      <c r="AL127" s="218"/>
      <c r="AM127" s="199"/>
      <c r="AN127" s="199"/>
      <c r="AO127" s="199"/>
      <c r="AP127" s="199"/>
      <c r="AQ127" s="199"/>
      <c r="AR127" s="199"/>
      <c r="AS127" s="199"/>
      <c r="AT127" s="199"/>
      <c r="AU127" s="199"/>
      <c r="AV127" s="199"/>
      <c r="AW127" s="155">
        <f t="shared" ref="AW127" si="14">LEN(L127)</f>
        <v>29</v>
      </c>
    </row>
    <row r="128" spans="1:87" s="20" customFormat="1" ht="15">
      <c r="A128" s="40">
        <f t="shared" si="6"/>
        <v>122</v>
      </c>
      <c r="B128" s="59"/>
      <c r="C128" s="59"/>
      <c r="D128" s="59"/>
      <c r="E128" s="59"/>
      <c r="F128" s="59"/>
      <c r="G128" s="59"/>
      <c r="H128" s="59"/>
      <c r="I128" s="59"/>
      <c r="J128" s="218" t="s">
        <v>805</v>
      </c>
      <c r="K128" s="232" t="s">
        <v>134</v>
      </c>
      <c r="L128" s="204" t="s">
        <v>744</v>
      </c>
      <c r="M128" s="204"/>
      <c r="N128" s="40" t="s">
        <v>504</v>
      </c>
      <c r="O128" s="126"/>
      <c r="P128" s="126"/>
      <c r="Q128" s="40" t="s">
        <v>6</v>
      </c>
      <c r="R128" s="40" t="s">
        <v>6</v>
      </c>
      <c r="S128" s="40" t="s">
        <v>6</v>
      </c>
      <c r="T128" s="40" t="s">
        <v>6</v>
      </c>
      <c r="U128" s="200" t="s">
        <v>802</v>
      </c>
      <c r="V128" s="206"/>
      <c r="W128" s="204" t="s">
        <v>133</v>
      </c>
      <c r="X128" s="59"/>
      <c r="Y128" s="59"/>
      <c r="Z128" s="40" t="s">
        <v>6</v>
      </c>
      <c r="AA128" s="40" t="s">
        <v>6</v>
      </c>
      <c r="AB128" s="15"/>
      <c r="AC128" s="59"/>
      <c r="AD128" s="59"/>
      <c r="AE128" s="232" t="s">
        <v>137</v>
      </c>
      <c r="AF128" s="59"/>
      <c r="AG128" s="59"/>
      <c r="AH128" s="59"/>
      <c r="AI128" s="40" t="s">
        <v>6</v>
      </c>
      <c r="AJ128" s="15"/>
      <c r="AK128" s="59"/>
      <c r="AL128" s="59"/>
      <c r="AM128" s="59"/>
      <c r="AN128" s="59"/>
      <c r="AO128" s="59"/>
      <c r="AP128" s="59"/>
      <c r="AQ128" s="59"/>
      <c r="AR128" s="59"/>
      <c r="AS128" s="59"/>
      <c r="AT128" s="59"/>
      <c r="AU128" s="59"/>
      <c r="AV128" s="59"/>
      <c r="AW128" s="18">
        <f>LEN(L128)</f>
        <v>17</v>
      </c>
    </row>
    <row r="129" spans="1:49" s="20" customFormat="1" ht="15">
      <c r="A129" s="40">
        <f t="shared" si="6"/>
        <v>123</v>
      </c>
      <c r="B129" s="59"/>
      <c r="C129" s="59"/>
      <c r="D129" s="59"/>
      <c r="E129" s="59"/>
      <c r="F129" s="59"/>
      <c r="G129" s="59"/>
      <c r="H129" s="59"/>
      <c r="I129" s="59"/>
      <c r="J129" s="218" t="s">
        <v>3364</v>
      </c>
      <c r="K129" s="232" t="s">
        <v>117</v>
      </c>
      <c r="L129" s="204" t="s">
        <v>3362</v>
      </c>
      <c r="M129" s="204"/>
      <c r="N129" s="40" t="s">
        <v>504</v>
      </c>
      <c r="O129" s="126"/>
      <c r="P129" s="126"/>
      <c r="Q129" s="40" t="s">
        <v>6</v>
      </c>
      <c r="R129" s="40" t="s">
        <v>6</v>
      </c>
      <c r="S129" s="40" t="s">
        <v>6</v>
      </c>
      <c r="T129" s="40" t="s">
        <v>6</v>
      </c>
      <c r="U129" s="200" t="s">
        <v>747</v>
      </c>
      <c r="V129" s="206"/>
      <c r="W129" s="204"/>
      <c r="X129" s="59"/>
      <c r="Y129" s="59"/>
      <c r="Z129" s="40"/>
      <c r="AA129" s="40"/>
      <c r="AB129" s="15"/>
      <c r="AC129" s="59"/>
      <c r="AD129" s="59"/>
      <c r="AE129" s="232"/>
      <c r="AF129" s="59"/>
      <c r="AG129" s="59"/>
      <c r="AH129" s="59"/>
      <c r="AI129" s="40"/>
      <c r="AJ129" s="15"/>
      <c r="AK129" s="59"/>
      <c r="AL129" s="59"/>
      <c r="AM129" s="59"/>
      <c r="AN129" s="59"/>
      <c r="AO129" s="59"/>
      <c r="AP129" s="59"/>
      <c r="AQ129" s="59"/>
      <c r="AR129" s="59"/>
      <c r="AS129" s="59"/>
      <c r="AT129" s="59"/>
      <c r="AU129" s="59"/>
      <c r="AV129" s="59"/>
      <c r="AW129" s="18"/>
    </row>
    <row r="130" spans="1:49" s="20" customFormat="1" ht="15">
      <c r="A130" s="40">
        <f t="shared" si="6"/>
        <v>124</v>
      </c>
      <c r="B130" s="59"/>
      <c r="C130" s="59"/>
      <c r="D130" s="59"/>
      <c r="E130" s="59"/>
      <c r="F130" s="59"/>
      <c r="G130" s="59"/>
      <c r="H130" s="59"/>
      <c r="I130" s="59"/>
      <c r="J130" s="218" t="s">
        <v>806</v>
      </c>
      <c r="K130" s="204" t="s">
        <v>117</v>
      </c>
      <c r="L130" s="204" t="s">
        <v>737</v>
      </c>
      <c r="M130" s="204"/>
      <c r="N130" s="40" t="s">
        <v>504</v>
      </c>
      <c r="O130" s="126"/>
      <c r="P130" s="126"/>
      <c r="Q130" s="40" t="s">
        <v>6</v>
      </c>
      <c r="R130" s="40" t="s">
        <v>6</v>
      </c>
      <c r="S130" s="40" t="s">
        <v>6</v>
      </c>
      <c r="T130" s="40" t="s">
        <v>6</v>
      </c>
      <c r="U130" s="200" t="s">
        <v>802</v>
      </c>
      <c r="V130" s="206"/>
      <c r="W130" s="204" t="s">
        <v>133</v>
      </c>
      <c r="X130" s="59"/>
      <c r="Y130" s="59"/>
      <c r="Z130" s="40" t="s">
        <v>6</v>
      </c>
      <c r="AA130" s="40" t="s">
        <v>6</v>
      </c>
      <c r="AB130" s="15"/>
      <c r="AC130" s="59"/>
      <c r="AD130" s="59"/>
      <c r="AE130" s="204" t="s">
        <v>125</v>
      </c>
      <c r="AF130" s="59"/>
      <c r="AG130" s="59"/>
      <c r="AH130" s="59"/>
      <c r="AI130" s="40" t="s">
        <v>6</v>
      </c>
      <c r="AJ130" s="15"/>
      <c r="AK130" s="59"/>
      <c r="AL130" s="59"/>
      <c r="AM130" s="59"/>
      <c r="AN130" s="59"/>
      <c r="AO130" s="59"/>
      <c r="AP130" s="59"/>
      <c r="AQ130" s="59"/>
      <c r="AR130" s="59"/>
      <c r="AS130" s="59"/>
      <c r="AT130" s="59"/>
      <c r="AU130" s="59"/>
      <c r="AV130" s="59"/>
      <c r="AW130" s="18">
        <f>LEN(L130)</f>
        <v>28</v>
      </c>
    </row>
    <row r="131" spans="1:49" s="20" customFormat="1" ht="15">
      <c r="A131" s="40">
        <f t="shared" si="6"/>
        <v>125</v>
      </c>
      <c r="B131" s="59"/>
      <c r="C131" s="59"/>
      <c r="D131" s="59"/>
      <c r="E131" s="59"/>
      <c r="F131" s="59"/>
      <c r="G131" s="59"/>
      <c r="H131" s="59"/>
      <c r="I131" s="59"/>
      <c r="J131" s="218" t="s">
        <v>807</v>
      </c>
      <c r="K131" s="204" t="s">
        <v>117</v>
      </c>
      <c r="L131" s="204" t="s">
        <v>735</v>
      </c>
      <c r="M131" s="204"/>
      <c r="N131" s="126" t="s">
        <v>504</v>
      </c>
      <c r="O131" s="126"/>
      <c r="P131" s="126"/>
      <c r="Q131" s="40" t="s">
        <v>6</v>
      </c>
      <c r="R131" s="40" t="s">
        <v>6</v>
      </c>
      <c r="S131" s="40" t="s">
        <v>6</v>
      </c>
      <c r="T131" s="40" t="s">
        <v>6</v>
      </c>
      <c r="U131" s="200" t="s">
        <v>802</v>
      </c>
      <c r="V131" s="206"/>
      <c r="W131" s="204" t="s">
        <v>133</v>
      </c>
      <c r="X131" s="59"/>
      <c r="Y131" s="59"/>
      <c r="Z131" s="40" t="s">
        <v>6</v>
      </c>
      <c r="AA131" s="40" t="s">
        <v>6</v>
      </c>
      <c r="AB131" s="218"/>
      <c r="AC131" s="59"/>
      <c r="AD131" s="218"/>
      <c r="AE131" s="204" t="s">
        <v>125</v>
      </c>
      <c r="AF131" s="59"/>
      <c r="AG131" s="59"/>
      <c r="AH131" s="59"/>
      <c r="AI131" s="40" t="s">
        <v>6</v>
      </c>
      <c r="AJ131" s="218"/>
      <c r="AK131" s="59"/>
      <c r="AL131" s="218"/>
      <c r="AM131" s="59"/>
      <c r="AN131" s="59"/>
      <c r="AO131" s="59"/>
      <c r="AP131" s="59"/>
      <c r="AQ131" s="59"/>
      <c r="AR131" s="59"/>
      <c r="AS131" s="59"/>
      <c r="AT131" s="59"/>
      <c r="AU131" s="59"/>
      <c r="AV131" s="59"/>
      <c r="AW131" s="18">
        <v>14</v>
      </c>
    </row>
    <row r="132" spans="1:49" s="236" customFormat="1" ht="26.4">
      <c r="A132" s="40">
        <f t="shared" si="6"/>
        <v>126</v>
      </c>
      <c r="B132" s="199"/>
      <c r="C132" s="199"/>
      <c r="D132" s="199"/>
      <c r="E132" s="199"/>
      <c r="F132" s="199"/>
      <c r="G132" s="199"/>
      <c r="H132" s="199"/>
      <c r="I132" s="199"/>
      <c r="J132" s="218" t="s">
        <v>808</v>
      </c>
      <c r="K132" s="204" t="s">
        <v>117</v>
      </c>
      <c r="L132" s="204" t="s">
        <v>740</v>
      </c>
      <c r="M132" s="204"/>
      <c r="N132" s="40" t="s">
        <v>504</v>
      </c>
      <c r="O132" s="199"/>
      <c r="P132" s="199"/>
      <c r="Q132" s="40" t="s">
        <v>6</v>
      </c>
      <c r="R132" s="40" t="s">
        <v>6</v>
      </c>
      <c r="S132" s="40" t="s">
        <v>6</v>
      </c>
      <c r="T132" s="126" t="s">
        <v>6</v>
      </c>
      <c r="U132" s="204" t="s">
        <v>741</v>
      </c>
      <c r="V132" s="204"/>
      <c r="W132" s="204" t="s">
        <v>125</v>
      </c>
      <c r="X132" s="199"/>
      <c r="Y132" s="199"/>
      <c r="Z132" s="40" t="s">
        <v>6</v>
      </c>
      <c r="AA132" s="40" t="s">
        <v>6</v>
      </c>
      <c r="AB132" s="218"/>
      <c r="AC132" s="199"/>
      <c r="AD132" s="218" t="s">
        <v>709</v>
      </c>
      <c r="AE132" s="204" t="s">
        <v>125</v>
      </c>
      <c r="AF132" s="199"/>
      <c r="AG132" s="199"/>
      <c r="AH132" s="199"/>
      <c r="AI132" s="40" t="s">
        <v>6</v>
      </c>
      <c r="AJ132" s="218"/>
      <c r="AK132" s="199"/>
      <c r="AL132" s="218" t="s">
        <v>709</v>
      </c>
      <c r="AM132" s="199"/>
      <c r="AN132" s="199"/>
      <c r="AO132" s="199"/>
      <c r="AP132" s="199"/>
      <c r="AQ132" s="199"/>
      <c r="AR132" s="199"/>
      <c r="AS132" s="199"/>
      <c r="AT132" s="199"/>
      <c r="AU132" s="199"/>
      <c r="AV132" s="199"/>
      <c r="AW132" s="155">
        <f t="shared" ref="AW132:AW137" si="15">LEN(L132)</f>
        <v>26</v>
      </c>
    </row>
    <row r="133" spans="1:49" s="236" customFormat="1" ht="15">
      <c r="A133" s="40">
        <f t="shared" si="6"/>
        <v>127</v>
      </c>
      <c r="B133" s="199"/>
      <c r="C133" s="199"/>
      <c r="D133" s="199"/>
      <c r="E133" s="199"/>
      <c r="F133" s="199"/>
      <c r="G133" s="199"/>
      <c r="H133" s="199"/>
      <c r="I133" s="199"/>
      <c r="J133" s="215" t="s">
        <v>810</v>
      </c>
      <c r="K133" s="204" t="s">
        <v>117</v>
      </c>
      <c r="L133" s="204" t="s">
        <v>811</v>
      </c>
      <c r="M133" s="204"/>
      <c r="N133" s="40" t="s">
        <v>504</v>
      </c>
      <c r="O133" s="199"/>
      <c r="P133" s="199"/>
      <c r="Q133" s="40" t="s">
        <v>6</v>
      </c>
      <c r="R133" s="40" t="s">
        <v>6</v>
      </c>
      <c r="S133" s="40" t="s">
        <v>6</v>
      </c>
      <c r="T133" s="126" t="s">
        <v>6</v>
      </c>
      <c r="U133" s="204" t="s">
        <v>812</v>
      </c>
      <c r="V133" s="204"/>
      <c r="W133" s="204" t="s">
        <v>125</v>
      </c>
      <c r="X133" s="199"/>
      <c r="Y133" s="199"/>
      <c r="Z133" s="40" t="s">
        <v>6</v>
      </c>
      <c r="AA133" s="40" t="s">
        <v>6</v>
      </c>
      <c r="AB133" s="218"/>
      <c r="AC133" s="199"/>
      <c r="AD133" s="218"/>
      <c r="AE133" s="204" t="s">
        <v>125</v>
      </c>
      <c r="AF133" s="199"/>
      <c r="AG133" s="199"/>
      <c r="AH133" s="126"/>
      <c r="AI133" s="40" t="s">
        <v>6</v>
      </c>
      <c r="AJ133" s="218"/>
      <c r="AK133" s="199"/>
      <c r="AL133" s="218"/>
      <c r="AM133" s="199"/>
      <c r="AN133" s="199"/>
      <c r="AO133" s="199"/>
      <c r="AP133" s="199"/>
      <c r="AQ133" s="199"/>
      <c r="AR133" s="199"/>
      <c r="AS133" s="199"/>
      <c r="AT133" s="199"/>
      <c r="AU133" s="199"/>
      <c r="AV133" s="199"/>
      <c r="AW133" s="155">
        <f t="shared" si="15"/>
        <v>35</v>
      </c>
    </row>
    <row r="134" spans="1:49" s="236" customFormat="1" ht="15">
      <c r="A134" s="40">
        <f t="shared" si="6"/>
        <v>128</v>
      </c>
      <c r="B134" s="199"/>
      <c r="C134" s="199"/>
      <c r="D134" s="199"/>
      <c r="E134" s="199"/>
      <c r="F134" s="199"/>
      <c r="G134" s="199"/>
      <c r="H134" s="199"/>
      <c r="I134" s="199"/>
      <c r="J134" s="215" t="s">
        <v>813</v>
      </c>
      <c r="K134" s="204" t="s">
        <v>117</v>
      </c>
      <c r="L134" s="204" t="s">
        <v>814</v>
      </c>
      <c r="M134" s="204"/>
      <c r="N134" s="40" t="s">
        <v>504</v>
      </c>
      <c r="O134" s="199"/>
      <c r="P134" s="199"/>
      <c r="Q134" s="40" t="s">
        <v>6</v>
      </c>
      <c r="R134" s="40" t="s">
        <v>6</v>
      </c>
      <c r="S134" s="40" t="s">
        <v>6</v>
      </c>
      <c r="T134" s="126" t="s">
        <v>6</v>
      </c>
      <c r="U134" s="204" t="s">
        <v>519</v>
      </c>
      <c r="V134" s="204"/>
      <c r="W134" s="204" t="s">
        <v>125</v>
      </c>
      <c r="X134" s="199"/>
      <c r="Y134" s="199"/>
      <c r="Z134" s="40" t="s">
        <v>6</v>
      </c>
      <c r="AA134" s="40" t="s">
        <v>6</v>
      </c>
      <c r="AB134" s="218"/>
      <c r="AC134" s="199"/>
      <c r="AD134" s="218"/>
      <c r="AE134" s="204" t="s">
        <v>125</v>
      </c>
      <c r="AF134" s="199"/>
      <c r="AG134" s="199"/>
      <c r="AH134" s="126"/>
      <c r="AI134" s="40" t="s">
        <v>6</v>
      </c>
      <c r="AJ134" s="218"/>
      <c r="AK134" s="199"/>
      <c r="AL134" s="218"/>
      <c r="AM134" s="199"/>
      <c r="AN134" s="199"/>
      <c r="AO134" s="199"/>
      <c r="AP134" s="199"/>
      <c r="AQ134" s="199"/>
      <c r="AR134" s="199"/>
      <c r="AS134" s="199"/>
      <c r="AT134" s="199"/>
      <c r="AU134" s="199"/>
      <c r="AV134" s="199"/>
      <c r="AW134" s="155">
        <f t="shared" si="15"/>
        <v>27</v>
      </c>
    </row>
    <row r="135" spans="1:49" s="236" customFormat="1" ht="26.4">
      <c r="A135" s="40">
        <f t="shared" si="6"/>
        <v>129</v>
      </c>
      <c r="B135" s="199"/>
      <c r="C135" s="199"/>
      <c r="D135" s="199"/>
      <c r="E135" s="199"/>
      <c r="F135" s="199"/>
      <c r="G135" s="199"/>
      <c r="H135" s="199"/>
      <c r="I135" s="199"/>
      <c r="J135" s="215" t="s">
        <v>815</v>
      </c>
      <c r="K135" s="204" t="s">
        <v>132</v>
      </c>
      <c r="L135" s="204" t="s">
        <v>816</v>
      </c>
      <c r="M135" s="204" t="s">
        <v>3574</v>
      </c>
      <c r="N135" s="40" t="s">
        <v>504</v>
      </c>
      <c r="O135" s="199"/>
      <c r="P135" s="199"/>
      <c r="Q135" s="40" t="s">
        <v>6</v>
      </c>
      <c r="R135" s="40" t="s">
        <v>6</v>
      </c>
      <c r="S135" s="40" t="s">
        <v>6</v>
      </c>
      <c r="T135" s="126" t="s">
        <v>6</v>
      </c>
      <c r="U135" s="200" t="s">
        <v>817</v>
      </c>
      <c r="V135" s="204"/>
      <c r="W135" s="204" t="s">
        <v>125</v>
      </c>
      <c r="X135" s="199"/>
      <c r="Y135" s="199"/>
      <c r="Z135" s="40" t="s">
        <v>6</v>
      </c>
      <c r="AA135" s="40" t="s">
        <v>6</v>
      </c>
      <c r="AB135" s="218"/>
      <c r="AC135" s="199"/>
      <c r="AD135" s="218"/>
      <c r="AE135" s="204" t="s">
        <v>125</v>
      </c>
      <c r="AF135" s="199"/>
      <c r="AG135" s="199"/>
      <c r="AH135" s="126"/>
      <c r="AI135" s="40" t="s">
        <v>6</v>
      </c>
      <c r="AJ135" s="218"/>
      <c r="AK135" s="199"/>
      <c r="AL135" s="218"/>
      <c r="AM135" s="199"/>
      <c r="AN135" s="199"/>
      <c r="AO135" s="199"/>
      <c r="AP135" s="199"/>
      <c r="AQ135" s="199"/>
      <c r="AR135" s="199"/>
      <c r="AS135" s="199"/>
      <c r="AT135" s="199"/>
      <c r="AU135" s="199"/>
      <c r="AV135" s="199"/>
      <c r="AW135" s="155">
        <f t="shared" si="15"/>
        <v>15</v>
      </c>
    </row>
    <row r="136" spans="1:49" s="236" customFormat="1" ht="15">
      <c r="A136" s="40">
        <f t="shared" ref="A136:A199" si="16">ROW() - 6</f>
        <v>130</v>
      </c>
      <c r="B136" s="199"/>
      <c r="C136" s="199"/>
      <c r="D136" s="199"/>
      <c r="E136" s="199"/>
      <c r="F136" s="199"/>
      <c r="G136" s="199"/>
      <c r="H136" s="199"/>
      <c r="I136" s="199"/>
      <c r="J136" s="215" t="s">
        <v>818</v>
      </c>
      <c r="K136" s="204" t="s">
        <v>65</v>
      </c>
      <c r="L136" s="204" t="s">
        <v>819</v>
      </c>
      <c r="M136" s="204"/>
      <c r="N136" s="40" t="s">
        <v>504</v>
      </c>
      <c r="O136" s="199"/>
      <c r="P136" s="199"/>
      <c r="Q136" s="40"/>
      <c r="R136" s="40"/>
      <c r="S136" s="40" t="s">
        <v>6</v>
      </c>
      <c r="T136" s="126" t="s">
        <v>6</v>
      </c>
      <c r="U136" s="200" t="s">
        <v>802</v>
      </c>
      <c r="V136" s="204"/>
      <c r="W136" s="204" t="s">
        <v>125</v>
      </c>
      <c r="X136" s="199"/>
      <c r="Y136" s="199"/>
      <c r="Z136" s="40" t="s">
        <v>6</v>
      </c>
      <c r="AA136" s="40" t="s">
        <v>6</v>
      </c>
      <c r="AB136" s="218"/>
      <c r="AC136" s="199"/>
      <c r="AD136" s="218"/>
      <c r="AE136" s="204" t="s">
        <v>125</v>
      </c>
      <c r="AF136" s="199"/>
      <c r="AG136" s="199"/>
      <c r="AH136" s="126"/>
      <c r="AI136" s="40" t="s">
        <v>6</v>
      </c>
      <c r="AJ136" s="218"/>
      <c r="AK136" s="199"/>
      <c r="AL136" s="218"/>
      <c r="AM136" s="199"/>
      <c r="AN136" s="199"/>
      <c r="AO136" s="199"/>
      <c r="AP136" s="199"/>
      <c r="AQ136" s="199"/>
      <c r="AR136" s="199"/>
      <c r="AS136" s="199"/>
      <c r="AT136" s="199"/>
      <c r="AU136" s="199"/>
      <c r="AV136" s="199"/>
      <c r="AW136" s="155">
        <f t="shared" si="15"/>
        <v>29</v>
      </c>
    </row>
    <row r="137" spans="1:49" s="236" customFormat="1" ht="15">
      <c r="A137" s="40">
        <f t="shared" si="16"/>
        <v>131</v>
      </c>
      <c r="B137" s="199"/>
      <c r="C137" s="199"/>
      <c r="D137" s="199"/>
      <c r="E137" s="199"/>
      <c r="F137" s="199"/>
      <c r="G137" s="199"/>
      <c r="H137" s="199"/>
      <c r="I137" s="199"/>
      <c r="J137" s="215" t="s">
        <v>820</v>
      </c>
      <c r="K137" s="204" t="s">
        <v>65</v>
      </c>
      <c r="L137" s="204" t="s">
        <v>819</v>
      </c>
      <c r="M137" s="204"/>
      <c r="N137" s="40" t="s">
        <v>504</v>
      </c>
      <c r="O137" s="199"/>
      <c r="P137" s="199"/>
      <c r="Q137" s="40" t="s">
        <v>6</v>
      </c>
      <c r="R137" s="40" t="s">
        <v>6</v>
      </c>
      <c r="S137" s="40" t="s">
        <v>6</v>
      </c>
      <c r="T137" s="126" t="s">
        <v>6</v>
      </c>
      <c r="U137" s="200" t="s">
        <v>802</v>
      </c>
      <c r="V137" s="204"/>
      <c r="W137" s="204" t="s">
        <v>125</v>
      </c>
      <c r="X137" s="199"/>
      <c r="Y137" s="199"/>
      <c r="Z137" s="40" t="s">
        <v>6</v>
      </c>
      <c r="AA137" s="40" t="s">
        <v>6</v>
      </c>
      <c r="AB137" s="218"/>
      <c r="AC137" s="199"/>
      <c r="AD137" s="218"/>
      <c r="AE137" s="204" t="s">
        <v>125</v>
      </c>
      <c r="AF137" s="199"/>
      <c r="AG137" s="199"/>
      <c r="AH137" s="126"/>
      <c r="AI137" s="40" t="s">
        <v>6</v>
      </c>
      <c r="AJ137" s="218"/>
      <c r="AK137" s="199"/>
      <c r="AL137" s="218"/>
      <c r="AM137" s="199"/>
      <c r="AN137" s="199"/>
      <c r="AO137" s="199"/>
      <c r="AP137" s="199"/>
      <c r="AQ137" s="199"/>
      <c r="AR137" s="199"/>
      <c r="AS137" s="199"/>
      <c r="AT137" s="199"/>
      <c r="AU137" s="199"/>
      <c r="AV137" s="199"/>
      <c r="AW137" s="155">
        <f t="shared" si="15"/>
        <v>29</v>
      </c>
    </row>
    <row r="138" spans="1:49" s="14" customFormat="1" ht="15">
      <c r="A138" s="40">
        <f t="shared" si="16"/>
        <v>132</v>
      </c>
      <c r="B138" s="38"/>
      <c r="C138" s="41"/>
      <c r="D138" s="38"/>
      <c r="E138" s="38"/>
      <c r="F138" s="38"/>
      <c r="G138" s="38"/>
      <c r="H138" s="40"/>
      <c r="I138" s="40"/>
      <c r="J138" s="215" t="s">
        <v>3507</v>
      </c>
      <c r="K138" s="204" t="s">
        <v>125</v>
      </c>
      <c r="L138" s="215" t="s">
        <v>3508</v>
      </c>
      <c r="M138" s="204"/>
      <c r="N138" s="40" t="s">
        <v>504</v>
      </c>
      <c r="O138" s="40"/>
      <c r="P138" s="40"/>
      <c r="Q138" s="40"/>
      <c r="R138" s="40"/>
      <c r="S138" s="40" t="s">
        <v>6</v>
      </c>
      <c r="T138" s="126"/>
      <c r="U138" s="204"/>
      <c r="V138" s="204"/>
      <c r="W138" s="204" t="s">
        <v>125</v>
      </c>
      <c r="X138" s="40"/>
      <c r="Y138" s="40"/>
      <c r="Z138" s="40"/>
      <c r="AA138" s="40" t="s">
        <v>6</v>
      </c>
      <c r="AB138" s="448"/>
      <c r="AC138" s="40"/>
      <c r="AD138" s="40"/>
      <c r="AE138" s="204" t="s">
        <v>125</v>
      </c>
      <c r="AF138" s="40"/>
      <c r="AG138" s="40"/>
      <c r="AH138" s="40"/>
      <c r="AI138" s="40" t="s">
        <v>6</v>
      </c>
      <c r="AJ138" s="448"/>
      <c r="AK138" s="40"/>
      <c r="AL138" s="40"/>
      <c r="AM138" s="198" t="s">
        <v>3509</v>
      </c>
      <c r="AN138" s="412" t="s">
        <v>505</v>
      </c>
      <c r="AO138" s="245"/>
      <c r="AP138" s="245"/>
      <c r="AQ138" s="245"/>
      <c r="AR138" s="245"/>
      <c r="AS138" s="245"/>
      <c r="AT138" s="245"/>
      <c r="AU138" s="40"/>
      <c r="AV138" s="40"/>
      <c r="AW138" s="155"/>
    </row>
    <row r="139" spans="1:49" s="14" customFormat="1" ht="15">
      <c r="A139" s="40">
        <f t="shared" si="16"/>
        <v>133</v>
      </c>
      <c r="B139" s="38"/>
      <c r="C139" s="41"/>
      <c r="D139" s="38"/>
      <c r="E139" s="38"/>
      <c r="F139" s="38"/>
      <c r="G139" s="38"/>
      <c r="H139" s="40"/>
      <c r="I139" s="40"/>
      <c r="J139" s="215" t="s">
        <v>3510</v>
      </c>
      <c r="K139" s="204" t="s">
        <v>125</v>
      </c>
      <c r="L139" s="215" t="s">
        <v>3511</v>
      </c>
      <c r="M139" s="204"/>
      <c r="N139" s="40" t="s">
        <v>504</v>
      </c>
      <c r="O139" s="40"/>
      <c r="P139" s="40"/>
      <c r="Q139" s="40"/>
      <c r="R139" s="40"/>
      <c r="S139" s="40" t="s">
        <v>6</v>
      </c>
      <c r="T139" s="40"/>
      <c r="U139" s="204" t="s">
        <v>3512</v>
      </c>
      <c r="V139" s="204"/>
      <c r="W139" s="204" t="s">
        <v>125</v>
      </c>
      <c r="X139" s="40"/>
      <c r="Y139" s="40"/>
      <c r="Z139" s="40"/>
      <c r="AA139" s="40" t="s">
        <v>6</v>
      </c>
      <c r="AB139" s="448"/>
      <c r="AC139" s="40"/>
      <c r="AD139" s="40"/>
      <c r="AE139" s="204" t="s">
        <v>125</v>
      </c>
      <c r="AF139" s="40"/>
      <c r="AG139" s="40"/>
      <c r="AH139" s="40"/>
      <c r="AI139" s="40" t="s">
        <v>6</v>
      </c>
      <c r="AJ139" s="448"/>
      <c r="AK139" s="40"/>
      <c r="AL139" s="40"/>
      <c r="AM139" s="198" t="s">
        <v>3513</v>
      </c>
      <c r="AN139" s="412" t="s">
        <v>505</v>
      </c>
      <c r="AO139" s="245"/>
      <c r="AP139" s="245"/>
      <c r="AQ139" s="245"/>
      <c r="AR139" s="245"/>
      <c r="AS139" s="245"/>
      <c r="AT139" s="245"/>
      <c r="AU139" s="40"/>
      <c r="AV139" s="40"/>
      <c r="AW139" s="155"/>
    </row>
    <row r="140" spans="1:49" s="14" customFormat="1" ht="15">
      <c r="A140" s="40">
        <f t="shared" si="16"/>
        <v>134</v>
      </c>
      <c r="B140" s="38"/>
      <c r="C140" s="41"/>
      <c r="D140" s="38"/>
      <c r="E140" s="46"/>
      <c r="F140" s="46"/>
      <c r="G140" s="46"/>
      <c r="H140" s="40"/>
      <c r="I140" s="40"/>
      <c r="J140" s="215" t="s">
        <v>3514</v>
      </c>
      <c r="K140" s="204" t="s">
        <v>125</v>
      </c>
      <c r="L140" s="215" t="s">
        <v>3515</v>
      </c>
      <c r="M140" s="204"/>
      <c r="N140" s="40" t="s">
        <v>504</v>
      </c>
      <c r="O140" s="40"/>
      <c r="P140" s="40"/>
      <c r="Q140" s="40"/>
      <c r="R140" s="40"/>
      <c r="S140" s="40" t="s">
        <v>6</v>
      </c>
      <c r="T140" s="126"/>
      <c r="U140" s="204"/>
      <c r="V140" s="204"/>
      <c r="W140" s="204" t="s">
        <v>125</v>
      </c>
      <c r="X140" s="40"/>
      <c r="Y140" s="40"/>
      <c r="Z140" s="40"/>
      <c r="AA140" s="40" t="s">
        <v>6</v>
      </c>
      <c r="AB140" s="448"/>
      <c r="AC140" s="40"/>
      <c r="AD140" s="40"/>
      <c r="AE140" s="204" t="s">
        <v>125</v>
      </c>
      <c r="AF140" s="40"/>
      <c r="AG140" s="40"/>
      <c r="AH140" s="40"/>
      <c r="AI140" s="40" t="s">
        <v>6</v>
      </c>
      <c r="AJ140" s="448"/>
      <c r="AK140" s="40"/>
      <c r="AL140" s="40"/>
      <c r="AM140" s="198" t="s">
        <v>3509</v>
      </c>
      <c r="AN140" s="412" t="s">
        <v>505</v>
      </c>
      <c r="AO140" s="245"/>
      <c r="AP140" s="245"/>
      <c r="AQ140" s="245"/>
      <c r="AR140" s="245"/>
      <c r="AS140" s="245"/>
      <c r="AT140" s="245"/>
      <c r="AU140" s="40"/>
      <c r="AV140" s="40"/>
      <c r="AW140" s="155"/>
    </row>
    <row r="141" spans="1:49" s="14" customFormat="1" ht="15">
      <c r="A141" s="40">
        <f t="shared" si="16"/>
        <v>135</v>
      </c>
      <c r="B141" s="38"/>
      <c r="C141" s="41"/>
      <c r="D141" s="38"/>
      <c r="E141" s="46"/>
      <c r="F141" s="46"/>
      <c r="G141" s="46"/>
      <c r="H141" s="40"/>
      <c r="I141" s="40"/>
      <c r="J141" s="215" t="s">
        <v>3516</v>
      </c>
      <c r="K141" s="204" t="s">
        <v>125</v>
      </c>
      <c r="L141" s="215" t="s">
        <v>3517</v>
      </c>
      <c r="M141" s="204"/>
      <c r="N141" s="40" t="s">
        <v>504</v>
      </c>
      <c r="O141" s="40"/>
      <c r="P141" s="40"/>
      <c r="Q141" s="40"/>
      <c r="R141" s="40"/>
      <c r="S141" s="40" t="s">
        <v>6</v>
      </c>
      <c r="T141" s="40"/>
      <c r="U141" s="204" t="s">
        <v>3512</v>
      </c>
      <c r="V141" s="204"/>
      <c r="W141" s="204" t="s">
        <v>125</v>
      </c>
      <c r="X141" s="40"/>
      <c r="Y141" s="40"/>
      <c r="Z141" s="40"/>
      <c r="AA141" s="40" t="s">
        <v>6</v>
      </c>
      <c r="AB141" s="448"/>
      <c r="AC141" s="40"/>
      <c r="AD141" s="40"/>
      <c r="AE141" s="204" t="s">
        <v>125</v>
      </c>
      <c r="AF141" s="40"/>
      <c r="AG141" s="40"/>
      <c r="AH141" s="40"/>
      <c r="AI141" s="40" t="s">
        <v>6</v>
      </c>
      <c r="AJ141" s="448"/>
      <c r="AK141" s="40"/>
      <c r="AL141" s="40"/>
      <c r="AM141" s="198" t="s">
        <v>3513</v>
      </c>
      <c r="AN141" s="412" t="s">
        <v>505</v>
      </c>
      <c r="AO141" s="245"/>
      <c r="AP141" s="245"/>
      <c r="AQ141" s="245"/>
      <c r="AR141" s="245"/>
      <c r="AS141" s="245"/>
      <c r="AT141" s="245"/>
      <c r="AU141" s="40"/>
      <c r="AV141" s="40"/>
      <c r="AW141" s="155"/>
    </row>
    <row r="142" spans="1:49" s="14" customFormat="1" ht="15">
      <c r="A142" s="40">
        <f t="shared" si="16"/>
        <v>136</v>
      </c>
      <c r="B142" s="38"/>
      <c r="C142" s="41"/>
      <c r="D142" s="38"/>
      <c r="E142" s="46"/>
      <c r="F142" s="46"/>
      <c r="G142" s="46"/>
      <c r="H142" s="40"/>
      <c r="I142" s="40"/>
      <c r="J142" s="215" t="s">
        <v>3518</v>
      </c>
      <c r="K142" s="204" t="s">
        <v>125</v>
      </c>
      <c r="L142" s="215" t="s">
        <v>3519</v>
      </c>
      <c r="M142" s="204"/>
      <c r="N142" s="40" t="s">
        <v>504</v>
      </c>
      <c r="O142" s="40"/>
      <c r="P142" s="40"/>
      <c r="Q142" s="40"/>
      <c r="R142" s="40"/>
      <c r="S142" s="40" t="s">
        <v>6</v>
      </c>
      <c r="T142" s="126"/>
      <c r="U142" s="204"/>
      <c r="V142" s="204"/>
      <c r="W142" s="204" t="s">
        <v>125</v>
      </c>
      <c r="X142" s="40"/>
      <c r="Y142" s="40"/>
      <c r="Z142" s="40"/>
      <c r="AA142" s="40" t="s">
        <v>6</v>
      </c>
      <c r="AB142" s="448"/>
      <c r="AC142" s="40"/>
      <c r="AD142" s="40"/>
      <c r="AE142" s="204" t="s">
        <v>125</v>
      </c>
      <c r="AF142" s="40"/>
      <c r="AG142" s="40"/>
      <c r="AH142" s="40"/>
      <c r="AI142" s="40" t="s">
        <v>6</v>
      </c>
      <c r="AJ142" s="448"/>
      <c r="AK142" s="40"/>
      <c r="AL142" s="40"/>
      <c r="AM142" s="198" t="s">
        <v>3509</v>
      </c>
      <c r="AN142" s="412" t="s">
        <v>505</v>
      </c>
      <c r="AO142" s="245"/>
      <c r="AP142" s="245"/>
      <c r="AQ142" s="245"/>
      <c r="AR142" s="245"/>
      <c r="AS142" s="245"/>
      <c r="AT142" s="245"/>
      <c r="AU142" s="40"/>
      <c r="AV142" s="40"/>
      <c r="AW142" s="155"/>
    </row>
    <row r="143" spans="1:49" s="14" customFormat="1" ht="15">
      <c r="A143" s="40">
        <f t="shared" si="16"/>
        <v>137</v>
      </c>
      <c r="B143" s="38"/>
      <c r="C143" s="41"/>
      <c r="D143" s="38"/>
      <c r="E143" s="46"/>
      <c r="F143" s="46"/>
      <c r="G143" s="46"/>
      <c r="H143" s="40"/>
      <c r="I143" s="40"/>
      <c r="J143" s="215" t="s">
        <v>3520</v>
      </c>
      <c r="K143" s="204" t="s">
        <v>125</v>
      </c>
      <c r="L143" s="215" t="s">
        <v>3521</v>
      </c>
      <c r="M143" s="204"/>
      <c r="N143" s="40" t="s">
        <v>504</v>
      </c>
      <c r="O143" s="40"/>
      <c r="P143" s="40"/>
      <c r="Q143" s="40"/>
      <c r="R143" s="40"/>
      <c r="S143" s="40" t="s">
        <v>6</v>
      </c>
      <c r="T143" s="40"/>
      <c r="U143" s="204" t="s">
        <v>3512</v>
      </c>
      <c r="V143" s="204"/>
      <c r="W143" s="204" t="s">
        <v>125</v>
      </c>
      <c r="X143" s="40"/>
      <c r="Y143" s="40"/>
      <c r="Z143" s="40"/>
      <c r="AA143" s="40" t="s">
        <v>6</v>
      </c>
      <c r="AB143" s="448"/>
      <c r="AC143" s="40"/>
      <c r="AD143" s="40"/>
      <c r="AE143" s="204" t="s">
        <v>125</v>
      </c>
      <c r="AF143" s="40"/>
      <c r="AG143" s="40"/>
      <c r="AH143" s="40"/>
      <c r="AI143" s="40" t="s">
        <v>6</v>
      </c>
      <c r="AJ143" s="448"/>
      <c r="AK143" s="40"/>
      <c r="AL143" s="40"/>
      <c r="AM143" s="198" t="s">
        <v>3513</v>
      </c>
      <c r="AN143" s="412" t="s">
        <v>505</v>
      </c>
      <c r="AO143" s="245"/>
      <c r="AP143" s="245"/>
      <c r="AQ143" s="245"/>
      <c r="AR143" s="245"/>
      <c r="AS143" s="245"/>
      <c r="AT143" s="245"/>
      <c r="AU143" s="40"/>
      <c r="AV143" s="40"/>
      <c r="AW143" s="155"/>
    </row>
    <row r="144" spans="1:49" s="14" customFormat="1" ht="15">
      <c r="A144" s="40">
        <f t="shared" si="16"/>
        <v>138</v>
      </c>
      <c r="B144" s="38"/>
      <c r="C144" s="42"/>
      <c r="D144" s="232"/>
      <c r="E144" s="232"/>
      <c r="F144" s="232"/>
      <c r="G144" s="232"/>
      <c r="H144" s="40"/>
      <c r="I144" s="40"/>
      <c r="J144" s="215" t="s">
        <v>3522</v>
      </c>
      <c r="K144" s="204" t="s">
        <v>125</v>
      </c>
      <c r="L144" s="449" t="s">
        <v>3523</v>
      </c>
      <c r="M144" s="204"/>
      <c r="N144" s="40" t="s">
        <v>504</v>
      </c>
      <c r="O144" s="40"/>
      <c r="P144" s="40"/>
      <c r="Q144" s="40"/>
      <c r="R144" s="40"/>
      <c r="S144" s="40" t="s">
        <v>6</v>
      </c>
      <c r="T144" s="40"/>
      <c r="U144" s="204" t="s">
        <v>3512</v>
      </c>
      <c r="V144" s="204"/>
      <c r="W144" s="204" t="s">
        <v>125</v>
      </c>
      <c r="X144" s="40"/>
      <c r="Y144" s="40"/>
      <c r="Z144" s="40"/>
      <c r="AA144" s="40" t="s">
        <v>6</v>
      </c>
      <c r="AB144" s="448"/>
      <c r="AC144" s="40"/>
      <c r="AD144" s="40"/>
      <c r="AE144" s="204" t="s">
        <v>125</v>
      </c>
      <c r="AF144" s="40"/>
      <c r="AG144" s="40"/>
      <c r="AH144" s="40"/>
      <c r="AI144" s="40" t="s">
        <v>6</v>
      </c>
      <c r="AJ144" s="448"/>
      <c r="AK144" s="40"/>
      <c r="AL144" s="40"/>
      <c r="AM144" s="198" t="s">
        <v>3524</v>
      </c>
      <c r="AN144" s="412" t="s">
        <v>505</v>
      </c>
      <c r="AO144" s="40"/>
      <c r="AP144" s="40"/>
      <c r="AQ144" s="40"/>
      <c r="AR144" s="40"/>
      <c r="AS144" s="40"/>
      <c r="AT144" s="40"/>
      <c r="AU144" s="40"/>
      <c r="AV144" s="40"/>
      <c r="AW144" s="155"/>
    </row>
    <row r="145" spans="1:87" s="14" customFormat="1" ht="15">
      <c r="A145" s="40">
        <f t="shared" si="16"/>
        <v>139</v>
      </c>
      <c r="B145" s="38"/>
      <c r="C145" s="42"/>
      <c r="D145" s="232"/>
      <c r="E145" s="232"/>
      <c r="F145" s="232"/>
      <c r="G145" s="232"/>
      <c r="H145" s="40"/>
      <c r="I145" s="40"/>
      <c r="J145" s="215" t="s">
        <v>3525</v>
      </c>
      <c r="K145" s="204" t="s">
        <v>125</v>
      </c>
      <c r="L145" s="449" t="s">
        <v>3526</v>
      </c>
      <c r="M145" s="204"/>
      <c r="N145" s="40" t="s">
        <v>504</v>
      </c>
      <c r="O145" s="40"/>
      <c r="P145" s="40"/>
      <c r="Q145" s="40"/>
      <c r="R145" s="40"/>
      <c r="S145" s="40" t="s">
        <v>6</v>
      </c>
      <c r="T145" s="40"/>
      <c r="U145" s="204" t="s">
        <v>3512</v>
      </c>
      <c r="V145" s="204"/>
      <c r="W145" s="204" t="s">
        <v>125</v>
      </c>
      <c r="X145" s="40"/>
      <c r="Y145" s="40"/>
      <c r="Z145" s="40"/>
      <c r="AA145" s="40" t="s">
        <v>6</v>
      </c>
      <c r="AB145" s="448"/>
      <c r="AC145" s="40"/>
      <c r="AD145" s="40"/>
      <c r="AE145" s="204" t="s">
        <v>125</v>
      </c>
      <c r="AF145" s="40"/>
      <c r="AG145" s="40"/>
      <c r="AH145" s="40"/>
      <c r="AI145" s="40" t="s">
        <v>6</v>
      </c>
      <c r="AJ145" s="448"/>
      <c r="AK145" s="40"/>
      <c r="AL145" s="40"/>
      <c r="AM145" s="198" t="s">
        <v>3524</v>
      </c>
      <c r="AN145" s="412" t="s">
        <v>505</v>
      </c>
      <c r="AO145" s="40"/>
      <c r="AP145" s="40"/>
      <c r="AQ145" s="40"/>
      <c r="AR145" s="40"/>
      <c r="AS145" s="40"/>
      <c r="AT145" s="40"/>
      <c r="AU145" s="40"/>
      <c r="AV145" s="40"/>
      <c r="AW145" s="155"/>
    </row>
    <row r="146" spans="1:87" s="14" customFormat="1" ht="15">
      <c r="A146" s="40">
        <f t="shared" si="16"/>
        <v>140</v>
      </c>
      <c r="B146" s="232"/>
      <c r="C146" s="41"/>
      <c r="D146" s="232"/>
      <c r="E146" s="232"/>
      <c r="F146" s="232"/>
      <c r="G146" s="232"/>
      <c r="H146" s="40"/>
      <c r="I146" s="40"/>
      <c r="J146" s="215" t="s">
        <v>3527</v>
      </c>
      <c r="K146" s="204" t="s">
        <v>125</v>
      </c>
      <c r="L146" s="449" t="s">
        <v>3528</v>
      </c>
      <c r="M146" s="204"/>
      <c r="N146" s="40" t="s">
        <v>504</v>
      </c>
      <c r="O146" s="40"/>
      <c r="P146" s="40"/>
      <c r="Q146" s="40"/>
      <c r="R146" s="40"/>
      <c r="S146" s="40" t="s">
        <v>6</v>
      </c>
      <c r="T146" s="40"/>
      <c r="U146" s="204" t="s">
        <v>3512</v>
      </c>
      <c r="V146" s="204"/>
      <c r="W146" s="204" t="s">
        <v>125</v>
      </c>
      <c r="X146" s="40"/>
      <c r="Y146" s="40"/>
      <c r="Z146" s="40"/>
      <c r="AA146" s="40" t="s">
        <v>6</v>
      </c>
      <c r="AB146" s="448"/>
      <c r="AC146" s="40"/>
      <c r="AD146" s="40"/>
      <c r="AE146" s="204" t="s">
        <v>125</v>
      </c>
      <c r="AF146" s="40"/>
      <c r="AG146" s="40"/>
      <c r="AH146" s="40"/>
      <c r="AI146" s="40" t="s">
        <v>6</v>
      </c>
      <c r="AJ146" s="448"/>
      <c r="AK146" s="40"/>
      <c r="AL146" s="40"/>
      <c r="AM146" s="198" t="s">
        <v>3524</v>
      </c>
      <c r="AN146" s="412" t="s">
        <v>505</v>
      </c>
      <c r="AO146" s="198"/>
      <c r="AP146" s="198"/>
      <c r="AQ146" s="198"/>
      <c r="AR146" s="198"/>
      <c r="AS146" s="198"/>
      <c r="AT146" s="198"/>
      <c r="AU146" s="40"/>
      <c r="AV146" s="198"/>
      <c r="AW146" s="155"/>
      <c r="AX146" s="237"/>
      <c r="AY146" s="238"/>
    </row>
    <row r="147" spans="1:87" s="14" customFormat="1" ht="15">
      <c r="A147" s="40">
        <f t="shared" si="16"/>
        <v>141</v>
      </c>
      <c r="B147" s="38"/>
      <c r="C147" s="42"/>
      <c r="D147" s="232"/>
      <c r="E147" s="232"/>
      <c r="F147" s="232"/>
      <c r="G147" s="232"/>
      <c r="H147" s="40"/>
      <c r="I147" s="40"/>
      <c r="J147" s="215" t="s">
        <v>3529</v>
      </c>
      <c r="K147" s="204" t="s">
        <v>125</v>
      </c>
      <c r="L147" s="449" t="s">
        <v>3530</v>
      </c>
      <c r="M147" s="204"/>
      <c r="N147" s="40" t="s">
        <v>504</v>
      </c>
      <c r="O147" s="40"/>
      <c r="P147" s="40"/>
      <c r="Q147" s="40"/>
      <c r="R147" s="40"/>
      <c r="S147" s="40" t="s">
        <v>6</v>
      </c>
      <c r="T147" s="40"/>
      <c r="U147" s="204" t="s">
        <v>3512</v>
      </c>
      <c r="V147" s="204"/>
      <c r="W147" s="204" t="s">
        <v>125</v>
      </c>
      <c r="X147" s="40"/>
      <c r="Y147" s="40"/>
      <c r="Z147" s="40"/>
      <c r="AA147" s="40" t="s">
        <v>6</v>
      </c>
      <c r="AB147" s="448"/>
      <c r="AC147" s="40"/>
      <c r="AD147" s="40"/>
      <c r="AE147" s="204" t="s">
        <v>125</v>
      </c>
      <c r="AF147" s="40"/>
      <c r="AG147" s="40"/>
      <c r="AH147" s="40"/>
      <c r="AI147" s="40" t="s">
        <v>6</v>
      </c>
      <c r="AJ147" s="448"/>
      <c r="AK147" s="40"/>
      <c r="AL147" s="40"/>
      <c r="AM147" s="198"/>
      <c r="AN147" s="202" t="s">
        <v>3531</v>
      </c>
      <c r="AO147" s="40"/>
      <c r="AP147" s="40"/>
      <c r="AQ147" s="40"/>
      <c r="AR147" s="40"/>
      <c r="AS147" s="40"/>
      <c r="AT147" s="40"/>
      <c r="AU147" s="40"/>
      <c r="AV147" s="40"/>
      <c r="AW147" s="155"/>
      <c r="AX147" s="237"/>
      <c r="AY147" s="238"/>
    </row>
    <row r="148" spans="1:87" s="155" customFormat="1" ht="15">
      <c r="A148" s="40">
        <f t="shared" si="16"/>
        <v>142</v>
      </c>
      <c r="B148" s="38"/>
      <c r="C148" s="42"/>
      <c r="D148" s="38"/>
      <c r="E148" s="46"/>
      <c r="F148" s="46"/>
      <c r="G148" s="46"/>
      <c r="H148" s="40"/>
      <c r="I148" s="40"/>
      <c r="J148" s="215" t="s">
        <v>3532</v>
      </c>
      <c r="K148" s="204" t="s">
        <v>125</v>
      </c>
      <c r="L148" s="215" t="s">
        <v>3533</v>
      </c>
      <c r="M148" s="204"/>
      <c r="N148" s="40" t="s">
        <v>504</v>
      </c>
      <c r="O148" s="40"/>
      <c r="P148" s="40"/>
      <c r="Q148" s="40"/>
      <c r="R148" s="40"/>
      <c r="S148" s="40" t="s">
        <v>6</v>
      </c>
      <c r="T148" s="40"/>
      <c r="U148" s="204" t="s">
        <v>3512</v>
      </c>
      <c r="V148" s="204"/>
      <c r="W148" s="204" t="s">
        <v>125</v>
      </c>
      <c r="X148" s="40"/>
      <c r="Y148" s="40"/>
      <c r="Z148" s="40"/>
      <c r="AA148" s="40" t="s">
        <v>6</v>
      </c>
      <c r="AB148" s="448"/>
      <c r="AC148" s="40"/>
      <c r="AD148" s="40"/>
      <c r="AE148" s="204" t="s">
        <v>125</v>
      </c>
      <c r="AF148" s="40"/>
      <c r="AG148" s="40"/>
      <c r="AH148" s="40"/>
      <c r="AI148" s="40" t="s">
        <v>6</v>
      </c>
      <c r="AJ148" s="448"/>
      <c r="AK148" s="40"/>
      <c r="AL148" s="40"/>
      <c r="AM148" s="198"/>
      <c r="AN148" s="202" t="s">
        <v>3531</v>
      </c>
      <c r="AO148" s="198"/>
      <c r="AP148" s="198"/>
      <c r="AQ148" s="198"/>
      <c r="AR148" s="198"/>
      <c r="AS148" s="198"/>
      <c r="AT148" s="198"/>
      <c r="AU148" s="198"/>
      <c r="AV148" s="40"/>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c r="BW148" s="14"/>
      <c r="BX148" s="14"/>
      <c r="BY148" s="14"/>
      <c r="BZ148" s="14"/>
      <c r="CA148" s="14"/>
      <c r="CB148" s="14"/>
      <c r="CC148" s="14"/>
      <c r="CD148" s="14"/>
      <c r="CE148" s="14"/>
      <c r="CF148" s="14"/>
      <c r="CG148" s="14"/>
      <c r="CH148" s="14"/>
      <c r="CI148" s="14"/>
    </row>
    <row r="149" spans="1:87" s="155" customFormat="1" ht="15">
      <c r="A149" s="40">
        <f t="shared" si="16"/>
        <v>143</v>
      </c>
      <c r="B149" s="38"/>
      <c r="C149" s="42"/>
      <c r="D149" s="38"/>
      <c r="E149" s="46"/>
      <c r="F149" s="46"/>
      <c r="G149" s="46"/>
      <c r="H149" s="40"/>
      <c r="I149" s="40"/>
      <c r="J149" s="215" t="s">
        <v>3534</v>
      </c>
      <c r="K149" s="204" t="s">
        <v>125</v>
      </c>
      <c r="L149" s="215" t="s">
        <v>3535</v>
      </c>
      <c r="M149" s="204"/>
      <c r="N149" s="40" t="s">
        <v>504</v>
      </c>
      <c r="O149" s="40"/>
      <c r="P149" s="40"/>
      <c r="Q149" s="40"/>
      <c r="R149" s="40"/>
      <c r="S149" s="40" t="s">
        <v>6</v>
      </c>
      <c r="T149" s="40"/>
      <c r="U149" s="204" t="s">
        <v>3512</v>
      </c>
      <c r="V149" s="204"/>
      <c r="W149" s="204" t="s">
        <v>125</v>
      </c>
      <c r="X149" s="40"/>
      <c r="Y149" s="40"/>
      <c r="Z149" s="40"/>
      <c r="AA149" s="40" t="s">
        <v>6</v>
      </c>
      <c r="AB149" s="448"/>
      <c r="AC149" s="40"/>
      <c r="AD149" s="40"/>
      <c r="AE149" s="204" t="s">
        <v>125</v>
      </c>
      <c r="AF149" s="40"/>
      <c r="AG149" s="40"/>
      <c r="AH149" s="40"/>
      <c r="AI149" s="40" t="s">
        <v>6</v>
      </c>
      <c r="AJ149" s="448"/>
      <c r="AK149" s="40"/>
      <c r="AL149" s="40"/>
      <c r="AM149" s="198"/>
      <c r="AN149" s="202" t="s">
        <v>3531</v>
      </c>
      <c r="AO149" s="198"/>
      <c r="AP149" s="198"/>
      <c r="AQ149" s="198"/>
      <c r="AR149" s="198"/>
      <c r="AS149" s="198"/>
      <c r="AT149" s="198"/>
      <c r="AU149" s="198"/>
      <c r="AV149" s="40"/>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BV149" s="14"/>
      <c r="BW149" s="14"/>
      <c r="BX149" s="14"/>
      <c r="BY149" s="14"/>
      <c r="BZ149" s="14"/>
      <c r="CA149" s="14"/>
      <c r="CB149" s="14"/>
      <c r="CC149" s="14"/>
      <c r="CD149" s="14"/>
      <c r="CE149" s="14"/>
      <c r="CF149" s="14"/>
      <c r="CG149" s="14"/>
      <c r="CH149" s="14"/>
      <c r="CI149" s="14"/>
    </row>
    <row r="150" spans="1:87" s="14" customFormat="1" ht="15">
      <c r="A150" s="40">
        <f t="shared" si="16"/>
        <v>144</v>
      </c>
      <c r="B150" s="38"/>
      <c r="C150" s="42"/>
      <c r="D150" s="232"/>
      <c r="E150" s="232"/>
      <c r="F150" s="232"/>
      <c r="G150" s="232"/>
      <c r="H150" s="40"/>
      <c r="I150" s="40"/>
      <c r="J150" s="215" t="s">
        <v>3536</v>
      </c>
      <c r="K150" s="204" t="s">
        <v>125</v>
      </c>
      <c r="L150" s="215" t="s">
        <v>3537</v>
      </c>
      <c r="M150" s="204"/>
      <c r="N150" s="40" t="s">
        <v>504</v>
      </c>
      <c r="O150" s="40"/>
      <c r="P150" s="40"/>
      <c r="Q150" s="40"/>
      <c r="R150" s="40"/>
      <c r="S150" s="40" t="s">
        <v>6</v>
      </c>
      <c r="T150" s="40"/>
      <c r="U150" s="204" t="s">
        <v>3512</v>
      </c>
      <c r="V150" s="204"/>
      <c r="W150" s="204" t="s">
        <v>125</v>
      </c>
      <c r="X150" s="40"/>
      <c r="Y150" s="40"/>
      <c r="Z150" s="40"/>
      <c r="AA150" s="40" t="s">
        <v>6</v>
      </c>
      <c r="AB150" s="448"/>
      <c r="AC150" s="40"/>
      <c r="AD150" s="40"/>
      <c r="AE150" s="204" t="s">
        <v>125</v>
      </c>
      <c r="AF150" s="40"/>
      <c r="AG150" s="40"/>
      <c r="AH150" s="40"/>
      <c r="AI150" s="40" t="s">
        <v>6</v>
      </c>
      <c r="AJ150" s="448"/>
      <c r="AK150" s="40"/>
      <c r="AL150" s="40"/>
      <c r="AM150" s="198"/>
      <c r="AN150" s="202" t="s">
        <v>3531</v>
      </c>
      <c r="AO150" s="40"/>
      <c r="AP150" s="40"/>
      <c r="AQ150" s="40"/>
      <c r="AR150" s="40"/>
      <c r="AS150" s="40"/>
      <c r="AT150" s="40"/>
      <c r="AU150" s="40"/>
      <c r="AV150" s="40"/>
      <c r="AW150" s="155"/>
    </row>
    <row r="151" spans="1:87" s="14" customFormat="1" ht="15">
      <c r="A151" s="40">
        <f t="shared" si="16"/>
        <v>145</v>
      </c>
      <c r="B151" s="38"/>
      <c r="C151" s="42"/>
      <c r="D151" s="232"/>
      <c r="E151" s="232"/>
      <c r="F151" s="232"/>
      <c r="G151" s="232"/>
      <c r="H151" s="40"/>
      <c r="I151" s="40"/>
      <c r="J151" s="215" t="s">
        <v>3538</v>
      </c>
      <c r="K151" s="204" t="s">
        <v>125</v>
      </c>
      <c r="L151" s="215" t="s">
        <v>3539</v>
      </c>
      <c r="M151" s="204"/>
      <c r="N151" s="40" t="s">
        <v>504</v>
      </c>
      <c r="O151" s="40"/>
      <c r="P151" s="40"/>
      <c r="Q151" s="40"/>
      <c r="R151" s="40"/>
      <c r="S151" s="40" t="s">
        <v>6</v>
      </c>
      <c r="T151" s="40"/>
      <c r="U151" s="204" t="s">
        <v>3512</v>
      </c>
      <c r="V151" s="204"/>
      <c r="W151" s="204" t="s">
        <v>125</v>
      </c>
      <c r="X151" s="40"/>
      <c r="Y151" s="40"/>
      <c r="Z151" s="40"/>
      <c r="AA151" s="40" t="s">
        <v>6</v>
      </c>
      <c r="AB151" s="448"/>
      <c r="AC151" s="40"/>
      <c r="AD151" s="40"/>
      <c r="AE151" s="204" t="s">
        <v>125</v>
      </c>
      <c r="AF151" s="40"/>
      <c r="AG151" s="40"/>
      <c r="AH151" s="40"/>
      <c r="AI151" s="40" t="s">
        <v>6</v>
      </c>
      <c r="AJ151" s="448"/>
      <c r="AK151" s="40"/>
      <c r="AL151" s="40"/>
      <c r="AM151" s="198"/>
      <c r="AN151" s="202" t="s">
        <v>3531</v>
      </c>
      <c r="AO151" s="40"/>
      <c r="AP151" s="40"/>
      <c r="AQ151" s="40"/>
      <c r="AR151" s="40"/>
      <c r="AS151" s="40"/>
      <c r="AT151" s="40"/>
      <c r="AU151" s="40"/>
      <c r="AV151" s="40"/>
      <c r="AW151" s="155"/>
    </row>
    <row r="152" spans="1:87" s="236" customFormat="1" ht="15">
      <c r="A152" s="40">
        <f t="shared" si="16"/>
        <v>146</v>
      </c>
      <c r="B152" s="38"/>
      <c r="C152" s="41"/>
      <c r="D152" s="232"/>
      <c r="E152" s="232"/>
      <c r="F152" s="232"/>
      <c r="G152" s="232"/>
      <c r="H152" s="40"/>
      <c r="I152" s="40"/>
      <c r="J152" s="215" t="s">
        <v>3540</v>
      </c>
      <c r="K152" s="204" t="s">
        <v>125</v>
      </c>
      <c r="L152" s="215" t="s">
        <v>3541</v>
      </c>
      <c r="M152" s="204"/>
      <c r="N152" s="40" t="s">
        <v>504</v>
      </c>
      <c r="O152" s="40"/>
      <c r="P152" s="40"/>
      <c r="Q152" s="40"/>
      <c r="R152" s="40"/>
      <c r="S152" s="40" t="s">
        <v>6</v>
      </c>
      <c r="T152" s="40"/>
      <c r="U152" s="204"/>
      <c r="V152" s="204"/>
      <c r="W152" s="204" t="s">
        <v>125</v>
      </c>
      <c r="X152" s="198"/>
      <c r="Y152" s="198"/>
      <c r="Z152" s="40"/>
      <c r="AA152" s="40" t="s">
        <v>6</v>
      </c>
      <c r="AB152" s="204"/>
      <c r="AC152" s="40"/>
      <c r="AD152" s="40"/>
      <c r="AE152" s="204" t="s">
        <v>125</v>
      </c>
      <c r="AF152" s="198"/>
      <c r="AG152" s="198"/>
      <c r="AH152" s="40"/>
      <c r="AI152" s="40" t="s">
        <v>6</v>
      </c>
      <c r="AJ152" s="204"/>
      <c r="AK152" s="40"/>
      <c r="AL152" s="40"/>
      <c r="AM152" s="198"/>
      <c r="AN152" s="40"/>
      <c r="AO152" s="198"/>
      <c r="AP152" s="198"/>
      <c r="AQ152" s="198"/>
      <c r="AR152" s="198"/>
      <c r="AS152" s="198"/>
      <c r="AT152" s="198"/>
      <c r="AU152" s="198"/>
      <c r="AV152" s="40"/>
      <c r="AW152" s="155"/>
    </row>
    <row r="153" spans="1:87" s="236" customFormat="1" ht="15">
      <c r="A153" s="40">
        <f t="shared" si="16"/>
        <v>147</v>
      </c>
      <c r="B153" s="38"/>
      <c r="C153" s="41"/>
      <c r="D153" s="232"/>
      <c r="E153" s="232"/>
      <c r="F153" s="232"/>
      <c r="G153" s="232"/>
      <c r="H153" s="40"/>
      <c r="I153" s="40"/>
      <c r="J153" s="215" t="s">
        <v>3542</v>
      </c>
      <c r="K153" s="204" t="s">
        <v>125</v>
      </c>
      <c r="L153" s="215" t="s">
        <v>3543</v>
      </c>
      <c r="M153" s="204"/>
      <c r="N153" s="40" t="s">
        <v>504</v>
      </c>
      <c r="O153" s="40"/>
      <c r="P153" s="40"/>
      <c r="Q153" s="40"/>
      <c r="R153" s="40"/>
      <c r="S153" s="40" t="s">
        <v>6</v>
      </c>
      <c r="T153" s="40"/>
      <c r="U153" s="204"/>
      <c r="V153" s="204"/>
      <c r="W153" s="204" t="s">
        <v>125</v>
      </c>
      <c r="X153" s="198"/>
      <c r="Y153" s="198"/>
      <c r="Z153" s="40"/>
      <c r="AA153" s="40" t="s">
        <v>6</v>
      </c>
      <c r="AB153" s="204"/>
      <c r="AC153" s="40"/>
      <c r="AD153" s="40"/>
      <c r="AE153" s="204" t="s">
        <v>125</v>
      </c>
      <c r="AF153" s="198"/>
      <c r="AG153" s="198"/>
      <c r="AH153" s="40"/>
      <c r="AI153" s="40" t="s">
        <v>6</v>
      </c>
      <c r="AJ153" s="204"/>
      <c r="AK153" s="40"/>
      <c r="AL153" s="40"/>
      <c r="AM153" s="198"/>
      <c r="AN153" s="40"/>
      <c r="AO153" s="198"/>
      <c r="AP153" s="198"/>
      <c r="AQ153" s="198"/>
      <c r="AR153" s="198"/>
      <c r="AS153" s="198"/>
      <c r="AT153" s="198"/>
      <c r="AU153" s="198"/>
      <c r="AV153" s="40"/>
      <c r="AW153" s="155"/>
    </row>
    <row r="154" spans="1:87" s="236" customFormat="1" ht="15">
      <c r="A154" s="40">
        <f t="shared" si="16"/>
        <v>148</v>
      </c>
      <c r="B154" s="38"/>
      <c r="C154" s="41"/>
      <c r="D154" s="232"/>
      <c r="E154" s="232"/>
      <c r="F154" s="232"/>
      <c r="G154" s="232"/>
      <c r="H154" s="40"/>
      <c r="I154" s="40"/>
      <c r="J154" s="215" t="s">
        <v>3544</v>
      </c>
      <c r="K154" s="204" t="s">
        <v>125</v>
      </c>
      <c r="L154" s="215" t="s">
        <v>3545</v>
      </c>
      <c r="M154" s="204"/>
      <c r="N154" s="40" t="s">
        <v>504</v>
      </c>
      <c r="O154" s="40"/>
      <c r="P154" s="40"/>
      <c r="Q154" s="40"/>
      <c r="R154" s="40"/>
      <c r="S154" s="40" t="s">
        <v>6</v>
      </c>
      <c r="T154" s="40"/>
      <c r="U154" s="204"/>
      <c r="V154" s="204"/>
      <c r="W154" s="204" t="s">
        <v>125</v>
      </c>
      <c r="X154" s="198"/>
      <c r="Y154" s="198"/>
      <c r="Z154" s="40"/>
      <c r="AA154" s="40" t="s">
        <v>6</v>
      </c>
      <c r="AB154" s="204"/>
      <c r="AC154" s="40"/>
      <c r="AD154" s="40"/>
      <c r="AE154" s="204" t="s">
        <v>125</v>
      </c>
      <c r="AF154" s="198"/>
      <c r="AG154" s="198"/>
      <c r="AH154" s="40"/>
      <c r="AI154" s="40" t="s">
        <v>6</v>
      </c>
      <c r="AJ154" s="204"/>
      <c r="AK154" s="40"/>
      <c r="AL154" s="40"/>
      <c r="AM154" s="198"/>
      <c r="AN154" s="40"/>
      <c r="AO154" s="198"/>
      <c r="AP154" s="198"/>
      <c r="AQ154" s="198"/>
      <c r="AR154" s="198"/>
      <c r="AS154" s="198"/>
      <c r="AT154" s="198"/>
      <c r="AU154" s="198"/>
      <c r="AV154" s="40"/>
      <c r="AW154" s="155"/>
    </row>
    <row r="155" spans="1:87" s="236" customFormat="1" ht="15">
      <c r="A155" s="40">
        <f t="shared" si="16"/>
        <v>149</v>
      </c>
      <c r="B155" s="38"/>
      <c r="C155" s="41"/>
      <c r="D155" s="232"/>
      <c r="E155" s="232"/>
      <c r="F155" s="232"/>
      <c r="G155" s="232"/>
      <c r="H155" s="40"/>
      <c r="I155" s="40"/>
      <c r="J155" s="215" t="s">
        <v>3546</v>
      </c>
      <c r="K155" s="204" t="s">
        <v>125</v>
      </c>
      <c r="L155" s="215" t="s">
        <v>3547</v>
      </c>
      <c r="M155" s="204"/>
      <c r="N155" s="40" t="s">
        <v>504</v>
      </c>
      <c r="O155" s="40"/>
      <c r="P155" s="40"/>
      <c r="Q155" s="40"/>
      <c r="R155" s="40"/>
      <c r="S155" s="40" t="s">
        <v>6</v>
      </c>
      <c r="T155" s="40"/>
      <c r="U155" s="204"/>
      <c r="V155" s="204"/>
      <c r="W155" s="204" t="s">
        <v>125</v>
      </c>
      <c r="X155" s="198"/>
      <c r="Y155" s="198"/>
      <c r="Z155" s="40"/>
      <c r="AA155" s="40" t="s">
        <v>6</v>
      </c>
      <c r="AB155" s="204"/>
      <c r="AC155" s="40"/>
      <c r="AD155" s="40"/>
      <c r="AE155" s="204" t="s">
        <v>125</v>
      </c>
      <c r="AF155" s="198"/>
      <c r="AG155" s="198"/>
      <c r="AH155" s="40"/>
      <c r="AI155" s="40" t="s">
        <v>6</v>
      </c>
      <c r="AJ155" s="204"/>
      <c r="AK155" s="40"/>
      <c r="AL155" s="40"/>
      <c r="AM155" s="198"/>
      <c r="AN155" s="40"/>
      <c r="AO155" s="198"/>
      <c r="AP155" s="198"/>
      <c r="AQ155" s="198"/>
      <c r="AR155" s="198"/>
      <c r="AS155" s="198"/>
      <c r="AT155" s="198"/>
      <c r="AU155" s="198"/>
      <c r="AV155" s="40"/>
      <c r="AW155" s="155"/>
    </row>
    <row r="156" spans="1:87" s="14" customFormat="1" ht="15">
      <c r="A156" s="40">
        <f t="shared" si="16"/>
        <v>150</v>
      </c>
      <c r="B156" s="38"/>
      <c r="C156" s="42"/>
      <c r="D156" s="232"/>
      <c r="E156" s="232"/>
      <c r="F156" s="232"/>
      <c r="G156" s="232"/>
      <c r="H156" s="40"/>
      <c r="I156" s="40"/>
      <c r="J156" s="215" t="s">
        <v>3548</v>
      </c>
      <c r="K156" s="204" t="s">
        <v>125</v>
      </c>
      <c r="L156" s="215" t="s">
        <v>3549</v>
      </c>
      <c r="M156" s="204"/>
      <c r="N156" s="40" t="s">
        <v>504</v>
      </c>
      <c r="O156" s="40"/>
      <c r="P156" s="40"/>
      <c r="Q156" s="40"/>
      <c r="R156" s="40"/>
      <c r="S156" s="40" t="s">
        <v>6</v>
      </c>
      <c r="T156" s="40"/>
      <c r="U156" s="204" t="s">
        <v>3512</v>
      </c>
      <c r="V156" s="204"/>
      <c r="W156" s="204" t="s">
        <v>125</v>
      </c>
      <c r="X156" s="40"/>
      <c r="Y156" s="40"/>
      <c r="Z156" s="40"/>
      <c r="AA156" s="40" t="s">
        <v>6</v>
      </c>
      <c r="AB156" s="448"/>
      <c r="AC156" s="40"/>
      <c r="AD156" s="40"/>
      <c r="AE156" s="204" t="s">
        <v>125</v>
      </c>
      <c r="AF156" s="40"/>
      <c r="AG156" s="40"/>
      <c r="AH156" s="40"/>
      <c r="AI156" s="40" t="s">
        <v>6</v>
      </c>
      <c r="AJ156" s="448"/>
      <c r="AK156" s="40"/>
      <c r="AL156" s="40"/>
      <c r="AM156" s="198"/>
      <c r="AN156" s="40"/>
      <c r="AO156" s="40"/>
      <c r="AP156" s="40"/>
      <c r="AQ156" s="40"/>
      <c r="AR156" s="40"/>
      <c r="AS156" s="40"/>
      <c r="AT156" s="40"/>
      <c r="AU156" s="40"/>
      <c r="AV156" s="40"/>
      <c r="AW156" s="155"/>
    </row>
    <row r="157" spans="1:87" s="155" customFormat="1" ht="15">
      <c r="A157" s="40">
        <f t="shared" si="16"/>
        <v>151</v>
      </c>
      <c r="B157" s="232"/>
      <c r="C157" s="41"/>
      <c r="D157" s="232"/>
      <c r="E157" s="232"/>
      <c r="F157" s="232"/>
      <c r="G157" s="232"/>
      <c r="H157" s="40"/>
      <c r="I157" s="40"/>
      <c r="J157" s="215" t="s">
        <v>3550</v>
      </c>
      <c r="K157" s="204" t="s">
        <v>125</v>
      </c>
      <c r="L157" s="215" t="s">
        <v>3551</v>
      </c>
      <c r="M157" s="204"/>
      <c r="N157" s="40" t="s">
        <v>504</v>
      </c>
      <c r="O157" s="40"/>
      <c r="P157" s="40"/>
      <c r="Q157" s="40"/>
      <c r="R157" s="40"/>
      <c r="S157" s="40" t="s">
        <v>6</v>
      </c>
      <c r="T157" s="126"/>
      <c r="U157" s="204"/>
      <c r="V157" s="204"/>
      <c r="W157" s="204" t="s">
        <v>125</v>
      </c>
      <c r="X157" s="40"/>
      <c r="Y157" s="40"/>
      <c r="Z157" s="40"/>
      <c r="AA157" s="40" t="s">
        <v>6</v>
      </c>
      <c r="AB157" s="448"/>
      <c r="AC157" s="40"/>
      <c r="AD157" s="40"/>
      <c r="AE157" s="204" t="s">
        <v>125</v>
      </c>
      <c r="AF157" s="40"/>
      <c r="AG157" s="40"/>
      <c r="AH157" s="40"/>
      <c r="AI157" s="40" t="s">
        <v>6</v>
      </c>
      <c r="AJ157" s="448"/>
      <c r="AK157" s="40"/>
      <c r="AL157" s="40"/>
      <c r="AM157" s="198"/>
      <c r="AN157" s="204" t="s">
        <v>3531</v>
      </c>
      <c r="AO157" s="198"/>
      <c r="AP157" s="198"/>
      <c r="AQ157" s="198"/>
      <c r="AR157" s="198"/>
      <c r="AS157" s="198"/>
      <c r="AT157" s="198"/>
      <c r="AU157" s="40"/>
      <c r="AV157" s="198"/>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G157" s="14"/>
      <c r="CH157" s="14"/>
      <c r="CI157" s="14"/>
    </row>
    <row r="158" spans="1:87" s="155" customFormat="1" ht="15">
      <c r="A158" s="40">
        <f t="shared" si="16"/>
        <v>152</v>
      </c>
      <c r="B158" s="232"/>
      <c r="C158" s="41"/>
      <c r="D158" s="232"/>
      <c r="E158" s="232"/>
      <c r="F158" s="232"/>
      <c r="G158" s="232"/>
      <c r="H158" s="40"/>
      <c r="I158" s="40"/>
      <c r="J158" s="215" t="s">
        <v>3552</v>
      </c>
      <c r="K158" s="204" t="s">
        <v>125</v>
      </c>
      <c r="L158" s="215" t="s">
        <v>3553</v>
      </c>
      <c r="M158" s="204"/>
      <c r="N158" s="40" t="s">
        <v>504</v>
      </c>
      <c r="O158" s="40"/>
      <c r="P158" s="40"/>
      <c r="Q158" s="40"/>
      <c r="R158" s="40"/>
      <c r="S158" s="40" t="s">
        <v>6</v>
      </c>
      <c r="T158" s="126"/>
      <c r="U158" s="204" t="s">
        <v>3512</v>
      </c>
      <c r="V158" s="204"/>
      <c r="W158" s="204" t="s">
        <v>125</v>
      </c>
      <c r="X158" s="40"/>
      <c r="Y158" s="40"/>
      <c r="Z158" s="40"/>
      <c r="AA158" s="40" t="s">
        <v>6</v>
      </c>
      <c r="AB158" s="448"/>
      <c r="AC158" s="40"/>
      <c r="AD158" s="40"/>
      <c r="AE158" s="204" t="s">
        <v>125</v>
      </c>
      <c r="AF158" s="40"/>
      <c r="AG158" s="40"/>
      <c r="AH158" s="40"/>
      <c r="AI158" s="40" t="s">
        <v>6</v>
      </c>
      <c r="AJ158" s="448"/>
      <c r="AK158" s="40"/>
      <c r="AL158" s="40"/>
      <c r="AM158" s="198"/>
      <c r="AN158" s="202" t="s">
        <v>3531</v>
      </c>
      <c r="AO158" s="198"/>
      <c r="AP158" s="198"/>
      <c r="AQ158" s="198"/>
      <c r="AR158" s="198"/>
      <c r="AS158" s="198"/>
      <c r="AT158" s="198"/>
      <c r="AU158" s="40"/>
      <c r="AV158" s="198"/>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s="14"/>
      <c r="CH158" s="14"/>
      <c r="CI158" s="14"/>
    </row>
    <row r="159" spans="1:87" s="14" customFormat="1" ht="15">
      <c r="A159" s="40">
        <f t="shared" si="16"/>
        <v>153</v>
      </c>
      <c r="B159" s="38"/>
      <c r="C159" s="42"/>
      <c r="D159" s="232"/>
      <c r="E159" s="232"/>
      <c r="F159" s="232"/>
      <c r="G159" s="232"/>
      <c r="H159" s="40"/>
      <c r="I159" s="40"/>
      <c r="J159" s="215" t="s">
        <v>3554</v>
      </c>
      <c r="K159" s="204" t="s">
        <v>125</v>
      </c>
      <c r="L159" s="215" t="s">
        <v>3555</v>
      </c>
      <c r="M159" s="204"/>
      <c r="N159" s="40" t="s">
        <v>504</v>
      </c>
      <c r="O159" s="40"/>
      <c r="P159" s="40"/>
      <c r="Q159" s="40"/>
      <c r="R159" s="40"/>
      <c r="S159" s="40" t="s">
        <v>6</v>
      </c>
      <c r="T159" s="40"/>
      <c r="U159" s="204"/>
      <c r="V159" s="204"/>
      <c r="W159" s="204" t="s">
        <v>125</v>
      </c>
      <c r="X159" s="40"/>
      <c r="Y159" s="40"/>
      <c r="Z159" s="40"/>
      <c r="AA159" s="40" t="s">
        <v>6</v>
      </c>
      <c r="AB159" s="204"/>
      <c r="AC159" s="40"/>
      <c r="AD159" s="40"/>
      <c r="AE159" s="204" t="s">
        <v>125</v>
      </c>
      <c r="AF159" s="40"/>
      <c r="AG159" s="40"/>
      <c r="AH159" s="40"/>
      <c r="AI159" s="40" t="s">
        <v>6</v>
      </c>
      <c r="AJ159" s="204"/>
      <c r="AK159" s="40"/>
      <c r="AL159" s="40"/>
      <c r="AM159" s="198"/>
      <c r="AN159" s="40"/>
      <c r="AO159" s="40"/>
      <c r="AP159" s="40"/>
      <c r="AQ159" s="40"/>
      <c r="AR159" s="40"/>
      <c r="AS159" s="40"/>
      <c r="AT159" s="40"/>
      <c r="AU159" s="40"/>
      <c r="AV159" s="40"/>
      <c r="AW159" s="155"/>
      <c r="AX159" s="237"/>
      <c r="AY159" s="238"/>
    </row>
    <row r="160" spans="1:87" s="14" customFormat="1" ht="15">
      <c r="A160" s="40">
        <f t="shared" si="16"/>
        <v>154</v>
      </c>
      <c r="B160" s="38"/>
      <c r="C160" s="42"/>
      <c r="D160" s="38"/>
      <c r="E160" s="46"/>
      <c r="F160" s="46"/>
      <c r="G160" s="46"/>
      <c r="H160" s="40"/>
      <c r="I160" s="40"/>
      <c r="J160" s="215" t="s">
        <v>3556</v>
      </c>
      <c r="K160" s="204" t="s">
        <v>125</v>
      </c>
      <c r="L160" s="204" t="s">
        <v>3557</v>
      </c>
      <c r="M160" s="204"/>
      <c r="N160" s="40" t="s">
        <v>504</v>
      </c>
      <c r="O160" s="40"/>
      <c r="P160" s="40"/>
      <c r="Q160" s="40"/>
      <c r="R160" s="40"/>
      <c r="S160" s="40" t="s">
        <v>6</v>
      </c>
      <c r="T160" s="40"/>
      <c r="U160" s="204"/>
      <c r="V160" s="204"/>
      <c r="W160" s="204" t="s">
        <v>125</v>
      </c>
      <c r="X160" s="40"/>
      <c r="Y160" s="40"/>
      <c r="Z160" s="40"/>
      <c r="AA160" s="40" t="s">
        <v>6</v>
      </c>
      <c r="AB160" s="204"/>
      <c r="AC160" s="40"/>
      <c r="AD160" s="40"/>
      <c r="AE160" s="204" t="s">
        <v>125</v>
      </c>
      <c r="AF160" s="40"/>
      <c r="AG160" s="40"/>
      <c r="AH160" s="40"/>
      <c r="AI160" s="40" t="s">
        <v>6</v>
      </c>
      <c r="AJ160" s="204"/>
      <c r="AK160" s="40"/>
      <c r="AL160" s="40"/>
      <c r="AM160" s="198" t="s">
        <v>509</v>
      </c>
      <c r="AN160" s="232"/>
      <c r="AO160" s="198"/>
      <c r="AP160" s="198"/>
      <c r="AQ160" s="198"/>
      <c r="AR160" s="198"/>
      <c r="AS160" s="198"/>
      <c r="AT160" s="198"/>
      <c r="AU160" s="198"/>
      <c r="AV160" s="40"/>
      <c r="AW160" s="155"/>
    </row>
    <row r="161" spans="1:87" s="14" customFormat="1" ht="15">
      <c r="A161" s="40">
        <f t="shared" si="16"/>
        <v>155</v>
      </c>
      <c r="B161" s="38"/>
      <c r="C161" s="42"/>
      <c r="D161" s="38"/>
      <c r="E161" s="46"/>
      <c r="F161" s="46"/>
      <c r="G161" s="46"/>
      <c r="H161" s="40"/>
      <c r="I161" s="40"/>
      <c r="J161" s="215" t="s">
        <v>3558</v>
      </c>
      <c r="K161" s="204" t="s">
        <v>125</v>
      </c>
      <c r="L161" s="215" t="s">
        <v>3559</v>
      </c>
      <c r="M161" s="204" t="s">
        <v>3560</v>
      </c>
      <c r="N161" s="40" t="s">
        <v>504</v>
      </c>
      <c r="O161" s="40"/>
      <c r="P161" s="40"/>
      <c r="Q161" s="40"/>
      <c r="R161" s="40"/>
      <c r="S161" s="40" t="s">
        <v>6</v>
      </c>
      <c r="T161" s="40"/>
      <c r="U161" s="204"/>
      <c r="V161" s="204"/>
      <c r="W161" s="204" t="s">
        <v>125</v>
      </c>
      <c r="X161" s="40"/>
      <c r="Y161" s="40"/>
      <c r="Z161" s="40"/>
      <c r="AA161" s="40" t="s">
        <v>6</v>
      </c>
      <c r="AB161" s="204"/>
      <c r="AC161" s="40"/>
      <c r="AD161" s="40"/>
      <c r="AE161" s="204" t="s">
        <v>125</v>
      </c>
      <c r="AF161" s="40"/>
      <c r="AG161" s="40"/>
      <c r="AH161" s="40"/>
      <c r="AI161" s="40" t="s">
        <v>6</v>
      </c>
      <c r="AJ161" s="204"/>
      <c r="AK161" s="40"/>
      <c r="AL161" s="40"/>
      <c r="AM161" s="198"/>
      <c r="AN161" s="232"/>
      <c r="AO161" s="198"/>
      <c r="AP161" s="198"/>
      <c r="AQ161" s="198"/>
      <c r="AR161" s="198"/>
      <c r="AS161" s="198"/>
      <c r="AT161" s="198"/>
      <c r="AU161" s="198"/>
      <c r="AV161" s="40"/>
      <c r="AW161" s="155"/>
    </row>
    <row r="162" spans="1:87" s="14" customFormat="1" ht="15">
      <c r="A162" s="40">
        <f t="shared" si="16"/>
        <v>156</v>
      </c>
      <c r="B162" s="232"/>
      <c r="C162" s="41"/>
      <c r="D162" s="232"/>
      <c r="E162" s="232"/>
      <c r="F162" s="232"/>
      <c r="G162" s="232"/>
      <c r="H162" s="40"/>
      <c r="I162" s="40"/>
      <c r="J162" s="215" t="s">
        <v>3561</v>
      </c>
      <c r="K162" s="204" t="s">
        <v>125</v>
      </c>
      <c r="L162" s="215" t="s">
        <v>3562</v>
      </c>
      <c r="M162" s="204"/>
      <c r="N162" s="40" t="s">
        <v>504</v>
      </c>
      <c r="O162" s="40"/>
      <c r="P162" s="40"/>
      <c r="Q162" s="40"/>
      <c r="R162" s="40"/>
      <c r="S162" s="40" t="s">
        <v>6</v>
      </c>
      <c r="T162" s="40"/>
      <c r="U162" s="204"/>
      <c r="V162" s="204"/>
      <c r="W162" s="204" t="s">
        <v>125</v>
      </c>
      <c r="X162" s="40"/>
      <c r="Y162" s="40"/>
      <c r="Z162" s="40"/>
      <c r="AA162" s="40" t="s">
        <v>6</v>
      </c>
      <c r="AB162" s="204"/>
      <c r="AC162" s="40"/>
      <c r="AD162" s="40"/>
      <c r="AE162" s="204" t="s">
        <v>125</v>
      </c>
      <c r="AF162" s="40"/>
      <c r="AG162" s="40"/>
      <c r="AH162" s="40"/>
      <c r="AI162" s="40" t="s">
        <v>6</v>
      </c>
      <c r="AJ162" s="204"/>
      <c r="AK162" s="40"/>
      <c r="AL162" s="40"/>
      <c r="AM162" s="198"/>
      <c r="AN162" s="232"/>
      <c r="AO162" s="198"/>
      <c r="AP162" s="198"/>
      <c r="AQ162" s="198"/>
      <c r="AR162" s="198"/>
      <c r="AS162" s="198"/>
      <c r="AT162" s="198"/>
      <c r="AU162" s="198"/>
      <c r="AV162" s="198"/>
      <c r="AW162" s="155"/>
      <c r="AX162" s="237"/>
      <c r="AY162" s="238"/>
    </row>
    <row r="163" spans="1:87" s="14" customFormat="1" ht="15">
      <c r="A163" s="40">
        <f t="shared" si="16"/>
        <v>157</v>
      </c>
      <c r="B163" s="232"/>
      <c r="C163" s="41"/>
      <c r="D163" s="232"/>
      <c r="E163" s="232"/>
      <c r="F163" s="232"/>
      <c r="G163" s="232"/>
      <c r="H163" s="40"/>
      <c r="I163" s="40"/>
      <c r="J163" s="215" t="s">
        <v>3563</v>
      </c>
      <c r="K163" s="204" t="s">
        <v>125</v>
      </c>
      <c r="L163" s="215" t="s">
        <v>3564</v>
      </c>
      <c r="M163" s="204"/>
      <c r="N163" s="40" t="s">
        <v>504</v>
      </c>
      <c r="O163" s="40"/>
      <c r="P163" s="40"/>
      <c r="Q163" s="40"/>
      <c r="R163" s="40"/>
      <c r="S163" s="40" t="s">
        <v>6</v>
      </c>
      <c r="T163" s="40"/>
      <c r="U163" s="204"/>
      <c r="V163" s="204"/>
      <c r="W163" s="204" t="s">
        <v>125</v>
      </c>
      <c r="X163" s="40"/>
      <c r="Y163" s="40"/>
      <c r="Z163" s="40"/>
      <c r="AA163" s="40" t="s">
        <v>6</v>
      </c>
      <c r="AB163" s="204"/>
      <c r="AC163" s="40"/>
      <c r="AD163" s="40"/>
      <c r="AE163" s="204" t="s">
        <v>125</v>
      </c>
      <c r="AF163" s="40"/>
      <c r="AG163" s="40"/>
      <c r="AH163" s="40"/>
      <c r="AI163" s="40" t="s">
        <v>6</v>
      </c>
      <c r="AJ163" s="204"/>
      <c r="AK163" s="40"/>
      <c r="AL163" s="40"/>
      <c r="AM163" s="198"/>
      <c r="AN163" s="232"/>
      <c r="AO163" s="198"/>
      <c r="AP163" s="198"/>
      <c r="AQ163" s="198"/>
      <c r="AR163" s="198"/>
      <c r="AS163" s="198"/>
      <c r="AT163" s="198"/>
      <c r="AU163" s="40"/>
      <c r="AV163" s="198"/>
      <c r="AW163" s="155"/>
    </row>
    <row r="164" spans="1:87" s="14" customFormat="1" ht="15">
      <c r="A164" s="40">
        <f t="shared" si="16"/>
        <v>158</v>
      </c>
      <c r="B164" s="232"/>
      <c r="C164" s="41"/>
      <c r="D164" s="232"/>
      <c r="E164" s="232"/>
      <c r="F164" s="232"/>
      <c r="G164" s="232"/>
      <c r="H164" s="40"/>
      <c r="I164" s="40"/>
      <c r="J164" s="215" t="s">
        <v>3565</v>
      </c>
      <c r="K164" s="204" t="s">
        <v>125</v>
      </c>
      <c r="L164" s="215" t="s">
        <v>3566</v>
      </c>
      <c r="M164" s="204"/>
      <c r="N164" s="40" t="s">
        <v>504</v>
      </c>
      <c r="O164" s="40"/>
      <c r="P164" s="40"/>
      <c r="Q164" s="40"/>
      <c r="R164" s="40"/>
      <c r="S164" s="40" t="s">
        <v>6</v>
      </c>
      <c r="T164" s="40"/>
      <c r="U164" s="204"/>
      <c r="V164" s="204"/>
      <c r="W164" s="204" t="s">
        <v>125</v>
      </c>
      <c r="X164" s="40"/>
      <c r="Y164" s="40"/>
      <c r="Z164" s="40"/>
      <c r="AA164" s="40" t="s">
        <v>6</v>
      </c>
      <c r="AB164" s="204"/>
      <c r="AC164" s="40"/>
      <c r="AD164" s="40"/>
      <c r="AE164" s="204" t="s">
        <v>125</v>
      </c>
      <c r="AF164" s="40"/>
      <c r="AG164" s="40"/>
      <c r="AH164" s="40"/>
      <c r="AI164" s="40" t="s">
        <v>6</v>
      </c>
      <c r="AJ164" s="204"/>
      <c r="AK164" s="40"/>
      <c r="AL164" s="40"/>
      <c r="AM164" s="198"/>
      <c r="AN164" s="232"/>
      <c r="AO164" s="198"/>
      <c r="AP164" s="198"/>
      <c r="AQ164" s="198"/>
      <c r="AR164" s="198"/>
      <c r="AS164" s="198"/>
      <c r="AT164" s="198"/>
      <c r="AU164" s="40"/>
      <c r="AV164" s="198"/>
      <c r="AW164" s="155"/>
    </row>
    <row r="165" spans="1:87" s="155" customFormat="1" ht="15">
      <c r="A165" s="40">
        <f t="shared" si="16"/>
        <v>159</v>
      </c>
      <c r="B165" s="232"/>
      <c r="C165" s="41"/>
      <c r="D165" s="232"/>
      <c r="E165" s="232"/>
      <c r="F165" s="232"/>
      <c r="G165" s="232"/>
      <c r="H165" s="40"/>
      <c r="I165" s="40"/>
      <c r="J165" s="215" t="s">
        <v>3567</v>
      </c>
      <c r="K165" s="204" t="s">
        <v>125</v>
      </c>
      <c r="L165" s="215" t="s">
        <v>3568</v>
      </c>
      <c r="M165" s="204"/>
      <c r="N165" s="40" t="s">
        <v>504</v>
      </c>
      <c r="O165" s="40"/>
      <c r="P165" s="40"/>
      <c r="Q165" s="40"/>
      <c r="R165" s="40"/>
      <c r="S165" s="40" t="s">
        <v>6</v>
      </c>
      <c r="T165" s="40"/>
      <c r="U165" s="204"/>
      <c r="V165" s="204"/>
      <c r="W165" s="204" t="s">
        <v>125</v>
      </c>
      <c r="X165" s="40"/>
      <c r="Y165" s="40"/>
      <c r="Z165" s="40"/>
      <c r="AA165" s="40" t="s">
        <v>6</v>
      </c>
      <c r="AB165" s="204"/>
      <c r="AC165" s="40"/>
      <c r="AD165" s="40"/>
      <c r="AE165" s="204" t="s">
        <v>125</v>
      </c>
      <c r="AF165" s="40"/>
      <c r="AG165" s="40"/>
      <c r="AH165" s="40"/>
      <c r="AI165" s="40" t="s">
        <v>6</v>
      </c>
      <c r="AJ165" s="204"/>
      <c r="AK165" s="40"/>
      <c r="AL165" s="40"/>
      <c r="AM165" s="198"/>
      <c r="AN165" s="232"/>
      <c r="AO165" s="198"/>
      <c r="AP165" s="198"/>
      <c r="AQ165" s="198"/>
      <c r="AR165" s="198"/>
      <c r="AS165" s="198"/>
      <c r="AT165" s="198"/>
      <c r="AU165" s="198"/>
      <c r="AV165" s="198"/>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G165" s="14"/>
      <c r="CH165" s="14"/>
      <c r="CI165" s="14"/>
    </row>
    <row r="166" spans="1:87" s="155" customFormat="1" ht="15">
      <c r="A166" s="40">
        <f t="shared" si="16"/>
        <v>160</v>
      </c>
      <c r="B166" s="232"/>
      <c r="C166" s="41"/>
      <c r="D166" s="232"/>
      <c r="E166" s="232"/>
      <c r="F166" s="232"/>
      <c r="G166" s="232"/>
      <c r="H166" s="40"/>
      <c r="I166" s="40"/>
      <c r="J166" s="215" t="s">
        <v>3569</v>
      </c>
      <c r="K166" s="204" t="s">
        <v>132</v>
      </c>
      <c r="L166" s="215" t="s">
        <v>3570</v>
      </c>
      <c r="M166" s="204" t="s">
        <v>3571</v>
      </c>
      <c r="N166" s="40" t="s">
        <v>504</v>
      </c>
      <c r="O166" s="40"/>
      <c r="P166" s="40"/>
      <c r="Q166" s="40" t="s">
        <v>6</v>
      </c>
      <c r="R166" s="40" t="s">
        <v>6</v>
      </c>
      <c r="S166" s="40" t="s">
        <v>6</v>
      </c>
      <c r="T166" s="40"/>
      <c r="U166" s="204"/>
      <c r="V166" s="204"/>
      <c r="W166" s="204" t="s">
        <v>133</v>
      </c>
      <c r="X166" s="40"/>
      <c r="Y166" s="40"/>
      <c r="Z166" s="40" t="s">
        <v>6</v>
      </c>
      <c r="AA166" s="40" t="s">
        <v>6</v>
      </c>
      <c r="AB166" s="204"/>
      <c r="AC166" s="40"/>
      <c r="AD166" s="40"/>
      <c r="AE166" s="204" t="s">
        <v>133</v>
      </c>
      <c r="AF166" s="40"/>
      <c r="AG166" s="40"/>
      <c r="AH166" s="40" t="s">
        <v>6</v>
      </c>
      <c r="AI166" s="40" t="s">
        <v>6</v>
      </c>
      <c r="AJ166" s="204"/>
      <c r="AK166" s="40"/>
      <c r="AL166" s="40"/>
      <c r="AM166" s="198"/>
      <c r="AN166" s="232"/>
      <c r="AO166" s="198"/>
      <c r="AP166" s="198"/>
      <c r="AQ166" s="198"/>
      <c r="AR166" s="198"/>
      <c r="AS166" s="198"/>
      <c r="AT166" s="198"/>
      <c r="AU166" s="40"/>
      <c r="AV166" s="198"/>
      <c r="AX166" s="14"/>
      <c r="AY166" s="14"/>
      <c r="AZ166" s="14"/>
      <c r="BA166" s="14"/>
      <c r="BB166" s="14"/>
      <c r="BC166" s="14"/>
      <c r="BD166" s="14"/>
      <c r="BE166" s="14"/>
      <c r="BF166" s="14"/>
      <c r="BG166" s="14"/>
      <c r="BH166" s="14"/>
      <c r="BI166" s="14"/>
      <c r="BJ166" s="14"/>
      <c r="BK166" s="14"/>
      <c r="BL166" s="14"/>
      <c r="BM166" s="14"/>
      <c r="BN166" s="14"/>
      <c r="BO166" s="14"/>
      <c r="BP166" s="14"/>
      <c r="BQ166" s="14"/>
      <c r="BR166" s="14"/>
      <c r="BS166" s="14"/>
      <c r="BT166" s="14"/>
      <c r="BU166" s="14"/>
      <c r="BV166" s="14"/>
      <c r="BW166" s="14"/>
      <c r="BX166" s="14"/>
      <c r="BY166" s="14"/>
      <c r="BZ166" s="14"/>
      <c r="CA166" s="14"/>
      <c r="CB166" s="14"/>
      <c r="CC166" s="14"/>
      <c r="CD166" s="14"/>
      <c r="CE166" s="14"/>
      <c r="CF166" s="14"/>
      <c r="CG166" s="14"/>
      <c r="CH166" s="14"/>
      <c r="CI166" s="14"/>
    </row>
    <row r="167" spans="1:87" s="14" customFormat="1" ht="26.4">
      <c r="A167" s="40">
        <f t="shared" si="16"/>
        <v>161</v>
      </c>
      <c r="B167" s="232"/>
      <c r="C167" s="41"/>
      <c r="D167" s="232"/>
      <c r="E167" s="232"/>
      <c r="F167" s="232"/>
      <c r="G167" s="232"/>
      <c r="H167" s="40"/>
      <c r="I167" s="40"/>
      <c r="J167" s="215" t="s">
        <v>3572</v>
      </c>
      <c r="K167" s="204" t="s">
        <v>132</v>
      </c>
      <c r="L167" s="215" t="s">
        <v>3573</v>
      </c>
      <c r="M167" s="204" t="s">
        <v>3574</v>
      </c>
      <c r="N167" s="40" t="s">
        <v>504</v>
      </c>
      <c r="O167" s="40"/>
      <c r="P167" s="40"/>
      <c r="Q167" s="40"/>
      <c r="R167" s="40" t="s">
        <v>6</v>
      </c>
      <c r="S167" s="40" t="s">
        <v>6</v>
      </c>
      <c r="T167" s="40"/>
      <c r="U167" s="204"/>
      <c r="V167" s="204"/>
      <c r="W167" s="204" t="s">
        <v>133</v>
      </c>
      <c r="X167" s="40"/>
      <c r="Y167" s="40"/>
      <c r="Z167" s="40" t="s">
        <v>6</v>
      </c>
      <c r="AA167" s="40" t="s">
        <v>6</v>
      </c>
      <c r="AB167" s="204"/>
      <c r="AC167" s="40"/>
      <c r="AD167" s="215" t="s">
        <v>520</v>
      </c>
      <c r="AE167" s="204" t="s">
        <v>133</v>
      </c>
      <c r="AF167" s="40"/>
      <c r="AG167" s="40"/>
      <c r="AH167" s="40" t="s">
        <v>6</v>
      </c>
      <c r="AI167" s="40" t="s">
        <v>6</v>
      </c>
      <c r="AJ167" s="204"/>
      <c r="AK167" s="40"/>
      <c r="AL167" s="215" t="s">
        <v>520</v>
      </c>
      <c r="AM167" s="198"/>
      <c r="AN167" s="40"/>
      <c r="AO167" s="40"/>
      <c r="AP167" s="40"/>
      <c r="AQ167" s="40"/>
      <c r="AR167" s="40"/>
      <c r="AS167" s="40"/>
      <c r="AT167" s="40"/>
      <c r="AU167" s="198"/>
      <c r="AV167" s="198"/>
      <c r="AW167" s="155"/>
    </row>
    <row r="168" spans="1:87" s="14" customFormat="1" ht="26.4">
      <c r="A168" s="40">
        <f t="shared" si="16"/>
        <v>162</v>
      </c>
      <c r="B168" s="232"/>
      <c r="C168" s="41"/>
      <c r="D168" s="232"/>
      <c r="E168" s="232"/>
      <c r="F168" s="232"/>
      <c r="G168" s="232"/>
      <c r="H168" s="40"/>
      <c r="I168" s="40"/>
      <c r="J168" s="215" t="s">
        <v>3575</v>
      </c>
      <c r="K168" s="204" t="s">
        <v>132</v>
      </c>
      <c r="L168" s="204" t="s">
        <v>3576</v>
      </c>
      <c r="M168" s="204" t="s">
        <v>3560</v>
      </c>
      <c r="N168" s="40" t="s">
        <v>504</v>
      </c>
      <c r="O168" s="40"/>
      <c r="P168" s="40"/>
      <c r="Q168" s="40"/>
      <c r="R168" s="40" t="s">
        <v>6</v>
      </c>
      <c r="S168" s="40" t="s">
        <v>6</v>
      </c>
      <c r="T168" s="40"/>
      <c r="U168" s="204"/>
      <c r="V168" s="204"/>
      <c r="W168" s="204" t="s">
        <v>133</v>
      </c>
      <c r="X168" s="40"/>
      <c r="Y168" s="40"/>
      <c r="Z168" s="40" t="s">
        <v>6</v>
      </c>
      <c r="AA168" s="40" t="s">
        <v>6</v>
      </c>
      <c r="AB168" s="204"/>
      <c r="AC168" s="40"/>
      <c r="AD168" s="215" t="s">
        <v>520</v>
      </c>
      <c r="AE168" s="204" t="s">
        <v>133</v>
      </c>
      <c r="AF168" s="40"/>
      <c r="AG168" s="40"/>
      <c r="AH168" s="40" t="s">
        <v>6</v>
      </c>
      <c r="AI168" s="40" t="s">
        <v>6</v>
      </c>
      <c r="AJ168" s="204"/>
      <c r="AK168" s="40"/>
      <c r="AL168" s="215" t="s">
        <v>520</v>
      </c>
      <c r="AM168" s="198"/>
      <c r="AN168" s="40"/>
      <c r="AO168" s="40"/>
      <c r="AP168" s="40"/>
      <c r="AQ168" s="40"/>
      <c r="AR168" s="40"/>
      <c r="AS168" s="40"/>
      <c r="AT168" s="40"/>
      <c r="AU168" s="198"/>
      <c r="AV168" s="198"/>
      <c r="AW168" s="155"/>
    </row>
    <row r="169" spans="1:87" s="14" customFormat="1" ht="26.4">
      <c r="A169" s="40">
        <f t="shared" si="16"/>
        <v>163</v>
      </c>
      <c r="B169" s="38"/>
      <c r="C169" s="41"/>
      <c r="D169" s="232"/>
      <c r="E169" s="232"/>
      <c r="F169" s="232"/>
      <c r="G169" s="232"/>
      <c r="H169" s="40"/>
      <c r="I169" s="40"/>
      <c r="J169" s="215" t="s">
        <v>3577</v>
      </c>
      <c r="K169" s="204" t="s">
        <v>132</v>
      </c>
      <c r="L169" s="204" t="s">
        <v>3578</v>
      </c>
      <c r="M169" s="204" t="s">
        <v>3560</v>
      </c>
      <c r="N169" s="40" t="s">
        <v>504</v>
      </c>
      <c r="O169" s="40"/>
      <c r="P169" s="40"/>
      <c r="Q169" s="40"/>
      <c r="R169" s="40" t="s">
        <v>6</v>
      </c>
      <c r="S169" s="40" t="s">
        <v>6</v>
      </c>
      <c r="T169" s="40"/>
      <c r="U169" s="204"/>
      <c r="V169" s="204"/>
      <c r="W169" s="204" t="s">
        <v>133</v>
      </c>
      <c r="X169" s="198"/>
      <c r="Y169" s="198"/>
      <c r="Z169" s="40" t="s">
        <v>6</v>
      </c>
      <c r="AA169" s="40" t="s">
        <v>6</v>
      </c>
      <c r="AB169" s="204"/>
      <c r="AC169" s="40"/>
      <c r="AD169" s="215" t="s">
        <v>520</v>
      </c>
      <c r="AE169" s="204" t="s">
        <v>133</v>
      </c>
      <c r="AF169" s="198"/>
      <c r="AG169" s="198"/>
      <c r="AH169" s="40" t="s">
        <v>6</v>
      </c>
      <c r="AI169" s="40" t="s">
        <v>6</v>
      </c>
      <c r="AJ169" s="204"/>
      <c r="AK169" s="40"/>
      <c r="AL169" s="215" t="s">
        <v>520</v>
      </c>
      <c r="AM169" s="198"/>
      <c r="AN169" s="232"/>
      <c r="AO169" s="40"/>
      <c r="AP169" s="40"/>
      <c r="AQ169" s="40"/>
      <c r="AR169" s="40"/>
      <c r="AS169" s="40"/>
      <c r="AT169" s="40"/>
      <c r="AU169" s="198"/>
      <c r="AV169" s="198"/>
      <c r="AW169" s="155"/>
    </row>
    <row r="170" spans="1:87" s="14" customFormat="1" ht="26.4">
      <c r="A170" s="40">
        <f t="shared" si="16"/>
        <v>164</v>
      </c>
      <c r="B170" s="38"/>
      <c r="C170" s="41"/>
      <c r="D170" s="232"/>
      <c r="E170" s="232"/>
      <c r="F170" s="232"/>
      <c r="G170" s="232"/>
      <c r="H170" s="40"/>
      <c r="I170" s="40"/>
      <c r="J170" s="215" t="s">
        <v>3579</v>
      </c>
      <c r="K170" s="204" t="s">
        <v>132</v>
      </c>
      <c r="L170" s="204" t="s">
        <v>3580</v>
      </c>
      <c r="M170" s="204" t="s">
        <v>3560</v>
      </c>
      <c r="N170" s="40" t="s">
        <v>504</v>
      </c>
      <c r="O170" s="40"/>
      <c r="P170" s="40"/>
      <c r="Q170" s="40"/>
      <c r="R170" s="40" t="s">
        <v>6</v>
      </c>
      <c r="S170" s="40" t="s">
        <v>6</v>
      </c>
      <c r="T170" s="40"/>
      <c r="U170" s="204"/>
      <c r="V170" s="204"/>
      <c r="W170" s="204" t="s">
        <v>133</v>
      </c>
      <c r="X170" s="198"/>
      <c r="Y170" s="198"/>
      <c r="Z170" s="40" t="s">
        <v>6</v>
      </c>
      <c r="AA170" s="40" t="s">
        <v>6</v>
      </c>
      <c r="AB170" s="204"/>
      <c r="AC170" s="40"/>
      <c r="AD170" s="215" t="s">
        <v>520</v>
      </c>
      <c r="AE170" s="204" t="s">
        <v>133</v>
      </c>
      <c r="AF170" s="198"/>
      <c r="AG170" s="198"/>
      <c r="AH170" s="40" t="s">
        <v>6</v>
      </c>
      <c r="AI170" s="40" t="s">
        <v>6</v>
      </c>
      <c r="AJ170" s="204"/>
      <c r="AK170" s="40"/>
      <c r="AL170" s="215" t="s">
        <v>520</v>
      </c>
      <c r="AM170" s="198"/>
      <c r="AN170" s="232"/>
      <c r="AO170" s="198"/>
      <c r="AP170" s="198"/>
      <c r="AQ170" s="198"/>
      <c r="AR170" s="198"/>
      <c r="AS170" s="198"/>
      <c r="AT170" s="198"/>
      <c r="AU170" s="198"/>
      <c r="AV170" s="40"/>
      <c r="AW170" s="155"/>
    </row>
    <row r="171" spans="1:87" s="14" customFormat="1" ht="26.4">
      <c r="A171" s="40">
        <f t="shared" si="16"/>
        <v>165</v>
      </c>
      <c r="B171" s="38"/>
      <c r="C171" s="41"/>
      <c r="D171" s="38"/>
      <c r="E171" s="46"/>
      <c r="F171" s="46"/>
      <c r="G171" s="46"/>
      <c r="H171" s="40"/>
      <c r="I171" s="40"/>
      <c r="J171" s="215" t="s">
        <v>3581</v>
      </c>
      <c r="K171" s="204" t="s">
        <v>132</v>
      </c>
      <c r="L171" s="215" t="s">
        <v>3582</v>
      </c>
      <c r="M171" s="204" t="s">
        <v>3560</v>
      </c>
      <c r="N171" s="40" t="s">
        <v>504</v>
      </c>
      <c r="O171" s="40"/>
      <c r="P171" s="40"/>
      <c r="Q171" s="40"/>
      <c r="R171" s="40" t="s">
        <v>6</v>
      </c>
      <c r="S171" s="40" t="s">
        <v>6</v>
      </c>
      <c r="T171" s="40"/>
      <c r="U171" s="204" t="s">
        <v>3512</v>
      </c>
      <c r="V171" s="204"/>
      <c r="W171" s="204" t="s">
        <v>133</v>
      </c>
      <c r="X171" s="40"/>
      <c r="Y171" s="40"/>
      <c r="Z171" s="40" t="s">
        <v>6</v>
      </c>
      <c r="AA171" s="40" t="s">
        <v>6</v>
      </c>
      <c r="AB171" s="204"/>
      <c r="AC171" s="40"/>
      <c r="AD171" s="215" t="s">
        <v>520</v>
      </c>
      <c r="AE171" s="204" t="s">
        <v>133</v>
      </c>
      <c r="AF171" s="40"/>
      <c r="AG171" s="40"/>
      <c r="AH171" s="40" t="s">
        <v>6</v>
      </c>
      <c r="AI171" s="40" t="s">
        <v>6</v>
      </c>
      <c r="AJ171" s="204"/>
      <c r="AK171" s="40"/>
      <c r="AL171" s="215" t="s">
        <v>520</v>
      </c>
      <c r="AM171" s="198"/>
      <c r="AN171" s="40"/>
      <c r="AO171" s="198"/>
      <c r="AP171" s="198"/>
      <c r="AQ171" s="198"/>
      <c r="AR171" s="198"/>
      <c r="AS171" s="198"/>
      <c r="AT171" s="198"/>
      <c r="AU171" s="198"/>
      <c r="AV171" s="232"/>
      <c r="AW171" s="155"/>
    </row>
    <row r="172" spans="1:87" s="236" customFormat="1" ht="26.4">
      <c r="A172" s="40">
        <f t="shared" si="16"/>
        <v>166</v>
      </c>
      <c r="B172" s="38"/>
      <c r="C172" s="41"/>
      <c r="D172" s="38"/>
      <c r="E172" s="46"/>
      <c r="F172" s="46"/>
      <c r="G172" s="46"/>
      <c r="H172" s="40"/>
      <c r="I172" s="40"/>
      <c r="J172" s="215" t="s">
        <v>3583</v>
      </c>
      <c r="K172" s="204" t="s">
        <v>132</v>
      </c>
      <c r="L172" s="215" t="s">
        <v>3584</v>
      </c>
      <c r="M172" s="204" t="s">
        <v>3560</v>
      </c>
      <c r="N172" s="40" t="s">
        <v>504</v>
      </c>
      <c r="O172" s="40"/>
      <c r="P172" s="40"/>
      <c r="Q172" s="40"/>
      <c r="R172" s="40" t="s">
        <v>6</v>
      </c>
      <c r="S172" s="40" t="s">
        <v>6</v>
      </c>
      <c r="T172" s="40"/>
      <c r="U172" s="204" t="s">
        <v>3512</v>
      </c>
      <c r="V172" s="204"/>
      <c r="W172" s="204" t="s">
        <v>133</v>
      </c>
      <c r="X172" s="40"/>
      <c r="Y172" s="40"/>
      <c r="Z172" s="40" t="s">
        <v>6</v>
      </c>
      <c r="AA172" s="40" t="s">
        <v>6</v>
      </c>
      <c r="AB172" s="204"/>
      <c r="AC172" s="40"/>
      <c r="AD172" s="215" t="s">
        <v>520</v>
      </c>
      <c r="AE172" s="204" t="s">
        <v>133</v>
      </c>
      <c r="AF172" s="40"/>
      <c r="AG172" s="40"/>
      <c r="AH172" s="40" t="s">
        <v>6</v>
      </c>
      <c r="AI172" s="40" t="s">
        <v>6</v>
      </c>
      <c r="AJ172" s="204"/>
      <c r="AK172" s="40"/>
      <c r="AL172" s="215" t="s">
        <v>520</v>
      </c>
      <c r="AM172" s="198"/>
      <c r="AN172" s="232"/>
      <c r="AO172" s="40"/>
      <c r="AP172" s="40"/>
      <c r="AQ172" s="40"/>
      <c r="AR172" s="40"/>
      <c r="AS172" s="40"/>
      <c r="AT172" s="40"/>
      <c r="AU172" s="40"/>
      <c r="AV172" s="232"/>
      <c r="AW172" s="155"/>
    </row>
    <row r="173" spans="1:87" s="236" customFormat="1" ht="26.4">
      <c r="A173" s="40">
        <f t="shared" si="16"/>
        <v>167</v>
      </c>
      <c r="B173" s="38"/>
      <c r="C173" s="41"/>
      <c r="D173" s="38"/>
      <c r="E173" s="46"/>
      <c r="F173" s="46"/>
      <c r="G173" s="46"/>
      <c r="H173" s="40"/>
      <c r="I173" s="40"/>
      <c r="J173" s="215" t="s">
        <v>3585</v>
      </c>
      <c r="K173" s="204" t="s">
        <v>132</v>
      </c>
      <c r="L173" s="215" t="s">
        <v>3586</v>
      </c>
      <c r="M173" s="204" t="s">
        <v>3560</v>
      </c>
      <c r="N173" s="40" t="s">
        <v>504</v>
      </c>
      <c r="O173" s="40"/>
      <c r="P173" s="40"/>
      <c r="Q173" s="40"/>
      <c r="R173" s="40" t="s">
        <v>6</v>
      </c>
      <c r="S173" s="40" t="s">
        <v>6</v>
      </c>
      <c r="T173" s="40"/>
      <c r="U173" s="204" t="s">
        <v>3512</v>
      </c>
      <c r="V173" s="204"/>
      <c r="W173" s="204" t="s">
        <v>133</v>
      </c>
      <c r="X173" s="40"/>
      <c r="Y173" s="40"/>
      <c r="Z173" s="40" t="s">
        <v>6</v>
      </c>
      <c r="AA173" s="40" t="s">
        <v>6</v>
      </c>
      <c r="AB173" s="204"/>
      <c r="AC173" s="40"/>
      <c r="AD173" s="215" t="s">
        <v>520</v>
      </c>
      <c r="AE173" s="204" t="s">
        <v>133</v>
      </c>
      <c r="AF173" s="40"/>
      <c r="AG173" s="40"/>
      <c r="AH173" s="40" t="s">
        <v>6</v>
      </c>
      <c r="AI173" s="40" t="s">
        <v>6</v>
      </c>
      <c r="AJ173" s="204"/>
      <c r="AK173" s="40"/>
      <c r="AL173" s="215" t="s">
        <v>520</v>
      </c>
      <c r="AM173" s="198"/>
      <c r="AN173" s="232"/>
      <c r="AO173" s="40"/>
      <c r="AP173" s="40"/>
      <c r="AQ173" s="40"/>
      <c r="AR173" s="40"/>
      <c r="AS173" s="40"/>
      <c r="AT173" s="40"/>
      <c r="AU173" s="40"/>
      <c r="AV173" s="232"/>
      <c r="AW173" s="155"/>
    </row>
    <row r="174" spans="1:87" s="236" customFormat="1" ht="39.6">
      <c r="A174" s="40">
        <f t="shared" si="16"/>
        <v>168</v>
      </c>
      <c r="B174" s="38"/>
      <c r="C174" s="41"/>
      <c r="D174" s="38"/>
      <c r="E174" s="46"/>
      <c r="F174" s="46"/>
      <c r="G174" s="46"/>
      <c r="H174" s="40"/>
      <c r="I174" s="40"/>
      <c r="J174" s="215" t="s">
        <v>3587</v>
      </c>
      <c r="K174" s="204" t="s">
        <v>132</v>
      </c>
      <c r="L174" s="215" t="s">
        <v>3588</v>
      </c>
      <c r="M174" s="204" t="s">
        <v>3560</v>
      </c>
      <c r="N174" s="40" t="s">
        <v>504</v>
      </c>
      <c r="O174" s="40"/>
      <c r="P174" s="40"/>
      <c r="Q174" s="40"/>
      <c r="R174" s="40"/>
      <c r="S174" s="40" t="s">
        <v>6</v>
      </c>
      <c r="T174" s="126"/>
      <c r="U174" s="204"/>
      <c r="V174" s="204"/>
      <c r="W174" s="204" t="s">
        <v>125</v>
      </c>
      <c r="X174" s="40"/>
      <c r="Y174" s="40"/>
      <c r="Z174" s="40"/>
      <c r="AA174" s="40" t="s">
        <v>6</v>
      </c>
      <c r="AB174" s="204"/>
      <c r="AC174" s="40"/>
      <c r="AD174" s="215" t="s">
        <v>3589</v>
      </c>
      <c r="AE174" s="204" t="s">
        <v>125</v>
      </c>
      <c r="AF174" s="40"/>
      <c r="AG174" s="40"/>
      <c r="AH174" s="40"/>
      <c r="AI174" s="40" t="s">
        <v>6</v>
      </c>
      <c r="AJ174" s="204"/>
      <c r="AK174" s="40"/>
      <c r="AL174" s="215" t="s">
        <v>3589</v>
      </c>
      <c r="AM174" s="198"/>
      <c r="AN174" s="232"/>
      <c r="AO174" s="198"/>
      <c r="AP174" s="198"/>
      <c r="AQ174" s="198"/>
      <c r="AR174" s="198"/>
      <c r="AS174" s="198"/>
      <c r="AT174" s="198"/>
      <c r="AU174" s="198"/>
      <c r="AV174" s="232"/>
      <c r="AW174" s="155"/>
    </row>
    <row r="175" spans="1:87" s="236" customFormat="1" ht="39.6">
      <c r="A175" s="40">
        <f t="shared" si="16"/>
        <v>169</v>
      </c>
      <c r="B175" s="38"/>
      <c r="C175" s="41"/>
      <c r="D175" s="38"/>
      <c r="E175" s="46"/>
      <c r="F175" s="46"/>
      <c r="G175" s="46"/>
      <c r="H175" s="40"/>
      <c r="I175" s="40"/>
      <c r="J175" s="215" t="s">
        <v>3590</v>
      </c>
      <c r="K175" s="204" t="s">
        <v>132</v>
      </c>
      <c r="L175" s="215" t="s">
        <v>3591</v>
      </c>
      <c r="M175" s="204" t="s">
        <v>3560</v>
      </c>
      <c r="N175" s="40" t="s">
        <v>504</v>
      </c>
      <c r="O175" s="40"/>
      <c r="P175" s="40"/>
      <c r="Q175" s="40"/>
      <c r="R175" s="40" t="s">
        <v>6</v>
      </c>
      <c r="S175" s="40" t="s">
        <v>6</v>
      </c>
      <c r="T175" s="126"/>
      <c r="U175" s="204" t="s">
        <v>3512</v>
      </c>
      <c r="V175" s="204"/>
      <c r="W175" s="204" t="s">
        <v>125</v>
      </c>
      <c r="X175" s="40"/>
      <c r="Y175" s="40"/>
      <c r="Z175" s="40"/>
      <c r="AA175" s="40" t="s">
        <v>6</v>
      </c>
      <c r="AB175" s="204"/>
      <c r="AC175" s="40"/>
      <c r="AD175" s="215" t="s">
        <v>3589</v>
      </c>
      <c r="AE175" s="204" t="s">
        <v>125</v>
      </c>
      <c r="AF175" s="40"/>
      <c r="AG175" s="40"/>
      <c r="AH175" s="40"/>
      <c r="AI175" s="40" t="s">
        <v>6</v>
      </c>
      <c r="AJ175" s="204"/>
      <c r="AK175" s="40"/>
      <c r="AL175" s="215" t="s">
        <v>3589</v>
      </c>
      <c r="AM175" s="198"/>
      <c r="AN175" s="232"/>
      <c r="AO175" s="198"/>
      <c r="AP175" s="198"/>
      <c r="AQ175" s="198"/>
      <c r="AR175" s="198"/>
      <c r="AS175" s="198"/>
      <c r="AT175" s="198"/>
      <c r="AU175" s="198"/>
      <c r="AV175" s="232"/>
      <c r="AW175" s="155"/>
    </row>
    <row r="176" spans="1:87" s="14" customFormat="1" ht="39.6">
      <c r="A176" s="40">
        <f t="shared" si="16"/>
        <v>170</v>
      </c>
      <c r="B176" s="232"/>
      <c r="C176" s="41"/>
      <c r="D176" s="232"/>
      <c r="E176" s="232"/>
      <c r="F176" s="232"/>
      <c r="G176" s="232"/>
      <c r="H176" s="40"/>
      <c r="I176" s="40"/>
      <c r="J176" s="215" t="s">
        <v>3592</v>
      </c>
      <c r="K176" s="204" t="s">
        <v>132</v>
      </c>
      <c r="L176" s="215" t="s">
        <v>3593</v>
      </c>
      <c r="M176" s="204" t="s">
        <v>3560</v>
      </c>
      <c r="N176" s="40" t="s">
        <v>504</v>
      </c>
      <c r="O176" s="40"/>
      <c r="P176" s="40"/>
      <c r="Q176" s="40"/>
      <c r="R176" s="40" t="s">
        <v>6</v>
      </c>
      <c r="S176" s="40" t="s">
        <v>6</v>
      </c>
      <c r="T176" s="40"/>
      <c r="U176" s="204" t="s">
        <v>3512</v>
      </c>
      <c r="V176" s="204"/>
      <c r="W176" s="204" t="s">
        <v>133</v>
      </c>
      <c r="X176" s="40"/>
      <c r="Y176" s="40"/>
      <c r="Z176" s="40" t="s">
        <v>6</v>
      </c>
      <c r="AA176" s="40" t="s">
        <v>6</v>
      </c>
      <c r="AB176" s="204"/>
      <c r="AC176" s="40"/>
      <c r="AD176" s="215" t="s">
        <v>3589</v>
      </c>
      <c r="AE176" s="204" t="s">
        <v>133</v>
      </c>
      <c r="AF176" s="40"/>
      <c r="AG176" s="40"/>
      <c r="AH176" s="40"/>
      <c r="AI176" s="40" t="s">
        <v>6</v>
      </c>
      <c r="AJ176" s="204"/>
      <c r="AK176" s="40"/>
      <c r="AL176" s="215" t="s">
        <v>3589</v>
      </c>
      <c r="AM176" s="198"/>
      <c r="AN176" s="40"/>
      <c r="AO176" s="198"/>
      <c r="AP176" s="198"/>
      <c r="AQ176" s="198"/>
      <c r="AR176" s="198"/>
      <c r="AS176" s="198"/>
      <c r="AT176" s="198"/>
      <c r="AU176" s="198"/>
      <c r="AV176" s="198"/>
      <c r="AW176" s="155"/>
      <c r="AX176" s="237"/>
      <c r="AY176" s="238"/>
    </row>
    <row r="177" spans="1:49" s="236" customFormat="1" ht="26.4">
      <c r="A177" s="40">
        <f t="shared" si="16"/>
        <v>171</v>
      </c>
      <c r="B177" s="38"/>
      <c r="C177" s="41"/>
      <c r="D177" s="232"/>
      <c r="E177" s="232"/>
      <c r="F177" s="232"/>
      <c r="G177" s="232"/>
      <c r="H177" s="40"/>
      <c r="I177" s="40"/>
      <c r="J177" s="215" t="s">
        <v>3594</v>
      </c>
      <c r="K177" s="204" t="s">
        <v>132</v>
      </c>
      <c r="L177" s="215" t="s">
        <v>3595</v>
      </c>
      <c r="M177" s="204" t="s">
        <v>3574</v>
      </c>
      <c r="N177" s="40" t="s">
        <v>504</v>
      </c>
      <c r="O177" s="40"/>
      <c r="P177" s="40"/>
      <c r="Q177" s="40"/>
      <c r="R177" s="40"/>
      <c r="S177" s="40" t="s">
        <v>6</v>
      </c>
      <c r="T177" s="126"/>
      <c r="U177" s="204"/>
      <c r="V177" s="204"/>
      <c r="W177" s="204" t="s">
        <v>125</v>
      </c>
      <c r="X177" s="40"/>
      <c r="Y177" s="40"/>
      <c r="Z177" s="40"/>
      <c r="AA177" s="40" t="s">
        <v>6</v>
      </c>
      <c r="AB177" s="204"/>
      <c r="AC177" s="40"/>
      <c r="AD177" s="215" t="s">
        <v>520</v>
      </c>
      <c r="AE177" s="204" t="s">
        <v>125</v>
      </c>
      <c r="AF177" s="40"/>
      <c r="AG177" s="40"/>
      <c r="AH177" s="40"/>
      <c r="AI177" s="40" t="s">
        <v>6</v>
      </c>
      <c r="AJ177" s="204"/>
      <c r="AK177" s="40"/>
      <c r="AL177" s="215" t="s">
        <v>520</v>
      </c>
      <c r="AM177" s="198"/>
      <c r="AN177" s="232"/>
      <c r="AO177" s="40"/>
      <c r="AP177" s="40"/>
      <c r="AQ177" s="40"/>
      <c r="AR177" s="40"/>
      <c r="AS177" s="40"/>
      <c r="AT177" s="40"/>
      <c r="AU177" s="40"/>
      <c r="AV177" s="232"/>
      <c r="AW177" s="155"/>
    </row>
    <row r="178" spans="1:49" s="236" customFormat="1" ht="15">
      <c r="A178" s="40">
        <f t="shared" si="16"/>
        <v>172</v>
      </c>
      <c r="B178" s="232"/>
      <c r="C178" s="41"/>
      <c r="D178" s="232"/>
      <c r="E178" s="232"/>
      <c r="F178" s="232"/>
      <c r="G178" s="232"/>
      <c r="H178" s="40"/>
      <c r="I178" s="40"/>
      <c r="J178" s="215" t="s">
        <v>3596</v>
      </c>
      <c r="K178" s="204" t="s">
        <v>132</v>
      </c>
      <c r="L178" s="215" t="s">
        <v>3597</v>
      </c>
      <c r="M178" s="204" t="s">
        <v>3598</v>
      </c>
      <c r="N178" s="40" t="s">
        <v>504</v>
      </c>
      <c r="O178" s="40"/>
      <c r="P178" s="40"/>
      <c r="Q178" s="40" t="s">
        <v>6</v>
      </c>
      <c r="R178" s="40" t="s">
        <v>6</v>
      </c>
      <c r="S178" s="40" t="s">
        <v>6</v>
      </c>
      <c r="T178" s="40"/>
      <c r="U178" s="204" t="s">
        <v>3599</v>
      </c>
      <c r="V178" s="204"/>
      <c r="W178" s="204" t="s">
        <v>133</v>
      </c>
      <c r="X178" s="40"/>
      <c r="Y178" s="40"/>
      <c r="Z178" s="40" t="s">
        <v>6</v>
      </c>
      <c r="AA178" s="40" t="s">
        <v>6</v>
      </c>
      <c r="AB178" s="198"/>
      <c r="AC178" s="40"/>
      <c r="AD178" s="40"/>
      <c r="AE178" s="204" t="s">
        <v>133</v>
      </c>
      <c r="AF178" s="40"/>
      <c r="AG178" s="40"/>
      <c r="AH178" s="40" t="s">
        <v>6</v>
      </c>
      <c r="AI178" s="40" t="s">
        <v>6</v>
      </c>
      <c r="AJ178" s="198"/>
      <c r="AK178" s="40"/>
      <c r="AL178" s="40"/>
      <c r="AM178" s="198"/>
      <c r="AN178" s="232"/>
      <c r="AO178" s="40"/>
      <c r="AP178" s="40"/>
      <c r="AQ178" s="40"/>
      <c r="AR178" s="40"/>
      <c r="AS178" s="40"/>
      <c r="AT178" s="40"/>
      <c r="AU178" s="40"/>
      <c r="AV178" s="232"/>
      <c r="AW178" s="155"/>
    </row>
    <row r="179" spans="1:49" s="236" customFormat="1" ht="26.4">
      <c r="A179" s="40">
        <f t="shared" si="16"/>
        <v>173</v>
      </c>
      <c r="B179" s="232"/>
      <c r="C179" s="41"/>
      <c r="D179" s="232"/>
      <c r="E179" s="232"/>
      <c r="F179" s="232"/>
      <c r="G179" s="232"/>
      <c r="H179" s="40"/>
      <c r="I179" s="40"/>
      <c r="J179" s="215" t="s">
        <v>3600</v>
      </c>
      <c r="K179" s="204" t="s">
        <v>132</v>
      </c>
      <c r="L179" s="215" t="s">
        <v>3601</v>
      </c>
      <c r="M179" s="204" t="s">
        <v>3602</v>
      </c>
      <c r="N179" s="40" t="s">
        <v>504</v>
      </c>
      <c r="O179" s="40"/>
      <c r="P179" s="40"/>
      <c r="Q179" s="40"/>
      <c r="R179" s="40" t="s">
        <v>6</v>
      </c>
      <c r="S179" s="40" t="s">
        <v>6</v>
      </c>
      <c r="T179" s="40"/>
      <c r="U179" s="204" t="s">
        <v>3512</v>
      </c>
      <c r="V179" s="204"/>
      <c r="W179" s="204" t="s">
        <v>125</v>
      </c>
      <c r="X179" s="40"/>
      <c r="Y179" s="40"/>
      <c r="Z179" s="40" t="s">
        <v>6</v>
      </c>
      <c r="AA179" s="40" t="s">
        <v>6</v>
      </c>
      <c r="AB179" s="204"/>
      <c r="AC179" s="40"/>
      <c r="AD179" s="215" t="s">
        <v>520</v>
      </c>
      <c r="AE179" s="204" t="s">
        <v>125</v>
      </c>
      <c r="AF179" s="40"/>
      <c r="AG179" s="40"/>
      <c r="AH179" s="40"/>
      <c r="AI179" s="40" t="s">
        <v>6</v>
      </c>
      <c r="AJ179" s="204"/>
      <c r="AK179" s="40"/>
      <c r="AL179" s="215" t="s">
        <v>520</v>
      </c>
      <c r="AM179" s="198"/>
      <c r="AN179" s="40"/>
      <c r="AO179" s="198"/>
      <c r="AP179" s="198"/>
      <c r="AQ179" s="198"/>
      <c r="AR179" s="198"/>
      <c r="AS179" s="198"/>
      <c r="AT179" s="198"/>
      <c r="AU179" s="40"/>
      <c r="AV179" s="198"/>
      <c r="AW179" s="155"/>
    </row>
    <row r="180" spans="1:49" s="236" customFormat="1" ht="26.4">
      <c r="A180" s="40">
        <f t="shared" si="16"/>
        <v>174</v>
      </c>
      <c r="B180" s="38"/>
      <c r="C180" s="41"/>
      <c r="D180" s="232"/>
      <c r="E180" s="198"/>
      <c r="F180" s="198"/>
      <c r="G180" s="198"/>
      <c r="H180" s="40"/>
      <c r="I180" s="40"/>
      <c r="J180" s="215" t="s">
        <v>3603</v>
      </c>
      <c r="K180" s="204" t="s">
        <v>132</v>
      </c>
      <c r="L180" s="215" t="s">
        <v>3604</v>
      </c>
      <c r="M180" s="204" t="s">
        <v>3560</v>
      </c>
      <c r="N180" s="40" t="s">
        <v>504</v>
      </c>
      <c r="O180" s="40"/>
      <c r="P180" s="40"/>
      <c r="Q180" s="40"/>
      <c r="R180" s="40" t="s">
        <v>6</v>
      </c>
      <c r="S180" s="40" t="s">
        <v>6</v>
      </c>
      <c r="T180" s="40"/>
      <c r="U180" s="204"/>
      <c r="V180" s="204"/>
      <c r="W180" s="204" t="s">
        <v>125</v>
      </c>
      <c r="X180" s="40"/>
      <c r="Y180" s="40"/>
      <c r="Z180" s="40" t="s">
        <v>6</v>
      </c>
      <c r="AA180" s="40" t="s">
        <v>6</v>
      </c>
      <c r="AB180" s="204"/>
      <c r="AC180" s="40"/>
      <c r="AD180" s="215" t="s">
        <v>520</v>
      </c>
      <c r="AE180" s="204" t="s">
        <v>125</v>
      </c>
      <c r="AF180" s="40"/>
      <c r="AG180" s="40"/>
      <c r="AH180" s="40"/>
      <c r="AI180" s="40" t="s">
        <v>6</v>
      </c>
      <c r="AJ180" s="204"/>
      <c r="AK180" s="40"/>
      <c r="AL180" s="215" t="s">
        <v>520</v>
      </c>
      <c r="AM180" s="198"/>
      <c r="AN180" s="40"/>
      <c r="AO180" s="198"/>
      <c r="AP180" s="198"/>
      <c r="AQ180" s="198"/>
      <c r="AR180" s="198"/>
      <c r="AS180" s="198"/>
      <c r="AT180" s="198"/>
      <c r="AU180" s="198"/>
      <c r="AV180" s="198"/>
      <c r="AW180" s="155"/>
    </row>
    <row r="181" spans="1:49" s="236" customFormat="1" ht="26.4">
      <c r="A181" s="40">
        <f t="shared" si="16"/>
        <v>175</v>
      </c>
      <c r="B181" s="232"/>
      <c r="C181" s="41"/>
      <c r="D181" s="232"/>
      <c r="E181" s="232"/>
      <c r="F181" s="232"/>
      <c r="G181" s="232"/>
      <c r="H181" s="40"/>
      <c r="I181" s="40"/>
      <c r="J181" s="215" t="s">
        <v>3605</v>
      </c>
      <c r="K181" s="204" t="s">
        <v>132</v>
      </c>
      <c r="L181" s="215" t="s">
        <v>3606</v>
      </c>
      <c r="M181" s="204" t="s">
        <v>3560</v>
      </c>
      <c r="N181" s="40" t="s">
        <v>504</v>
      </c>
      <c r="O181" s="40"/>
      <c r="P181" s="40"/>
      <c r="Q181" s="40"/>
      <c r="R181" s="40" t="s">
        <v>6</v>
      </c>
      <c r="S181" s="40" t="s">
        <v>6</v>
      </c>
      <c r="T181" s="40"/>
      <c r="U181" s="204"/>
      <c r="V181" s="204"/>
      <c r="W181" s="204" t="s">
        <v>125</v>
      </c>
      <c r="X181" s="40"/>
      <c r="Y181" s="40"/>
      <c r="Z181" s="40" t="s">
        <v>6</v>
      </c>
      <c r="AA181" s="40" t="s">
        <v>6</v>
      </c>
      <c r="AB181" s="204"/>
      <c r="AC181" s="40"/>
      <c r="AD181" s="215" t="s">
        <v>520</v>
      </c>
      <c r="AE181" s="204" t="s">
        <v>125</v>
      </c>
      <c r="AF181" s="40"/>
      <c r="AG181" s="40"/>
      <c r="AH181" s="40"/>
      <c r="AI181" s="40" t="s">
        <v>6</v>
      </c>
      <c r="AJ181" s="204"/>
      <c r="AK181" s="40"/>
      <c r="AL181" s="215" t="s">
        <v>520</v>
      </c>
      <c r="AM181" s="198"/>
      <c r="AN181" s="40"/>
      <c r="AO181" s="198"/>
      <c r="AP181" s="198"/>
      <c r="AQ181" s="198"/>
      <c r="AR181" s="198"/>
      <c r="AS181" s="198"/>
      <c r="AT181" s="198"/>
      <c r="AU181" s="198"/>
      <c r="AV181" s="232"/>
      <c r="AW181" s="155"/>
    </row>
    <row r="182" spans="1:49" s="236" customFormat="1" ht="26.4">
      <c r="A182" s="40">
        <f t="shared" si="16"/>
        <v>176</v>
      </c>
      <c r="B182" s="232"/>
      <c r="C182" s="41"/>
      <c r="D182" s="232"/>
      <c r="E182" s="232"/>
      <c r="F182" s="232"/>
      <c r="G182" s="232"/>
      <c r="H182" s="40"/>
      <c r="I182" s="40"/>
      <c r="J182" s="215" t="s">
        <v>3607</v>
      </c>
      <c r="K182" s="204" t="s">
        <v>132</v>
      </c>
      <c r="L182" s="215" t="s">
        <v>3608</v>
      </c>
      <c r="M182" s="204" t="s">
        <v>3560</v>
      </c>
      <c r="N182" s="40" t="s">
        <v>504</v>
      </c>
      <c r="O182" s="40"/>
      <c r="P182" s="40"/>
      <c r="Q182" s="40"/>
      <c r="R182" s="40" t="s">
        <v>6</v>
      </c>
      <c r="S182" s="40" t="s">
        <v>6</v>
      </c>
      <c r="T182" s="40"/>
      <c r="U182" s="204"/>
      <c r="V182" s="204"/>
      <c r="W182" s="204" t="s">
        <v>125</v>
      </c>
      <c r="X182" s="40"/>
      <c r="Y182" s="40"/>
      <c r="Z182" s="40" t="s">
        <v>6</v>
      </c>
      <c r="AA182" s="40" t="s">
        <v>6</v>
      </c>
      <c r="AB182" s="204"/>
      <c r="AC182" s="40"/>
      <c r="AD182" s="215" t="s">
        <v>520</v>
      </c>
      <c r="AE182" s="204" t="s">
        <v>125</v>
      </c>
      <c r="AF182" s="40"/>
      <c r="AG182" s="40"/>
      <c r="AH182" s="40"/>
      <c r="AI182" s="40" t="s">
        <v>6</v>
      </c>
      <c r="AJ182" s="204"/>
      <c r="AK182" s="40"/>
      <c r="AL182" s="215" t="s">
        <v>520</v>
      </c>
      <c r="AM182" s="198"/>
      <c r="AN182" s="40"/>
      <c r="AO182" s="198"/>
      <c r="AP182" s="198"/>
      <c r="AQ182" s="198"/>
      <c r="AR182" s="198"/>
      <c r="AS182" s="198"/>
      <c r="AT182" s="198"/>
      <c r="AU182" s="198"/>
      <c r="AV182" s="232"/>
      <c r="AW182" s="155"/>
    </row>
    <row r="183" spans="1:49" s="236" customFormat="1" ht="26.4">
      <c r="A183" s="40">
        <f t="shared" si="16"/>
        <v>177</v>
      </c>
      <c r="B183" s="232"/>
      <c r="C183" s="41"/>
      <c r="D183" s="232"/>
      <c r="E183" s="232"/>
      <c r="F183" s="232"/>
      <c r="G183" s="232"/>
      <c r="H183" s="40"/>
      <c r="I183" s="40"/>
      <c r="J183" s="215" t="s">
        <v>3609</v>
      </c>
      <c r="K183" s="204" t="s">
        <v>132</v>
      </c>
      <c r="L183" s="204" t="s">
        <v>3610</v>
      </c>
      <c r="M183" s="204" t="s">
        <v>3560</v>
      </c>
      <c r="N183" s="40" t="s">
        <v>504</v>
      </c>
      <c r="O183" s="40"/>
      <c r="P183" s="40"/>
      <c r="Q183" s="40" t="s">
        <v>6</v>
      </c>
      <c r="R183" s="40" t="s">
        <v>6</v>
      </c>
      <c r="S183" s="40" t="s">
        <v>6</v>
      </c>
      <c r="T183" s="40"/>
      <c r="U183" s="204"/>
      <c r="V183" s="204"/>
      <c r="W183" s="204" t="s">
        <v>133</v>
      </c>
      <c r="X183" s="198"/>
      <c r="Y183" s="40"/>
      <c r="Z183" s="40" t="s">
        <v>6</v>
      </c>
      <c r="AA183" s="40" t="s">
        <v>6</v>
      </c>
      <c r="AB183" s="204"/>
      <c r="AC183" s="40"/>
      <c r="AD183" s="215" t="s">
        <v>520</v>
      </c>
      <c r="AE183" s="204" t="s">
        <v>133</v>
      </c>
      <c r="AF183" s="198"/>
      <c r="AG183" s="40"/>
      <c r="AH183" s="40"/>
      <c r="AI183" s="40" t="s">
        <v>6</v>
      </c>
      <c r="AJ183" s="204"/>
      <c r="AK183" s="40"/>
      <c r="AL183" s="215" t="s">
        <v>520</v>
      </c>
      <c r="AM183" s="198" t="s">
        <v>536</v>
      </c>
      <c r="AN183" s="232"/>
      <c r="AO183" s="40"/>
      <c r="AP183" s="40"/>
      <c r="AQ183" s="40"/>
      <c r="AR183" s="40"/>
      <c r="AS183" s="40"/>
      <c r="AT183" s="40"/>
      <c r="AU183" s="198"/>
      <c r="AV183" s="198"/>
      <c r="AW183" s="155"/>
    </row>
    <row r="184" spans="1:49" s="236" customFormat="1" ht="26.4">
      <c r="A184" s="40">
        <f t="shared" si="16"/>
        <v>178</v>
      </c>
      <c r="B184" s="232"/>
      <c r="C184" s="41"/>
      <c r="D184" s="232"/>
      <c r="E184" s="232"/>
      <c r="F184" s="232"/>
      <c r="G184" s="232"/>
      <c r="H184" s="40"/>
      <c r="I184" s="40"/>
      <c r="J184" s="215" t="s">
        <v>3611</v>
      </c>
      <c r="K184" s="204" t="s">
        <v>132</v>
      </c>
      <c r="L184" s="215" t="s">
        <v>3612</v>
      </c>
      <c r="M184" s="204" t="s">
        <v>3560</v>
      </c>
      <c r="N184" s="40" t="s">
        <v>504</v>
      </c>
      <c r="O184" s="40"/>
      <c r="P184" s="40"/>
      <c r="Q184" s="40"/>
      <c r="R184" s="40" t="s">
        <v>6</v>
      </c>
      <c r="S184" s="40" t="s">
        <v>6</v>
      </c>
      <c r="T184" s="40"/>
      <c r="U184" s="204"/>
      <c r="V184" s="204"/>
      <c r="W184" s="204" t="s">
        <v>133</v>
      </c>
      <c r="X184" s="198"/>
      <c r="Y184" s="40"/>
      <c r="Z184" s="40" t="s">
        <v>6</v>
      </c>
      <c r="AA184" s="40" t="s">
        <v>6</v>
      </c>
      <c r="AB184" s="204"/>
      <c r="AC184" s="40"/>
      <c r="AD184" s="215" t="s">
        <v>520</v>
      </c>
      <c r="AE184" s="204" t="s">
        <v>133</v>
      </c>
      <c r="AF184" s="198"/>
      <c r="AG184" s="40"/>
      <c r="AH184" s="40"/>
      <c r="AI184" s="40" t="s">
        <v>6</v>
      </c>
      <c r="AJ184" s="204"/>
      <c r="AK184" s="40"/>
      <c r="AL184" s="215" t="s">
        <v>520</v>
      </c>
      <c r="AM184" s="198"/>
      <c r="AN184" s="232"/>
      <c r="AO184" s="40"/>
      <c r="AP184" s="40"/>
      <c r="AQ184" s="40"/>
      <c r="AR184" s="40"/>
      <c r="AS184" s="40"/>
      <c r="AT184" s="40"/>
      <c r="AU184" s="198"/>
      <c r="AV184" s="198"/>
      <c r="AW184" s="155"/>
    </row>
    <row r="185" spans="1:49" s="236" customFormat="1" ht="15">
      <c r="A185" s="40">
        <f t="shared" si="16"/>
        <v>179</v>
      </c>
      <c r="B185" s="38"/>
      <c r="C185" s="41"/>
      <c r="D185" s="232"/>
      <c r="E185" s="232"/>
      <c r="F185" s="232"/>
      <c r="G185" s="232"/>
      <c r="H185" s="40"/>
      <c r="I185" s="40"/>
      <c r="J185" s="215" t="s">
        <v>520</v>
      </c>
      <c r="K185" s="204" t="s">
        <v>132</v>
      </c>
      <c r="L185" s="204" t="s">
        <v>3613</v>
      </c>
      <c r="M185" s="204" t="s">
        <v>3560</v>
      </c>
      <c r="N185" s="40" t="s">
        <v>504</v>
      </c>
      <c r="O185" s="40"/>
      <c r="P185" s="40"/>
      <c r="Q185" s="40" t="s">
        <v>6</v>
      </c>
      <c r="R185" s="40" t="s">
        <v>6</v>
      </c>
      <c r="S185" s="40" t="s">
        <v>6</v>
      </c>
      <c r="T185" s="40"/>
      <c r="U185" s="204"/>
      <c r="V185" s="204"/>
      <c r="W185" s="204" t="s">
        <v>133</v>
      </c>
      <c r="X185" s="198"/>
      <c r="Y185" s="40"/>
      <c r="Z185" s="40" t="s">
        <v>6</v>
      </c>
      <c r="AA185" s="40" t="s">
        <v>6</v>
      </c>
      <c r="AB185" s="215"/>
      <c r="AC185" s="40"/>
      <c r="AD185" s="40"/>
      <c r="AE185" s="204" t="s">
        <v>133</v>
      </c>
      <c r="AF185" s="198"/>
      <c r="AG185" s="40"/>
      <c r="AH185" s="40" t="s">
        <v>6</v>
      </c>
      <c r="AI185" s="40" t="s">
        <v>6</v>
      </c>
      <c r="AJ185" s="215" t="s">
        <v>3614</v>
      </c>
      <c r="AK185" s="40"/>
      <c r="AL185" s="40"/>
      <c r="AM185" s="198"/>
      <c r="AN185" s="232"/>
      <c r="AO185" s="40"/>
      <c r="AP185" s="40"/>
      <c r="AQ185" s="40"/>
      <c r="AR185" s="40"/>
      <c r="AS185" s="40"/>
      <c r="AT185" s="40"/>
      <c r="AU185" s="198"/>
      <c r="AV185" s="198"/>
      <c r="AW185" s="155"/>
    </row>
    <row r="186" spans="1:49" s="236" customFormat="1" ht="15">
      <c r="A186" s="40">
        <f t="shared" si="16"/>
        <v>180</v>
      </c>
      <c r="B186" s="38"/>
      <c r="C186" s="41"/>
      <c r="D186" s="232"/>
      <c r="E186" s="232"/>
      <c r="F186" s="232"/>
      <c r="G186" s="232"/>
      <c r="H186" s="40"/>
      <c r="I186" s="40"/>
      <c r="J186" s="215" t="s">
        <v>3615</v>
      </c>
      <c r="K186" s="204" t="s">
        <v>117</v>
      </c>
      <c r="L186" s="215" t="s">
        <v>3616</v>
      </c>
      <c r="M186" s="204" t="s">
        <v>3560</v>
      </c>
      <c r="N186" s="40" t="s">
        <v>504</v>
      </c>
      <c r="O186" s="40"/>
      <c r="P186" s="40"/>
      <c r="Q186" s="40" t="s">
        <v>6</v>
      </c>
      <c r="R186" s="40" t="s">
        <v>6</v>
      </c>
      <c r="S186" s="40" t="s">
        <v>6</v>
      </c>
      <c r="T186" s="126"/>
      <c r="U186" s="204"/>
      <c r="V186" s="204"/>
      <c r="W186" s="204" t="s">
        <v>133</v>
      </c>
      <c r="X186" s="198"/>
      <c r="Y186" s="40"/>
      <c r="Z186" s="40" t="s">
        <v>6</v>
      </c>
      <c r="AA186" s="40" t="s">
        <v>6</v>
      </c>
      <c r="AB186" s="204"/>
      <c r="AC186" s="40"/>
      <c r="AD186" s="40"/>
      <c r="AE186" s="204" t="s">
        <v>133</v>
      </c>
      <c r="AF186" s="198"/>
      <c r="AG186" s="40"/>
      <c r="AH186" s="40" t="s">
        <v>6</v>
      </c>
      <c r="AI186" s="40" t="s">
        <v>6</v>
      </c>
      <c r="AJ186" s="204"/>
      <c r="AK186" s="40"/>
      <c r="AL186" s="40"/>
      <c r="AM186" s="198"/>
      <c r="AN186" s="232"/>
      <c r="AO186" s="40"/>
      <c r="AP186" s="40"/>
      <c r="AQ186" s="40"/>
      <c r="AR186" s="40"/>
      <c r="AS186" s="40"/>
      <c r="AT186" s="40"/>
      <c r="AU186" s="198"/>
      <c r="AV186" s="198"/>
      <c r="AW186" s="155"/>
    </row>
    <row r="187" spans="1:49" s="236" customFormat="1" ht="15">
      <c r="A187" s="40">
        <f t="shared" si="16"/>
        <v>181</v>
      </c>
      <c r="B187" s="38"/>
      <c r="C187" s="41"/>
      <c r="D187" s="232"/>
      <c r="E187" s="232"/>
      <c r="F187" s="232"/>
      <c r="G187" s="232"/>
      <c r="H187" s="40"/>
      <c r="I187" s="40"/>
      <c r="J187" s="215" t="s">
        <v>3617</v>
      </c>
      <c r="K187" s="204" t="s">
        <v>117</v>
      </c>
      <c r="L187" s="215" t="s">
        <v>3618</v>
      </c>
      <c r="M187" s="204"/>
      <c r="N187" s="40" t="s">
        <v>504</v>
      </c>
      <c r="O187" s="40"/>
      <c r="P187" s="40"/>
      <c r="Q187" s="40"/>
      <c r="R187" s="40" t="s">
        <v>6</v>
      </c>
      <c r="S187" s="40" t="s">
        <v>6</v>
      </c>
      <c r="T187" s="126"/>
      <c r="U187" s="204"/>
      <c r="V187" s="204"/>
      <c r="W187" s="204" t="s">
        <v>133</v>
      </c>
      <c r="X187" s="198"/>
      <c r="Y187" s="198"/>
      <c r="Z187" s="40" t="s">
        <v>6</v>
      </c>
      <c r="AA187" s="40" t="s">
        <v>6</v>
      </c>
      <c r="AB187" s="204"/>
      <c r="AC187" s="40"/>
      <c r="AD187" s="40"/>
      <c r="AE187" s="204" t="s">
        <v>133</v>
      </c>
      <c r="AF187" s="198"/>
      <c r="AG187" s="198"/>
      <c r="AH187" s="40" t="s">
        <v>6</v>
      </c>
      <c r="AI187" s="40" t="s">
        <v>6</v>
      </c>
      <c r="AJ187" s="204"/>
      <c r="AK187" s="40"/>
      <c r="AL187" s="40"/>
      <c r="AM187" s="198"/>
      <c r="AN187" s="40"/>
      <c r="AO187" s="198"/>
      <c r="AP187" s="198"/>
      <c r="AQ187" s="198"/>
      <c r="AR187" s="198"/>
      <c r="AS187" s="198"/>
      <c r="AT187" s="198"/>
      <c r="AU187" s="198"/>
      <c r="AV187" s="40"/>
      <c r="AW187" s="155"/>
    </row>
    <row r="188" spans="1:49" s="236" customFormat="1" ht="15">
      <c r="A188" s="40">
        <f t="shared" si="16"/>
        <v>182</v>
      </c>
      <c r="B188" s="38"/>
      <c r="C188" s="41"/>
      <c r="D188" s="232"/>
      <c r="E188" s="232"/>
      <c r="F188" s="232"/>
      <c r="G188" s="232"/>
      <c r="H188" s="40"/>
      <c r="I188" s="40"/>
      <c r="J188" s="215" t="s">
        <v>3619</v>
      </c>
      <c r="K188" s="204" t="s">
        <v>117</v>
      </c>
      <c r="L188" s="215" t="s">
        <v>3620</v>
      </c>
      <c r="M188" s="204"/>
      <c r="N188" s="40" t="s">
        <v>504</v>
      </c>
      <c r="O188" s="40"/>
      <c r="P188" s="40"/>
      <c r="Q188" s="40"/>
      <c r="R188" s="40" t="s">
        <v>6</v>
      </c>
      <c r="S188" s="40" t="s">
        <v>6</v>
      </c>
      <c r="T188" s="126"/>
      <c r="U188" s="204"/>
      <c r="V188" s="204"/>
      <c r="W188" s="204" t="s">
        <v>133</v>
      </c>
      <c r="X188" s="198"/>
      <c r="Y188" s="198"/>
      <c r="Z188" s="40" t="s">
        <v>6</v>
      </c>
      <c r="AA188" s="40" t="s">
        <v>6</v>
      </c>
      <c r="AB188" s="204"/>
      <c r="AC188" s="40"/>
      <c r="AD188" s="232" t="s">
        <v>545</v>
      </c>
      <c r="AE188" s="204" t="s">
        <v>133</v>
      </c>
      <c r="AF188" s="198"/>
      <c r="AG188" s="198"/>
      <c r="AH188" s="40" t="s">
        <v>6</v>
      </c>
      <c r="AI188" s="40" t="s">
        <v>6</v>
      </c>
      <c r="AJ188" s="204"/>
      <c r="AK188" s="40"/>
      <c r="AL188" s="232" t="s">
        <v>545</v>
      </c>
      <c r="AM188" s="198"/>
      <c r="AN188" s="40"/>
      <c r="AO188" s="198"/>
      <c r="AP188" s="198"/>
      <c r="AQ188" s="198"/>
      <c r="AR188" s="198"/>
      <c r="AS188" s="198"/>
      <c r="AT188" s="198"/>
      <c r="AU188" s="198"/>
      <c r="AV188" s="40"/>
      <c r="AW188" s="155"/>
    </row>
    <row r="189" spans="1:49" s="236" customFormat="1" ht="15">
      <c r="A189" s="40">
        <f t="shared" si="16"/>
        <v>183</v>
      </c>
      <c r="B189" s="38"/>
      <c r="C189" s="41"/>
      <c r="D189" s="38"/>
      <c r="E189" s="46"/>
      <c r="F189" s="46"/>
      <c r="G189" s="46"/>
      <c r="H189" s="40"/>
      <c r="I189" s="40"/>
      <c r="J189" s="215" t="s">
        <v>3621</v>
      </c>
      <c r="K189" s="204" t="s">
        <v>117</v>
      </c>
      <c r="L189" s="215" t="s">
        <v>3622</v>
      </c>
      <c r="M189" s="204"/>
      <c r="N189" s="40" t="s">
        <v>504</v>
      </c>
      <c r="O189" s="40"/>
      <c r="P189" s="40"/>
      <c r="Q189" s="40"/>
      <c r="R189" s="40" t="s">
        <v>6</v>
      </c>
      <c r="S189" s="40" t="s">
        <v>6</v>
      </c>
      <c r="T189" s="126"/>
      <c r="U189" s="204"/>
      <c r="V189" s="204"/>
      <c r="W189" s="204" t="s">
        <v>133</v>
      </c>
      <c r="X189" s="198"/>
      <c r="Y189" s="198"/>
      <c r="Z189" s="40" t="s">
        <v>6</v>
      </c>
      <c r="AA189" s="40" t="s">
        <v>6</v>
      </c>
      <c r="AB189" s="204"/>
      <c r="AC189" s="40"/>
      <c r="AD189" s="232" t="s">
        <v>545</v>
      </c>
      <c r="AE189" s="204" t="s">
        <v>133</v>
      </c>
      <c r="AF189" s="198"/>
      <c r="AG189" s="198"/>
      <c r="AH189" s="40" t="s">
        <v>6</v>
      </c>
      <c r="AI189" s="40" t="s">
        <v>6</v>
      </c>
      <c r="AJ189" s="204"/>
      <c r="AK189" s="40"/>
      <c r="AL189" s="232" t="s">
        <v>545</v>
      </c>
      <c r="AM189" s="198"/>
      <c r="AN189" s="40"/>
      <c r="AO189" s="198"/>
      <c r="AP189" s="198"/>
      <c r="AQ189" s="198"/>
      <c r="AR189" s="198"/>
      <c r="AS189" s="198"/>
      <c r="AT189" s="198"/>
      <c r="AU189" s="198"/>
      <c r="AV189" s="40"/>
      <c r="AW189" s="155"/>
    </row>
    <row r="190" spans="1:49" s="236" customFormat="1" ht="15">
      <c r="A190" s="40">
        <f t="shared" si="16"/>
        <v>184</v>
      </c>
      <c r="B190" s="38"/>
      <c r="C190" s="41"/>
      <c r="D190" s="232"/>
      <c r="E190" s="198"/>
      <c r="F190" s="198"/>
      <c r="G190" s="198"/>
      <c r="H190" s="40"/>
      <c r="I190" s="40"/>
      <c r="J190" s="215" t="s">
        <v>3623</v>
      </c>
      <c r="K190" s="204" t="s">
        <v>117</v>
      </c>
      <c r="L190" s="215" t="s">
        <v>3624</v>
      </c>
      <c r="M190" s="204"/>
      <c r="N190" s="40" t="s">
        <v>504</v>
      </c>
      <c r="O190" s="40"/>
      <c r="P190" s="40"/>
      <c r="Q190" s="40"/>
      <c r="R190" s="40" t="s">
        <v>6</v>
      </c>
      <c r="S190" s="40" t="s">
        <v>6</v>
      </c>
      <c r="T190" s="126"/>
      <c r="U190" s="204"/>
      <c r="V190" s="204"/>
      <c r="W190" s="204" t="s">
        <v>133</v>
      </c>
      <c r="X190" s="40"/>
      <c r="Y190" s="40"/>
      <c r="Z190" s="40" t="s">
        <v>6</v>
      </c>
      <c r="AA190" s="40" t="s">
        <v>6</v>
      </c>
      <c r="AB190" s="204"/>
      <c r="AC190" s="40"/>
      <c r="AD190" s="232" t="s">
        <v>545</v>
      </c>
      <c r="AE190" s="204" t="s">
        <v>133</v>
      </c>
      <c r="AF190" s="40"/>
      <c r="AG190" s="40"/>
      <c r="AH190" s="40" t="s">
        <v>6</v>
      </c>
      <c r="AI190" s="40" t="s">
        <v>6</v>
      </c>
      <c r="AJ190" s="204"/>
      <c r="AK190" s="40"/>
      <c r="AL190" s="232" t="s">
        <v>545</v>
      </c>
      <c r="AM190" s="198"/>
      <c r="AN190" s="232"/>
      <c r="AO190" s="198"/>
      <c r="AP190" s="198"/>
      <c r="AQ190" s="198"/>
      <c r="AR190" s="198"/>
      <c r="AS190" s="198"/>
      <c r="AT190" s="198"/>
      <c r="AU190" s="198"/>
      <c r="AV190" s="198"/>
      <c r="AW190" s="155"/>
    </row>
    <row r="191" spans="1:49" s="236" customFormat="1" ht="15">
      <c r="A191" s="40">
        <f t="shared" si="16"/>
        <v>185</v>
      </c>
      <c r="B191" s="232"/>
      <c r="C191" s="41"/>
      <c r="D191" s="232"/>
      <c r="E191" s="232"/>
      <c r="F191" s="232"/>
      <c r="G191" s="232"/>
      <c r="H191" s="40"/>
      <c r="I191" s="40"/>
      <c r="J191" s="215" t="s">
        <v>3625</v>
      </c>
      <c r="K191" s="204" t="s">
        <v>117</v>
      </c>
      <c r="L191" s="215" t="s">
        <v>3626</v>
      </c>
      <c r="M191" s="204"/>
      <c r="N191" s="40" t="s">
        <v>504</v>
      </c>
      <c r="O191" s="40"/>
      <c r="P191" s="40"/>
      <c r="Q191" s="40"/>
      <c r="R191" s="40" t="s">
        <v>6</v>
      </c>
      <c r="S191" s="40" t="s">
        <v>6</v>
      </c>
      <c r="T191" s="126"/>
      <c r="U191" s="204"/>
      <c r="V191" s="204"/>
      <c r="W191" s="204" t="s">
        <v>133</v>
      </c>
      <c r="X191" s="40"/>
      <c r="Y191" s="40"/>
      <c r="Z191" s="40" t="s">
        <v>6</v>
      </c>
      <c r="AA191" s="40" t="s">
        <v>6</v>
      </c>
      <c r="AB191" s="204"/>
      <c r="AC191" s="40"/>
      <c r="AD191" s="40"/>
      <c r="AE191" s="204" t="s">
        <v>133</v>
      </c>
      <c r="AF191" s="40"/>
      <c r="AG191" s="40"/>
      <c r="AH191" s="40" t="s">
        <v>6</v>
      </c>
      <c r="AI191" s="40" t="s">
        <v>6</v>
      </c>
      <c r="AJ191" s="204"/>
      <c r="AK191" s="40"/>
      <c r="AL191" s="40"/>
      <c r="AM191" s="198"/>
      <c r="AN191" s="232"/>
      <c r="AO191" s="40"/>
      <c r="AP191" s="40"/>
      <c r="AQ191" s="40"/>
      <c r="AR191" s="40"/>
      <c r="AS191" s="40"/>
      <c r="AT191" s="40"/>
      <c r="AU191" s="40"/>
      <c r="AV191" s="232"/>
      <c r="AW191" s="155"/>
    </row>
    <row r="192" spans="1:49" s="236" customFormat="1" ht="15">
      <c r="A192" s="40">
        <f t="shared" si="16"/>
        <v>186</v>
      </c>
      <c r="B192" s="232"/>
      <c r="C192" s="41"/>
      <c r="D192" s="232"/>
      <c r="E192" s="232"/>
      <c r="F192" s="232"/>
      <c r="G192" s="232"/>
      <c r="H192" s="40"/>
      <c r="I192" s="40"/>
      <c r="J192" s="215" t="s">
        <v>3627</v>
      </c>
      <c r="K192" s="204" t="s">
        <v>132</v>
      </c>
      <c r="L192" s="215" t="s">
        <v>3628</v>
      </c>
      <c r="M192" s="204" t="s">
        <v>3560</v>
      </c>
      <c r="N192" s="40" t="s">
        <v>504</v>
      </c>
      <c r="O192" s="40"/>
      <c r="P192" s="40"/>
      <c r="Q192" s="40" t="s">
        <v>6</v>
      </c>
      <c r="R192" s="40" t="s">
        <v>6</v>
      </c>
      <c r="S192" s="40" t="s">
        <v>6</v>
      </c>
      <c r="T192" s="126"/>
      <c r="U192" s="204" t="s">
        <v>525</v>
      </c>
      <c r="V192" s="204"/>
      <c r="W192" s="204" t="s">
        <v>133</v>
      </c>
      <c r="X192" s="40"/>
      <c r="Y192" s="40"/>
      <c r="Z192" s="40" t="s">
        <v>6</v>
      </c>
      <c r="AA192" s="40" t="s">
        <v>6</v>
      </c>
      <c r="AB192" s="204"/>
      <c r="AC192" s="40"/>
      <c r="AD192" s="40"/>
      <c r="AE192" s="204" t="s">
        <v>133</v>
      </c>
      <c r="AF192" s="40"/>
      <c r="AG192" s="40"/>
      <c r="AH192" s="40" t="s">
        <v>6</v>
      </c>
      <c r="AI192" s="40" t="s">
        <v>6</v>
      </c>
      <c r="AJ192" s="204"/>
      <c r="AK192" s="40"/>
      <c r="AL192" s="40"/>
      <c r="AM192" s="198" t="s">
        <v>555</v>
      </c>
      <c r="AN192" s="40"/>
      <c r="AO192" s="198"/>
      <c r="AP192" s="198"/>
      <c r="AQ192" s="198"/>
      <c r="AR192" s="198"/>
      <c r="AS192" s="198"/>
      <c r="AT192" s="198"/>
      <c r="AU192" s="198"/>
      <c r="AV192" s="232"/>
      <c r="AW192" s="155"/>
    </row>
    <row r="193" spans="1:49" s="236" customFormat="1" ht="15">
      <c r="A193" s="40">
        <f t="shared" si="16"/>
        <v>187</v>
      </c>
      <c r="B193" s="232"/>
      <c r="C193" s="41"/>
      <c r="D193" s="232"/>
      <c r="E193" s="232"/>
      <c r="F193" s="232"/>
      <c r="G193" s="232"/>
      <c r="H193" s="40"/>
      <c r="I193" s="40"/>
      <c r="J193" s="215" t="s">
        <v>3629</v>
      </c>
      <c r="K193" s="204" t="s">
        <v>117</v>
      </c>
      <c r="L193" s="204" t="s">
        <v>3630</v>
      </c>
      <c r="M193" s="204"/>
      <c r="N193" s="40" t="s">
        <v>504</v>
      </c>
      <c r="O193" s="40"/>
      <c r="P193" s="40"/>
      <c r="Q193" s="40"/>
      <c r="R193" s="40" t="s">
        <v>6</v>
      </c>
      <c r="S193" s="40" t="s">
        <v>6</v>
      </c>
      <c r="T193" s="126"/>
      <c r="U193" s="204"/>
      <c r="V193" s="204"/>
      <c r="W193" s="204" t="s">
        <v>133</v>
      </c>
      <c r="X193" s="40"/>
      <c r="Y193" s="40"/>
      <c r="Z193" s="40" t="s">
        <v>6</v>
      </c>
      <c r="AA193" s="40" t="s">
        <v>6</v>
      </c>
      <c r="AB193" s="204"/>
      <c r="AC193" s="40"/>
      <c r="AD193" s="40"/>
      <c r="AE193" s="204" t="s">
        <v>133</v>
      </c>
      <c r="AF193" s="40"/>
      <c r="AG193" s="40"/>
      <c r="AH193" s="40" t="s">
        <v>6</v>
      </c>
      <c r="AI193" s="40" t="s">
        <v>6</v>
      </c>
      <c r="AJ193" s="204"/>
      <c r="AK193" s="40"/>
      <c r="AL193" s="40"/>
      <c r="AM193" s="198"/>
      <c r="AN193" s="40"/>
      <c r="AO193" s="198"/>
      <c r="AP193" s="198"/>
      <c r="AQ193" s="198"/>
      <c r="AR193" s="198"/>
      <c r="AS193" s="198"/>
      <c r="AT193" s="198"/>
      <c r="AU193" s="198"/>
      <c r="AV193" s="232"/>
      <c r="AW193" s="155"/>
    </row>
    <row r="194" spans="1:49" s="236" customFormat="1" ht="15">
      <c r="A194" s="40">
        <f t="shared" si="16"/>
        <v>188</v>
      </c>
      <c r="B194" s="38"/>
      <c r="C194" s="41"/>
      <c r="D194" s="232"/>
      <c r="E194" s="232"/>
      <c r="F194" s="232"/>
      <c r="G194" s="232"/>
      <c r="H194" s="40"/>
      <c r="I194" s="40"/>
      <c r="J194" s="215" t="s">
        <v>3631</v>
      </c>
      <c r="K194" s="204" t="s">
        <v>132</v>
      </c>
      <c r="L194" s="215" t="s">
        <v>3632</v>
      </c>
      <c r="M194" s="204" t="s">
        <v>3560</v>
      </c>
      <c r="N194" s="40" t="s">
        <v>504</v>
      </c>
      <c r="O194" s="40"/>
      <c r="P194" s="40"/>
      <c r="Q194" s="40" t="s">
        <v>6</v>
      </c>
      <c r="R194" s="40" t="s">
        <v>6</v>
      </c>
      <c r="S194" s="40" t="s">
        <v>6</v>
      </c>
      <c r="T194" s="126"/>
      <c r="U194" s="204" t="s">
        <v>525</v>
      </c>
      <c r="V194" s="204"/>
      <c r="W194" s="204" t="s">
        <v>133</v>
      </c>
      <c r="X194" s="40"/>
      <c r="Y194" s="40"/>
      <c r="Z194" s="40" t="s">
        <v>6</v>
      </c>
      <c r="AA194" s="40" t="s">
        <v>6</v>
      </c>
      <c r="AB194" s="204"/>
      <c r="AC194" s="40"/>
      <c r="AD194" s="232" t="s">
        <v>545</v>
      </c>
      <c r="AE194" s="204" t="s">
        <v>133</v>
      </c>
      <c r="AF194" s="40"/>
      <c r="AG194" s="40"/>
      <c r="AH194" s="40" t="s">
        <v>6</v>
      </c>
      <c r="AI194" s="40" t="s">
        <v>6</v>
      </c>
      <c r="AJ194" s="204"/>
      <c r="AK194" s="40"/>
      <c r="AL194" s="232" t="s">
        <v>545</v>
      </c>
      <c r="AM194" s="198" t="s">
        <v>546</v>
      </c>
      <c r="AN194" s="40"/>
      <c r="AO194" s="198"/>
      <c r="AP194" s="198"/>
      <c r="AQ194" s="198"/>
      <c r="AR194" s="198"/>
      <c r="AS194" s="198"/>
      <c r="AT194" s="198"/>
      <c r="AU194" s="198"/>
      <c r="AV194" s="232"/>
      <c r="AW194" s="155"/>
    </row>
    <row r="195" spans="1:49" s="236" customFormat="1" ht="15">
      <c r="A195" s="40">
        <f t="shared" si="16"/>
        <v>189</v>
      </c>
      <c r="B195" s="38"/>
      <c r="C195" s="41"/>
      <c r="D195" s="232"/>
      <c r="E195" s="232"/>
      <c r="F195" s="232"/>
      <c r="G195" s="232"/>
      <c r="H195" s="40"/>
      <c r="I195" s="40"/>
      <c r="J195" s="215" t="s">
        <v>3633</v>
      </c>
      <c r="K195" s="204" t="s">
        <v>117</v>
      </c>
      <c r="L195" s="204" t="s">
        <v>3634</v>
      </c>
      <c r="M195" s="204"/>
      <c r="N195" s="40" t="s">
        <v>504</v>
      </c>
      <c r="O195" s="40"/>
      <c r="P195" s="40"/>
      <c r="Q195" s="40"/>
      <c r="R195" s="40" t="s">
        <v>6</v>
      </c>
      <c r="S195" s="40" t="s">
        <v>6</v>
      </c>
      <c r="T195" s="126"/>
      <c r="U195" s="204"/>
      <c r="V195" s="204"/>
      <c r="W195" s="204" t="s">
        <v>133</v>
      </c>
      <c r="X195" s="40"/>
      <c r="Y195" s="40"/>
      <c r="Z195" s="40" t="s">
        <v>6</v>
      </c>
      <c r="AA195" s="40" t="s">
        <v>6</v>
      </c>
      <c r="AB195" s="204"/>
      <c r="AC195" s="40"/>
      <c r="AD195" s="232" t="s">
        <v>545</v>
      </c>
      <c r="AE195" s="204" t="s">
        <v>133</v>
      </c>
      <c r="AF195" s="40"/>
      <c r="AG195" s="40"/>
      <c r="AH195" s="40" t="s">
        <v>6</v>
      </c>
      <c r="AI195" s="40" t="s">
        <v>6</v>
      </c>
      <c r="AJ195" s="204"/>
      <c r="AK195" s="40"/>
      <c r="AL195" s="232" t="s">
        <v>545</v>
      </c>
      <c r="AM195" s="198"/>
      <c r="AN195" s="40"/>
      <c r="AO195" s="198"/>
      <c r="AP195" s="198"/>
      <c r="AQ195" s="198"/>
      <c r="AR195" s="198"/>
      <c r="AS195" s="198"/>
      <c r="AT195" s="198"/>
      <c r="AU195" s="198"/>
      <c r="AV195" s="232"/>
      <c r="AW195" s="155"/>
    </row>
    <row r="196" spans="1:49" s="236" customFormat="1" ht="15">
      <c r="A196" s="40">
        <f t="shared" si="16"/>
        <v>190</v>
      </c>
      <c r="B196" s="38"/>
      <c r="C196" s="41"/>
      <c r="D196" s="232"/>
      <c r="E196" s="232"/>
      <c r="F196" s="232"/>
      <c r="G196" s="232"/>
      <c r="H196" s="40"/>
      <c r="I196" s="40"/>
      <c r="J196" s="215" t="s">
        <v>3635</v>
      </c>
      <c r="K196" s="204" t="s">
        <v>132</v>
      </c>
      <c r="L196" s="215" t="s">
        <v>3636</v>
      </c>
      <c r="M196" s="204" t="s">
        <v>3560</v>
      </c>
      <c r="N196" s="40" t="s">
        <v>504</v>
      </c>
      <c r="O196" s="40"/>
      <c r="P196" s="40"/>
      <c r="Q196" s="40" t="s">
        <v>6</v>
      </c>
      <c r="R196" s="40" t="s">
        <v>6</v>
      </c>
      <c r="S196" s="40" t="s">
        <v>6</v>
      </c>
      <c r="T196" s="126"/>
      <c r="U196" s="204" t="s">
        <v>525</v>
      </c>
      <c r="V196" s="204"/>
      <c r="W196" s="204" t="s">
        <v>133</v>
      </c>
      <c r="X196" s="198"/>
      <c r="Y196" s="40"/>
      <c r="Z196" s="40" t="s">
        <v>6</v>
      </c>
      <c r="AA196" s="40" t="s">
        <v>6</v>
      </c>
      <c r="AB196" s="204"/>
      <c r="AC196" s="40"/>
      <c r="AD196" s="232" t="s">
        <v>545</v>
      </c>
      <c r="AE196" s="204" t="s">
        <v>133</v>
      </c>
      <c r="AF196" s="198"/>
      <c r="AG196" s="40"/>
      <c r="AH196" s="40" t="s">
        <v>6</v>
      </c>
      <c r="AI196" s="40" t="s">
        <v>6</v>
      </c>
      <c r="AJ196" s="204"/>
      <c r="AK196" s="40"/>
      <c r="AL196" s="232" t="s">
        <v>545</v>
      </c>
      <c r="AM196" s="198" t="s">
        <v>549</v>
      </c>
      <c r="AN196" s="232"/>
      <c r="AO196" s="40"/>
      <c r="AP196" s="40"/>
      <c r="AQ196" s="40"/>
      <c r="AR196" s="40"/>
      <c r="AS196" s="40"/>
      <c r="AT196" s="40"/>
      <c r="AU196" s="198"/>
      <c r="AV196" s="198"/>
      <c r="AW196" s="155"/>
    </row>
    <row r="197" spans="1:49" s="236" customFormat="1" ht="15">
      <c r="A197" s="40">
        <f t="shared" si="16"/>
        <v>191</v>
      </c>
      <c r="B197" s="38"/>
      <c r="C197" s="41"/>
      <c r="D197" s="232"/>
      <c r="E197" s="232"/>
      <c r="F197" s="232"/>
      <c r="G197" s="232"/>
      <c r="H197" s="40"/>
      <c r="I197" s="40"/>
      <c r="J197" s="215" t="s">
        <v>3637</v>
      </c>
      <c r="K197" s="204" t="s">
        <v>117</v>
      </c>
      <c r="L197" s="204" t="s">
        <v>3638</v>
      </c>
      <c r="M197" s="204"/>
      <c r="N197" s="40" t="s">
        <v>504</v>
      </c>
      <c r="O197" s="40"/>
      <c r="P197" s="40"/>
      <c r="Q197" s="40"/>
      <c r="R197" s="40" t="s">
        <v>6</v>
      </c>
      <c r="S197" s="40" t="s">
        <v>6</v>
      </c>
      <c r="T197" s="126"/>
      <c r="U197" s="204"/>
      <c r="V197" s="204"/>
      <c r="W197" s="204" t="s">
        <v>133</v>
      </c>
      <c r="X197" s="198"/>
      <c r="Y197" s="40"/>
      <c r="Z197" s="40" t="s">
        <v>6</v>
      </c>
      <c r="AA197" s="40" t="s">
        <v>6</v>
      </c>
      <c r="AB197" s="204"/>
      <c r="AC197" s="40"/>
      <c r="AD197" s="232" t="s">
        <v>545</v>
      </c>
      <c r="AE197" s="204" t="s">
        <v>133</v>
      </c>
      <c r="AF197" s="198"/>
      <c r="AG197" s="40"/>
      <c r="AH197" s="40" t="s">
        <v>6</v>
      </c>
      <c r="AI197" s="40" t="s">
        <v>6</v>
      </c>
      <c r="AJ197" s="204"/>
      <c r="AK197" s="40"/>
      <c r="AL197" s="232" t="s">
        <v>545</v>
      </c>
      <c r="AM197" s="198"/>
      <c r="AN197" s="232"/>
      <c r="AO197" s="40"/>
      <c r="AP197" s="40"/>
      <c r="AQ197" s="40"/>
      <c r="AR197" s="40"/>
      <c r="AS197" s="40"/>
      <c r="AT197" s="40"/>
      <c r="AU197" s="198"/>
      <c r="AV197" s="198"/>
      <c r="AW197" s="155"/>
    </row>
    <row r="198" spans="1:49" s="236" customFormat="1" ht="15">
      <c r="A198" s="40">
        <f t="shared" si="16"/>
        <v>192</v>
      </c>
      <c r="B198" s="232"/>
      <c r="C198" s="41"/>
      <c r="D198" s="232"/>
      <c r="E198" s="232"/>
      <c r="F198" s="232"/>
      <c r="G198" s="232"/>
      <c r="H198" s="40"/>
      <c r="I198" s="40"/>
      <c r="J198" s="215" t="s">
        <v>3639</v>
      </c>
      <c r="K198" s="204" t="s">
        <v>132</v>
      </c>
      <c r="L198" s="215" t="s">
        <v>3640</v>
      </c>
      <c r="M198" s="204" t="s">
        <v>3560</v>
      </c>
      <c r="N198" s="40" t="s">
        <v>504</v>
      </c>
      <c r="O198" s="40"/>
      <c r="P198" s="40"/>
      <c r="Q198" s="40" t="s">
        <v>6</v>
      </c>
      <c r="R198" s="40" t="s">
        <v>6</v>
      </c>
      <c r="S198" s="40" t="s">
        <v>6</v>
      </c>
      <c r="T198" s="126"/>
      <c r="U198" s="204" t="s">
        <v>525</v>
      </c>
      <c r="V198" s="204"/>
      <c r="W198" s="204" t="s">
        <v>133</v>
      </c>
      <c r="X198" s="40"/>
      <c r="Y198" s="40"/>
      <c r="Z198" s="40" t="s">
        <v>6</v>
      </c>
      <c r="AA198" s="40" t="s">
        <v>6</v>
      </c>
      <c r="AB198" s="204"/>
      <c r="AC198" s="40"/>
      <c r="AD198" s="232" t="s">
        <v>545</v>
      </c>
      <c r="AE198" s="204" t="s">
        <v>133</v>
      </c>
      <c r="AF198" s="40"/>
      <c r="AG198" s="40"/>
      <c r="AH198" s="40" t="s">
        <v>6</v>
      </c>
      <c r="AI198" s="40" t="s">
        <v>6</v>
      </c>
      <c r="AJ198" s="204"/>
      <c r="AK198" s="40"/>
      <c r="AL198" s="232" t="s">
        <v>545</v>
      </c>
      <c r="AM198" s="198" t="s">
        <v>552</v>
      </c>
      <c r="AN198" s="232"/>
      <c r="AO198" s="198"/>
      <c r="AP198" s="198"/>
      <c r="AQ198" s="198"/>
      <c r="AR198" s="198"/>
      <c r="AS198" s="198"/>
      <c r="AT198" s="198"/>
      <c r="AU198" s="198"/>
      <c r="AV198" s="198"/>
      <c r="AW198" s="155"/>
    </row>
    <row r="199" spans="1:49" s="236" customFormat="1" ht="15">
      <c r="A199" s="40">
        <f t="shared" si="16"/>
        <v>193</v>
      </c>
      <c r="B199" s="232"/>
      <c r="C199" s="41"/>
      <c r="D199" s="232"/>
      <c r="E199" s="232"/>
      <c r="F199" s="232"/>
      <c r="G199" s="232"/>
      <c r="H199" s="40"/>
      <c r="I199" s="40"/>
      <c r="J199" s="215" t="s">
        <v>3641</v>
      </c>
      <c r="K199" s="204" t="s">
        <v>117</v>
      </c>
      <c r="L199" s="204" t="s">
        <v>3642</v>
      </c>
      <c r="M199" s="204"/>
      <c r="N199" s="40" t="s">
        <v>504</v>
      </c>
      <c r="O199" s="40"/>
      <c r="P199" s="40"/>
      <c r="Q199" s="40"/>
      <c r="R199" s="40" t="s">
        <v>6</v>
      </c>
      <c r="S199" s="40" t="s">
        <v>6</v>
      </c>
      <c r="T199" s="126"/>
      <c r="U199" s="204"/>
      <c r="V199" s="204"/>
      <c r="W199" s="204" t="s">
        <v>133</v>
      </c>
      <c r="X199" s="40"/>
      <c r="Y199" s="40"/>
      <c r="Z199" s="40" t="s">
        <v>6</v>
      </c>
      <c r="AA199" s="40" t="s">
        <v>6</v>
      </c>
      <c r="AB199" s="204"/>
      <c r="AC199" s="40"/>
      <c r="AD199" s="232" t="s">
        <v>545</v>
      </c>
      <c r="AE199" s="204" t="s">
        <v>133</v>
      </c>
      <c r="AF199" s="40"/>
      <c r="AG199" s="40"/>
      <c r="AH199" s="40" t="s">
        <v>6</v>
      </c>
      <c r="AI199" s="40" t="s">
        <v>6</v>
      </c>
      <c r="AJ199" s="204"/>
      <c r="AK199" s="40"/>
      <c r="AL199" s="232" t="s">
        <v>545</v>
      </c>
      <c r="AM199" s="198"/>
      <c r="AN199" s="232"/>
      <c r="AO199" s="198"/>
      <c r="AP199" s="198"/>
      <c r="AQ199" s="198"/>
      <c r="AR199" s="198"/>
      <c r="AS199" s="198"/>
      <c r="AT199" s="198"/>
      <c r="AU199" s="198"/>
      <c r="AV199" s="198"/>
      <c r="AW199" s="155"/>
    </row>
    <row r="200" spans="1:49" s="236" customFormat="1" ht="15">
      <c r="A200" s="40">
        <f t="shared" ref="A200:A263" si="17">ROW() - 6</f>
        <v>194</v>
      </c>
      <c r="B200" s="232"/>
      <c r="C200" s="41"/>
      <c r="D200" s="232"/>
      <c r="E200" s="232"/>
      <c r="F200" s="232"/>
      <c r="G200" s="232"/>
      <c r="H200" s="40"/>
      <c r="I200" s="40"/>
      <c r="J200" s="215" t="s">
        <v>3643</v>
      </c>
      <c r="K200" s="204" t="s">
        <v>132</v>
      </c>
      <c r="L200" s="215" t="s">
        <v>3644</v>
      </c>
      <c r="M200" s="204" t="s">
        <v>3560</v>
      </c>
      <c r="N200" s="40" t="s">
        <v>504</v>
      </c>
      <c r="O200" s="40"/>
      <c r="P200" s="40"/>
      <c r="Q200" s="40" t="s">
        <v>6</v>
      </c>
      <c r="R200" s="40" t="s">
        <v>6</v>
      </c>
      <c r="S200" s="40" t="s">
        <v>6</v>
      </c>
      <c r="T200" s="126"/>
      <c r="U200" s="204" t="s">
        <v>525</v>
      </c>
      <c r="V200" s="204"/>
      <c r="W200" s="204" t="s">
        <v>133</v>
      </c>
      <c r="X200" s="40"/>
      <c r="Y200" s="40"/>
      <c r="Z200" s="40" t="s">
        <v>6</v>
      </c>
      <c r="AA200" s="40" t="s">
        <v>6</v>
      </c>
      <c r="AB200" s="204"/>
      <c r="AC200" s="40"/>
      <c r="AD200" s="40"/>
      <c r="AE200" s="204" t="s">
        <v>133</v>
      </c>
      <c r="AF200" s="40"/>
      <c r="AG200" s="40"/>
      <c r="AH200" s="40" t="s">
        <v>6</v>
      </c>
      <c r="AI200" s="40" t="s">
        <v>6</v>
      </c>
      <c r="AJ200" s="204"/>
      <c r="AK200" s="40"/>
      <c r="AL200" s="40"/>
      <c r="AM200" s="198"/>
      <c r="AN200" s="40"/>
      <c r="AO200" s="198"/>
      <c r="AP200" s="198"/>
      <c r="AQ200" s="198"/>
      <c r="AR200" s="198"/>
      <c r="AS200" s="198"/>
      <c r="AT200" s="198"/>
      <c r="AU200" s="198"/>
      <c r="AV200" s="232"/>
      <c r="AW200" s="155"/>
    </row>
    <row r="201" spans="1:49" s="236" customFormat="1" ht="15">
      <c r="A201" s="40">
        <f t="shared" si="17"/>
        <v>195</v>
      </c>
      <c r="B201" s="232"/>
      <c r="C201" s="41"/>
      <c r="D201" s="232"/>
      <c r="E201" s="232"/>
      <c r="F201" s="232"/>
      <c r="G201" s="232"/>
      <c r="H201" s="40"/>
      <c r="I201" s="40"/>
      <c r="J201" s="215" t="s">
        <v>3645</v>
      </c>
      <c r="K201" s="204" t="s">
        <v>117</v>
      </c>
      <c r="L201" s="204" t="s">
        <v>3646</v>
      </c>
      <c r="M201" s="204"/>
      <c r="N201" s="40" t="s">
        <v>504</v>
      </c>
      <c r="O201" s="40"/>
      <c r="P201" s="40"/>
      <c r="Q201" s="40"/>
      <c r="R201" s="40" t="s">
        <v>6</v>
      </c>
      <c r="S201" s="40" t="s">
        <v>6</v>
      </c>
      <c r="T201" s="126"/>
      <c r="U201" s="204"/>
      <c r="V201" s="204"/>
      <c r="W201" s="204" t="s">
        <v>133</v>
      </c>
      <c r="X201" s="40"/>
      <c r="Y201" s="40"/>
      <c r="Z201" s="40" t="s">
        <v>6</v>
      </c>
      <c r="AA201" s="40" t="s">
        <v>6</v>
      </c>
      <c r="AB201" s="204"/>
      <c r="AC201" s="40"/>
      <c r="AD201" s="40"/>
      <c r="AE201" s="204" t="s">
        <v>133</v>
      </c>
      <c r="AF201" s="40"/>
      <c r="AG201" s="40"/>
      <c r="AH201" s="40" t="s">
        <v>6</v>
      </c>
      <c r="AI201" s="40" t="s">
        <v>6</v>
      </c>
      <c r="AJ201" s="204"/>
      <c r="AK201" s="40"/>
      <c r="AL201" s="40"/>
      <c r="AM201" s="198"/>
      <c r="AN201" s="40"/>
      <c r="AO201" s="198"/>
      <c r="AP201" s="198"/>
      <c r="AQ201" s="198"/>
      <c r="AR201" s="198"/>
      <c r="AS201" s="198"/>
      <c r="AT201" s="198"/>
      <c r="AU201" s="198"/>
      <c r="AV201" s="232"/>
      <c r="AW201" s="155"/>
    </row>
    <row r="202" spans="1:49" s="236" customFormat="1" ht="15">
      <c r="A202" s="40">
        <f t="shared" si="17"/>
        <v>196</v>
      </c>
      <c r="B202" s="199"/>
      <c r="C202" s="199"/>
      <c r="D202" s="199"/>
      <c r="E202" s="199"/>
      <c r="F202" s="199"/>
      <c r="G202" s="199"/>
      <c r="H202" s="199"/>
      <c r="I202" s="199"/>
      <c r="J202" s="215" t="s">
        <v>3647</v>
      </c>
      <c r="K202" s="204" t="s">
        <v>128</v>
      </c>
      <c r="L202" s="204" t="s">
        <v>3648</v>
      </c>
      <c r="M202" s="204"/>
      <c r="N202" s="40" t="s">
        <v>504</v>
      </c>
      <c r="O202" s="40"/>
      <c r="P202" s="40"/>
      <c r="Q202" s="40" t="s">
        <v>6</v>
      </c>
      <c r="R202" s="40" t="s">
        <v>6</v>
      </c>
      <c r="S202" s="40" t="s">
        <v>6</v>
      </c>
      <c r="T202" s="126"/>
      <c r="U202" s="204"/>
      <c r="V202" s="204"/>
      <c r="W202" s="204" t="s">
        <v>128</v>
      </c>
      <c r="X202" s="40"/>
      <c r="Y202" s="40"/>
      <c r="Z202" s="40" t="s">
        <v>6</v>
      </c>
      <c r="AA202" s="40" t="s">
        <v>6</v>
      </c>
      <c r="AB202" s="204"/>
      <c r="AC202" s="40"/>
      <c r="AD202" s="40"/>
      <c r="AE202" s="204" t="s">
        <v>128</v>
      </c>
      <c r="AF202" s="40"/>
      <c r="AG202" s="40"/>
      <c r="AH202" s="40" t="s">
        <v>6</v>
      </c>
      <c r="AI202" s="40" t="s">
        <v>6</v>
      </c>
      <c r="AJ202" s="204"/>
      <c r="AK202" s="40"/>
      <c r="AL202" s="40"/>
      <c r="AM202" s="198"/>
      <c r="AN202" s="40"/>
      <c r="AO202" s="198"/>
      <c r="AP202" s="198"/>
      <c r="AQ202" s="198"/>
      <c r="AR202" s="198"/>
      <c r="AS202" s="198"/>
      <c r="AT202" s="198"/>
      <c r="AU202" s="198"/>
      <c r="AV202" s="198"/>
      <c r="AW202" s="155"/>
    </row>
    <row r="203" spans="1:49" s="236" customFormat="1" ht="15">
      <c r="A203" s="40">
        <f t="shared" si="17"/>
        <v>197</v>
      </c>
      <c r="B203" s="199"/>
      <c r="C203" s="199"/>
      <c r="D203" s="199"/>
      <c r="E203" s="199"/>
      <c r="F203" s="199"/>
      <c r="G203" s="199"/>
      <c r="H203" s="199"/>
      <c r="I203" s="199"/>
      <c r="J203" s="215" t="s">
        <v>3649</v>
      </c>
      <c r="K203" s="204" t="s">
        <v>128</v>
      </c>
      <c r="L203" s="204" t="s">
        <v>3650</v>
      </c>
      <c r="M203" s="204"/>
      <c r="N203" s="40" t="s">
        <v>504</v>
      </c>
      <c r="O203" s="40"/>
      <c r="P203" s="40"/>
      <c r="Q203" s="40" t="s">
        <v>6</v>
      </c>
      <c r="R203" s="40" t="s">
        <v>6</v>
      </c>
      <c r="S203" s="40" t="s">
        <v>6</v>
      </c>
      <c r="T203" s="126"/>
      <c r="U203" s="204" t="s">
        <v>560</v>
      </c>
      <c r="V203" s="204"/>
      <c r="W203" s="204" t="s">
        <v>128</v>
      </c>
      <c r="X203" s="40"/>
      <c r="Y203" s="40"/>
      <c r="Z203" s="40" t="s">
        <v>6</v>
      </c>
      <c r="AA203" s="40" t="s">
        <v>6</v>
      </c>
      <c r="AB203" s="198"/>
      <c r="AC203" s="40"/>
      <c r="AD203" s="40"/>
      <c r="AE203" s="204" t="s">
        <v>128</v>
      </c>
      <c r="AF203" s="40"/>
      <c r="AG203" s="40"/>
      <c r="AH203" s="40" t="s">
        <v>6</v>
      </c>
      <c r="AI203" s="40" t="s">
        <v>6</v>
      </c>
      <c r="AJ203" s="198"/>
      <c r="AK203" s="40"/>
      <c r="AL203" s="40"/>
      <c r="AM203" s="198"/>
      <c r="AN203" s="40"/>
      <c r="AO203" s="198"/>
      <c r="AP203" s="198"/>
      <c r="AQ203" s="198"/>
      <c r="AR203" s="198"/>
      <c r="AS203" s="198"/>
      <c r="AT203" s="198"/>
      <c r="AU203" s="198"/>
      <c r="AV203" s="198"/>
      <c r="AW203" s="155"/>
    </row>
    <row r="204" spans="1:49" s="236" customFormat="1" ht="15">
      <c r="A204" s="40">
        <f t="shared" si="17"/>
        <v>198</v>
      </c>
      <c r="B204" s="199"/>
      <c r="C204" s="199"/>
      <c r="D204" s="199"/>
      <c r="E204" s="199"/>
      <c r="F204" s="199"/>
      <c r="G204" s="199"/>
      <c r="H204" s="199"/>
      <c r="I204" s="199"/>
      <c r="J204" s="215" t="s">
        <v>3651</v>
      </c>
      <c r="K204" s="204" t="s">
        <v>128</v>
      </c>
      <c r="L204" s="204" t="s">
        <v>3652</v>
      </c>
      <c r="M204" s="204"/>
      <c r="N204" s="40" t="s">
        <v>504</v>
      </c>
      <c r="O204" s="199"/>
      <c r="P204" s="199"/>
      <c r="Q204" s="40" t="s">
        <v>6</v>
      </c>
      <c r="R204" s="40" t="s">
        <v>6</v>
      </c>
      <c r="S204" s="40" t="s">
        <v>6</v>
      </c>
      <c r="T204" s="126"/>
      <c r="U204" s="204" t="s">
        <v>560</v>
      </c>
      <c r="V204" s="204"/>
      <c r="W204" s="204" t="s">
        <v>128</v>
      </c>
      <c r="X204" s="199"/>
      <c r="Y204" s="199"/>
      <c r="Z204" s="40" t="s">
        <v>6</v>
      </c>
      <c r="AA204" s="40" t="s">
        <v>6</v>
      </c>
      <c r="AB204" s="198"/>
      <c r="AC204" s="199"/>
      <c r="AD204" s="199"/>
      <c r="AE204" s="204" t="s">
        <v>128</v>
      </c>
      <c r="AF204" s="199"/>
      <c r="AG204" s="199"/>
      <c r="AH204" s="40" t="s">
        <v>6</v>
      </c>
      <c r="AI204" s="40" t="s">
        <v>6</v>
      </c>
      <c r="AJ204" s="198"/>
      <c r="AK204" s="199"/>
      <c r="AL204" s="199"/>
      <c r="AM204" s="198"/>
      <c r="AN204" s="199"/>
      <c r="AO204" s="199"/>
      <c r="AP204" s="199"/>
      <c r="AQ204" s="199"/>
      <c r="AR204" s="199"/>
      <c r="AS204" s="199"/>
      <c r="AT204" s="199"/>
      <c r="AU204" s="199"/>
      <c r="AV204" s="199"/>
      <c r="AW204" s="155"/>
    </row>
    <row r="205" spans="1:49" s="236" customFormat="1" ht="15">
      <c r="A205" s="40">
        <f t="shared" si="17"/>
        <v>199</v>
      </c>
      <c r="B205" s="199"/>
      <c r="C205" s="199"/>
      <c r="D205" s="199"/>
      <c r="E205" s="199"/>
      <c r="F205" s="199"/>
      <c r="G205" s="199"/>
      <c r="H205" s="199"/>
      <c r="I205" s="199"/>
      <c r="J205" s="215" t="s">
        <v>3653</v>
      </c>
      <c r="K205" s="204" t="s">
        <v>125</v>
      </c>
      <c r="L205" s="204" t="s">
        <v>3654</v>
      </c>
      <c r="M205" s="204"/>
      <c r="N205" s="40" t="s">
        <v>504</v>
      </c>
      <c r="O205" s="199"/>
      <c r="P205" s="199"/>
      <c r="Q205" s="40"/>
      <c r="R205" s="40"/>
      <c r="S205" s="40" t="s">
        <v>6</v>
      </c>
      <c r="T205" s="126"/>
      <c r="U205" s="204"/>
      <c r="V205" s="204"/>
      <c r="W205" s="204" t="s">
        <v>125</v>
      </c>
      <c r="X205" s="199"/>
      <c r="Y205" s="199"/>
      <c r="Z205" s="40"/>
      <c r="AA205" s="40" t="s">
        <v>6</v>
      </c>
      <c r="AB205" s="204"/>
      <c r="AC205" s="199"/>
      <c r="AD205" s="199"/>
      <c r="AE205" s="204" t="s">
        <v>125</v>
      </c>
      <c r="AF205" s="199"/>
      <c r="AG205" s="199"/>
      <c r="AH205" s="126"/>
      <c r="AI205" s="40" t="s">
        <v>6</v>
      </c>
      <c r="AJ205" s="204"/>
      <c r="AK205" s="199"/>
      <c r="AL205" s="199"/>
      <c r="AM205" s="198" t="s">
        <v>565</v>
      </c>
      <c r="AN205" s="412" t="s">
        <v>505</v>
      </c>
      <c r="AO205" s="199"/>
      <c r="AP205" s="199"/>
      <c r="AQ205" s="199"/>
      <c r="AR205" s="199"/>
      <c r="AS205" s="199"/>
      <c r="AT205" s="199"/>
      <c r="AU205" s="199"/>
      <c r="AV205" s="199"/>
      <c r="AW205" s="155"/>
    </row>
    <row r="206" spans="1:49" s="236" customFormat="1" ht="52.8">
      <c r="A206" s="40">
        <f t="shared" si="17"/>
        <v>200</v>
      </c>
      <c r="B206" s="199"/>
      <c r="C206" s="199"/>
      <c r="D206" s="199"/>
      <c r="E206" s="199"/>
      <c r="F206" s="199"/>
      <c r="G206" s="199"/>
      <c r="H206" s="199"/>
      <c r="I206" s="199"/>
      <c r="J206" s="215" t="s">
        <v>3655</v>
      </c>
      <c r="K206" s="204" t="s">
        <v>128</v>
      </c>
      <c r="L206" s="204" t="s">
        <v>3656</v>
      </c>
      <c r="M206" s="204"/>
      <c r="N206" s="40" t="s">
        <v>504</v>
      </c>
      <c r="O206" s="199"/>
      <c r="P206" s="199"/>
      <c r="Q206" s="40" t="s">
        <v>6</v>
      </c>
      <c r="R206" s="40" t="s">
        <v>6</v>
      </c>
      <c r="S206" s="40" t="s">
        <v>6</v>
      </c>
      <c r="T206" s="126"/>
      <c r="U206" s="204"/>
      <c r="V206" s="204"/>
      <c r="W206" s="204" t="s">
        <v>128</v>
      </c>
      <c r="X206" s="199"/>
      <c r="Y206" s="199"/>
      <c r="Z206" s="40" t="s">
        <v>6</v>
      </c>
      <c r="AA206" s="40" t="s">
        <v>6</v>
      </c>
      <c r="AB206" s="204" t="s">
        <v>568</v>
      </c>
      <c r="AC206" s="199"/>
      <c r="AD206" s="199"/>
      <c r="AE206" s="204" t="s">
        <v>128</v>
      </c>
      <c r="AF206" s="199"/>
      <c r="AG206" s="199"/>
      <c r="AH206" s="40" t="s">
        <v>6</v>
      </c>
      <c r="AI206" s="40" t="s">
        <v>6</v>
      </c>
      <c r="AJ206" s="204" t="s">
        <v>568</v>
      </c>
      <c r="AK206" s="199"/>
      <c r="AL206" s="199"/>
      <c r="AM206" s="199"/>
      <c r="AN206" s="199"/>
      <c r="AO206" s="199"/>
      <c r="AP206" s="199"/>
      <c r="AQ206" s="199"/>
      <c r="AR206" s="199"/>
      <c r="AS206" s="199"/>
      <c r="AT206" s="199"/>
      <c r="AU206" s="199"/>
      <c r="AV206" s="199"/>
      <c r="AW206" s="155"/>
    </row>
    <row r="207" spans="1:49" s="236" customFormat="1" ht="15">
      <c r="A207" s="40">
        <f t="shared" si="17"/>
        <v>201</v>
      </c>
      <c r="B207" s="199"/>
      <c r="C207" s="199"/>
      <c r="D207" s="199"/>
      <c r="E207" s="199"/>
      <c r="F207" s="199"/>
      <c r="G207" s="199"/>
      <c r="H207" s="199"/>
      <c r="I207" s="199"/>
      <c r="J207" s="215" t="s">
        <v>3657</v>
      </c>
      <c r="K207" s="204" t="s">
        <v>128</v>
      </c>
      <c r="L207" s="204" t="s">
        <v>3658</v>
      </c>
      <c r="M207" s="204"/>
      <c r="N207" s="40" t="s">
        <v>504</v>
      </c>
      <c r="O207" s="199"/>
      <c r="P207" s="199"/>
      <c r="Q207" s="40" t="s">
        <v>6</v>
      </c>
      <c r="R207" s="40" t="s">
        <v>6</v>
      </c>
      <c r="S207" s="40" t="s">
        <v>6</v>
      </c>
      <c r="T207" s="126"/>
      <c r="U207" s="204" t="s">
        <v>3659</v>
      </c>
      <c r="V207" s="204"/>
      <c r="W207" s="204" t="s">
        <v>128</v>
      </c>
      <c r="X207" s="199"/>
      <c r="Y207" s="199"/>
      <c r="Z207" s="40" t="s">
        <v>6</v>
      </c>
      <c r="AA207" s="40" t="s">
        <v>6</v>
      </c>
      <c r="AB207" s="198"/>
      <c r="AC207" s="199"/>
      <c r="AD207" s="199"/>
      <c r="AE207" s="204" t="s">
        <v>128</v>
      </c>
      <c r="AF207" s="199"/>
      <c r="AG207" s="199"/>
      <c r="AH207" s="40" t="s">
        <v>6</v>
      </c>
      <c r="AI207" s="40" t="s">
        <v>6</v>
      </c>
      <c r="AJ207" s="198"/>
      <c r="AK207" s="199"/>
      <c r="AL207" s="199"/>
      <c r="AM207" s="199"/>
      <c r="AN207" s="199"/>
      <c r="AO207" s="199"/>
      <c r="AP207" s="199"/>
      <c r="AQ207" s="199"/>
      <c r="AR207" s="199"/>
      <c r="AS207" s="199"/>
      <c r="AT207" s="199"/>
      <c r="AU207" s="199"/>
      <c r="AV207" s="199"/>
      <c r="AW207" s="155"/>
    </row>
    <row r="208" spans="1:49" s="236" customFormat="1" ht="15">
      <c r="A208" s="40">
        <f t="shared" si="17"/>
        <v>202</v>
      </c>
      <c r="B208" s="199"/>
      <c r="C208" s="199"/>
      <c r="D208" s="199"/>
      <c r="E208" s="199"/>
      <c r="F208" s="199"/>
      <c r="G208" s="199"/>
      <c r="H208" s="199"/>
      <c r="I208" s="199"/>
      <c r="J208" s="215" t="s">
        <v>3660</v>
      </c>
      <c r="K208" s="204" t="s">
        <v>128</v>
      </c>
      <c r="L208" s="204" t="s">
        <v>3661</v>
      </c>
      <c r="M208" s="204"/>
      <c r="N208" s="40" t="s">
        <v>504</v>
      </c>
      <c r="O208" s="199"/>
      <c r="P208" s="199"/>
      <c r="Q208" s="40" t="s">
        <v>6</v>
      </c>
      <c r="R208" s="40" t="s">
        <v>6</v>
      </c>
      <c r="S208" s="40" t="s">
        <v>6</v>
      </c>
      <c r="T208" s="126"/>
      <c r="U208" s="204" t="s">
        <v>3659</v>
      </c>
      <c r="V208" s="204"/>
      <c r="W208" s="204" t="s">
        <v>128</v>
      </c>
      <c r="X208" s="199"/>
      <c r="Y208" s="199"/>
      <c r="Z208" s="40" t="s">
        <v>6</v>
      </c>
      <c r="AA208" s="40" t="s">
        <v>6</v>
      </c>
      <c r="AB208" s="198"/>
      <c r="AC208" s="199"/>
      <c r="AD208" s="199"/>
      <c r="AE208" s="204" t="s">
        <v>128</v>
      </c>
      <c r="AF208" s="199"/>
      <c r="AG208" s="199"/>
      <c r="AH208" s="40" t="s">
        <v>6</v>
      </c>
      <c r="AI208" s="40" t="s">
        <v>6</v>
      </c>
      <c r="AJ208" s="198"/>
      <c r="AK208" s="199"/>
      <c r="AL208" s="199"/>
      <c r="AM208" s="199"/>
      <c r="AN208" s="199"/>
      <c r="AO208" s="199"/>
      <c r="AP208" s="199"/>
      <c r="AQ208" s="199"/>
      <c r="AR208" s="199"/>
      <c r="AS208" s="199"/>
      <c r="AT208" s="199"/>
      <c r="AU208" s="199"/>
      <c r="AV208" s="199"/>
      <c r="AW208" s="155"/>
    </row>
    <row r="209" spans="1:49" s="236" customFormat="1" ht="15">
      <c r="A209" s="40">
        <f t="shared" si="17"/>
        <v>203</v>
      </c>
      <c r="B209" s="199"/>
      <c r="C209" s="199"/>
      <c r="D209" s="199"/>
      <c r="E209" s="199"/>
      <c r="F209" s="199"/>
      <c r="G209" s="199"/>
      <c r="H209" s="199"/>
      <c r="I209" s="199"/>
      <c r="J209" s="215" t="s">
        <v>3662</v>
      </c>
      <c r="K209" s="204" t="s">
        <v>128</v>
      </c>
      <c r="L209" s="204" t="s">
        <v>3663</v>
      </c>
      <c r="M209" s="204"/>
      <c r="N209" s="40" t="s">
        <v>504</v>
      </c>
      <c r="O209" s="199"/>
      <c r="P209" s="199"/>
      <c r="Q209" s="40" t="s">
        <v>6</v>
      </c>
      <c r="R209" s="40" t="s">
        <v>6</v>
      </c>
      <c r="S209" s="40" t="s">
        <v>6</v>
      </c>
      <c r="T209" s="126"/>
      <c r="U209" s="204" t="s">
        <v>3659</v>
      </c>
      <c r="V209" s="204"/>
      <c r="W209" s="204" t="s">
        <v>128</v>
      </c>
      <c r="X209" s="199"/>
      <c r="Y209" s="199"/>
      <c r="Z209" s="40" t="s">
        <v>6</v>
      </c>
      <c r="AA209" s="40" t="s">
        <v>6</v>
      </c>
      <c r="AB209" s="198"/>
      <c r="AC209" s="199"/>
      <c r="AD209" s="199"/>
      <c r="AE209" s="204" t="s">
        <v>128</v>
      </c>
      <c r="AF209" s="199"/>
      <c r="AG209" s="199"/>
      <c r="AH209" s="40" t="s">
        <v>6</v>
      </c>
      <c r="AI209" s="40" t="s">
        <v>6</v>
      </c>
      <c r="AJ209" s="198"/>
      <c r="AK209" s="199"/>
      <c r="AL209" s="199"/>
      <c r="AM209" s="199"/>
      <c r="AN209" s="199"/>
      <c r="AO209" s="199"/>
      <c r="AP209" s="199"/>
      <c r="AQ209" s="199"/>
      <c r="AR209" s="199"/>
      <c r="AS209" s="199"/>
      <c r="AT209" s="199"/>
      <c r="AU209" s="199"/>
      <c r="AV209" s="199"/>
      <c r="AW209" s="155"/>
    </row>
    <row r="210" spans="1:49" s="236" customFormat="1" ht="15">
      <c r="A210" s="40">
        <f t="shared" si="17"/>
        <v>204</v>
      </c>
      <c r="B210" s="199"/>
      <c r="C210" s="199"/>
      <c r="D210" s="199"/>
      <c r="E210" s="199"/>
      <c r="F210" s="199"/>
      <c r="G210" s="199"/>
      <c r="H210" s="199"/>
      <c r="I210" s="199"/>
      <c r="J210" s="215" t="s">
        <v>3664</v>
      </c>
      <c r="K210" s="204" t="s">
        <v>128</v>
      </c>
      <c r="L210" s="204" t="s">
        <v>3665</v>
      </c>
      <c r="M210" s="204"/>
      <c r="N210" s="40" t="s">
        <v>504</v>
      </c>
      <c r="O210" s="199"/>
      <c r="P210" s="199"/>
      <c r="Q210" s="40" t="s">
        <v>6</v>
      </c>
      <c r="R210" s="40" t="s">
        <v>6</v>
      </c>
      <c r="S210" s="40" t="s">
        <v>6</v>
      </c>
      <c r="T210" s="126"/>
      <c r="U210" s="204" t="s">
        <v>3659</v>
      </c>
      <c r="V210" s="204"/>
      <c r="W210" s="204" t="s">
        <v>128</v>
      </c>
      <c r="X210" s="199"/>
      <c r="Y210" s="199"/>
      <c r="Z210" s="40" t="s">
        <v>6</v>
      </c>
      <c r="AA210" s="40" t="s">
        <v>6</v>
      </c>
      <c r="AB210" s="198"/>
      <c r="AC210" s="199"/>
      <c r="AD210" s="199"/>
      <c r="AE210" s="204" t="s">
        <v>128</v>
      </c>
      <c r="AF210" s="199"/>
      <c r="AG210" s="199"/>
      <c r="AH210" s="40" t="s">
        <v>6</v>
      </c>
      <c r="AI210" s="40" t="s">
        <v>6</v>
      </c>
      <c r="AJ210" s="198"/>
      <c r="AK210" s="199"/>
      <c r="AL210" s="199"/>
      <c r="AM210" s="199"/>
      <c r="AN210" s="199"/>
      <c r="AO210" s="199"/>
      <c r="AP210" s="199"/>
      <c r="AQ210" s="199"/>
      <c r="AR210" s="199"/>
      <c r="AS210" s="199"/>
      <c r="AT210" s="199"/>
      <c r="AU210" s="199"/>
      <c r="AV210" s="199"/>
      <c r="AW210" s="155"/>
    </row>
    <row r="211" spans="1:49" s="236" customFormat="1" ht="15">
      <c r="A211" s="40">
        <f t="shared" si="17"/>
        <v>205</v>
      </c>
      <c r="B211" s="199"/>
      <c r="C211" s="199"/>
      <c r="D211" s="199"/>
      <c r="E211" s="199"/>
      <c r="F211" s="199"/>
      <c r="G211" s="199"/>
      <c r="H211" s="199"/>
      <c r="I211" s="199"/>
      <c r="J211" s="215" t="s">
        <v>3666</v>
      </c>
      <c r="K211" s="204" t="s">
        <v>140</v>
      </c>
      <c r="L211" s="204" t="s">
        <v>3667</v>
      </c>
      <c r="M211" s="204"/>
      <c r="N211" s="40" t="s">
        <v>504</v>
      </c>
      <c r="O211" s="199"/>
      <c r="P211" s="199"/>
      <c r="Q211" s="40" t="s">
        <v>6</v>
      </c>
      <c r="R211" s="40" t="s">
        <v>6</v>
      </c>
      <c r="S211" s="40" t="s">
        <v>6</v>
      </c>
      <c r="T211" s="126"/>
      <c r="U211" s="204" t="s">
        <v>3659</v>
      </c>
      <c r="V211" s="204"/>
      <c r="W211" s="204" t="s">
        <v>140</v>
      </c>
      <c r="X211" s="199"/>
      <c r="Y211" s="199"/>
      <c r="Z211" s="40" t="s">
        <v>6</v>
      </c>
      <c r="AA211" s="40" t="s">
        <v>6</v>
      </c>
      <c r="AB211" s="198"/>
      <c r="AC211" s="199"/>
      <c r="AD211" s="199"/>
      <c r="AE211" s="204" t="s">
        <v>140</v>
      </c>
      <c r="AF211" s="199"/>
      <c r="AG211" s="199"/>
      <c r="AH211" s="40" t="s">
        <v>6</v>
      </c>
      <c r="AI211" s="40" t="s">
        <v>6</v>
      </c>
      <c r="AJ211" s="198"/>
      <c r="AK211" s="199"/>
      <c r="AL211" s="199"/>
      <c r="AM211" s="199"/>
      <c r="AN211" s="199"/>
      <c r="AO211" s="199"/>
      <c r="AP211" s="199"/>
      <c r="AQ211" s="199"/>
      <c r="AR211" s="199"/>
      <c r="AS211" s="199"/>
      <c r="AT211" s="199"/>
      <c r="AU211" s="199"/>
      <c r="AV211" s="199"/>
      <c r="AW211" s="155"/>
    </row>
    <row r="212" spans="1:49" s="236" customFormat="1" ht="15">
      <c r="A212" s="40">
        <f t="shared" si="17"/>
        <v>206</v>
      </c>
      <c r="B212" s="199"/>
      <c r="C212" s="199"/>
      <c r="D212" s="199"/>
      <c r="E212" s="199"/>
      <c r="F212" s="199"/>
      <c r="G212" s="199"/>
      <c r="H212" s="199"/>
      <c r="I212" s="199"/>
      <c r="J212" s="215" t="s">
        <v>3668</v>
      </c>
      <c r="K212" s="204" t="s">
        <v>140</v>
      </c>
      <c r="L212" s="204" t="s">
        <v>3669</v>
      </c>
      <c r="M212" s="204"/>
      <c r="N212" s="40" t="s">
        <v>504</v>
      </c>
      <c r="O212" s="199"/>
      <c r="P212" s="199"/>
      <c r="Q212" s="40" t="s">
        <v>6</v>
      </c>
      <c r="R212" s="40" t="s">
        <v>6</v>
      </c>
      <c r="S212" s="40" t="s">
        <v>6</v>
      </c>
      <c r="T212" s="126"/>
      <c r="U212" s="204" t="s">
        <v>3659</v>
      </c>
      <c r="V212" s="204"/>
      <c r="W212" s="204" t="s">
        <v>140</v>
      </c>
      <c r="X212" s="199"/>
      <c r="Y212" s="199"/>
      <c r="Z212" s="40" t="s">
        <v>6</v>
      </c>
      <c r="AA212" s="40" t="s">
        <v>6</v>
      </c>
      <c r="AB212" s="198"/>
      <c r="AC212" s="199"/>
      <c r="AD212" s="199"/>
      <c r="AE212" s="204" t="s">
        <v>140</v>
      </c>
      <c r="AF212" s="199"/>
      <c r="AG212" s="199"/>
      <c r="AH212" s="40" t="s">
        <v>6</v>
      </c>
      <c r="AI212" s="40" t="s">
        <v>6</v>
      </c>
      <c r="AJ212" s="198"/>
      <c r="AK212" s="199"/>
      <c r="AL212" s="199"/>
      <c r="AM212" s="199"/>
      <c r="AN212" s="199"/>
      <c r="AO212" s="199"/>
      <c r="AP212" s="199"/>
      <c r="AQ212" s="199"/>
      <c r="AR212" s="199"/>
      <c r="AS212" s="199"/>
      <c r="AT212" s="199"/>
      <c r="AU212" s="199"/>
      <c r="AV212" s="199"/>
      <c r="AW212" s="155"/>
    </row>
    <row r="213" spans="1:49" s="236" customFormat="1" ht="15">
      <c r="A213" s="40">
        <f t="shared" si="17"/>
        <v>207</v>
      </c>
      <c r="B213" s="199"/>
      <c r="C213" s="199"/>
      <c r="D213" s="199"/>
      <c r="E213" s="199"/>
      <c r="F213" s="199"/>
      <c r="G213" s="199"/>
      <c r="H213" s="199"/>
      <c r="I213" s="199"/>
      <c r="J213" s="215" t="s">
        <v>3670</v>
      </c>
      <c r="K213" s="204" t="s">
        <v>140</v>
      </c>
      <c r="L213" s="204" t="s">
        <v>3671</v>
      </c>
      <c r="M213" s="204"/>
      <c r="N213" s="40" t="s">
        <v>504</v>
      </c>
      <c r="O213" s="199"/>
      <c r="P213" s="199"/>
      <c r="Q213" s="40" t="s">
        <v>6</v>
      </c>
      <c r="R213" s="40" t="s">
        <v>6</v>
      </c>
      <c r="S213" s="40" t="s">
        <v>6</v>
      </c>
      <c r="T213" s="126"/>
      <c r="U213" s="204" t="s">
        <v>3659</v>
      </c>
      <c r="V213" s="204"/>
      <c r="W213" s="204" t="s">
        <v>140</v>
      </c>
      <c r="X213" s="199"/>
      <c r="Y213" s="199"/>
      <c r="Z213" s="40" t="s">
        <v>6</v>
      </c>
      <c r="AA213" s="40" t="s">
        <v>6</v>
      </c>
      <c r="AB213" s="198"/>
      <c r="AC213" s="199"/>
      <c r="AD213" s="199"/>
      <c r="AE213" s="204" t="s">
        <v>140</v>
      </c>
      <c r="AF213" s="199"/>
      <c r="AG213" s="199"/>
      <c r="AH213" s="40" t="s">
        <v>6</v>
      </c>
      <c r="AI213" s="40" t="s">
        <v>6</v>
      </c>
      <c r="AJ213" s="198"/>
      <c r="AK213" s="199"/>
      <c r="AL213" s="199"/>
      <c r="AM213" s="199"/>
      <c r="AN213" s="199"/>
      <c r="AO213" s="199"/>
      <c r="AP213" s="199"/>
      <c r="AQ213" s="199"/>
      <c r="AR213" s="199"/>
      <c r="AS213" s="199"/>
      <c r="AT213" s="199"/>
      <c r="AU213" s="199"/>
      <c r="AV213" s="199"/>
      <c r="AW213" s="155"/>
    </row>
    <row r="214" spans="1:49" s="236" customFormat="1" ht="15">
      <c r="A214" s="40">
        <f t="shared" si="17"/>
        <v>208</v>
      </c>
      <c r="B214" s="199"/>
      <c r="C214" s="199"/>
      <c r="D214" s="199"/>
      <c r="E214" s="199"/>
      <c r="F214" s="199"/>
      <c r="G214" s="199"/>
      <c r="H214" s="199"/>
      <c r="I214" s="199"/>
      <c r="J214" s="215" t="s">
        <v>3672</v>
      </c>
      <c r="K214" s="204" t="s">
        <v>140</v>
      </c>
      <c r="L214" s="204" t="s">
        <v>3673</v>
      </c>
      <c r="M214" s="204"/>
      <c r="N214" s="40" t="s">
        <v>504</v>
      </c>
      <c r="O214" s="199"/>
      <c r="P214" s="199"/>
      <c r="Q214" s="40" t="s">
        <v>6</v>
      </c>
      <c r="R214" s="40" t="s">
        <v>6</v>
      </c>
      <c r="S214" s="40" t="s">
        <v>6</v>
      </c>
      <c r="T214" s="126"/>
      <c r="U214" s="204" t="s">
        <v>3659</v>
      </c>
      <c r="V214" s="204"/>
      <c r="W214" s="204" t="s">
        <v>140</v>
      </c>
      <c r="X214" s="199"/>
      <c r="Y214" s="199"/>
      <c r="Z214" s="40" t="s">
        <v>6</v>
      </c>
      <c r="AA214" s="40" t="s">
        <v>6</v>
      </c>
      <c r="AB214" s="198"/>
      <c r="AC214" s="199"/>
      <c r="AD214" s="199"/>
      <c r="AE214" s="204" t="s">
        <v>140</v>
      </c>
      <c r="AF214" s="199"/>
      <c r="AG214" s="199"/>
      <c r="AH214" s="40" t="s">
        <v>6</v>
      </c>
      <c r="AI214" s="40" t="s">
        <v>6</v>
      </c>
      <c r="AJ214" s="198"/>
      <c r="AK214" s="199"/>
      <c r="AL214" s="199"/>
      <c r="AM214" s="199"/>
      <c r="AN214" s="199"/>
      <c r="AO214" s="199"/>
      <c r="AP214" s="199"/>
      <c r="AQ214" s="199"/>
      <c r="AR214" s="199"/>
      <c r="AS214" s="199"/>
      <c r="AT214" s="199"/>
      <c r="AU214" s="199"/>
      <c r="AV214" s="199"/>
      <c r="AW214" s="155"/>
    </row>
    <row r="215" spans="1:49" s="236" customFormat="1" ht="15">
      <c r="A215" s="40">
        <f t="shared" si="17"/>
        <v>209</v>
      </c>
      <c r="B215" s="199"/>
      <c r="C215" s="199"/>
      <c r="D215" s="199"/>
      <c r="E215" s="199"/>
      <c r="F215" s="199"/>
      <c r="G215" s="199"/>
      <c r="H215" s="199"/>
      <c r="I215" s="199"/>
      <c r="J215" s="215" t="s">
        <v>3674</v>
      </c>
      <c r="K215" s="204" t="s">
        <v>140</v>
      </c>
      <c r="L215" s="204" t="s">
        <v>3675</v>
      </c>
      <c r="M215" s="204"/>
      <c r="N215" s="40" t="s">
        <v>504</v>
      </c>
      <c r="O215" s="199"/>
      <c r="P215" s="199"/>
      <c r="Q215" s="40" t="s">
        <v>6</v>
      </c>
      <c r="R215" s="40" t="s">
        <v>6</v>
      </c>
      <c r="S215" s="40" t="s">
        <v>6</v>
      </c>
      <c r="T215" s="126"/>
      <c r="U215" s="200"/>
      <c r="V215" s="204"/>
      <c r="W215" s="204" t="s">
        <v>140</v>
      </c>
      <c r="X215" s="199"/>
      <c r="Y215" s="199"/>
      <c r="Z215" s="40" t="s">
        <v>6</v>
      </c>
      <c r="AA215" s="40" t="s">
        <v>6</v>
      </c>
      <c r="AB215" s="204"/>
      <c r="AC215" s="199"/>
      <c r="AD215" s="199"/>
      <c r="AE215" s="204" t="s">
        <v>140</v>
      </c>
      <c r="AF215" s="199"/>
      <c r="AG215" s="199"/>
      <c r="AH215" s="40" t="s">
        <v>6</v>
      </c>
      <c r="AI215" s="40" t="s">
        <v>6</v>
      </c>
      <c r="AJ215" s="204"/>
      <c r="AK215" s="199"/>
      <c r="AL215" s="199"/>
      <c r="AM215" s="199"/>
      <c r="AN215" s="199"/>
      <c r="AO215" s="199"/>
      <c r="AP215" s="199"/>
      <c r="AQ215" s="199"/>
      <c r="AR215" s="199"/>
      <c r="AS215" s="199"/>
      <c r="AT215" s="199"/>
      <c r="AU215" s="199"/>
      <c r="AV215" s="199"/>
      <c r="AW215" s="155"/>
    </row>
    <row r="216" spans="1:49" s="236" customFormat="1" ht="15">
      <c r="A216" s="40">
        <f t="shared" si="17"/>
        <v>210</v>
      </c>
      <c r="B216" s="199"/>
      <c r="C216" s="199"/>
      <c r="D216" s="199"/>
      <c r="E216" s="199"/>
      <c r="F216" s="199"/>
      <c r="G216" s="199"/>
      <c r="H216" s="199"/>
      <c r="I216" s="199"/>
      <c r="J216" s="215" t="s">
        <v>3676</v>
      </c>
      <c r="K216" s="204" t="s">
        <v>140</v>
      </c>
      <c r="L216" s="204" t="s">
        <v>3677</v>
      </c>
      <c r="M216" s="204"/>
      <c r="N216" s="40" t="s">
        <v>504</v>
      </c>
      <c r="O216" s="199"/>
      <c r="P216" s="199"/>
      <c r="Q216" s="40" t="s">
        <v>6</v>
      </c>
      <c r="R216" s="40" t="s">
        <v>6</v>
      </c>
      <c r="S216" s="40" t="s">
        <v>6</v>
      </c>
      <c r="T216" s="126"/>
      <c r="U216" s="204"/>
      <c r="V216" s="204"/>
      <c r="W216" s="204" t="s">
        <v>140</v>
      </c>
      <c r="X216" s="199"/>
      <c r="Y216" s="199"/>
      <c r="Z216" s="40" t="s">
        <v>6</v>
      </c>
      <c r="AA216" s="40" t="s">
        <v>6</v>
      </c>
      <c r="AB216" s="204"/>
      <c r="AC216" s="199"/>
      <c r="AD216" s="199"/>
      <c r="AE216" s="204" t="s">
        <v>140</v>
      </c>
      <c r="AF216" s="199"/>
      <c r="AG216" s="199"/>
      <c r="AH216" s="40" t="s">
        <v>6</v>
      </c>
      <c r="AI216" s="40" t="s">
        <v>6</v>
      </c>
      <c r="AJ216" s="204"/>
      <c r="AK216" s="199"/>
      <c r="AL216" s="199"/>
      <c r="AM216" s="199"/>
      <c r="AN216" s="199"/>
      <c r="AO216" s="199"/>
      <c r="AP216" s="199"/>
      <c r="AQ216" s="199"/>
      <c r="AR216" s="199"/>
      <c r="AS216" s="199"/>
      <c r="AT216" s="199"/>
      <c r="AU216" s="199"/>
      <c r="AV216" s="199"/>
      <c r="AW216" s="155"/>
    </row>
    <row r="217" spans="1:49" s="236" customFormat="1" ht="26.4">
      <c r="A217" s="40">
        <f t="shared" si="17"/>
        <v>211</v>
      </c>
      <c r="B217" s="199"/>
      <c r="C217" s="199"/>
      <c r="D217" s="199"/>
      <c r="E217" s="199"/>
      <c r="F217" s="199"/>
      <c r="G217" s="199"/>
      <c r="H217" s="199"/>
      <c r="I217" s="199"/>
      <c r="J217" s="215" t="s">
        <v>3678</v>
      </c>
      <c r="K217" s="204" t="s">
        <v>140</v>
      </c>
      <c r="L217" s="204" t="s">
        <v>3679</v>
      </c>
      <c r="M217" s="204"/>
      <c r="N217" s="40" t="s">
        <v>504</v>
      </c>
      <c r="O217" s="199"/>
      <c r="P217" s="199"/>
      <c r="Q217" s="40" t="s">
        <v>6</v>
      </c>
      <c r="R217" s="40" t="s">
        <v>6</v>
      </c>
      <c r="S217" s="40" t="s">
        <v>6</v>
      </c>
      <c r="T217" s="126"/>
      <c r="U217" s="200" t="s">
        <v>595</v>
      </c>
      <c r="V217" s="204"/>
      <c r="W217" s="204" t="s">
        <v>140</v>
      </c>
      <c r="X217" s="199"/>
      <c r="Y217" s="199"/>
      <c r="Z217" s="40" t="s">
        <v>6</v>
      </c>
      <c r="AA217" s="40" t="s">
        <v>6</v>
      </c>
      <c r="AB217" s="204"/>
      <c r="AC217" s="199"/>
      <c r="AD217" s="199"/>
      <c r="AE217" s="204" t="s">
        <v>140</v>
      </c>
      <c r="AF217" s="199"/>
      <c r="AG217" s="199"/>
      <c r="AH217" s="40" t="s">
        <v>6</v>
      </c>
      <c r="AI217" s="40" t="s">
        <v>6</v>
      </c>
      <c r="AJ217" s="204"/>
      <c r="AK217" s="199"/>
      <c r="AL217" s="199"/>
      <c r="AM217" s="199"/>
      <c r="AN217" s="199"/>
      <c r="AO217" s="199"/>
      <c r="AP217" s="199"/>
      <c r="AQ217" s="199"/>
      <c r="AR217" s="199"/>
      <c r="AS217" s="199"/>
      <c r="AT217" s="199"/>
      <c r="AU217" s="199"/>
      <c r="AV217" s="199"/>
      <c r="AW217" s="155"/>
    </row>
    <row r="218" spans="1:49" s="236" customFormat="1" ht="15">
      <c r="A218" s="40">
        <f t="shared" si="17"/>
        <v>212</v>
      </c>
      <c r="B218" s="199"/>
      <c r="C218" s="199"/>
      <c r="D218" s="199"/>
      <c r="E218" s="199"/>
      <c r="F218" s="199"/>
      <c r="G218" s="199"/>
      <c r="H218" s="199"/>
      <c r="I218" s="199"/>
      <c r="J218" s="215" t="s">
        <v>3680</v>
      </c>
      <c r="K218" s="204" t="s">
        <v>140</v>
      </c>
      <c r="L218" s="204" t="s">
        <v>3681</v>
      </c>
      <c r="M218" s="204"/>
      <c r="N218" s="40" t="s">
        <v>504</v>
      </c>
      <c r="O218" s="199"/>
      <c r="P218" s="199"/>
      <c r="Q218" s="40" t="s">
        <v>6</v>
      </c>
      <c r="R218" s="40" t="s">
        <v>6</v>
      </c>
      <c r="S218" s="40" t="s">
        <v>6</v>
      </c>
      <c r="T218" s="126"/>
      <c r="U218" s="204"/>
      <c r="V218" s="204"/>
      <c r="W218" s="204" t="s">
        <v>140</v>
      </c>
      <c r="X218" s="199"/>
      <c r="Y218" s="199"/>
      <c r="Z218" s="40" t="s">
        <v>6</v>
      </c>
      <c r="AA218" s="40" t="s">
        <v>6</v>
      </c>
      <c r="AB218" s="204"/>
      <c r="AC218" s="199"/>
      <c r="AD218" s="199"/>
      <c r="AE218" s="204" t="s">
        <v>140</v>
      </c>
      <c r="AF218" s="199"/>
      <c r="AG218" s="199"/>
      <c r="AH218" s="40" t="s">
        <v>6</v>
      </c>
      <c r="AI218" s="40" t="s">
        <v>6</v>
      </c>
      <c r="AJ218" s="204"/>
      <c r="AK218" s="199"/>
      <c r="AL218" s="199"/>
      <c r="AM218" s="199"/>
      <c r="AN218" s="199"/>
      <c r="AO218" s="199"/>
      <c r="AP218" s="199"/>
      <c r="AQ218" s="199"/>
      <c r="AR218" s="199"/>
      <c r="AS218" s="199"/>
      <c r="AT218" s="199"/>
      <c r="AU218" s="199"/>
      <c r="AV218" s="199"/>
      <c r="AW218" s="155"/>
    </row>
    <row r="219" spans="1:49" s="450" customFormat="1" ht="15">
      <c r="A219" s="40">
        <f t="shared" si="17"/>
        <v>213</v>
      </c>
      <c r="B219" s="201"/>
      <c r="C219" s="201"/>
      <c r="D219" s="201"/>
      <c r="E219" s="201"/>
      <c r="F219" s="201"/>
      <c r="G219" s="201"/>
      <c r="H219" s="201"/>
      <c r="I219" s="201"/>
      <c r="J219" s="215" t="s">
        <v>3682</v>
      </c>
      <c r="K219" s="204" t="s">
        <v>140</v>
      </c>
      <c r="L219" s="204" t="s">
        <v>3683</v>
      </c>
      <c r="M219" s="204"/>
      <c r="N219" s="40" t="s">
        <v>504</v>
      </c>
      <c r="O219" s="201"/>
      <c r="P219" s="201"/>
      <c r="Q219" s="202" t="s">
        <v>6</v>
      </c>
      <c r="R219" s="202" t="s">
        <v>6</v>
      </c>
      <c r="S219" s="202" t="s">
        <v>6</v>
      </c>
      <c r="T219" s="203"/>
      <c r="U219" s="204" t="s">
        <v>3684</v>
      </c>
      <c r="V219" s="204"/>
      <c r="W219" s="204" t="s">
        <v>128</v>
      </c>
      <c r="X219" s="201"/>
      <c r="Y219" s="201"/>
      <c r="Z219" s="202" t="s">
        <v>6</v>
      </c>
      <c r="AA219" s="202" t="s">
        <v>6</v>
      </c>
      <c r="AB219" s="218"/>
      <c r="AC219" s="201"/>
      <c r="AD219" s="201"/>
      <c r="AE219" s="204" t="s">
        <v>128</v>
      </c>
      <c r="AF219" s="201"/>
      <c r="AG219" s="201"/>
      <c r="AH219" s="202" t="s">
        <v>6</v>
      </c>
      <c r="AI219" s="202" t="s">
        <v>6</v>
      </c>
      <c r="AJ219" s="218"/>
      <c r="AK219" s="201"/>
      <c r="AL219" s="201"/>
      <c r="AM219" s="201"/>
      <c r="AN219" s="201"/>
      <c r="AO219" s="201"/>
      <c r="AP219" s="201"/>
      <c r="AQ219" s="201"/>
      <c r="AR219" s="201"/>
      <c r="AS219" s="201"/>
      <c r="AT219" s="201"/>
      <c r="AU219" s="201"/>
      <c r="AV219" s="201"/>
      <c r="AW219" s="155"/>
    </row>
    <row r="220" spans="1:49" s="236" customFormat="1" ht="15">
      <c r="A220" s="40">
        <f t="shared" si="17"/>
        <v>214</v>
      </c>
      <c r="B220" s="199"/>
      <c r="C220" s="199"/>
      <c r="D220" s="199"/>
      <c r="E220" s="199"/>
      <c r="F220" s="199"/>
      <c r="G220" s="199"/>
      <c r="H220" s="199"/>
      <c r="I220" s="199"/>
      <c r="J220" s="218" t="s">
        <v>3685</v>
      </c>
      <c r="K220" s="204" t="s">
        <v>125</v>
      </c>
      <c r="L220" s="204" t="s">
        <v>3686</v>
      </c>
      <c r="M220" s="204"/>
      <c r="N220" s="40" t="s">
        <v>504</v>
      </c>
      <c r="O220" s="199"/>
      <c r="P220" s="199"/>
      <c r="Q220" s="40"/>
      <c r="R220" s="40"/>
      <c r="S220" s="40" t="s">
        <v>6</v>
      </c>
      <c r="T220" s="126"/>
      <c r="U220" s="204"/>
      <c r="V220" s="204"/>
      <c r="W220" s="204" t="s">
        <v>125</v>
      </c>
      <c r="X220" s="199"/>
      <c r="Y220" s="199"/>
      <c r="Z220" s="40"/>
      <c r="AA220" s="40" t="s">
        <v>6</v>
      </c>
      <c r="AB220" s="198"/>
      <c r="AC220" s="199"/>
      <c r="AD220" s="199"/>
      <c r="AE220" s="204" t="s">
        <v>125</v>
      </c>
      <c r="AF220" s="199"/>
      <c r="AG220" s="199"/>
      <c r="AH220" s="199"/>
      <c r="AI220" s="40" t="s">
        <v>6</v>
      </c>
      <c r="AJ220" s="198"/>
      <c r="AK220" s="199"/>
      <c r="AL220" s="199"/>
      <c r="AM220" s="199"/>
      <c r="AN220" s="199"/>
      <c r="AO220" s="199"/>
      <c r="AP220" s="199"/>
      <c r="AQ220" s="199"/>
      <c r="AR220" s="199"/>
      <c r="AS220" s="199"/>
      <c r="AT220" s="199"/>
      <c r="AU220" s="199"/>
      <c r="AV220" s="199"/>
      <c r="AW220" s="155"/>
    </row>
    <row r="221" spans="1:49" s="236" customFormat="1" ht="15">
      <c r="A221" s="40">
        <f t="shared" si="17"/>
        <v>215</v>
      </c>
      <c r="B221" s="199"/>
      <c r="C221" s="199"/>
      <c r="D221" s="199"/>
      <c r="E221" s="199"/>
      <c r="F221" s="199"/>
      <c r="G221" s="199"/>
      <c r="H221" s="199"/>
      <c r="I221" s="199"/>
      <c r="J221" s="218" t="s">
        <v>3687</v>
      </c>
      <c r="K221" s="204" t="s">
        <v>125</v>
      </c>
      <c r="L221" s="204" t="s">
        <v>3688</v>
      </c>
      <c r="M221" s="204"/>
      <c r="N221" s="40" t="s">
        <v>504</v>
      </c>
      <c r="O221" s="199"/>
      <c r="P221" s="199"/>
      <c r="Q221" s="40"/>
      <c r="R221" s="40"/>
      <c r="S221" s="40" t="s">
        <v>6</v>
      </c>
      <c r="T221" s="126"/>
      <c r="U221" s="204"/>
      <c r="V221" s="204"/>
      <c r="W221" s="204" t="s">
        <v>125</v>
      </c>
      <c r="X221" s="199"/>
      <c r="Y221" s="199"/>
      <c r="Z221" s="40"/>
      <c r="AA221" s="40" t="s">
        <v>6</v>
      </c>
      <c r="AB221" s="198"/>
      <c r="AC221" s="199"/>
      <c r="AD221" s="199"/>
      <c r="AE221" s="204" t="s">
        <v>125</v>
      </c>
      <c r="AF221" s="199"/>
      <c r="AG221" s="199"/>
      <c r="AH221" s="199"/>
      <c r="AI221" s="40" t="s">
        <v>6</v>
      </c>
      <c r="AJ221" s="198"/>
      <c r="AK221" s="199"/>
      <c r="AL221" s="199"/>
      <c r="AM221" s="199"/>
      <c r="AN221" s="199"/>
      <c r="AO221" s="199"/>
      <c r="AP221" s="199"/>
      <c r="AQ221" s="199"/>
      <c r="AR221" s="199"/>
      <c r="AS221" s="199"/>
      <c r="AT221" s="199"/>
      <c r="AU221" s="199"/>
      <c r="AV221" s="199"/>
      <c r="AW221" s="155"/>
    </row>
    <row r="222" spans="1:49" s="236" customFormat="1" ht="15">
      <c r="A222" s="40">
        <f t="shared" si="17"/>
        <v>216</v>
      </c>
      <c r="B222" s="199"/>
      <c r="C222" s="199"/>
      <c r="D222" s="199"/>
      <c r="E222" s="199"/>
      <c r="F222" s="199"/>
      <c r="G222" s="199"/>
      <c r="H222" s="199"/>
      <c r="I222" s="199"/>
      <c r="J222" s="218" t="s">
        <v>3689</v>
      </c>
      <c r="K222" s="204" t="s">
        <v>125</v>
      </c>
      <c r="L222" s="204" t="s">
        <v>3690</v>
      </c>
      <c r="M222" s="204"/>
      <c r="N222" s="40" t="s">
        <v>504</v>
      </c>
      <c r="O222" s="199"/>
      <c r="P222" s="199"/>
      <c r="Q222" s="40"/>
      <c r="R222" s="40"/>
      <c r="S222" s="40" t="s">
        <v>6</v>
      </c>
      <c r="T222" s="126"/>
      <c r="U222" s="204"/>
      <c r="V222" s="204"/>
      <c r="W222" s="204" t="s">
        <v>125</v>
      </c>
      <c r="X222" s="199"/>
      <c r="Y222" s="199"/>
      <c r="Z222" s="40" t="s">
        <v>6</v>
      </c>
      <c r="AA222" s="40" t="s">
        <v>6</v>
      </c>
      <c r="AB222" s="198"/>
      <c r="AC222" s="199"/>
      <c r="AD222" s="199"/>
      <c r="AE222" s="204" t="s">
        <v>125</v>
      </c>
      <c r="AF222" s="199"/>
      <c r="AG222" s="199"/>
      <c r="AH222" s="199"/>
      <c r="AI222" s="40" t="s">
        <v>6</v>
      </c>
      <c r="AJ222" s="198"/>
      <c r="AK222" s="199"/>
      <c r="AL222" s="199"/>
      <c r="AM222" s="199"/>
      <c r="AN222" s="199"/>
      <c r="AO222" s="199"/>
      <c r="AP222" s="199"/>
      <c r="AQ222" s="199"/>
      <c r="AR222" s="199"/>
      <c r="AS222" s="199"/>
      <c r="AT222" s="199"/>
      <c r="AU222" s="199"/>
      <c r="AV222" s="199"/>
      <c r="AW222" s="155"/>
    </row>
    <row r="223" spans="1:49" s="236" customFormat="1" ht="15">
      <c r="A223" s="40">
        <f t="shared" si="17"/>
        <v>217</v>
      </c>
      <c r="B223" s="199"/>
      <c r="C223" s="199"/>
      <c r="D223" s="199"/>
      <c r="E223" s="199"/>
      <c r="F223" s="199"/>
      <c r="G223" s="199"/>
      <c r="H223" s="199"/>
      <c r="I223" s="199"/>
      <c r="J223" s="218" t="s">
        <v>3691</v>
      </c>
      <c r="K223" s="204" t="s">
        <v>125</v>
      </c>
      <c r="L223" s="204" t="s">
        <v>3692</v>
      </c>
      <c r="M223" s="204"/>
      <c r="N223" s="40" t="s">
        <v>504</v>
      </c>
      <c r="O223" s="199"/>
      <c r="P223" s="199"/>
      <c r="Q223" s="40"/>
      <c r="R223" s="40"/>
      <c r="S223" s="40" t="s">
        <v>6</v>
      </c>
      <c r="T223" s="126"/>
      <c r="U223" s="204"/>
      <c r="V223" s="204"/>
      <c r="W223" s="204" t="s">
        <v>125</v>
      </c>
      <c r="X223" s="199"/>
      <c r="Y223" s="199"/>
      <c r="Z223" s="40" t="s">
        <v>6</v>
      </c>
      <c r="AA223" s="40" t="s">
        <v>6</v>
      </c>
      <c r="AB223" s="198"/>
      <c r="AC223" s="199"/>
      <c r="AD223" s="199"/>
      <c r="AE223" s="204" t="s">
        <v>125</v>
      </c>
      <c r="AF223" s="199"/>
      <c r="AG223" s="199"/>
      <c r="AH223" s="199"/>
      <c r="AI223" s="40" t="s">
        <v>6</v>
      </c>
      <c r="AJ223" s="198"/>
      <c r="AK223" s="199"/>
      <c r="AL223" s="199"/>
      <c r="AM223" s="199"/>
      <c r="AN223" s="199"/>
      <c r="AO223" s="199"/>
      <c r="AP223" s="199"/>
      <c r="AQ223" s="199"/>
      <c r="AR223" s="199"/>
      <c r="AS223" s="199"/>
      <c r="AT223" s="199"/>
      <c r="AU223" s="199"/>
      <c r="AV223" s="199"/>
      <c r="AW223" s="155"/>
    </row>
    <row r="224" spans="1:49" s="236" customFormat="1" ht="39.6">
      <c r="A224" s="40">
        <f t="shared" si="17"/>
        <v>218</v>
      </c>
      <c r="B224" s="199"/>
      <c r="C224" s="199"/>
      <c r="D224" s="199"/>
      <c r="E224" s="199"/>
      <c r="F224" s="199"/>
      <c r="G224" s="199"/>
      <c r="H224" s="199"/>
      <c r="I224" s="199"/>
      <c r="J224" s="215" t="s">
        <v>3693</v>
      </c>
      <c r="K224" s="204" t="s">
        <v>117</v>
      </c>
      <c r="L224" s="204" t="s">
        <v>3694</v>
      </c>
      <c r="M224" s="204" t="s">
        <v>3695</v>
      </c>
      <c r="N224" s="40" t="s">
        <v>504</v>
      </c>
      <c r="O224" s="199"/>
      <c r="P224" s="199"/>
      <c r="Q224" s="40"/>
      <c r="R224" s="40" t="s">
        <v>6</v>
      </c>
      <c r="S224" s="40" t="s">
        <v>6</v>
      </c>
      <c r="T224" s="126"/>
      <c r="U224" s="204"/>
      <c r="V224" s="204"/>
      <c r="W224" s="204" t="s">
        <v>125</v>
      </c>
      <c r="X224" s="199"/>
      <c r="Y224" s="199"/>
      <c r="Z224" s="40" t="s">
        <v>6</v>
      </c>
      <c r="AA224" s="40" t="s">
        <v>6</v>
      </c>
      <c r="AB224" s="218"/>
      <c r="AC224" s="199"/>
      <c r="AD224" s="218" t="s">
        <v>3696</v>
      </c>
      <c r="AE224" s="204" t="s">
        <v>125</v>
      </c>
      <c r="AF224" s="199"/>
      <c r="AG224" s="199"/>
      <c r="AH224" s="126"/>
      <c r="AI224" s="40" t="s">
        <v>6</v>
      </c>
      <c r="AJ224" s="218"/>
      <c r="AK224" s="199"/>
      <c r="AL224" s="218" t="s">
        <v>3696</v>
      </c>
      <c r="AM224" s="199"/>
      <c r="AN224" s="199"/>
      <c r="AO224" s="199"/>
      <c r="AP224" s="199"/>
      <c r="AQ224" s="199"/>
      <c r="AR224" s="199"/>
      <c r="AS224" s="199"/>
      <c r="AT224" s="199"/>
      <c r="AU224" s="199"/>
      <c r="AV224" s="199"/>
      <c r="AW224" s="155"/>
    </row>
    <row r="225" spans="1:49" s="236" customFormat="1" ht="39.6">
      <c r="A225" s="40">
        <f t="shared" si="17"/>
        <v>219</v>
      </c>
      <c r="B225" s="199"/>
      <c r="C225" s="199"/>
      <c r="D225" s="199"/>
      <c r="E225" s="199"/>
      <c r="F225" s="199"/>
      <c r="G225" s="199"/>
      <c r="H225" s="199"/>
      <c r="I225" s="199"/>
      <c r="J225" s="215" t="s">
        <v>3697</v>
      </c>
      <c r="K225" s="204" t="s">
        <v>117</v>
      </c>
      <c r="L225" s="204" t="s">
        <v>3698</v>
      </c>
      <c r="M225" s="204" t="s">
        <v>3695</v>
      </c>
      <c r="N225" s="40" t="s">
        <v>504</v>
      </c>
      <c r="O225" s="199"/>
      <c r="P225" s="199"/>
      <c r="Q225" s="40"/>
      <c r="R225" s="40" t="s">
        <v>6</v>
      </c>
      <c r="S225" s="40" t="s">
        <v>6</v>
      </c>
      <c r="T225" s="40"/>
      <c r="U225" s="204"/>
      <c r="V225" s="204"/>
      <c r="W225" s="204" t="s">
        <v>125</v>
      </c>
      <c r="X225" s="199"/>
      <c r="Y225" s="199"/>
      <c r="Z225" s="40" t="s">
        <v>6</v>
      </c>
      <c r="AA225" s="40" t="s">
        <v>6</v>
      </c>
      <c r="AB225" s="218"/>
      <c r="AC225" s="199"/>
      <c r="AD225" s="218" t="s">
        <v>3696</v>
      </c>
      <c r="AE225" s="204" t="s">
        <v>125</v>
      </c>
      <c r="AF225" s="199"/>
      <c r="AG225" s="199"/>
      <c r="AH225" s="126"/>
      <c r="AI225" s="40" t="s">
        <v>6</v>
      </c>
      <c r="AJ225" s="218"/>
      <c r="AK225" s="199"/>
      <c r="AL225" s="218" t="s">
        <v>3696</v>
      </c>
      <c r="AM225" s="199"/>
      <c r="AN225" s="199"/>
      <c r="AO225" s="199"/>
      <c r="AP225" s="199"/>
      <c r="AQ225" s="199"/>
      <c r="AR225" s="199"/>
      <c r="AS225" s="199"/>
      <c r="AT225" s="199"/>
      <c r="AU225" s="199"/>
      <c r="AV225" s="199"/>
      <c r="AW225" s="155"/>
    </row>
    <row r="226" spans="1:49" s="236" customFormat="1" ht="39.6">
      <c r="A226" s="40">
        <f t="shared" si="17"/>
        <v>220</v>
      </c>
      <c r="B226" s="199"/>
      <c r="C226" s="199"/>
      <c r="D226" s="199"/>
      <c r="E226" s="199"/>
      <c r="F226" s="199"/>
      <c r="G226" s="199"/>
      <c r="H226" s="199"/>
      <c r="I226" s="199"/>
      <c r="J226" s="215" t="s">
        <v>3699</v>
      </c>
      <c r="K226" s="204" t="s">
        <v>117</v>
      </c>
      <c r="L226" s="204" t="s">
        <v>3700</v>
      </c>
      <c r="M226" s="204" t="s">
        <v>3695</v>
      </c>
      <c r="N226" s="40" t="s">
        <v>504</v>
      </c>
      <c r="O226" s="199"/>
      <c r="P226" s="199"/>
      <c r="Q226" s="40"/>
      <c r="R226" s="40" t="s">
        <v>6</v>
      </c>
      <c r="S226" s="40" t="s">
        <v>6</v>
      </c>
      <c r="T226" s="126"/>
      <c r="U226" s="204"/>
      <c r="V226" s="204"/>
      <c r="W226" s="204" t="s">
        <v>125</v>
      </c>
      <c r="X226" s="199"/>
      <c r="Y226" s="199"/>
      <c r="Z226" s="40" t="s">
        <v>6</v>
      </c>
      <c r="AA226" s="40" t="s">
        <v>6</v>
      </c>
      <c r="AB226" s="218"/>
      <c r="AC226" s="199"/>
      <c r="AD226" s="218" t="s">
        <v>3696</v>
      </c>
      <c r="AE226" s="204" t="s">
        <v>125</v>
      </c>
      <c r="AF226" s="199"/>
      <c r="AG226" s="199"/>
      <c r="AH226" s="126"/>
      <c r="AI226" s="40" t="s">
        <v>6</v>
      </c>
      <c r="AJ226" s="218"/>
      <c r="AK226" s="199"/>
      <c r="AL226" s="218" t="s">
        <v>3696</v>
      </c>
      <c r="AM226" s="199"/>
      <c r="AN226" s="199"/>
      <c r="AO226" s="199"/>
      <c r="AP226" s="199"/>
      <c r="AQ226" s="199"/>
      <c r="AR226" s="199"/>
      <c r="AS226" s="199"/>
      <c r="AT226" s="199"/>
      <c r="AU226" s="199"/>
      <c r="AV226" s="199"/>
      <c r="AW226" s="155"/>
    </row>
    <row r="227" spans="1:49" s="236" customFormat="1" ht="39.6">
      <c r="A227" s="40">
        <f t="shared" si="17"/>
        <v>221</v>
      </c>
      <c r="B227" s="199"/>
      <c r="C227" s="199"/>
      <c r="D227" s="199"/>
      <c r="E227" s="199"/>
      <c r="F227" s="199"/>
      <c r="G227" s="199"/>
      <c r="H227" s="199"/>
      <c r="I227" s="199"/>
      <c r="J227" s="215" t="s">
        <v>3701</v>
      </c>
      <c r="K227" s="204" t="s">
        <v>117</v>
      </c>
      <c r="L227" s="204" t="s">
        <v>3702</v>
      </c>
      <c r="M227" s="204" t="s">
        <v>3695</v>
      </c>
      <c r="N227" s="40" t="s">
        <v>504</v>
      </c>
      <c r="O227" s="199"/>
      <c r="P227" s="199"/>
      <c r="Q227" s="40"/>
      <c r="R227" s="40" t="s">
        <v>6</v>
      </c>
      <c r="S227" s="40" t="s">
        <v>6</v>
      </c>
      <c r="T227" s="126"/>
      <c r="U227" s="204"/>
      <c r="V227" s="204"/>
      <c r="W227" s="204" t="s">
        <v>125</v>
      </c>
      <c r="X227" s="199"/>
      <c r="Y227" s="199"/>
      <c r="Z227" s="40" t="s">
        <v>6</v>
      </c>
      <c r="AA227" s="40" t="s">
        <v>6</v>
      </c>
      <c r="AB227" s="218"/>
      <c r="AC227" s="199"/>
      <c r="AD227" s="218" t="s">
        <v>3696</v>
      </c>
      <c r="AE227" s="204" t="s">
        <v>125</v>
      </c>
      <c r="AF227" s="199"/>
      <c r="AG227" s="199"/>
      <c r="AH227" s="126"/>
      <c r="AI227" s="40" t="s">
        <v>6</v>
      </c>
      <c r="AJ227" s="218"/>
      <c r="AK227" s="199"/>
      <c r="AL227" s="218" t="s">
        <v>3696</v>
      </c>
      <c r="AM227" s="199"/>
      <c r="AN227" s="199"/>
      <c r="AO227" s="199"/>
      <c r="AP227" s="199"/>
      <c r="AQ227" s="199"/>
      <c r="AR227" s="199"/>
      <c r="AS227" s="199"/>
      <c r="AT227" s="199"/>
      <c r="AU227" s="199"/>
      <c r="AV227" s="199"/>
      <c r="AW227" s="155"/>
    </row>
    <row r="228" spans="1:49" s="236" customFormat="1" ht="39.6">
      <c r="A228" s="40">
        <f t="shared" si="17"/>
        <v>222</v>
      </c>
      <c r="B228" s="199"/>
      <c r="C228" s="199"/>
      <c r="D228" s="199"/>
      <c r="E228" s="199"/>
      <c r="F228" s="199"/>
      <c r="G228" s="199"/>
      <c r="H228" s="199"/>
      <c r="I228" s="199"/>
      <c r="J228" s="215" t="s">
        <v>3703</v>
      </c>
      <c r="K228" s="204" t="s">
        <v>117</v>
      </c>
      <c r="L228" s="204" t="s">
        <v>3704</v>
      </c>
      <c r="M228" s="204" t="s">
        <v>3695</v>
      </c>
      <c r="N228" s="40" t="s">
        <v>504</v>
      </c>
      <c r="O228" s="199"/>
      <c r="P228" s="199"/>
      <c r="Q228" s="40"/>
      <c r="R228" s="40" t="s">
        <v>6</v>
      </c>
      <c r="S228" s="40" t="s">
        <v>6</v>
      </c>
      <c r="T228" s="126"/>
      <c r="U228" s="204"/>
      <c r="V228" s="204"/>
      <c r="W228" s="204" t="s">
        <v>125</v>
      </c>
      <c r="X228" s="199"/>
      <c r="Y228" s="199"/>
      <c r="Z228" s="40" t="s">
        <v>6</v>
      </c>
      <c r="AA228" s="40" t="s">
        <v>6</v>
      </c>
      <c r="AB228" s="218"/>
      <c r="AC228" s="199"/>
      <c r="AD228" s="218" t="s">
        <v>3696</v>
      </c>
      <c r="AE228" s="204" t="s">
        <v>125</v>
      </c>
      <c r="AF228" s="199"/>
      <c r="AG228" s="199"/>
      <c r="AH228" s="126"/>
      <c r="AI228" s="40" t="s">
        <v>6</v>
      </c>
      <c r="AJ228" s="218"/>
      <c r="AK228" s="199"/>
      <c r="AL228" s="218" t="s">
        <v>3696</v>
      </c>
      <c r="AM228" s="199"/>
      <c r="AN228" s="199"/>
      <c r="AO228" s="199"/>
      <c r="AP228" s="199"/>
      <c r="AQ228" s="199"/>
      <c r="AR228" s="199"/>
      <c r="AS228" s="199"/>
      <c r="AT228" s="199"/>
      <c r="AU228" s="199"/>
      <c r="AV228" s="199"/>
      <c r="AW228" s="155"/>
    </row>
    <row r="229" spans="1:49" s="236" customFormat="1" ht="39.6">
      <c r="A229" s="40">
        <f t="shared" si="17"/>
        <v>223</v>
      </c>
      <c r="B229" s="199"/>
      <c r="C229" s="199"/>
      <c r="D229" s="199"/>
      <c r="E229" s="199"/>
      <c r="F229" s="199"/>
      <c r="G229" s="199"/>
      <c r="H229" s="199"/>
      <c r="I229" s="199"/>
      <c r="J229" s="215" t="s">
        <v>3705</v>
      </c>
      <c r="K229" s="204" t="s">
        <v>117</v>
      </c>
      <c r="L229" s="204" t="s">
        <v>3706</v>
      </c>
      <c r="M229" s="204" t="s">
        <v>3695</v>
      </c>
      <c r="N229" s="40" t="s">
        <v>504</v>
      </c>
      <c r="O229" s="199"/>
      <c r="P229" s="199"/>
      <c r="Q229" s="40"/>
      <c r="R229" s="40" t="s">
        <v>6</v>
      </c>
      <c r="S229" s="40" t="s">
        <v>6</v>
      </c>
      <c r="T229" s="126"/>
      <c r="U229" s="204"/>
      <c r="V229" s="204"/>
      <c r="W229" s="204" t="s">
        <v>125</v>
      </c>
      <c r="X229" s="199"/>
      <c r="Y229" s="199"/>
      <c r="Z229" s="40" t="s">
        <v>6</v>
      </c>
      <c r="AA229" s="40" t="s">
        <v>6</v>
      </c>
      <c r="AB229" s="218"/>
      <c r="AC229" s="199"/>
      <c r="AD229" s="218" t="s">
        <v>3696</v>
      </c>
      <c r="AE229" s="204" t="s">
        <v>125</v>
      </c>
      <c r="AF229" s="199"/>
      <c r="AG229" s="199"/>
      <c r="AH229" s="126"/>
      <c r="AI229" s="40" t="s">
        <v>6</v>
      </c>
      <c r="AJ229" s="218"/>
      <c r="AK229" s="199"/>
      <c r="AL229" s="218" t="s">
        <v>3696</v>
      </c>
      <c r="AM229" s="199"/>
      <c r="AN229" s="199"/>
      <c r="AO229" s="199"/>
      <c r="AP229" s="199"/>
      <c r="AQ229" s="199"/>
      <c r="AR229" s="199"/>
      <c r="AS229" s="199"/>
      <c r="AT229" s="199"/>
      <c r="AU229" s="199"/>
      <c r="AV229" s="199"/>
      <c r="AW229" s="155"/>
    </row>
    <row r="230" spans="1:49" s="236" customFormat="1" ht="39.6">
      <c r="A230" s="40">
        <f t="shared" si="17"/>
        <v>224</v>
      </c>
      <c r="B230" s="199"/>
      <c r="C230" s="199"/>
      <c r="D230" s="199"/>
      <c r="E230" s="199"/>
      <c r="F230" s="199"/>
      <c r="G230" s="199"/>
      <c r="H230" s="199"/>
      <c r="I230" s="199"/>
      <c r="J230" s="215" t="s">
        <v>3707</v>
      </c>
      <c r="K230" s="204" t="s">
        <v>117</v>
      </c>
      <c r="L230" s="204" t="s">
        <v>3708</v>
      </c>
      <c r="M230" s="204" t="s">
        <v>3695</v>
      </c>
      <c r="N230" s="40" t="s">
        <v>504</v>
      </c>
      <c r="O230" s="199"/>
      <c r="P230" s="199"/>
      <c r="Q230" s="40"/>
      <c r="R230" s="40" t="s">
        <v>6</v>
      </c>
      <c r="S230" s="40" t="s">
        <v>6</v>
      </c>
      <c r="T230" s="126"/>
      <c r="U230" s="204"/>
      <c r="V230" s="204"/>
      <c r="W230" s="204" t="s">
        <v>125</v>
      </c>
      <c r="X230" s="199"/>
      <c r="Y230" s="199"/>
      <c r="Z230" s="40" t="s">
        <v>6</v>
      </c>
      <c r="AA230" s="40" t="s">
        <v>6</v>
      </c>
      <c r="AB230" s="218"/>
      <c r="AC230" s="199"/>
      <c r="AD230" s="218" t="s">
        <v>3696</v>
      </c>
      <c r="AE230" s="204" t="s">
        <v>125</v>
      </c>
      <c r="AF230" s="199"/>
      <c r="AG230" s="199"/>
      <c r="AH230" s="126"/>
      <c r="AI230" s="40" t="s">
        <v>6</v>
      </c>
      <c r="AJ230" s="218"/>
      <c r="AK230" s="199"/>
      <c r="AL230" s="218" t="s">
        <v>3696</v>
      </c>
      <c r="AM230" s="199"/>
      <c r="AN230" s="199"/>
      <c r="AO230" s="199"/>
      <c r="AP230" s="199"/>
      <c r="AQ230" s="199"/>
      <c r="AR230" s="199"/>
      <c r="AS230" s="199"/>
      <c r="AT230" s="199"/>
      <c r="AU230" s="199"/>
      <c r="AV230" s="199"/>
      <c r="AW230" s="155"/>
    </row>
    <row r="231" spans="1:49" s="236" customFormat="1" ht="39.6">
      <c r="A231" s="40">
        <f t="shared" si="17"/>
        <v>225</v>
      </c>
      <c r="B231" s="199"/>
      <c r="C231" s="199"/>
      <c r="D231" s="199"/>
      <c r="E231" s="199"/>
      <c r="F231" s="199"/>
      <c r="G231" s="199"/>
      <c r="H231" s="199"/>
      <c r="I231" s="199"/>
      <c r="J231" s="215" t="s">
        <v>3709</v>
      </c>
      <c r="K231" s="204" t="s">
        <v>117</v>
      </c>
      <c r="L231" s="204" t="s">
        <v>3710</v>
      </c>
      <c r="M231" s="204" t="s">
        <v>3695</v>
      </c>
      <c r="N231" s="40" t="s">
        <v>504</v>
      </c>
      <c r="O231" s="199"/>
      <c r="P231" s="199"/>
      <c r="Q231" s="40"/>
      <c r="R231" s="40"/>
      <c r="S231" s="40" t="s">
        <v>6</v>
      </c>
      <c r="T231" s="126"/>
      <c r="U231" s="204" t="s">
        <v>617</v>
      </c>
      <c r="V231" s="204"/>
      <c r="W231" s="204" t="s">
        <v>125</v>
      </c>
      <c r="X231" s="199"/>
      <c r="Y231" s="199"/>
      <c r="Z231" s="40" t="s">
        <v>6</v>
      </c>
      <c r="AA231" s="40" t="s">
        <v>6</v>
      </c>
      <c r="AB231" s="218"/>
      <c r="AC231" s="199"/>
      <c r="AD231" s="218" t="s">
        <v>3696</v>
      </c>
      <c r="AE231" s="204" t="s">
        <v>125</v>
      </c>
      <c r="AF231" s="199"/>
      <c r="AG231" s="199"/>
      <c r="AH231" s="126"/>
      <c r="AI231" s="40" t="s">
        <v>6</v>
      </c>
      <c r="AJ231" s="218"/>
      <c r="AK231" s="199"/>
      <c r="AL231" s="218" t="s">
        <v>3696</v>
      </c>
      <c r="AM231" s="198" t="s">
        <v>3711</v>
      </c>
      <c r="AN231" s="199"/>
      <c r="AO231" s="199"/>
      <c r="AP231" s="199"/>
      <c r="AQ231" s="199"/>
      <c r="AR231" s="199"/>
      <c r="AS231" s="199"/>
      <c r="AT231" s="199"/>
      <c r="AU231" s="199"/>
      <c r="AV231" s="199"/>
      <c r="AW231" s="155"/>
    </row>
    <row r="232" spans="1:49" s="236" customFormat="1" ht="39.6">
      <c r="A232" s="40">
        <f t="shared" si="17"/>
        <v>226</v>
      </c>
      <c r="B232" s="199"/>
      <c r="C232" s="199"/>
      <c r="D232" s="199"/>
      <c r="E232" s="199"/>
      <c r="F232" s="199"/>
      <c r="G232" s="199"/>
      <c r="H232" s="199"/>
      <c r="I232" s="199"/>
      <c r="J232" s="215" t="s">
        <v>3712</v>
      </c>
      <c r="K232" s="204" t="s">
        <v>117</v>
      </c>
      <c r="L232" s="204" t="s">
        <v>3713</v>
      </c>
      <c r="M232" s="204" t="s">
        <v>3695</v>
      </c>
      <c r="N232" s="40" t="s">
        <v>504</v>
      </c>
      <c r="O232" s="199"/>
      <c r="P232" s="199"/>
      <c r="Q232" s="40"/>
      <c r="R232" s="40"/>
      <c r="S232" s="40" t="s">
        <v>6</v>
      </c>
      <c r="T232" s="126"/>
      <c r="U232" s="204" t="s">
        <v>617</v>
      </c>
      <c r="V232" s="204"/>
      <c r="W232" s="204" t="s">
        <v>125</v>
      </c>
      <c r="X232" s="199"/>
      <c r="Y232" s="199"/>
      <c r="Z232" s="40" t="s">
        <v>6</v>
      </c>
      <c r="AA232" s="40" t="s">
        <v>6</v>
      </c>
      <c r="AB232" s="218"/>
      <c r="AC232" s="199"/>
      <c r="AD232" s="218" t="s">
        <v>3696</v>
      </c>
      <c r="AE232" s="204" t="s">
        <v>125</v>
      </c>
      <c r="AF232" s="199"/>
      <c r="AG232" s="199"/>
      <c r="AH232" s="126"/>
      <c r="AI232" s="40" t="s">
        <v>6</v>
      </c>
      <c r="AJ232" s="218"/>
      <c r="AK232" s="199"/>
      <c r="AL232" s="218" t="s">
        <v>3696</v>
      </c>
      <c r="AM232" s="198" t="s">
        <v>3711</v>
      </c>
      <c r="AN232" s="199"/>
      <c r="AO232" s="199"/>
      <c r="AP232" s="199"/>
      <c r="AQ232" s="199"/>
      <c r="AR232" s="199"/>
      <c r="AS232" s="199"/>
      <c r="AT232" s="199"/>
      <c r="AU232" s="199"/>
      <c r="AV232" s="199"/>
      <c r="AW232" s="155"/>
    </row>
    <row r="233" spans="1:49" s="236" customFormat="1" ht="39.6">
      <c r="A233" s="40">
        <f t="shared" si="17"/>
        <v>227</v>
      </c>
      <c r="B233" s="199"/>
      <c r="C233" s="199"/>
      <c r="D233" s="199"/>
      <c r="E233" s="199"/>
      <c r="F233" s="199"/>
      <c r="G233" s="199"/>
      <c r="H233" s="199"/>
      <c r="I233" s="199"/>
      <c r="J233" s="215" t="s">
        <v>3714</v>
      </c>
      <c r="K233" s="204" t="s">
        <v>117</v>
      </c>
      <c r="L233" s="204" t="s">
        <v>3715</v>
      </c>
      <c r="M233" s="204" t="s">
        <v>3695</v>
      </c>
      <c r="N233" s="40" t="s">
        <v>504</v>
      </c>
      <c r="O233" s="199"/>
      <c r="P233" s="199"/>
      <c r="Q233" s="40"/>
      <c r="R233" s="40"/>
      <c r="S233" s="40" t="s">
        <v>6</v>
      </c>
      <c r="T233" s="126"/>
      <c r="U233" s="204" t="s">
        <v>617</v>
      </c>
      <c r="V233" s="204"/>
      <c r="W233" s="204" t="s">
        <v>125</v>
      </c>
      <c r="X233" s="199"/>
      <c r="Y233" s="199"/>
      <c r="Z233" s="40" t="s">
        <v>6</v>
      </c>
      <c r="AA233" s="40" t="s">
        <v>6</v>
      </c>
      <c r="AB233" s="218"/>
      <c r="AC233" s="199"/>
      <c r="AD233" s="218" t="s">
        <v>3696</v>
      </c>
      <c r="AE233" s="204" t="s">
        <v>125</v>
      </c>
      <c r="AF233" s="199"/>
      <c r="AG233" s="199"/>
      <c r="AH233" s="126"/>
      <c r="AI233" s="40" t="s">
        <v>6</v>
      </c>
      <c r="AJ233" s="218"/>
      <c r="AK233" s="199"/>
      <c r="AL233" s="218" t="s">
        <v>3696</v>
      </c>
      <c r="AM233" s="198" t="s">
        <v>3711</v>
      </c>
      <c r="AN233" s="199"/>
      <c r="AO233" s="199"/>
      <c r="AP233" s="199"/>
      <c r="AQ233" s="199"/>
      <c r="AR233" s="199"/>
      <c r="AS233" s="199"/>
      <c r="AT233" s="199"/>
      <c r="AU233" s="199"/>
      <c r="AV233" s="199"/>
      <c r="AW233" s="155"/>
    </row>
    <row r="234" spans="1:49" s="236" customFormat="1" ht="39.6">
      <c r="A234" s="40">
        <f t="shared" si="17"/>
        <v>228</v>
      </c>
      <c r="B234" s="199"/>
      <c r="C234" s="199"/>
      <c r="D234" s="199"/>
      <c r="E234" s="199"/>
      <c r="F234" s="199"/>
      <c r="G234" s="199"/>
      <c r="H234" s="199"/>
      <c r="I234" s="199"/>
      <c r="J234" s="215" t="s">
        <v>3716</v>
      </c>
      <c r="K234" s="204" t="s">
        <v>117</v>
      </c>
      <c r="L234" s="204" t="s">
        <v>3717</v>
      </c>
      <c r="M234" s="204" t="s">
        <v>3695</v>
      </c>
      <c r="N234" s="40" t="s">
        <v>504</v>
      </c>
      <c r="O234" s="199"/>
      <c r="P234" s="199"/>
      <c r="Q234" s="40"/>
      <c r="R234" s="40" t="s">
        <v>6</v>
      </c>
      <c r="S234" s="40" t="s">
        <v>6</v>
      </c>
      <c r="T234" s="40"/>
      <c r="U234" s="204" t="s">
        <v>3718</v>
      </c>
      <c r="V234" s="204"/>
      <c r="W234" s="204" t="s">
        <v>125</v>
      </c>
      <c r="X234" s="199"/>
      <c r="Y234" s="199"/>
      <c r="Z234" s="40" t="s">
        <v>6</v>
      </c>
      <c r="AA234" s="40" t="s">
        <v>6</v>
      </c>
      <c r="AB234" s="218"/>
      <c r="AC234" s="199"/>
      <c r="AD234" s="218" t="s">
        <v>3696</v>
      </c>
      <c r="AE234" s="204" t="s">
        <v>125</v>
      </c>
      <c r="AF234" s="199"/>
      <c r="AG234" s="199"/>
      <c r="AH234" s="126"/>
      <c r="AI234" s="40" t="s">
        <v>6</v>
      </c>
      <c r="AJ234" s="218"/>
      <c r="AK234" s="199"/>
      <c r="AL234" s="218" t="s">
        <v>3696</v>
      </c>
      <c r="AM234" s="199"/>
      <c r="AN234" s="199"/>
      <c r="AO234" s="199"/>
      <c r="AP234" s="199"/>
      <c r="AQ234" s="199"/>
      <c r="AR234" s="199"/>
      <c r="AS234" s="199"/>
      <c r="AT234" s="199"/>
      <c r="AU234" s="199"/>
      <c r="AV234" s="199"/>
      <c r="AW234" s="155"/>
    </row>
    <row r="235" spans="1:49" s="236" customFormat="1" ht="39.6">
      <c r="A235" s="40">
        <f t="shared" si="17"/>
        <v>229</v>
      </c>
      <c r="B235" s="199"/>
      <c r="C235" s="199"/>
      <c r="D235" s="199"/>
      <c r="E235" s="199"/>
      <c r="F235" s="199"/>
      <c r="G235" s="199"/>
      <c r="H235" s="199"/>
      <c r="I235" s="199"/>
      <c r="J235" s="215" t="s">
        <v>3719</v>
      </c>
      <c r="K235" s="204" t="s">
        <v>117</v>
      </c>
      <c r="L235" s="204" t="s">
        <v>3720</v>
      </c>
      <c r="M235" s="204" t="s">
        <v>3695</v>
      </c>
      <c r="N235" s="40" t="s">
        <v>504</v>
      </c>
      <c r="O235" s="199"/>
      <c r="P235" s="199"/>
      <c r="Q235" s="40"/>
      <c r="R235" s="40" t="s">
        <v>6</v>
      </c>
      <c r="S235" s="40" t="s">
        <v>6</v>
      </c>
      <c r="T235" s="40"/>
      <c r="U235" s="204" t="s">
        <v>3718</v>
      </c>
      <c r="V235" s="204"/>
      <c r="W235" s="204" t="s">
        <v>125</v>
      </c>
      <c r="X235" s="199"/>
      <c r="Y235" s="199"/>
      <c r="Z235" s="40" t="s">
        <v>6</v>
      </c>
      <c r="AA235" s="40" t="s">
        <v>6</v>
      </c>
      <c r="AB235" s="218"/>
      <c r="AC235" s="199"/>
      <c r="AD235" s="218" t="s">
        <v>3696</v>
      </c>
      <c r="AE235" s="204" t="s">
        <v>125</v>
      </c>
      <c r="AF235" s="199"/>
      <c r="AG235" s="199"/>
      <c r="AH235" s="126"/>
      <c r="AI235" s="40" t="s">
        <v>6</v>
      </c>
      <c r="AJ235" s="218"/>
      <c r="AK235" s="199"/>
      <c r="AL235" s="218" t="s">
        <v>3696</v>
      </c>
      <c r="AM235" s="199"/>
      <c r="AN235" s="199"/>
      <c r="AO235" s="199"/>
      <c r="AP235" s="199"/>
      <c r="AQ235" s="199"/>
      <c r="AR235" s="199"/>
      <c r="AS235" s="199"/>
      <c r="AT235" s="199"/>
      <c r="AU235" s="199"/>
      <c r="AV235" s="199"/>
      <c r="AW235" s="155"/>
    </row>
    <row r="236" spans="1:49" s="236" customFormat="1" ht="39.6">
      <c r="A236" s="40">
        <f t="shared" si="17"/>
        <v>230</v>
      </c>
      <c r="B236" s="199"/>
      <c r="C236" s="199"/>
      <c r="D236" s="199"/>
      <c r="E236" s="199"/>
      <c r="F236" s="199"/>
      <c r="G236" s="199"/>
      <c r="H236" s="199"/>
      <c r="I236" s="199"/>
      <c r="J236" s="215" t="s">
        <v>3721</v>
      </c>
      <c r="K236" s="204" t="s">
        <v>117</v>
      </c>
      <c r="L236" s="204" t="s">
        <v>3722</v>
      </c>
      <c r="M236" s="204" t="s">
        <v>3695</v>
      </c>
      <c r="N236" s="40" t="s">
        <v>504</v>
      </c>
      <c r="O236" s="199"/>
      <c r="P236" s="199"/>
      <c r="Q236" s="40"/>
      <c r="R236" s="40" t="s">
        <v>6</v>
      </c>
      <c r="S236" s="40" t="s">
        <v>6</v>
      </c>
      <c r="T236" s="40"/>
      <c r="U236" s="204" t="s">
        <v>3718</v>
      </c>
      <c r="V236" s="204"/>
      <c r="W236" s="204" t="s">
        <v>125</v>
      </c>
      <c r="X236" s="199"/>
      <c r="Y236" s="199"/>
      <c r="Z236" s="40" t="s">
        <v>6</v>
      </c>
      <c r="AA236" s="40" t="s">
        <v>6</v>
      </c>
      <c r="AB236" s="218"/>
      <c r="AC236" s="199"/>
      <c r="AD236" s="218" t="s">
        <v>3696</v>
      </c>
      <c r="AE236" s="204" t="s">
        <v>125</v>
      </c>
      <c r="AF236" s="199"/>
      <c r="AG236" s="199"/>
      <c r="AH236" s="126"/>
      <c r="AI236" s="40" t="s">
        <v>6</v>
      </c>
      <c r="AJ236" s="218"/>
      <c r="AK236" s="199"/>
      <c r="AL236" s="218" t="s">
        <v>3696</v>
      </c>
      <c r="AM236" s="199"/>
      <c r="AN236" s="199"/>
      <c r="AO236" s="199"/>
      <c r="AP236" s="199"/>
      <c r="AQ236" s="199"/>
      <c r="AR236" s="199"/>
      <c r="AS236" s="199"/>
      <c r="AT236" s="199"/>
      <c r="AU236" s="199"/>
      <c r="AV236" s="199"/>
      <c r="AW236" s="155"/>
    </row>
    <row r="237" spans="1:49" s="236" customFormat="1" ht="26.4">
      <c r="A237" s="40">
        <f t="shared" si="17"/>
        <v>231</v>
      </c>
      <c r="B237" s="199"/>
      <c r="C237" s="199"/>
      <c r="D237" s="199"/>
      <c r="E237" s="199"/>
      <c r="F237" s="199"/>
      <c r="G237" s="199"/>
      <c r="H237" s="199"/>
      <c r="I237" s="199"/>
      <c r="J237" s="215" t="s">
        <v>3723</v>
      </c>
      <c r="K237" s="204" t="s">
        <v>117</v>
      </c>
      <c r="L237" s="204" t="s">
        <v>3724</v>
      </c>
      <c r="M237" s="204" t="s">
        <v>3695</v>
      </c>
      <c r="N237" s="40" t="s">
        <v>504</v>
      </c>
      <c r="O237" s="199"/>
      <c r="P237" s="199"/>
      <c r="Q237" s="40"/>
      <c r="R237" s="40" t="s">
        <v>6</v>
      </c>
      <c r="S237" s="40" t="s">
        <v>6</v>
      </c>
      <c r="T237" s="40"/>
      <c r="U237" s="204"/>
      <c r="V237" s="204"/>
      <c r="W237" s="204" t="s">
        <v>125</v>
      </c>
      <c r="X237" s="199"/>
      <c r="Y237" s="199"/>
      <c r="Z237" s="40" t="s">
        <v>6</v>
      </c>
      <c r="AA237" s="40" t="s">
        <v>6</v>
      </c>
      <c r="AB237" s="218"/>
      <c r="AC237" s="199"/>
      <c r="AD237" s="218" t="s">
        <v>3725</v>
      </c>
      <c r="AE237" s="204" t="s">
        <v>125</v>
      </c>
      <c r="AF237" s="199"/>
      <c r="AG237" s="199"/>
      <c r="AH237" s="126"/>
      <c r="AI237" s="40" t="s">
        <v>6</v>
      </c>
      <c r="AJ237" s="218"/>
      <c r="AK237" s="199"/>
      <c r="AL237" s="218" t="s">
        <v>3725</v>
      </c>
      <c r="AM237" s="199"/>
      <c r="AN237" s="199"/>
      <c r="AO237" s="199"/>
      <c r="AP237" s="199"/>
      <c r="AQ237" s="199"/>
      <c r="AR237" s="199"/>
      <c r="AS237" s="199"/>
      <c r="AT237" s="199"/>
      <c r="AU237" s="199"/>
      <c r="AV237" s="199"/>
      <c r="AW237" s="155"/>
    </row>
    <row r="238" spans="1:49" s="236" customFormat="1" ht="26.4">
      <c r="A238" s="40">
        <f t="shared" si="17"/>
        <v>232</v>
      </c>
      <c r="B238" s="199"/>
      <c r="C238" s="199"/>
      <c r="D238" s="199"/>
      <c r="E238" s="199"/>
      <c r="F238" s="199"/>
      <c r="G238" s="199"/>
      <c r="H238" s="199"/>
      <c r="I238" s="199"/>
      <c r="J238" s="215" t="s">
        <v>3726</v>
      </c>
      <c r="K238" s="204" t="s">
        <v>117</v>
      </c>
      <c r="L238" s="204" t="s">
        <v>3727</v>
      </c>
      <c r="M238" s="204" t="s">
        <v>3695</v>
      </c>
      <c r="N238" s="40" t="s">
        <v>504</v>
      </c>
      <c r="O238" s="199"/>
      <c r="P238" s="199"/>
      <c r="Q238" s="40"/>
      <c r="R238" s="40" t="s">
        <v>6</v>
      </c>
      <c r="S238" s="40" t="s">
        <v>6</v>
      </c>
      <c r="T238" s="40"/>
      <c r="U238" s="204"/>
      <c r="V238" s="204"/>
      <c r="W238" s="204" t="s">
        <v>125</v>
      </c>
      <c r="X238" s="199"/>
      <c r="Y238" s="199"/>
      <c r="Z238" s="40" t="s">
        <v>6</v>
      </c>
      <c r="AA238" s="40" t="s">
        <v>6</v>
      </c>
      <c r="AB238" s="218"/>
      <c r="AC238" s="199"/>
      <c r="AD238" s="218" t="s">
        <v>3725</v>
      </c>
      <c r="AE238" s="204" t="s">
        <v>125</v>
      </c>
      <c r="AF238" s="199"/>
      <c r="AG238" s="199"/>
      <c r="AH238" s="126"/>
      <c r="AI238" s="40" t="s">
        <v>6</v>
      </c>
      <c r="AJ238" s="218"/>
      <c r="AK238" s="199"/>
      <c r="AL238" s="218" t="s">
        <v>3725</v>
      </c>
      <c r="AM238" s="199"/>
      <c r="AN238" s="199"/>
      <c r="AO238" s="199"/>
      <c r="AP238" s="199"/>
      <c r="AQ238" s="199"/>
      <c r="AR238" s="199"/>
      <c r="AS238" s="199"/>
      <c r="AT238" s="199"/>
      <c r="AU238" s="199"/>
      <c r="AV238" s="199"/>
      <c r="AW238" s="155"/>
    </row>
    <row r="239" spans="1:49" s="236" customFormat="1" ht="26.4">
      <c r="A239" s="40">
        <f t="shared" si="17"/>
        <v>233</v>
      </c>
      <c r="B239" s="199"/>
      <c r="C239" s="199"/>
      <c r="D239" s="199"/>
      <c r="E239" s="199"/>
      <c r="F239" s="199"/>
      <c r="G239" s="199"/>
      <c r="H239" s="199"/>
      <c r="I239" s="199"/>
      <c r="J239" s="215" t="s">
        <v>3728</v>
      </c>
      <c r="K239" s="204" t="s">
        <v>117</v>
      </c>
      <c r="L239" s="204" t="s">
        <v>3729</v>
      </c>
      <c r="M239" s="204" t="s">
        <v>3695</v>
      </c>
      <c r="N239" s="40" t="s">
        <v>504</v>
      </c>
      <c r="O239" s="199"/>
      <c r="P239" s="199"/>
      <c r="Q239" s="40"/>
      <c r="R239" s="40" t="s">
        <v>6</v>
      </c>
      <c r="S239" s="40" t="s">
        <v>6</v>
      </c>
      <c r="T239" s="40"/>
      <c r="U239" s="204"/>
      <c r="V239" s="204"/>
      <c r="W239" s="204" t="s">
        <v>125</v>
      </c>
      <c r="X239" s="199"/>
      <c r="Y239" s="199"/>
      <c r="Z239" s="40" t="s">
        <v>6</v>
      </c>
      <c r="AA239" s="40" t="s">
        <v>6</v>
      </c>
      <c r="AB239" s="218"/>
      <c r="AC239" s="199"/>
      <c r="AD239" s="218" t="s">
        <v>3725</v>
      </c>
      <c r="AE239" s="204" t="s">
        <v>125</v>
      </c>
      <c r="AF239" s="199"/>
      <c r="AG239" s="199"/>
      <c r="AH239" s="126"/>
      <c r="AI239" s="40" t="s">
        <v>6</v>
      </c>
      <c r="AJ239" s="218"/>
      <c r="AK239" s="199"/>
      <c r="AL239" s="218" t="s">
        <v>3725</v>
      </c>
      <c r="AM239" s="199"/>
      <c r="AN239" s="199"/>
      <c r="AO239" s="199"/>
      <c r="AP239" s="199"/>
      <c r="AQ239" s="199"/>
      <c r="AR239" s="199"/>
      <c r="AS239" s="199"/>
      <c r="AT239" s="199"/>
      <c r="AU239" s="199"/>
      <c r="AV239" s="199"/>
      <c r="AW239" s="155"/>
    </row>
    <row r="240" spans="1:49" s="236" customFormat="1" ht="26.4">
      <c r="A240" s="40">
        <f t="shared" si="17"/>
        <v>234</v>
      </c>
      <c r="B240" s="199"/>
      <c r="C240" s="199"/>
      <c r="D240" s="199"/>
      <c r="E240" s="199"/>
      <c r="F240" s="199"/>
      <c r="G240" s="199"/>
      <c r="H240" s="199"/>
      <c r="I240" s="199"/>
      <c r="J240" s="215" t="s">
        <v>3730</v>
      </c>
      <c r="K240" s="204" t="s">
        <v>117</v>
      </c>
      <c r="L240" s="204" t="s">
        <v>3731</v>
      </c>
      <c r="M240" s="204" t="s">
        <v>3695</v>
      </c>
      <c r="N240" s="40" t="s">
        <v>504</v>
      </c>
      <c r="O240" s="199"/>
      <c r="P240" s="199"/>
      <c r="Q240" s="40"/>
      <c r="R240" s="40" t="s">
        <v>6</v>
      </c>
      <c r="S240" s="40" t="s">
        <v>6</v>
      </c>
      <c r="T240" s="40"/>
      <c r="U240" s="204"/>
      <c r="V240" s="204"/>
      <c r="W240" s="204" t="s">
        <v>125</v>
      </c>
      <c r="X240" s="199"/>
      <c r="Y240" s="199"/>
      <c r="Z240" s="40" t="s">
        <v>6</v>
      </c>
      <c r="AA240" s="40" t="s">
        <v>6</v>
      </c>
      <c r="AB240" s="218"/>
      <c r="AC240" s="199"/>
      <c r="AD240" s="218" t="s">
        <v>3725</v>
      </c>
      <c r="AE240" s="204" t="s">
        <v>125</v>
      </c>
      <c r="AF240" s="199"/>
      <c r="AG240" s="199"/>
      <c r="AH240" s="126"/>
      <c r="AI240" s="40" t="s">
        <v>6</v>
      </c>
      <c r="AJ240" s="218"/>
      <c r="AK240" s="199"/>
      <c r="AL240" s="218" t="s">
        <v>3725</v>
      </c>
      <c r="AM240" s="199"/>
      <c r="AN240" s="199"/>
      <c r="AO240" s="199"/>
      <c r="AP240" s="199"/>
      <c r="AQ240" s="199"/>
      <c r="AR240" s="199"/>
      <c r="AS240" s="199"/>
      <c r="AT240" s="199"/>
      <c r="AU240" s="199"/>
      <c r="AV240" s="199"/>
      <c r="AW240" s="155"/>
    </row>
    <row r="241" spans="1:49" s="236" customFormat="1" ht="26.4">
      <c r="A241" s="40">
        <f t="shared" si="17"/>
        <v>235</v>
      </c>
      <c r="B241" s="199"/>
      <c r="C241" s="199"/>
      <c r="D241" s="199"/>
      <c r="E241" s="199"/>
      <c r="F241" s="199"/>
      <c r="G241" s="199"/>
      <c r="H241" s="199"/>
      <c r="I241" s="199"/>
      <c r="J241" s="215" t="s">
        <v>3732</v>
      </c>
      <c r="K241" s="204" t="s">
        <v>117</v>
      </c>
      <c r="L241" s="204" t="s">
        <v>3733</v>
      </c>
      <c r="M241" s="204" t="s">
        <v>3695</v>
      </c>
      <c r="N241" s="40" t="s">
        <v>504</v>
      </c>
      <c r="O241" s="199"/>
      <c r="P241" s="199"/>
      <c r="Q241" s="40"/>
      <c r="R241" s="40" t="s">
        <v>6</v>
      </c>
      <c r="S241" s="40" t="s">
        <v>6</v>
      </c>
      <c r="T241" s="40"/>
      <c r="U241" s="204"/>
      <c r="V241" s="204"/>
      <c r="W241" s="204" t="s">
        <v>125</v>
      </c>
      <c r="X241" s="199"/>
      <c r="Y241" s="199"/>
      <c r="Z241" s="40" t="s">
        <v>6</v>
      </c>
      <c r="AA241" s="40" t="s">
        <v>6</v>
      </c>
      <c r="AB241" s="218"/>
      <c r="AC241" s="199"/>
      <c r="AD241" s="218" t="s">
        <v>3725</v>
      </c>
      <c r="AE241" s="204" t="s">
        <v>125</v>
      </c>
      <c r="AF241" s="199"/>
      <c r="AG241" s="199"/>
      <c r="AH241" s="126"/>
      <c r="AI241" s="40" t="s">
        <v>6</v>
      </c>
      <c r="AJ241" s="218"/>
      <c r="AK241" s="199"/>
      <c r="AL241" s="218" t="s">
        <v>3725</v>
      </c>
      <c r="AM241" s="199"/>
      <c r="AN241" s="199"/>
      <c r="AO241" s="199"/>
      <c r="AP241" s="199"/>
      <c r="AQ241" s="199"/>
      <c r="AR241" s="199"/>
      <c r="AS241" s="199"/>
      <c r="AT241" s="199"/>
      <c r="AU241" s="199"/>
      <c r="AV241" s="199"/>
      <c r="AW241" s="155"/>
    </row>
    <row r="242" spans="1:49" s="236" customFormat="1" ht="26.4">
      <c r="A242" s="40">
        <f t="shared" si="17"/>
        <v>236</v>
      </c>
      <c r="B242" s="199"/>
      <c r="C242" s="199"/>
      <c r="D242" s="199"/>
      <c r="E242" s="199"/>
      <c r="F242" s="199"/>
      <c r="G242" s="199"/>
      <c r="H242" s="199"/>
      <c r="I242" s="199"/>
      <c r="J242" s="215" t="s">
        <v>3734</v>
      </c>
      <c r="K242" s="204" t="s">
        <v>117</v>
      </c>
      <c r="L242" s="204" t="s">
        <v>3735</v>
      </c>
      <c r="M242" s="204" t="s">
        <v>3695</v>
      </c>
      <c r="N242" s="40" t="s">
        <v>504</v>
      </c>
      <c r="O242" s="199"/>
      <c r="P242" s="199"/>
      <c r="Q242" s="40"/>
      <c r="R242" s="40" t="s">
        <v>6</v>
      </c>
      <c r="S242" s="40" t="s">
        <v>6</v>
      </c>
      <c r="T242" s="40"/>
      <c r="U242" s="204"/>
      <c r="V242" s="204"/>
      <c r="W242" s="204" t="s">
        <v>125</v>
      </c>
      <c r="X242" s="199"/>
      <c r="Y242" s="199"/>
      <c r="Z242" s="40" t="s">
        <v>6</v>
      </c>
      <c r="AA242" s="40" t="s">
        <v>6</v>
      </c>
      <c r="AB242" s="218"/>
      <c r="AC242" s="199"/>
      <c r="AD242" s="218" t="s">
        <v>3725</v>
      </c>
      <c r="AE242" s="204" t="s">
        <v>125</v>
      </c>
      <c r="AF242" s="199"/>
      <c r="AG242" s="199"/>
      <c r="AH242" s="126"/>
      <c r="AI242" s="40" t="s">
        <v>6</v>
      </c>
      <c r="AJ242" s="218"/>
      <c r="AK242" s="199"/>
      <c r="AL242" s="218" t="s">
        <v>3725</v>
      </c>
      <c r="AM242" s="199"/>
      <c r="AN242" s="199"/>
      <c r="AO242" s="199"/>
      <c r="AP242" s="199"/>
      <c r="AQ242" s="199"/>
      <c r="AR242" s="199"/>
      <c r="AS242" s="199"/>
      <c r="AT242" s="199"/>
      <c r="AU242" s="199"/>
      <c r="AV242" s="199"/>
      <c r="AW242" s="155"/>
    </row>
    <row r="243" spans="1:49" s="236" customFormat="1" ht="26.4">
      <c r="A243" s="40">
        <f t="shared" si="17"/>
        <v>237</v>
      </c>
      <c r="B243" s="199"/>
      <c r="C243" s="199"/>
      <c r="D243" s="199"/>
      <c r="E243" s="199"/>
      <c r="F243" s="199"/>
      <c r="G243" s="199"/>
      <c r="H243" s="199"/>
      <c r="I243" s="199"/>
      <c r="J243" s="215" t="s">
        <v>3736</v>
      </c>
      <c r="K243" s="204" t="s">
        <v>117</v>
      </c>
      <c r="L243" s="204" t="s">
        <v>3737</v>
      </c>
      <c r="M243" s="204" t="s">
        <v>3695</v>
      </c>
      <c r="N243" s="40" t="s">
        <v>504</v>
      </c>
      <c r="O243" s="199"/>
      <c r="P243" s="199"/>
      <c r="Q243" s="40"/>
      <c r="R243" s="40" t="s">
        <v>6</v>
      </c>
      <c r="S243" s="40" t="s">
        <v>6</v>
      </c>
      <c r="T243" s="40"/>
      <c r="U243" s="204"/>
      <c r="V243" s="204"/>
      <c r="W243" s="204" t="s">
        <v>125</v>
      </c>
      <c r="X243" s="199"/>
      <c r="Y243" s="199"/>
      <c r="Z243" s="40" t="s">
        <v>6</v>
      </c>
      <c r="AA243" s="40" t="s">
        <v>6</v>
      </c>
      <c r="AB243" s="218"/>
      <c r="AC243" s="199"/>
      <c r="AD243" s="218" t="s">
        <v>3725</v>
      </c>
      <c r="AE243" s="204" t="s">
        <v>125</v>
      </c>
      <c r="AF243" s="199"/>
      <c r="AG243" s="199"/>
      <c r="AH243" s="126"/>
      <c r="AI243" s="40" t="s">
        <v>6</v>
      </c>
      <c r="AJ243" s="218"/>
      <c r="AK243" s="199"/>
      <c r="AL243" s="218" t="s">
        <v>3725</v>
      </c>
      <c r="AM243" s="199"/>
      <c r="AN243" s="199"/>
      <c r="AO243" s="199"/>
      <c r="AP243" s="199"/>
      <c r="AQ243" s="199"/>
      <c r="AR243" s="199"/>
      <c r="AS243" s="199"/>
      <c r="AT243" s="199"/>
      <c r="AU243" s="199"/>
      <c r="AV243" s="199"/>
      <c r="AW243" s="155"/>
    </row>
    <row r="244" spans="1:49" s="236" customFormat="1" ht="26.4">
      <c r="A244" s="40">
        <f t="shared" si="17"/>
        <v>238</v>
      </c>
      <c r="B244" s="199"/>
      <c r="C244" s="199"/>
      <c r="D244" s="199"/>
      <c r="E244" s="199"/>
      <c r="F244" s="199"/>
      <c r="G244" s="199"/>
      <c r="H244" s="199"/>
      <c r="I244" s="199"/>
      <c r="J244" s="215" t="s">
        <v>3738</v>
      </c>
      <c r="K244" s="204" t="s">
        <v>117</v>
      </c>
      <c r="L244" s="204" t="s">
        <v>3739</v>
      </c>
      <c r="M244" s="204" t="s">
        <v>3695</v>
      </c>
      <c r="N244" s="40" t="s">
        <v>504</v>
      </c>
      <c r="O244" s="199"/>
      <c r="P244" s="199"/>
      <c r="Q244" s="40"/>
      <c r="R244" s="40" t="s">
        <v>6</v>
      </c>
      <c r="S244" s="40" t="s">
        <v>6</v>
      </c>
      <c r="T244" s="40"/>
      <c r="U244" s="204"/>
      <c r="V244" s="204"/>
      <c r="W244" s="204" t="s">
        <v>125</v>
      </c>
      <c r="X244" s="199"/>
      <c r="Y244" s="199"/>
      <c r="Z244" s="40" t="s">
        <v>6</v>
      </c>
      <c r="AA244" s="40" t="s">
        <v>6</v>
      </c>
      <c r="AB244" s="218"/>
      <c r="AC244" s="199"/>
      <c r="AD244" s="218" t="s">
        <v>3725</v>
      </c>
      <c r="AE244" s="204" t="s">
        <v>125</v>
      </c>
      <c r="AF244" s="199"/>
      <c r="AG244" s="199"/>
      <c r="AH244" s="126"/>
      <c r="AI244" s="40" t="s">
        <v>6</v>
      </c>
      <c r="AJ244" s="218"/>
      <c r="AK244" s="199"/>
      <c r="AL244" s="218" t="s">
        <v>3725</v>
      </c>
      <c r="AM244" s="199"/>
      <c r="AN244" s="199"/>
      <c r="AO244" s="199"/>
      <c r="AP244" s="199"/>
      <c r="AQ244" s="199"/>
      <c r="AR244" s="199"/>
      <c r="AS244" s="199"/>
      <c r="AT244" s="199"/>
      <c r="AU244" s="199"/>
      <c r="AV244" s="199"/>
      <c r="AW244" s="155"/>
    </row>
    <row r="245" spans="1:49" s="236" customFormat="1" ht="26.4">
      <c r="A245" s="40">
        <f t="shared" si="17"/>
        <v>239</v>
      </c>
      <c r="B245" s="199"/>
      <c r="C245" s="199"/>
      <c r="D245" s="199"/>
      <c r="E245" s="199"/>
      <c r="F245" s="199"/>
      <c r="G245" s="199"/>
      <c r="H245" s="199"/>
      <c r="I245" s="199"/>
      <c r="J245" s="215" t="s">
        <v>3740</v>
      </c>
      <c r="K245" s="204" t="s">
        <v>117</v>
      </c>
      <c r="L245" s="204" t="s">
        <v>3741</v>
      </c>
      <c r="M245" s="204"/>
      <c r="N245" s="40" t="s">
        <v>504</v>
      </c>
      <c r="O245" s="199"/>
      <c r="P245" s="199"/>
      <c r="Q245" s="40"/>
      <c r="R245" s="40" t="s">
        <v>6</v>
      </c>
      <c r="S245" s="40" t="s">
        <v>6</v>
      </c>
      <c r="T245" s="40"/>
      <c r="U245" s="204"/>
      <c r="V245" s="204"/>
      <c r="W245" s="204" t="s">
        <v>125</v>
      </c>
      <c r="X245" s="199"/>
      <c r="Y245" s="199"/>
      <c r="Z245" s="40" t="s">
        <v>6</v>
      </c>
      <c r="AA245" s="40" t="s">
        <v>6</v>
      </c>
      <c r="AB245" s="218"/>
      <c r="AC245" s="199"/>
      <c r="AD245" s="218" t="s">
        <v>3725</v>
      </c>
      <c r="AE245" s="204" t="s">
        <v>125</v>
      </c>
      <c r="AF245" s="199"/>
      <c r="AG245" s="199"/>
      <c r="AH245" s="126"/>
      <c r="AI245" s="40" t="s">
        <v>6</v>
      </c>
      <c r="AJ245" s="218"/>
      <c r="AK245" s="199"/>
      <c r="AL245" s="218" t="s">
        <v>3725</v>
      </c>
      <c r="AM245" s="199"/>
      <c r="AN245" s="199"/>
      <c r="AO245" s="199"/>
      <c r="AP245" s="199"/>
      <c r="AQ245" s="199"/>
      <c r="AR245" s="199"/>
      <c r="AS245" s="199"/>
      <c r="AT245" s="199"/>
      <c r="AU245" s="199"/>
      <c r="AV245" s="199"/>
      <c r="AW245" s="155"/>
    </row>
    <row r="246" spans="1:49" s="236" customFormat="1" ht="15">
      <c r="A246" s="40">
        <f t="shared" si="17"/>
        <v>240</v>
      </c>
      <c r="B246" s="199"/>
      <c r="C246" s="199"/>
      <c r="D246" s="199"/>
      <c r="E246" s="199"/>
      <c r="F246" s="199"/>
      <c r="G246" s="199"/>
      <c r="H246" s="199"/>
      <c r="I246" s="199"/>
      <c r="J246" s="218" t="s">
        <v>3725</v>
      </c>
      <c r="K246" s="204" t="s">
        <v>117</v>
      </c>
      <c r="L246" s="204" t="s">
        <v>3742</v>
      </c>
      <c r="M246" s="204" t="s">
        <v>3695</v>
      </c>
      <c r="N246" s="40" t="s">
        <v>504</v>
      </c>
      <c r="O246" s="199"/>
      <c r="P246" s="199"/>
      <c r="Q246" s="40" t="s">
        <v>6</v>
      </c>
      <c r="R246" s="40" t="s">
        <v>6</v>
      </c>
      <c r="S246" s="40" t="s">
        <v>6</v>
      </c>
      <c r="T246" s="40"/>
      <c r="U246" s="204"/>
      <c r="V246" s="204"/>
      <c r="W246" s="204" t="s">
        <v>133</v>
      </c>
      <c r="X246" s="199"/>
      <c r="Y246" s="199"/>
      <c r="Z246" s="40" t="s">
        <v>6</v>
      </c>
      <c r="AA246" s="40" t="s">
        <v>6</v>
      </c>
      <c r="AB246" s="215"/>
      <c r="AC246" s="199"/>
      <c r="AD246" s="199"/>
      <c r="AE246" s="204" t="s">
        <v>133</v>
      </c>
      <c r="AF246" s="199"/>
      <c r="AG246" s="199"/>
      <c r="AH246" s="40" t="s">
        <v>6</v>
      </c>
      <c r="AI246" s="40" t="s">
        <v>6</v>
      </c>
      <c r="AJ246" s="215" t="s">
        <v>3743</v>
      </c>
      <c r="AK246" s="199"/>
      <c r="AL246" s="199"/>
      <c r="AM246" s="199"/>
      <c r="AN246" s="199"/>
      <c r="AO246" s="199"/>
      <c r="AP246" s="199"/>
      <c r="AQ246" s="199"/>
      <c r="AR246" s="199"/>
      <c r="AS246" s="199"/>
      <c r="AT246" s="199"/>
      <c r="AU246" s="199"/>
      <c r="AV246" s="199"/>
      <c r="AW246" s="155"/>
    </row>
    <row r="247" spans="1:49" s="236" customFormat="1" ht="26.4">
      <c r="A247" s="40">
        <f t="shared" si="17"/>
        <v>241</v>
      </c>
      <c r="B247" s="199"/>
      <c r="C247" s="199"/>
      <c r="D247" s="199"/>
      <c r="E247" s="199"/>
      <c r="F247" s="199"/>
      <c r="G247" s="199"/>
      <c r="H247" s="199"/>
      <c r="I247" s="199"/>
      <c r="J247" s="215" t="s">
        <v>3744</v>
      </c>
      <c r="K247" s="204" t="s">
        <v>117</v>
      </c>
      <c r="L247" s="204" t="s">
        <v>3745</v>
      </c>
      <c r="M247" s="204" t="s">
        <v>3695</v>
      </c>
      <c r="N247" s="40" t="s">
        <v>504</v>
      </c>
      <c r="O247" s="199"/>
      <c r="P247" s="199"/>
      <c r="Q247" s="40"/>
      <c r="R247" s="40" t="s">
        <v>6</v>
      </c>
      <c r="S247" s="40" t="s">
        <v>6</v>
      </c>
      <c r="T247" s="40"/>
      <c r="U247" s="204"/>
      <c r="V247" s="204"/>
      <c r="W247" s="204" t="s">
        <v>125</v>
      </c>
      <c r="X247" s="199"/>
      <c r="Y247" s="199"/>
      <c r="Z247" s="40" t="s">
        <v>6</v>
      </c>
      <c r="AA247" s="40" t="s">
        <v>6</v>
      </c>
      <c r="AB247" s="218"/>
      <c r="AC247" s="199"/>
      <c r="AD247" s="218" t="s">
        <v>622</v>
      </c>
      <c r="AE247" s="204" t="s">
        <v>125</v>
      </c>
      <c r="AF247" s="199"/>
      <c r="AG247" s="199"/>
      <c r="AH247" s="126"/>
      <c r="AI247" s="40" t="s">
        <v>6</v>
      </c>
      <c r="AJ247" s="218"/>
      <c r="AK247" s="199"/>
      <c r="AL247" s="218" t="s">
        <v>622</v>
      </c>
      <c r="AM247" s="199"/>
      <c r="AN247" s="199"/>
      <c r="AO247" s="199"/>
      <c r="AP247" s="199"/>
      <c r="AQ247" s="199"/>
      <c r="AR247" s="199"/>
      <c r="AS247" s="199"/>
      <c r="AT247" s="199"/>
      <c r="AU247" s="199"/>
      <c r="AV247" s="199"/>
      <c r="AW247" s="155"/>
    </row>
    <row r="248" spans="1:49" s="236" customFormat="1" ht="26.4">
      <c r="A248" s="40">
        <f t="shared" si="17"/>
        <v>242</v>
      </c>
      <c r="B248" s="199"/>
      <c r="C248" s="199"/>
      <c r="D248" s="199"/>
      <c r="E248" s="199"/>
      <c r="F248" s="199"/>
      <c r="G248" s="199"/>
      <c r="H248" s="199"/>
      <c r="I248" s="199"/>
      <c r="J248" s="215" t="s">
        <v>3746</v>
      </c>
      <c r="K248" s="204" t="s">
        <v>117</v>
      </c>
      <c r="L248" s="204" t="s">
        <v>3747</v>
      </c>
      <c r="M248" s="204" t="s">
        <v>3695</v>
      </c>
      <c r="N248" s="40" t="s">
        <v>504</v>
      </c>
      <c r="O248" s="199"/>
      <c r="P248" s="199"/>
      <c r="Q248" s="40"/>
      <c r="R248" s="40" t="s">
        <v>6</v>
      </c>
      <c r="S248" s="40" t="s">
        <v>6</v>
      </c>
      <c r="T248" s="40"/>
      <c r="U248" s="198"/>
      <c r="V248" s="198"/>
      <c r="W248" s="204" t="s">
        <v>125</v>
      </c>
      <c r="X248" s="199"/>
      <c r="Y248" s="199"/>
      <c r="Z248" s="40" t="s">
        <v>6</v>
      </c>
      <c r="AA248" s="40" t="s">
        <v>6</v>
      </c>
      <c r="AB248" s="218"/>
      <c r="AC248" s="199"/>
      <c r="AD248" s="218" t="s">
        <v>622</v>
      </c>
      <c r="AE248" s="204" t="s">
        <v>125</v>
      </c>
      <c r="AF248" s="199"/>
      <c r="AG248" s="199"/>
      <c r="AH248" s="126"/>
      <c r="AI248" s="40" t="s">
        <v>6</v>
      </c>
      <c r="AJ248" s="218"/>
      <c r="AK248" s="199"/>
      <c r="AL248" s="218" t="s">
        <v>622</v>
      </c>
      <c r="AM248" s="199"/>
      <c r="AN248" s="199"/>
      <c r="AO248" s="199"/>
      <c r="AP248" s="199"/>
      <c r="AQ248" s="199"/>
      <c r="AR248" s="199"/>
      <c r="AS248" s="199"/>
      <c r="AT248" s="199"/>
      <c r="AU248" s="199"/>
      <c r="AV248" s="199"/>
      <c r="AW248" s="155"/>
    </row>
    <row r="249" spans="1:49" s="236" customFormat="1" ht="26.4">
      <c r="A249" s="40">
        <f t="shared" si="17"/>
        <v>243</v>
      </c>
      <c r="B249" s="199"/>
      <c r="C249" s="199"/>
      <c r="D249" s="199"/>
      <c r="E249" s="199"/>
      <c r="F249" s="199"/>
      <c r="G249" s="199"/>
      <c r="H249" s="199"/>
      <c r="I249" s="199"/>
      <c r="J249" s="215" t="s">
        <v>3748</v>
      </c>
      <c r="K249" s="204" t="s">
        <v>117</v>
      </c>
      <c r="L249" s="204" t="s">
        <v>3749</v>
      </c>
      <c r="M249" s="204" t="s">
        <v>3695</v>
      </c>
      <c r="N249" s="40" t="s">
        <v>504</v>
      </c>
      <c r="O249" s="199"/>
      <c r="P249" s="199"/>
      <c r="Q249" s="40"/>
      <c r="R249" s="40" t="s">
        <v>6</v>
      </c>
      <c r="S249" s="40" t="s">
        <v>6</v>
      </c>
      <c r="T249" s="40"/>
      <c r="U249" s="204"/>
      <c r="V249" s="204"/>
      <c r="W249" s="204" t="s">
        <v>125</v>
      </c>
      <c r="X249" s="199"/>
      <c r="Y249" s="199"/>
      <c r="Z249" s="40" t="s">
        <v>6</v>
      </c>
      <c r="AA249" s="40" t="s">
        <v>6</v>
      </c>
      <c r="AB249" s="218"/>
      <c r="AC249" s="199"/>
      <c r="AD249" s="218" t="s">
        <v>622</v>
      </c>
      <c r="AE249" s="204" t="s">
        <v>125</v>
      </c>
      <c r="AF249" s="199"/>
      <c r="AG249" s="199"/>
      <c r="AH249" s="126"/>
      <c r="AI249" s="40" t="s">
        <v>6</v>
      </c>
      <c r="AJ249" s="218"/>
      <c r="AK249" s="199"/>
      <c r="AL249" s="218" t="s">
        <v>622</v>
      </c>
      <c r="AM249" s="199"/>
      <c r="AN249" s="199"/>
      <c r="AO249" s="199"/>
      <c r="AP249" s="199"/>
      <c r="AQ249" s="199"/>
      <c r="AR249" s="199"/>
      <c r="AS249" s="199"/>
      <c r="AT249" s="199"/>
      <c r="AU249" s="199"/>
      <c r="AV249" s="199"/>
      <c r="AW249" s="155"/>
    </row>
    <row r="250" spans="1:49" s="236" customFormat="1" ht="26.4">
      <c r="A250" s="40">
        <f t="shared" si="17"/>
        <v>244</v>
      </c>
      <c r="B250" s="199"/>
      <c r="C250" s="199"/>
      <c r="D250" s="199"/>
      <c r="E250" s="199"/>
      <c r="F250" s="199"/>
      <c r="G250" s="199"/>
      <c r="H250" s="199"/>
      <c r="I250" s="199"/>
      <c r="J250" s="215" t="s">
        <v>3750</v>
      </c>
      <c r="K250" s="204" t="s">
        <v>117</v>
      </c>
      <c r="L250" s="204" t="s">
        <v>3751</v>
      </c>
      <c r="M250" s="204" t="s">
        <v>3695</v>
      </c>
      <c r="N250" s="40" t="s">
        <v>504</v>
      </c>
      <c r="O250" s="199"/>
      <c r="P250" s="199"/>
      <c r="Q250" s="40"/>
      <c r="R250" s="40" t="s">
        <v>6</v>
      </c>
      <c r="S250" s="40" t="s">
        <v>6</v>
      </c>
      <c r="T250" s="40"/>
      <c r="U250" s="204"/>
      <c r="V250" s="204"/>
      <c r="W250" s="204" t="s">
        <v>125</v>
      </c>
      <c r="X250" s="199"/>
      <c r="Y250" s="199"/>
      <c r="Z250" s="40" t="s">
        <v>6</v>
      </c>
      <c r="AA250" s="40" t="s">
        <v>6</v>
      </c>
      <c r="AB250" s="218"/>
      <c r="AC250" s="199"/>
      <c r="AD250" s="218" t="s">
        <v>622</v>
      </c>
      <c r="AE250" s="204" t="s">
        <v>125</v>
      </c>
      <c r="AF250" s="199"/>
      <c r="AG250" s="199"/>
      <c r="AH250" s="126"/>
      <c r="AI250" s="40" t="s">
        <v>6</v>
      </c>
      <c r="AJ250" s="218"/>
      <c r="AK250" s="199"/>
      <c r="AL250" s="218" t="s">
        <v>622</v>
      </c>
      <c r="AM250" s="199"/>
      <c r="AN250" s="199"/>
      <c r="AO250" s="199"/>
      <c r="AP250" s="199"/>
      <c r="AQ250" s="199"/>
      <c r="AR250" s="199"/>
      <c r="AS250" s="199"/>
      <c r="AT250" s="199"/>
      <c r="AU250" s="199"/>
      <c r="AV250" s="199"/>
      <c r="AW250" s="155"/>
    </row>
    <row r="251" spans="1:49" s="236" customFormat="1" ht="39.6">
      <c r="A251" s="40">
        <f t="shared" si="17"/>
        <v>245</v>
      </c>
      <c r="B251" s="199"/>
      <c r="C251" s="199"/>
      <c r="D251" s="199"/>
      <c r="E251" s="199"/>
      <c r="F251" s="199"/>
      <c r="G251" s="199"/>
      <c r="H251" s="199"/>
      <c r="I251" s="199"/>
      <c r="J251" s="215" t="s">
        <v>3752</v>
      </c>
      <c r="K251" s="204" t="s">
        <v>117</v>
      </c>
      <c r="L251" s="204" t="s">
        <v>3753</v>
      </c>
      <c r="M251" s="204" t="s">
        <v>3695</v>
      </c>
      <c r="N251" s="40" t="s">
        <v>504</v>
      </c>
      <c r="O251" s="199"/>
      <c r="P251" s="199"/>
      <c r="Q251" s="40"/>
      <c r="R251" s="40" t="s">
        <v>6</v>
      </c>
      <c r="S251" s="40" t="s">
        <v>6</v>
      </c>
      <c r="T251" s="40"/>
      <c r="U251" s="204"/>
      <c r="V251" s="204"/>
      <c r="W251" s="204" t="s">
        <v>125</v>
      </c>
      <c r="X251" s="199"/>
      <c r="Y251" s="199"/>
      <c r="Z251" s="40" t="s">
        <v>6</v>
      </c>
      <c r="AA251" s="40" t="s">
        <v>6</v>
      </c>
      <c r="AB251" s="218"/>
      <c r="AC251" s="199"/>
      <c r="AD251" s="218" t="s">
        <v>3754</v>
      </c>
      <c r="AE251" s="204" t="s">
        <v>125</v>
      </c>
      <c r="AF251" s="199"/>
      <c r="AG251" s="199"/>
      <c r="AH251" s="126"/>
      <c r="AI251" s="40" t="s">
        <v>6</v>
      </c>
      <c r="AJ251" s="218"/>
      <c r="AK251" s="199"/>
      <c r="AL251" s="218" t="s">
        <v>3754</v>
      </c>
      <c r="AM251" s="199"/>
      <c r="AN251" s="199"/>
      <c r="AO251" s="199"/>
      <c r="AP251" s="199"/>
      <c r="AQ251" s="199"/>
      <c r="AR251" s="199"/>
      <c r="AS251" s="199"/>
      <c r="AT251" s="199"/>
      <c r="AU251" s="199"/>
      <c r="AV251" s="199"/>
      <c r="AW251" s="155"/>
    </row>
    <row r="252" spans="1:49" s="236" customFormat="1" ht="39.6">
      <c r="A252" s="40">
        <f t="shared" si="17"/>
        <v>246</v>
      </c>
      <c r="B252" s="199"/>
      <c r="C252" s="199"/>
      <c r="D252" s="199"/>
      <c r="E252" s="199"/>
      <c r="F252" s="199"/>
      <c r="G252" s="199"/>
      <c r="H252" s="199"/>
      <c r="I252" s="199"/>
      <c r="J252" s="215" t="s">
        <v>3755</v>
      </c>
      <c r="K252" s="204" t="s">
        <v>117</v>
      </c>
      <c r="L252" s="204" t="s">
        <v>3756</v>
      </c>
      <c r="M252" s="204" t="s">
        <v>3695</v>
      </c>
      <c r="N252" s="40" t="s">
        <v>504</v>
      </c>
      <c r="O252" s="199"/>
      <c r="P252" s="199"/>
      <c r="Q252" s="40"/>
      <c r="R252" s="40" t="s">
        <v>6</v>
      </c>
      <c r="S252" s="40" t="s">
        <v>6</v>
      </c>
      <c r="T252" s="40"/>
      <c r="U252" s="204"/>
      <c r="V252" s="204"/>
      <c r="W252" s="204" t="s">
        <v>125</v>
      </c>
      <c r="X252" s="199"/>
      <c r="Y252" s="199"/>
      <c r="Z252" s="40" t="s">
        <v>6</v>
      </c>
      <c r="AA252" s="40" t="s">
        <v>6</v>
      </c>
      <c r="AB252" s="218"/>
      <c r="AC252" s="199"/>
      <c r="AD252" s="218" t="s">
        <v>3754</v>
      </c>
      <c r="AE252" s="204" t="s">
        <v>125</v>
      </c>
      <c r="AF252" s="199"/>
      <c r="AG252" s="199"/>
      <c r="AH252" s="126"/>
      <c r="AI252" s="40" t="s">
        <v>6</v>
      </c>
      <c r="AJ252" s="218"/>
      <c r="AK252" s="199"/>
      <c r="AL252" s="218" t="s">
        <v>3754</v>
      </c>
      <c r="AM252" s="199"/>
      <c r="AN252" s="199"/>
      <c r="AO252" s="199"/>
      <c r="AP252" s="199"/>
      <c r="AQ252" s="199"/>
      <c r="AR252" s="199"/>
      <c r="AS252" s="199"/>
      <c r="AT252" s="199"/>
      <c r="AU252" s="199"/>
      <c r="AV252" s="199"/>
      <c r="AW252" s="155"/>
    </row>
    <row r="253" spans="1:49" s="236" customFormat="1" ht="26.4">
      <c r="A253" s="40">
        <f t="shared" si="17"/>
        <v>247</v>
      </c>
      <c r="B253" s="199"/>
      <c r="C253" s="199"/>
      <c r="D253" s="199"/>
      <c r="E253" s="199"/>
      <c r="F253" s="199"/>
      <c r="G253" s="199"/>
      <c r="H253" s="199"/>
      <c r="I253" s="199"/>
      <c r="J253" s="215" t="s">
        <v>3757</v>
      </c>
      <c r="K253" s="204" t="s">
        <v>117</v>
      </c>
      <c r="L253" s="204" t="s">
        <v>3758</v>
      </c>
      <c r="M253" s="204" t="s">
        <v>3695</v>
      </c>
      <c r="N253" s="40" t="s">
        <v>504</v>
      </c>
      <c r="O253" s="199"/>
      <c r="P253" s="199"/>
      <c r="Q253" s="40"/>
      <c r="R253" s="40" t="s">
        <v>6</v>
      </c>
      <c r="S253" s="40" t="s">
        <v>6</v>
      </c>
      <c r="T253" s="40"/>
      <c r="U253" s="204"/>
      <c r="V253" s="204"/>
      <c r="W253" s="204" t="s">
        <v>125</v>
      </c>
      <c r="X253" s="199"/>
      <c r="Y253" s="199"/>
      <c r="Z253" s="40" t="s">
        <v>6</v>
      </c>
      <c r="AA253" s="40" t="s">
        <v>6</v>
      </c>
      <c r="AB253" s="218"/>
      <c r="AC253" s="199"/>
      <c r="AD253" s="218" t="s">
        <v>622</v>
      </c>
      <c r="AE253" s="204" t="s">
        <v>125</v>
      </c>
      <c r="AF253" s="199"/>
      <c r="AG253" s="199"/>
      <c r="AH253" s="126"/>
      <c r="AI253" s="40" t="s">
        <v>6</v>
      </c>
      <c r="AJ253" s="218"/>
      <c r="AK253" s="199"/>
      <c r="AL253" s="218" t="s">
        <v>622</v>
      </c>
      <c r="AM253" s="199"/>
      <c r="AN253" s="199"/>
      <c r="AO253" s="199"/>
      <c r="AP253" s="199"/>
      <c r="AQ253" s="199"/>
      <c r="AR253" s="199"/>
      <c r="AS253" s="199"/>
      <c r="AT253" s="199"/>
      <c r="AU253" s="199"/>
      <c r="AV253" s="199"/>
      <c r="AW253" s="155"/>
    </row>
    <row r="254" spans="1:49" s="236" customFormat="1" ht="26.4">
      <c r="A254" s="40">
        <f t="shared" si="17"/>
        <v>248</v>
      </c>
      <c r="B254" s="199"/>
      <c r="C254" s="199"/>
      <c r="D254" s="199"/>
      <c r="E254" s="199"/>
      <c r="F254" s="199"/>
      <c r="G254" s="199"/>
      <c r="H254" s="199"/>
      <c r="I254" s="199"/>
      <c r="J254" s="215" t="s">
        <v>3759</v>
      </c>
      <c r="K254" s="204" t="s">
        <v>117</v>
      </c>
      <c r="L254" s="204" t="s">
        <v>3760</v>
      </c>
      <c r="M254" s="204" t="s">
        <v>3695</v>
      </c>
      <c r="N254" s="40" t="s">
        <v>504</v>
      </c>
      <c r="O254" s="199"/>
      <c r="P254" s="199"/>
      <c r="Q254" s="40"/>
      <c r="R254" s="40" t="s">
        <v>6</v>
      </c>
      <c r="S254" s="40" t="s">
        <v>6</v>
      </c>
      <c r="T254" s="40"/>
      <c r="U254" s="204"/>
      <c r="V254" s="204"/>
      <c r="W254" s="204" t="s">
        <v>125</v>
      </c>
      <c r="X254" s="199"/>
      <c r="Y254" s="199"/>
      <c r="Z254" s="40" t="s">
        <v>6</v>
      </c>
      <c r="AA254" s="40" t="s">
        <v>6</v>
      </c>
      <c r="AB254" s="218"/>
      <c r="AC254" s="199"/>
      <c r="AD254" s="218" t="s">
        <v>622</v>
      </c>
      <c r="AE254" s="204" t="s">
        <v>125</v>
      </c>
      <c r="AF254" s="199"/>
      <c r="AG254" s="199"/>
      <c r="AH254" s="126"/>
      <c r="AI254" s="40" t="s">
        <v>6</v>
      </c>
      <c r="AJ254" s="218"/>
      <c r="AK254" s="199"/>
      <c r="AL254" s="218" t="s">
        <v>622</v>
      </c>
      <c r="AM254" s="199"/>
      <c r="AN254" s="199"/>
      <c r="AO254" s="199"/>
      <c r="AP254" s="199"/>
      <c r="AQ254" s="199"/>
      <c r="AR254" s="199"/>
      <c r="AS254" s="199"/>
      <c r="AT254" s="199"/>
      <c r="AU254" s="199"/>
      <c r="AV254" s="199"/>
      <c r="AW254" s="155"/>
    </row>
    <row r="255" spans="1:49" s="236" customFormat="1" ht="26.4">
      <c r="A255" s="40">
        <f t="shared" si="17"/>
        <v>249</v>
      </c>
      <c r="B255" s="199"/>
      <c r="C255" s="199"/>
      <c r="D255" s="199"/>
      <c r="E255" s="199"/>
      <c r="F255" s="199"/>
      <c r="G255" s="199"/>
      <c r="H255" s="199"/>
      <c r="I255" s="199"/>
      <c r="J255" s="215" t="s">
        <v>3761</v>
      </c>
      <c r="K255" s="204" t="s">
        <v>117</v>
      </c>
      <c r="L255" s="204" t="s">
        <v>3762</v>
      </c>
      <c r="M255" s="204" t="s">
        <v>3695</v>
      </c>
      <c r="N255" s="40" t="s">
        <v>504</v>
      </c>
      <c r="O255" s="199"/>
      <c r="P255" s="199"/>
      <c r="Q255" s="40"/>
      <c r="R255" s="40" t="s">
        <v>6</v>
      </c>
      <c r="S255" s="40" t="s">
        <v>6</v>
      </c>
      <c r="T255" s="40"/>
      <c r="U255" s="204"/>
      <c r="V255" s="204"/>
      <c r="W255" s="204" t="s">
        <v>125</v>
      </c>
      <c r="X255" s="199"/>
      <c r="Y255" s="199"/>
      <c r="Z255" s="40" t="s">
        <v>6</v>
      </c>
      <c r="AA255" s="40" t="s">
        <v>6</v>
      </c>
      <c r="AB255" s="218"/>
      <c r="AC255" s="199"/>
      <c r="AD255" s="218" t="s">
        <v>622</v>
      </c>
      <c r="AE255" s="204" t="s">
        <v>125</v>
      </c>
      <c r="AF255" s="199"/>
      <c r="AG255" s="199"/>
      <c r="AH255" s="126"/>
      <c r="AI255" s="40" t="s">
        <v>6</v>
      </c>
      <c r="AJ255" s="218"/>
      <c r="AK255" s="199"/>
      <c r="AL255" s="218" t="s">
        <v>622</v>
      </c>
      <c r="AM255" s="199"/>
      <c r="AN255" s="199"/>
      <c r="AO255" s="199"/>
      <c r="AP255" s="199"/>
      <c r="AQ255" s="199"/>
      <c r="AR255" s="199"/>
      <c r="AS255" s="199"/>
      <c r="AT255" s="199"/>
      <c r="AU255" s="199"/>
      <c r="AV255" s="199"/>
      <c r="AW255" s="155"/>
    </row>
    <row r="256" spans="1:49" s="236" customFormat="1" ht="26.4">
      <c r="A256" s="40">
        <f t="shared" si="17"/>
        <v>250</v>
      </c>
      <c r="B256" s="199"/>
      <c r="C256" s="199"/>
      <c r="D256" s="199"/>
      <c r="E256" s="199"/>
      <c r="F256" s="199"/>
      <c r="G256" s="199"/>
      <c r="H256" s="199"/>
      <c r="I256" s="199"/>
      <c r="J256" s="215" t="s">
        <v>3763</v>
      </c>
      <c r="K256" s="204" t="s">
        <v>117</v>
      </c>
      <c r="L256" s="204" t="s">
        <v>3764</v>
      </c>
      <c r="M256" s="204" t="s">
        <v>3695</v>
      </c>
      <c r="N256" s="40" t="s">
        <v>504</v>
      </c>
      <c r="O256" s="199"/>
      <c r="P256" s="199"/>
      <c r="Q256" s="40"/>
      <c r="R256" s="40" t="s">
        <v>6</v>
      </c>
      <c r="S256" s="40" t="s">
        <v>6</v>
      </c>
      <c r="T256" s="40"/>
      <c r="U256" s="204"/>
      <c r="V256" s="204"/>
      <c r="W256" s="204" t="s">
        <v>125</v>
      </c>
      <c r="X256" s="199"/>
      <c r="Y256" s="199"/>
      <c r="Z256" s="40" t="s">
        <v>6</v>
      </c>
      <c r="AA256" s="40" t="s">
        <v>6</v>
      </c>
      <c r="AB256" s="218"/>
      <c r="AC256" s="199"/>
      <c r="AD256" s="218" t="s">
        <v>622</v>
      </c>
      <c r="AE256" s="204" t="s">
        <v>125</v>
      </c>
      <c r="AF256" s="199"/>
      <c r="AG256" s="199"/>
      <c r="AH256" s="126"/>
      <c r="AI256" s="40" t="s">
        <v>6</v>
      </c>
      <c r="AJ256" s="218"/>
      <c r="AK256" s="199"/>
      <c r="AL256" s="218" t="s">
        <v>622</v>
      </c>
      <c r="AM256" s="199"/>
      <c r="AN256" s="199"/>
      <c r="AO256" s="199"/>
      <c r="AP256" s="199"/>
      <c r="AQ256" s="199"/>
      <c r="AR256" s="199"/>
      <c r="AS256" s="199"/>
      <c r="AT256" s="199"/>
      <c r="AU256" s="199"/>
      <c r="AV256" s="199"/>
      <c r="AW256" s="155"/>
    </row>
    <row r="257" spans="1:49" s="236" customFormat="1" ht="26.4">
      <c r="A257" s="40">
        <f t="shared" si="17"/>
        <v>251</v>
      </c>
      <c r="B257" s="199"/>
      <c r="C257" s="199"/>
      <c r="D257" s="199"/>
      <c r="E257" s="199"/>
      <c r="F257" s="199"/>
      <c r="G257" s="199"/>
      <c r="H257" s="199"/>
      <c r="I257" s="199"/>
      <c r="J257" s="215" t="s">
        <v>3765</v>
      </c>
      <c r="K257" s="204" t="s">
        <v>117</v>
      </c>
      <c r="L257" s="204" t="s">
        <v>3766</v>
      </c>
      <c r="M257" s="204" t="s">
        <v>3695</v>
      </c>
      <c r="N257" s="40" t="s">
        <v>504</v>
      </c>
      <c r="O257" s="199"/>
      <c r="P257" s="199"/>
      <c r="Q257" s="40"/>
      <c r="R257" s="40" t="s">
        <v>6</v>
      </c>
      <c r="S257" s="40" t="s">
        <v>6</v>
      </c>
      <c r="T257" s="40"/>
      <c r="U257" s="204"/>
      <c r="V257" s="204"/>
      <c r="W257" s="204" t="s">
        <v>125</v>
      </c>
      <c r="X257" s="199"/>
      <c r="Y257" s="199"/>
      <c r="Z257" s="40" t="s">
        <v>6</v>
      </c>
      <c r="AA257" s="40" t="s">
        <v>6</v>
      </c>
      <c r="AB257" s="218"/>
      <c r="AC257" s="199"/>
      <c r="AD257" s="218" t="s">
        <v>3725</v>
      </c>
      <c r="AE257" s="204" t="s">
        <v>125</v>
      </c>
      <c r="AF257" s="199"/>
      <c r="AG257" s="199"/>
      <c r="AH257" s="126"/>
      <c r="AI257" s="40" t="s">
        <v>6</v>
      </c>
      <c r="AJ257" s="218"/>
      <c r="AK257" s="199"/>
      <c r="AL257" s="218" t="s">
        <v>3725</v>
      </c>
      <c r="AM257" s="199"/>
      <c r="AN257" s="199"/>
      <c r="AO257" s="199"/>
      <c r="AP257" s="199"/>
      <c r="AQ257" s="199"/>
      <c r="AR257" s="199"/>
      <c r="AS257" s="199"/>
      <c r="AT257" s="199"/>
      <c r="AU257" s="199"/>
      <c r="AV257" s="199"/>
      <c r="AW257" s="155"/>
    </row>
    <row r="258" spans="1:49" s="236" customFormat="1" ht="26.4">
      <c r="A258" s="40">
        <f t="shared" si="17"/>
        <v>252</v>
      </c>
      <c r="B258" s="199"/>
      <c r="C258" s="199"/>
      <c r="D258" s="199"/>
      <c r="E258" s="199"/>
      <c r="F258" s="199"/>
      <c r="G258" s="199"/>
      <c r="H258" s="199"/>
      <c r="I258" s="199"/>
      <c r="J258" s="215" t="s">
        <v>3767</v>
      </c>
      <c r="K258" s="204" t="s">
        <v>117</v>
      </c>
      <c r="L258" s="204" t="s">
        <v>3768</v>
      </c>
      <c r="M258" s="204" t="s">
        <v>3695</v>
      </c>
      <c r="N258" s="40" t="s">
        <v>504</v>
      </c>
      <c r="O258" s="199"/>
      <c r="P258" s="199"/>
      <c r="Q258" s="40"/>
      <c r="R258" s="40" t="s">
        <v>6</v>
      </c>
      <c r="S258" s="40" t="s">
        <v>6</v>
      </c>
      <c r="T258" s="40"/>
      <c r="U258" s="204"/>
      <c r="V258" s="204"/>
      <c r="W258" s="204" t="s">
        <v>125</v>
      </c>
      <c r="X258" s="199"/>
      <c r="Y258" s="199"/>
      <c r="Z258" s="40" t="s">
        <v>6</v>
      </c>
      <c r="AA258" s="40" t="s">
        <v>6</v>
      </c>
      <c r="AB258" s="218"/>
      <c r="AC258" s="199"/>
      <c r="AD258" s="218" t="s">
        <v>3725</v>
      </c>
      <c r="AE258" s="204" t="s">
        <v>125</v>
      </c>
      <c r="AF258" s="199"/>
      <c r="AG258" s="199"/>
      <c r="AH258" s="126"/>
      <c r="AI258" s="40" t="s">
        <v>6</v>
      </c>
      <c r="AJ258" s="218"/>
      <c r="AK258" s="199"/>
      <c r="AL258" s="218" t="s">
        <v>3725</v>
      </c>
      <c r="AM258" s="199"/>
      <c r="AN258" s="199"/>
      <c r="AO258" s="199"/>
      <c r="AP258" s="199"/>
      <c r="AQ258" s="199"/>
      <c r="AR258" s="199"/>
      <c r="AS258" s="199"/>
      <c r="AT258" s="199"/>
      <c r="AU258" s="199"/>
      <c r="AV258" s="199"/>
      <c r="AW258" s="155"/>
    </row>
    <row r="259" spans="1:49" s="236" customFormat="1" ht="26.4">
      <c r="A259" s="40">
        <f t="shared" si="17"/>
        <v>253</v>
      </c>
      <c r="B259" s="199"/>
      <c r="C259" s="199"/>
      <c r="D259" s="199"/>
      <c r="E259" s="199"/>
      <c r="F259" s="199"/>
      <c r="G259" s="199"/>
      <c r="H259" s="199"/>
      <c r="I259" s="199"/>
      <c r="J259" s="215" t="s">
        <v>3769</v>
      </c>
      <c r="K259" s="204" t="s">
        <v>117</v>
      </c>
      <c r="L259" s="204" t="s">
        <v>3770</v>
      </c>
      <c r="M259" s="204" t="s">
        <v>3695</v>
      </c>
      <c r="N259" s="40" t="s">
        <v>504</v>
      </c>
      <c r="O259" s="199"/>
      <c r="P259" s="199"/>
      <c r="Q259" s="40"/>
      <c r="R259" s="40" t="s">
        <v>6</v>
      </c>
      <c r="S259" s="40" t="s">
        <v>6</v>
      </c>
      <c r="T259" s="40"/>
      <c r="U259" s="204"/>
      <c r="V259" s="204"/>
      <c r="W259" s="204" t="s">
        <v>125</v>
      </c>
      <c r="X259" s="199"/>
      <c r="Y259" s="199"/>
      <c r="Z259" s="40" t="s">
        <v>6</v>
      </c>
      <c r="AA259" s="40" t="s">
        <v>6</v>
      </c>
      <c r="AB259" s="218"/>
      <c r="AC259" s="199"/>
      <c r="AD259" s="218" t="s">
        <v>3725</v>
      </c>
      <c r="AE259" s="204" t="s">
        <v>125</v>
      </c>
      <c r="AF259" s="199"/>
      <c r="AG259" s="199"/>
      <c r="AH259" s="126"/>
      <c r="AI259" s="40" t="s">
        <v>6</v>
      </c>
      <c r="AJ259" s="218"/>
      <c r="AK259" s="199"/>
      <c r="AL259" s="218" t="s">
        <v>3725</v>
      </c>
      <c r="AM259" s="199"/>
      <c r="AN259" s="199"/>
      <c r="AO259" s="199"/>
      <c r="AP259" s="199"/>
      <c r="AQ259" s="199"/>
      <c r="AR259" s="199"/>
      <c r="AS259" s="199"/>
      <c r="AT259" s="199"/>
      <c r="AU259" s="199"/>
      <c r="AV259" s="199"/>
      <c r="AW259" s="155"/>
    </row>
    <row r="260" spans="1:49" s="236" customFormat="1" ht="26.4">
      <c r="A260" s="40">
        <f t="shared" si="17"/>
        <v>254</v>
      </c>
      <c r="B260" s="199"/>
      <c r="C260" s="199"/>
      <c r="D260" s="199"/>
      <c r="E260" s="199"/>
      <c r="F260" s="199"/>
      <c r="G260" s="199"/>
      <c r="H260" s="199"/>
      <c r="I260" s="199"/>
      <c r="J260" s="215" t="s">
        <v>3771</v>
      </c>
      <c r="K260" s="204" t="s">
        <v>117</v>
      </c>
      <c r="L260" s="204" t="s">
        <v>3772</v>
      </c>
      <c r="M260" s="204" t="s">
        <v>3695</v>
      </c>
      <c r="N260" s="40" t="s">
        <v>504</v>
      </c>
      <c r="O260" s="199"/>
      <c r="P260" s="199"/>
      <c r="Q260" s="40"/>
      <c r="R260" s="40" t="s">
        <v>6</v>
      </c>
      <c r="S260" s="40" t="s">
        <v>6</v>
      </c>
      <c r="T260" s="40"/>
      <c r="U260" s="204"/>
      <c r="V260" s="204"/>
      <c r="W260" s="204" t="s">
        <v>125</v>
      </c>
      <c r="X260" s="199"/>
      <c r="Y260" s="199"/>
      <c r="Z260" s="40" t="s">
        <v>6</v>
      </c>
      <c r="AA260" s="40" t="s">
        <v>6</v>
      </c>
      <c r="AB260" s="218"/>
      <c r="AC260" s="199"/>
      <c r="AD260" s="218" t="s">
        <v>3725</v>
      </c>
      <c r="AE260" s="204" t="s">
        <v>125</v>
      </c>
      <c r="AF260" s="199"/>
      <c r="AG260" s="199"/>
      <c r="AH260" s="126"/>
      <c r="AI260" s="40" t="s">
        <v>6</v>
      </c>
      <c r="AJ260" s="218"/>
      <c r="AK260" s="199"/>
      <c r="AL260" s="218" t="s">
        <v>3725</v>
      </c>
      <c r="AM260" s="199"/>
      <c r="AN260" s="199"/>
      <c r="AO260" s="199"/>
      <c r="AP260" s="199"/>
      <c r="AQ260" s="199"/>
      <c r="AR260" s="199"/>
      <c r="AS260" s="199"/>
      <c r="AT260" s="199"/>
      <c r="AU260" s="199"/>
      <c r="AV260" s="199"/>
      <c r="AW260" s="155"/>
    </row>
    <row r="261" spans="1:49" s="236" customFormat="1" ht="26.4">
      <c r="A261" s="40">
        <f t="shared" si="17"/>
        <v>255</v>
      </c>
      <c r="B261" s="199"/>
      <c r="C261" s="199"/>
      <c r="D261" s="199"/>
      <c r="E261" s="199"/>
      <c r="F261" s="199"/>
      <c r="G261" s="199"/>
      <c r="H261" s="199"/>
      <c r="I261" s="199"/>
      <c r="J261" s="215" t="s">
        <v>3773</v>
      </c>
      <c r="K261" s="204" t="s">
        <v>117</v>
      </c>
      <c r="L261" s="204" t="s">
        <v>3774</v>
      </c>
      <c r="M261" s="204"/>
      <c r="N261" s="40" t="s">
        <v>504</v>
      </c>
      <c r="O261" s="199"/>
      <c r="P261" s="199"/>
      <c r="Q261" s="40"/>
      <c r="R261" s="40" t="s">
        <v>6</v>
      </c>
      <c r="S261" s="40" t="s">
        <v>6</v>
      </c>
      <c r="T261" s="40"/>
      <c r="U261" s="204"/>
      <c r="V261" s="204"/>
      <c r="W261" s="204" t="s">
        <v>125</v>
      </c>
      <c r="X261" s="199"/>
      <c r="Y261" s="199"/>
      <c r="Z261" s="40" t="s">
        <v>6</v>
      </c>
      <c r="AA261" s="40" t="s">
        <v>6</v>
      </c>
      <c r="AB261" s="218"/>
      <c r="AC261" s="199"/>
      <c r="AD261" s="218" t="s">
        <v>3725</v>
      </c>
      <c r="AE261" s="204" t="s">
        <v>125</v>
      </c>
      <c r="AF261" s="199"/>
      <c r="AG261" s="199"/>
      <c r="AH261" s="126"/>
      <c r="AI261" s="40" t="s">
        <v>6</v>
      </c>
      <c r="AJ261" s="218"/>
      <c r="AK261" s="199"/>
      <c r="AL261" s="218" t="s">
        <v>3725</v>
      </c>
      <c r="AM261" s="199"/>
      <c r="AN261" s="199"/>
      <c r="AO261" s="199"/>
      <c r="AP261" s="199"/>
      <c r="AQ261" s="199"/>
      <c r="AR261" s="199"/>
      <c r="AS261" s="199"/>
      <c r="AT261" s="199"/>
      <c r="AU261" s="199"/>
      <c r="AV261" s="199"/>
      <c r="AW261" s="155"/>
    </row>
    <row r="262" spans="1:49" s="236" customFormat="1" ht="39.6">
      <c r="A262" s="40">
        <f t="shared" si="17"/>
        <v>256</v>
      </c>
      <c r="B262" s="199"/>
      <c r="C262" s="199"/>
      <c r="D262" s="199"/>
      <c r="E262" s="199"/>
      <c r="F262" s="199"/>
      <c r="G262" s="199"/>
      <c r="H262" s="199"/>
      <c r="I262" s="199"/>
      <c r="J262" s="215" t="s">
        <v>3775</v>
      </c>
      <c r="K262" s="204" t="s">
        <v>117</v>
      </c>
      <c r="L262" s="204" t="s">
        <v>3776</v>
      </c>
      <c r="M262" s="204"/>
      <c r="N262" s="40" t="s">
        <v>504</v>
      </c>
      <c r="O262" s="199"/>
      <c r="P262" s="199"/>
      <c r="Q262" s="40"/>
      <c r="R262" s="40" t="s">
        <v>6</v>
      </c>
      <c r="S262" s="40" t="s">
        <v>6</v>
      </c>
      <c r="T262" s="40"/>
      <c r="U262" s="204"/>
      <c r="V262" s="204"/>
      <c r="W262" s="204" t="s">
        <v>125</v>
      </c>
      <c r="X262" s="199"/>
      <c r="Y262" s="199"/>
      <c r="Z262" s="40" t="s">
        <v>6</v>
      </c>
      <c r="AA262" s="40" t="s">
        <v>6</v>
      </c>
      <c r="AB262" s="218"/>
      <c r="AC262" s="199"/>
      <c r="AD262" s="218" t="s">
        <v>3754</v>
      </c>
      <c r="AE262" s="204" t="s">
        <v>125</v>
      </c>
      <c r="AF262" s="199"/>
      <c r="AG262" s="199"/>
      <c r="AH262" s="126"/>
      <c r="AI262" s="40" t="s">
        <v>6</v>
      </c>
      <c r="AJ262" s="218"/>
      <c r="AK262" s="199"/>
      <c r="AL262" s="218" t="s">
        <v>3754</v>
      </c>
      <c r="AM262" s="199"/>
      <c r="AN262" s="199"/>
      <c r="AO262" s="199"/>
      <c r="AP262" s="199"/>
      <c r="AQ262" s="199"/>
      <c r="AR262" s="199"/>
      <c r="AS262" s="199"/>
      <c r="AT262" s="199"/>
      <c r="AU262" s="199"/>
      <c r="AV262" s="199"/>
      <c r="AW262" s="155"/>
    </row>
    <row r="263" spans="1:49" s="236" customFormat="1" ht="15">
      <c r="A263" s="40">
        <f t="shared" si="17"/>
        <v>257</v>
      </c>
      <c r="B263" s="199"/>
      <c r="C263" s="199"/>
      <c r="D263" s="199"/>
      <c r="E263" s="199"/>
      <c r="F263" s="199"/>
      <c r="G263" s="199"/>
      <c r="H263" s="199"/>
      <c r="I263" s="199"/>
      <c r="J263" s="218" t="s">
        <v>622</v>
      </c>
      <c r="K263" s="204" t="s">
        <v>117</v>
      </c>
      <c r="L263" s="204" t="s">
        <v>3777</v>
      </c>
      <c r="M263" s="204" t="s">
        <v>3695</v>
      </c>
      <c r="N263" s="40" t="s">
        <v>504</v>
      </c>
      <c r="O263" s="199"/>
      <c r="P263" s="199"/>
      <c r="Q263" s="40" t="s">
        <v>6</v>
      </c>
      <c r="R263" s="40" t="s">
        <v>6</v>
      </c>
      <c r="S263" s="40" t="s">
        <v>6</v>
      </c>
      <c r="T263" s="40"/>
      <c r="U263" s="204"/>
      <c r="V263" s="204"/>
      <c r="W263" s="204" t="s">
        <v>133</v>
      </c>
      <c r="X263" s="199"/>
      <c r="Y263" s="199"/>
      <c r="Z263" s="40" t="s">
        <v>6</v>
      </c>
      <c r="AA263" s="40" t="s">
        <v>6</v>
      </c>
      <c r="AB263" s="215"/>
      <c r="AC263" s="199"/>
      <c r="AD263" s="199"/>
      <c r="AE263" s="204" t="s">
        <v>133</v>
      </c>
      <c r="AF263" s="199"/>
      <c r="AG263" s="199"/>
      <c r="AH263" s="40" t="s">
        <v>6</v>
      </c>
      <c r="AI263" s="40" t="s">
        <v>6</v>
      </c>
      <c r="AJ263" s="215" t="s">
        <v>3778</v>
      </c>
      <c r="AK263" s="199"/>
      <c r="AL263" s="199"/>
      <c r="AM263" s="199"/>
      <c r="AN263" s="199"/>
      <c r="AO263" s="199"/>
      <c r="AP263" s="199"/>
      <c r="AQ263" s="199"/>
      <c r="AR263" s="199"/>
      <c r="AS263" s="199"/>
      <c r="AT263" s="199"/>
      <c r="AU263" s="199"/>
      <c r="AV263" s="199"/>
      <c r="AW263" s="155"/>
    </row>
    <row r="264" spans="1:49" s="236" customFormat="1" ht="15">
      <c r="A264" s="40">
        <f t="shared" ref="A264:A327" si="18">ROW() - 6</f>
        <v>258</v>
      </c>
      <c r="B264" s="199"/>
      <c r="C264" s="199"/>
      <c r="D264" s="199"/>
      <c r="E264" s="199"/>
      <c r="F264" s="199"/>
      <c r="G264" s="199"/>
      <c r="H264" s="199"/>
      <c r="I264" s="199"/>
      <c r="J264" s="215" t="s">
        <v>3779</v>
      </c>
      <c r="K264" s="204" t="s">
        <v>132</v>
      </c>
      <c r="L264" s="204" t="s">
        <v>3780</v>
      </c>
      <c r="M264" s="204" t="s">
        <v>3781</v>
      </c>
      <c r="N264" s="40" t="s">
        <v>504</v>
      </c>
      <c r="O264" s="199"/>
      <c r="P264" s="199"/>
      <c r="Q264" s="40" t="s">
        <v>6</v>
      </c>
      <c r="R264" s="40" t="s">
        <v>6</v>
      </c>
      <c r="S264" s="40" t="s">
        <v>6</v>
      </c>
      <c r="T264" s="40"/>
      <c r="U264" s="204"/>
      <c r="V264" s="204"/>
      <c r="W264" s="204" t="s">
        <v>133</v>
      </c>
      <c r="X264" s="199"/>
      <c r="Y264" s="199"/>
      <c r="Z264" s="40" t="s">
        <v>6</v>
      </c>
      <c r="AA264" s="40" t="s">
        <v>6</v>
      </c>
      <c r="AB264" s="242"/>
      <c r="AC264" s="199"/>
      <c r="AD264" s="199"/>
      <c r="AE264" s="204" t="s">
        <v>133</v>
      </c>
      <c r="AF264" s="199"/>
      <c r="AG264" s="199"/>
      <c r="AH264" s="40" t="s">
        <v>6</v>
      </c>
      <c r="AI264" s="40" t="s">
        <v>6</v>
      </c>
      <c r="AJ264" s="242"/>
      <c r="AK264" s="199"/>
      <c r="AL264" s="199"/>
      <c r="AM264" s="199" t="s">
        <v>632</v>
      </c>
      <c r="AN264" s="199"/>
      <c r="AO264" s="199"/>
      <c r="AP264" s="199"/>
      <c r="AQ264" s="199"/>
      <c r="AR264" s="199"/>
      <c r="AS264" s="199"/>
      <c r="AT264" s="199"/>
      <c r="AU264" s="199"/>
      <c r="AV264" s="199"/>
      <c r="AW264" s="155"/>
    </row>
    <row r="265" spans="1:49" s="236" customFormat="1" ht="15">
      <c r="A265" s="40">
        <f t="shared" si="18"/>
        <v>259</v>
      </c>
      <c r="B265" s="199"/>
      <c r="C265" s="199"/>
      <c r="D265" s="199"/>
      <c r="E265" s="199"/>
      <c r="F265" s="199"/>
      <c r="G265" s="199"/>
      <c r="H265" s="199"/>
      <c r="I265" s="199"/>
      <c r="J265" s="215" t="s">
        <v>3782</v>
      </c>
      <c r="K265" s="204" t="s">
        <v>132</v>
      </c>
      <c r="L265" s="204" t="s">
        <v>3783</v>
      </c>
      <c r="M265" s="204" t="s">
        <v>3781</v>
      </c>
      <c r="N265" s="40" t="s">
        <v>504</v>
      </c>
      <c r="O265" s="199"/>
      <c r="P265" s="199"/>
      <c r="Q265" s="40"/>
      <c r="R265" s="40" t="s">
        <v>6</v>
      </c>
      <c r="S265" s="40" t="s">
        <v>6</v>
      </c>
      <c r="T265" s="126"/>
      <c r="U265" s="204"/>
      <c r="V265" s="204"/>
      <c r="W265" s="204" t="s">
        <v>133</v>
      </c>
      <c r="X265" s="199"/>
      <c r="Y265" s="199"/>
      <c r="Z265" s="40" t="s">
        <v>6</v>
      </c>
      <c r="AA265" s="40" t="s">
        <v>6</v>
      </c>
      <c r="AB265" s="204"/>
      <c r="AC265" s="199"/>
      <c r="AD265" s="199"/>
      <c r="AE265" s="204" t="s">
        <v>133</v>
      </c>
      <c r="AF265" s="199"/>
      <c r="AG265" s="199"/>
      <c r="AH265" s="40" t="s">
        <v>6</v>
      </c>
      <c r="AI265" s="40" t="s">
        <v>6</v>
      </c>
      <c r="AJ265" s="204"/>
      <c r="AK265" s="199"/>
      <c r="AL265" s="199"/>
      <c r="AM265" s="199" t="s">
        <v>632</v>
      </c>
      <c r="AN265" s="202" t="s">
        <v>635</v>
      </c>
      <c r="AO265" s="199"/>
      <c r="AP265" s="199"/>
      <c r="AQ265" s="199"/>
      <c r="AR265" s="199"/>
      <c r="AS265" s="199"/>
      <c r="AT265" s="199"/>
      <c r="AU265" s="199"/>
      <c r="AV265" s="199"/>
      <c r="AW265" s="155"/>
    </row>
    <row r="266" spans="1:49" s="236" customFormat="1" ht="15">
      <c r="A266" s="40">
        <f t="shared" si="18"/>
        <v>260</v>
      </c>
      <c r="B266" s="199"/>
      <c r="C266" s="199"/>
      <c r="D266" s="199"/>
      <c r="E266" s="199"/>
      <c r="F266" s="199"/>
      <c r="G266" s="199"/>
      <c r="H266" s="199"/>
      <c r="I266" s="199"/>
      <c r="J266" s="215" t="s">
        <v>3784</v>
      </c>
      <c r="K266" s="204" t="s">
        <v>132</v>
      </c>
      <c r="L266" s="204" t="s">
        <v>3785</v>
      </c>
      <c r="M266" s="204" t="s">
        <v>3781</v>
      </c>
      <c r="N266" s="40" t="s">
        <v>504</v>
      </c>
      <c r="O266" s="199"/>
      <c r="P266" s="199"/>
      <c r="Q266" s="40"/>
      <c r="R266" s="40" t="s">
        <v>6</v>
      </c>
      <c r="S266" s="40" t="s">
        <v>6</v>
      </c>
      <c r="T266" s="126"/>
      <c r="U266" s="204"/>
      <c r="V266" s="204"/>
      <c r="W266" s="204" t="s">
        <v>133</v>
      </c>
      <c r="X266" s="199"/>
      <c r="Y266" s="199"/>
      <c r="Z266" s="40" t="s">
        <v>6</v>
      </c>
      <c r="AA266" s="40" t="s">
        <v>6</v>
      </c>
      <c r="AB266" s="204"/>
      <c r="AC266" s="199"/>
      <c r="AD266" s="199"/>
      <c r="AE266" s="204" t="s">
        <v>133</v>
      </c>
      <c r="AF266" s="199"/>
      <c r="AG266" s="199"/>
      <c r="AH266" s="40" t="s">
        <v>6</v>
      </c>
      <c r="AI266" s="40" t="s">
        <v>6</v>
      </c>
      <c r="AJ266" s="204"/>
      <c r="AK266" s="199"/>
      <c r="AL266" s="199"/>
      <c r="AM266" s="199" t="s">
        <v>632</v>
      </c>
      <c r="AN266" s="202" t="s">
        <v>635</v>
      </c>
      <c r="AO266" s="199"/>
      <c r="AP266" s="199"/>
      <c r="AQ266" s="199"/>
      <c r="AR266" s="199"/>
      <c r="AS266" s="199"/>
      <c r="AT266" s="199"/>
      <c r="AU266" s="199"/>
      <c r="AV266" s="199"/>
      <c r="AW266" s="155"/>
    </row>
    <row r="267" spans="1:49" s="236" customFormat="1" ht="15">
      <c r="A267" s="40">
        <f t="shared" si="18"/>
        <v>261</v>
      </c>
      <c r="B267" s="199"/>
      <c r="C267" s="199"/>
      <c r="D267" s="199"/>
      <c r="E267" s="199"/>
      <c r="F267" s="199"/>
      <c r="G267" s="199"/>
      <c r="H267" s="199"/>
      <c r="I267" s="199"/>
      <c r="J267" s="215" t="s">
        <v>3786</v>
      </c>
      <c r="K267" s="204" t="s">
        <v>132</v>
      </c>
      <c r="L267" s="204" t="s">
        <v>3787</v>
      </c>
      <c r="M267" s="204" t="s">
        <v>3788</v>
      </c>
      <c r="N267" s="40" t="s">
        <v>504</v>
      </c>
      <c r="O267" s="199"/>
      <c r="P267" s="199"/>
      <c r="Q267" s="40" t="s">
        <v>6</v>
      </c>
      <c r="R267" s="40" t="s">
        <v>6</v>
      </c>
      <c r="S267" s="40" t="s">
        <v>6</v>
      </c>
      <c r="T267" s="40"/>
      <c r="U267" s="204"/>
      <c r="V267" s="204"/>
      <c r="W267" s="204" t="s">
        <v>133</v>
      </c>
      <c r="X267" s="199"/>
      <c r="Y267" s="199"/>
      <c r="Z267" s="40" t="s">
        <v>6</v>
      </c>
      <c r="AA267" s="40" t="s">
        <v>6</v>
      </c>
      <c r="AB267" s="204"/>
      <c r="AC267" s="199"/>
      <c r="AD267" s="199"/>
      <c r="AE267" s="204" t="s">
        <v>133</v>
      </c>
      <c r="AF267" s="199"/>
      <c r="AG267" s="199"/>
      <c r="AH267" s="40" t="s">
        <v>6</v>
      </c>
      <c r="AI267" s="40" t="s">
        <v>6</v>
      </c>
      <c r="AJ267" s="204"/>
      <c r="AK267" s="199"/>
      <c r="AL267" s="199"/>
      <c r="AM267" s="199"/>
      <c r="AN267" s="199"/>
      <c r="AO267" s="199"/>
      <c r="AP267" s="199"/>
      <c r="AQ267" s="199"/>
      <c r="AR267" s="199"/>
      <c r="AS267" s="199"/>
      <c r="AT267" s="199"/>
      <c r="AU267" s="199"/>
      <c r="AV267" s="199"/>
      <c r="AW267" s="155"/>
    </row>
    <row r="268" spans="1:49" s="236" customFormat="1" ht="15">
      <c r="A268" s="40">
        <f t="shared" si="18"/>
        <v>262</v>
      </c>
      <c r="B268" s="199"/>
      <c r="C268" s="199"/>
      <c r="D268" s="199"/>
      <c r="E268" s="199"/>
      <c r="F268" s="199"/>
      <c r="G268" s="199"/>
      <c r="H268" s="199"/>
      <c r="I268" s="199"/>
      <c r="J268" s="215" t="s">
        <v>3789</v>
      </c>
      <c r="K268" s="204" t="s">
        <v>132</v>
      </c>
      <c r="L268" s="204" t="s">
        <v>3790</v>
      </c>
      <c r="M268" s="204" t="s">
        <v>3788</v>
      </c>
      <c r="N268" s="40" t="s">
        <v>504</v>
      </c>
      <c r="O268" s="199"/>
      <c r="P268" s="199"/>
      <c r="Q268" s="40" t="s">
        <v>6</v>
      </c>
      <c r="R268" s="40" t="s">
        <v>6</v>
      </c>
      <c r="S268" s="40" t="s">
        <v>6</v>
      </c>
      <c r="T268" s="40"/>
      <c r="U268" s="204"/>
      <c r="V268" s="204"/>
      <c r="W268" s="204" t="s">
        <v>133</v>
      </c>
      <c r="X268" s="199"/>
      <c r="Y268" s="199"/>
      <c r="Z268" s="40" t="s">
        <v>6</v>
      </c>
      <c r="AA268" s="40" t="s">
        <v>6</v>
      </c>
      <c r="AB268" s="204"/>
      <c r="AC268" s="199"/>
      <c r="AD268" s="199"/>
      <c r="AE268" s="204" t="s">
        <v>133</v>
      </c>
      <c r="AF268" s="199"/>
      <c r="AG268" s="199"/>
      <c r="AH268" s="40" t="s">
        <v>6</v>
      </c>
      <c r="AI268" s="40" t="s">
        <v>6</v>
      </c>
      <c r="AJ268" s="204"/>
      <c r="AK268" s="199"/>
      <c r="AL268" s="199"/>
      <c r="AM268" s="199"/>
      <c r="AN268" s="199"/>
      <c r="AO268" s="199"/>
      <c r="AP268" s="199"/>
      <c r="AQ268" s="199"/>
      <c r="AR268" s="199"/>
      <c r="AS268" s="199"/>
      <c r="AT268" s="199"/>
      <c r="AU268" s="199"/>
      <c r="AV268" s="199"/>
      <c r="AW268" s="155"/>
    </row>
    <row r="269" spans="1:49" s="236" customFormat="1" ht="15">
      <c r="A269" s="40">
        <f t="shared" si="18"/>
        <v>263</v>
      </c>
      <c r="B269" s="199"/>
      <c r="C269" s="199"/>
      <c r="D269" s="199"/>
      <c r="E269" s="199"/>
      <c r="F269" s="199"/>
      <c r="G269" s="199"/>
      <c r="H269" s="199"/>
      <c r="I269" s="199"/>
      <c r="J269" s="215" t="s">
        <v>3791</v>
      </c>
      <c r="K269" s="204" t="s">
        <v>132</v>
      </c>
      <c r="L269" s="204" t="s">
        <v>3792</v>
      </c>
      <c r="M269" s="204" t="s">
        <v>3788</v>
      </c>
      <c r="N269" s="40" t="s">
        <v>504</v>
      </c>
      <c r="O269" s="199"/>
      <c r="P269" s="199"/>
      <c r="Q269" s="40" t="s">
        <v>6</v>
      </c>
      <c r="R269" s="40" t="s">
        <v>6</v>
      </c>
      <c r="S269" s="40" t="s">
        <v>6</v>
      </c>
      <c r="T269" s="126"/>
      <c r="U269" s="204"/>
      <c r="V269" s="204"/>
      <c r="W269" s="204" t="s">
        <v>133</v>
      </c>
      <c r="X269" s="199"/>
      <c r="Y269" s="199"/>
      <c r="Z269" s="40" t="s">
        <v>6</v>
      </c>
      <c r="AA269" s="40" t="s">
        <v>6</v>
      </c>
      <c r="AB269" s="204"/>
      <c r="AC269" s="199"/>
      <c r="AD269" s="199"/>
      <c r="AE269" s="204" t="s">
        <v>133</v>
      </c>
      <c r="AF269" s="199"/>
      <c r="AG269" s="199"/>
      <c r="AH269" s="40" t="s">
        <v>6</v>
      </c>
      <c r="AI269" s="40" t="s">
        <v>6</v>
      </c>
      <c r="AJ269" s="204"/>
      <c r="AK269" s="199"/>
      <c r="AL269" s="199"/>
      <c r="AM269" s="199"/>
      <c r="AN269" s="199"/>
      <c r="AO269" s="199"/>
      <c r="AP269" s="199"/>
      <c r="AQ269" s="199"/>
      <c r="AR269" s="199"/>
      <c r="AS269" s="199"/>
      <c r="AT269" s="199"/>
      <c r="AU269" s="199"/>
      <c r="AV269" s="199"/>
      <c r="AW269" s="155"/>
    </row>
    <row r="270" spans="1:49" s="236" customFormat="1" ht="15">
      <c r="A270" s="40">
        <f t="shared" si="18"/>
        <v>264</v>
      </c>
      <c r="B270" s="199"/>
      <c r="C270" s="199"/>
      <c r="D270" s="199"/>
      <c r="E270" s="199"/>
      <c r="F270" s="199"/>
      <c r="G270" s="199"/>
      <c r="H270" s="199"/>
      <c r="I270" s="199"/>
      <c r="J270" s="215" t="s">
        <v>3793</v>
      </c>
      <c r="K270" s="204" t="s">
        <v>132</v>
      </c>
      <c r="L270" s="204" t="s">
        <v>3794</v>
      </c>
      <c r="M270" s="204" t="s">
        <v>3788</v>
      </c>
      <c r="N270" s="40" t="s">
        <v>504</v>
      </c>
      <c r="O270" s="199"/>
      <c r="P270" s="199"/>
      <c r="Q270" s="40" t="s">
        <v>6</v>
      </c>
      <c r="R270" s="40" t="s">
        <v>6</v>
      </c>
      <c r="S270" s="40" t="s">
        <v>6</v>
      </c>
      <c r="T270" s="126"/>
      <c r="U270" s="204"/>
      <c r="V270" s="204"/>
      <c r="W270" s="204" t="s">
        <v>133</v>
      </c>
      <c r="X270" s="199"/>
      <c r="Y270" s="199"/>
      <c r="Z270" s="40" t="s">
        <v>6</v>
      </c>
      <c r="AA270" s="40" t="s">
        <v>6</v>
      </c>
      <c r="AB270" s="204"/>
      <c r="AC270" s="199"/>
      <c r="AD270" s="199"/>
      <c r="AE270" s="204" t="s">
        <v>133</v>
      </c>
      <c r="AF270" s="199"/>
      <c r="AG270" s="199"/>
      <c r="AH270" s="40" t="s">
        <v>6</v>
      </c>
      <c r="AI270" s="40" t="s">
        <v>6</v>
      </c>
      <c r="AJ270" s="204"/>
      <c r="AK270" s="199"/>
      <c r="AL270" s="199"/>
      <c r="AM270" s="199"/>
      <c r="AN270" s="199"/>
      <c r="AO270" s="199"/>
      <c r="AP270" s="199"/>
      <c r="AQ270" s="199"/>
      <c r="AR270" s="199"/>
      <c r="AS270" s="199"/>
      <c r="AT270" s="199"/>
      <c r="AU270" s="199"/>
      <c r="AV270" s="199"/>
      <c r="AW270" s="155"/>
    </row>
    <row r="271" spans="1:49" s="236" customFormat="1" ht="15">
      <c r="A271" s="40">
        <f t="shared" si="18"/>
        <v>265</v>
      </c>
      <c r="B271" s="199"/>
      <c r="C271" s="199"/>
      <c r="D271" s="199"/>
      <c r="E271" s="199"/>
      <c r="F271" s="199"/>
      <c r="G271" s="199"/>
      <c r="H271" s="199"/>
      <c r="I271" s="199"/>
      <c r="J271" s="215" t="s">
        <v>3795</v>
      </c>
      <c r="K271" s="204" t="s">
        <v>132</v>
      </c>
      <c r="L271" s="204" t="s">
        <v>3796</v>
      </c>
      <c r="M271" s="204" t="s">
        <v>3797</v>
      </c>
      <c r="N271" s="40" t="s">
        <v>504</v>
      </c>
      <c r="O271" s="199"/>
      <c r="P271" s="199"/>
      <c r="Q271" s="40" t="s">
        <v>6</v>
      </c>
      <c r="R271" s="40" t="s">
        <v>6</v>
      </c>
      <c r="S271" s="40" t="s">
        <v>6</v>
      </c>
      <c r="T271" s="126"/>
      <c r="U271" s="204"/>
      <c r="V271" s="204"/>
      <c r="W271" s="204" t="s">
        <v>133</v>
      </c>
      <c r="X271" s="199"/>
      <c r="Y271" s="199"/>
      <c r="Z271" s="40" t="s">
        <v>6</v>
      </c>
      <c r="AA271" s="40" t="s">
        <v>6</v>
      </c>
      <c r="AB271" s="204"/>
      <c r="AC271" s="199"/>
      <c r="AD271" s="199" t="s">
        <v>545</v>
      </c>
      <c r="AE271" s="204" t="s">
        <v>133</v>
      </c>
      <c r="AF271" s="199"/>
      <c r="AG271" s="199"/>
      <c r="AH271" s="40" t="s">
        <v>6</v>
      </c>
      <c r="AI271" s="40" t="s">
        <v>6</v>
      </c>
      <c r="AJ271" s="204"/>
      <c r="AK271" s="199"/>
      <c r="AL271" s="199" t="s">
        <v>545</v>
      </c>
      <c r="AM271" s="199"/>
      <c r="AN271" s="199"/>
      <c r="AO271" s="199"/>
      <c r="AP271" s="199"/>
      <c r="AQ271" s="199"/>
      <c r="AR271" s="199"/>
      <c r="AS271" s="199"/>
      <c r="AT271" s="199"/>
      <c r="AU271" s="199"/>
      <c r="AV271" s="199"/>
      <c r="AW271" s="155"/>
    </row>
    <row r="272" spans="1:49" s="236" customFormat="1" ht="15">
      <c r="A272" s="40">
        <f t="shared" si="18"/>
        <v>266</v>
      </c>
      <c r="B272" s="199"/>
      <c r="C272" s="199"/>
      <c r="D272" s="199"/>
      <c r="E272" s="199"/>
      <c r="F272" s="199"/>
      <c r="G272" s="199"/>
      <c r="H272" s="199"/>
      <c r="I272" s="199"/>
      <c r="J272" s="215" t="s">
        <v>3798</v>
      </c>
      <c r="K272" s="204" t="s">
        <v>132</v>
      </c>
      <c r="L272" s="204" t="s">
        <v>3799</v>
      </c>
      <c r="M272" s="204" t="s">
        <v>3797</v>
      </c>
      <c r="N272" s="40" t="s">
        <v>504</v>
      </c>
      <c r="O272" s="199"/>
      <c r="P272" s="199"/>
      <c r="Q272" s="40" t="s">
        <v>6</v>
      </c>
      <c r="R272" s="40" t="s">
        <v>6</v>
      </c>
      <c r="S272" s="40" t="s">
        <v>6</v>
      </c>
      <c r="T272" s="126"/>
      <c r="U272" s="204"/>
      <c r="V272" s="204"/>
      <c r="W272" s="204" t="s">
        <v>133</v>
      </c>
      <c r="X272" s="199"/>
      <c r="Y272" s="199"/>
      <c r="Z272" s="40" t="s">
        <v>6</v>
      </c>
      <c r="AA272" s="40" t="s">
        <v>6</v>
      </c>
      <c r="AB272" s="204"/>
      <c r="AC272" s="199"/>
      <c r="AD272" s="199" t="s">
        <v>545</v>
      </c>
      <c r="AE272" s="204" t="s">
        <v>133</v>
      </c>
      <c r="AF272" s="199"/>
      <c r="AG272" s="199"/>
      <c r="AH272" s="40" t="s">
        <v>6</v>
      </c>
      <c r="AI272" s="40" t="s">
        <v>6</v>
      </c>
      <c r="AJ272" s="204"/>
      <c r="AK272" s="199"/>
      <c r="AL272" s="199" t="s">
        <v>545</v>
      </c>
      <c r="AM272" s="199"/>
      <c r="AN272" s="199"/>
      <c r="AO272" s="199"/>
      <c r="AP272" s="199"/>
      <c r="AQ272" s="199"/>
      <c r="AR272" s="199"/>
      <c r="AS272" s="199"/>
      <c r="AT272" s="199"/>
      <c r="AU272" s="199"/>
      <c r="AV272" s="199"/>
      <c r="AW272" s="155"/>
    </row>
    <row r="273" spans="1:49" s="236" customFormat="1" ht="15">
      <c r="A273" s="40">
        <f t="shared" si="18"/>
        <v>267</v>
      </c>
      <c r="B273" s="199"/>
      <c r="C273" s="199"/>
      <c r="D273" s="199"/>
      <c r="E273" s="199"/>
      <c r="F273" s="199"/>
      <c r="G273" s="199"/>
      <c r="H273" s="199"/>
      <c r="I273" s="199"/>
      <c r="J273" s="215" t="s">
        <v>3800</v>
      </c>
      <c r="K273" s="204" t="s">
        <v>132</v>
      </c>
      <c r="L273" s="204" t="s">
        <v>3801</v>
      </c>
      <c r="M273" s="204" t="s">
        <v>3797</v>
      </c>
      <c r="N273" s="40" t="s">
        <v>504</v>
      </c>
      <c r="O273" s="199"/>
      <c r="P273" s="199"/>
      <c r="Q273" s="40" t="s">
        <v>6</v>
      </c>
      <c r="R273" s="40" t="s">
        <v>6</v>
      </c>
      <c r="S273" s="40" t="s">
        <v>6</v>
      </c>
      <c r="T273" s="40"/>
      <c r="U273" s="204"/>
      <c r="V273" s="204"/>
      <c r="W273" s="204" t="s">
        <v>133</v>
      </c>
      <c r="X273" s="199"/>
      <c r="Y273" s="199"/>
      <c r="Z273" s="40" t="s">
        <v>6</v>
      </c>
      <c r="AA273" s="40" t="s">
        <v>6</v>
      </c>
      <c r="AB273" s="204"/>
      <c r="AC273" s="199"/>
      <c r="AD273" s="199"/>
      <c r="AE273" s="204" t="s">
        <v>133</v>
      </c>
      <c r="AF273" s="199"/>
      <c r="AG273" s="199"/>
      <c r="AH273" s="40" t="s">
        <v>6</v>
      </c>
      <c r="AI273" s="40" t="s">
        <v>6</v>
      </c>
      <c r="AJ273" s="204"/>
      <c r="AK273" s="199"/>
      <c r="AL273" s="199"/>
      <c r="AM273" s="199"/>
      <c r="AN273" s="202" t="s">
        <v>649</v>
      </c>
      <c r="AO273" s="199"/>
      <c r="AP273" s="199"/>
      <c r="AQ273" s="199"/>
      <c r="AR273" s="199"/>
      <c r="AS273" s="199"/>
      <c r="AT273" s="199"/>
      <c r="AU273" s="199"/>
      <c r="AV273" s="199"/>
      <c r="AW273" s="155"/>
    </row>
    <row r="274" spans="1:49" s="236" customFormat="1" ht="15">
      <c r="A274" s="40">
        <f t="shared" si="18"/>
        <v>268</v>
      </c>
      <c r="B274" s="199"/>
      <c r="C274" s="199"/>
      <c r="D274" s="199"/>
      <c r="E274" s="199"/>
      <c r="F274" s="199"/>
      <c r="G274" s="199"/>
      <c r="H274" s="199"/>
      <c r="I274" s="199"/>
      <c r="J274" s="215" t="s">
        <v>3802</v>
      </c>
      <c r="K274" s="204" t="s">
        <v>132</v>
      </c>
      <c r="L274" s="204" t="s">
        <v>3803</v>
      </c>
      <c r="M274" s="204" t="s">
        <v>3797</v>
      </c>
      <c r="N274" s="40" t="s">
        <v>504</v>
      </c>
      <c r="O274" s="199"/>
      <c r="P274" s="199"/>
      <c r="Q274" s="40" t="s">
        <v>6</v>
      </c>
      <c r="R274" s="40" t="s">
        <v>6</v>
      </c>
      <c r="S274" s="40" t="s">
        <v>6</v>
      </c>
      <c r="T274" s="40"/>
      <c r="U274" s="204"/>
      <c r="V274" s="204"/>
      <c r="W274" s="204" t="s">
        <v>133</v>
      </c>
      <c r="X274" s="199"/>
      <c r="Y274" s="199"/>
      <c r="Z274" s="40" t="s">
        <v>6</v>
      </c>
      <c r="AA274" s="40" t="s">
        <v>6</v>
      </c>
      <c r="AB274" s="204"/>
      <c r="AC274" s="199"/>
      <c r="AD274" s="199"/>
      <c r="AE274" s="204" t="s">
        <v>133</v>
      </c>
      <c r="AF274" s="199"/>
      <c r="AG274" s="199"/>
      <c r="AH274" s="40" t="s">
        <v>6</v>
      </c>
      <c r="AI274" s="40" t="s">
        <v>6</v>
      </c>
      <c r="AJ274" s="204"/>
      <c r="AK274" s="199"/>
      <c r="AL274" s="199"/>
      <c r="AM274" s="199"/>
      <c r="AN274" s="202" t="s">
        <v>649</v>
      </c>
      <c r="AO274" s="199"/>
      <c r="AP274" s="199"/>
      <c r="AQ274" s="199"/>
      <c r="AR274" s="199"/>
      <c r="AS274" s="199"/>
      <c r="AT274" s="199"/>
      <c r="AU274" s="199"/>
      <c r="AV274" s="199"/>
      <c r="AW274" s="155"/>
    </row>
    <row r="275" spans="1:49" s="236" customFormat="1" ht="15">
      <c r="A275" s="40">
        <f t="shared" si="18"/>
        <v>269</v>
      </c>
      <c r="B275" s="199"/>
      <c r="C275" s="199"/>
      <c r="D275" s="199"/>
      <c r="E275" s="199"/>
      <c r="F275" s="199"/>
      <c r="G275" s="199"/>
      <c r="H275" s="199"/>
      <c r="I275" s="199"/>
      <c r="J275" s="215" t="s">
        <v>3804</v>
      </c>
      <c r="K275" s="204" t="s">
        <v>132</v>
      </c>
      <c r="L275" s="204" t="s">
        <v>3805</v>
      </c>
      <c r="M275" s="204" t="s">
        <v>3806</v>
      </c>
      <c r="N275" s="40" t="s">
        <v>504</v>
      </c>
      <c r="O275" s="199"/>
      <c r="P275" s="199"/>
      <c r="Q275" s="40" t="s">
        <v>6</v>
      </c>
      <c r="R275" s="40" t="s">
        <v>6</v>
      </c>
      <c r="S275" s="40" t="s">
        <v>6</v>
      </c>
      <c r="T275" s="40"/>
      <c r="U275" s="204"/>
      <c r="V275" s="204"/>
      <c r="W275" s="204" t="s">
        <v>133</v>
      </c>
      <c r="X275" s="199"/>
      <c r="Y275" s="199"/>
      <c r="Z275" s="40" t="s">
        <v>6</v>
      </c>
      <c r="AA275" s="40" t="s">
        <v>6</v>
      </c>
      <c r="AB275" s="204"/>
      <c r="AC275" s="199"/>
      <c r="AD275" s="199"/>
      <c r="AE275" s="204" t="s">
        <v>133</v>
      </c>
      <c r="AF275" s="199"/>
      <c r="AG275" s="199"/>
      <c r="AH275" s="40" t="s">
        <v>6</v>
      </c>
      <c r="AI275" s="40" t="s">
        <v>6</v>
      </c>
      <c r="AJ275" s="204"/>
      <c r="AK275" s="199"/>
      <c r="AL275" s="199"/>
      <c r="AM275" s="199"/>
      <c r="AN275" s="199"/>
      <c r="AO275" s="199"/>
      <c r="AP275" s="199"/>
      <c r="AQ275" s="199"/>
      <c r="AR275" s="199"/>
      <c r="AS275" s="199"/>
      <c r="AT275" s="199"/>
      <c r="AU275" s="199"/>
      <c r="AV275" s="199"/>
      <c r="AW275" s="155"/>
    </row>
    <row r="276" spans="1:49" s="236" customFormat="1" ht="26.4">
      <c r="A276" s="40">
        <f t="shared" si="18"/>
        <v>270</v>
      </c>
      <c r="B276" s="199"/>
      <c r="C276" s="199"/>
      <c r="D276" s="199"/>
      <c r="E276" s="199"/>
      <c r="F276" s="199"/>
      <c r="G276" s="199"/>
      <c r="H276" s="199"/>
      <c r="I276" s="199"/>
      <c r="J276" s="215" t="s">
        <v>3807</v>
      </c>
      <c r="K276" s="204" t="s">
        <v>132</v>
      </c>
      <c r="L276" s="204" t="s">
        <v>3808</v>
      </c>
      <c r="M276" s="204" t="s">
        <v>3809</v>
      </c>
      <c r="N276" s="40" t="s">
        <v>504</v>
      </c>
      <c r="O276" s="199"/>
      <c r="P276" s="199"/>
      <c r="Q276" s="40"/>
      <c r="R276" s="40" t="s">
        <v>6</v>
      </c>
      <c r="S276" s="40" t="s">
        <v>6</v>
      </c>
      <c r="T276" s="126"/>
      <c r="U276" s="204"/>
      <c r="V276" s="204"/>
      <c r="W276" s="204" t="s">
        <v>125</v>
      </c>
      <c r="X276" s="199"/>
      <c r="Y276" s="199"/>
      <c r="Z276" s="40" t="s">
        <v>6</v>
      </c>
      <c r="AA276" s="40" t="s">
        <v>6</v>
      </c>
      <c r="AB276" s="218"/>
      <c r="AC276" s="199"/>
      <c r="AD276" s="218" t="s">
        <v>653</v>
      </c>
      <c r="AE276" s="204" t="s">
        <v>125</v>
      </c>
      <c r="AF276" s="199"/>
      <c r="AG276" s="199"/>
      <c r="AH276" s="126"/>
      <c r="AI276" s="40" t="s">
        <v>6</v>
      </c>
      <c r="AJ276" s="218"/>
      <c r="AK276" s="199"/>
      <c r="AL276" s="218" t="s">
        <v>653</v>
      </c>
      <c r="AM276" s="199"/>
      <c r="AN276" s="199"/>
      <c r="AO276" s="199"/>
      <c r="AP276" s="199"/>
      <c r="AQ276" s="199"/>
      <c r="AR276" s="199"/>
      <c r="AS276" s="199"/>
      <c r="AT276" s="199"/>
      <c r="AU276" s="199"/>
      <c r="AV276" s="199"/>
      <c r="AW276" s="155"/>
    </row>
    <row r="277" spans="1:49" s="236" customFormat="1" ht="26.4">
      <c r="A277" s="40">
        <f t="shared" si="18"/>
        <v>271</v>
      </c>
      <c r="B277" s="199"/>
      <c r="C277" s="199"/>
      <c r="D277" s="199"/>
      <c r="E277" s="199"/>
      <c r="F277" s="199"/>
      <c r="G277" s="199"/>
      <c r="H277" s="199"/>
      <c r="I277" s="199"/>
      <c r="J277" s="215" t="s">
        <v>3810</v>
      </c>
      <c r="K277" s="204" t="s">
        <v>132</v>
      </c>
      <c r="L277" s="204" t="s">
        <v>3811</v>
      </c>
      <c r="M277" s="204" t="s">
        <v>3809</v>
      </c>
      <c r="N277" s="40" t="s">
        <v>504</v>
      </c>
      <c r="O277" s="199"/>
      <c r="P277" s="199"/>
      <c r="Q277" s="40"/>
      <c r="R277" s="40" t="s">
        <v>6</v>
      </c>
      <c r="S277" s="40" t="s">
        <v>6</v>
      </c>
      <c r="T277" s="126"/>
      <c r="U277" s="204"/>
      <c r="V277" s="204"/>
      <c r="W277" s="204" t="s">
        <v>125</v>
      </c>
      <c r="X277" s="199"/>
      <c r="Y277" s="199"/>
      <c r="Z277" s="40" t="s">
        <v>6</v>
      </c>
      <c r="AA277" s="40" t="s">
        <v>6</v>
      </c>
      <c r="AB277" s="218"/>
      <c r="AC277" s="199"/>
      <c r="AD277" s="218" t="s">
        <v>653</v>
      </c>
      <c r="AE277" s="204" t="s">
        <v>125</v>
      </c>
      <c r="AF277" s="199"/>
      <c r="AG277" s="199"/>
      <c r="AH277" s="126"/>
      <c r="AI277" s="40" t="s">
        <v>6</v>
      </c>
      <c r="AJ277" s="218"/>
      <c r="AK277" s="199"/>
      <c r="AL277" s="218" t="s">
        <v>653</v>
      </c>
      <c r="AM277" s="199"/>
      <c r="AN277" s="199"/>
      <c r="AO277" s="199"/>
      <c r="AP277" s="199"/>
      <c r="AQ277" s="199"/>
      <c r="AR277" s="199"/>
      <c r="AS277" s="199"/>
      <c r="AT277" s="199"/>
      <c r="AU277" s="199"/>
      <c r="AV277" s="199"/>
      <c r="AW277" s="155"/>
    </row>
    <row r="278" spans="1:49" s="236" customFormat="1" ht="26.4">
      <c r="A278" s="40">
        <f t="shared" si="18"/>
        <v>272</v>
      </c>
      <c r="B278" s="199"/>
      <c r="C278" s="199"/>
      <c r="D278" s="199"/>
      <c r="E278" s="199"/>
      <c r="F278" s="199"/>
      <c r="G278" s="199"/>
      <c r="H278" s="199"/>
      <c r="I278" s="199"/>
      <c r="J278" s="215" t="s">
        <v>3812</v>
      </c>
      <c r="K278" s="204" t="s">
        <v>132</v>
      </c>
      <c r="L278" s="204" t="s">
        <v>3813</v>
      </c>
      <c r="M278" s="204" t="s">
        <v>3809</v>
      </c>
      <c r="N278" s="40" t="s">
        <v>504</v>
      </c>
      <c r="O278" s="199"/>
      <c r="P278" s="199"/>
      <c r="Q278" s="40"/>
      <c r="R278" s="40" t="s">
        <v>6</v>
      </c>
      <c r="S278" s="40" t="s">
        <v>6</v>
      </c>
      <c r="T278" s="126"/>
      <c r="U278" s="204"/>
      <c r="V278" s="204"/>
      <c r="W278" s="204" t="s">
        <v>125</v>
      </c>
      <c r="X278" s="199"/>
      <c r="Y278" s="199"/>
      <c r="Z278" s="40" t="s">
        <v>6</v>
      </c>
      <c r="AA278" s="40" t="s">
        <v>6</v>
      </c>
      <c r="AB278" s="218"/>
      <c r="AC278" s="199"/>
      <c r="AD278" s="218" t="s">
        <v>653</v>
      </c>
      <c r="AE278" s="204" t="s">
        <v>125</v>
      </c>
      <c r="AF278" s="199"/>
      <c r="AG278" s="199"/>
      <c r="AH278" s="126"/>
      <c r="AI278" s="40" t="s">
        <v>6</v>
      </c>
      <c r="AJ278" s="218"/>
      <c r="AK278" s="199"/>
      <c r="AL278" s="218" t="s">
        <v>653</v>
      </c>
      <c r="AM278" s="199"/>
      <c r="AN278" s="199"/>
      <c r="AO278" s="199"/>
      <c r="AP278" s="199"/>
      <c r="AQ278" s="199"/>
      <c r="AR278" s="199"/>
      <c r="AS278" s="199"/>
      <c r="AT278" s="199"/>
      <c r="AU278" s="199"/>
      <c r="AV278" s="199"/>
      <c r="AW278" s="155"/>
    </row>
    <row r="279" spans="1:49" s="236" customFormat="1" ht="26.4">
      <c r="A279" s="40">
        <f t="shared" si="18"/>
        <v>273</v>
      </c>
      <c r="B279" s="199"/>
      <c r="C279" s="199"/>
      <c r="D279" s="199"/>
      <c r="E279" s="199"/>
      <c r="F279" s="199"/>
      <c r="G279" s="199"/>
      <c r="H279" s="199"/>
      <c r="I279" s="199"/>
      <c r="J279" s="215" t="s">
        <v>3814</v>
      </c>
      <c r="K279" s="204" t="s">
        <v>132</v>
      </c>
      <c r="L279" s="204" t="s">
        <v>3815</v>
      </c>
      <c r="M279" s="204" t="s">
        <v>3809</v>
      </c>
      <c r="N279" s="40" t="s">
        <v>504</v>
      </c>
      <c r="O279" s="199"/>
      <c r="P279" s="199"/>
      <c r="Q279" s="40" t="s">
        <v>6</v>
      </c>
      <c r="R279" s="40" t="s">
        <v>6</v>
      </c>
      <c r="S279" s="40" t="s">
        <v>6</v>
      </c>
      <c r="T279" s="126"/>
      <c r="U279" s="204"/>
      <c r="V279" s="204"/>
      <c r="W279" s="204" t="s">
        <v>133</v>
      </c>
      <c r="X279" s="199"/>
      <c r="Y279" s="199"/>
      <c r="Z279" s="40" t="s">
        <v>6</v>
      </c>
      <c r="AA279" s="40" t="s">
        <v>6</v>
      </c>
      <c r="AB279" s="218"/>
      <c r="AC279" s="199"/>
      <c r="AD279" s="218" t="s">
        <v>653</v>
      </c>
      <c r="AE279" s="204" t="s">
        <v>133</v>
      </c>
      <c r="AF279" s="199"/>
      <c r="AG279" s="199"/>
      <c r="AH279" s="40" t="s">
        <v>6</v>
      </c>
      <c r="AI279" s="40" t="s">
        <v>6</v>
      </c>
      <c r="AJ279" s="218"/>
      <c r="AK279" s="199"/>
      <c r="AL279" s="218" t="s">
        <v>653</v>
      </c>
      <c r="AM279" s="199"/>
      <c r="AN279" s="199"/>
      <c r="AO279" s="199"/>
      <c r="AP279" s="199"/>
      <c r="AQ279" s="199"/>
      <c r="AR279" s="199"/>
      <c r="AS279" s="199"/>
      <c r="AT279" s="199"/>
      <c r="AU279" s="199"/>
      <c r="AV279" s="199"/>
      <c r="AW279" s="155"/>
    </row>
    <row r="280" spans="1:49" s="236" customFormat="1" ht="26.4">
      <c r="A280" s="40">
        <f t="shared" si="18"/>
        <v>274</v>
      </c>
      <c r="B280" s="199"/>
      <c r="C280" s="199"/>
      <c r="D280" s="199"/>
      <c r="E280" s="199"/>
      <c r="F280" s="199"/>
      <c r="G280" s="199"/>
      <c r="H280" s="199"/>
      <c r="I280" s="199"/>
      <c r="J280" s="215" t="s">
        <v>3816</v>
      </c>
      <c r="K280" s="204" t="s">
        <v>132</v>
      </c>
      <c r="L280" s="204" t="s">
        <v>3817</v>
      </c>
      <c r="M280" s="204" t="s">
        <v>3809</v>
      </c>
      <c r="N280" s="40" t="s">
        <v>504</v>
      </c>
      <c r="O280" s="199"/>
      <c r="P280" s="199"/>
      <c r="Q280" s="40" t="s">
        <v>6</v>
      </c>
      <c r="R280" s="40" t="s">
        <v>6</v>
      </c>
      <c r="S280" s="40" t="s">
        <v>6</v>
      </c>
      <c r="T280" s="126"/>
      <c r="U280" s="204"/>
      <c r="V280" s="204"/>
      <c r="W280" s="204" t="s">
        <v>133</v>
      </c>
      <c r="X280" s="199"/>
      <c r="Y280" s="199"/>
      <c r="Z280" s="40" t="s">
        <v>6</v>
      </c>
      <c r="AA280" s="40" t="s">
        <v>6</v>
      </c>
      <c r="AB280" s="218"/>
      <c r="AC280" s="199"/>
      <c r="AD280" s="218" t="s">
        <v>653</v>
      </c>
      <c r="AE280" s="204" t="s">
        <v>133</v>
      </c>
      <c r="AF280" s="199"/>
      <c r="AG280" s="199"/>
      <c r="AH280" s="40" t="s">
        <v>6</v>
      </c>
      <c r="AI280" s="40" t="s">
        <v>6</v>
      </c>
      <c r="AJ280" s="218"/>
      <c r="AK280" s="199"/>
      <c r="AL280" s="218" t="s">
        <v>653</v>
      </c>
      <c r="AM280" s="199"/>
      <c r="AN280" s="199"/>
      <c r="AO280" s="199"/>
      <c r="AP280" s="199"/>
      <c r="AQ280" s="199"/>
      <c r="AR280" s="199"/>
      <c r="AS280" s="199"/>
      <c r="AT280" s="199"/>
      <c r="AU280" s="199"/>
      <c r="AV280" s="199"/>
      <c r="AW280" s="155"/>
    </row>
    <row r="281" spans="1:49" s="236" customFormat="1" ht="26.4">
      <c r="A281" s="40">
        <f t="shared" si="18"/>
        <v>275</v>
      </c>
      <c r="B281" s="199"/>
      <c r="C281" s="199"/>
      <c r="D281" s="199"/>
      <c r="E281" s="199"/>
      <c r="F281" s="199"/>
      <c r="G281" s="199"/>
      <c r="H281" s="199"/>
      <c r="I281" s="199"/>
      <c r="J281" s="215" t="s">
        <v>3818</v>
      </c>
      <c r="K281" s="204" t="s">
        <v>132</v>
      </c>
      <c r="L281" s="204" t="s">
        <v>3819</v>
      </c>
      <c r="M281" s="204" t="s">
        <v>3809</v>
      </c>
      <c r="N281" s="40" t="s">
        <v>504</v>
      </c>
      <c r="O281" s="199"/>
      <c r="P281" s="199"/>
      <c r="Q281" s="40" t="s">
        <v>6</v>
      </c>
      <c r="R281" s="40" t="s">
        <v>6</v>
      </c>
      <c r="S281" s="40" t="s">
        <v>6</v>
      </c>
      <c r="T281" s="126"/>
      <c r="U281" s="204"/>
      <c r="V281" s="204"/>
      <c r="W281" s="204" t="s">
        <v>133</v>
      </c>
      <c r="X281" s="199"/>
      <c r="Y281" s="199"/>
      <c r="Z281" s="40" t="s">
        <v>6</v>
      </c>
      <c r="AA281" s="40" t="s">
        <v>6</v>
      </c>
      <c r="AB281" s="218"/>
      <c r="AC281" s="199"/>
      <c r="AD281" s="218" t="s">
        <v>653</v>
      </c>
      <c r="AE281" s="204" t="s">
        <v>133</v>
      </c>
      <c r="AF281" s="199"/>
      <c r="AG281" s="199"/>
      <c r="AH281" s="40" t="s">
        <v>6</v>
      </c>
      <c r="AI281" s="40" t="s">
        <v>6</v>
      </c>
      <c r="AJ281" s="218"/>
      <c r="AK281" s="199"/>
      <c r="AL281" s="218" t="s">
        <v>653</v>
      </c>
      <c r="AM281" s="199"/>
      <c r="AN281" s="199"/>
      <c r="AO281" s="199"/>
      <c r="AP281" s="199"/>
      <c r="AQ281" s="199"/>
      <c r="AR281" s="199"/>
      <c r="AS281" s="199"/>
      <c r="AT281" s="199"/>
      <c r="AU281" s="199"/>
      <c r="AV281" s="199"/>
      <c r="AW281" s="155"/>
    </row>
    <row r="282" spans="1:49" s="236" customFormat="1" ht="15">
      <c r="A282" s="40">
        <f t="shared" si="18"/>
        <v>276</v>
      </c>
      <c r="B282" s="199"/>
      <c r="C282" s="199"/>
      <c r="D282" s="199"/>
      <c r="E282" s="199"/>
      <c r="F282" s="199"/>
      <c r="G282" s="199"/>
      <c r="H282" s="199"/>
      <c r="I282" s="199"/>
      <c r="J282" s="218" t="s">
        <v>653</v>
      </c>
      <c r="K282" s="204" t="s">
        <v>132</v>
      </c>
      <c r="L282" s="204" t="s">
        <v>3820</v>
      </c>
      <c r="M282" s="204" t="s">
        <v>3809</v>
      </c>
      <c r="N282" s="40" t="s">
        <v>504</v>
      </c>
      <c r="O282" s="199"/>
      <c r="P282" s="199"/>
      <c r="Q282" s="40" t="s">
        <v>6</v>
      </c>
      <c r="R282" s="40" t="s">
        <v>6</v>
      </c>
      <c r="S282" s="40" t="s">
        <v>6</v>
      </c>
      <c r="T282" s="40"/>
      <c r="U282" s="204"/>
      <c r="V282" s="204"/>
      <c r="W282" s="204" t="s">
        <v>133</v>
      </c>
      <c r="X282" s="199"/>
      <c r="Y282" s="199"/>
      <c r="Z282" s="40" t="s">
        <v>6</v>
      </c>
      <c r="AA282" s="40" t="s">
        <v>6</v>
      </c>
      <c r="AB282" s="215"/>
      <c r="AC282" s="199"/>
      <c r="AD282" s="199"/>
      <c r="AE282" s="204" t="s">
        <v>133</v>
      </c>
      <c r="AF282" s="199"/>
      <c r="AG282" s="199"/>
      <c r="AH282" s="40" t="s">
        <v>6</v>
      </c>
      <c r="AI282" s="40" t="s">
        <v>6</v>
      </c>
      <c r="AJ282" s="215" t="s">
        <v>3821</v>
      </c>
      <c r="AK282" s="199"/>
      <c r="AL282" s="199"/>
      <c r="AM282" s="199"/>
      <c r="AN282" s="199"/>
      <c r="AO282" s="199"/>
      <c r="AP282" s="199"/>
      <c r="AQ282" s="199"/>
      <c r="AR282" s="199"/>
      <c r="AS282" s="199"/>
      <c r="AT282" s="199"/>
      <c r="AU282" s="199"/>
      <c r="AV282" s="199"/>
      <c r="AW282" s="155"/>
    </row>
    <row r="283" spans="1:49" s="236" customFormat="1" ht="15">
      <c r="A283" s="40">
        <f t="shared" si="18"/>
        <v>277</v>
      </c>
      <c r="B283" s="199"/>
      <c r="C283" s="199"/>
      <c r="D283" s="199"/>
      <c r="E283" s="199"/>
      <c r="F283" s="199"/>
      <c r="G283" s="199"/>
      <c r="H283" s="199"/>
      <c r="I283" s="199"/>
      <c r="J283" s="218" t="s">
        <v>3822</v>
      </c>
      <c r="K283" s="204" t="s">
        <v>132</v>
      </c>
      <c r="L283" s="204" t="s">
        <v>3823</v>
      </c>
      <c r="M283" s="204" t="s">
        <v>3809</v>
      </c>
      <c r="N283" s="40" t="s">
        <v>504</v>
      </c>
      <c r="O283" s="199"/>
      <c r="P283" s="199"/>
      <c r="Q283" s="40" t="s">
        <v>6</v>
      </c>
      <c r="R283" s="40" t="s">
        <v>6</v>
      </c>
      <c r="S283" s="40" t="s">
        <v>6</v>
      </c>
      <c r="T283" s="126"/>
      <c r="U283" s="204"/>
      <c r="V283" s="204"/>
      <c r="W283" s="204" t="s">
        <v>133</v>
      </c>
      <c r="X283" s="199"/>
      <c r="Y283" s="199"/>
      <c r="Z283" s="40" t="s">
        <v>6</v>
      </c>
      <c r="AA283" s="40" t="s">
        <v>6</v>
      </c>
      <c r="AB283" s="215"/>
      <c r="AC283" s="199"/>
      <c r="AD283" s="199"/>
      <c r="AE283" s="204" t="s">
        <v>133</v>
      </c>
      <c r="AF283" s="199"/>
      <c r="AG283" s="199"/>
      <c r="AH283" s="40" t="s">
        <v>6</v>
      </c>
      <c r="AI283" s="40" t="s">
        <v>6</v>
      </c>
      <c r="AJ283" s="215" t="s">
        <v>3824</v>
      </c>
      <c r="AK283" s="199"/>
      <c r="AL283" s="199"/>
      <c r="AM283" s="199"/>
      <c r="AN283" s="199"/>
      <c r="AO283" s="199"/>
      <c r="AP283" s="199"/>
      <c r="AQ283" s="199"/>
      <c r="AR283" s="199"/>
      <c r="AS283" s="199"/>
      <c r="AT283" s="199"/>
      <c r="AU283" s="199"/>
      <c r="AV283" s="199"/>
      <c r="AW283" s="155"/>
    </row>
    <row r="284" spans="1:49" s="236" customFormat="1" ht="15">
      <c r="A284" s="40">
        <f t="shared" si="18"/>
        <v>278</v>
      </c>
      <c r="B284" s="199"/>
      <c r="C284" s="199"/>
      <c r="D284" s="199"/>
      <c r="E284" s="199"/>
      <c r="F284" s="199"/>
      <c r="G284" s="199"/>
      <c r="H284" s="199"/>
      <c r="I284" s="199"/>
      <c r="J284" s="218" t="s">
        <v>3825</v>
      </c>
      <c r="K284" s="204" t="s">
        <v>132</v>
      </c>
      <c r="L284" s="204" t="s">
        <v>3826</v>
      </c>
      <c r="M284" s="204" t="s">
        <v>3809</v>
      </c>
      <c r="N284" s="40" t="s">
        <v>504</v>
      </c>
      <c r="O284" s="199"/>
      <c r="P284" s="199"/>
      <c r="Q284" s="40" t="s">
        <v>6</v>
      </c>
      <c r="R284" s="40" t="s">
        <v>6</v>
      </c>
      <c r="S284" s="40" t="s">
        <v>6</v>
      </c>
      <c r="T284" s="126"/>
      <c r="U284" s="204"/>
      <c r="V284" s="204"/>
      <c r="W284" s="204" t="s">
        <v>133</v>
      </c>
      <c r="X284" s="199"/>
      <c r="Y284" s="199"/>
      <c r="Z284" s="40" t="s">
        <v>6</v>
      </c>
      <c r="AA284" s="40" t="s">
        <v>6</v>
      </c>
      <c r="AB284" s="215"/>
      <c r="AC284" s="199"/>
      <c r="AD284" s="199"/>
      <c r="AE284" s="204" t="s">
        <v>133</v>
      </c>
      <c r="AF284" s="199"/>
      <c r="AG284" s="199"/>
      <c r="AH284" s="40" t="s">
        <v>6</v>
      </c>
      <c r="AI284" s="40" t="s">
        <v>6</v>
      </c>
      <c r="AJ284" s="215" t="s">
        <v>3827</v>
      </c>
      <c r="AK284" s="199"/>
      <c r="AL284" s="199"/>
      <c r="AM284" s="199"/>
      <c r="AN284" s="199"/>
      <c r="AO284" s="199"/>
      <c r="AP284" s="199"/>
      <c r="AQ284" s="199"/>
      <c r="AR284" s="199"/>
      <c r="AS284" s="199"/>
      <c r="AT284" s="199"/>
      <c r="AU284" s="199"/>
      <c r="AV284" s="199"/>
      <c r="AW284" s="155"/>
    </row>
    <row r="285" spans="1:49" s="236" customFormat="1" ht="26.4">
      <c r="A285" s="40">
        <f t="shared" si="18"/>
        <v>279</v>
      </c>
      <c r="B285" s="199"/>
      <c r="C285" s="199"/>
      <c r="D285" s="199"/>
      <c r="E285" s="199"/>
      <c r="F285" s="199"/>
      <c r="G285" s="199"/>
      <c r="H285" s="199"/>
      <c r="I285" s="199"/>
      <c r="J285" s="218" t="s">
        <v>3828</v>
      </c>
      <c r="K285" s="204" t="s">
        <v>132</v>
      </c>
      <c r="L285" s="204" t="s">
        <v>3829</v>
      </c>
      <c r="M285" s="204" t="s">
        <v>3809</v>
      </c>
      <c r="N285" s="40" t="s">
        <v>504</v>
      </c>
      <c r="O285" s="199"/>
      <c r="P285" s="199"/>
      <c r="Q285" s="40" t="s">
        <v>6</v>
      </c>
      <c r="R285" s="40" t="s">
        <v>6</v>
      </c>
      <c r="S285" s="40" t="s">
        <v>6</v>
      </c>
      <c r="T285" s="40"/>
      <c r="U285" s="200" t="s">
        <v>3830</v>
      </c>
      <c r="V285" s="204"/>
      <c r="W285" s="204" t="s">
        <v>133</v>
      </c>
      <c r="X285" s="199"/>
      <c r="Y285" s="199"/>
      <c r="Z285" s="40" t="s">
        <v>6</v>
      </c>
      <c r="AA285" s="40" t="s">
        <v>6</v>
      </c>
      <c r="AB285" s="215"/>
      <c r="AC285" s="199"/>
      <c r="AD285" s="199"/>
      <c r="AE285" s="204" t="s">
        <v>133</v>
      </c>
      <c r="AF285" s="199"/>
      <c r="AG285" s="199"/>
      <c r="AH285" s="40" t="s">
        <v>6</v>
      </c>
      <c r="AI285" s="40" t="s">
        <v>6</v>
      </c>
      <c r="AJ285" s="215" t="s">
        <v>3831</v>
      </c>
      <c r="AK285" s="199"/>
      <c r="AL285" s="199"/>
      <c r="AM285" s="199"/>
      <c r="AN285" s="199"/>
      <c r="AO285" s="199"/>
      <c r="AP285" s="199"/>
      <c r="AQ285" s="199"/>
      <c r="AR285" s="199"/>
      <c r="AS285" s="199"/>
      <c r="AT285" s="199"/>
      <c r="AU285" s="199"/>
      <c r="AV285" s="199"/>
      <c r="AW285" s="155"/>
    </row>
    <row r="286" spans="1:49" s="236" customFormat="1" ht="26.4">
      <c r="A286" s="40">
        <f t="shared" si="18"/>
        <v>280</v>
      </c>
      <c r="B286" s="199"/>
      <c r="C286" s="199"/>
      <c r="D286" s="199"/>
      <c r="E286" s="199"/>
      <c r="F286" s="199"/>
      <c r="G286" s="199"/>
      <c r="H286" s="199"/>
      <c r="I286" s="199"/>
      <c r="J286" s="218" t="s">
        <v>3832</v>
      </c>
      <c r="K286" s="204" t="s">
        <v>132</v>
      </c>
      <c r="L286" s="204" t="s">
        <v>3829</v>
      </c>
      <c r="M286" s="204" t="s">
        <v>3809</v>
      </c>
      <c r="N286" s="40" t="s">
        <v>504</v>
      </c>
      <c r="O286" s="199"/>
      <c r="P286" s="199"/>
      <c r="Q286" s="40" t="s">
        <v>6</v>
      </c>
      <c r="R286" s="40" t="s">
        <v>6</v>
      </c>
      <c r="S286" s="40" t="s">
        <v>6</v>
      </c>
      <c r="T286" s="40"/>
      <c r="U286" s="200" t="s">
        <v>3830</v>
      </c>
      <c r="V286" s="204"/>
      <c r="W286" s="204" t="s">
        <v>133</v>
      </c>
      <c r="X286" s="199"/>
      <c r="Y286" s="199"/>
      <c r="Z286" s="40" t="s">
        <v>6</v>
      </c>
      <c r="AA286" s="40" t="s">
        <v>6</v>
      </c>
      <c r="AB286" s="215"/>
      <c r="AC286" s="199"/>
      <c r="AD286" s="199"/>
      <c r="AE286" s="204" t="s">
        <v>133</v>
      </c>
      <c r="AF286" s="199"/>
      <c r="AG286" s="199"/>
      <c r="AH286" s="40" t="s">
        <v>6</v>
      </c>
      <c r="AI286" s="40" t="s">
        <v>6</v>
      </c>
      <c r="AJ286" s="215" t="s">
        <v>3821</v>
      </c>
      <c r="AK286" s="199"/>
      <c r="AL286" s="199"/>
      <c r="AM286" s="199"/>
      <c r="AN286" s="199"/>
      <c r="AO286" s="199"/>
      <c r="AP286" s="199"/>
      <c r="AQ286" s="199"/>
      <c r="AR286" s="199"/>
      <c r="AS286" s="199"/>
      <c r="AT286" s="199"/>
      <c r="AU286" s="199"/>
      <c r="AV286" s="199"/>
      <c r="AW286" s="155"/>
    </row>
    <row r="287" spans="1:49" s="236" customFormat="1" ht="26.4">
      <c r="A287" s="40">
        <f t="shared" si="18"/>
        <v>281</v>
      </c>
      <c r="B287" s="199"/>
      <c r="C287" s="199"/>
      <c r="D287" s="199"/>
      <c r="E287" s="199"/>
      <c r="F287" s="199"/>
      <c r="G287" s="199"/>
      <c r="H287" s="199"/>
      <c r="I287" s="199"/>
      <c r="J287" s="218" t="s">
        <v>3833</v>
      </c>
      <c r="K287" s="204" t="s">
        <v>132</v>
      </c>
      <c r="L287" s="204" t="s">
        <v>3829</v>
      </c>
      <c r="M287" s="204" t="s">
        <v>3809</v>
      </c>
      <c r="N287" s="40" t="s">
        <v>504</v>
      </c>
      <c r="O287" s="199"/>
      <c r="P287" s="199"/>
      <c r="Q287" s="40" t="s">
        <v>6</v>
      </c>
      <c r="R287" s="40" t="s">
        <v>6</v>
      </c>
      <c r="S287" s="40" t="s">
        <v>6</v>
      </c>
      <c r="T287" s="40"/>
      <c r="U287" s="200" t="s">
        <v>3830</v>
      </c>
      <c r="V287" s="204"/>
      <c r="W287" s="204" t="s">
        <v>133</v>
      </c>
      <c r="X287" s="199"/>
      <c r="Y287" s="199"/>
      <c r="Z287" s="40" t="s">
        <v>6</v>
      </c>
      <c r="AA287" s="40" t="s">
        <v>6</v>
      </c>
      <c r="AB287" s="215"/>
      <c r="AC287" s="199"/>
      <c r="AD287" s="199"/>
      <c r="AE287" s="204" t="s">
        <v>133</v>
      </c>
      <c r="AF287" s="199"/>
      <c r="AG287" s="199"/>
      <c r="AH287" s="40" t="s">
        <v>6</v>
      </c>
      <c r="AI287" s="40" t="s">
        <v>6</v>
      </c>
      <c r="AJ287" s="215" t="s">
        <v>3824</v>
      </c>
      <c r="AK287" s="199"/>
      <c r="AL287" s="199"/>
      <c r="AM287" s="199"/>
      <c r="AN287" s="199"/>
      <c r="AO287" s="199"/>
      <c r="AP287" s="199"/>
      <c r="AQ287" s="199"/>
      <c r="AR287" s="199"/>
      <c r="AS287" s="199"/>
      <c r="AT287" s="199"/>
      <c r="AU287" s="199"/>
      <c r="AV287" s="199"/>
      <c r="AW287" s="155"/>
    </row>
    <row r="288" spans="1:49" s="236" customFormat="1" ht="26.4">
      <c r="A288" s="40">
        <f t="shared" si="18"/>
        <v>282</v>
      </c>
      <c r="B288" s="199"/>
      <c r="C288" s="199"/>
      <c r="D288" s="199"/>
      <c r="E288" s="199"/>
      <c r="F288" s="199"/>
      <c r="G288" s="199"/>
      <c r="H288" s="199"/>
      <c r="I288" s="199"/>
      <c r="J288" s="215" t="s">
        <v>3834</v>
      </c>
      <c r="K288" s="204" t="s">
        <v>132</v>
      </c>
      <c r="L288" s="204" t="s">
        <v>3835</v>
      </c>
      <c r="M288" s="204" t="s">
        <v>3836</v>
      </c>
      <c r="N288" s="40" t="s">
        <v>504</v>
      </c>
      <c r="O288" s="199"/>
      <c r="P288" s="199"/>
      <c r="Q288" s="40"/>
      <c r="R288" s="40" t="s">
        <v>6</v>
      </c>
      <c r="S288" s="40" t="s">
        <v>6</v>
      </c>
      <c r="T288" s="40"/>
      <c r="U288" s="204"/>
      <c r="V288" s="204"/>
      <c r="W288" s="204" t="s">
        <v>125</v>
      </c>
      <c r="X288" s="199"/>
      <c r="Y288" s="199"/>
      <c r="Z288" s="40" t="s">
        <v>6</v>
      </c>
      <c r="AA288" s="40" t="s">
        <v>6</v>
      </c>
      <c r="AB288" s="218"/>
      <c r="AC288" s="199"/>
      <c r="AD288" s="218" t="s">
        <v>3837</v>
      </c>
      <c r="AE288" s="204" t="s">
        <v>125</v>
      </c>
      <c r="AF288" s="199"/>
      <c r="AG288" s="199"/>
      <c r="AH288" s="126"/>
      <c r="AI288" s="40" t="s">
        <v>6</v>
      </c>
      <c r="AJ288" s="218"/>
      <c r="AK288" s="199"/>
      <c r="AL288" s="218" t="s">
        <v>3837</v>
      </c>
      <c r="AM288" s="199"/>
      <c r="AN288" s="199"/>
      <c r="AO288" s="199"/>
      <c r="AP288" s="199"/>
      <c r="AQ288" s="199"/>
      <c r="AR288" s="199"/>
      <c r="AS288" s="199"/>
      <c r="AT288" s="199"/>
      <c r="AU288" s="199"/>
      <c r="AV288" s="199"/>
      <c r="AW288" s="155"/>
    </row>
    <row r="289" spans="1:49" s="236" customFormat="1" ht="26.4">
      <c r="A289" s="40">
        <f t="shared" si="18"/>
        <v>283</v>
      </c>
      <c r="B289" s="199"/>
      <c r="C289" s="199"/>
      <c r="D289" s="199"/>
      <c r="E289" s="199"/>
      <c r="F289" s="199"/>
      <c r="G289" s="199"/>
      <c r="H289" s="199"/>
      <c r="I289" s="199"/>
      <c r="J289" s="215" t="s">
        <v>3838</v>
      </c>
      <c r="K289" s="204" t="s">
        <v>132</v>
      </c>
      <c r="L289" s="204" t="s">
        <v>3839</v>
      </c>
      <c r="M289" s="204" t="s">
        <v>3836</v>
      </c>
      <c r="N289" s="40" t="s">
        <v>504</v>
      </c>
      <c r="O289" s="199"/>
      <c r="P289" s="199"/>
      <c r="Q289" s="40"/>
      <c r="R289" s="40" t="s">
        <v>6</v>
      </c>
      <c r="S289" s="40" t="s">
        <v>6</v>
      </c>
      <c r="T289" s="40"/>
      <c r="U289" s="204"/>
      <c r="V289" s="204"/>
      <c r="W289" s="204" t="s">
        <v>125</v>
      </c>
      <c r="X289" s="199"/>
      <c r="Y289" s="199"/>
      <c r="Z289" s="40" t="s">
        <v>6</v>
      </c>
      <c r="AA289" s="40" t="s">
        <v>6</v>
      </c>
      <c r="AB289" s="218"/>
      <c r="AC289" s="199"/>
      <c r="AD289" s="218" t="s">
        <v>3837</v>
      </c>
      <c r="AE289" s="204" t="s">
        <v>125</v>
      </c>
      <c r="AF289" s="199"/>
      <c r="AG289" s="199"/>
      <c r="AH289" s="126"/>
      <c r="AI289" s="40" t="s">
        <v>6</v>
      </c>
      <c r="AJ289" s="218"/>
      <c r="AK289" s="199"/>
      <c r="AL289" s="218" t="s">
        <v>3837</v>
      </c>
      <c r="AM289" s="199"/>
      <c r="AN289" s="199"/>
      <c r="AO289" s="199"/>
      <c r="AP289" s="199"/>
      <c r="AQ289" s="199"/>
      <c r="AR289" s="199"/>
      <c r="AS289" s="199"/>
      <c r="AT289" s="199"/>
      <c r="AU289" s="199"/>
      <c r="AV289" s="199"/>
      <c r="AW289" s="155"/>
    </row>
    <row r="290" spans="1:49" s="236" customFormat="1" ht="26.4">
      <c r="A290" s="40">
        <f t="shared" si="18"/>
        <v>284</v>
      </c>
      <c r="B290" s="199"/>
      <c r="C290" s="199"/>
      <c r="D290" s="199"/>
      <c r="E290" s="199"/>
      <c r="F290" s="199"/>
      <c r="G290" s="199"/>
      <c r="H290" s="199"/>
      <c r="I290" s="199"/>
      <c r="J290" s="215" t="s">
        <v>3840</v>
      </c>
      <c r="K290" s="204" t="s">
        <v>132</v>
      </c>
      <c r="L290" s="204" t="s">
        <v>3841</v>
      </c>
      <c r="M290" s="204" t="s">
        <v>3836</v>
      </c>
      <c r="N290" s="40" t="s">
        <v>504</v>
      </c>
      <c r="O290" s="199"/>
      <c r="P290" s="199"/>
      <c r="Q290" s="40"/>
      <c r="R290" s="40" t="s">
        <v>6</v>
      </c>
      <c r="S290" s="40" t="s">
        <v>6</v>
      </c>
      <c r="T290" s="40"/>
      <c r="U290" s="204"/>
      <c r="V290" s="204"/>
      <c r="W290" s="204" t="s">
        <v>125</v>
      </c>
      <c r="X290" s="199"/>
      <c r="Y290" s="199"/>
      <c r="Z290" s="40" t="s">
        <v>6</v>
      </c>
      <c r="AA290" s="40" t="s">
        <v>6</v>
      </c>
      <c r="AB290" s="218"/>
      <c r="AC290" s="199"/>
      <c r="AD290" s="218" t="s">
        <v>3837</v>
      </c>
      <c r="AE290" s="204" t="s">
        <v>125</v>
      </c>
      <c r="AF290" s="199"/>
      <c r="AG290" s="199"/>
      <c r="AH290" s="126"/>
      <c r="AI290" s="40" t="s">
        <v>6</v>
      </c>
      <c r="AJ290" s="218"/>
      <c r="AK290" s="199"/>
      <c r="AL290" s="218" t="s">
        <v>3837</v>
      </c>
      <c r="AM290" s="199"/>
      <c r="AN290" s="199"/>
      <c r="AO290" s="199"/>
      <c r="AP290" s="199"/>
      <c r="AQ290" s="199"/>
      <c r="AR290" s="199"/>
      <c r="AS290" s="199"/>
      <c r="AT290" s="199"/>
      <c r="AU290" s="199"/>
      <c r="AV290" s="199"/>
      <c r="AW290" s="155"/>
    </row>
    <row r="291" spans="1:49" s="236" customFormat="1" ht="15">
      <c r="A291" s="40">
        <f t="shared" si="18"/>
        <v>285</v>
      </c>
      <c r="B291" s="199"/>
      <c r="C291" s="199"/>
      <c r="D291" s="199"/>
      <c r="E291" s="199"/>
      <c r="F291" s="199"/>
      <c r="G291" s="199"/>
      <c r="H291" s="199"/>
      <c r="I291" s="199"/>
      <c r="J291" s="218" t="s">
        <v>3837</v>
      </c>
      <c r="K291" s="204" t="s">
        <v>132</v>
      </c>
      <c r="L291" s="204" t="s">
        <v>3842</v>
      </c>
      <c r="M291" s="204" t="s">
        <v>3836</v>
      </c>
      <c r="N291" s="40" t="s">
        <v>504</v>
      </c>
      <c r="O291" s="199"/>
      <c r="P291" s="199"/>
      <c r="Q291" s="40" t="s">
        <v>6</v>
      </c>
      <c r="R291" s="40" t="s">
        <v>6</v>
      </c>
      <c r="S291" s="40" t="s">
        <v>6</v>
      </c>
      <c r="T291" s="40"/>
      <c r="U291" s="204"/>
      <c r="V291" s="204"/>
      <c r="W291" s="204" t="s">
        <v>133</v>
      </c>
      <c r="X291" s="199"/>
      <c r="Y291" s="199"/>
      <c r="Z291" s="40" t="s">
        <v>6</v>
      </c>
      <c r="AA291" s="40" t="s">
        <v>6</v>
      </c>
      <c r="AB291" s="215"/>
      <c r="AC291" s="199"/>
      <c r="AD291" s="199"/>
      <c r="AE291" s="204" t="s">
        <v>133</v>
      </c>
      <c r="AF291" s="199"/>
      <c r="AG291" s="199"/>
      <c r="AH291" s="40" t="s">
        <v>6</v>
      </c>
      <c r="AI291" s="40" t="s">
        <v>6</v>
      </c>
      <c r="AJ291" s="215" t="s">
        <v>3843</v>
      </c>
      <c r="AK291" s="199"/>
      <c r="AL291" s="199"/>
      <c r="AM291" s="199"/>
      <c r="AN291" s="199"/>
      <c r="AO291" s="199"/>
      <c r="AP291" s="199"/>
      <c r="AQ291" s="199"/>
      <c r="AR291" s="199"/>
      <c r="AS291" s="199"/>
      <c r="AT291" s="199"/>
      <c r="AU291" s="199"/>
      <c r="AV291" s="199"/>
      <c r="AW291" s="155"/>
    </row>
    <row r="292" spans="1:49" s="236" customFormat="1" ht="15">
      <c r="A292" s="40">
        <f t="shared" si="18"/>
        <v>286</v>
      </c>
      <c r="B292" s="199"/>
      <c r="C292" s="199"/>
      <c r="D292" s="199"/>
      <c r="E292" s="199"/>
      <c r="F292" s="199"/>
      <c r="G292" s="199"/>
      <c r="H292" s="199"/>
      <c r="I292" s="199"/>
      <c r="J292" s="215" t="s">
        <v>3844</v>
      </c>
      <c r="K292" s="204" t="s">
        <v>132</v>
      </c>
      <c r="L292" s="204" t="s">
        <v>3845</v>
      </c>
      <c r="M292" s="204" t="s">
        <v>3846</v>
      </c>
      <c r="N292" s="40" t="s">
        <v>504</v>
      </c>
      <c r="O292" s="199"/>
      <c r="P292" s="199"/>
      <c r="Q292" s="40" t="s">
        <v>6</v>
      </c>
      <c r="R292" s="40" t="s">
        <v>6</v>
      </c>
      <c r="S292" s="40" t="s">
        <v>6</v>
      </c>
      <c r="T292" s="126"/>
      <c r="U292" s="204" t="s">
        <v>3847</v>
      </c>
      <c r="V292" s="204"/>
      <c r="W292" s="204" t="s">
        <v>133</v>
      </c>
      <c r="X292" s="199"/>
      <c r="Y292" s="199"/>
      <c r="Z292" s="40" t="s">
        <v>6</v>
      </c>
      <c r="AA292" s="40" t="s">
        <v>6</v>
      </c>
      <c r="AB292" s="204"/>
      <c r="AC292" s="199"/>
      <c r="AD292" s="199"/>
      <c r="AE292" s="204" t="s">
        <v>133</v>
      </c>
      <c r="AF292" s="199"/>
      <c r="AG292" s="199"/>
      <c r="AH292" s="40" t="s">
        <v>6</v>
      </c>
      <c r="AI292" s="40" t="s">
        <v>6</v>
      </c>
      <c r="AJ292" s="204"/>
      <c r="AK292" s="199"/>
      <c r="AL292" s="199"/>
      <c r="AM292" s="199"/>
      <c r="AN292" s="199"/>
      <c r="AO292" s="199"/>
      <c r="AP292" s="199"/>
      <c r="AQ292" s="199"/>
      <c r="AR292" s="199"/>
      <c r="AS292" s="199"/>
      <c r="AT292" s="199"/>
      <c r="AU292" s="199"/>
      <c r="AV292" s="199"/>
      <c r="AW292" s="155"/>
    </row>
    <row r="293" spans="1:49" s="236" customFormat="1" ht="26.4">
      <c r="A293" s="40">
        <f t="shared" si="18"/>
        <v>287</v>
      </c>
      <c r="B293" s="199"/>
      <c r="C293" s="199"/>
      <c r="D293" s="199"/>
      <c r="E293" s="199"/>
      <c r="F293" s="199"/>
      <c r="G293" s="199"/>
      <c r="H293" s="199"/>
      <c r="I293" s="199"/>
      <c r="J293" s="215" t="s">
        <v>3848</v>
      </c>
      <c r="K293" s="204" t="s">
        <v>132</v>
      </c>
      <c r="L293" s="204" t="s">
        <v>3849</v>
      </c>
      <c r="M293" s="204" t="s">
        <v>3806</v>
      </c>
      <c r="N293" s="40" t="s">
        <v>504</v>
      </c>
      <c r="O293" s="199"/>
      <c r="P293" s="199"/>
      <c r="Q293" s="40"/>
      <c r="R293" s="40" t="s">
        <v>6</v>
      </c>
      <c r="S293" s="40" t="s">
        <v>6</v>
      </c>
      <c r="T293" s="126"/>
      <c r="U293" s="204" t="s">
        <v>3850</v>
      </c>
      <c r="V293" s="204"/>
      <c r="W293" s="204" t="s">
        <v>125</v>
      </c>
      <c r="X293" s="199"/>
      <c r="Y293" s="199"/>
      <c r="Z293" s="40" t="s">
        <v>6</v>
      </c>
      <c r="AA293" s="40" t="s">
        <v>6</v>
      </c>
      <c r="AB293" s="218"/>
      <c r="AC293" s="199"/>
      <c r="AD293" s="218" t="s">
        <v>668</v>
      </c>
      <c r="AE293" s="204" t="s">
        <v>125</v>
      </c>
      <c r="AF293" s="199"/>
      <c r="AG293" s="199"/>
      <c r="AH293" s="126"/>
      <c r="AI293" s="40" t="s">
        <v>6</v>
      </c>
      <c r="AJ293" s="218"/>
      <c r="AK293" s="199"/>
      <c r="AL293" s="218" t="s">
        <v>668</v>
      </c>
      <c r="AM293" s="199"/>
      <c r="AN293" s="199"/>
      <c r="AO293" s="199"/>
      <c r="AP293" s="199"/>
      <c r="AQ293" s="199"/>
      <c r="AR293" s="199"/>
      <c r="AS293" s="199"/>
      <c r="AT293" s="199"/>
      <c r="AU293" s="199"/>
      <c r="AV293" s="199"/>
      <c r="AW293" s="155"/>
    </row>
    <row r="294" spans="1:49" s="236" customFormat="1" ht="26.4">
      <c r="A294" s="40">
        <f t="shared" si="18"/>
        <v>288</v>
      </c>
      <c r="B294" s="199"/>
      <c r="C294" s="199"/>
      <c r="D294" s="199"/>
      <c r="E294" s="199"/>
      <c r="F294" s="199"/>
      <c r="G294" s="199"/>
      <c r="H294" s="199"/>
      <c r="I294" s="199"/>
      <c r="J294" s="215" t="s">
        <v>3851</v>
      </c>
      <c r="K294" s="204" t="s">
        <v>132</v>
      </c>
      <c r="L294" s="204" t="s">
        <v>3852</v>
      </c>
      <c r="M294" s="204" t="s">
        <v>3806</v>
      </c>
      <c r="N294" s="40" t="s">
        <v>504</v>
      </c>
      <c r="O294" s="199"/>
      <c r="P294" s="199"/>
      <c r="Q294" s="40"/>
      <c r="R294" s="40" t="s">
        <v>6</v>
      </c>
      <c r="S294" s="40" t="s">
        <v>6</v>
      </c>
      <c r="T294" s="126"/>
      <c r="U294" s="204" t="s">
        <v>3850</v>
      </c>
      <c r="V294" s="204"/>
      <c r="W294" s="204" t="s">
        <v>125</v>
      </c>
      <c r="X294" s="199"/>
      <c r="Y294" s="199"/>
      <c r="Z294" s="40" t="s">
        <v>6</v>
      </c>
      <c r="AA294" s="40" t="s">
        <v>6</v>
      </c>
      <c r="AB294" s="218"/>
      <c r="AC294" s="199"/>
      <c r="AD294" s="218" t="s">
        <v>668</v>
      </c>
      <c r="AE294" s="204" t="s">
        <v>125</v>
      </c>
      <c r="AF294" s="199"/>
      <c r="AG294" s="199"/>
      <c r="AH294" s="126"/>
      <c r="AI294" s="40" t="s">
        <v>6</v>
      </c>
      <c r="AJ294" s="218"/>
      <c r="AK294" s="199"/>
      <c r="AL294" s="218" t="s">
        <v>668</v>
      </c>
      <c r="AM294" s="199"/>
      <c r="AN294" s="199"/>
      <c r="AO294" s="199"/>
      <c r="AP294" s="199"/>
      <c r="AQ294" s="199"/>
      <c r="AR294" s="199"/>
      <c r="AS294" s="199"/>
      <c r="AT294" s="199"/>
      <c r="AU294" s="199"/>
      <c r="AV294" s="199"/>
      <c r="AW294" s="155"/>
    </row>
    <row r="295" spans="1:49" s="236" customFormat="1" ht="26.4">
      <c r="A295" s="40">
        <f t="shared" si="18"/>
        <v>289</v>
      </c>
      <c r="B295" s="199"/>
      <c r="C295" s="199"/>
      <c r="D295" s="199"/>
      <c r="E295" s="199"/>
      <c r="F295" s="199"/>
      <c r="G295" s="199"/>
      <c r="H295" s="199"/>
      <c r="I295" s="199"/>
      <c r="J295" s="215" t="s">
        <v>3853</v>
      </c>
      <c r="K295" s="204" t="s">
        <v>132</v>
      </c>
      <c r="L295" s="204" t="s">
        <v>3854</v>
      </c>
      <c r="M295" s="204" t="s">
        <v>3806</v>
      </c>
      <c r="N295" s="40" t="s">
        <v>504</v>
      </c>
      <c r="O295" s="199"/>
      <c r="P295" s="199"/>
      <c r="Q295" s="40"/>
      <c r="R295" s="40" t="s">
        <v>6</v>
      </c>
      <c r="S295" s="40" t="s">
        <v>6</v>
      </c>
      <c r="T295" s="126"/>
      <c r="U295" s="204" t="s">
        <v>3850</v>
      </c>
      <c r="V295" s="204"/>
      <c r="W295" s="204" t="s">
        <v>125</v>
      </c>
      <c r="X295" s="199"/>
      <c r="Y295" s="199"/>
      <c r="Z295" s="40" t="s">
        <v>6</v>
      </c>
      <c r="AA295" s="40" t="s">
        <v>6</v>
      </c>
      <c r="AB295" s="218"/>
      <c r="AC295" s="199"/>
      <c r="AD295" s="218" t="s">
        <v>668</v>
      </c>
      <c r="AE295" s="204" t="s">
        <v>125</v>
      </c>
      <c r="AF295" s="199"/>
      <c r="AG295" s="199"/>
      <c r="AH295" s="126"/>
      <c r="AI295" s="40" t="s">
        <v>6</v>
      </c>
      <c r="AJ295" s="218"/>
      <c r="AK295" s="199"/>
      <c r="AL295" s="218" t="s">
        <v>668</v>
      </c>
      <c r="AM295" s="199"/>
      <c r="AN295" s="199"/>
      <c r="AO295" s="199"/>
      <c r="AP295" s="199"/>
      <c r="AQ295" s="199"/>
      <c r="AR295" s="199"/>
      <c r="AS295" s="199"/>
      <c r="AT295" s="199"/>
      <c r="AU295" s="199"/>
      <c r="AV295" s="199"/>
      <c r="AW295" s="155"/>
    </row>
    <row r="296" spans="1:49" s="236" customFormat="1" ht="15">
      <c r="A296" s="40">
        <f t="shared" si="18"/>
        <v>290</v>
      </c>
      <c r="B296" s="199"/>
      <c r="C296" s="199"/>
      <c r="D296" s="199"/>
      <c r="E296" s="199"/>
      <c r="F296" s="199"/>
      <c r="G296" s="199"/>
      <c r="H296" s="199"/>
      <c r="I296" s="199"/>
      <c r="J296" s="218" t="s">
        <v>668</v>
      </c>
      <c r="K296" s="204" t="s">
        <v>132</v>
      </c>
      <c r="L296" s="204" t="s">
        <v>3855</v>
      </c>
      <c r="M296" s="204" t="s">
        <v>3806</v>
      </c>
      <c r="N296" s="40" t="s">
        <v>504</v>
      </c>
      <c r="O296" s="199"/>
      <c r="P296" s="199"/>
      <c r="Q296" s="40" t="s">
        <v>6</v>
      </c>
      <c r="R296" s="40" t="s">
        <v>6</v>
      </c>
      <c r="S296" s="40" t="s">
        <v>6</v>
      </c>
      <c r="T296" s="40"/>
      <c r="U296" s="204" t="s">
        <v>3850</v>
      </c>
      <c r="V296" s="204"/>
      <c r="W296" s="204" t="s">
        <v>133</v>
      </c>
      <c r="X296" s="199"/>
      <c r="Y296" s="199"/>
      <c r="Z296" s="40" t="s">
        <v>6</v>
      </c>
      <c r="AA296" s="40" t="s">
        <v>6</v>
      </c>
      <c r="AB296" s="215"/>
      <c r="AC296" s="199"/>
      <c r="AD296" s="199"/>
      <c r="AE296" s="204" t="s">
        <v>133</v>
      </c>
      <c r="AF296" s="199"/>
      <c r="AG296" s="199"/>
      <c r="AH296" s="40" t="s">
        <v>6</v>
      </c>
      <c r="AI296" s="40" t="s">
        <v>6</v>
      </c>
      <c r="AJ296" s="215" t="s">
        <v>3856</v>
      </c>
      <c r="AK296" s="199"/>
      <c r="AL296" s="199"/>
      <c r="AM296" s="199"/>
      <c r="AN296" s="199"/>
      <c r="AO296" s="199"/>
      <c r="AP296" s="199"/>
      <c r="AQ296" s="199"/>
      <c r="AR296" s="199"/>
      <c r="AS296" s="199"/>
      <c r="AT296" s="199"/>
      <c r="AU296" s="199"/>
      <c r="AV296" s="199"/>
      <c r="AW296" s="155"/>
    </row>
    <row r="297" spans="1:49" s="236" customFormat="1" ht="39.6">
      <c r="A297" s="40">
        <f t="shared" si="18"/>
        <v>291</v>
      </c>
      <c r="B297" s="199"/>
      <c r="C297" s="199"/>
      <c r="D297" s="199"/>
      <c r="E297" s="199"/>
      <c r="F297" s="199"/>
      <c r="G297" s="199"/>
      <c r="H297" s="199"/>
      <c r="I297" s="199"/>
      <c r="J297" s="215" t="s">
        <v>3857</v>
      </c>
      <c r="K297" s="204" t="s">
        <v>117</v>
      </c>
      <c r="L297" s="204" t="s">
        <v>3858</v>
      </c>
      <c r="M297" s="204" t="s">
        <v>3695</v>
      </c>
      <c r="N297" s="40" t="s">
        <v>504</v>
      </c>
      <c r="O297" s="199"/>
      <c r="P297" s="199"/>
      <c r="Q297" s="40"/>
      <c r="R297" s="40" t="s">
        <v>6</v>
      </c>
      <c r="S297" s="40" t="s">
        <v>6</v>
      </c>
      <c r="T297" s="126"/>
      <c r="U297" s="204" t="s">
        <v>3859</v>
      </c>
      <c r="V297" s="204"/>
      <c r="W297" s="204" t="s">
        <v>125</v>
      </c>
      <c r="X297" s="199"/>
      <c r="Y297" s="199"/>
      <c r="Z297" s="40" t="s">
        <v>6</v>
      </c>
      <c r="AA297" s="40" t="s">
        <v>6</v>
      </c>
      <c r="AB297" s="218"/>
      <c r="AC297" s="199"/>
      <c r="AD297" s="218" t="s">
        <v>3696</v>
      </c>
      <c r="AE297" s="204" t="s">
        <v>125</v>
      </c>
      <c r="AF297" s="199"/>
      <c r="AG297" s="199"/>
      <c r="AH297" s="126"/>
      <c r="AI297" s="40" t="s">
        <v>6</v>
      </c>
      <c r="AJ297" s="218"/>
      <c r="AK297" s="199"/>
      <c r="AL297" s="218" t="s">
        <v>3696</v>
      </c>
      <c r="AM297" s="199"/>
      <c r="AN297" s="199"/>
      <c r="AO297" s="199"/>
      <c r="AP297" s="199"/>
      <c r="AQ297" s="199"/>
      <c r="AR297" s="199"/>
      <c r="AS297" s="199"/>
      <c r="AT297" s="199"/>
      <c r="AU297" s="199"/>
      <c r="AV297" s="199"/>
      <c r="AW297" s="155"/>
    </row>
    <row r="298" spans="1:49" s="236" customFormat="1" ht="15">
      <c r="A298" s="40">
        <f t="shared" si="18"/>
        <v>292</v>
      </c>
      <c r="B298" s="199"/>
      <c r="C298" s="199"/>
      <c r="D298" s="199"/>
      <c r="E298" s="199"/>
      <c r="F298" s="199"/>
      <c r="G298" s="199"/>
      <c r="H298" s="199"/>
      <c r="I298" s="199"/>
      <c r="J298" s="215" t="s">
        <v>3860</v>
      </c>
      <c r="K298" s="204" t="s">
        <v>117</v>
      </c>
      <c r="L298" s="204" t="s">
        <v>3861</v>
      </c>
      <c r="M298" s="204" t="s">
        <v>3695</v>
      </c>
      <c r="N298" s="40" t="s">
        <v>504</v>
      </c>
      <c r="O298" s="199"/>
      <c r="P298" s="199"/>
      <c r="Q298" s="40"/>
      <c r="R298" s="40"/>
      <c r="S298" s="40" t="s">
        <v>6</v>
      </c>
      <c r="T298" s="126"/>
      <c r="U298" s="204" t="s">
        <v>519</v>
      </c>
      <c r="V298" s="204"/>
      <c r="W298" s="204" t="s">
        <v>125</v>
      </c>
      <c r="X298" s="199"/>
      <c r="Y298" s="199"/>
      <c r="Z298" s="40" t="s">
        <v>6</v>
      </c>
      <c r="AA298" s="40" t="s">
        <v>6</v>
      </c>
      <c r="AB298" s="198"/>
      <c r="AC298" s="199"/>
      <c r="AD298" s="199"/>
      <c r="AE298" s="204" t="s">
        <v>125</v>
      </c>
      <c r="AF298" s="199"/>
      <c r="AG298" s="199"/>
      <c r="AH298" s="199"/>
      <c r="AI298" s="40" t="s">
        <v>6</v>
      </c>
      <c r="AJ298" s="198"/>
      <c r="AK298" s="199"/>
      <c r="AL298" s="199"/>
      <c r="AM298" s="198" t="s">
        <v>610</v>
      </c>
      <c r="AN298" s="199"/>
      <c r="AO298" s="199"/>
      <c r="AP298" s="199"/>
      <c r="AQ298" s="199"/>
      <c r="AR298" s="199"/>
      <c r="AS298" s="199"/>
      <c r="AT298" s="199"/>
      <c r="AU298" s="199"/>
      <c r="AV298" s="199"/>
      <c r="AW298" s="155"/>
    </row>
    <row r="299" spans="1:49" s="236" customFormat="1" ht="26.4">
      <c r="A299" s="40">
        <f t="shared" si="18"/>
        <v>293</v>
      </c>
      <c r="B299" s="199"/>
      <c r="C299" s="199"/>
      <c r="D299" s="199"/>
      <c r="E299" s="199"/>
      <c r="F299" s="199"/>
      <c r="G299" s="199"/>
      <c r="H299" s="199"/>
      <c r="I299" s="199"/>
      <c r="J299" s="215" t="s">
        <v>3862</v>
      </c>
      <c r="K299" s="204" t="s">
        <v>117</v>
      </c>
      <c r="L299" s="204" t="s">
        <v>3863</v>
      </c>
      <c r="M299" s="204" t="s">
        <v>3695</v>
      </c>
      <c r="N299" s="40" t="s">
        <v>504</v>
      </c>
      <c r="O299" s="199"/>
      <c r="P299" s="199"/>
      <c r="Q299" s="40"/>
      <c r="R299" s="40" t="s">
        <v>6</v>
      </c>
      <c r="S299" s="40" t="s">
        <v>6</v>
      </c>
      <c r="T299" s="126"/>
      <c r="U299" s="204" t="s">
        <v>3859</v>
      </c>
      <c r="V299" s="204"/>
      <c r="W299" s="204" t="s">
        <v>125</v>
      </c>
      <c r="X299" s="199"/>
      <c r="Y299" s="199"/>
      <c r="Z299" s="40" t="s">
        <v>6</v>
      </c>
      <c r="AA299" s="40" t="s">
        <v>6</v>
      </c>
      <c r="AB299" s="198"/>
      <c r="AC299" s="199"/>
      <c r="AD299" s="199"/>
      <c r="AE299" s="204" t="s">
        <v>125</v>
      </c>
      <c r="AF299" s="199"/>
      <c r="AG299" s="199"/>
      <c r="AH299" s="199"/>
      <c r="AI299" s="40" t="s">
        <v>6</v>
      </c>
      <c r="AJ299" s="198"/>
      <c r="AK299" s="199"/>
      <c r="AL299" s="199"/>
      <c r="AM299" s="199"/>
      <c r="AN299" s="199"/>
      <c r="AO299" s="199"/>
      <c r="AP299" s="199"/>
      <c r="AQ299" s="199"/>
      <c r="AR299" s="199"/>
      <c r="AS299" s="199"/>
      <c r="AT299" s="199"/>
      <c r="AU299" s="199"/>
      <c r="AV299" s="199"/>
      <c r="AW299" s="155"/>
    </row>
    <row r="300" spans="1:49" s="236" customFormat="1" ht="15">
      <c r="A300" s="40">
        <f t="shared" si="18"/>
        <v>294</v>
      </c>
      <c r="B300" s="199"/>
      <c r="C300" s="199"/>
      <c r="D300" s="199"/>
      <c r="E300" s="199"/>
      <c r="F300" s="199"/>
      <c r="G300" s="199"/>
      <c r="H300" s="199"/>
      <c r="I300" s="199"/>
      <c r="J300" s="215" t="s">
        <v>3864</v>
      </c>
      <c r="K300" s="204" t="s">
        <v>117</v>
      </c>
      <c r="L300" s="204" t="s">
        <v>3865</v>
      </c>
      <c r="M300" s="204" t="s">
        <v>3695</v>
      </c>
      <c r="N300" s="40" t="s">
        <v>504</v>
      </c>
      <c r="O300" s="199"/>
      <c r="P300" s="199"/>
      <c r="Q300" s="40"/>
      <c r="R300" s="40"/>
      <c r="S300" s="40" t="s">
        <v>6</v>
      </c>
      <c r="T300" s="126"/>
      <c r="U300" s="204" t="s">
        <v>519</v>
      </c>
      <c r="V300" s="204"/>
      <c r="W300" s="204" t="s">
        <v>125</v>
      </c>
      <c r="X300" s="199"/>
      <c r="Y300" s="199"/>
      <c r="Z300" s="40" t="s">
        <v>6</v>
      </c>
      <c r="AA300" s="40" t="s">
        <v>6</v>
      </c>
      <c r="AB300" s="198"/>
      <c r="AC300" s="199"/>
      <c r="AD300" s="199"/>
      <c r="AE300" s="204" t="s">
        <v>125</v>
      </c>
      <c r="AF300" s="199"/>
      <c r="AG300" s="199"/>
      <c r="AH300" s="199"/>
      <c r="AI300" s="40" t="s">
        <v>6</v>
      </c>
      <c r="AJ300" s="198"/>
      <c r="AK300" s="199"/>
      <c r="AL300" s="199"/>
      <c r="AM300" s="198" t="s">
        <v>610</v>
      </c>
      <c r="AN300" s="199"/>
      <c r="AO300" s="199"/>
      <c r="AP300" s="199"/>
      <c r="AQ300" s="199"/>
      <c r="AR300" s="199"/>
      <c r="AS300" s="199"/>
      <c r="AT300" s="199"/>
      <c r="AU300" s="199"/>
      <c r="AV300" s="199"/>
      <c r="AW300" s="155"/>
    </row>
    <row r="301" spans="1:49" s="236" customFormat="1" ht="26.4">
      <c r="A301" s="40">
        <f t="shared" si="18"/>
        <v>295</v>
      </c>
      <c r="B301" s="199"/>
      <c r="C301" s="199"/>
      <c r="D301" s="199"/>
      <c r="E301" s="199"/>
      <c r="F301" s="199"/>
      <c r="G301" s="199"/>
      <c r="H301" s="199"/>
      <c r="I301" s="199"/>
      <c r="J301" s="215" t="s">
        <v>3866</v>
      </c>
      <c r="K301" s="204" t="s">
        <v>117</v>
      </c>
      <c r="L301" s="204" t="s">
        <v>3867</v>
      </c>
      <c r="M301" s="204" t="s">
        <v>3695</v>
      </c>
      <c r="N301" s="40" t="s">
        <v>504</v>
      </c>
      <c r="O301" s="199"/>
      <c r="P301" s="199"/>
      <c r="Q301" s="40"/>
      <c r="R301" s="40" t="s">
        <v>6</v>
      </c>
      <c r="S301" s="40" t="s">
        <v>6</v>
      </c>
      <c r="T301" s="126"/>
      <c r="U301" s="204" t="s">
        <v>3859</v>
      </c>
      <c r="V301" s="204"/>
      <c r="W301" s="204" t="s">
        <v>125</v>
      </c>
      <c r="X301" s="199"/>
      <c r="Y301" s="199"/>
      <c r="Z301" s="40" t="s">
        <v>6</v>
      </c>
      <c r="AA301" s="40" t="s">
        <v>6</v>
      </c>
      <c r="AB301" s="198"/>
      <c r="AC301" s="199"/>
      <c r="AD301" s="199"/>
      <c r="AE301" s="204" t="s">
        <v>125</v>
      </c>
      <c r="AF301" s="199"/>
      <c r="AG301" s="199"/>
      <c r="AH301" s="199"/>
      <c r="AI301" s="40" t="s">
        <v>6</v>
      </c>
      <c r="AJ301" s="198"/>
      <c r="AK301" s="199"/>
      <c r="AL301" s="199"/>
      <c r="AM301" s="199"/>
      <c r="AN301" s="199"/>
      <c r="AO301" s="199"/>
      <c r="AP301" s="199"/>
      <c r="AQ301" s="199"/>
      <c r="AR301" s="199"/>
      <c r="AS301" s="199"/>
      <c r="AT301" s="199"/>
      <c r="AU301" s="199"/>
      <c r="AV301" s="199"/>
      <c r="AW301" s="155"/>
    </row>
    <row r="302" spans="1:49" s="236" customFormat="1" ht="15">
      <c r="A302" s="40">
        <f t="shared" si="18"/>
        <v>296</v>
      </c>
      <c r="B302" s="199"/>
      <c r="C302" s="199"/>
      <c r="D302" s="199"/>
      <c r="E302" s="199"/>
      <c r="F302" s="199"/>
      <c r="G302" s="199"/>
      <c r="H302" s="199"/>
      <c r="I302" s="199"/>
      <c r="J302" s="215" t="s">
        <v>3868</v>
      </c>
      <c r="K302" s="204" t="s">
        <v>117</v>
      </c>
      <c r="L302" s="204" t="s">
        <v>3869</v>
      </c>
      <c r="M302" s="204" t="s">
        <v>3695</v>
      </c>
      <c r="N302" s="40" t="s">
        <v>504</v>
      </c>
      <c r="O302" s="199"/>
      <c r="P302" s="199"/>
      <c r="Q302" s="40"/>
      <c r="R302" s="40"/>
      <c r="S302" s="40" t="s">
        <v>6</v>
      </c>
      <c r="T302" s="126"/>
      <c r="U302" s="204" t="s">
        <v>519</v>
      </c>
      <c r="V302" s="204"/>
      <c r="W302" s="204" t="s">
        <v>125</v>
      </c>
      <c r="X302" s="199"/>
      <c r="Y302" s="199"/>
      <c r="Z302" s="40" t="s">
        <v>6</v>
      </c>
      <c r="AA302" s="40" t="s">
        <v>6</v>
      </c>
      <c r="AB302" s="198"/>
      <c r="AC302" s="199"/>
      <c r="AD302" s="199"/>
      <c r="AE302" s="204" t="s">
        <v>125</v>
      </c>
      <c r="AF302" s="199"/>
      <c r="AG302" s="199"/>
      <c r="AH302" s="199"/>
      <c r="AI302" s="40" t="s">
        <v>6</v>
      </c>
      <c r="AJ302" s="198"/>
      <c r="AK302" s="199"/>
      <c r="AL302" s="199"/>
      <c r="AM302" s="198" t="s">
        <v>610</v>
      </c>
      <c r="AN302" s="199"/>
      <c r="AO302" s="199"/>
      <c r="AP302" s="199"/>
      <c r="AQ302" s="199"/>
      <c r="AR302" s="199"/>
      <c r="AS302" s="199"/>
      <c r="AT302" s="199"/>
      <c r="AU302" s="199"/>
      <c r="AV302" s="199"/>
      <c r="AW302" s="155"/>
    </row>
    <row r="303" spans="1:49" s="236" customFormat="1" ht="26.4">
      <c r="A303" s="40">
        <f t="shared" si="18"/>
        <v>297</v>
      </c>
      <c r="B303" s="199"/>
      <c r="C303" s="199"/>
      <c r="D303" s="199"/>
      <c r="E303" s="199"/>
      <c r="F303" s="199"/>
      <c r="G303" s="199"/>
      <c r="H303" s="199"/>
      <c r="I303" s="199"/>
      <c r="J303" s="215" t="s">
        <v>3870</v>
      </c>
      <c r="K303" s="204" t="s">
        <v>117</v>
      </c>
      <c r="L303" s="204" t="s">
        <v>3871</v>
      </c>
      <c r="M303" s="204" t="s">
        <v>3695</v>
      </c>
      <c r="N303" s="40" t="s">
        <v>504</v>
      </c>
      <c r="O303" s="199"/>
      <c r="P303" s="199"/>
      <c r="Q303" s="40"/>
      <c r="R303" s="40" t="s">
        <v>6</v>
      </c>
      <c r="S303" s="40" t="s">
        <v>6</v>
      </c>
      <c r="T303" s="126"/>
      <c r="U303" s="204" t="s">
        <v>3859</v>
      </c>
      <c r="V303" s="204"/>
      <c r="W303" s="204" t="s">
        <v>125</v>
      </c>
      <c r="X303" s="199"/>
      <c r="Y303" s="199"/>
      <c r="Z303" s="40" t="s">
        <v>6</v>
      </c>
      <c r="AA303" s="40" t="s">
        <v>6</v>
      </c>
      <c r="AB303" s="198"/>
      <c r="AC303" s="199"/>
      <c r="AD303" s="199"/>
      <c r="AE303" s="204" t="s">
        <v>125</v>
      </c>
      <c r="AF303" s="199"/>
      <c r="AG303" s="199"/>
      <c r="AH303" s="199"/>
      <c r="AI303" s="40" t="s">
        <v>6</v>
      </c>
      <c r="AJ303" s="198"/>
      <c r="AK303" s="199"/>
      <c r="AL303" s="199"/>
      <c r="AM303" s="199"/>
      <c r="AN303" s="199"/>
      <c r="AO303" s="199"/>
      <c r="AP303" s="199"/>
      <c r="AQ303" s="199"/>
      <c r="AR303" s="199"/>
      <c r="AS303" s="199"/>
      <c r="AT303" s="199"/>
      <c r="AU303" s="199"/>
      <c r="AV303" s="199"/>
      <c r="AW303" s="155"/>
    </row>
    <row r="304" spans="1:49" s="236" customFormat="1" ht="39.6">
      <c r="A304" s="40">
        <f t="shared" si="18"/>
        <v>298</v>
      </c>
      <c r="B304" s="199"/>
      <c r="C304" s="199"/>
      <c r="D304" s="199"/>
      <c r="E304" s="199"/>
      <c r="F304" s="199"/>
      <c r="G304" s="199"/>
      <c r="H304" s="199"/>
      <c r="I304" s="199"/>
      <c r="J304" s="215" t="s">
        <v>3872</v>
      </c>
      <c r="K304" s="204" t="s">
        <v>132</v>
      </c>
      <c r="L304" s="204" t="s">
        <v>3873</v>
      </c>
      <c r="M304" s="204" t="s">
        <v>3695</v>
      </c>
      <c r="N304" s="40" t="s">
        <v>504</v>
      </c>
      <c r="O304" s="199"/>
      <c r="P304" s="199"/>
      <c r="Q304" s="40" t="s">
        <v>6</v>
      </c>
      <c r="R304" s="40" t="s">
        <v>6</v>
      </c>
      <c r="S304" s="40" t="s">
        <v>6</v>
      </c>
      <c r="T304" s="40"/>
      <c r="U304" s="204" t="s">
        <v>3859</v>
      </c>
      <c r="V304" s="204"/>
      <c r="W304" s="204" t="s">
        <v>133</v>
      </c>
      <c r="X304" s="199"/>
      <c r="Y304" s="199"/>
      <c r="Z304" s="40" t="s">
        <v>6</v>
      </c>
      <c r="AA304" s="40" t="s">
        <v>6</v>
      </c>
      <c r="AB304" s="218"/>
      <c r="AC304" s="199"/>
      <c r="AD304" s="218" t="s">
        <v>3754</v>
      </c>
      <c r="AE304" s="204" t="s">
        <v>133</v>
      </c>
      <c r="AF304" s="199"/>
      <c r="AG304" s="199"/>
      <c r="AH304" s="40" t="s">
        <v>6</v>
      </c>
      <c r="AI304" s="40" t="s">
        <v>6</v>
      </c>
      <c r="AJ304" s="218"/>
      <c r="AK304" s="199"/>
      <c r="AL304" s="218" t="s">
        <v>3754</v>
      </c>
      <c r="AM304" s="199"/>
      <c r="AN304" s="199"/>
      <c r="AO304" s="199"/>
      <c r="AP304" s="199"/>
      <c r="AQ304" s="199"/>
      <c r="AR304" s="199"/>
      <c r="AS304" s="199"/>
      <c r="AT304" s="199"/>
      <c r="AU304" s="199"/>
      <c r="AV304" s="199"/>
      <c r="AW304" s="155"/>
    </row>
    <row r="305" spans="1:49" s="236" customFormat="1" ht="39.6">
      <c r="A305" s="40">
        <f t="shared" si="18"/>
        <v>299</v>
      </c>
      <c r="B305" s="199"/>
      <c r="C305" s="199"/>
      <c r="D305" s="199"/>
      <c r="E305" s="199"/>
      <c r="F305" s="199"/>
      <c r="G305" s="199"/>
      <c r="H305" s="199"/>
      <c r="I305" s="199"/>
      <c r="J305" s="215" t="s">
        <v>3874</v>
      </c>
      <c r="K305" s="204" t="s">
        <v>132</v>
      </c>
      <c r="L305" s="204" t="s">
        <v>3875</v>
      </c>
      <c r="M305" s="204" t="s">
        <v>3695</v>
      </c>
      <c r="N305" s="40" t="s">
        <v>504</v>
      </c>
      <c r="O305" s="199"/>
      <c r="P305" s="199"/>
      <c r="Q305" s="40" t="s">
        <v>6</v>
      </c>
      <c r="R305" s="40" t="s">
        <v>6</v>
      </c>
      <c r="S305" s="40" t="s">
        <v>6</v>
      </c>
      <c r="T305" s="126"/>
      <c r="U305" s="204" t="s">
        <v>3859</v>
      </c>
      <c r="V305" s="204"/>
      <c r="W305" s="204" t="s">
        <v>133</v>
      </c>
      <c r="X305" s="199"/>
      <c r="Y305" s="199"/>
      <c r="Z305" s="40" t="s">
        <v>6</v>
      </c>
      <c r="AA305" s="40" t="s">
        <v>6</v>
      </c>
      <c r="AB305" s="218"/>
      <c r="AC305" s="199"/>
      <c r="AD305" s="218" t="s">
        <v>3754</v>
      </c>
      <c r="AE305" s="204" t="s">
        <v>133</v>
      </c>
      <c r="AF305" s="199"/>
      <c r="AG305" s="199"/>
      <c r="AH305" s="40" t="s">
        <v>6</v>
      </c>
      <c r="AI305" s="40" t="s">
        <v>6</v>
      </c>
      <c r="AJ305" s="218"/>
      <c r="AK305" s="199"/>
      <c r="AL305" s="218" t="s">
        <v>3754</v>
      </c>
      <c r="AM305" s="199"/>
      <c r="AN305" s="199"/>
      <c r="AO305" s="199"/>
      <c r="AP305" s="199"/>
      <c r="AQ305" s="199"/>
      <c r="AR305" s="199"/>
      <c r="AS305" s="199"/>
      <c r="AT305" s="199"/>
      <c r="AU305" s="199"/>
      <c r="AV305" s="199"/>
      <c r="AW305" s="155"/>
    </row>
    <row r="306" spans="1:49" s="236" customFormat="1" ht="39.6">
      <c r="A306" s="40">
        <f t="shared" si="18"/>
        <v>300</v>
      </c>
      <c r="B306" s="199"/>
      <c r="C306" s="199"/>
      <c r="D306" s="199"/>
      <c r="E306" s="199"/>
      <c r="F306" s="199"/>
      <c r="G306" s="199"/>
      <c r="H306" s="199"/>
      <c r="I306" s="199"/>
      <c r="J306" s="215" t="s">
        <v>3876</v>
      </c>
      <c r="K306" s="204" t="s">
        <v>132</v>
      </c>
      <c r="L306" s="204" t="s">
        <v>3877</v>
      </c>
      <c r="M306" s="204" t="s">
        <v>3695</v>
      </c>
      <c r="N306" s="40" t="s">
        <v>504</v>
      </c>
      <c r="O306" s="199"/>
      <c r="P306" s="199"/>
      <c r="Q306" s="40" t="s">
        <v>6</v>
      </c>
      <c r="R306" s="40" t="s">
        <v>6</v>
      </c>
      <c r="S306" s="40" t="s">
        <v>6</v>
      </c>
      <c r="T306" s="40"/>
      <c r="U306" s="204" t="s">
        <v>3859</v>
      </c>
      <c r="V306" s="204"/>
      <c r="W306" s="204" t="s">
        <v>133</v>
      </c>
      <c r="X306" s="199"/>
      <c r="Y306" s="199"/>
      <c r="Z306" s="40" t="s">
        <v>6</v>
      </c>
      <c r="AA306" s="40" t="s">
        <v>6</v>
      </c>
      <c r="AB306" s="218"/>
      <c r="AC306" s="199"/>
      <c r="AD306" s="218" t="s">
        <v>3754</v>
      </c>
      <c r="AE306" s="204" t="s">
        <v>133</v>
      </c>
      <c r="AF306" s="199"/>
      <c r="AG306" s="199"/>
      <c r="AH306" s="40" t="s">
        <v>6</v>
      </c>
      <c r="AI306" s="40" t="s">
        <v>6</v>
      </c>
      <c r="AJ306" s="218"/>
      <c r="AK306" s="199"/>
      <c r="AL306" s="218" t="s">
        <v>3754</v>
      </c>
      <c r="AM306" s="199"/>
      <c r="AN306" s="199"/>
      <c r="AO306" s="199"/>
      <c r="AP306" s="199"/>
      <c r="AQ306" s="199"/>
      <c r="AR306" s="199"/>
      <c r="AS306" s="199"/>
      <c r="AT306" s="199"/>
      <c r="AU306" s="199"/>
      <c r="AV306" s="199"/>
      <c r="AW306" s="155"/>
    </row>
    <row r="307" spans="1:49" s="236" customFormat="1" ht="26.4">
      <c r="A307" s="40">
        <f t="shared" si="18"/>
        <v>301</v>
      </c>
      <c r="B307" s="199"/>
      <c r="C307" s="199"/>
      <c r="D307" s="199"/>
      <c r="E307" s="199"/>
      <c r="F307" s="199"/>
      <c r="G307" s="199"/>
      <c r="H307" s="199"/>
      <c r="I307" s="199"/>
      <c r="J307" s="215" t="s">
        <v>3878</v>
      </c>
      <c r="K307" s="204" t="s">
        <v>132</v>
      </c>
      <c r="L307" s="204" t="s">
        <v>3879</v>
      </c>
      <c r="M307" s="204" t="s">
        <v>3695</v>
      </c>
      <c r="N307" s="40" t="s">
        <v>504</v>
      </c>
      <c r="O307" s="199"/>
      <c r="P307" s="199"/>
      <c r="Q307" s="40"/>
      <c r="R307" s="40"/>
      <c r="S307" s="40" t="s">
        <v>6</v>
      </c>
      <c r="T307" s="126"/>
      <c r="U307" s="204" t="s">
        <v>617</v>
      </c>
      <c r="V307" s="204"/>
      <c r="W307" s="204" t="s">
        <v>125</v>
      </c>
      <c r="X307" s="199"/>
      <c r="Y307" s="199"/>
      <c r="Z307" s="40" t="s">
        <v>6</v>
      </c>
      <c r="AA307" s="40" t="s">
        <v>6</v>
      </c>
      <c r="AB307" s="198"/>
      <c r="AC307" s="199"/>
      <c r="AD307" s="199"/>
      <c r="AE307" s="204" t="s">
        <v>125</v>
      </c>
      <c r="AF307" s="199"/>
      <c r="AG307" s="199"/>
      <c r="AH307" s="199"/>
      <c r="AI307" s="40" t="s">
        <v>6</v>
      </c>
      <c r="AJ307" s="198"/>
      <c r="AK307" s="199"/>
      <c r="AL307" s="199"/>
      <c r="AM307" s="198" t="s">
        <v>683</v>
      </c>
      <c r="AN307" s="199"/>
      <c r="AO307" s="199"/>
      <c r="AP307" s="199"/>
      <c r="AQ307" s="199"/>
      <c r="AR307" s="199"/>
      <c r="AS307" s="199"/>
      <c r="AT307" s="199"/>
      <c r="AU307" s="199"/>
      <c r="AV307" s="199"/>
      <c r="AW307" s="155"/>
    </row>
    <row r="308" spans="1:49" s="236" customFormat="1" ht="39.6">
      <c r="A308" s="40">
        <f t="shared" si="18"/>
        <v>302</v>
      </c>
      <c r="B308" s="199"/>
      <c r="C308" s="199"/>
      <c r="D308" s="199"/>
      <c r="E308" s="199"/>
      <c r="F308" s="199"/>
      <c r="G308" s="199"/>
      <c r="H308" s="199"/>
      <c r="I308" s="199"/>
      <c r="J308" s="215" t="s">
        <v>3880</v>
      </c>
      <c r="K308" s="204" t="s">
        <v>132</v>
      </c>
      <c r="L308" s="204" t="s">
        <v>3881</v>
      </c>
      <c r="M308" s="204" t="s">
        <v>3695</v>
      </c>
      <c r="N308" s="40" t="s">
        <v>504</v>
      </c>
      <c r="O308" s="199"/>
      <c r="P308" s="199"/>
      <c r="Q308" s="40"/>
      <c r="R308" s="40" t="s">
        <v>6</v>
      </c>
      <c r="S308" s="40" t="s">
        <v>6</v>
      </c>
      <c r="T308" s="126"/>
      <c r="U308" s="204" t="s">
        <v>3882</v>
      </c>
      <c r="V308" s="204"/>
      <c r="W308" s="204" t="s">
        <v>125</v>
      </c>
      <c r="X308" s="199"/>
      <c r="Y308" s="199"/>
      <c r="Z308" s="40" t="s">
        <v>6</v>
      </c>
      <c r="AA308" s="40" t="s">
        <v>6</v>
      </c>
      <c r="AB308" s="198"/>
      <c r="AC308" s="199"/>
      <c r="AD308" s="199"/>
      <c r="AE308" s="204" t="s">
        <v>125</v>
      </c>
      <c r="AF308" s="199"/>
      <c r="AG308" s="199"/>
      <c r="AH308" s="199"/>
      <c r="AI308" s="40" t="s">
        <v>6</v>
      </c>
      <c r="AJ308" s="198"/>
      <c r="AK308" s="199"/>
      <c r="AL308" s="199"/>
      <c r="AM308" s="199"/>
      <c r="AN308" s="199"/>
      <c r="AO308" s="199"/>
      <c r="AP308" s="199"/>
      <c r="AQ308" s="199"/>
      <c r="AR308" s="199"/>
      <c r="AS308" s="199"/>
      <c r="AT308" s="199"/>
      <c r="AU308" s="199"/>
      <c r="AV308" s="199"/>
      <c r="AW308" s="155"/>
    </row>
    <row r="309" spans="1:49" s="236" customFormat="1" ht="26.4">
      <c r="A309" s="40">
        <f t="shared" si="18"/>
        <v>303</v>
      </c>
      <c r="B309" s="199"/>
      <c r="C309" s="199"/>
      <c r="D309" s="199"/>
      <c r="E309" s="199"/>
      <c r="F309" s="199"/>
      <c r="G309" s="199"/>
      <c r="H309" s="199"/>
      <c r="I309" s="199"/>
      <c r="J309" s="215" t="s">
        <v>3883</v>
      </c>
      <c r="K309" s="204" t="s">
        <v>132</v>
      </c>
      <c r="L309" s="204" t="s">
        <v>3884</v>
      </c>
      <c r="M309" s="204" t="s">
        <v>3695</v>
      </c>
      <c r="N309" s="40" t="s">
        <v>504</v>
      </c>
      <c r="O309" s="199"/>
      <c r="P309" s="199"/>
      <c r="Q309" s="40"/>
      <c r="R309" s="40"/>
      <c r="S309" s="40" t="s">
        <v>6</v>
      </c>
      <c r="T309" s="126"/>
      <c r="U309" s="204" t="s">
        <v>617</v>
      </c>
      <c r="V309" s="204"/>
      <c r="W309" s="204" t="s">
        <v>125</v>
      </c>
      <c r="X309" s="199"/>
      <c r="Y309" s="199"/>
      <c r="Z309" s="40" t="s">
        <v>6</v>
      </c>
      <c r="AA309" s="40" t="s">
        <v>6</v>
      </c>
      <c r="AB309" s="198"/>
      <c r="AC309" s="199"/>
      <c r="AD309" s="199"/>
      <c r="AE309" s="204" t="s">
        <v>125</v>
      </c>
      <c r="AF309" s="199"/>
      <c r="AG309" s="199"/>
      <c r="AH309" s="199"/>
      <c r="AI309" s="40" t="s">
        <v>6</v>
      </c>
      <c r="AJ309" s="198"/>
      <c r="AK309" s="199"/>
      <c r="AL309" s="199"/>
      <c r="AM309" s="198" t="s">
        <v>683</v>
      </c>
      <c r="AN309" s="199"/>
      <c r="AO309" s="199"/>
      <c r="AP309" s="199"/>
      <c r="AQ309" s="199"/>
      <c r="AR309" s="199"/>
      <c r="AS309" s="199"/>
      <c r="AT309" s="199"/>
      <c r="AU309" s="199"/>
      <c r="AV309" s="199"/>
      <c r="AW309" s="155"/>
    </row>
    <row r="310" spans="1:49" s="236" customFormat="1" ht="39.6">
      <c r="A310" s="40">
        <f t="shared" si="18"/>
        <v>304</v>
      </c>
      <c r="B310" s="199"/>
      <c r="C310" s="199"/>
      <c r="D310" s="199"/>
      <c r="E310" s="199"/>
      <c r="F310" s="199"/>
      <c r="G310" s="199"/>
      <c r="H310" s="199"/>
      <c r="I310" s="199"/>
      <c r="J310" s="215" t="s">
        <v>3885</v>
      </c>
      <c r="K310" s="204" t="s">
        <v>132</v>
      </c>
      <c r="L310" s="204" t="s">
        <v>3886</v>
      </c>
      <c r="M310" s="204" t="s">
        <v>3695</v>
      </c>
      <c r="N310" s="40" t="s">
        <v>504</v>
      </c>
      <c r="O310" s="199"/>
      <c r="P310" s="199"/>
      <c r="Q310" s="40"/>
      <c r="R310" s="40" t="s">
        <v>6</v>
      </c>
      <c r="S310" s="40" t="s">
        <v>6</v>
      </c>
      <c r="T310" s="126"/>
      <c r="U310" s="204" t="s">
        <v>3882</v>
      </c>
      <c r="V310" s="204"/>
      <c r="W310" s="204" t="s">
        <v>125</v>
      </c>
      <c r="X310" s="199"/>
      <c r="Y310" s="199"/>
      <c r="Z310" s="40" t="s">
        <v>6</v>
      </c>
      <c r="AA310" s="40" t="s">
        <v>6</v>
      </c>
      <c r="AB310" s="198"/>
      <c r="AC310" s="199"/>
      <c r="AD310" s="199"/>
      <c r="AE310" s="204" t="s">
        <v>125</v>
      </c>
      <c r="AF310" s="199"/>
      <c r="AG310" s="199"/>
      <c r="AH310" s="199"/>
      <c r="AI310" s="40" t="s">
        <v>6</v>
      </c>
      <c r="AJ310" s="198"/>
      <c r="AK310" s="199"/>
      <c r="AL310" s="199"/>
      <c r="AM310" s="199"/>
      <c r="AN310" s="199"/>
      <c r="AO310" s="199"/>
      <c r="AP310" s="199"/>
      <c r="AQ310" s="199"/>
      <c r="AR310" s="199"/>
      <c r="AS310" s="199"/>
      <c r="AT310" s="199"/>
      <c r="AU310" s="199"/>
      <c r="AV310" s="199"/>
      <c r="AW310" s="155"/>
    </row>
    <row r="311" spans="1:49" s="236" customFormat="1" ht="26.4">
      <c r="A311" s="40">
        <f t="shared" si="18"/>
        <v>305</v>
      </c>
      <c r="B311" s="199"/>
      <c r="C311" s="199"/>
      <c r="D311" s="199"/>
      <c r="E311" s="199"/>
      <c r="F311" s="199"/>
      <c r="G311" s="199"/>
      <c r="H311" s="199"/>
      <c r="I311" s="199"/>
      <c r="J311" s="215" t="s">
        <v>3887</v>
      </c>
      <c r="K311" s="204" t="s">
        <v>132</v>
      </c>
      <c r="L311" s="204" t="s">
        <v>3888</v>
      </c>
      <c r="M311" s="204" t="s">
        <v>3695</v>
      </c>
      <c r="N311" s="40" t="s">
        <v>504</v>
      </c>
      <c r="O311" s="199"/>
      <c r="P311" s="199"/>
      <c r="Q311" s="40"/>
      <c r="R311" s="40"/>
      <c r="S311" s="40" t="s">
        <v>6</v>
      </c>
      <c r="T311" s="126"/>
      <c r="U311" s="204" t="s">
        <v>617</v>
      </c>
      <c r="V311" s="204"/>
      <c r="W311" s="204" t="s">
        <v>125</v>
      </c>
      <c r="X311" s="199"/>
      <c r="Y311" s="199"/>
      <c r="Z311" s="40" t="s">
        <v>6</v>
      </c>
      <c r="AA311" s="40" t="s">
        <v>6</v>
      </c>
      <c r="AB311" s="198"/>
      <c r="AC311" s="199"/>
      <c r="AD311" s="199"/>
      <c r="AE311" s="204" t="s">
        <v>125</v>
      </c>
      <c r="AF311" s="199"/>
      <c r="AG311" s="199"/>
      <c r="AH311" s="199"/>
      <c r="AI311" s="40" t="s">
        <v>6</v>
      </c>
      <c r="AJ311" s="198"/>
      <c r="AK311" s="199"/>
      <c r="AL311" s="199"/>
      <c r="AM311" s="198" t="s">
        <v>683</v>
      </c>
      <c r="AN311" s="199"/>
      <c r="AO311" s="199"/>
      <c r="AP311" s="199"/>
      <c r="AQ311" s="199"/>
      <c r="AR311" s="199"/>
      <c r="AS311" s="199"/>
      <c r="AT311" s="199"/>
      <c r="AU311" s="199"/>
      <c r="AV311" s="199"/>
      <c r="AW311" s="155"/>
    </row>
    <row r="312" spans="1:49" s="236" customFormat="1" ht="39.6">
      <c r="A312" s="40">
        <f t="shared" si="18"/>
        <v>306</v>
      </c>
      <c r="B312" s="199"/>
      <c r="C312" s="199"/>
      <c r="D312" s="199"/>
      <c r="E312" s="199"/>
      <c r="F312" s="199"/>
      <c r="G312" s="199"/>
      <c r="H312" s="199"/>
      <c r="I312" s="199"/>
      <c r="J312" s="215" t="s">
        <v>3889</v>
      </c>
      <c r="K312" s="204" t="s">
        <v>132</v>
      </c>
      <c r="L312" s="204" t="s">
        <v>3890</v>
      </c>
      <c r="M312" s="204" t="s">
        <v>3695</v>
      </c>
      <c r="N312" s="40" t="s">
        <v>504</v>
      </c>
      <c r="O312" s="199"/>
      <c r="P312" s="199"/>
      <c r="Q312" s="40"/>
      <c r="R312" s="40" t="s">
        <v>6</v>
      </c>
      <c r="S312" s="40" t="s">
        <v>6</v>
      </c>
      <c r="T312" s="126"/>
      <c r="U312" s="204" t="s">
        <v>3882</v>
      </c>
      <c r="V312" s="204"/>
      <c r="W312" s="204" t="s">
        <v>125</v>
      </c>
      <c r="X312" s="199"/>
      <c r="Y312" s="199"/>
      <c r="Z312" s="40" t="s">
        <v>6</v>
      </c>
      <c r="AA312" s="40" t="s">
        <v>6</v>
      </c>
      <c r="AB312" s="198"/>
      <c r="AC312" s="199"/>
      <c r="AD312" s="199"/>
      <c r="AE312" s="204" t="s">
        <v>125</v>
      </c>
      <c r="AF312" s="199"/>
      <c r="AG312" s="199"/>
      <c r="AH312" s="199"/>
      <c r="AI312" s="40" t="s">
        <v>6</v>
      </c>
      <c r="AJ312" s="198"/>
      <c r="AK312" s="199"/>
      <c r="AL312" s="199"/>
      <c r="AM312" s="199"/>
      <c r="AN312" s="199"/>
      <c r="AO312" s="199"/>
      <c r="AP312" s="199"/>
      <c r="AQ312" s="199"/>
      <c r="AR312" s="199"/>
      <c r="AS312" s="199"/>
      <c r="AT312" s="199"/>
      <c r="AU312" s="199"/>
      <c r="AV312" s="199"/>
      <c r="AW312" s="155"/>
    </row>
    <row r="313" spans="1:49" s="236" customFormat="1" ht="39.6">
      <c r="A313" s="40">
        <f t="shared" si="18"/>
        <v>307</v>
      </c>
      <c r="B313" s="199"/>
      <c r="C313" s="199"/>
      <c r="D313" s="199"/>
      <c r="E313" s="199"/>
      <c r="F313" s="199"/>
      <c r="G313" s="199"/>
      <c r="H313" s="199"/>
      <c r="I313" s="199"/>
      <c r="J313" s="215" t="s">
        <v>3891</v>
      </c>
      <c r="K313" s="204" t="s">
        <v>117</v>
      </c>
      <c r="L313" s="204" t="s">
        <v>3892</v>
      </c>
      <c r="M313" s="204" t="s">
        <v>3695</v>
      </c>
      <c r="N313" s="40" t="s">
        <v>504</v>
      </c>
      <c r="O313" s="199"/>
      <c r="P313" s="199"/>
      <c r="Q313" s="40"/>
      <c r="R313" s="40" t="s">
        <v>6</v>
      </c>
      <c r="S313" s="40" t="s">
        <v>6</v>
      </c>
      <c r="T313" s="126"/>
      <c r="U313" s="204"/>
      <c r="V313" s="204"/>
      <c r="W313" s="204" t="s">
        <v>125</v>
      </c>
      <c r="X313" s="199"/>
      <c r="Y313" s="199"/>
      <c r="Z313" s="40" t="s">
        <v>6</v>
      </c>
      <c r="AA313" s="40" t="s">
        <v>6</v>
      </c>
      <c r="AB313" s="218"/>
      <c r="AC313" s="199"/>
      <c r="AD313" s="218" t="s">
        <v>3696</v>
      </c>
      <c r="AE313" s="204" t="s">
        <v>125</v>
      </c>
      <c r="AF313" s="199"/>
      <c r="AG313" s="199"/>
      <c r="AH313" s="126"/>
      <c r="AI313" s="40" t="s">
        <v>6</v>
      </c>
      <c r="AJ313" s="218"/>
      <c r="AK313" s="199"/>
      <c r="AL313" s="218" t="s">
        <v>3696</v>
      </c>
      <c r="AM313" s="199"/>
      <c r="AN313" s="199"/>
      <c r="AO313" s="199"/>
      <c r="AP313" s="199"/>
      <c r="AQ313" s="199"/>
      <c r="AR313" s="199"/>
      <c r="AS313" s="199"/>
      <c r="AT313" s="199"/>
      <c r="AU313" s="199"/>
      <c r="AV313" s="199"/>
      <c r="AW313" s="155"/>
    </row>
    <row r="314" spans="1:49" s="236" customFormat="1" ht="15">
      <c r="A314" s="40">
        <f t="shared" si="18"/>
        <v>308</v>
      </c>
      <c r="B314" s="199"/>
      <c r="C314" s="199"/>
      <c r="D314" s="199"/>
      <c r="E314" s="199"/>
      <c r="F314" s="199"/>
      <c r="G314" s="199"/>
      <c r="H314" s="199"/>
      <c r="I314" s="199"/>
      <c r="J314" s="215" t="s">
        <v>3893</v>
      </c>
      <c r="K314" s="204" t="s">
        <v>117</v>
      </c>
      <c r="L314" s="204" t="s">
        <v>3894</v>
      </c>
      <c r="M314" s="204"/>
      <c r="N314" s="40" t="s">
        <v>504</v>
      </c>
      <c r="O314" s="199"/>
      <c r="P314" s="199"/>
      <c r="Q314" s="40" t="s">
        <v>6</v>
      </c>
      <c r="R314" s="40" t="s">
        <v>6</v>
      </c>
      <c r="S314" s="40" t="s">
        <v>6</v>
      </c>
      <c r="T314" s="40"/>
      <c r="U314" s="204"/>
      <c r="V314" s="204"/>
      <c r="W314" s="204" t="s">
        <v>133</v>
      </c>
      <c r="X314" s="199"/>
      <c r="Y314" s="199"/>
      <c r="Z314" s="40" t="s">
        <v>6</v>
      </c>
      <c r="AA314" s="40" t="s">
        <v>6</v>
      </c>
      <c r="AB314" s="204"/>
      <c r="AC314" s="199"/>
      <c r="AD314" s="199"/>
      <c r="AE314" s="204" t="s">
        <v>133</v>
      </c>
      <c r="AF314" s="199"/>
      <c r="AG314" s="199"/>
      <c r="AH314" s="40" t="s">
        <v>6</v>
      </c>
      <c r="AI314" s="40" t="s">
        <v>6</v>
      </c>
      <c r="AJ314" s="204"/>
      <c r="AK314" s="199"/>
      <c r="AL314" s="199"/>
      <c r="AM314" s="199"/>
      <c r="AN314" s="202" t="s">
        <v>635</v>
      </c>
      <c r="AO314" s="199"/>
      <c r="AP314" s="199"/>
      <c r="AQ314" s="199"/>
      <c r="AR314" s="199"/>
      <c r="AS314" s="199"/>
      <c r="AT314" s="199"/>
      <c r="AU314" s="199"/>
      <c r="AV314" s="199"/>
      <c r="AW314" s="155"/>
    </row>
    <row r="315" spans="1:49" s="236" customFormat="1" ht="15">
      <c r="A315" s="40">
        <f t="shared" si="18"/>
        <v>309</v>
      </c>
      <c r="B315" s="199"/>
      <c r="C315" s="199"/>
      <c r="D315" s="199"/>
      <c r="E315" s="199"/>
      <c r="F315" s="199"/>
      <c r="G315" s="199"/>
      <c r="H315" s="199"/>
      <c r="I315" s="199"/>
      <c r="J315" s="215" t="s">
        <v>3895</v>
      </c>
      <c r="K315" s="204" t="s">
        <v>117</v>
      </c>
      <c r="L315" s="204" t="s">
        <v>3896</v>
      </c>
      <c r="M315" s="204"/>
      <c r="N315" s="40" t="s">
        <v>504</v>
      </c>
      <c r="O315" s="199"/>
      <c r="P315" s="199"/>
      <c r="Q315" s="40" t="s">
        <v>6</v>
      </c>
      <c r="R315" s="40" t="s">
        <v>6</v>
      </c>
      <c r="S315" s="40" t="s">
        <v>6</v>
      </c>
      <c r="T315" s="40"/>
      <c r="U315" s="204"/>
      <c r="V315" s="204"/>
      <c r="W315" s="204" t="s">
        <v>133</v>
      </c>
      <c r="X315" s="199"/>
      <c r="Y315" s="199"/>
      <c r="Z315" s="40" t="s">
        <v>6</v>
      </c>
      <c r="AA315" s="40" t="s">
        <v>6</v>
      </c>
      <c r="AB315" s="204"/>
      <c r="AC315" s="199"/>
      <c r="AD315" s="199"/>
      <c r="AE315" s="204" t="s">
        <v>133</v>
      </c>
      <c r="AF315" s="199"/>
      <c r="AG315" s="199"/>
      <c r="AH315" s="40" t="s">
        <v>6</v>
      </c>
      <c r="AI315" s="40" t="s">
        <v>6</v>
      </c>
      <c r="AJ315" s="204"/>
      <c r="AK315" s="199"/>
      <c r="AL315" s="199"/>
      <c r="AM315" s="199"/>
      <c r="AN315" s="202" t="s">
        <v>635</v>
      </c>
      <c r="AO315" s="199"/>
      <c r="AP315" s="199"/>
      <c r="AQ315" s="199"/>
      <c r="AR315" s="199"/>
      <c r="AS315" s="199"/>
      <c r="AT315" s="199"/>
      <c r="AU315" s="199"/>
      <c r="AV315" s="199"/>
      <c r="AW315" s="155"/>
    </row>
    <row r="316" spans="1:49" s="236" customFormat="1" ht="15">
      <c r="A316" s="40">
        <f t="shared" si="18"/>
        <v>310</v>
      </c>
      <c r="B316" s="199"/>
      <c r="C316" s="199"/>
      <c r="D316" s="199"/>
      <c r="E316" s="199"/>
      <c r="F316" s="199"/>
      <c r="G316" s="199"/>
      <c r="H316" s="199"/>
      <c r="I316" s="199"/>
      <c r="J316" s="215" t="s">
        <v>3897</v>
      </c>
      <c r="K316" s="204" t="s">
        <v>117</v>
      </c>
      <c r="L316" s="204" t="s">
        <v>691</v>
      </c>
      <c r="M316" s="204"/>
      <c r="N316" s="40" t="s">
        <v>504</v>
      </c>
      <c r="O316" s="199"/>
      <c r="P316" s="199"/>
      <c r="Q316" s="40" t="s">
        <v>6</v>
      </c>
      <c r="R316" s="40" t="s">
        <v>6</v>
      </c>
      <c r="S316" s="40" t="s">
        <v>6</v>
      </c>
      <c r="T316" s="126"/>
      <c r="U316" s="204"/>
      <c r="V316" s="204"/>
      <c r="W316" s="204" t="s">
        <v>133</v>
      </c>
      <c r="X316" s="199"/>
      <c r="Y316" s="199"/>
      <c r="Z316" s="40" t="s">
        <v>6</v>
      </c>
      <c r="AA316" s="40" t="s">
        <v>6</v>
      </c>
      <c r="AB316" s="204"/>
      <c r="AC316" s="199"/>
      <c r="AD316" s="199"/>
      <c r="AE316" s="204" t="s">
        <v>133</v>
      </c>
      <c r="AF316" s="199"/>
      <c r="AG316" s="199"/>
      <c r="AH316" s="40" t="s">
        <v>6</v>
      </c>
      <c r="AI316" s="40" t="s">
        <v>6</v>
      </c>
      <c r="AJ316" s="204"/>
      <c r="AK316" s="199"/>
      <c r="AL316" s="199"/>
      <c r="AM316" s="199" t="s">
        <v>3898</v>
      </c>
      <c r="AN316" s="199"/>
      <c r="AO316" s="199"/>
      <c r="AP316" s="199"/>
      <c r="AQ316" s="199"/>
      <c r="AR316" s="199"/>
      <c r="AS316" s="199"/>
      <c r="AT316" s="199"/>
      <c r="AU316" s="199"/>
      <c r="AV316" s="199"/>
      <c r="AW316" s="155"/>
    </row>
    <row r="317" spans="1:49" s="236" customFormat="1" ht="15">
      <c r="A317" s="40">
        <f t="shared" si="18"/>
        <v>311</v>
      </c>
      <c r="B317" s="199"/>
      <c r="C317" s="199"/>
      <c r="D317" s="199"/>
      <c r="E317" s="199"/>
      <c r="F317" s="199"/>
      <c r="G317" s="199"/>
      <c r="H317" s="199"/>
      <c r="I317" s="199"/>
      <c r="J317" s="215" t="s">
        <v>3899</v>
      </c>
      <c r="K317" s="204" t="s">
        <v>117</v>
      </c>
      <c r="L317" s="204" t="s">
        <v>3900</v>
      </c>
      <c r="M317" s="204"/>
      <c r="N317" s="40" t="s">
        <v>504</v>
      </c>
      <c r="O317" s="40"/>
      <c r="P317" s="40"/>
      <c r="Q317" s="40"/>
      <c r="R317" s="126" t="s">
        <v>6</v>
      </c>
      <c r="S317" s="126" t="s">
        <v>6</v>
      </c>
      <c r="T317" s="126"/>
      <c r="U317" s="204"/>
      <c r="V317" s="204"/>
      <c r="W317" s="204" t="s">
        <v>133</v>
      </c>
      <c r="X317" s="40"/>
      <c r="Y317" s="40"/>
      <c r="Z317" s="126" t="s">
        <v>6</v>
      </c>
      <c r="AA317" s="126" t="s">
        <v>6</v>
      </c>
      <c r="AB317" s="198"/>
      <c r="AC317" s="199"/>
      <c r="AD317" s="199"/>
      <c r="AE317" s="204" t="s">
        <v>133</v>
      </c>
      <c r="AF317" s="40"/>
      <c r="AG317" s="40"/>
      <c r="AH317" s="126" t="s">
        <v>6</v>
      </c>
      <c r="AI317" s="126" t="s">
        <v>6</v>
      </c>
      <c r="AJ317" s="198"/>
      <c r="AK317" s="199"/>
      <c r="AL317" s="199"/>
      <c r="AM317" s="199"/>
      <c r="AN317" s="199"/>
      <c r="AO317" s="199"/>
      <c r="AP317" s="199"/>
      <c r="AQ317" s="199"/>
      <c r="AR317" s="199"/>
      <c r="AS317" s="199"/>
      <c r="AT317" s="199"/>
      <c r="AU317" s="199"/>
      <c r="AV317" s="199"/>
      <c r="AW317" s="155"/>
    </row>
    <row r="318" spans="1:49" s="236" customFormat="1" ht="15">
      <c r="A318" s="40">
        <f t="shared" si="18"/>
        <v>312</v>
      </c>
      <c r="B318" s="199"/>
      <c r="C318" s="199"/>
      <c r="D318" s="199"/>
      <c r="E318" s="199"/>
      <c r="F318" s="199"/>
      <c r="G318" s="199"/>
      <c r="H318" s="199"/>
      <c r="I318" s="199"/>
      <c r="J318" s="215" t="s">
        <v>3901</v>
      </c>
      <c r="K318" s="204" t="s">
        <v>117</v>
      </c>
      <c r="L318" s="204" t="s">
        <v>3902</v>
      </c>
      <c r="M318" s="204"/>
      <c r="N318" s="40" t="s">
        <v>504</v>
      </c>
      <c r="O318" s="40"/>
      <c r="P318" s="40"/>
      <c r="Q318" s="40"/>
      <c r="R318" s="126" t="s">
        <v>6</v>
      </c>
      <c r="S318" s="126" t="s">
        <v>6</v>
      </c>
      <c r="T318" s="126"/>
      <c r="U318" s="204"/>
      <c r="V318" s="204"/>
      <c r="W318" s="204" t="s">
        <v>133</v>
      </c>
      <c r="X318" s="40"/>
      <c r="Y318" s="40"/>
      <c r="Z318" s="126" t="s">
        <v>6</v>
      </c>
      <c r="AA318" s="126" t="s">
        <v>6</v>
      </c>
      <c r="AB318" s="198"/>
      <c r="AC318" s="199"/>
      <c r="AD318" s="199"/>
      <c r="AE318" s="204" t="s">
        <v>133</v>
      </c>
      <c r="AF318" s="40"/>
      <c r="AG318" s="40"/>
      <c r="AH318" s="126" t="s">
        <v>6</v>
      </c>
      <c r="AI318" s="126" t="s">
        <v>6</v>
      </c>
      <c r="AJ318" s="198"/>
      <c r="AK318" s="199"/>
      <c r="AL318" s="199"/>
      <c r="AM318" s="199"/>
      <c r="AN318" s="199"/>
      <c r="AO318" s="199"/>
      <c r="AP318" s="199"/>
      <c r="AQ318" s="199"/>
      <c r="AR318" s="199"/>
      <c r="AS318" s="199"/>
      <c r="AT318" s="199"/>
      <c r="AU318" s="199"/>
      <c r="AV318" s="199"/>
      <c r="AW318" s="155"/>
    </row>
    <row r="319" spans="1:49" s="236" customFormat="1" ht="15">
      <c r="A319" s="40">
        <f t="shared" si="18"/>
        <v>313</v>
      </c>
      <c r="B319" s="199"/>
      <c r="C319" s="199"/>
      <c r="D319" s="199"/>
      <c r="E319" s="199"/>
      <c r="F319" s="199"/>
      <c r="G319" s="199"/>
      <c r="H319" s="199"/>
      <c r="I319" s="199"/>
      <c r="J319" s="215" t="s">
        <v>3903</v>
      </c>
      <c r="K319" s="204" t="s">
        <v>117</v>
      </c>
      <c r="L319" s="204" t="s">
        <v>3904</v>
      </c>
      <c r="M319" s="204"/>
      <c r="N319" s="40" t="s">
        <v>504</v>
      </c>
      <c r="O319" s="40"/>
      <c r="P319" s="40"/>
      <c r="Q319" s="40"/>
      <c r="R319" s="126" t="s">
        <v>6</v>
      </c>
      <c r="S319" s="126" t="s">
        <v>6</v>
      </c>
      <c r="T319" s="126"/>
      <c r="U319" s="204"/>
      <c r="V319" s="204"/>
      <c r="W319" s="204" t="s">
        <v>133</v>
      </c>
      <c r="X319" s="40"/>
      <c r="Y319" s="40"/>
      <c r="Z319" s="126" t="s">
        <v>6</v>
      </c>
      <c r="AA319" s="126" t="s">
        <v>6</v>
      </c>
      <c r="AB319" s="198"/>
      <c r="AC319" s="199"/>
      <c r="AD319" s="199"/>
      <c r="AE319" s="204" t="s">
        <v>133</v>
      </c>
      <c r="AF319" s="40"/>
      <c r="AG319" s="40"/>
      <c r="AH319" s="126" t="s">
        <v>6</v>
      </c>
      <c r="AI319" s="126" t="s">
        <v>6</v>
      </c>
      <c r="AJ319" s="198"/>
      <c r="AK319" s="199"/>
      <c r="AL319" s="199"/>
      <c r="AM319" s="199"/>
      <c r="AN319" s="199"/>
      <c r="AO319" s="199"/>
      <c r="AP319" s="199"/>
      <c r="AQ319" s="199"/>
      <c r="AR319" s="199"/>
      <c r="AS319" s="199"/>
      <c r="AT319" s="199"/>
      <c r="AU319" s="199"/>
      <c r="AV319" s="199"/>
      <c r="AW319" s="155"/>
    </row>
    <row r="320" spans="1:49" s="236" customFormat="1" ht="39.6">
      <c r="A320" s="40">
        <f t="shared" si="18"/>
        <v>314</v>
      </c>
      <c r="B320" s="199"/>
      <c r="C320" s="199"/>
      <c r="D320" s="199"/>
      <c r="E320" s="199"/>
      <c r="F320" s="199"/>
      <c r="G320" s="199"/>
      <c r="H320" s="199"/>
      <c r="I320" s="199"/>
      <c r="J320" s="215" t="s">
        <v>3905</v>
      </c>
      <c r="K320" s="204" t="s">
        <v>132</v>
      </c>
      <c r="L320" s="204" t="s">
        <v>3906</v>
      </c>
      <c r="M320" s="204" t="s">
        <v>3602</v>
      </c>
      <c r="N320" s="40" t="s">
        <v>504</v>
      </c>
      <c r="O320" s="199"/>
      <c r="P320" s="199"/>
      <c r="Q320" s="40" t="s">
        <v>6</v>
      </c>
      <c r="R320" s="40" t="s">
        <v>6</v>
      </c>
      <c r="S320" s="40" t="s">
        <v>6</v>
      </c>
      <c r="T320" s="40"/>
      <c r="U320" s="204"/>
      <c r="V320" s="204"/>
      <c r="W320" s="204" t="s">
        <v>133</v>
      </c>
      <c r="X320" s="199"/>
      <c r="Y320" s="199"/>
      <c r="Z320" s="40" t="s">
        <v>6</v>
      </c>
      <c r="AA320" s="40" t="s">
        <v>6</v>
      </c>
      <c r="AB320" s="204" t="s">
        <v>3907</v>
      </c>
      <c r="AC320" s="199"/>
      <c r="AD320" s="199"/>
      <c r="AE320" s="204" t="s">
        <v>133</v>
      </c>
      <c r="AF320" s="199"/>
      <c r="AG320" s="199"/>
      <c r="AH320" s="40" t="s">
        <v>6</v>
      </c>
      <c r="AI320" s="40" t="s">
        <v>6</v>
      </c>
      <c r="AJ320" s="204" t="s">
        <v>3907</v>
      </c>
      <c r="AK320" s="199"/>
      <c r="AL320" s="199"/>
      <c r="AM320" s="199"/>
      <c r="AN320" s="199"/>
      <c r="AO320" s="199"/>
      <c r="AP320" s="199"/>
      <c r="AQ320" s="199"/>
      <c r="AR320" s="199"/>
      <c r="AS320" s="199"/>
      <c r="AT320" s="199"/>
      <c r="AU320" s="199"/>
      <c r="AV320" s="199"/>
      <c r="AW320" s="155"/>
    </row>
    <row r="321" spans="1:49" s="236" customFormat="1" ht="26.4">
      <c r="A321" s="40">
        <f t="shared" si="18"/>
        <v>315</v>
      </c>
      <c r="B321" s="199"/>
      <c r="C321" s="199"/>
      <c r="D321" s="199"/>
      <c r="E321" s="199"/>
      <c r="F321" s="199"/>
      <c r="G321" s="199"/>
      <c r="H321" s="199"/>
      <c r="I321" s="199"/>
      <c r="J321" s="215" t="s">
        <v>3908</v>
      </c>
      <c r="K321" s="204" t="s">
        <v>132</v>
      </c>
      <c r="L321" s="204" t="s">
        <v>3909</v>
      </c>
      <c r="M321" s="204" t="s">
        <v>3602</v>
      </c>
      <c r="N321" s="40" t="s">
        <v>504</v>
      </c>
      <c r="O321" s="199"/>
      <c r="P321" s="199"/>
      <c r="Q321" s="40" t="s">
        <v>6</v>
      </c>
      <c r="R321" s="40" t="s">
        <v>6</v>
      </c>
      <c r="S321" s="40" t="s">
        <v>6</v>
      </c>
      <c r="T321" s="40"/>
      <c r="U321" s="204"/>
      <c r="V321" s="204"/>
      <c r="W321" s="204" t="s">
        <v>133</v>
      </c>
      <c r="X321" s="199"/>
      <c r="Y321" s="199"/>
      <c r="Z321" s="40" t="s">
        <v>6</v>
      </c>
      <c r="AA321" s="40" t="s">
        <v>6</v>
      </c>
      <c r="AB321" s="204" t="s">
        <v>3910</v>
      </c>
      <c r="AC321" s="199"/>
      <c r="AD321" s="199"/>
      <c r="AE321" s="204" t="s">
        <v>133</v>
      </c>
      <c r="AF321" s="199"/>
      <c r="AG321" s="199"/>
      <c r="AH321" s="40" t="s">
        <v>6</v>
      </c>
      <c r="AI321" s="40" t="s">
        <v>6</v>
      </c>
      <c r="AJ321" s="204" t="s">
        <v>3910</v>
      </c>
      <c r="AK321" s="199"/>
      <c r="AL321" s="199"/>
      <c r="AM321" s="199"/>
      <c r="AN321" s="199"/>
      <c r="AO321" s="199"/>
      <c r="AP321" s="199"/>
      <c r="AQ321" s="199"/>
      <c r="AR321" s="199"/>
      <c r="AS321" s="199"/>
      <c r="AT321" s="199"/>
      <c r="AU321" s="199"/>
      <c r="AV321" s="199"/>
      <c r="AW321" s="155"/>
    </row>
    <row r="322" spans="1:49" s="236" customFormat="1" ht="26.4">
      <c r="A322" s="40">
        <f t="shared" si="18"/>
        <v>316</v>
      </c>
      <c r="B322" s="199"/>
      <c r="C322" s="199"/>
      <c r="D322" s="199"/>
      <c r="E322" s="199"/>
      <c r="F322" s="199"/>
      <c r="G322" s="199"/>
      <c r="H322" s="199"/>
      <c r="I322" s="199"/>
      <c r="J322" s="215" t="s">
        <v>3911</v>
      </c>
      <c r="K322" s="204" t="s">
        <v>132</v>
      </c>
      <c r="L322" s="204" t="s">
        <v>3912</v>
      </c>
      <c r="M322" s="204" t="s">
        <v>3602</v>
      </c>
      <c r="N322" s="40" t="s">
        <v>504</v>
      </c>
      <c r="O322" s="199"/>
      <c r="P322" s="199"/>
      <c r="Q322" s="40" t="s">
        <v>6</v>
      </c>
      <c r="R322" s="40" t="s">
        <v>6</v>
      </c>
      <c r="S322" s="40" t="s">
        <v>6</v>
      </c>
      <c r="T322" s="40"/>
      <c r="U322" s="204"/>
      <c r="V322" s="204"/>
      <c r="W322" s="204" t="s">
        <v>133</v>
      </c>
      <c r="X322" s="199"/>
      <c r="Y322" s="199"/>
      <c r="Z322" s="40" t="s">
        <v>6</v>
      </c>
      <c r="AA322" s="40" t="s">
        <v>6</v>
      </c>
      <c r="AB322" s="204" t="s">
        <v>3913</v>
      </c>
      <c r="AC322" s="199"/>
      <c r="AD322" s="199"/>
      <c r="AE322" s="204" t="s">
        <v>133</v>
      </c>
      <c r="AF322" s="199"/>
      <c r="AG322" s="199"/>
      <c r="AH322" s="40" t="s">
        <v>6</v>
      </c>
      <c r="AI322" s="40" t="s">
        <v>6</v>
      </c>
      <c r="AJ322" s="204" t="s">
        <v>3913</v>
      </c>
      <c r="AK322" s="199"/>
      <c r="AL322" s="199"/>
      <c r="AM322" s="199"/>
      <c r="AN322" s="199"/>
      <c r="AO322" s="199"/>
      <c r="AP322" s="199"/>
      <c r="AQ322" s="199"/>
      <c r="AR322" s="199"/>
      <c r="AS322" s="199"/>
      <c r="AT322" s="199"/>
      <c r="AU322" s="199"/>
      <c r="AV322" s="199"/>
      <c r="AW322" s="155"/>
    </row>
    <row r="323" spans="1:49" s="236" customFormat="1" ht="26.4">
      <c r="A323" s="40">
        <f t="shared" si="18"/>
        <v>317</v>
      </c>
      <c r="B323" s="199"/>
      <c r="C323" s="199"/>
      <c r="D323" s="199"/>
      <c r="E323" s="199"/>
      <c r="F323" s="199"/>
      <c r="G323" s="199"/>
      <c r="H323" s="199"/>
      <c r="I323" s="199"/>
      <c r="J323" s="215" t="s">
        <v>3914</v>
      </c>
      <c r="K323" s="204" t="s">
        <v>132</v>
      </c>
      <c r="L323" s="204" t="s">
        <v>3915</v>
      </c>
      <c r="M323" s="204" t="s">
        <v>3602</v>
      </c>
      <c r="N323" s="40" t="s">
        <v>504</v>
      </c>
      <c r="O323" s="199"/>
      <c r="P323" s="199"/>
      <c r="Q323" s="40" t="s">
        <v>6</v>
      </c>
      <c r="R323" s="40" t="s">
        <v>6</v>
      </c>
      <c r="S323" s="40" t="s">
        <v>6</v>
      </c>
      <c r="T323" s="40"/>
      <c r="U323" s="204"/>
      <c r="V323" s="204"/>
      <c r="W323" s="204" t="s">
        <v>133</v>
      </c>
      <c r="X323" s="199"/>
      <c r="Y323" s="199"/>
      <c r="Z323" s="40" t="s">
        <v>6</v>
      </c>
      <c r="AA323" s="40" t="s">
        <v>6</v>
      </c>
      <c r="AB323" s="204" t="s">
        <v>3916</v>
      </c>
      <c r="AC323" s="199"/>
      <c r="AD323" s="199"/>
      <c r="AE323" s="204" t="s">
        <v>133</v>
      </c>
      <c r="AF323" s="199"/>
      <c r="AG323" s="199"/>
      <c r="AH323" s="40" t="s">
        <v>6</v>
      </c>
      <c r="AI323" s="40" t="s">
        <v>6</v>
      </c>
      <c r="AJ323" s="204" t="s">
        <v>3916</v>
      </c>
      <c r="AK323" s="199"/>
      <c r="AL323" s="199"/>
      <c r="AM323" s="199"/>
      <c r="AN323" s="199"/>
      <c r="AO323" s="199"/>
      <c r="AP323" s="199"/>
      <c r="AQ323" s="199"/>
      <c r="AR323" s="199"/>
      <c r="AS323" s="199"/>
      <c r="AT323" s="199"/>
      <c r="AU323" s="199"/>
      <c r="AV323" s="199"/>
      <c r="AW323" s="155"/>
    </row>
    <row r="324" spans="1:49" s="246" customFormat="1" ht="15">
      <c r="A324" s="40">
        <f t="shared" si="18"/>
        <v>318</v>
      </c>
      <c r="B324" s="198"/>
      <c r="C324" s="198"/>
      <c r="D324" s="198"/>
      <c r="E324" s="198"/>
      <c r="F324" s="198"/>
      <c r="G324" s="198"/>
      <c r="H324" s="198"/>
      <c r="I324" s="198"/>
      <c r="J324" s="204" t="s">
        <v>3917</v>
      </c>
      <c r="K324" s="204" t="s">
        <v>132</v>
      </c>
      <c r="L324" s="232" t="s">
        <v>3918</v>
      </c>
      <c r="M324" s="232" t="s">
        <v>3919</v>
      </c>
      <c r="N324" s="40" t="s">
        <v>504</v>
      </c>
      <c r="O324" s="232"/>
      <c r="P324" s="232"/>
      <c r="Q324" s="40" t="s">
        <v>6</v>
      </c>
      <c r="R324" s="40" t="s">
        <v>6</v>
      </c>
      <c r="S324" s="40" t="s">
        <v>6</v>
      </c>
      <c r="T324" s="126"/>
      <c r="U324" s="209"/>
      <c r="V324" s="209"/>
      <c r="W324" s="204" t="s">
        <v>133</v>
      </c>
      <c r="X324" s="198"/>
      <c r="Y324" s="198"/>
      <c r="Z324" s="40" t="s">
        <v>6</v>
      </c>
      <c r="AA324" s="40" t="s">
        <v>6</v>
      </c>
      <c r="AB324" s="198"/>
      <c r="AC324" s="198"/>
      <c r="AD324" s="198"/>
      <c r="AE324" s="204" t="s">
        <v>133</v>
      </c>
      <c r="AF324" s="198"/>
      <c r="AG324" s="198"/>
      <c r="AH324" s="40" t="s">
        <v>6</v>
      </c>
      <c r="AI324" s="40" t="s">
        <v>6</v>
      </c>
      <c r="AJ324" s="198"/>
      <c r="AK324" s="198"/>
      <c r="AL324" s="198"/>
      <c r="AM324" s="198"/>
      <c r="AN324" s="198"/>
      <c r="AO324" s="198"/>
      <c r="AP324" s="198"/>
      <c r="AQ324" s="198"/>
      <c r="AR324" s="198"/>
      <c r="AS324" s="198"/>
      <c r="AT324" s="198"/>
      <c r="AU324" s="198"/>
      <c r="AV324" s="198"/>
      <c r="AW324" s="155"/>
    </row>
    <row r="325" spans="1:49" s="236" customFormat="1" ht="26.4">
      <c r="A325" s="40">
        <f t="shared" si="18"/>
        <v>319</v>
      </c>
      <c r="B325" s="199"/>
      <c r="C325" s="199"/>
      <c r="D325" s="199"/>
      <c r="E325" s="199"/>
      <c r="F325" s="199"/>
      <c r="G325" s="199"/>
      <c r="H325" s="199"/>
      <c r="I325" s="199"/>
      <c r="J325" s="218" t="s">
        <v>3920</v>
      </c>
      <c r="K325" s="204" t="s">
        <v>128</v>
      </c>
      <c r="L325" s="204" t="s">
        <v>703</v>
      </c>
      <c r="M325" s="204"/>
      <c r="N325" s="40" t="s">
        <v>504</v>
      </c>
      <c r="O325" s="199"/>
      <c r="P325" s="199"/>
      <c r="Q325" s="40" t="s">
        <v>6</v>
      </c>
      <c r="R325" s="40" t="s">
        <v>6</v>
      </c>
      <c r="S325" s="40" t="s">
        <v>6</v>
      </c>
      <c r="T325" s="126"/>
      <c r="U325" s="204" t="s">
        <v>3921</v>
      </c>
      <c r="V325" s="204"/>
      <c r="W325" s="204" t="s">
        <v>125</v>
      </c>
      <c r="X325" s="199"/>
      <c r="Y325" s="199"/>
      <c r="Z325" s="40" t="s">
        <v>6</v>
      </c>
      <c r="AA325" s="40" t="s">
        <v>6</v>
      </c>
      <c r="AB325" s="198"/>
      <c r="AC325" s="199"/>
      <c r="AD325" s="199"/>
      <c r="AE325" s="204" t="s">
        <v>125</v>
      </c>
      <c r="AF325" s="199"/>
      <c r="AG325" s="199"/>
      <c r="AH325" s="199"/>
      <c r="AI325" s="40" t="s">
        <v>6</v>
      </c>
      <c r="AJ325" s="198"/>
      <c r="AK325" s="199"/>
      <c r="AL325" s="199"/>
      <c r="AM325" s="199"/>
      <c r="AN325" s="199"/>
      <c r="AO325" s="199"/>
      <c r="AP325" s="199"/>
      <c r="AQ325" s="199"/>
      <c r="AR325" s="199"/>
      <c r="AS325" s="199"/>
      <c r="AT325" s="199"/>
      <c r="AU325" s="199"/>
      <c r="AV325" s="199"/>
      <c r="AW325" s="155"/>
    </row>
    <row r="326" spans="1:49" s="236" customFormat="1" ht="15">
      <c r="A326" s="40">
        <f t="shared" si="18"/>
        <v>320</v>
      </c>
      <c r="B326" s="199"/>
      <c r="C326" s="199"/>
      <c r="D326" s="199"/>
      <c r="E326" s="199"/>
      <c r="F326" s="199"/>
      <c r="G326" s="199"/>
      <c r="H326" s="199"/>
      <c r="I326" s="199"/>
      <c r="J326" s="215" t="s">
        <v>3922</v>
      </c>
      <c r="K326" s="204" t="s">
        <v>117</v>
      </c>
      <c r="L326" s="204" t="s">
        <v>3923</v>
      </c>
      <c r="M326" s="204"/>
      <c r="N326" s="40" t="s">
        <v>504</v>
      </c>
      <c r="O326" s="199"/>
      <c r="P326" s="199"/>
      <c r="Q326" s="40" t="s">
        <v>6</v>
      </c>
      <c r="R326" s="40" t="s">
        <v>6</v>
      </c>
      <c r="S326" s="40" t="s">
        <v>6</v>
      </c>
      <c r="T326" s="126"/>
      <c r="U326" s="204"/>
      <c r="V326" s="204"/>
      <c r="W326" s="204" t="s">
        <v>125</v>
      </c>
      <c r="X326" s="199"/>
      <c r="Y326" s="199"/>
      <c r="Z326" s="40" t="s">
        <v>6</v>
      </c>
      <c r="AA326" s="40" t="s">
        <v>6</v>
      </c>
      <c r="AB326" s="198"/>
      <c r="AC326" s="199"/>
      <c r="AD326" s="199"/>
      <c r="AE326" s="204" t="s">
        <v>125</v>
      </c>
      <c r="AF326" s="199"/>
      <c r="AG326" s="199"/>
      <c r="AH326" s="126"/>
      <c r="AI326" s="40" t="s">
        <v>6</v>
      </c>
      <c r="AJ326" s="198"/>
      <c r="AK326" s="199"/>
      <c r="AL326" s="199"/>
      <c r="AM326" s="199"/>
      <c r="AN326" s="199"/>
      <c r="AO326" s="199"/>
      <c r="AP326" s="199"/>
      <c r="AQ326" s="199"/>
      <c r="AR326" s="199"/>
      <c r="AS326" s="199"/>
      <c r="AT326" s="199"/>
      <c r="AU326" s="199"/>
      <c r="AV326" s="199"/>
      <c r="AW326" s="155"/>
    </row>
    <row r="327" spans="1:49" s="236" customFormat="1" ht="26.4">
      <c r="A327" s="40">
        <f t="shared" si="18"/>
        <v>321</v>
      </c>
      <c r="B327" s="199"/>
      <c r="C327" s="199"/>
      <c r="D327" s="199"/>
      <c r="E327" s="199"/>
      <c r="F327" s="199"/>
      <c r="G327" s="199"/>
      <c r="H327" s="199"/>
      <c r="I327" s="199"/>
      <c r="J327" s="215" t="s">
        <v>3924</v>
      </c>
      <c r="K327" s="204" t="s">
        <v>117</v>
      </c>
      <c r="L327" s="204" t="s">
        <v>3925</v>
      </c>
      <c r="M327" s="204"/>
      <c r="N327" s="40" t="s">
        <v>504</v>
      </c>
      <c r="O327" s="199"/>
      <c r="P327" s="199"/>
      <c r="Q327" s="40" t="s">
        <v>6</v>
      </c>
      <c r="R327" s="40" t="s">
        <v>6</v>
      </c>
      <c r="S327" s="40" t="s">
        <v>6</v>
      </c>
      <c r="T327" s="126"/>
      <c r="U327" s="204"/>
      <c r="V327" s="204"/>
      <c r="W327" s="204" t="s">
        <v>125</v>
      </c>
      <c r="X327" s="199"/>
      <c r="Y327" s="199"/>
      <c r="Z327" s="40" t="s">
        <v>6</v>
      </c>
      <c r="AA327" s="40" t="s">
        <v>6</v>
      </c>
      <c r="AB327" s="218"/>
      <c r="AC327" s="199"/>
      <c r="AD327" s="218" t="s">
        <v>709</v>
      </c>
      <c r="AE327" s="204" t="s">
        <v>125</v>
      </c>
      <c r="AF327" s="199"/>
      <c r="AG327" s="199"/>
      <c r="AH327" s="126"/>
      <c r="AI327" s="40" t="s">
        <v>6</v>
      </c>
      <c r="AJ327" s="218"/>
      <c r="AK327" s="199"/>
      <c r="AL327" s="218" t="s">
        <v>709</v>
      </c>
      <c r="AM327" s="199"/>
      <c r="AN327" s="199"/>
      <c r="AO327" s="199"/>
      <c r="AP327" s="199"/>
      <c r="AQ327" s="199"/>
      <c r="AR327" s="199"/>
      <c r="AS327" s="199"/>
      <c r="AT327" s="199"/>
      <c r="AU327" s="199"/>
      <c r="AV327" s="199"/>
      <c r="AW327" s="155"/>
    </row>
    <row r="328" spans="1:49" s="236" customFormat="1" ht="39.6">
      <c r="A328" s="40">
        <f t="shared" ref="A328:A391" si="19">ROW() - 6</f>
        <v>322</v>
      </c>
      <c r="B328" s="199"/>
      <c r="C328" s="199"/>
      <c r="D328" s="199"/>
      <c r="E328" s="199"/>
      <c r="F328" s="199"/>
      <c r="G328" s="199"/>
      <c r="H328" s="199"/>
      <c r="I328" s="199"/>
      <c r="J328" s="215" t="s">
        <v>3926</v>
      </c>
      <c r="K328" s="204" t="s">
        <v>117</v>
      </c>
      <c r="L328" s="204" t="s">
        <v>3927</v>
      </c>
      <c r="M328" s="204"/>
      <c r="N328" s="40" t="s">
        <v>504</v>
      </c>
      <c r="O328" s="199"/>
      <c r="P328" s="199"/>
      <c r="Q328" s="40" t="s">
        <v>6</v>
      </c>
      <c r="R328" s="40" t="s">
        <v>6</v>
      </c>
      <c r="S328" s="40" t="s">
        <v>6</v>
      </c>
      <c r="T328" s="126"/>
      <c r="U328" s="204" t="s">
        <v>3928</v>
      </c>
      <c r="V328" s="204"/>
      <c r="W328" s="204" t="s">
        <v>125</v>
      </c>
      <c r="X328" s="199"/>
      <c r="Y328" s="199"/>
      <c r="Z328" s="40" t="s">
        <v>6</v>
      </c>
      <c r="AA328" s="40" t="s">
        <v>6</v>
      </c>
      <c r="AB328" s="218"/>
      <c r="AC328" s="199"/>
      <c r="AD328" s="218" t="s">
        <v>3929</v>
      </c>
      <c r="AE328" s="204" t="s">
        <v>125</v>
      </c>
      <c r="AF328" s="199"/>
      <c r="AG328" s="199"/>
      <c r="AH328" s="126"/>
      <c r="AI328" s="40" t="s">
        <v>6</v>
      </c>
      <c r="AJ328" s="218"/>
      <c r="AK328" s="199"/>
      <c r="AL328" s="218" t="s">
        <v>3929</v>
      </c>
      <c r="AM328" s="199"/>
      <c r="AN328" s="199"/>
      <c r="AO328" s="199"/>
      <c r="AP328" s="199"/>
      <c r="AQ328" s="199"/>
      <c r="AR328" s="199"/>
      <c r="AS328" s="199"/>
      <c r="AT328" s="199"/>
      <c r="AU328" s="199"/>
      <c r="AV328" s="199"/>
      <c r="AW328" s="155"/>
    </row>
    <row r="329" spans="1:49" s="236" customFormat="1" ht="26.4">
      <c r="A329" s="40">
        <f t="shared" si="19"/>
        <v>323</v>
      </c>
      <c r="B329" s="199"/>
      <c r="C329" s="199"/>
      <c r="D329" s="199"/>
      <c r="E329" s="199"/>
      <c r="F329" s="199"/>
      <c r="G329" s="199"/>
      <c r="H329" s="199"/>
      <c r="I329" s="199"/>
      <c r="J329" s="218" t="s">
        <v>3930</v>
      </c>
      <c r="K329" s="204" t="s">
        <v>117</v>
      </c>
      <c r="L329" s="204" t="s">
        <v>3931</v>
      </c>
      <c r="M329" s="204"/>
      <c r="N329" s="40" t="s">
        <v>504</v>
      </c>
      <c r="O329" s="199"/>
      <c r="P329" s="199"/>
      <c r="Q329" s="40" t="s">
        <v>6</v>
      </c>
      <c r="R329" s="40" t="s">
        <v>6</v>
      </c>
      <c r="S329" s="40" t="s">
        <v>6</v>
      </c>
      <c r="T329" s="126"/>
      <c r="U329" s="204" t="s">
        <v>730</v>
      </c>
      <c r="V329" s="204"/>
      <c r="W329" s="204" t="s">
        <v>125</v>
      </c>
      <c r="X329" s="199"/>
      <c r="Y329" s="199"/>
      <c r="Z329" s="40" t="s">
        <v>6</v>
      </c>
      <c r="AA329" s="40" t="s">
        <v>6</v>
      </c>
      <c r="AB329" s="218"/>
      <c r="AC329" s="199"/>
      <c r="AD329" s="218" t="s">
        <v>709</v>
      </c>
      <c r="AE329" s="204" t="s">
        <v>125</v>
      </c>
      <c r="AF329" s="199"/>
      <c r="AG329" s="199"/>
      <c r="AH329" s="199"/>
      <c r="AI329" s="40" t="s">
        <v>6</v>
      </c>
      <c r="AJ329" s="218"/>
      <c r="AK329" s="199"/>
      <c r="AL329" s="218" t="s">
        <v>709</v>
      </c>
      <c r="AM329" s="199"/>
      <c r="AN329" s="199"/>
      <c r="AO329" s="199"/>
      <c r="AP329" s="199"/>
      <c r="AQ329" s="199"/>
      <c r="AR329" s="199"/>
      <c r="AS329" s="199"/>
      <c r="AT329" s="199"/>
      <c r="AU329" s="199"/>
      <c r="AV329" s="199"/>
      <c r="AW329" s="155"/>
    </row>
    <row r="330" spans="1:49" s="236" customFormat="1" ht="26.4">
      <c r="A330" s="40">
        <f t="shared" si="19"/>
        <v>324</v>
      </c>
      <c r="B330" s="199"/>
      <c r="C330" s="199"/>
      <c r="D330" s="199"/>
      <c r="E330" s="199"/>
      <c r="F330" s="199"/>
      <c r="G330" s="199"/>
      <c r="H330" s="199"/>
      <c r="I330" s="199"/>
      <c r="J330" s="218" t="s">
        <v>3932</v>
      </c>
      <c r="K330" s="204" t="s">
        <v>117</v>
      </c>
      <c r="L330" s="204" t="s">
        <v>3933</v>
      </c>
      <c r="M330" s="204"/>
      <c r="N330" s="40" t="s">
        <v>504</v>
      </c>
      <c r="O330" s="199"/>
      <c r="P330" s="199"/>
      <c r="Q330" s="40" t="s">
        <v>6</v>
      </c>
      <c r="R330" s="40" t="s">
        <v>6</v>
      </c>
      <c r="S330" s="40" t="s">
        <v>6</v>
      </c>
      <c r="T330" s="40"/>
      <c r="U330" s="204" t="s">
        <v>5603</v>
      </c>
      <c r="V330" s="204"/>
      <c r="W330" s="204" t="s">
        <v>125</v>
      </c>
      <c r="X330" s="199"/>
      <c r="Y330" s="199"/>
      <c r="Z330" s="40" t="s">
        <v>6</v>
      </c>
      <c r="AA330" s="40" t="s">
        <v>6</v>
      </c>
      <c r="AB330" s="218"/>
      <c r="AC330" s="199"/>
      <c r="AD330" s="218" t="s">
        <v>709</v>
      </c>
      <c r="AE330" s="204" t="s">
        <v>125</v>
      </c>
      <c r="AF330" s="199"/>
      <c r="AG330" s="199"/>
      <c r="AH330" s="199"/>
      <c r="AI330" s="40" t="s">
        <v>6</v>
      </c>
      <c r="AJ330" s="218"/>
      <c r="AK330" s="199"/>
      <c r="AL330" s="218" t="s">
        <v>709</v>
      </c>
      <c r="AM330" s="199"/>
      <c r="AN330" s="199"/>
      <c r="AO330" s="199"/>
      <c r="AP330" s="199"/>
      <c r="AQ330" s="199"/>
      <c r="AR330" s="199"/>
      <c r="AS330" s="199"/>
      <c r="AT330" s="199"/>
      <c r="AU330" s="199"/>
      <c r="AV330" s="199"/>
      <c r="AW330" s="155"/>
    </row>
    <row r="331" spans="1:49" s="236" customFormat="1" ht="26.4">
      <c r="A331" s="40">
        <f t="shared" si="19"/>
        <v>325</v>
      </c>
      <c r="B331" s="199"/>
      <c r="C331" s="199"/>
      <c r="D331" s="199"/>
      <c r="E331" s="199"/>
      <c r="F331" s="199"/>
      <c r="G331" s="199"/>
      <c r="H331" s="199"/>
      <c r="I331" s="199"/>
      <c r="J331" s="218" t="s">
        <v>3934</v>
      </c>
      <c r="K331" s="204" t="s">
        <v>117</v>
      </c>
      <c r="L331" s="204" t="s">
        <v>3935</v>
      </c>
      <c r="M331" s="204"/>
      <c r="N331" s="40" t="s">
        <v>504</v>
      </c>
      <c r="O331" s="199"/>
      <c r="P331" s="199"/>
      <c r="Q331" s="40" t="s">
        <v>6</v>
      </c>
      <c r="R331" s="40" t="s">
        <v>6</v>
      </c>
      <c r="S331" s="40" t="s">
        <v>6</v>
      </c>
      <c r="T331" s="126"/>
      <c r="U331" s="204" t="s">
        <v>730</v>
      </c>
      <c r="V331" s="204"/>
      <c r="W331" s="204" t="s">
        <v>125</v>
      </c>
      <c r="X331" s="199"/>
      <c r="Y331" s="199"/>
      <c r="Z331" s="40" t="s">
        <v>6</v>
      </c>
      <c r="AA331" s="40" t="s">
        <v>6</v>
      </c>
      <c r="AB331" s="218"/>
      <c r="AC331" s="199"/>
      <c r="AD331" s="218" t="s">
        <v>709</v>
      </c>
      <c r="AE331" s="204" t="s">
        <v>125</v>
      </c>
      <c r="AF331" s="199"/>
      <c r="AG331" s="199"/>
      <c r="AH331" s="199"/>
      <c r="AI331" s="40" t="s">
        <v>6</v>
      </c>
      <c r="AJ331" s="218"/>
      <c r="AK331" s="199"/>
      <c r="AL331" s="218" t="s">
        <v>709</v>
      </c>
      <c r="AM331" s="199"/>
      <c r="AN331" s="199"/>
      <c r="AO331" s="199"/>
      <c r="AP331" s="199"/>
      <c r="AQ331" s="199"/>
      <c r="AR331" s="199"/>
      <c r="AS331" s="199"/>
      <c r="AT331" s="199"/>
      <c r="AU331" s="199"/>
      <c r="AV331" s="199"/>
      <c r="AW331" s="155"/>
    </row>
    <row r="332" spans="1:49" s="236" customFormat="1" ht="26.4">
      <c r="A332" s="40">
        <f t="shared" si="19"/>
        <v>326</v>
      </c>
      <c r="B332" s="199"/>
      <c r="C332" s="199"/>
      <c r="D332" s="199"/>
      <c r="E332" s="199"/>
      <c r="F332" s="199"/>
      <c r="G332" s="199"/>
      <c r="H332" s="199"/>
      <c r="I332" s="199"/>
      <c r="J332" s="218" t="s">
        <v>3936</v>
      </c>
      <c r="K332" s="204" t="s">
        <v>117</v>
      </c>
      <c r="L332" s="204" t="s">
        <v>3937</v>
      </c>
      <c r="M332" s="204"/>
      <c r="N332" s="40" t="s">
        <v>504</v>
      </c>
      <c r="O332" s="199"/>
      <c r="P332" s="199"/>
      <c r="Q332" s="40" t="s">
        <v>6</v>
      </c>
      <c r="R332" s="40" t="s">
        <v>6</v>
      </c>
      <c r="S332" s="40" t="s">
        <v>6</v>
      </c>
      <c r="T332" s="126"/>
      <c r="U332" s="204" t="s">
        <v>730</v>
      </c>
      <c r="V332" s="204"/>
      <c r="W332" s="204" t="s">
        <v>125</v>
      </c>
      <c r="X332" s="199"/>
      <c r="Y332" s="199"/>
      <c r="Z332" s="40" t="s">
        <v>6</v>
      </c>
      <c r="AA332" s="40" t="s">
        <v>6</v>
      </c>
      <c r="AB332" s="218"/>
      <c r="AC332" s="199"/>
      <c r="AD332" s="218" t="s">
        <v>709</v>
      </c>
      <c r="AE332" s="204" t="s">
        <v>125</v>
      </c>
      <c r="AF332" s="199"/>
      <c r="AG332" s="199"/>
      <c r="AH332" s="199"/>
      <c r="AI332" s="40" t="s">
        <v>6</v>
      </c>
      <c r="AJ332" s="218"/>
      <c r="AK332" s="199"/>
      <c r="AL332" s="218" t="s">
        <v>709</v>
      </c>
      <c r="AM332" s="199"/>
      <c r="AN332" s="199"/>
      <c r="AO332" s="199"/>
      <c r="AP332" s="199"/>
      <c r="AQ332" s="199"/>
      <c r="AR332" s="199"/>
      <c r="AS332" s="199"/>
      <c r="AT332" s="199"/>
      <c r="AU332" s="199"/>
      <c r="AV332" s="199"/>
      <c r="AW332" s="155"/>
    </row>
    <row r="333" spans="1:49" s="236" customFormat="1" ht="26.4">
      <c r="A333" s="40">
        <f t="shared" si="19"/>
        <v>327</v>
      </c>
      <c r="B333" s="199"/>
      <c r="C333" s="199"/>
      <c r="D333" s="199"/>
      <c r="E333" s="199"/>
      <c r="F333" s="199"/>
      <c r="G333" s="199"/>
      <c r="H333" s="199"/>
      <c r="I333" s="199"/>
      <c r="J333" s="218" t="s">
        <v>3938</v>
      </c>
      <c r="K333" s="204" t="s">
        <v>117</v>
      </c>
      <c r="L333" s="204" t="s">
        <v>3939</v>
      </c>
      <c r="M333" s="204"/>
      <c r="N333" s="40" t="s">
        <v>504</v>
      </c>
      <c r="O333" s="199"/>
      <c r="P333" s="199"/>
      <c r="Q333" s="40" t="s">
        <v>6</v>
      </c>
      <c r="R333" s="40" t="s">
        <v>6</v>
      </c>
      <c r="S333" s="40" t="s">
        <v>6</v>
      </c>
      <c r="T333" s="126"/>
      <c r="U333" s="204" t="s">
        <v>730</v>
      </c>
      <c r="V333" s="204"/>
      <c r="W333" s="204" t="s">
        <v>125</v>
      </c>
      <c r="X333" s="199"/>
      <c r="Y333" s="199"/>
      <c r="Z333" s="40" t="s">
        <v>6</v>
      </c>
      <c r="AA333" s="40" t="s">
        <v>6</v>
      </c>
      <c r="AB333" s="218"/>
      <c r="AC333" s="199"/>
      <c r="AD333" s="218" t="s">
        <v>709</v>
      </c>
      <c r="AE333" s="204" t="s">
        <v>125</v>
      </c>
      <c r="AF333" s="199"/>
      <c r="AG333" s="199"/>
      <c r="AH333" s="199"/>
      <c r="AI333" s="40" t="s">
        <v>6</v>
      </c>
      <c r="AJ333" s="218"/>
      <c r="AK333" s="199"/>
      <c r="AL333" s="218" t="s">
        <v>709</v>
      </c>
      <c r="AM333" s="199"/>
      <c r="AN333" s="199"/>
      <c r="AO333" s="199"/>
      <c r="AP333" s="199"/>
      <c r="AQ333" s="199"/>
      <c r="AR333" s="199"/>
      <c r="AS333" s="199"/>
      <c r="AT333" s="199"/>
      <c r="AU333" s="199"/>
      <c r="AV333" s="199"/>
      <c r="AW333" s="155"/>
    </row>
    <row r="334" spans="1:49" s="236" customFormat="1" ht="26.4">
      <c r="A334" s="40">
        <f t="shared" si="19"/>
        <v>328</v>
      </c>
      <c r="B334" s="199"/>
      <c r="C334" s="199"/>
      <c r="D334" s="199"/>
      <c r="E334" s="199"/>
      <c r="F334" s="199"/>
      <c r="G334" s="199"/>
      <c r="H334" s="199"/>
      <c r="I334" s="199"/>
      <c r="J334" s="218" t="s">
        <v>3940</v>
      </c>
      <c r="K334" s="204" t="s">
        <v>117</v>
      </c>
      <c r="L334" s="204" t="s">
        <v>3941</v>
      </c>
      <c r="M334" s="204"/>
      <c r="N334" s="40" t="s">
        <v>504</v>
      </c>
      <c r="O334" s="199"/>
      <c r="P334" s="199"/>
      <c r="Q334" s="40" t="s">
        <v>6</v>
      </c>
      <c r="R334" s="40" t="s">
        <v>6</v>
      </c>
      <c r="S334" s="40" t="s">
        <v>6</v>
      </c>
      <c r="T334" s="126"/>
      <c r="U334" s="204" t="s">
        <v>738</v>
      </c>
      <c r="V334" s="204"/>
      <c r="W334" s="204" t="s">
        <v>125</v>
      </c>
      <c r="X334" s="199"/>
      <c r="Y334" s="199"/>
      <c r="Z334" s="40" t="s">
        <v>6</v>
      </c>
      <c r="AA334" s="40" t="s">
        <v>6</v>
      </c>
      <c r="AB334" s="218"/>
      <c r="AC334" s="199"/>
      <c r="AD334" s="218" t="s">
        <v>709</v>
      </c>
      <c r="AE334" s="204" t="s">
        <v>125</v>
      </c>
      <c r="AF334" s="199"/>
      <c r="AG334" s="199"/>
      <c r="AH334" s="199"/>
      <c r="AI334" s="40" t="s">
        <v>6</v>
      </c>
      <c r="AJ334" s="218"/>
      <c r="AK334" s="199"/>
      <c r="AL334" s="218" t="s">
        <v>709</v>
      </c>
      <c r="AM334" s="199"/>
      <c r="AN334" s="199"/>
      <c r="AO334" s="199"/>
      <c r="AP334" s="199"/>
      <c r="AQ334" s="199"/>
      <c r="AR334" s="199"/>
      <c r="AS334" s="199"/>
      <c r="AT334" s="199"/>
      <c r="AU334" s="199"/>
      <c r="AV334" s="199"/>
      <c r="AW334" s="155"/>
    </row>
    <row r="335" spans="1:49" s="236" customFormat="1" ht="26.4">
      <c r="A335" s="40">
        <f t="shared" si="19"/>
        <v>329</v>
      </c>
      <c r="B335" s="199"/>
      <c r="C335" s="199"/>
      <c r="D335" s="199"/>
      <c r="E335" s="199"/>
      <c r="F335" s="199"/>
      <c r="G335" s="199"/>
      <c r="H335" s="199"/>
      <c r="I335" s="199"/>
      <c r="J335" s="218" t="s">
        <v>3942</v>
      </c>
      <c r="K335" s="204" t="s">
        <v>117</v>
      </c>
      <c r="L335" s="204" t="s">
        <v>3943</v>
      </c>
      <c r="M335" s="204"/>
      <c r="N335" s="40" t="s">
        <v>504</v>
      </c>
      <c r="O335" s="199"/>
      <c r="P335" s="199"/>
      <c r="Q335" s="40" t="s">
        <v>6</v>
      </c>
      <c r="R335" s="40" t="s">
        <v>6</v>
      </c>
      <c r="S335" s="40" t="s">
        <v>6</v>
      </c>
      <c r="T335" s="126"/>
      <c r="U335" s="200" t="s">
        <v>3944</v>
      </c>
      <c r="V335" s="204"/>
      <c r="W335" s="204" t="s">
        <v>125</v>
      </c>
      <c r="X335" s="199"/>
      <c r="Y335" s="199"/>
      <c r="Z335" s="40" t="s">
        <v>6</v>
      </c>
      <c r="AA335" s="40" t="s">
        <v>6</v>
      </c>
      <c r="AB335" s="218"/>
      <c r="AC335" s="199"/>
      <c r="AD335" s="218" t="s">
        <v>709</v>
      </c>
      <c r="AE335" s="204" t="s">
        <v>125</v>
      </c>
      <c r="AF335" s="199"/>
      <c r="AG335" s="199"/>
      <c r="AH335" s="199"/>
      <c r="AI335" s="40" t="s">
        <v>6</v>
      </c>
      <c r="AJ335" s="218"/>
      <c r="AK335" s="199"/>
      <c r="AL335" s="218" t="s">
        <v>709</v>
      </c>
      <c r="AM335" s="199"/>
      <c r="AN335" s="199"/>
      <c r="AO335" s="199"/>
      <c r="AP335" s="199"/>
      <c r="AQ335" s="199"/>
      <c r="AR335" s="199"/>
      <c r="AS335" s="199"/>
      <c r="AT335" s="199"/>
      <c r="AU335" s="199"/>
      <c r="AV335" s="199"/>
      <c r="AW335" s="155"/>
    </row>
    <row r="336" spans="1:49" s="236" customFormat="1" ht="39.6">
      <c r="A336" s="40">
        <f t="shared" si="19"/>
        <v>330</v>
      </c>
      <c r="B336" s="199"/>
      <c r="C336" s="199"/>
      <c r="D336" s="199"/>
      <c r="E336" s="199"/>
      <c r="F336" s="199"/>
      <c r="G336" s="199"/>
      <c r="H336" s="199"/>
      <c r="I336" s="199"/>
      <c r="J336" s="218" t="s">
        <v>3945</v>
      </c>
      <c r="K336" s="204" t="s">
        <v>117</v>
      </c>
      <c r="L336" s="204" t="s">
        <v>3946</v>
      </c>
      <c r="M336" s="204"/>
      <c r="N336" s="40" t="s">
        <v>504</v>
      </c>
      <c r="O336" s="199"/>
      <c r="P336" s="199"/>
      <c r="Q336" s="40" t="s">
        <v>6</v>
      </c>
      <c r="R336" s="40" t="s">
        <v>6</v>
      </c>
      <c r="S336" s="40" t="s">
        <v>6</v>
      </c>
      <c r="T336" s="126"/>
      <c r="U336" s="204" t="s">
        <v>3947</v>
      </c>
      <c r="V336" s="204"/>
      <c r="W336" s="204" t="s">
        <v>125</v>
      </c>
      <c r="X336" s="199"/>
      <c r="Y336" s="199"/>
      <c r="Z336" s="40" t="s">
        <v>6</v>
      </c>
      <c r="AA336" s="40" t="s">
        <v>6</v>
      </c>
      <c r="AB336" s="218"/>
      <c r="AC336" s="199"/>
      <c r="AD336" s="218" t="s">
        <v>709</v>
      </c>
      <c r="AE336" s="204" t="s">
        <v>125</v>
      </c>
      <c r="AF336" s="199"/>
      <c r="AG336" s="199"/>
      <c r="AH336" s="199"/>
      <c r="AI336" s="40" t="s">
        <v>6</v>
      </c>
      <c r="AJ336" s="218"/>
      <c r="AK336" s="199"/>
      <c r="AL336" s="218" t="s">
        <v>709</v>
      </c>
      <c r="AM336" s="199"/>
      <c r="AN336" s="199"/>
      <c r="AO336" s="199"/>
      <c r="AP336" s="199"/>
      <c r="AQ336" s="199"/>
      <c r="AR336" s="199"/>
      <c r="AS336" s="199"/>
      <c r="AT336" s="199"/>
      <c r="AU336" s="199"/>
      <c r="AV336" s="199"/>
      <c r="AW336" s="155"/>
    </row>
    <row r="337" spans="1:49" s="236" customFormat="1" ht="26.4">
      <c r="A337" s="40">
        <f t="shared" si="19"/>
        <v>331</v>
      </c>
      <c r="B337" s="199"/>
      <c r="C337" s="199"/>
      <c r="D337" s="199"/>
      <c r="E337" s="199"/>
      <c r="F337" s="199"/>
      <c r="G337" s="199"/>
      <c r="H337" s="199"/>
      <c r="I337" s="199"/>
      <c r="J337" s="218" t="s">
        <v>3948</v>
      </c>
      <c r="K337" s="204" t="s">
        <v>117</v>
      </c>
      <c r="L337" s="204" t="s">
        <v>3949</v>
      </c>
      <c r="M337" s="204"/>
      <c r="N337" s="40" t="s">
        <v>504</v>
      </c>
      <c r="O337" s="199"/>
      <c r="P337" s="199"/>
      <c r="Q337" s="40" t="s">
        <v>6</v>
      </c>
      <c r="R337" s="40" t="s">
        <v>6</v>
      </c>
      <c r="S337" s="40" t="s">
        <v>6</v>
      </c>
      <c r="T337" s="126"/>
      <c r="U337" s="200"/>
      <c r="V337" s="204"/>
      <c r="W337" s="204" t="s">
        <v>125</v>
      </c>
      <c r="X337" s="199"/>
      <c r="Y337" s="199"/>
      <c r="Z337" s="40" t="s">
        <v>6</v>
      </c>
      <c r="AA337" s="40" t="s">
        <v>6</v>
      </c>
      <c r="AB337" s="218"/>
      <c r="AC337" s="199"/>
      <c r="AD337" s="218" t="s">
        <v>709</v>
      </c>
      <c r="AE337" s="204" t="s">
        <v>125</v>
      </c>
      <c r="AF337" s="199"/>
      <c r="AG337" s="199"/>
      <c r="AH337" s="199"/>
      <c r="AI337" s="40" t="s">
        <v>6</v>
      </c>
      <c r="AJ337" s="218"/>
      <c r="AK337" s="199"/>
      <c r="AL337" s="218" t="s">
        <v>709</v>
      </c>
      <c r="AM337" s="199"/>
      <c r="AN337" s="199"/>
      <c r="AO337" s="199"/>
      <c r="AP337" s="199"/>
      <c r="AQ337" s="199"/>
      <c r="AR337" s="199"/>
      <c r="AS337" s="199"/>
      <c r="AT337" s="199"/>
      <c r="AU337" s="199"/>
      <c r="AV337" s="199"/>
      <c r="AW337" s="155"/>
    </row>
    <row r="338" spans="1:49" s="236" customFormat="1" ht="26.4">
      <c r="A338" s="40">
        <f t="shared" si="19"/>
        <v>332</v>
      </c>
      <c r="B338" s="199"/>
      <c r="C338" s="199"/>
      <c r="D338" s="199"/>
      <c r="E338" s="199"/>
      <c r="F338" s="199"/>
      <c r="G338" s="199"/>
      <c r="H338" s="199"/>
      <c r="I338" s="199"/>
      <c r="J338" s="218" t="s">
        <v>3950</v>
      </c>
      <c r="K338" s="204" t="s">
        <v>117</v>
      </c>
      <c r="L338" s="204" t="s">
        <v>3951</v>
      </c>
      <c r="M338" s="204"/>
      <c r="N338" s="40" t="s">
        <v>504</v>
      </c>
      <c r="O338" s="199"/>
      <c r="P338" s="199"/>
      <c r="Q338" s="40" t="s">
        <v>6</v>
      </c>
      <c r="R338" s="40" t="s">
        <v>6</v>
      </c>
      <c r="S338" s="40" t="s">
        <v>6</v>
      </c>
      <c r="T338" s="126"/>
      <c r="U338" s="200" t="s">
        <v>742</v>
      </c>
      <c r="V338" s="204"/>
      <c r="W338" s="204" t="s">
        <v>125</v>
      </c>
      <c r="X338" s="199"/>
      <c r="Y338" s="199"/>
      <c r="Z338" s="40" t="s">
        <v>6</v>
      </c>
      <c r="AA338" s="40" t="s">
        <v>6</v>
      </c>
      <c r="AB338" s="218"/>
      <c r="AC338" s="199"/>
      <c r="AD338" s="218" t="s">
        <v>709</v>
      </c>
      <c r="AE338" s="204" t="s">
        <v>125</v>
      </c>
      <c r="AF338" s="199"/>
      <c r="AG338" s="199"/>
      <c r="AH338" s="199"/>
      <c r="AI338" s="40" t="s">
        <v>6</v>
      </c>
      <c r="AJ338" s="218"/>
      <c r="AK338" s="199"/>
      <c r="AL338" s="218" t="s">
        <v>709</v>
      </c>
      <c r="AM338" s="199"/>
      <c r="AN338" s="199"/>
      <c r="AO338" s="199"/>
      <c r="AP338" s="199"/>
      <c r="AQ338" s="199"/>
      <c r="AR338" s="199"/>
      <c r="AS338" s="199"/>
      <c r="AT338" s="199"/>
      <c r="AU338" s="199"/>
      <c r="AV338" s="199"/>
      <c r="AW338" s="155"/>
    </row>
    <row r="339" spans="1:49" s="236" customFormat="1" ht="26.4">
      <c r="A339" s="40">
        <f t="shared" si="19"/>
        <v>333</v>
      </c>
      <c r="B339" s="199"/>
      <c r="C339" s="199"/>
      <c r="D339" s="199"/>
      <c r="E339" s="199"/>
      <c r="F339" s="199"/>
      <c r="G339" s="199"/>
      <c r="H339" s="199"/>
      <c r="I339" s="199"/>
      <c r="J339" s="218" t="s">
        <v>3952</v>
      </c>
      <c r="K339" s="204" t="s">
        <v>134</v>
      </c>
      <c r="L339" s="204" t="s">
        <v>3953</v>
      </c>
      <c r="M339" s="204"/>
      <c r="N339" s="40" t="s">
        <v>504</v>
      </c>
      <c r="O339" s="199"/>
      <c r="P339" s="199"/>
      <c r="Q339" s="40" t="s">
        <v>6</v>
      </c>
      <c r="R339" s="40" t="s">
        <v>6</v>
      </c>
      <c r="S339" s="40" t="s">
        <v>6</v>
      </c>
      <c r="T339" s="40"/>
      <c r="U339" s="200" t="s">
        <v>742</v>
      </c>
      <c r="V339" s="204"/>
      <c r="W339" s="204" t="s">
        <v>137</v>
      </c>
      <c r="X339" s="199"/>
      <c r="Y339" s="199"/>
      <c r="Z339" s="40" t="s">
        <v>6</v>
      </c>
      <c r="AA339" s="40" t="s">
        <v>6</v>
      </c>
      <c r="AB339" s="218"/>
      <c r="AC339" s="199"/>
      <c r="AD339" s="218" t="s">
        <v>709</v>
      </c>
      <c r="AE339" s="204" t="s">
        <v>137</v>
      </c>
      <c r="AF339" s="199"/>
      <c r="AG339" s="199"/>
      <c r="AH339" s="199"/>
      <c r="AI339" s="40" t="s">
        <v>6</v>
      </c>
      <c r="AJ339" s="218"/>
      <c r="AK339" s="199"/>
      <c r="AL339" s="218" t="s">
        <v>709</v>
      </c>
      <c r="AM339" s="199"/>
      <c r="AN339" s="199"/>
      <c r="AO339" s="199"/>
      <c r="AP339" s="199"/>
      <c r="AQ339" s="199"/>
      <c r="AR339" s="199"/>
      <c r="AS339" s="199"/>
      <c r="AT339" s="199"/>
      <c r="AU339" s="199"/>
      <c r="AV339" s="199"/>
      <c r="AW339" s="155"/>
    </row>
    <row r="340" spans="1:49" s="236" customFormat="1" ht="26.4">
      <c r="A340" s="40">
        <f t="shared" si="19"/>
        <v>334</v>
      </c>
      <c r="B340" s="199"/>
      <c r="C340" s="199"/>
      <c r="D340" s="199"/>
      <c r="E340" s="199"/>
      <c r="F340" s="199"/>
      <c r="G340" s="199"/>
      <c r="H340" s="199"/>
      <c r="I340" s="199"/>
      <c r="J340" s="218" t="s">
        <v>3954</v>
      </c>
      <c r="K340" s="204" t="s">
        <v>117</v>
      </c>
      <c r="L340" s="204" t="s">
        <v>3955</v>
      </c>
      <c r="M340" s="204"/>
      <c r="N340" s="40" t="s">
        <v>504</v>
      </c>
      <c r="O340" s="199"/>
      <c r="P340" s="199"/>
      <c r="Q340" s="40" t="s">
        <v>6</v>
      </c>
      <c r="R340" s="40" t="s">
        <v>6</v>
      </c>
      <c r="S340" s="40" t="s">
        <v>6</v>
      </c>
      <c r="T340" s="126"/>
      <c r="U340" s="200" t="s">
        <v>747</v>
      </c>
      <c r="V340" s="204"/>
      <c r="W340" s="204" t="s">
        <v>133</v>
      </c>
      <c r="X340" s="199"/>
      <c r="Y340" s="199"/>
      <c r="Z340" s="40" t="s">
        <v>6</v>
      </c>
      <c r="AA340" s="40" t="s">
        <v>6</v>
      </c>
      <c r="AB340" s="218"/>
      <c r="AC340" s="199"/>
      <c r="AD340" s="218" t="s">
        <v>709</v>
      </c>
      <c r="AE340" s="204" t="s">
        <v>125</v>
      </c>
      <c r="AF340" s="199"/>
      <c r="AG340" s="199"/>
      <c r="AH340" s="199"/>
      <c r="AI340" s="40" t="s">
        <v>6</v>
      </c>
      <c r="AJ340" s="218"/>
      <c r="AK340" s="199"/>
      <c r="AL340" s="218" t="s">
        <v>709</v>
      </c>
      <c r="AM340" s="199"/>
      <c r="AN340" s="199"/>
      <c r="AO340" s="199"/>
      <c r="AP340" s="199"/>
      <c r="AQ340" s="199"/>
      <c r="AR340" s="199"/>
      <c r="AS340" s="199"/>
      <c r="AT340" s="199"/>
      <c r="AU340" s="199"/>
      <c r="AV340" s="199"/>
      <c r="AW340" s="155"/>
    </row>
    <row r="341" spans="1:49" s="236" customFormat="1" ht="26.4">
      <c r="A341" s="40">
        <f t="shared" si="19"/>
        <v>335</v>
      </c>
      <c r="B341" s="199"/>
      <c r="C341" s="199"/>
      <c r="D341" s="199"/>
      <c r="E341" s="199"/>
      <c r="F341" s="199"/>
      <c r="G341" s="199"/>
      <c r="H341" s="199"/>
      <c r="I341" s="199"/>
      <c r="J341" s="218" t="s">
        <v>3956</v>
      </c>
      <c r="K341" s="204" t="s">
        <v>117</v>
      </c>
      <c r="L341" s="204" t="s">
        <v>3957</v>
      </c>
      <c r="M341" s="204"/>
      <c r="N341" s="40" t="s">
        <v>504</v>
      </c>
      <c r="O341" s="199"/>
      <c r="P341" s="199"/>
      <c r="Q341" s="40" t="s">
        <v>6</v>
      </c>
      <c r="R341" s="40" t="s">
        <v>6</v>
      </c>
      <c r="S341" s="40" t="s">
        <v>6</v>
      </c>
      <c r="T341" s="40"/>
      <c r="U341" s="200" t="s">
        <v>3958</v>
      </c>
      <c r="V341" s="204"/>
      <c r="W341" s="204" t="s">
        <v>133</v>
      </c>
      <c r="X341" s="199"/>
      <c r="Y341" s="199"/>
      <c r="Z341" s="40" t="s">
        <v>6</v>
      </c>
      <c r="AA341" s="40" t="s">
        <v>6</v>
      </c>
      <c r="AB341" s="218"/>
      <c r="AC341" s="199"/>
      <c r="AD341" s="218" t="s">
        <v>709</v>
      </c>
      <c r="AE341" s="204" t="s">
        <v>125</v>
      </c>
      <c r="AF341" s="199"/>
      <c r="AG341" s="199"/>
      <c r="AH341" s="199"/>
      <c r="AI341" s="40" t="s">
        <v>6</v>
      </c>
      <c r="AJ341" s="218"/>
      <c r="AK341" s="199"/>
      <c r="AL341" s="218" t="s">
        <v>709</v>
      </c>
      <c r="AM341" s="199"/>
      <c r="AN341" s="199"/>
      <c r="AO341" s="199"/>
      <c r="AP341" s="199"/>
      <c r="AQ341" s="199"/>
      <c r="AR341" s="199"/>
      <c r="AS341" s="199"/>
      <c r="AT341" s="199"/>
      <c r="AU341" s="199"/>
      <c r="AV341" s="199"/>
      <c r="AW341" s="155"/>
    </row>
    <row r="342" spans="1:49" s="236" customFormat="1" ht="26.4">
      <c r="A342" s="40">
        <f t="shared" si="19"/>
        <v>336</v>
      </c>
      <c r="B342" s="199"/>
      <c r="C342" s="199"/>
      <c r="D342" s="199"/>
      <c r="E342" s="199"/>
      <c r="F342" s="199"/>
      <c r="G342" s="199"/>
      <c r="H342" s="199"/>
      <c r="I342" s="199"/>
      <c r="J342" s="218" t="s">
        <v>3959</v>
      </c>
      <c r="K342" s="204" t="s">
        <v>117</v>
      </c>
      <c r="L342" s="204" t="s">
        <v>3960</v>
      </c>
      <c r="M342" s="204"/>
      <c r="N342" s="40" t="s">
        <v>504</v>
      </c>
      <c r="O342" s="199"/>
      <c r="P342" s="199"/>
      <c r="Q342" s="40" t="s">
        <v>6</v>
      </c>
      <c r="R342" s="40" t="s">
        <v>6</v>
      </c>
      <c r="S342" s="40" t="s">
        <v>6</v>
      </c>
      <c r="T342" s="40"/>
      <c r="U342" s="204" t="s">
        <v>3961</v>
      </c>
      <c r="V342" s="204"/>
      <c r="W342" s="204" t="s">
        <v>133</v>
      </c>
      <c r="X342" s="199"/>
      <c r="Y342" s="199"/>
      <c r="Z342" s="40" t="s">
        <v>6</v>
      </c>
      <c r="AA342" s="40" t="s">
        <v>6</v>
      </c>
      <c r="AB342" s="218"/>
      <c r="AC342" s="199"/>
      <c r="AD342" s="218" t="s">
        <v>709</v>
      </c>
      <c r="AE342" s="204" t="s">
        <v>125</v>
      </c>
      <c r="AF342" s="199"/>
      <c r="AG342" s="199"/>
      <c r="AH342" s="199"/>
      <c r="AI342" s="40" t="s">
        <v>6</v>
      </c>
      <c r="AJ342" s="218"/>
      <c r="AK342" s="199"/>
      <c r="AL342" s="218" t="s">
        <v>709</v>
      </c>
      <c r="AM342" s="199"/>
      <c r="AN342" s="199"/>
      <c r="AO342" s="199"/>
      <c r="AP342" s="199"/>
      <c r="AQ342" s="199"/>
      <c r="AR342" s="199"/>
      <c r="AS342" s="199"/>
      <c r="AT342" s="199"/>
      <c r="AU342" s="199"/>
      <c r="AV342" s="199"/>
      <c r="AW342" s="155"/>
    </row>
    <row r="343" spans="1:49" s="236" customFormat="1" ht="26.4">
      <c r="A343" s="40">
        <f t="shared" si="19"/>
        <v>337</v>
      </c>
      <c r="B343" s="199"/>
      <c r="C343" s="199"/>
      <c r="D343" s="199"/>
      <c r="E343" s="199"/>
      <c r="F343" s="199"/>
      <c r="G343" s="199"/>
      <c r="H343" s="199"/>
      <c r="I343" s="199"/>
      <c r="J343" s="218" t="s">
        <v>3962</v>
      </c>
      <c r="K343" s="204" t="s">
        <v>140</v>
      </c>
      <c r="L343" s="204" t="s">
        <v>749</v>
      </c>
      <c r="M343" s="204"/>
      <c r="N343" s="40" t="s">
        <v>504</v>
      </c>
      <c r="O343" s="199"/>
      <c r="P343" s="199"/>
      <c r="Q343" s="40" t="s">
        <v>6</v>
      </c>
      <c r="R343" s="40" t="s">
        <v>6</v>
      </c>
      <c r="S343" s="40" t="s">
        <v>6</v>
      </c>
      <c r="T343" s="126"/>
      <c r="U343" s="204" t="s">
        <v>3963</v>
      </c>
      <c r="V343" s="204"/>
      <c r="W343" s="204" t="s">
        <v>140</v>
      </c>
      <c r="X343" s="199"/>
      <c r="Y343" s="199"/>
      <c r="Z343" s="40" t="s">
        <v>6</v>
      </c>
      <c r="AA343" s="40" t="s">
        <v>6</v>
      </c>
      <c r="AB343" s="218"/>
      <c r="AC343" s="199"/>
      <c r="AD343" s="218" t="s">
        <v>709</v>
      </c>
      <c r="AE343" s="204" t="s">
        <v>137</v>
      </c>
      <c r="AF343" s="199"/>
      <c r="AG343" s="199"/>
      <c r="AH343" s="199"/>
      <c r="AI343" s="40" t="s">
        <v>6</v>
      </c>
      <c r="AJ343" s="218"/>
      <c r="AK343" s="199"/>
      <c r="AL343" s="218" t="s">
        <v>709</v>
      </c>
      <c r="AM343" s="199"/>
      <c r="AN343" s="199"/>
      <c r="AO343" s="199"/>
      <c r="AP343" s="199"/>
      <c r="AQ343" s="199"/>
      <c r="AR343" s="199"/>
      <c r="AS343" s="199"/>
      <c r="AT343" s="199"/>
      <c r="AU343" s="199"/>
      <c r="AV343" s="199"/>
      <c r="AW343" s="155"/>
    </row>
    <row r="344" spans="1:49" s="236" customFormat="1" ht="26.4">
      <c r="A344" s="40">
        <f t="shared" si="19"/>
        <v>338</v>
      </c>
      <c r="B344" s="199"/>
      <c r="C344" s="199"/>
      <c r="D344" s="199"/>
      <c r="E344" s="199"/>
      <c r="F344" s="199"/>
      <c r="G344" s="199"/>
      <c r="H344" s="199"/>
      <c r="I344" s="199"/>
      <c r="J344" s="218" t="s">
        <v>3964</v>
      </c>
      <c r="K344" s="204" t="s">
        <v>140</v>
      </c>
      <c r="L344" s="204" t="s">
        <v>754</v>
      </c>
      <c r="M344" s="204"/>
      <c r="N344" s="40" t="s">
        <v>504</v>
      </c>
      <c r="O344" s="199"/>
      <c r="P344" s="199"/>
      <c r="Q344" s="40" t="s">
        <v>6</v>
      </c>
      <c r="R344" s="40" t="s">
        <v>6</v>
      </c>
      <c r="S344" s="40" t="s">
        <v>6</v>
      </c>
      <c r="T344" s="126"/>
      <c r="U344" s="200" t="s">
        <v>3965</v>
      </c>
      <c r="V344" s="204"/>
      <c r="W344" s="204" t="s">
        <v>140</v>
      </c>
      <c r="X344" s="199"/>
      <c r="Y344" s="199"/>
      <c r="Z344" s="40" t="s">
        <v>6</v>
      </c>
      <c r="AA344" s="40" t="s">
        <v>6</v>
      </c>
      <c r="AB344" s="218"/>
      <c r="AC344" s="199"/>
      <c r="AD344" s="218" t="s">
        <v>709</v>
      </c>
      <c r="AE344" s="204" t="s">
        <v>137</v>
      </c>
      <c r="AF344" s="199"/>
      <c r="AG344" s="199"/>
      <c r="AH344" s="199"/>
      <c r="AI344" s="40" t="s">
        <v>6</v>
      </c>
      <c r="AJ344" s="218"/>
      <c r="AK344" s="199"/>
      <c r="AL344" s="218" t="s">
        <v>709</v>
      </c>
      <c r="AM344" s="199"/>
      <c r="AN344" s="199"/>
      <c r="AO344" s="199"/>
      <c r="AP344" s="199"/>
      <c r="AQ344" s="199"/>
      <c r="AR344" s="199"/>
      <c r="AS344" s="199"/>
      <c r="AT344" s="199"/>
      <c r="AU344" s="199"/>
      <c r="AV344" s="199"/>
      <c r="AW344" s="155"/>
    </row>
    <row r="345" spans="1:49" s="236" customFormat="1" ht="26.4">
      <c r="A345" s="40">
        <f t="shared" si="19"/>
        <v>339</v>
      </c>
      <c r="B345" s="199"/>
      <c r="C345" s="199"/>
      <c r="D345" s="199"/>
      <c r="E345" s="199"/>
      <c r="F345" s="199"/>
      <c r="G345" s="199"/>
      <c r="H345" s="199"/>
      <c r="I345" s="199"/>
      <c r="J345" s="218" t="s">
        <v>3966</v>
      </c>
      <c r="K345" s="204" t="s">
        <v>117</v>
      </c>
      <c r="L345" s="204" t="s">
        <v>759</v>
      </c>
      <c r="M345" s="204"/>
      <c r="N345" s="40" t="s">
        <v>504</v>
      </c>
      <c r="O345" s="199"/>
      <c r="P345" s="199"/>
      <c r="Q345" s="40" t="s">
        <v>6</v>
      </c>
      <c r="R345" s="40" t="s">
        <v>6</v>
      </c>
      <c r="S345" s="40" t="s">
        <v>6</v>
      </c>
      <c r="T345" s="126"/>
      <c r="U345" s="204"/>
      <c r="V345" s="204"/>
      <c r="W345" s="204" t="s">
        <v>133</v>
      </c>
      <c r="X345" s="199"/>
      <c r="Y345" s="199"/>
      <c r="Z345" s="40" t="s">
        <v>6</v>
      </c>
      <c r="AA345" s="40" t="s">
        <v>6</v>
      </c>
      <c r="AB345" s="218"/>
      <c r="AC345" s="199"/>
      <c r="AD345" s="218" t="s">
        <v>709</v>
      </c>
      <c r="AE345" s="204" t="s">
        <v>125</v>
      </c>
      <c r="AF345" s="199"/>
      <c r="AG345" s="199"/>
      <c r="AH345" s="199"/>
      <c r="AI345" s="40" t="s">
        <v>6</v>
      </c>
      <c r="AJ345" s="218"/>
      <c r="AK345" s="199"/>
      <c r="AL345" s="218" t="s">
        <v>709</v>
      </c>
      <c r="AM345" s="199"/>
      <c r="AN345" s="199"/>
      <c r="AO345" s="199"/>
      <c r="AP345" s="199"/>
      <c r="AQ345" s="199"/>
      <c r="AR345" s="199"/>
      <c r="AS345" s="199"/>
      <c r="AT345" s="199"/>
      <c r="AU345" s="199"/>
      <c r="AV345" s="199"/>
      <c r="AW345" s="155"/>
    </row>
    <row r="346" spans="1:49" s="236" customFormat="1" ht="26.4">
      <c r="A346" s="40">
        <f t="shared" si="19"/>
        <v>340</v>
      </c>
      <c r="B346" s="199"/>
      <c r="C346" s="199"/>
      <c r="D346" s="199"/>
      <c r="E346" s="199"/>
      <c r="F346" s="199"/>
      <c r="G346" s="199"/>
      <c r="H346" s="199"/>
      <c r="I346" s="199"/>
      <c r="J346" s="218" t="s">
        <v>3967</v>
      </c>
      <c r="K346" s="204" t="s">
        <v>117</v>
      </c>
      <c r="L346" s="204" t="s">
        <v>3968</v>
      </c>
      <c r="M346" s="204"/>
      <c r="N346" s="40" t="s">
        <v>504</v>
      </c>
      <c r="O346" s="199"/>
      <c r="P346" s="199"/>
      <c r="Q346" s="40" t="s">
        <v>6</v>
      </c>
      <c r="R346" s="40" t="s">
        <v>6</v>
      </c>
      <c r="S346" s="40" t="s">
        <v>6</v>
      </c>
      <c r="T346" s="126"/>
      <c r="U346" s="200"/>
      <c r="V346" s="204"/>
      <c r="W346" s="204" t="s">
        <v>133</v>
      </c>
      <c r="X346" s="199"/>
      <c r="Y346" s="199"/>
      <c r="Z346" s="40" t="s">
        <v>6</v>
      </c>
      <c r="AA346" s="40" t="s">
        <v>6</v>
      </c>
      <c r="AB346" s="218"/>
      <c r="AC346" s="199"/>
      <c r="AD346" s="218" t="s">
        <v>709</v>
      </c>
      <c r="AE346" s="204" t="s">
        <v>125</v>
      </c>
      <c r="AF346" s="199"/>
      <c r="AG346" s="199"/>
      <c r="AH346" s="199"/>
      <c r="AI346" s="40" t="s">
        <v>6</v>
      </c>
      <c r="AJ346" s="218"/>
      <c r="AK346" s="199"/>
      <c r="AL346" s="218" t="s">
        <v>709</v>
      </c>
      <c r="AM346" s="199"/>
      <c r="AN346" s="199"/>
      <c r="AO346" s="199"/>
      <c r="AP346" s="199"/>
      <c r="AQ346" s="199"/>
      <c r="AR346" s="199"/>
      <c r="AS346" s="199"/>
      <c r="AT346" s="199"/>
      <c r="AU346" s="199"/>
      <c r="AV346" s="199"/>
      <c r="AW346" s="155"/>
    </row>
    <row r="347" spans="1:49" s="236" customFormat="1" ht="26.4">
      <c r="A347" s="40">
        <f t="shared" si="19"/>
        <v>341</v>
      </c>
      <c r="B347" s="199"/>
      <c r="C347" s="199"/>
      <c r="D347" s="199"/>
      <c r="E347" s="199"/>
      <c r="F347" s="199"/>
      <c r="G347" s="199"/>
      <c r="H347" s="199"/>
      <c r="I347" s="199"/>
      <c r="J347" s="218" t="s">
        <v>3969</v>
      </c>
      <c r="K347" s="204" t="s">
        <v>117</v>
      </c>
      <c r="L347" s="204" t="s">
        <v>3970</v>
      </c>
      <c r="M347" s="204"/>
      <c r="N347" s="40" t="s">
        <v>504</v>
      </c>
      <c r="O347" s="199"/>
      <c r="P347" s="199"/>
      <c r="Q347" s="40" t="s">
        <v>6</v>
      </c>
      <c r="R347" s="40" t="s">
        <v>6</v>
      </c>
      <c r="S347" s="40" t="s">
        <v>6</v>
      </c>
      <c r="T347" s="40"/>
      <c r="U347" s="204" t="s">
        <v>5603</v>
      </c>
      <c r="V347" s="204"/>
      <c r="W347" s="204" t="s">
        <v>133</v>
      </c>
      <c r="X347" s="199"/>
      <c r="Y347" s="199"/>
      <c r="Z347" s="40" t="s">
        <v>6</v>
      </c>
      <c r="AA347" s="40" t="s">
        <v>6</v>
      </c>
      <c r="AB347" s="218"/>
      <c r="AC347" s="199"/>
      <c r="AD347" s="218" t="s">
        <v>709</v>
      </c>
      <c r="AE347" s="204" t="s">
        <v>125</v>
      </c>
      <c r="AF347" s="199"/>
      <c r="AG347" s="199"/>
      <c r="AH347" s="199"/>
      <c r="AI347" s="40" t="s">
        <v>6</v>
      </c>
      <c r="AJ347" s="218"/>
      <c r="AK347" s="199"/>
      <c r="AL347" s="218" t="s">
        <v>709</v>
      </c>
      <c r="AM347" s="199"/>
      <c r="AN347" s="199"/>
      <c r="AO347" s="199"/>
      <c r="AP347" s="199"/>
      <c r="AQ347" s="199"/>
      <c r="AR347" s="199"/>
      <c r="AS347" s="199"/>
      <c r="AT347" s="199"/>
      <c r="AU347" s="199"/>
      <c r="AV347" s="199"/>
      <c r="AW347" s="155"/>
    </row>
    <row r="348" spans="1:49" s="236" customFormat="1" ht="26.4">
      <c r="A348" s="40">
        <f t="shared" si="19"/>
        <v>342</v>
      </c>
      <c r="B348" s="199"/>
      <c r="C348" s="199"/>
      <c r="D348" s="199"/>
      <c r="E348" s="199"/>
      <c r="F348" s="199"/>
      <c r="G348" s="199"/>
      <c r="H348" s="199"/>
      <c r="I348" s="199"/>
      <c r="J348" s="218" t="s">
        <v>3971</v>
      </c>
      <c r="K348" s="204" t="s">
        <v>117</v>
      </c>
      <c r="L348" s="204" t="s">
        <v>3970</v>
      </c>
      <c r="M348" s="204"/>
      <c r="N348" s="40" t="s">
        <v>504</v>
      </c>
      <c r="O348" s="199"/>
      <c r="P348" s="199"/>
      <c r="Q348" s="40" t="s">
        <v>6</v>
      </c>
      <c r="R348" s="40" t="s">
        <v>6</v>
      </c>
      <c r="S348" s="40" t="s">
        <v>6</v>
      </c>
      <c r="T348" s="126"/>
      <c r="U348" s="204"/>
      <c r="V348" s="204"/>
      <c r="W348" s="204" t="s">
        <v>133</v>
      </c>
      <c r="X348" s="199"/>
      <c r="Y348" s="199"/>
      <c r="Z348" s="40" t="s">
        <v>6</v>
      </c>
      <c r="AA348" s="40" t="s">
        <v>6</v>
      </c>
      <c r="AB348" s="218"/>
      <c r="AC348" s="199"/>
      <c r="AD348" s="218" t="s">
        <v>709</v>
      </c>
      <c r="AE348" s="204" t="s">
        <v>125</v>
      </c>
      <c r="AF348" s="199"/>
      <c r="AG348" s="199"/>
      <c r="AH348" s="199"/>
      <c r="AI348" s="40" t="s">
        <v>6</v>
      </c>
      <c r="AJ348" s="218"/>
      <c r="AK348" s="199"/>
      <c r="AL348" s="218" t="s">
        <v>709</v>
      </c>
      <c r="AM348" s="199"/>
      <c r="AN348" s="199"/>
      <c r="AO348" s="199"/>
      <c r="AP348" s="199"/>
      <c r="AQ348" s="199"/>
      <c r="AR348" s="199"/>
      <c r="AS348" s="199"/>
      <c r="AT348" s="199"/>
      <c r="AU348" s="199"/>
      <c r="AV348" s="199"/>
      <c r="AW348" s="155"/>
    </row>
    <row r="349" spans="1:49" s="236" customFormat="1" ht="26.4">
      <c r="A349" s="40">
        <f t="shared" si="19"/>
        <v>343</v>
      </c>
      <c r="B349" s="199"/>
      <c r="C349" s="199"/>
      <c r="D349" s="199"/>
      <c r="E349" s="199"/>
      <c r="F349" s="199"/>
      <c r="G349" s="199"/>
      <c r="H349" s="199"/>
      <c r="I349" s="199"/>
      <c r="J349" s="218" t="s">
        <v>3972</v>
      </c>
      <c r="K349" s="204" t="s">
        <v>117</v>
      </c>
      <c r="L349" s="204" t="s">
        <v>3973</v>
      </c>
      <c r="M349" s="204"/>
      <c r="N349" s="40" t="s">
        <v>504</v>
      </c>
      <c r="O349" s="199"/>
      <c r="P349" s="199"/>
      <c r="Q349" s="40" t="s">
        <v>6</v>
      </c>
      <c r="R349" s="40" t="s">
        <v>6</v>
      </c>
      <c r="S349" s="40" t="s">
        <v>6</v>
      </c>
      <c r="T349" s="126"/>
      <c r="U349" s="200" t="s">
        <v>3965</v>
      </c>
      <c r="V349" s="204"/>
      <c r="W349" s="204" t="s">
        <v>133</v>
      </c>
      <c r="X349" s="199"/>
      <c r="Y349" s="199"/>
      <c r="Z349" s="40" t="s">
        <v>6</v>
      </c>
      <c r="AA349" s="40" t="s">
        <v>6</v>
      </c>
      <c r="AB349" s="218"/>
      <c r="AC349" s="199"/>
      <c r="AD349" s="218" t="s">
        <v>709</v>
      </c>
      <c r="AE349" s="204" t="s">
        <v>125</v>
      </c>
      <c r="AF349" s="199"/>
      <c r="AG349" s="199"/>
      <c r="AH349" s="199"/>
      <c r="AI349" s="40" t="s">
        <v>6</v>
      </c>
      <c r="AJ349" s="218"/>
      <c r="AK349" s="199"/>
      <c r="AL349" s="218" t="s">
        <v>709</v>
      </c>
      <c r="AM349" s="199"/>
      <c r="AN349" s="199"/>
      <c r="AO349" s="199"/>
      <c r="AP349" s="199"/>
      <c r="AQ349" s="199"/>
      <c r="AR349" s="199"/>
      <c r="AS349" s="199"/>
      <c r="AT349" s="199"/>
      <c r="AU349" s="199"/>
      <c r="AV349" s="199"/>
      <c r="AW349" s="155"/>
    </row>
    <row r="350" spans="1:49" s="236" customFormat="1" ht="26.4">
      <c r="A350" s="40">
        <f t="shared" si="19"/>
        <v>344</v>
      </c>
      <c r="B350" s="199"/>
      <c r="C350" s="199"/>
      <c r="D350" s="199"/>
      <c r="E350" s="199"/>
      <c r="F350" s="199"/>
      <c r="G350" s="199"/>
      <c r="H350" s="199"/>
      <c r="I350" s="199"/>
      <c r="J350" s="218" t="s">
        <v>3974</v>
      </c>
      <c r="K350" s="204" t="s">
        <v>117</v>
      </c>
      <c r="L350" s="204" t="s">
        <v>3975</v>
      </c>
      <c r="M350" s="204"/>
      <c r="N350" s="40" t="s">
        <v>504</v>
      </c>
      <c r="O350" s="199"/>
      <c r="P350" s="199"/>
      <c r="Q350" s="40" t="s">
        <v>6</v>
      </c>
      <c r="R350" s="40" t="s">
        <v>6</v>
      </c>
      <c r="S350" s="40" t="s">
        <v>6</v>
      </c>
      <c r="T350" s="126"/>
      <c r="U350" s="204" t="s">
        <v>3963</v>
      </c>
      <c r="V350" s="204"/>
      <c r="W350" s="204" t="s">
        <v>133</v>
      </c>
      <c r="X350" s="199"/>
      <c r="Y350" s="199"/>
      <c r="Z350" s="40" t="s">
        <v>6</v>
      </c>
      <c r="AA350" s="40" t="s">
        <v>6</v>
      </c>
      <c r="AB350" s="218"/>
      <c r="AC350" s="199"/>
      <c r="AD350" s="218" t="s">
        <v>709</v>
      </c>
      <c r="AE350" s="204" t="s">
        <v>125</v>
      </c>
      <c r="AF350" s="199"/>
      <c r="AG350" s="199"/>
      <c r="AH350" s="199"/>
      <c r="AI350" s="40" t="s">
        <v>6</v>
      </c>
      <c r="AJ350" s="218"/>
      <c r="AK350" s="199"/>
      <c r="AL350" s="218" t="s">
        <v>709</v>
      </c>
      <c r="AM350" s="199"/>
      <c r="AN350" s="199"/>
      <c r="AO350" s="199"/>
      <c r="AP350" s="199"/>
      <c r="AQ350" s="199"/>
      <c r="AR350" s="199"/>
      <c r="AS350" s="199"/>
      <c r="AT350" s="199"/>
      <c r="AU350" s="199"/>
      <c r="AV350" s="199"/>
      <c r="AW350" s="155"/>
    </row>
    <row r="351" spans="1:49" s="236" customFormat="1" ht="26.4">
      <c r="A351" s="40">
        <f t="shared" si="19"/>
        <v>345</v>
      </c>
      <c r="B351" s="199"/>
      <c r="C351" s="199"/>
      <c r="D351" s="199"/>
      <c r="E351" s="199"/>
      <c r="F351" s="199"/>
      <c r="G351" s="199"/>
      <c r="H351" s="199"/>
      <c r="I351" s="199"/>
      <c r="J351" s="218" t="s">
        <v>3976</v>
      </c>
      <c r="K351" s="204" t="s">
        <v>117</v>
      </c>
      <c r="L351" s="204" t="s">
        <v>3977</v>
      </c>
      <c r="M351" s="204"/>
      <c r="N351" s="40" t="s">
        <v>504</v>
      </c>
      <c r="O351" s="199"/>
      <c r="P351" s="199"/>
      <c r="Q351" s="40" t="s">
        <v>6</v>
      </c>
      <c r="R351" s="40" t="s">
        <v>6</v>
      </c>
      <c r="S351" s="40" t="s">
        <v>6</v>
      </c>
      <c r="T351" s="126"/>
      <c r="U351" s="200" t="s">
        <v>3965</v>
      </c>
      <c r="V351" s="204"/>
      <c r="W351" s="204" t="s">
        <v>133</v>
      </c>
      <c r="X351" s="199"/>
      <c r="Y351" s="199"/>
      <c r="Z351" s="40" t="s">
        <v>6</v>
      </c>
      <c r="AA351" s="40" t="s">
        <v>6</v>
      </c>
      <c r="AB351" s="218"/>
      <c r="AC351" s="199"/>
      <c r="AD351" s="218" t="s">
        <v>709</v>
      </c>
      <c r="AE351" s="204" t="s">
        <v>125</v>
      </c>
      <c r="AF351" s="199"/>
      <c r="AG351" s="199"/>
      <c r="AH351" s="199"/>
      <c r="AI351" s="40" t="s">
        <v>6</v>
      </c>
      <c r="AJ351" s="218"/>
      <c r="AK351" s="199"/>
      <c r="AL351" s="218" t="s">
        <v>709</v>
      </c>
      <c r="AM351" s="199"/>
      <c r="AN351" s="199"/>
      <c r="AO351" s="199"/>
      <c r="AP351" s="199"/>
      <c r="AQ351" s="199"/>
      <c r="AR351" s="199"/>
      <c r="AS351" s="199"/>
      <c r="AT351" s="199"/>
      <c r="AU351" s="199"/>
      <c r="AV351" s="199"/>
      <c r="AW351" s="155"/>
    </row>
    <row r="352" spans="1:49" s="236" customFormat="1" ht="26.4">
      <c r="A352" s="40">
        <f t="shared" si="19"/>
        <v>346</v>
      </c>
      <c r="B352" s="199"/>
      <c r="C352" s="199"/>
      <c r="D352" s="199"/>
      <c r="E352" s="199"/>
      <c r="F352" s="199"/>
      <c r="G352" s="199"/>
      <c r="H352" s="199"/>
      <c r="I352" s="199"/>
      <c r="J352" s="218" t="s">
        <v>3978</v>
      </c>
      <c r="K352" s="204" t="s">
        <v>117</v>
      </c>
      <c r="L352" s="204" t="s">
        <v>3979</v>
      </c>
      <c r="M352" s="204"/>
      <c r="N352" s="40" t="s">
        <v>504</v>
      </c>
      <c r="O352" s="199"/>
      <c r="P352" s="199"/>
      <c r="Q352" s="40" t="s">
        <v>6</v>
      </c>
      <c r="R352" s="40" t="s">
        <v>6</v>
      </c>
      <c r="S352" s="40" t="s">
        <v>6</v>
      </c>
      <c r="T352" s="126"/>
      <c r="U352" s="204" t="s">
        <v>3963</v>
      </c>
      <c r="V352" s="204"/>
      <c r="W352" s="204" t="s">
        <v>133</v>
      </c>
      <c r="X352" s="199"/>
      <c r="Y352" s="199"/>
      <c r="Z352" s="40" t="s">
        <v>6</v>
      </c>
      <c r="AA352" s="40" t="s">
        <v>6</v>
      </c>
      <c r="AB352" s="218"/>
      <c r="AC352" s="199"/>
      <c r="AD352" s="218" t="s">
        <v>709</v>
      </c>
      <c r="AE352" s="204" t="s">
        <v>125</v>
      </c>
      <c r="AF352" s="199"/>
      <c r="AG352" s="199"/>
      <c r="AH352" s="199"/>
      <c r="AI352" s="40" t="s">
        <v>6</v>
      </c>
      <c r="AJ352" s="218"/>
      <c r="AK352" s="199"/>
      <c r="AL352" s="218" t="s">
        <v>709</v>
      </c>
      <c r="AM352" s="199"/>
      <c r="AN352" s="199"/>
      <c r="AO352" s="199"/>
      <c r="AP352" s="199"/>
      <c r="AQ352" s="199"/>
      <c r="AR352" s="199"/>
      <c r="AS352" s="199"/>
      <c r="AT352" s="199"/>
      <c r="AU352" s="199"/>
      <c r="AV352" s="199"/>
      <c r="AW352" s="155"/>
    </row>
    <row r="353" spans="1:49" s="236" customFormat="1" ht="26.4">
      <c r="A353" s="40">
        <f t="shared" si="19"/>
        <v>347</v>
      </c>
      <c r="B353" s="199"/>
      <c r="C353" s="199"/>
      <c r="D353" s="199"/>
      <c r="E353" s="199"/>
      <c r="F353" s="199"/>
      <c r="G353" s="199"/>
      <c r="H353" s="199"/>
      <c r="I353" s="199"/>
      <c r="J353" s="218" t="s">
        <v>3980</v>
      </c>
      <c r="K353" s="204" t="s">
        <v>117</v>
      </c>
      <c r="L353" s="204" t="s">
        <v>3981</v>
      </c>
      <c r="M353" s="204"/>
      <c r="N353" s="40" t="s">
        <v>504</v>
      </c>
      <c r="O353" s="199"/>
      <c r="P353" s="199"/>
      <c r="Q353" s="40" t="s">
        <v>6</v>
      </c>
      <c r="R353" s="40" t="s">
        <v>6</v>
      </c>
      <c r="S353" s="40" t="s">
        <v>6</v>
      </c>
      <c r="T353" s="126"/>
      <c r="U353" s="200" t="s">
        <v>3965</v>
      </c>
      <c r="V353" s="204"/>
      <c r="W353" s="204" t="s">
        <v>133</v>
      </c>
      <c r="X353" s="199"/>
      <c r="Y353" s="199"/>
      <c r="Z353" s="40" t="s">
        <v>6</v>
      </c>
      <c r="AA353" s="40" t="s">
        <v>6</v>
      </c>
      <c r="AB353" s="218"/>
      <c r="AC353" s="199"/>
      <c r="AD353" s="218" t="s">
        <v>709</v>
      </c>
      <c r="AE353" s="204" t="s">
        <v>125</v>
      </c>
      <c r="AF353" s="199"/>
      <c r="AG353" s="199"/>
      <c r="AH353" s="199"/>
      <c r="AI353" s="40" t="s">
        <v>6</v>
      </c>
      <c r="AJ353" s="218"/>
      <c r="AK353" s="199"/>
      <c r="AL353" s="218" t="s">
        <v>709</v>
      </c>
      <c r="AM353" s="199"/>
      <c r="AN353" s="199"/>
      <c r="AO353" s="199"/>
      <c r="AP353" s="199"/>
      <c r="AQ353" s="199"/>
      <c r="AR353" s="199"/>
      <c r="AS353" s="199"/>
      <c r="AT353" s="199"/>
      <c r="AU353" s="199"/>
      <c r="AV353" s="199"/>
      <c r="AW353" s="155"/>
    </row>
    <row r="354" spans="1:49" s="236" customFormat="1" ht="26.4">
      <c r="A354" s="40">
        <f t="shared" si="19"/>
        <v>348</v>
      </c>
      <c r="B354" s="199"/>
      <c r="C354" s="199"/>
      <c r="D354" s="199"/>
      <c r="E354" s="199"/>
      <c r="F354" s="199"/>
      <c r="G354" s="199"/>
      <c r="H354" s="199"/>
      <c r="I354" s="199"/>
      <c r="J354" s="218" t="s">
        <v>3982</v>
      </c>
      <c r="K354" s="204" t="s">
        <v>117</v>
      </c>
      <c r="L354" s="204" t="s">
        <v>3983</v>
      </c>
      <c r="M354" s="204"/>
      <c r="N354" s="40" t="s">
        <v>504</v>
      </c>
      <c r="O354" s="199"/>
      <c r="P354" s="199"/>
      <c r="Q354" s="40" t="s">
        <v>6</v>
      </c>
      <c r="R354" s="40" t="s">
        <v>6</v>
      </c>
      <c r="S354" s="40" t="s">
        <v>6</v>
      </c>
      <c r="T354" s="126"/>
      <c r="U354" s="200" t="s">
        <v>3921</v>
      </c>
      <c r="V354" s="204"/>
      <c r="W354" s="204" t="s">
        <v>133</v>
      </c>
      <c r="X354" s="199"/>
      <c r="Y354" s="199"/>
      <c r="Z354" s="40" t="s">
        <v>6</v>
      </c>
      <c r="AA354" s="40" t="s">
        <v>6</v>
      </c>
      <c r="AB354" s="218"/>
      <c r="AC354" s="199"/>
      <c r="AD354" s="218" t="s">
        <v>709</v>
      </c>
      <c r="AE354" s="204" t="s">
        <v>125</v>
      </c>
      <c r="AF354" s="199"/>
      <c r="AG354" s="199"/>
      <c r="AH354" s="199"/>
      <c r="AI354" s="40" t="s">
        <v>6</v>
      </c>
      <c r="AJ354" s="218"/>
      <c r="AK354" s="199"/>
      <c r="AL354" s="218" t="s">
        <v>709</v>
      </c>
      <c r="AM354" s="199"/>
      <c r="AN354" s="199"/>
      <c r="AO354" s="199"/>
      <c r="AP354" s="199"/>
      <c r="AQ354" s="199"/>
      <c r="AR354" s="199"/>
      <c r="AS354" s="199"/>
      <c r="AT354" s="199"/>
      <c r="AU354" s="199"/>
      <c r="AV354" s="199"/>
      <c r="AW354" s="155"/>
    </row>
    <row r="355" spans="1:49" s="236" customFormat="1" ht="26.4">
      <c r="A355" s="40">
        <f t="shared" si="19"/>
        <v>349</v>
      </c>
      <c r="B355" s="199"/>
      <c r="C355" s="199"/>
      <c r="D355" s="199"/>
      <c r="E355" s="199"/>
      <c r="F355" s="199"/>
      <c r="G355" s="199"/>
      <c r="H355" s="199"/>
      <c r="I355" s="199"/>
      <c r="J355" s="218" t="s">
        <v>3984</v>
      </c>
      <c r="K355" s="204" t="s">
        <v>117</v>
      </c>
      <c r="L355" s="204" t="s">
        <v>3985</v>
      </c>
      <c r="M355" s="204"/>
      <c r="N355" s="40" t="s">
        <v>504</v>
      </c>
      <c r="O355" s="199"/>
      <c r="P355" s="199"/>
      <c r="Q355" s="40" t="s">
        <v>6</v>
      </c>
      <c r="R355" s="40" t="s">
        <v>6</v>
      </c>
      <c r="S355" s="40" t="s">
        <v>6</v>
      </c>
      <c r="T355" s="126"/>
      <c r="U355" s="200"/>
      <c r="V355" s="204"/>
      <c r="W355" s="204" t="s">
        <v>133</v>
      </c>
      <c r="X355" s="199"/>
      <c r="Y355" s="199"/>
      <c r="Z355" s="40" t="s">
        <v>6</v>
      </c>
      <c r="AA355" s="40" t="s">
        <v>6</v>
      </c>
      <c r="AB355" s="218"/>
      <c r="AC355" s="199"/>
      <c r="AD355" s="218" t="s">
        <v>709</v>
      </c>
      <c r="AE355" s="204" t="s">
        <v>125</v>
      </c>
      <c r="AF355" s="199"/>
      <c r="AG355" s="199"/>
      <c r="AH355" s="199"/>
      <c r="AI355" s="40" t="s">
        <v>6</v>
      </c>
      <c r="AJ355" s="218"/>
      <c r="AK355" s="199"/>
      <c r="AL355" s="218" t="s">
        <v>709</v>
      </c>
      <c r="AM355" s="199"/>
      <c r="AN355" s="199"/>
      <c r="AO355" s="199"/>
      <c r="AP355" s="199"/>
      <c r="AQ355" s="199"/>
      <c r="AR355" s="199"/>
      <c r="AS355" s="199"/>
      <c r="AT355" s="199"/>
      <c r="AU355" s="199"/>
      <c r="AV355" s="199"/>
      <c r="AW355" s="155"/>
    </row>
    <row r="356" spans="1:49" s="236" customFormat="1" ht="26.4">
      <c r="A356" s="40">
        <f t="shared" si="19"/>
        <v>350</v>
      </c>
      <c r="B356" s="199"/>
      <c r="C356" s="199"/>
      <c r="D356" s="199"/>
      <c r="E356" s="199"/>
      <c r="F356" s="199"/>
      <c r="G356" s="199"/>
      <c r="H356" s="199"/>
      <c r="I356" s="199"/>
      <c r="J356" s="218" t="s">
        <v>3986</v>
      </c>
      <c r="K356" s="204" t="s">
        <v>117</v>
      </c>
      <c r="L356" s="204" t="s">
        <v>3987</v>
      </c>
      <c r="M356" s="204"/>
      <c r="N356" s="40" t="s">
        <v>504</v>
      </c>
      <c r="O356" s="199"/>
      <c r="P356" s="199"/>
      <c r="Q356" s="40" t="s">
        <v>6</v>
      </c>
      <c r="R356" s="40" t="s">
        <v>6</v>
      </c>
      <c r="S356" s="40" t="s">
        <v>6</v>
      </c>
      <c r="T356" s="126"/>
      <c r="U356" s="200" t="s">
        <v>3988</v>
      </c>
      <c r="V356" s="204"/>
      <c r="W356" s="204" t="s">
        <v>133</v>
      </c>
      <c r="X356" s="199"/>
      <c r="Y356" s="199"/>
      <c r="Z356" s="40" t="s">
        <v>6</v>
      </c>
      <c r="AA356" s="40" t="s">
        <v>6</v>
      </c>
      <c r="AB356" s="218"/>
      <c r="AC356" s="199"/>
      <c r="AD356" s="218" t="s">
        <v>709</v>
      </c>
      <c r="AE356" s="204" t="s">
        <v>125</v>
      </c>
      <c r="AF356" s="199"/>
      <c r="AG356" s="199"/>
      <c r="AH356" s="199"/>
      <c r="AI356" s="40" t="s">
        <v>6</v>
      </c>
      <c r="AJ356" s="218"/>
      <c r="AK356" s="199"/>
      <c r="AL356" s="218" t="s">
        <v>709</v>
      </c>
      <c r="AM356" s="199"/>
      <c r="AN356" s="199"/>
      <c r="AO356" s="199"/>
      <c r="AP356" s="199"/>
      <c r="AQ356" s="199"/>
      <c r="AR356" s="199"/>
      <c r="AS356" s="199"/>
      <c r="AT356" s="199"/>
      <c r="AU356" s="199"/>
      <c r="AV356" s="199"/>
      <c r="AW356" s="155"/>
    </row>
    <row r="357" spans="1:49" s="236" customFormat="1" ht="26.4">
      <c r="A357" s="40">
        <f t="shared" si="19"/>
        <v>351</v>
      </c>
      <c r="B357" s="199"/>
      <c r="C357" s="199"/>
      <c r="D357" s="199"/>
      <c r="E357" s="199"/>
      <c r="F357" s="199"/>
      <c r="G357" s="199"/>
      <c r="H357" s="199"/>
      <c r="I357" s="199"/>
      <c r="J357" s="218" t="s">
        <v>3989</v>
      </c>
      <c r="K357" s="204" t="s">
        <v>117</v>
      </c>
      <c r="L357" s="204" t="s">
        <v>3990</v>
      </c>
      <c r="M357" s="204"/>
      <c r="N357" s="40" t="s">
        <v>504</v>
      </c>
      <c r="O357" s="199"/>
      <c r="P357" s="199"/>
      <c r="Q357" s="40" t="s">
        <v>6</v>
      </c>
      <c r="R357" s="40" t="s">
        <v>6</v>
      </c>
      <c r="S357" s="40" t="s">
        <v>6</v>
      </c>
      <c r="T357" s="126"/>
      <c r="U357" s="200"/>
      <c r="V357" s="204"/>
      <c r="W357" s="204" t="s">
        <v>133</v>
      </c>
      <c r="X357" s="199"/>
      <c r="Y357" s="199"/>
      <c r="Z357" s="40" t="s">
        <v>6</v>
      </c>
      <c r="AA357" s="40" t="s">
        <v>6</v>
      </c>
      <c r="AB357" s="218"/>
      <c r="AC357" s="199"/>
      <c r="AD357" s="218" t="s">
        <v>709</v>
      </c>
      <c r="AE357" s="204" t="s">
        <v>125</v>
      </c>
      <c r="AF357" s="199"/>
      <c r="AG357" s="199"/>
      <c r="AH357" s="199"/>
      <c r="AI357" s="40" t="s">
        <v>6</v>
      </c>
      <c r="AJ357" s="218"/>
      <c r="AK357" s="199"/>
      <c r="AL357" s="218" t="s">
        <v>709</v>
      </c>
      <c r="AM357" s="199"/>
      <c r="AN357" s="199"/>
      <c r="AO357" s="199"/>
      <c r="AP357" s="199"/>
      <c r="AQ357" s="199"/>
      <c r="AR357" s="199"/>
      <c r="AS357" s="199"/>
      <c r="AT357" s="199"/>
      <c r="AU357" s="199"/>
      <c r="AV357" s="199"/>
      <c r="AW357" s="155"/>
    </row>
    <row r="358" spans="1:49" s="236" customFormat="1" ht="26.4">
      <c r="A358" s="40">
        <f t="shared" si="19"/>
        <v>352</v>
      </c>
      <c r="B358" s="199"/>
      <c r="C358" s="199"/>
      <c r="D358" s="199"/>
      <c r="E358" s="199"/>
      <c r="F358" s="199"/>
      <c r="G358" s="199"/>
      <c r="H358" s="199"/>
      <c r="I358" s="199"/>
      <c r="J358" s="218" t="s">
        <v>3991</v>
      </c>
      <c r="K358" s="204" t="s">
        <v>117</v>
      </c>
      <c r="L358" s="204" t="s">
        <v>3992</v>
      </c>
      <c r="M358" s="204"/>
      <c r="N358" s="40" t="s">
        <v>504</v>
      </c>
      <c r="O358" s="199"/>
      <c r="P358" s="199"/>
      <c r="Q358" s="40" t="s">
        <v>6</v>
      </c>
      <c r="R358" s="40" t="s">
        <v>6</v>
      </c>
      <c r="S358" s="40" t="s">
        <v>6</v>
      </c>
      <c r="T358" s="126"/>
      <c r="U358" s="200" t="s">
        <v>3988</v>
      </c>
      <c r="V358" s="204"/>
      <c r="W358" s="204" t="s">
        <v>133</v>
      </c>
      <c r="X358" s="199"/>
      <c r="Y358" s="199"/>
      <c r="Z358" s="40" t="s">
        <v>6</v>
      </c>
      <c r="AA358" s="40" t="s">
        <v>6</v>
      </c>
      <c r="AB358" s="218"/>
      <c r="AC358" s="199"/>
      <c r="AD358" s="218" t="s">
        <v>709</v>
      </c>
      <c r="AE358" s="204" t="s">
        <v>125</v>
      </c>
      <c r="AF358" s="199"/>
      <c r="AG358" s="199"/>
      <c r="AH358" s="199"/>
      <c r="AI358" s="40" t="s">
        <v>6</v>
      </c>
      <c r="AJ358" s="218"/>
      <c r="AK358" s="199"/>
      <c r="AL358" s="218" t="s">
        <v>709</v>
      </c>
      <c r="AM358" s="199"/>
      <c r="AN358" s="199"/>
      <c r="AO358" s="199"/>
      <c r="AP358" s="199"/>
      <c r="AQ358" s="199"/>
      <c r="AR358" s="199"/>
      <c r="AS358" s="199"/>
      <c r="AT358" s="199"/>
      <c r="AU358" s="199"/>
      <c r="AV358" s="199"/>
      <c r="AW358" s="155"/>
    </row>
    <row r="359" spans="1:49" s="236" customFormat="1" ht="26.4">
      <c r="A359" s="40">
        <f t="shared" si="19"/>
        <v>353</v>
      </c>
      <c r="B359" s="199"/>
      <c r="C359" s="199"/>
      <c r="D359" s="199"/>
      <c r="E359" s="199"/>
      <c r="F359" s="199"/>
      <c r="G359" s="199"/>
      <c r="H359" s="199"/>
      <c r="I359" s="199"/>
      <c r="J359" s="218" t="s">
        <v>3993</v>
      </c>
      <c r="K359" s="204" t="s">
        <v>117</v>
      </c>
      <c r="L359" s="204" t="s">
        <v>3994</v>
      </c>
      <c r="M359" s="204"/>
      <c r="N359" s="40" t="s">
        <v>504</v>
      </c>
      <c r="O359" s="199"/>
      <c r="P359" s="199"/>
      <c r="Q359" s="40" t="s">
        <v>6</v>
      </c>
      <c r="R359" s="40" t="s">
        <v>6</v>
      </c>
      <c r="S359" s="40" t="s">
        <v>6</v>
      </c>
      <c r="T359" s="126"/>
      <c r="U359" s="200" t="s">
        <v>3988</v>
      </c>
      <c r="V359" s="204"/>
      <c r="W359" s="204" t="s">
        <v>133</v>
      </c>
      <c r="X359" s="199"/>
      <c r="Y359" s="199"/>
      <c r="Z359" s="40" t="s">
        <v>6</v>
      </c>
      <c r="AA359" s="40" t="s">
        <v>6</v>
      </c>
      <c r="AB359" s="218"/>
      <c r="AC359" s="199"/>
      <c r="AD359" s="218" t="s">
        <v>709</v>
      </c>
      <c r="AE359" s="204" t="s">
        <v>125</v>
      </c>
      <c r="AF359" s="199"/>
      <c r="AG359" s="199"/>
      <c r="AH359" s="199"/>
      <c r="AI359" s="40" t="s">
        <v>6</v>
      </c>
      <c r="AJ359" s="218"/>
      <c r="AK359" s="199"/>
      <c r="AL359" s="218" t="s">
        <v>709</v>
      </c>
      <c r="AM359" s="199"/>
      <c r="AN359" s="199"/>
      <c r="AO359" s="199"/>
      <c r="AP359" s="199"/>
      <c r="AQ359" s="199"/>
      <c r="AR359" s="199"/>
      <c r="AS359" s="199"/>
      <c r="AT359" s="199"/>
      <c r="AU359" s="199"/>
      <c r="AV359" s="199"/>
      <c r="AW359" s="155"/>
    </row>
    <row r="360" spans="1:49" s="236" customFormat="1" ht="26.4">
      <c r="A360" s="40">
        <f t="shared" si="19"/>
        <v>354</v>
      </c>
      <c r="B360" s="199"/>
      <c r="C360" s="199"/>
      <c r="D360" s="199"/>
      <c r="E360" s="199"/>
      <c r="F360" s="199"/>
      <c r="G360" s="199"/>
      <c r="H360" s="199"/>
      <c r="I360" s="199"/>
      <c r="J360" s="218" t="s">
        <v>3995</v>
      </c>
      <c r="K360" s="204" t="s">
        <v>117</v>
      </c>
      <c r="L360" s="204" t="s">
        <v>3996</v>
      </c>
      <c r="M360" s="204"/>
      <c r="N360" s="40" t="s">
        <v>504</v>
      </c>
      <c r="O360" s="199"/>
      <c r="P360" s="199"/>
      <c r="Q360" s="40" t="s">
        <v>6</v>
      </c>
      <c r="R360" s="40" t="s">
        <v>6</v>
      </c>
      <c r="S360" s="40" t="s">
        <v>6</v>
      </c>
      <c r="T360" s="126"/>
      <c r="U360" s="200"/>
      <c r="V360" s="204"/>
      <c r="W360" s="204" t="s">
        <v>133</v>
      </c>
      <c r="X360" s="199"/>
      <c r="Y360" s="199"/>
      <c r="Z360" s="40" t="s">
        <v>6</v>
      </c>
      <c r="AA360" s="40" t="s">
        <v>6</v>
      </c>
      <c r="AB360" s="218"/>
      <c r="AC360" s="199"/>
      <c r="AD360" s="218" t="s">
        <v>709</v>
      </c>
      <c r="AE360" s="204" t="s">
        <v>125</v>
      </c>
      <c r="AF360" s="199"/>
      <c r="AG360" s="199"/>
      <c r="AH360" s="199"/>
      <c r="AI360" s="40" t="s">
        <v>6</v>
      </c>
      <c r="AJ360" s="218"/>
      <c r="AK360" s="199"/>
      <c r="AL360" s="218" t="s">
        <v>709</v>
      </c>
      <c r="AM360" s="199"/>
      <c r="AN360" s="199"/>
      <c r="AO360" s="199"/>
      <c r="AP360" s="199"/>
      <c r="AQ360" s="199"/>
      <c r="AR360" s="199"/>
      <c r="AS360" s="199"/>
      <c r="AT360" s="199"/>
      <c r="AU360" s="199"/>
      <c r="AV360" s="199"/>
      <c r="AW360" s="155"/>
    </row>
    <row r="361" spans="1:49" s="236" customFormat="1" ht="26.4">
      <c r="A361" s="40">
        <f t="shared" si="19"/>
        <v>355</v>
      </c>
      <c r="B361" s="199"/>
      <c r="C361" s="199"/>
      <c r="D361" s="199"/>
      <c r="E361" s="199"/>
      <c r="F361" s="199"/>
      <c r="G361" s="199"/>
      <c r="H361" s="199"/>
      <c r="I361" s="199"/>
      <c r="J361" s="218" t="s">
        <v>3997</v>
      </c>
      <c r="K361" s="204" t="s">
        <v>117</v>
      </c>
      <c r="L361" s="204" t="s">
        <v>3998</v>
      </c>
      <c r="M361" s="204"/>
      <c r="N361" s="40" t="s">
        <v>504</v>
      </c>
      <c r="O361" s="199"/>
      <c r="P361" s="199"/>
      <c r="Q361" s="40" t="s">
        <v>6</v>
      </c>
      <c r="R361" s="40" t="s">
        <v>6</v>
      </c>
      <c r="S361" s="40" t="s">
        <v>6</v>
      </c>
      <c r="T361" s="126"/>
      <c r="U361" s="200" t="s">
        <v>3988</v>
      </c>
      <c r="V361" s="204"/>
      <c r="W361" s="204" t="s">
        <v>133</v>
      </c>
      <c r="X361" s="199"/>
      <c r="Y361" s="199"/>
      <c r="Z361" s="40" t="s">
        <v>6</v>
      </c>
      <c r="AA361" s="40" t="s">
        <v>6</v>
      </c>
      <c r="AB361" s="218"/>
      <c r="AC361" s="199"/>
      <c r="AD361" s="218" t="s">
        <v>709</v>
      </c>
      <c r="AE361" s="204" t="s">
        <v>125</v>
      </c>
      <c r="AF361" s="199"/>
      <c r="AG361" s="199"/>
      <c r="AH361" s="199"/>
      <c r="AI361" s="40" t="s">
        <v>6</v>
      </c>
      <c r="AJ361" s="218"/>
      <c r="AK361" s="199"/>
      <c r="AL361" s="218" t="s">
        <v>709</v>
      </c>
      <c r="AM361" s="199"/>
      <c r="AN361" s="199"/>
      <c r="AO361" s="199"/>
      <c r="AP361" s="199"/>
      <c r="AQ361" s="199"/>
      <c r="AR361" s="199"/>
      <c r="AS361" s="199"/>
      <c r="AT361" s="199"/>
      <c r="AU361" s="199"/>
      <c r="AV361" s="199"/>
      <c r="AW361" s="155"/>
    </row>
    <row r="362" spans="1:49" s="236" customFormat="1" ht="26.4">
      <c r="A362" s="40">
        <f t="shared" si="19"/>
        <v>356</v>
      </c>
      <c r="B362" s="199"/>
      <c r="C362" s="199"/>
      <c r="D362" s="199"/>
      <c r="E362" s="199"/>
      <c r="F362" s="199"/>
      <c r="G362" s="199"/>
      <c r="H362" s="199"/>
      <c r="I362" s="199"/>
      <c r="J362" s="218" t="s">
        <v>3999</v>
      </c>
      <c r="K362" s="204" t="s">
        <v>117</v>
      </c>
      <c r="L362" s="204" t="s">
        <v>4000</v>
      </c>
      <c r="M362" s="204"/>
      <c r="N362" s="40" t="s">
        <v>504</v>
      </c>
      <c r="O362" s="199"/>
      <c r="P362" s="199"/>
      <c r="Q362" s="40" t="s">
        <v>6</v>
      </c>
      <c r="R362" s="40" t="s">
        <v>6</v>
      </c>
      <c r="S362" s="40" t="s">
        <v>6</v>
      </c>
      <c r="T362" s="126"/>
      <c r="U362" s="200"/>
      <c r="V362" s="204"/>
      <c r="W362" s="204" t="s">
        <v>133</v>
      </c>
      <c r="X362" s="199"/>
      <c r="Y362" s="199"/>
      <c r="Z362" s="40" t="s">
        <v>6</v>
      </c>
      <c r="AA362" s="40" t="s">
        <v>6</v>
      </c>
      <c r="AB362" s="218"/>
      <c r="AC362" s="199"/>
      <c r="AD362" s="218" t="s">
        <v>709</v>
      </c>
      <c r="AE362" s="204" t="s">
        <v>125</v>
      </c>
      <c r="AF362" s="199"/>
      <c r="AG362" s="199"/>
      <c r="AH362" s="199"/>
      <c r="AI362" s="40" t="s">
        <v>6</v>
      </c>
      <c r="AJ362" s="218"/>
      <c r="AK362" s="199"/>
      <c r="AL362" s="218" t="s">
        <v>709</v>
      </c>
      <c r="AM362" s="199"/>
      <c r="AN362" s="199"/>
      <c r="AO362" s="199"/>
      <c r="AP362" s="199"/>
      <c r="AQ362" s="199"/>
      <c r="AR362" s="199"/>
      <c r="AS362" s="199"/>
      <c r="AT362" s="199"/>
      <c r="AU362" s="199"/>
      <c r="AV362" s="199"/>
      <c r="AW362" s="155"/>
    </row>
    <row r="363" spans="1:49" s="236" customFormat="1" ht="26.4">
      <c r="A363" s="40">
        <f t="shared" si="19"/>
        <v>357</v>
      </c>
      <c r="B363" s="199"/>
      <c r="C363" s="199"/>
      <c r="D363" s="199"/>
      <c r="E363" s="199"/>
      <c r="F363" s="199"/>
      <c r="G363" s="199"/>
      <c r="H363" s="199"/>
      <c r="I363" s="199"/>
      <c r="J363" s="218" t="s">
        <v>4001</v>
      </c>
      <c r="K363" s="204" t="s">
        <v>117</v>
      </c>
      <c r="L363" s="204" t="s">
        <v>4000</v>
      </c>
      <c r="M363" s="204"/>
      <c r="N363" s="40" t="s">
        <v>504</v>
      </c>
      <c r="O363" s="199"/>
      <c r="P363" s="199"/>
      <c r="Q363" s="40" t="s">
        <v>6</v>
      </c>
      <c r="R363" s="40" t="s">
        <v>6</v>
      </c>
      <c r="S363" s="40" t="s">
        <v>6</v>
      </c>
      <c r="T363" s="126"/>
      <c r="U363" s="200" t="s">
        <v>768</v>
      </c>
      <c r="V363" s="204"/>
      <c r="W363" s="204" t="s">
        <v>133</v>
      </c>
      <c r="X363" s="199"/>
      <c r="Y363" s="199"/>
      <c r="Z363" s="40" t="s">
        <v>6</v>
      </c>
      <c r="AA363" s="40" t="s">
        <v>6</v>
      </c>
      <c r="AB363" s="218"/>
      <c r="AC363" s="199"/>
      <c r="AD363" s="218" t="s">
        <v>709</v>
      </c>
      <c r="AE363" s="204" t="s">
        <v>125</v>
      </c>
      <c r="AF363" s="199"/>
      <c r="AG363" s="199"/>
      <c r="AH363" s="199"/>
      <c r="AI363" s="40" t="s">
        <v>6</v>
      </c>
      <c r="AJ363" s="218"/>
      <c r="AK363" s="199"/>
      <c r="AL363" s="218" t="s">
        <v>709</v>
      </c>
      <c r="AM363" s="199"/>
      <c r="AN363" s="199"/>
      <c r="AO363" s="199"/>
      <c r="AP363" s="199"/>
      <c r="AQ363" s="199"/>
      <c r="AR363" s="199"/>
      <c r="AS363" s="199"/>
      <c r="AT363" s="199"/>
      <c r="AU363" s="199"/>
      <c r="AV363" s="199"/>
      <c r="AW363" s="155"/>
    </row>
    <row r="364" spans="1:49" s="236" customFormat="1" ht="15">
      <c r="A364" s="40">
        <f t="shared" si="19"/>
        <v>358</v>
      </c>
      <c r="B364" s="199"/>
      <c r="C364" s="199"/>
      <c r="D364" s="199"/>
      <c r="E364" s="199"/>
      <c r="F364" s="199"/>
      <c r="G364" s="199"/>
      <c r="H364" s="199"/>
      <c r="I364" s="199"/>
      <c r="J364" s="218" t="s">
        <v>709</v>
      </c>
      <c r="K364" s="204" t="s">
        <v>117</v>
      </c>
      <c r="L364" s="204" t="s">
        <v>4002</v>
      </c>
      <c r="M364" s="204"/>
      <c r="N364" s="40" t="s">
        <v>504</v>
      </c>
      <c r="O364" s="199"/>
      <c r="P364" s="199"/>
      <c r="Q364" s="40"/>
      <c r="R364" s="40" t="s">
        <v>6</v>
      </c>
      <c r="S364" s="40" t="s">
        <v>6</v>
      </c>
      <c r="T364" s="40"/>
      <c r="U364" s="204"/>
      <c r="V364" s="204"/>
      <c r="W364" s="204" t="s">
        <v>133</v>
      </c>
      <c r="X364" s="199"/>
      <c r="Y364" s="199"/>
      <c r="Z364" s="40" t="s">
        <v>6</v>
      </c>
      <c r="AA364" s="40" t="s">
        <v>6</v>
      </c>
      <c r="AB364" s="215"/>
      <c r="AC364" s="199"/>
      <c r="AD364" s="199"/>
      <c r="AE364" s="204" t="s">
        <v>133</v>
      </c>
      <c r="AF364" s="199"/>
      <c r="AG364" s="199"/>
      <c r="AH364" s="40" t="s">
        <v>6</v>
      </c>
      <c r="AI364" s="40" t="s">
        <v>6</v>
      </c>
      <c r="AJ364" s="215" t="s">
        <v>4003</v>
      </c>
      <c r="AK364" s="199"/>
      <c r="AL364" s="199"/>
      <c r="AM364" s="199"/>
      <c r="AN364" s="199"/>
      <c r="AO364" s="199"/>
      <c r="AP364" s="199"/>
      <c r="AQ364" s="199"/>
      <c r="AR364" s="199"/>
      <c r="AS364" s="199"/>
      <c r="AT364" s="199"/>
      <c r="AU364" s="199"/>
      <c r="AV364" s="199"/>
      <c r="AW364" s="155"/>
    </row>
    <row r="365" spans="1:49" s="236" customFormat="1" ht="26.4">
      <c r="A365" s="40">
        <f t="shared" si="19"/>
        <v>359</v>
      </c>
      <c r="B365" s="199"/>
      <c r="C365" s="199"/>
      <c r="D365" s="199"/>
      <c r="E365" s="199"/>
      <c r="F365" s="199"/>
      <c r="G365" s="199"/>
      <c r="H365" s="199"/>
      <c r="I365" s="199"/>
      <c r="J365" s="218" t="s">
        <v>4004</v>
      </c>
      <c r="K365" s="204" t="s">
        <v>117</v>
      </c>
      <c r="L365" s="204" t="s">
        <v>775</v>
      </c>
      <c r="M365" s="204"/>
      <c r="N365" s="40" t="s">
        <v>504</v>
      </c>
      <c r="O365" s="199"/>
      <c r="P365" s="199"/>
      <c r="Q365" s="40"/>
      <c r="R365" s="40" t="s">
        <v>6</v>
      </c>
      <c r="S365" s="40" t="s">
        <v>6</v>
      </c>
      <c r="T365" s="126"/>
      <c r="U365" s="204" t="s">
        <v>4005</v>
      </c>
      <c r="V365" s="204"/>
      <c r="W365" s="204" t="s">
        <v>133</v>
      </c>
      <c r="X365" s="199"/>
      <c r="Y365" s="199"/>
      <c r="Z365" s="40" t="s">
        <v>6</v>
      </c>
      <c r="AA365" s="40" t="s">
        <v>6</v>
      </c>
      <c r="AB365" s="218"/>
      <c r="AC365" s="199"/>
      <c r="AD365" s="218" t="s">
        <v>772</v>
      </c>
      <c r="AE365" s="204" t="s">
        <v>125</v>
      </c>
      <c r="AF365" s="199"/>
      <c r="AG365" s="199"/>
      <c r="AH365" s="199"/>
      <c r="AI365" s="40" t="s">
        <v>6</v>
      </c>
      <c r="AJ365" s="218"/>
      <c r="AK365" s="199"/>
      <c r="AL365" s="218" t="s">
        <v>773</v>
      </c>
      <c r="AM365" s="199"/>
      <c r="AN365" s="199"/>
      <c r="AO365" s="199"/>
      <c r="AP365" s="199"/>
      <c r="AQ365" s="199"/>
      <c r="AR365" s="199"/>
      <c r="AS365" s="199"/>
      <c r="AT365" s="199"/>
      <c r="AU365" s="199"/>
      <c r="AV365" s="199"/>
      <c r="AW365" s="155"/>
    </row>
    <row r="366" spans="1:49" s="236" customFormat="1" ht="26.4">
      <c r="A366" s="40">
        <f t="shared" si="19"/>
        <v>360</v>
      </c>
      <c r="B366" s="199"/>
      <c r="C366" s="199"/>
      <c r="D366" s="199"/>
      <c r="E366" s="199"/>
      <c r="F366" s="199"/>
      <c r="G366" s="199"/>
      <c r="H366" s="199"/>
      <c r="I366" s="199"/>
      <c r="J366" s="218" t="s">
        <v>4006</v>
      </c>
      <c r="K366" s="204" t="s">
        <v>117</v>
      </c>
      <c r="L366" s="204" t="s">
        <v>777</v>
      </c>
      <c r="M366" s="204"/>
      <c r="N366" s="40" t="s">
        <v>504</v>
      </c>
      <c r="O366" s="199"/>
      <c r="P366" s="199"/>
      <c r="Q366" s="40"/>
      <c r="R366" s="40" t="s">
        <v>6</v>
      </c>
      <c r="S366" s="40" t="s">
        <v>6</v>
      </c>
      <c r="T366" s="126"/>
      <c r="U366" s="204" t="s">
        <v>4005</v>
      </c>
      <c r="V366" s="204"/>
      <c r="W366" s="204" t="s">
        <v>133</v>
      </c>
      <c r="X366" s="199"/>
      <c r="Y366" s="199"/>
      <c r="Z366" s="40" t="s">
        <v>6</v>
      </c>
      <c r="AA366" s="40" t="s">
        <v>6</v>
      </c>
      <c r="AB366" s="218"/>
      <c r="AC366" s="199"/>
      <c r="AD366" s="218" t="s">
        <v>772</v>
      </c>
      <c r="AE366" s="204" t="s">
        <v>125</v>
      </c>
      <c r="AF366" s="199"/>
      <c r="AG366" s="199"/>
      <c r="AH366" s="199"/>
      <c r="AI366" s="40" t="s">
        <v>6</v>
      </c>
      <c r="AJ366" s="218"/>
      <c r="AK366" s="199"/>
      <c r="AL366" s="218" t="s">
        <v>773</v>
      </c>
      <c r="AM366" s="199"/>
      <c r="AN366" s="199"/>
      <c r="AO366" s="199"/>
      <c r="AP366" s="199"/>
      <c r="AQ366" s="199"/>
      <c r="AR366" s="199"/>
      <c r="AS366" s="199"/>
      <c r="AT366" s="199"/>
      <c r="AU366" s="199"/>
      <c r="AV366" s="199"/>
      <c r="AW366" s="155"/>
    </row>
    <row r="367" spans="1:49" s="236" customFormat="1" ht="26.4">
      <c r="A367" s="40">
        <f t="shared" si="19"/>
        <v>361</v>
      </c>
      <c r="B367" s="199"/>
      <c r="C367" s="199"/>
      <c r="D367" s="199"/>
      <c r="E367" s="199"/>
      <c r="F367" s="199"/>
      <c r="G367" s="199"/>
      <c r="H367" s="199"/>
      <c r="I367" s="199"/>
      <c r="J367" s="218" t="s">
        <v>4007</v>
      </c>
      <c r="K367" s="204" t="s">
        <v>117</v>
      </c>
      <c r="L367" s="204" t="s">
        <v>779</v>
      </c>
      <c r="M367" s="204"/>
      <c r="N367" s="40" t="s">
        <v>504</v>
      </c>
      <c r="O367" s="199"/>
      <c r="P367" s="199"/>
      <c r="Q367" s="40"/>
      <c r="R367" s="40" t="s">
        <v>6</v>
      </c>
      <c r="S367" s="40" t="s">
        <v>6</v>
      </c>
      <c r="T367" s="126"/>
      <c r="U367" s="204" t="s">
        <v>4005</v>
      </c>
      <c r="V367" s="204"/>
      <c r="W367" s="204" t="s">
        <v>133</v>
      </c>
      <c r="X367" s="199"/>
      <c r="Y367" s="199"/>
      <c r="Z367" s="40" t="s">
        <v>6</v>
      </c>
      <c r="AA367" s="40" t="s">
        <v>6</v>
      </c>
      <c r="AB367" s="218"/>
      <c r="AC367" s="199"/>
      <c r="AD367" s="218" t="s">
        <v>772</v>
      </c>
      <c r="AE367" s="204" t="s">
        <v>125</v>
      </c>
      <c r="AF367" s="199"/>
      <c r="AG367" s="199"/>
      <c r="AH367" s="199"/>
      <c r="AI367" s="40" t="s">
        <v>6</v>
      </c>
      <c r="AJ367" s="218"/>
      <c r="AK367" s="199"/>
      <c r="AL367" s="218" t="s">
        <v>773</v>
      </c>
      <c r="AM367" s="199"/>
      <c r="AN367" s="199"/>
      <c r="AO367" s="199"/>
      <c r="AP367" s="199"/>
      <c r="AQ367" s="199"/>
      <c r="AR367" s="199"/>
      <c r="AS367" s="199"/>
      <c r="AT367" s="199"/>
      <c r="AU367" s="199"/>
      <c r="AV367" s="199"/>
      <c r="AW367" s="155"/>
    </row>
    <row r="368" spans="1:49" s="236" customFormat="1" ht="26.4">
      <c r="A368" s="40">
        <f t="shared" si="19"/>
        <v>362</v>
      </c>
      <c r="B368" s="199"/>
      <c r="C368" s="199"/>
      <c r="D368" s="199"/>
      <c r="E368" s="199"/>
      <c r="F368" s="199"/>
      <c r="G368" s="199"/>
      <c r="H368" s="199"/>
      <c r="I368" s="199"/>
      <c r="J368" s="218" t="s">
        <v>4008</v>
      </c>
      <c r="K368" s="204" t="s">
        <v>117</v>
      </c>
      <c r="L368" s="204" t="s">
        <v>781</v>
      </c>
      <c r="M368" s="204"/>
      <c r="N368" s="40" t="s">
        <v>504</v>
      </c>
      <c r="O368" s="199"/>
      <c r="P368" s="199"/>
      <c r="Q368" s="40"/>
      <c r="R368" s="40" t="s">
        <v>6</v>
      </c>
      <c r="S368" s="40" t="s">
        <v>6</v>
      </c>
      <c r="T368" s="126"/>
      <c r="U368" s="204" t="s">
        <v>4005</v>
      </c>
      <c r="V368" s="204"/>
      <c r="W368" s="204" t="s">
        <v>133</v>
      </c>
      <c r="X368" s="199"/>
      <c r="Y368" s="199"/>
      <c r="Z368" s="40" t="s">
        <v>6</v>
      </c>
      <c r="AA368" s="40" t="s">
        <v>6</v>
      </c>
      <c r="AB368" s="218"/>
      <c r="AC368" s="199"/>
      <c r="AD368" s="218" t="s">
        <v>772</v>
      </c>
      <c r="AE368" s="204" t="s">
        <v>125</v>
      </c>
      <c r="AF368" s="199"/>
      <c r="AG368" s="199"/>
      <c r="AH368" s="199"/>
      <c r="AI368" s="40" t="s">
        <v>6</v>
      </c>
      <c r="AJ368" s="218"/>
      <c r="AK368" s="199"/>
      <c r="AL368" s="218" t="s">
        <v>773</v>
      </c>
      <c r="AM368" s="199"/>
      <c r="AN368" s="199"/>
      <c r="AO368" s="199"/>
      <c r="AP368" s="199"/>
      <c r="AQ368" s="199"/>
      <c r="AR368" s="199"/>
      <c r="AS368" s="199"/>
      <c r="AT368" s="199"/>
      <c r="AU368" s="199"/>
      <c r="AV368" s="199"/>
      <c r="AW368" s="155"/>
    </row>
    <row r="369" spans="1:87" s="236" customFormat="1" ht="26.4">
      <c r="A369" s="40">
        <f t="shared" si="19"/>
        <v>363</v>
      </c>
      <c r="B369" s="199"/>
      <c r="C369" s="199"/>
      <c r="D369" s="199"/>
      <c r="E369" s="199"/>
      <c r="F369" s="199"/>
      <c r="G369" s="199"/>
      <c r="H369" s="199"/>
      <c r="I369" s="199"/>
      <c r="J369" s="218" t="s">
        <v>4009</v>
      </c>
      <c r="K369" s="204" t="s">
        <v>117</v>
      </c>
      <c r="L369" s="204" t="s">
        <v>783</v>
      </c>
      <c r="M369" s="204"/>
      <c r="N369" s="40" t="s">
        <v>504</v>
      </c>
      <c r="O369" s="199"/>
      <c r="P369" s="199"/>
      <c r="Q369" s="40"/>
      <c r="R369" s="40" t="s">
        <v>6</v>
      </c>
      <c r="S369" s="40" t="s">
        <v>6</v>
      </c>
      <c r="T369" s="126"/>
      <c r="U369" s="204" t="s">
        <v>4005</v>
      </c>
      <c r="V369" s="204"/>
      <c r="W369" s="204" t="s">
        <v>133</v>
      </c>
      <c r="X369" s="199"/>
      <c r="Y369" s="199"/>
      <c r="Z369" s="40" t="s">
        <v>6</v>
      </c>
      <c r="AA369" s="40" t="s">
        <v>6</v>
      </c>
      <c r="AB369" s="218"/>
      <c r="AC369" s="199"/>
      <c r="AD369" s="218" t="s">
        <v>772</v>
      </c>
      <c r="AE369" s="204" t="s">
        <v>125</v>
      </c>
      <c r="AF369" s="199"/>
      <c r="AG369" s="199"/>
      <c r="AH369" s="199"/>
      <c r="AI369" s="40" t="s">
        <v>6</v>
      </c>
      <c r="AJ369" s="218"/>
      <c r="AK369" s="199"/>
      <c r="AL369" s="218" t="s">
        <v>773</v>
      </c>
      <c r="AM369" s="199"/>
      <c r="AN369" s="199"/>
      <c r="AO369" s="199"/>
      <c r="AP369" s="199"/>
      <c r="AQ369" s="199"/>
      <c r="AR369" s="199"/>
      <c r="AS369" s="199"/>
      <c r="AT369" s="199"/>
      <c r="AU369" s="199"/>
      <c r="AV369" s="199"/>
      <c r="AW369" s="155"/>
    </row>
    <row r="370" spans="1:87" s="236" customFormat="1" ht="26.4">
      <c r="A370" s="40">
        <f t="shared" si="19"/>
        <v>364</v>
      </c>
      <c r="B370" s="199"/>
      <c r="C370" s="199"/>
      <c r="D370" s="199"/>
      <c r="E370" s="199"/>
      <c r="F370" s="199"/>
      <c r="G370" s="199"/>
      <c r="H370" s="199"/>
      <c r="I370" s="199"/>
      <c r="J370" s="218" t="s">
        <v>4010</v>
      </c>
      <c r="K370" s="204" t="s">
        <v>117</v>
      </c>
      <c r="L370" s="204" t="s">
        <v>785</v>
      </c>
      <c r="M370" s="204"/>
      <c r="N370" s="40" t="s">
        <v>504</v>
      </c>
      <c r="O370" s="199"/>
      <c r="P370" s="199"/>
      <c r="Q370" s="40"/>
      <c r="R370" s="40" t="s">
        <v>6</v>
      </c>
      <c r="S370" s="40" t="s">
        <v>6</v>
      </c>
      <c r="T370" s="126"/>
      <c r="U370" s="204" t="s">
        <v>4005</v>
      </c>
      <c r="V370" s="204"/>
      <c r="W370" s="204" t="s">
        <v>133</v>
      </c>
      <c r="X370" s="199"/>
      <c r="Y370" s="199"/>
      <c r="Z370" s="40" t="s">
        <v>6</v>
      </c>
      <c r="AA370" s="40" t="s">
        <v>6</v>
      </c>
      <c r="AB370" s="218"/>
      <c r="AC370" s="199"/>
      <c r="AD370" s="218" t="s">
        <v>772</v>
      </c>
      <c r="AE370" s="204" t="s">
        <v>125</v>
      </c>
      <c r="AF370" s="199"/>
      <c r="AG370" s="199"/>
      <c r="AH370" s="199"/>
      <c r="AI370" s="40" t="s">
        <v>6</v>
      </c>
      <c r="AJ370" s="218"/>
      <c r="AK370" s="199"/>
      <c r="AL370" s="218" t="s">
        <v>773</v>
      </c>
      <c r="AM370" s="199"/>
      <c r="AN370" s="199"/>
      <c r="AO370" s="199"/>
      <c r="AP370" s="199"/>
      <c r="AQ370" s="199"/>
      <c r="AR370" s="199"/>
      <c r="AS370" s="199"/>
      <c r="AT370" s="199"/>
      <c r="AU370" s="199"/>
      <c r="AV370" s="199"/>
      <c r="AW370" s="155"/>
    </row>
    <row r="371" spans="1:87" s="236" customFormat="1" ht="26.4">
      <c r="A371" s="40">
        <f t="shared" si="19"/>
        <v>365</v>
      </c>
      <c r="B371" s="199"/>
      <c r="C371" s="199"/>
      <c r="D371" s="199"/>
      <c r="E371" s="199"/>
      <c r="F371" s="199"/>
      <c r="G371" s="199"/>
      <c r="H371" s="199"/>
      <c r="I371" s="199"/>
      <c r="J371" s="218" t="s">
        <v>4011</v>
      </c>
      <c r="K371" s="204" t="s">
        <v>117</v>
      </c>
      <c r="L371" s="204" t="s">
        <v>787</v>
      </c>
      <c r="M371" s="204"/>
      <c r="N371" s="40" t="s">
        <v>504</v>
      </c>
      <c r="O371" s="199"/>
      <c r="P371" s="199"/>
      <c r="Q371" s="40"/>
      <c r="R371" s="40" t="s">
        <v>6</v>
      </c>
      <c r="S371" s="40" t="s">
        <v>6</v>
      </c>
      <c r="T371" s="126"/>
      <c r="U371" s="204" t="s">
        <v>4005</v>
      </c>
      <c r="V371" s="204"/>
      <c r="W371" s="204" t="s">
        <v>133</v>
      </c>
      <c r="X371" s="199"/>
      <c r="Y371" s="199"/>
      <c r="Z371" s="40" t="s">
        <v>6</v>
      </c>
      <c r="AA371" s="40" t="s">
        <v>6</v>
      </c>
      <c r="AB371" s="218"/>
      <c r="AC371" s="199"/>
      <c r="AD371" s="218" t="s">
        <v>772</v>
      </c>
      <c r="AE371" s="204" t="s">
        <v>125</v>
      </c>
      <c r="AF371" s="199"/>
      <c r="AG371" s="199"/>
      <c r="AH371" s="199"/>
      <c r="AI371" s="40" t="s">
        <v>6</v>
      </c>
      <c r="AJ371" s="218"/>
      <c r="AK371" s="199"/>
      <c r="AL371" s="218" t="s">
        <v>773</v>
      </c>
      <c r="AM371" s="199"/>
      <c r="AN371" s="199"/>
      <c r="AO371" s="199"/>
      <c r="AP371" s="199"/>
      <c r="AQ371" s="199"/>
      <c r="AR371" s="199"/>
      <c r="AS371" s="199"/>
      <c r="AT371" s="199"/>
      <c r="AU371" s="199"/>
      <c r="AV371" s="199"/>
      <c r="AW371" s="155"/>
    </row>
    <row r="372" spans="1:87" s="236" customFormat="1" ht="15">
      <c r="A372" s="40">
        <f t="shared" si="19"/>
        <v>366</v>
      </c>
      <c r="B372" s="199"/>
      <c r="C372" s="199"/>
      <c r="D372" s="199"/>
      <c r="E372" s="199"/>
      <c r="F372" s="199"/>
      <c r="G372" s="199"/>
      <c r="H372" s="199"/>
      <c r="I372" s="199"/>
      <c r="J372" s="218" t="s">
        <v>4012</v>
      </c>
      <c r="K372" s="204" t="s">
        <v>117</v>
      </c>
      <c r="L372" s="204" t="s">
        <v>4013</v>
      </c>
      <c r="M372" s="204"/>
      <c r="N372" s="40" t="s">
        <v>504</v>
      </c>
      <c r="O372" s="199"/>
      <c r="P372" s="199"/>
      <c r="Q372" s="40" t="s">
        <v>6</v>
      </c>
      <c r="R372" s="40" t="s">
        <v>6</v>
      </c>
      <c r="S372" s="40" t="s">
        <v>6</v>
      </c>
      <c r="T372" s="126"/>
      <c r="U372" s="200" t="s">
        <v>4014</v>
      </c>
      <c r="V372" s="204"/>
      <c r="W372" s="204" t="s">
        <v>133</v>
      </c>
      <c r="X372" s="199"/>
      <c r="Y372" s="199"/>
      <c r="Z372" s="40" t="s">
        <v>6</v>
      </c>
      <c r="AA372" s="40" t="s">
        <v>6</v>
      </c>
      <c r="AB372" s="215"/>
      <c r="AC372" s="199"/>
      <c r="AD372" s="199"/>
      <c r="AE372" s="204" t="s">
        <v>133</v>
      </c>
      <c r="AF372" s="199"/>
      <c r="AG372" s="199"/>
      <c r="AH372" s="40" t="s">
        <v>6</v>
      </c>
      <c r="AI372" s="40" t="s">
        <v>6</v>
      </c>
      <c r="AJ372" s="215" t="s">
        <v>4015</v>
      </c>
      <c r="AK372" s="199"/>
      <c r="AL372" s="199"/>
      <c r="AM372" s="199"/>
      <c r="AN372" s="199"/>
      <c r="AO372" s="199"/>
      <c r="AP372" s="199"/>
      <c r="AQ372" s="199"/>
      <c r="AR372" s="199"/>
      <c r="AS372" s="199"/>
      <c r="AT372" s="199"/>
      <c r="AU372" s="199"/>
      <c r="AV372" s="199"/>
      <c r="AW372" s="155"/>
    </row>
    <row r="373" spans="1:87" s="236" customFormat="1" ht="15">
      <c r="A373" s="40">
        <f t="shared" si="19"/>
        <v>367</v>
      </c>
      <c r="B373" s="199"/>
      <c r="C373" s="199"/>
      <c r="D373" s="199"/>
      <c r="E373" s="199"/>
      <c r="F373" s="199"/>
      <c r="G373" s="199"/>
      <c r="H373" s="199"/>
      <c r="I373" s="199"/>
      <c r="J373" s="218" t="s">
        <v>4016</v>
      </c>
      <c r="K373" s="204" t="s">
        <v>117</v>
      </c>
      <c r="L373" s="204" t="s">
        <v>4017</v>
      </c>
      <c r="M373" s="204"/>
      <c r="N373" s="40" t="s">
        <v>504</v>
      </c>
      <c r="O373" s="199"/>
      <c r="P373" s="199"/>
      <c r="Q373" s="40" t="s">
        <v>6</v>
      </c>
      <c r="R373" s="40" t="s">
        <v>6</v>
      </c>
      <c r="S373" s="40" t="s">
        <v>6</v>
      </c>
      <c r="T373" s="126"/>
      <c r="U373" s="204"/>
      <c r="V373" s="204"/>
      <c r="W373" s="204" t="s">
        <v>133</v>
      </c>
      <c r="X373" s="199"/>
      <c r="Y373" s="199"/>
      <c r="Z373" s="40" t="s">
        <v>6</v>
      </c>
      <c r="AA373" s="40" t="s">
        <v>6</v>
      </c>
      <c r="AB373" s="215"/>
      <c r="AC373" s="199"/>
      <c r="AD373" s="199"/>
      <c r="AE373" s="204" t="s">
        <v>133</v>
      </c>
      <c r="AF373" s="199"/>
      <c r="AG373" s="199"/>
      <c r="AH373" s="40" t="s">
        <v>6</v>
      </c>
      <c r="AI373" s="40" t="s">
        <v>6</v>
      </c>
      <c r="AJ373" s="215"/>
      <c r="AK373" s="199"/>
      <c r="AL373" s="199"/>
      <c r="AM373" s="199"/>
      <c r="AN373" s="199"/>
      <c r="AO373" s="199"/>
      <c r="AP373" s="199"/>
      <c r="AQ373" s="199"/>
      <c r="AR373" s="199"/>
      <c r="AS373" s="199"/>
      <c r="AT373" s="199"/>
      <c r="AU373" s="199"/>
      <c r="AV373" s="199"/>
      <c r="AW373" s="155"/>
    </row>
    <row r="374" spans="1:87" s="236" customFormat="1" ht="15">
      <c r="A374" s="40">
        <f t="shared" si="19"/>
        <v>368</v>
      </c>
      <c r="B374" s="199"/>
      <c r="C374" s="199"/>
      <c r="D374" s="199"/>
      <c r="E374" s="199"/>
      <c r="F374" s="199"/>
      <c r="G374" s="199"/>
      <c r="H374" s="199"/>
      <c r="I374" s="199"/>
      <c r="J374" s="218" t="s">
        <v>4018</v>
      </c>
      <c r="K374" s="204" t="s">
        <v>134</v>
      </c>
      <c r="L374" s="204" t="s">
        <v>791</v>
      </c>
      <c r="M374" s="204"/>
      <c r="N374" s="40" t="s">
        <v>504</v>
      </c>
      <c r="O374" s="199"/>
      <c r="P374" s="199"/>
      <c r="Q374" s="40" t="s">
        <v>6</v>
      </c>
      <c r="R374" s="40" t="s">
        <v>6</v>
      </c>
      <c r="S374" s="40" t="s">
        <v>6</v>
      </c>
      <c r="T374" s="126"/>
      <c r="U374" s="200" t="s">
        <v>4019</v>
      </c>
      <c r="V374" s="204"/>
      <c r="W374" s="204" t="s">
        <v>140</v>
      </c>
      <c r="X374" s="199"/>
      <c r="Y374" s="199"/>
      <c r="Z374" s="40" t="s">
        <v>6</v>
      </c>
      <c r="AA374" s="40" t="s">
        <v>6</v>
      </c>
      <c r="AB374" s="218"/>
      <c r="AC374" s="199"/>
      <c r="AD374" s="199"/>
      <c r="AE374" s="204" t="s">
        <v>140</v>
      </c>
      <c r="AF374" s="199"/>
      <c r="AG374" s="199"/>
      <c r="AH374" s="40" t="s">
        <v>6</v>
      </c>
      <c r="AI374" s="40" t="s">
        <v>6</v>
      </c>
      <c r="AJ374" s="218"/>
      <c r="AK374" s="199"/>
      <c r="AL374" s="199"/>
      <c r="AM374" s="199"/>
      <c r="AN374" s="199"/>
      <c r="AO374" s="199"/>
      <c r="AP374" s="199"/>
      <c r="AQ374" s="199"/>
      <c r="AR374" s="199"/>
      <c r="AS374" s="199"/>
      <c r="AT374" s="199"/>
      <c r="AU374" s="199"/>
      <c r="AV374" s="199"/>
      <c r="AW374" s="155"/>
    </row>
    <row r="375" spans="1:87" s="236" customFormat="1" ht="15">
      <c r="A375" s="40">
        <f t="shared" si="19"/>
        <v>369</v>
      </c>
      <c r="B375" s="199"/>
      <c r="C375" s="199"/>
      <c r="D375" s="199"/>
      <c r="E375" s="199"/>
      <c r="F375" s="199"/>
      <c r="G375" s="199"/>
      <c r="H375" s="199"/>
      <c r="I375" s="199"/>
      <c r="J375" s="218" t="s">
        <v>4020</v>
      </c>
      <c r="K375" s="204" t="s">
        <v>132</v>
      </c>
      <c r="L375" s="204" t="s">
        <v>4021</v>
      </c>
      <c r="M375" s="204"/>
      <c r="N375" s="40" t="s">
        <v>504</v>
      </c>
      <c r="O375" s="199"/>
      <c r="P375" s="199"/>
      <c r="Q375" s="40" t="s">
        <v>6</v>
      </c>
      <c r="R375" s="40" t="s">
        <v>6</v>
      </c>
      <c r="S375" s="40" t="s">
        <v>6</v>
      </c>
      <c r="T375" s="40"/>
      <c r="U375" s="204" t="s">
        <v>4022</v>
      </c>
      <c r="V375" s="204"/>
      <c r="W375" s="204" t="s">
        <v>133</v>
      </c>
      <c r="X375" s="199"/>
      <c r="Y375" s="199"/>
      <c r="Z375" s="40" t="s">
        <v>6</v>
      </c>
      <c r="AA375" s="40" t="s">
        <v>6</v>
      </c>
      <c r="AB375" s="218"/>
      <c r="AC375" s="199"/>
      <c r="AD375" s="199"/>
      <c r="AE375" s="204" t="s">
        <v>133</v>
      </c>
      <c r="AF375" s="199"/>
      <c r="AG375" s="199"/>
      <c r="AH375" s="40" t="s">
        <v>6</v>
      </c>
      <c r="AI375" s="40" t="s">
        <v>6</v>
      </c>
      <c r="AJ375" s="218"/>
      <c r="AK375" s="199"/>
      <c r="AL375" s="199"/>
      <c r="AM375" s="199"/>
      <c r="AN375" s="199"/>
      <c r="AO375" s="199"/>
      <c r="AP375" s="199"/>
      <c r="AQ375" s="199"/>
      <c r="AR375" s="199"/>
      <c r="AS375" s="199"/>
      <c r="AT375" s="199"/>
      <c r="AU375" s="199"/>
      <c r="AV375" s="199"/>
      <c r="AW375" s="155"/>
    </row>
    <row r="376" spans="1:87" s="236" customFormat="1" ht="15">
      <c r="A376" s="40">
        <f t="shared" si="19"/>
        <v>370</v>
      </c>
      <c r="B376" s="199"/>
      <c r="C376" s="199"/>
      <c r="D376" s="199"/>
      <c r="E376" s="199"/>
      <c r="F376" s="199"/>
      <c r="G376" s="199"/>
      <c r="H376" s="199"/>
      <c r="I376" s="199"/>
      <c r="J376" s="218" t="s">
        <v>4023</v>
      </c>
      <c r="K376" s="412" t="s">
        <v>149</v>
      </c>
      <c r="L376" s="204" t="s">
        <v>792</v>
      </c>
      <c r="M376" s="204"/>
      <c r="N376" s="40" t="s">
        <v>504</v>
      </c>
      <c r="O376" s="199"/>
      <c r="P376" s="199"/>
      <c r="Q376" s="40" t="s">
        <v>6</v>
      </c>
      <c r="R376" s="40" t="s">
        <v>6</v>
      </c>
      <c r="S376" s="40" t="s">
        <v>6</v>
      </c>
      <c r="T376" s="126"/>
      <c r="U376" s="204"/>
      <c r="V376" s="204"/>
      <c r="W376" s="412" t="s">
        <v>149</v>
      </c>
      <c r="X376" s="199"/>
      <c r="Y376" s="199"/>
      <c r="Z376" s="40" t="s">
        <v>6</v>
      </c>
      <c r="AA376" s="40" t="s">
        <v>6</v>
      </c>
      <c r="AB376" s="218"/>
      <c r="AC376" s="199"/>
      <c r="AD376" s="199"/>
      <c r="AE376" s="412" t="s">
        <v>149</v>
      </c>
      <c r="AF376" s="199"/>
      <c r="AG376" s="199"/>
      <c r="AH376" s="40" t="s">
        <v>6</v>
      </c>
      <c r="AI376" s="40" t="s">
        <v>6</v>
      </c>
      <c r="AJ376" s="218"/>
      <c r="AK376" s="199"/>
      <c r="AL376" s="199"/>
      <c r="AM376" s="199"/>
      <c r="AN376" s="199"/>
      <c r="AO376" s="199"/>
      <c r="AP376" s="199"/>
      <c r="AQ376" s="199"/>
      <c r="AR376" s="199"/>
      <c r="AS376" s="199"/>
      <c r="AT376" s="199"/>
      <c r="AU376" s="199"/>
      <c r="AV376" s="199"/>
      <c r="AW376" s="155"/>
    </row>
    <row r="377" spans="1:87" s="236" customFormat="1" ht="39.6">
      <c r="A377" s="40">
        <f t="shared" si="19"/>
        <v>371</v>
      </c>
      <c r="B377" s="199"/>
      <c r="C377" s="199"/>
      <c r="D377" s="199"/>
      <c r="E377" s="199"/>
      <c r="F377" s="199"/>
      <c r="G377" s="199"/>
      <c r="H377" s="199"/>
      <c r="I377" s="199"/>
      <c r="J377" s="218" t="s">
        <v>4024</v>
      </c>
      <c r="K377" s="204" t="s">
        <v>117</v>
      </c>
      <c r="L377" s="204" t="s">
        <v>4025</v>
      </c>
      <c r="M377" s="204"/>
      <c r="N377" s="40" t="s">
        <v>504</v>
      </c>
      <c r="O377" s="199"/>
      <c r="P377" s="199"/>
      <c r="Q377" s="40"/>
      <c r="R377" s="40" t="s">
        <v>6</v>
      </c>
      <c r="S377" s="40" t="s">
        <v>6</v>
      </c>
      <c r="T377" s="126"/>
      <c r="U377" s="200" t="s">
        <v>4026</v>
      </c>
      <c r="V377" s="204"/>
      <c r="W377" s="204" t="s">
        <v>133</v>
      </c>
      <c r="X377" s="199"/>
      <c r="Y377" s="199"/>
      <c r="Z377" s="40" t="s">
        <v>6</v>
      </c>
      <c r="AA377" s="40" t="s">
        <v>6</v>
      </c>
      <c r="AB377" s="218"/>
      <c r="AC377" s="199"/>
      <c r="AD377" s="199"/>
      <c r="AE377" s="204" t="s">
        <v>125</v>
      </c>
      <c r="AF377" s="199"/>
      <c r="AG377" s="199"/>
      <c r="AH377" s="40"/>
      <c r="AI377" s="40" t="s">
        <v>6</v>
      </c>
      <c r="AJ377" s="218"/>
      <c r="AK377" s="199"/>
      <c r="AL377" s="199"/>
      <c r="AM377" s="199"/>
      <c r="AN377" s="199"/>
      <c r="AO377" s="199"/>
      <c r="AP377" s="199"/>
      <c r="AQ377" s="199"/>
      <c r="AR377" s="199"/>
      <c r="AS377" s="199"/>
      <c r="AT377" s="199"/>
      <c r="AU377" s="199"/>
      <c r="AV377" s="199"/>
      <c r="AW377" s="155"/>
    </row>
    <row r="378" spans="1:87" s="236" customFormat="1" ht="39.6">
      <c r="A378" s="40">
        <f t="shared" si="19"/>
        <v>372</v>
      </c>
      <c r="B378" s="199"/>
      <c r="C378" s="199"/>
      <c r="D378" s="199"/>
      <c r="E378" s="199"/>
      <c r="F378" s="199"/>
      <c r="G378" s="199"/>
      <c r="H378" s="199"/>
      <c r="I378" s="199"/>
      <c r="J378" s="218" t="s">
        <v>4027</v>
      </c>
      <c r="K378" s="204" t="s">
        <v>117</v>
      </c>
      <c r="L378" s="204" t="s">
        <v>793</v>
      </c>
      <c r="M378" s="204"/>
      <c r="N378" s="126" t="s">
        <v>504</v>
      </c>
      <c r="O378" s="126"/>
      <c r="P378" s="126"/>
      <c r="Q378" s="40"/>
      <c r="R378" s="40" t="s">
        <v>6</v>
      </c>
      <c r="S378" s="40" t="s">
        <v>6</v>
      </c>
      <c r="T378" s="126"/>
      <c r="U378" s="200" t="s">
        <v>4028</v>
      </c>
      <c r="V378" s="204"/>
      <c r="W378" s="204" t="s">
        <v>133</v>
      </c>
      <c r="X378" s="199"/>
      <c r="Y378" s="199"/>
      <c r="Z378" s="40" t="s">
        <v>6</v>
      </c>
      <c r="AA378" s="40" t="s">
        <v>6</v>
      </c>
      <c r="AB378" s="218"/>
      <c r="AC378" s="199"/>
      <c r="AD378" s="199"/>
      <c r="AE378" s="215" t="s">
        <v>125</v>
      </c>
      <c r="AF378" s="199"/>
      <c r="AG378" s="199"/>
      <c r="AH378" s="40"/>
      <c r="AI378" s="40" t="s">
        <v>6</v>
      </c>
      <c r="AJ378" s="218"/>
      <c r="AK378" s="199"/>
      <c r="AL378" s="199"/>
      <c r="AM378" s="199"/>
      <c r="AN378" s="199"/>
      <c r="AO378" s="199"/>
      <c r="AP378" s="199"/>
      <c r="AQ378" s="199"/>
      <c r="AR378" s="199"/>
      <c r="AS378" s="199"/>
      <c r="AT378" s="199"/>
      <c r="AU378" s="199"/>
      <c r="AV378" s="199"/>
      <c r="AW378" s="155"/>
    </row>
    <row r="379" spans="1:87" s="155" customFormat="1" ht="26.4">
      <c r="A379" s="40">
        <f t="shared" si="19"/>
        <v>373</v>
      </c>
      <c r="B379" s="38"/>
      <c r="C379" s="42"/>
      <c r="D379" s="38"/>
      <c r="E379" s="46"/>
      <c r="F379" s="46"/>
      <c r="G379" s="46"/>
      <c r="H379" s="40"/>
      <c r="I379" s="40"/>
      <c r="J379" s="218" t="s">
        <v>4029</v>
      </c>
      <c r="K379" s="412" t="s">
        <v>117</v>
      </c>
      <c r="L379" s="204" t="s">
        <v>794</v>
      </c>
      <c r="M379" s="204"/>
      <c r="N379" s="40" t="s">
        <v>504</v>
      </c>
      <c r="O379" s="126"/>
      <c r="P379" s="126"/>
      <c r="Q379" s="40" t="s">
        <v>6</v>
      </c>
      <c r="R379" s="40" t="s">
        <v>6</v>
      </c>
      <c r="S379" s="40" t="s">
        <v>6</v>
      </c>
      <c r="T379" s="126"/>
      <c r="U379" s="204" t="s">
        <v>795</v>
      </c>
      <c r="V379" s="204"/>
      <c r="W379" s="204" t="s">
        <v>133</v>
      </c>
      <c r="X379" s="199"/>
      <c r="Y379" s="199"/>
      <c r="Z379" s="40" t="s">
        <v>6</v>
      </c>
      <c r="AA379" s="40" t="s">
        <v>6</v>
      </c>
      <c r="AB379" s="40"/>
      <c r="AC379" s="40"/>
      <c r="AD379" s="40"/>
      <c r="AE379" s="412" t="s">
        <v>125</v>
      </c>
      <c r="AF379" s="199"/>
      <c r="AG379" s="199"/>
      <c r="AH379" s="199"/>
      <c r="AI379" s="40" t="s">
        <v>6</v>
      </c>
      <c r="AJ379" s="40"/>
      <c r="AK379" s="40"/>
      <c r="AL379" s="40"/>
      <c r="AM379" s="198"/>
      <c r="AN379" s="232"/>
      <c r="AO379" s="198"/>
      <c r="AP379" s="198"/>
      <c r="AQ379" s="198"/>
      <c r="AR379" s="198"/>
      <c r="AS379" s="198"/>
      <c r="AT379" s="198"/>
      <c r="AU379" s="198"/>
      <c r="AV379" s="40"/>
      <c r="AX379" s="14"/>
      <c r="AY379" s="14"/>
      <c r="AZ379" s="14"/>
      <c r="BA379" s="14"/>
      <c r="BB379" s="14"/>
      <c r="BC379" s="14"/>
      <c r="BD379" s="14"/>
      <c r="BE379" s="14"/>
      <c r="BF379" s="14"/>
      <c r="BG379" s="14"/>
      <c r="BH379" s="14"/>
      <c r="BI379" s="14"/>
      <c r="BJ379" s="14"/>
      <c r="BK379" s="14"/>
      <c r="BL379" s="14"/>
      <c r="BM379" s="14"/>
      <c r="BN379" s="14"/>
      <c r="BO379" s="14"/>
      <c r="BP379" s="14"/>
      <c r="BQ379" s="14"/>
      <c r="BR379" s="14"/>
      <c r="BS379" s="14"/>
      <c r="BT379" s="14"/>
      <c r="BU379" s="14"/>
      <c r="BV379" s="14"/>
      <c r="BW379" s="14"/>
      <c r="BX379" s="14"/>
      <c r="BY379" s="14"/>
      <c r="BZ379" s="14"/>
      <c r="CA379" s="14"/>
      <c r="CB379" s="14"/>
      <c r="CC379" s="14"/>
      <c r="CD379" s="14"/>
      <c r="CE379" s="14"/>
      <c r="CF379" s="14"/>
      <c r="CG379" s="14"/>
      <c r="CH379" s="14"/>
      <c r="CI379" s="14"/>
    </row>
    <row r="380" spans="1:87" s="14" customFormat="1" ht="15">
      <c r="A380" s="40">
        <f t="shared" si="19"/>
        <v>374</v>
      </c>
      <c r="B380" s="38"/>
      <c r="C380" s="42"/>
      <c r="D380" s="38"/>
      <c r="E380" s="46"/>
      <c r="F380" s="46"/>
      <c r="G380" s="46"/>
      <c r="H380" s="40"/>
      <c r="I380" s="40"/>
      <c r="J380" s="215" t="s">
        <v>4030</v>
      </c>
      <c r="K380" s="204" t="s">
        <v>125</v>
      </c>
      <c r="L380" s="204" t="s">
        <v>4031</v>
      </c>
      <c r="M380" s="204"/>
      <c r="N380" s="40" t="s">
        <v>504</v>
      </c>
      <c r="O380" s="40"/>
      <c r="P380" s="40"/>
      <c r="Q380" s="40"/>
      <c r="R380" s="40"/>
      <c r="S380" s="40" t="s">
        <v>6</v>
      </c>
      <c r="T380" s="40"/>
      <c r="U380" s="204"/>
      <c r="V380" s="204"/>
      <c r="W380" s="204" t="s">
        <v>125</v>
      </c>
      <c r="X380" s="40"/>
      <c r="Y380" s="40"/>
      <c r="Z380" s="40"/>
      <c r="AA380" s="40" t="s">
        <v>6</v>
      </c>
      <c r="AB380" s="204"/>
      <c r="AC380" s="40"/>
      <c r="AD380" s="40"/>
      <c r="AE380" s="204" t="s">
        <v>125</v>
      </c>
      <c r="AF380" s="40"/>
      <c r="AG380" s="40"/>
      <c r="AH380" s="40"/>
      <c r="AI380" s="40" t="s">
        <v>6</v>
      </c>
      <c r="AJ380" s="204"/>
      <c r="AK380" s="40"/>
      <c r="AL380" s="40"/>
      <c r="AM380" s="198" t="s">
        <v>509</v>
      </c>
      <c r="AN380" s="232"/>
      <c r="AO380" s="198"/>
      <c r="AP380" s="198"/>
      <c r="AQ380" s="198"/>
      <c r="AR380" s="198"/>
      <c r="AS380" s="198"/>
      <c r="AT380" s="198"/>
      <c r="AU380" s="198"/>
      <c r="AV380" s="40"/>
      <c r="AW380" s="155"/>
    </row>
    <row r="381" spans="1:87" s="18" customFormat="1" ht="15">
      <c r="A381" s="40">
        <f t="shared" si="19"/>
        <v>375</v>
      </c>
      <c r="B381" s="19"/>
      <c r="C381" s="41"/>
      <c r="D381" s="19"/>
      <c r="E381" s="19"/>
      <c r="F381" s="19"/>
      <c r="G381" s="19"/>
      <c r="H381" s="13"/>
      <c r="I381" s="13"/>
      <c r="J381" s="218" t="s">
        <v>4032</v>
      </c>
      <c r="K381" s="412" t="s">
        <v>117</v>
      </c>
      <c r="L381" s="204" t="s">
        <v>3943</v>
      </c>
      <c r="M381" s="204"/>
      <c r="N381" s="126" t="s">
        <v>504</v>
      </c>
      <c r="O381" s="126"/>
      <c r="P381" s="40"/>
      <c r="Q381" s="126" t="s">
        <v>6</v>
      </c>
      <c r="R381" s="126" t="s">
        <v>6</v>
      </c>
      <c r="S381" s="126" t="s">
        <v>6</v>
      </c>
      <c r="T381" s="40"/>
      <c r="U381" s="200" t="s">
        <v>802</v>
      </c>
      <c r="V381" s="206"/>
      <c r="W381" s="204" t="s">
        <v>133</v>
      </c>
      <c r="X381" s="59"/>
      <c r="Y381" s="59"/>
      <c r="Z381" s="126" t="s">
        <v>6</v>
      </c>
      <c r="AA381" s="126" t="s">
        <v>6</v>
      </c>
      <c r="AB381" s="79"/>
      <c r="AC381" s="59"/>
      <c r="AD381" s="218" t="s">
        <v>809</v>
      </c>
      <c r="AE381" s="412" t="s">
        <v>125</v>
      </c>
      <c r="AF381" s="59"/>
      <c r="AG381" s="59"/>
      <c r="AH381" s="59"/>
      <c r="AI381" s="61" t="s">
        <v>6</v>
      </c>
      <c r="AJ381" s="79"/>
      <c r="AK381" s="59"/>
      <c r="AL381" s="218" t="s">
        <v>809</v>
      </c>
      <c r="AM381" s="43"/>
      <c r="AN381" s="19"/>
      <c r="AO381" s="15"/>
      <c r="AP381" s="15"/>
      <c r="AQ381" s="15"/>
      <c r="AR381" s="15"/>
      <c r="AS381" s="15"/>
      <c r="AT381" s="15"/>
      <c r="AU381" s="13"/>
      <c r="AV381" s="15"/>
      <c r="AX381" s="12"/>
      <c r="AY381" s="12"/>
      <c r="AZ381" s="12"/>
      <c r="BA381" s="12"/>
      <c r="BB381" s="12"/>
      <c r="BC381" s="12"/>
      <c r="BD381" s="12"/>
      <c r="BE381" s="12"/>
      <c r="BF381" s="12"/>
      <c r="BG381" s="12"/>
      <c r="BH381" s="12"/>
      <c r="BI381" s="12"/>
      <c r="BJ381" s="12"/>
      <c r="BK381" s="12"/>
      <c r="BL381" s="12"/>
      <c r="BM381" s="12"/>
      <c r="BN381" s="12"/>
      <c r="BO381" s="12"/>
      <c r="BP381" s="12"/>
      <c r="BQ381" s="12"/>
      <c r="BR381" s="12"/>
      <c r="BS381" s="12"/>
      <c r="BT381" s="12"/>
      <c r="BU381" s="12"/>
      <c r="BV381" s="12"/>
      <c r="BW381" s="12"/>
      <c r="BX381" s="12"/>
      <c r="BY381" s="12"/>
      <c r="BZ381" s="12"/>
      <c r="CA381" s="12"/>
      <c r="CB381" s="12"/>
      <c r="CC381" s="12"/>
      <c r="CD381" s="12"/>
      <c r="CE381" s="12"/>
      <c r="CF381" s="12"/>
      <c r="CG381" s="12"/>
      <c r="CH381" s="12"/>
      <c r="CI381" s="12"/>
    </row>
    <row r="382" spans="1:87" ht="15">
      <c r="A382" s="451">
        <f t="shared" si="19"/>
        <v>376</v>
      </c>
      <c r="B382" s="405" t="s">
        <v>821</v>
      </c>
      <c r="C382" s="406"/>
      <c r="D382" s="406"/>
      <c r="E382" s="406"/>
      <c r="F382" s="406"/>
      <c r="G382" s="406"/>
      <c r="H382" s="406"/>
      <c r="I382" s="406"/>
      <c r="J382" s="406" t="s">
        <v>821</v>
      </c>
      <c r="K382" s="406"/>
      <c r="L382" s="406"/>
      <c r="M382" s="444"/>
      <c r="N382" s="406"/>
      <c r="O382" s="406"/>
      <c r="P382" s="406"/>
      <c r="Q382" s="406"/>
      <c r="R382" s="406"/>
      <c r="S382" s="406"/>
      <c r="T382" s="406"/>
      <c r="U382" s="456"/>
      <c r="V382" s="406"/>
      <c r="W382" s="406"/>
      <c r="X382" s="406"/>
      <c r="Y382" s="406"/>
      <c r="Z382" s="406"/>
      <c r="AA382" s="406"/>
      <c r="AB382" s="406"/>
      <c r="AC382" s="406"/>
      <c r="AD382" s="406"/>
      <c r="AE382" s="406"/>
      <c r="AF382" s="406"/>
      <c r="AG382" s="406"/>
      <c r="AH382" s="406"/>
      <c r="AI382" s="406"/>
      <c r="AJ382" s="406"/>
      <c r="AK382" s="406"/>
      <c r="AL382" s="406"/>
      <c r="AM382" s="406"/>
      <c r="AN382" s="406"/>
      <c r="AO382" s="406"/>
      <c r="AP382" s="406"/>
      <c r="AQ382" s="406"/>
      <c r="AR382" s="406"/>
      <c r="AS382" s="406"/>
      <c r="AT382" s="406"/>
      <c r="AU382" s="406"/>
      <c r="AV382" s="407"/>
      <c r="AW382" s="155">
        <f t="shared" si="8"/>
        <v>0</v>
      </c>
    </row>
    <row r="383" spans="1:87" s="236" customFormat="1" ht="15">
      <c r="A383" s="40">
        <f t="shared" si="19"/>
        <v>377</v>
      </c>
      <c r="B383" s="212"/>
      <c r="C383" s="212"/>
      <c r="D383" s="212"/>
      <c r="E383" s="212"/>
      <c r="F383" s="212"/>
      <c r="G383" s="212"/>
      <c r="H383" s="212"/>
      <c r="I383" s="212"/>
      <c r="J383" s="204" t="s">
        <v>822</v>
      </c>
      <c r="K383" s="204" t="s">
        <v>163</v>
      </c>
      <c r="L383" s="215" t="s">
        <v>823</v>
      </c>
      <c r="M383" s="215"/>
      <c r="N383" s="40" t="s">
        <v>824</v>
      </c>
      <c r="O383" s="40"/>
      <c r="P383" s="40" t="s">
        <v>824</v>
      </c>
      <c r="Q383" s="254" t="s">
        <v>6</v>
      </c>
      <c r="R383" s="40"/>
      <c r="S383" s="40"/>
      <c r="T383" s="126" t="s">
        <v>6</v>
      </c>
      <c r="U383" s="204" t="s">
        <v>825</v>
      </c>
      <c r="V383" s="204"/>
      <c r="W383" s="204" t="s">
        <v>163</v>
      </c>
      <c r="X383" s="40"/>
      <c r="Y383" s="40" t="s">
        <v>824</v>
      </c>
      <c r="Z383" s="255"/>
      <c r="AA383" s="40"/>
      <c r="AB383" s="204"/>
      <c r="AC383" s="199"/>
      <c r="AD383" s="199"/>
      <c r="AE383" s="204" t="s">
        <v>163</v>
      </c>
      <c r="AF383" s="40"/>
      <c r="AG383" s="40" t="s">
        <v>824</v>
      </c>
      <c r="AH383" s="40"/>
      <c r="AI383" s="40"/>
      <c r="AJ383" s="204"/>
      <c r="AK383" s="199"/>
      <c r="AL383" s="199"/>
      <c r="AM383" s="199" t="s">
        <v>826</v>
      </c>
      <c r="AN383" s="199"/>
      <c r="AO383" s="199"/>
      <c r="AP383" s="199"/>
      <c r="AQ383" s="199"/>
      <c r="AR383" s="199"/>
      <c r="AS383" s="199"/>
      <c r="AT383" s="199"/>
      <c r="AU383" s="199"/>
      <c r="AV383" s="199"/>
      <c r="AW383" s="155">
        <f t="shared" ref="AW383:AW436" si="20">LEN(L383)</f>
        <v>21</v>
      </c>
    </row>
    <row r="384" spans="1:87" s="236" customFormat="1" ht="15">
      <c r="A384" s="40">
        <f t="shared" si="19"/>
        <v>378</v>
      </c>
      <c r="B384" s="212"/>
      <c r="C384" s="212"/>
      <c r="D384" s="212"/>
      <c r="E384" s="212"/>
      <c r="F384" s="212"/>
      <c r="G384" s="212"/>
      <c r="H384" s="212"/>
      <c r="I384" s="212"/>
      <c r="J384" s="204" t="s">
        <v>827</v>
      </c>
      <c r="K384" s="204" t="s">
        <v>163</v>
      </c>
      <c r="L384" s="215" t="s">
        <v>828</v>
      </c>
      <c r="M384" s="215"/>
      <c r="N384" s="40" t="s">
        <v>829</v>
      </c>
      <c r="O384" s="40"/>
      <c r="P384" s="40" t="s">
        <v>829</v>
      </c>
      <c r="Q384" s="254" t="s">
        <v>6</v>
      </c>
      <c r="R384" s="40"/>
      <c r="S384" s="40"/>
      <c r="T384" s="126" t="s">
        <v>6</v>
      </c>
      <c r="U384" s="204" t="s">
        <v>825</v>
      </c>
      <c r="V384" s="204"/>
      <c r="W384" s="204" t="s">
        <v>163</v>
      </c>
      <c r="X384" s="40"/>
      <c r="Y384" s="40" t="s">
        <v>829</v>
      </c>
      <c r="Z384" s="255"/>
      <c r="AA384" s="40"/>
      <c r="AB384" s="204"/>
      <c r="AC384" s="199"/>
      <c r="AD384" s="199"/>
      <c r="AE384" s="204" t="s">
        <v>163</v>
      </c>
      <c r="AF384" s="40"/>
      <c r="AG384" s="40" t="s">
        <v>829</v>
      </c>
      <c r="AH384" s="40"/>
      <c r="AI384" s="40"/>
      <c r="AJ384" s="204"/>
      <c r="AK384" s="199"/>
      <c r="AL384" s="199"/>
      <c r="AM384" s="199" t="s">
        <v>826</v>
      </c>
      <c r="AN384" s="199"/>
      <c r="AO384" s="199"/>
      <c r="AP384" s="199"/>
      <c r="AQ384" s="199"/>
      <c r="AR384" s="199"/>
      <c r="AS384" s="199"/>
      <c r="AT384" s="199"/>
      <c r="AU384" s="199"/>
      <c r="AV384" s="199"/>
      <c r="AW384" s="155">
        <f t="shared" si="20"/>
        <v>23</v>
      </c>
    </row>
    <row r="385" spans="1:49" s="236" customFormat="1" ht="26.4">
      <c r="A385" s="40">
        <f t="shared" si="19"/>
        <v>379</v>
      </c>
      <c r="B385" s="212"/>
      <c r="C385" s="212"/>
      <c r="D385" s="212"/>
      <c r="E385" s="212"/>
      <c r="F385" s="212"/>
      <c r="G385" s="212"/>
      <c r="H385" s="212"/>
      <c r="I385" s="212"/>
      <c r="J385" s="204" t="s">
        <v>830</v>
      </c>
      <c r="K385" s="204" t="s">
        <v>163</v>
      </c>
      <c r="L385" s="215" t="s">
        <v>831</v>
      </c>
      <c r="M385" s="215"/>
      <c r="N385" s="40" t="s">
        <v>832</v>
      </c>
      <c r="O385" s="40"/>
      <c r="P385" s="40" t="s">
        <v>833</v>
      </c>
      <c r="Q385" s="254" t="s">
        <v>6</v>
      </c>
      <c r="R385" s="40"/>
      <c r="S385" s="40"/>
      <c r="T385" s="126" t="s">
        <v>6</v>
      </c>
      <c r="U385" s="204" t="s">
        <v>834</v>
      </c>
      <c r="V385" s="204"/>
      <c r="W385" s="204" t="s">
        <v>163</v>
      </c>
      <c r="X385" s="40"/>
      <c r="Y385" s="40" t="s">
        <v>833</v>
      </c>
      <c r="Z385" s="255"/>
      <c r="AA385" s="40"/>
      <c r="AB385" s="204" t="s">
        <v>835</v>
      </c>
      <c r="AC385" s="199"/>
      <c r="AD385" s="199"/>
      <c r="AE385" s="204" t="s">
        <v>163</v>
      </c>
      <c r="AF385" s="40"/>
      <c r="AG385" s="40" t="s">
        <v>833</v>
      </c>
      <c r="AH385" s="40"/>
      <c r="AI385" s="40"/>
      <c r="AJ385" s="204" t="s">
        <v>835</v>
      </c>
      <c r="AK385" s="199"/>
      <c r="AL385" s="199"/>
      <c r="AM385" s="199"/>
      <c r="AN385" s="199"/>
      <c r="AO385" s="199"/>
      <c r="AP385" s="199"/>
      <c r="AQ385" s="199"/>
      <c r="AR385" s="199"/>
      <c r="AS385" s="199"/>
      <c r="AT385" s="199"/>
      <c r="AU385" s="199"/>
      <c r="AV385" s="199"/>
      <c r="AW385" s="155">
        <f t="shared" si="20"/>
        <v>32</v>
      </c>
    </row>
    <row r="386" spans="1:49" s="256" customFormat="1" ht="26.4">
      <c r="A386" s="40">
        <f t="shared" si="19"/>
        <v>380</v>
      </c>
      <c r="B386" s="212"/>
      <c r="C386" s="212"/>
      <c r="D386" s="212"/>
      <c r="E386" s="212"/>
      <c r="F386" s="212"/>
      <c r="G386" s="212"/>
      <c r="H386" s="212"/>
      <c r="I386" s="212"/>
      <c r="J386" s="204" t="s">
        <v>836</v>
      </c>
      <c r="K386" s="204" t="s">
        <v>163</v>
      </c>
      <c r="L386" s="215" t="s">
        <v>837</v>
      </c>
      <c r="M386" s="215"/>
      <c r="N386" s="40" t="s">
        <v>838</v>
      </c>
      <c r="O386" s="40"/>
      <c r="P386" s="40" t="s">
        <v>833</v>
      </c>
      <c r="Q386" s="254" t="s">
        <v>6</v>
      </c>
      <c r="R386" s="40"/>
      <c r="S386" s="40"/>
      <c r="T386" s="126" t="s">
        <v>6</v>
      </c>
      <c r="U386" s="204" t="s">
        <v>834</v>
      </c>
      <c r="V386" s="204"/>
      <c r="W386" s="204" t="s">
        <v>163</v>
      </c>
      <c r="X386" s="40"/>
      <c r="Y386" s="40" t="s">
        <v>833</v>
      </c>
      <c r="Z386" s="255"/>
      <c r="AA386" s="40"/>
      <c r="AB386" s="204"/>
      <c r="AC386" s="199"/>
      <c r="AD386" s="199"/>
      <c r="AE386" s="204" t="s">
        <v>163</v>
      </c>
      <c r="AF386" s="40"/>
      <c r="AG386" s="40" t="s">
        <v>833</v>
      </c>
      <c r="AH386" s="40"/>
      <c r="AI386" s="40"/>
      <c r="AJ386" s="204"/>
      <c r="AK386" s="199"/>
      <c r="AL386" s="199"/>
      <c r="AM386" s="199" t="s">
        <v>839</v>
      </c>
      <c r="AN386" s="199"/>
      <c r="AO386" s="199"/>
      <c r="AP386" s="199"/>
      <c r="AQ386" s="199"/>
      <c r="AR386" s="199"/>
      <c r="AS386" s="199"/>
      <c r="AT386" s="199"/>
      <c r="AU386" s="199"/>
      <c r="AV386" s="199"/>
      <c r="AW386" s="155">
        <f t="shared" si="20"/>
        <v>32</v>
      </c>
    </row>
    <row r="387" spans="1:49" s="236" customFormat="1" ht="26.4">
      <c r="A387" s="40">
        <f t="shared" si="19"/>
        <v>381</v>
      </c>
      <c r="B387" s="212"/>
      <c r="C387" s="212"/>
      <c r="D387" s="212"/>
      <c r="E387" s="212"/>
      <c r="F387" s="212"/>
      <c r="G387" s="212"/>
      <c r="H387" s="212"/>
      <c r="I387" s="212"/>
      <c r="J387" s="204" t="s">
        <v>840</v>
      </c>
      <c r="K387" s="204" t="s">
        <v>163</v>
      </c>
      <c r="L387" s="215" t="s">
        <v>841</v>
      </c>
      <c r="M387" s="215"/>
      <c r="N387" s="40" t="s">
        <v>842</v>
      </c>
      <c r="O387" s="40"/>
      <c r="P387" s="40" t="s">
        <v>833</v>
      </c>
      <c r="Q387" s="254" t="s">
        <v>6</v>
      </c>
      <c r="R387" s="40"/>
      <c r="S387" s="40"/>
      <c r="T387" s="126" t="s">
        <v>6</v>
      </c>
      <c r="U387" s="204" t="s">
        <v>834</v>
      </c>
      <c r="V387" s="204"/>
      <c r="W387" s="204" t="s">
        <v>163</v>
      </c>
      <c r="X387" s="40"/>
      <c r="Y387" s="40" t="s">
        <v>833</v>
      </c>
      <c r="Z387" s="255"/>
      <c r="AA387" s="40"/>
      <c r="AB387" s="204" t="s">
        <v>835</v>
      </c>
      <c r="AC387" s="199"/>
      <c r="AD387" s="199"/>
      <c r="AE387" s="204" t="s">
        <v>163</v>
      </c>
      <c r="AF387" s="40"/>
      <c r="AG387" s="40" t="s">
        <v>833</v>
      </c>
      <c r="AH387" s="40"/>
      <c r="AI387" s="40"/>
      <c r="AJ387" s="204" t="s">
        <v>835</v>
      </c>
      <c r="AK387" s="199"/>
      <c r="AL387" s="199"/>
      <c r="AM387" s="199"/>
      <c r="AN387" s="199"/>
      <c r="AO387" s="199"/>
      <c r="AP387" s="199"/>
      <c r="AQ387" s="199"/>
      <c r="AR387" s="199"/>
      <c r="AS387" s="199"/>
      <c r="AT387" s="199"/>
      <c r="AU387" s="199"/>
      <c r="AV387" s="199"/>
      <c r="AW387" s="155">
        <f t="shared" si="20"/>
        <v>32</v>
      </c>
    </row>
    <row r="388" spans="1:49" s="236" customFormat="1" ht="15">
      <c r="A388" s="40">
        <f t="shared" si="19"/>
        <v>382</v>
      </c>
      <c r="B388" s="212"/>
      <c r="C388" s="212"/>
      <c r="D388" s="212"/>
      <c r="E388" s="212"/>
      <c r="F388" s="212"/>
      <c r="G388" s="212"/>
      <c r="H388" s="212"/>
      <c r="I388" s="212"/>
      <c r="J388" s="204" t="s">
        <v>843</v>
      </c>
      <c r="K388" s="204" t="s">
        <v>163</v>
      </c>
      <c r="L388" s="215" t="s">
        <v>844</v>
      </c>
      <c r="M388" s="215"/>
      <c r="N388" s="40" t="s">
        <v>845</v>
      </c>
      <c r="O388" s="40"/>
      <c r="P388" s="40" t="s">
        <v>846</v>
      </c>
      <c r="Q388" s="254" t="s">
        <v>6</v>
      </c>
      <c r="R388" s="40"/>
      <c r="S388" s="40"/>
      <c r="T388" s="126" t="s">
        <v>6</v>
      </c>
      <c r="U388" s="204"/>
      <c r="V388" s="204"/>
      <c r="W388" s="204" t="s">
        <v>163</v>
      </c>
      <c r="X388" s="40"/>
      <c r="Y388" s="40" t="s">
        <v>846</v>
      </c>
      <c r="Z388" s="255"/>
      <c r="AA388" s="40"/>
      <c r="AB388" s="204" t="s">
        <v>835</v>
      </c>
      <c r="AC388" s="199"/>
      <c r="AD388" s="199"/>
      <c r="AE388" s="204" t="s">
        <v>163</v>
      </c>
      <c r="AF388" s="40"/>
      <c r="AG388" s="40" t="s">
        <v>846</v>
      </c>
      <c r="AH388" s="40"/>
      <c r="AI388" s="40"/>
      <c r="AJ388" s="204" t="s">
        <v>835</v>
      </c>
      <c r="AK388" s="199"/>
      <c r="AL388" s="199"/>
      <c r="AM388" s="199"/>
      <c r="AN388" s="199"/>
      <c r="AO388" s="199"/>
      <c r="AP388" s="199"/>
      <c r="AQ388" s="199"/>
      <c r="AR388" s="199"/>
      <c r="AS388" s="199"/>
      <c r="AT388" s="199"/>
      <c r="AU388" s="199"/>
      <c r="AV388" s="199"/>
      <c r="AW388" s="155">
        <f t="shared" si="20"/>
        <v>34</v>
      </c>
    </row>
    <row r="389" spans="1:49" s="236" customFormat="1" ht="15">
      <c r="A389" s="40">
        <f t="shared" si="19"/>
        <v>383</v>
      </c>
      <c r="B389" s="212"/>
      <c r="C389" s="212"/>
      <c r="D389" s="212"/>
      <c r="E389" s="212"/>
      <c r="F389" s="212"/>
      <c r="G389" s="212"/>
      <c r="H389" s="212"/>
      <c r="I389" s="212"/>
      <c r="J389" s="204" t="s">
        <v>847</v>
      </c>
      <c r="K389" s="204" t="s">
        <v>163</v>
      </c>
      <c r="L389" s="215" t="s">
        <v>848</v>
      </c>
      <c r="M389" s="215"/>
      <c r="N389" s="40" t="s">
        <v>849</v>
      </c>
      <c r="O389" s="40"/>
      <c r="P389" s="40" t="s">
        <v>846</v>
      </c>
      <c r="Q389" s="254" t="s">
        <v>6</v>
      </c>
      <c r="R389" s="40"/>
      <c r="S389" s="40"/>
      <c r="T389" s="126" t="s">
        <v>6</v>
      </c>
      <c r="U389" s="204"/>
      <c r="V389" s="204"/>
      <c r="W389" s="204" t="s">
        <v>163</v>
      </c>
      <c r="X389" s="40"/>
      <c r="Y389" s="40" t="s">
        <v>846</v>
      </c>
      <c r="Z389" s="255"/>
      <c r="AA389" s="40"/>
      <c r="AB389" s="204"/>
      <c r="AC389" s="199"/>
      <c r="AD389" s="199"/>
      <c r="AE389" s="204" t="s">
        <v>163</v>
      </c>
      <c r="AF389" s="40"/>
      <c r="AG389" s="40" t="s">
        <v>846</v>
      </c>
      <c r="AH389" s="40"/>
      <c r="AI389" s="40"/>
      <c r="AJ389" s="204"/>
      <c r="AK389" s="199"/>
      <c r="AL389" s="199"/>
      <c r="AM389" s="199" t="s">
        <v>850</v>
      </c>
      <c r="AN389" s="199"/>
      <c r="AO389" s="199"/>
      <c r="AP389" s="199"/>
      <c r="AQ389" s="199"/>
      <c r="AR389" s="199"/>
      <c r="AS389" s="199"/>
      <c r="AT389" s="199"/>
      <c r="AU389" s="199"/>
      <c r="AV389" s="199"/>
      <c r="AW389" s="155">
        <f t="shared" si="20"/>
        <v>34</v>
      </c>
    </row>
    <row r="390" spans="1:49" s="236" customFormat="1" ht="15">
      <c r="A390" s="40">
        <f t="shared" si="19"/>
        <v>384</v>
      </c>
      <c r="B390" s="212"/>
      <c r="C390" s="212"/>
      <c r="D390" s="212"/>
      <c r="E390" s="212"/>
      <c r="F390" s="212"/>
      <c r="G390" s="212"/>
      <c r="H390" s="212"/>
      <c r="I390" s="212"/>
      <c r="J390" s="204" t="s">
        <v>851</v>
      </c>
      <c r="K390" s="204" t="s">
        <v>163</v>
      </c>
      <c r="L390" s="215" t="s">
        <v>852</v>
      </c>
      <c r="M390" s="215"/>
      <c r="N390" s="40" t="s">
        <v>853</v>
      </c>
      <c r="O390" s="40"/>
      <c r="P390" s="40" t="s">
        <v>846</v>
      </c>
      <c r="Q390" s="254" t="s">
        <v>6</v>
      </c>
      <c r="R390" s="40"/>
      <c r="S390" s="40"/>
      <c r="T390" s="126" t="s">
        <v>6</v>
      </c>
      <c r="U390" s="204"/>
      <c r="V390" s="204"/>
      <c r="W390" s="204" t="s">
        <v>163</v>
      </c>
      <c r="X390" s="40"/>
      <c r="Y390" s="40" t="s">
        <v>846</v>
      </c>
      <c r="Z390" s="255"/>
      <c r="AA390" s="40"/>
      <c r="AB390" s="204" t="s">
        <v>835</v>
      </c>
      <c r="AC390" s="199"/>
      <c r="AD390" s="199"/>
      <c r="AE390" s="204" t="s">
        <v>163</v>
      </c>
      <c r="AF390" s="40"/>
      <c r="AG390" s="40" t="s">
        <v>846</v>
      </c>
      <c r="AH390" s="40"/>
      <c r="AI390" s="40"/>
      <c r="AJ390" s="204" t="s">
        <v>835</v>
      </c>
      <c r="AK390" s="199"/>
      <c r="AL390" s="199"/>
      <c r="AM390" s="199"/>
      <c r="AN390" s="199"/>
      <c r="AO390" s="199"/>
      <c r="AP390" s="199"/>
      <c r="AQ390" s="199"/>
      <c r="AR390" s="199"/>
      <c r="AS390" s="199"/>
      <c r="AT390" s="199"/>
      <c r="AU390" s="199"/>
      <c r="AV390" s="199"/>
      <c r="AW390" s="155">
        <f t="shared" si="20"/>
        <v>34</v>
      </c>
    </row>
    <row r="391" spans="1:49" s="236" customFormat="1" ht="15">
      <c r="A391" s="40">
        <f t="shared" si="19"/>
        <v>385</v>
      </c>
      <c r="B391" s="212"/>
      <c r="C391" s="212"/>
      <c r="D391" s="212"/>
      <c r="E391" s="212"/>
      <c r="F391" s="212"/>
      <c r="G391" s="212"/>
      <c r="H391" s="212"/>
      <c r="I391" s="212"/>
      <c r="J391" s="204" t="s">
        <v>854</v>
      </c>
      <c r="K391" s="204" t="s">
        <v>163</v>
      </c>
      <c r="L391" s="215" t="s">
        <v>855</v>
      </c>
      <c r="M391" s="215"/>
      <c r="N391" s="40" t="s">
        <v>856</v>
      </c>
      <c r="O391" s="40"/>
      <c r="P391" s="40" t="s">
        <v>857</v>
      </c>
      <c r="Q391" s="254" t="s">
        <v>6</v>
      </c>
      <c r="R391" s="40"/>
      <c r="S391" s="40"/>
      <c r="T391" s="126" t="s">
        <v>6</v>
      </c>
      <c r="U391" s="204"/>
      <c r="V391" s="204"/>
      <c r="W391" s="204" t="s">
        <v>163</v>
      </c>
      <c r="X391" s="40"/>
      <c r="Y391" s="40" t="s">
        <v>857</v>
      </c>
      <c r="Z391" s="255"/>
      <c r="AA391" s="40"/>
      <c r="AB391" s="204" t="s">
        <v>835</v>
      </c>
      <c r="AC391" s="199"/>
      <c r="AD391" s="199"/>
      <c r="AE391" s="204" t="s">
        <v>163</v>
      </c>
      <c r="AF391" s="40"/>
      <c r="AG391" s="40" t="s">
        <v>857</v>
      </c>
      <c r="AH391" s="40"/>
      <c r="AI391" s="40"/>
      <c r="AJ391" s="204" t="s">
        <v>835</v>
      </c>
      <c r="AK391" s="199"/>
      <c r="AL391" s="199"/>
      <c r="AM391" s="199"/>
      <c r="AN391" s="199"/>
      <c r="AO391" s="199"/>
      <c r="AP391" s="199"/>
      <c r="AQ391" s="199"/>
      <c r="AR391" s="199"/>
      <c r="AS391" s="199"/>
      <c r="AT391" s="199"/>
      <c r="AU391" s="199"/>
      <c r="AV391" s="199"/>
      <c r="AW391" s="155">
        <f>LEN(L391)</f>
        <v>34</v>
      </c>
    </row>
    <row r="392" spans="1:49" ht="15">
      <c r="A392" s="451">
        <f t="shared" ref="A392:A414" si="21">ROW() - 6</f>
        <v>386</v>
      </c>
      <c r="B392" s="405" t="s">
        <v>858</v>
      </c>
      <c r="C392" s="406"/>
      <c r="D392" s="406"/>
      <c r="E392" s="406"/>
      <c r="F392" s="406"/>
      <c r="G392" s="406"/>
      <c r="H392" s="406"/>
      <c r="I392" s="406"/>
      <c r="J392" s="406" t="s">
        <v>858</v>
      </c>
      <c r="K392" s="406"/>
      <c r="L392" s="406"/>
      <c r="M392" s="444"/>
      <c r="N392" s="406"/>
      <c r="O392" s="406"/>
      <c r="P392" s="406"/>
      <c r="Q392" s="406"/>
      <c r="R392" s="406"/>
      <c r="S392" s="406"/>
      <c r="T392" s="406"/>
      <c r="U392" s="456"/>
      <c r="V392" s="406"/>
      <c r="W392" s="406"/>
      <c r="X392" s="406"/>
      <c r="Y392" s="406"/>
      <c r="Z392" s="406"/>
      <c r="AA392" s="406"/>
      <c r="AB392" s="406"/>
      <c r="AC392" s="406"/>
      <c r="AD392" s="406"/>
      <c r="AE392" s="406"/>
      <c r="AF392" s="406"/>
      <c r="AG392" s="406"/>
      <c r="AH392" s="406"/>
      <c r="AI392" s="406"/>
      <c r="AJ392" s="406"/>
      <c r="AK392" s="406"/>
      <c r="AL392" s="406"/>
      <c r="AM392" s="406"/>
      <c r="AN392" s="406"/>
      <c r="AO392" s="406"/>
      <c r="AP392" s="406"/>
      <c r="AQ392" s="406"/>
      <c r="AR392" s="406"/>
      <c r="AS392" s="406"/>
      <c r="AT392" s="406"/>
      <c r="AU392" s="406"/>
      <c r="AV392" s="407"/>
      <c r="AW392" s="155">
        <f t="shared" si="20"/>
        <v>0</v>
      </c>
    </row>
    <row r="393" spans="1:49" s="236" customFormat="1" ht="15">
      <c r="A393" s="40">
        <f t="shared" si="21"/>
        <v>387</v>
      </c>
      <c r="B393" s="199"/>
      <c r="C393" s="199"/>
      <c r="D393" s="199"/>
      <c r="E393" s="199"/>
      <c r="F393" s="199"/>
      <c r="G393" s="199"/>
      <c r="H393" s="199"/>
      <c r="I393" s="199"/>
      <c r="J393" s="215" t="s">
        <v>859</v>
      </c>
      <c r="K393" s="199"/>
      <c r="L393" s="201" t="s">
        <v>860</v>
      </c>
      <c r="M393" s="201"/>
      <c r="N393" s="126" t="s">
        <v>407</v>
      </c>
      <c r="O393" s="199" t="s">
        <v>861</v>
      </c>
      <c r="P393" s="199"/>
      <c r="Q393" s="126" t="s">
        <v>6</v>
      </c>
      <c r="R393" s="199"/>
      <c r="S393" s="199"/>
      <c r="T393" s="126" t="s">
        <v>6</v>
      </c>
      <c r="U393" s="218"/>
      <c r="V393" s="218"/>
      <c r="W393" s="199"/>
      <c r="X393" s="199" t="s">
        <v>861</v>
      </c>
      <c r="Y393" s="199"/>
      <c r="Z393" s="255"/>
      <c r="AA393" s="199"/>
      <c r="AB393" s="198"/>
      <c r="AC393" s="199"/>
      <c r="AD393" s="199"/>
      <c r="AE393" s="199"/>
      <c r="AF393" s="199" t="s">
        <v>861</v>
      </c>
      <c r="AG393" s="199"/>
      <c r="AH393" s="199"/>
      <c r="AI393" s="199"/>
      <c r="AJ393" s="198"/>
      <c r="AK393" s="199"/>
      <c r="AL393" s="199"/>
      <c r="AM393" s="199"/>
      <c r="AN393" s="199"/>
      <c r="AO393" s="199"/>
      <c r="AP393" s="199"/>
      <c r="AQ393" s="199"/>
      <c r="AR393" s="199"/>
      <c r="AS393" s="199"/>
      <c r="AT393" s="199"/>
      <c r="AU393" s="199"/>
      <c r="AV393" s="199"/>
      <c r="AW393" s="155">
        <f>LEN(L393)</f>
        <v>41</v>
      </c>
    </row>
    <row r="394" spans="1:49" s="236" customFormat="1" ht="15">
      <c r="A394" s="40">
        <f t="shared" si="21"/>
        <v>388</v>
      </c>
      <c r="B394" s="199"/>
      <c r="C394" s="199"/>
      <c r="D394" s="199"/>
      <c r="E394" s="199"/>
      <c r="F394" s="199"/>
      <c r="G394" s="199"/>
      <c r="H394" s="199"/>
      <c r="I394" s="199"/>
      <c r="J394" s="215" t="s">
        <v>818</v>
      </c>
      <c r="K394" s="199"/>
      <c r="L394" s="204" t="s">
        <v>864</v>
      </c>
      <c r="M394" s="204"/>
      <c r="N394" s="126" t="s">
        <v>407</v>
      </c>
      <c r="O394" s="199" t="s">
        <v>861</v>
      </c>
      <c r="P394" s="199"/>
      <c r="Q394" s="126" t="s">
        <v>6</v>
      </c>
      <c r="R394" s="199"/>
      <c r="S394" s="199"/>
      <c r="T394" s="126" t="s">
        <v>6</v>
      </c>
      <c r="U394" s="201" t="s">
        <v>802</v>
      </c>
      <c r="V394" s="218"/>
      <c r="W394" s="199"/>
      <c r="X394" s="199" t="s">
        <v>862</v>
      </c>
      <c r="Y394" s="199"/>
      <c r="Z394" s="255"/>
      <c r="AA394" s="199"/>
      <c r="AB394" s="204" t="s">
        <v>835</v>
      </c>
      <c r="AC394" s="199"/>
      <c r="AD394" s="199"/>
      <c r="AE394" s="199"/>
      <c r="AF394" s="199" t="s">
        <v>862</v>
      </c>
      <c r="AG394" s="199"/>
      <c r="AH394" s="199"/>
      <c r="AI394" s="199"/>
      <c r="AJ394" s="204" t="s">
        <v>835</v>
      </c>
      <c r="AK394" s="199"/>
      <c r="AL394" s="199"/>
      <c r="AM394" s="199"/>
      <c r="AN394" s="199"/>
      <c r="AO394" s="199"/>
      <c r="AP394" s="199"/>
      <c r="AQ394" s="199"/>
      <c r="AR394" s="199"/>
      <c r="AS394" s="199"/>
      <c r="AT394" s="199"/>
      <c r="AU394" s="199"/>
      <c r="AV394" s="199"/>
      <c r="AW394" s="155">
        <f>LEN(L394)</f>
        <v>36</v>
      </c>
    </row>
    <row r="395" spans="1:49" s="236" customFormat="1" ht="15">
      <c r="A395" s="40">
        <f t="shared" si="21"/>
        <v>389</v>
      </c>
      <c r="B395" s="199"/>
      <c r="C395" s="199"/>
      <c r="D395" s="199"/>
      <c r="E395" s="199"/>
      <c r="F395" s="199"/>
      <c r="G395" s="199"/>
      <c r="H395" s="199"/>
      <c r="I395" s="199"/>
      <c r="J395" s="201" t="s">
        <v>4038</v>
      </c>
      <c r="K395" s="199"/>
      <c r="L395" s="201" t="s">
        <v>860</v>
      </c>
      <c r="M395" s="201"/>
      <c r="N395" s="126" t="s">
        <v>407</v>
      </c>
      <c r="O395" s="199" t="s">
        <v>861</v>
      </c>
      <c r="P395" s="199"/>
      <c r="Q395" s="126"/>
      <c r="R395" s="199"/>
      <c r="S395" s="199"/>
      <c r="T395" s="126"/>
      <c r="U395" s="218"/>
      <c r="V395" s="218"/>
      <c r="W395" s="199"/>
      <c r="X395" s="199" t="s">
        <v>861</v>
      </c>
      <c r="Y395" s="199"/>
      <c r="Z395" s="255"/>
      <c r="AA395" s="199"/>
      <c r="AB395" s="198"/>
      <c r="AC395" s="199"/>
      <c r="AD395" s="199"/>
      <c r="AE395" s="199"/>
      <c r="AF395" s="199" t="s">
        <v>861</v>
      </c>
      <c r="AG395" s="199"/>
      <c r="AH395" s="199"/>
      <c r="AI395" s="199"/>
      <c r="AJ395" s="198"/>
      <c r="AK395" s="199"/>
      <c r="AL395" s="199"/>
      <c r="AM395" s="199"/>
      <c r="AN395" s="199"/>
      <c r="AO395" s="199"/>
      <c r="AP395" s="199"/>
      <c r="AQ395" s="199"/>
      <c r="AR395" s="199"/>
      <c r="AS395" s="199"/>
      <c r="AT395" s="199"/>
      <c r="AU395" s="199"/>
      <c r="AV395" s="199"/>
      <c r="AW395" s="155"/>
    </row>
    <row r="396" spans="1:49" s="236" customFormat="1" ht="15">
      <c r="A396" s="40">
        <f t="shared" si="21"/>
        <v>390</v>
      </c>
      <c r="B396" s="199"/>
      <c r="C396" s="199"/>
      <c r="D396" s="199"/>
      <c r="E396" s="199"/>
      <c r="F396" s="199"/>
      <c r="G396" s="199"/>
      <c r="H396" s="199"/>
      <c r="I396" s="199"/>
      <c r="J396" s="201" t="s">
        <v>4039</v>
      </c>
      <c r="K396" s="199"/>
      <c r="L396" s="201" t="s">
        <v>4040</v>
      </c>
      <c r="M396" s="201"/>
      <c r="N396" s="126" t="s">
        <v>416</v>
      </c>
      <c r="O396" s="199" t="s">
        <v>862</v>
      </c>
      <c r="P396" s="199"/>
      <c r="Q396" s="126"/>
      <c r="R396" s="199"/>
      <c r="S396" s="199"/>
      <c r="T396" s="126"/>
      <c r="U396" s="218" t="s">
        <v>4041</v>
      </c>
      <c r="V396" s="218"/>
      <c r="W396" s="199"/>
      <c r="X396" s="199" t="s">
        <v>862</v>
      </c>
      <c r="Y396" s="199"/>
      <c r="Z396" s="255"/>
      <c r="AA396" s="199"/>
      <c r="AB396" s="198"/>
      <c r="AC396" s="199"/>
      <c r="AD396" s="199"/>
      <c r="AE396" s="199"/>
      <c r="AF396" s="199" t="s">
        <v>862</v>
      </c>
      <c r="AG396" s="199"/>
      <c r="AH396" s="199"/>
      <c r="AI396" s="199"/>
      <c r="AJ396" s="198"/>
      <c r="AK396" s="199"/>
      <c r="AL396" s="199"/>
      <c r="AM396" s="199"/>
      <c r="AN396" s="199"/>
      <c r="AO396" s="199"/>
      <c r="AP396" s="199"/>
      <c r="AQ396" s="199"/>
      <c r="AR396" s="199"/>
      <c r="AS396" s="199"/>
      <c r="AT396" s="199"/>
      <c r="AU396" s="199"/>
      <c r="AV396" s="199"/>
      <c r="AW396" s="155"/>
    </row>
    <row r="397" spans="1:49" s="236" customFormat="1" ht="15">
      <c r="A397" s="40">
        <f t="shared" si="21"/>
        <v>391</v>
      </c>
      <c r="B397" s="199"/>
      <c r="C397" s="199"/>
      <c r="D397" s="199"/>
      <c r="E397" s="199"/>
      <c r="F397" s="199"/>
      <c r="G397" s="199"/>
      <c r="H397" s="199"/>
      <c r="I397" s="199"/>
      <c r="J397" s="201" t="s">
        <v>4042</v>
      </c>
      <c r="K397" s="199"/>
      <c r="L397" s="201" t="s">
        <v>4043</v>
      </c>
      <c r="M397" s="201"/>
      <c r="N397" s="126" t="s">
        <v>418</v>
      </c>
      <c r="O397" s="199" t="s">
        <v>862</v>
      </c>
      <c r="P397" s="199"/>
      <c r="Q397" s="126"/>
      <c r="R397" s="199"/>
      <c r="S397" s="199"/>
      <c r="T397" s="126"/>
      <c r="U397" s="218" t="s">
        <v>4041</v>
      </c>
      <c r="V397" s="218"/>
      <c r="W397" s="199"/>
      <c r="X397" s="199" t="s">
        <v>862</v>
      </c>
      <c r="Y397" s="199"/>
      <c r="Z397" s="255"/>
      <c r="AA397" s="199"/>
      <c r="AB397" s="198"/>
      <c r="AC397" s="199"/>
      <c r="AD397" s="199"/>
      <c r="AE397" s="199"/>
      <c r="AF397" s="199" t="s">
        <v>862</v>
      </c>
      <c r="AG397" s="199"/>
      <c r="AH397" s="199"/>
      <c r="AI397" s="199"/>
      <c r="AJ397" s="198"/>
      <c r="AK397" s="199"/>
      <c r="AL397" s="199"/>
      <c r="AM397" s="199"/>
      <c r="AN397" s="199"/>
      <c r="AO397" s="199"/>
      <c r="AP397" s="199"/>
      <c r="AQ397" s="199"/>
      <c r="AR397" s="199"/>
      <c r="AS397" s="199"/>
      <c r="AT397" s="199"/>
      <c r="AU397" s="199"/>
      <c r="AV397" s="199"/>
      <c r="AW397" s="155"/>
    </row>
    <row r="398" spans="1:49" s="236" customFormat="1" ht="26.4">
      <c r="A398" s="40">
        <f t="shared" si="21"/>
        <v>392</v>
      </c>
      <c r="B398" s="199"/>
      <c r="C398" s="199"/>
      <c r="D398" s="199"/>
      <c r="E398" s="199"/>
      <c r="F398" s="199"/>
      <c r="G398" s="199"/>
      <c r="H398" s="199"/>
      <c r="I398" s="199"/>
      <c r="J398" s="215" t="s">
        <v>4044</v>
      </c>
      <c r="K398" s="199"/>
      <c r="L398" s="201" t="s">
        <v>4045</v>
      </c>
      <c r="M398" s="201"/>
      <c r="N398" s="126" t="s">
        <v>433</v>
      </c>
      <c r="O398" s="199" t="s">
        <v>862</v>
      </c>
      <c r="P398" s="199"/>
      <c r="Q398" s="40" t="s">
        <v>6</v>
      </c>
      <c r="R398" s="199"/>
      <c r="S398" s="199"/>
      <c r="T398" s="126"/>
      <c r="U398" s="200" t="s">
        <v>595</v>
      </c>
      <c r="V398" s="218"/>
      <c r="W398" s="199"/>
      <c r="X398" s="199" t="s">
        <v>862</v>
      </c>
      <c r="Y398" s="199"/>
      <c r="Z398" s="255"/>
      <c r="AA398" s="199"/>
      <c r="AB398" s="198"/>
      <c r="AC398" s="199"/>
      <c r="AD398" s="199"/>
      <c r="AE398" s="199"/>
      <c r="AF398" s="199" t="s">
        <v>862</v>
      </c>
      <c r="AG398" s="199"/>
      <c r="AH398" s="199"/>
      <c r="AI398" s="199"/>
      <c r="AJ398" s="198"/>
      <c r="AK398" s="199"/>
      <c r="AL398" s="199"/>
      <c r="AM398" s="199"/>
      <c r="AN398" s="199"/>
      <c r="AO398" s="199"/>
      <c r="AP398" s="199"/>
      <c r="AQ398" s="199"/>
      <c r="AR398" s="199"/>
      <c r="AS398" s="199"/>
      <c r="AT398" s="199"/>
      <c r="AU398" s="199"/>
      <c r="AV398" s="199"/>
      <c r="AW398" s="155"/>
    </row>
    <row r="399" spans="1:49" s="236" customFormat="1" ht="15">
      <c r="A399" s="40">
        <f t="shared" si="21"/>
        <v>393</v>
      </c>
      <c r="B399" s="199"/>
      <c r="C399" s="199"/>
      <c r="D399" s="199"/>
      <c r="E399" s="199"/>
      <c r="F399" s="199"/>
      <c r="G399" s="199"/>
      <c r="H399" s="199"/>
      <c r="I399" s="199"/>
      <c r="J399" s="201" t="s">
        <v>4046</v>
      </c>
      <c r="K399" s="199"/>
      <c r="L399" s="201" t="s">
        <v>4045</v>
      </c>
      <c r="M399" s="201"/>
      <c r="N399" s="126" t="s">
        <v>433</v>
      </c>
      <c r="O399" s="199" t="s">
        <v>862</v>
      </c>
      <c r="P399" s="199"/>
      <c r="Q399" s="126"/>
      <c r="R399" s="199"/>
      <c r="S399" s="199"/>
      <c r="T399" s="126"/>
      <c r="U399" s="218"/>
      <c r="V399" s="218"/>
      <c r="W399" s="199"/>
      <c r="X399" s="199" t="s">
        <v>862</v>
      </c>
      <c r="Y399" s="199"/>
      <c r="Z399" s="255"/>
      <c r="AA399" s="199"/>
      <c r="AB399" s="198"/>
      <c r="AC399" s="199"/>
      <c r="AD399" s="199"/>
      <c r="AE399" s="199"/>
      <c r="AF399" s="199" t="s">
        <v>862</v>
      </c>
      <c r="AG399" s="199"/>
      <c r="AH399" s="199"/>
      <c r="AI399" s="199"/>
      <c r="AJ399" s="198"/>
      <c r="AK399" s="199"/>
      <c r="AL399" s="199"/>
      <c r="AM399" s="199"/>
      <c r="AN399" s="199"/>
      <c r="AO399" s="199"/>
      <c r="AP399" s="199"/>
      <c r="AQ399" s="199"/>
      <c r="AR399" s="199"/>
      <c r="AS399" s="199"/>
      <c r="AT399" s="199"/>
      <c r="AU399" s="199"/>
      <c r="AV399" s="199"/>
      <c r="AW399" s="155"/>
    </row>
    <row r="400" spans="1:49" s="236" customFormat="1" ht="26.4">
      <c r="A400" s="40">
        <f t="shared" si="21"/>
        <v>394</v>
      </c>
      <c r="B400" s="199"/>
      <c r="C400" s="199"/>
      <c r="D400" s="199"/>
      <c r="E400" s="199"/>
      <c r="F400" s="199"/>
      <c r="G400" s="199"/>
      <c r="H400" s="199"/>
      <c r="I400" s="199"/>
      <c r="J400" s="215" t="s">
        <v>4047</v>
      </c>
      <c r="K400" s="199"/>
      <c r="L400" s="201" t="s">
        <v>4048</v>
      </c>
      <c r="M400" s="201"/>
      <c r="N400" s="126" t="s">
        <v>433</v>
      </c>
      <c r="O400" s="199" t="s">
        <v>862</v>
      </c>
      <c r="P400" s="199"/>
      <c r="Q400" s="126" t="s">
        <v>6</v>
      </c>
      <c r="R400" s="199"/>
      <c r="S400" s="199"/>
      <c r="T400" s="126"/>
      <c r="U400" s="200" t="s">
        <v>595</v>
      </c>
      <c r="V400" s="218"/>
      <c r="W400" s="199"/>
      <c r="X400" s="199" t="s">
        <v>862</v>
      </c>
      <c r="Y400" s="199"/>
      <c r="Z400" s="255"/>
      <c r="AA400" s="199"/>
      <c r="AB400" s="198"/>
      <c r="AC400" s="199"/>
      <c r="AD400" s="199"/>
      <c r="AE400" s="199"/>
      <c r="AF400" s="199" t="s">
        <v>862</v>
      </c>
      <c r="AG400" s="199"/>
      <c r="AH400" s="199"/>
      <c r="AI400" s="199"/>
      <c r="AJ400" s="198"/>
      <c r="AK400" s="199"/>
      <c r="AL400" s="199"/>
      <c r="AM400" s="199"/>
      <c r="AN400" s="199"/>
      <c r="AO400" s="199"/>
      <c r="AP400" s="199"/>
      <c r="AQ400" s="199"/>
      <c r="AR400" s="199"/>
      <c r="AS400" s="199"/>
      <c r="AT400" s="199"/>
      <c r="AU400" s="199"/>
      <c r="AV400" s="199"/>
      <c r="AW400" s="155"/>
    </row>
    <row r="401" spans="1:49" s="236" customFormat="1" ht="15">
      <c r="A401" s="40">
        <f t="shared" si="21"/>
        <v>395</v>
      </c>
      <c r="B401" s="199"/>
      <c r="C401" s="199"/>
      <c r="D401" s="199"/>
      <c r="E401" s="199"/>
      <c r="F401" s="199"/>
      <c r="G401" s="199"/>
      <c r="H401" s="199"/>
      <c r="I401" s="199"/>
      <c r="J401" s="201" t="s">
        <v>4049</v>
      </c>
      <c r="K401" s="199"/>
      <c r="L401" s="201" t="s">
        <v>4048</v>
      </c>
      <c r="M401" s="201"/>
      <c r="N401" s="126" t="s">
        <v>433</v>
      </c>
      <c r="O401" s="199" t="s">
        <v>862</v>
      </c>
      <c r="P401" s="199"/>
      <c r="Q401" s="126"/>
      <c r="R401" s="199"/>
      <c r="S401" s="199"/>
      <c r="T401" s="126"/>
      <c r="U401" s="218"/>
      <c r="V401" s="218"/>
      <c r="W401" s="199"/>
      <c r="X401" s="199" t="s">
        <v>862</v>
      </c>
      <c r="Y401" s="199"/>
      <c r="Z401" s="255"/>
      <c r="AA401" s="199"/>
      <c r="AB401" s="198"/>
      <c r="AC401" s="199"/>
      <c r="AD401" s="199"/>
      <c r="AE401" s="199"/>
      <c r="AF401" s="199" t="s">
        <v>862</v>
      </c>
      <c r="AG401" s="199"/>
      <c r="AH401" s="199"/>
      <c r="AI401" s="199"/>
      <c r="AJ401" s="198"/>
      <c r="AK401" s="199"/>
      <c r="AL401" s="199"/>
      <c r="AM401" s="199"/>
      <c r="AN401" s="199"/>
      <c r="AO401" s="199"/>
      <c r="AP401" s="199"/>
      <c r="AQ401" s="199"/>
      <c r="AR401" s="199"/>
      <c r="AS401" s="199"/>
      <c r="AT401" s="199"/>
      <c r="AU401" s="199"/>
      <c r="AV401" s="199"/>
      <c r="AW401" s="155"/>
    </row>
    <row r="402" spans="1:49" s="236" customFormat="1" ht="26.4">
      <c r="A402" s="40">
        <f t="shared" si="21"/>
        <v>396</v>
      </c>
      <c r="B402" s="199"/>
      <c r="C402" s="199"/>
      <c r="D402" s="199"/>
      <c r="E402" s="199"/>
      <c r="F402" s="199"/>
      <c r="G402" s="199"/>
      <c r="H402" s="199"/>
      <c r="I402" s="199"/>
      <c r="J402" s="215" t="s">
        <v>4050</v>
      </c>
      <c r="K402" s="199"/>
      <c r="L402" s="201" t="s">
        <v>4051</v>
      </c>
      <c r="M402" s="201"/>
      <c r="N402" s="126" t="s">
        <v>433</v>
      </c>
      <c r="O402" s="199" t="s">
        <v>862</v>
      </c>
      <c r="P402" s="199"/>
      <c r="Q402" s="126" t="s">
        <v>6</v>
      </c>
      <c r="R402" s="199"/>
      <c r="S402" s="199"/>
      <c r="T402" s="126"/>
      <c r="U402" s="200" t="s">
        <v>595</v>
      </c>
      <c r="V402" s="218"/>
      <c r="W402" s="199"/>
      <c r="X402" s="199" t="s">
        <v>862</v>
      </c>
      <c r="Y402" s="199"/>
      <c r="Z402" s="255"/>
      <c r="AA402" s="199"/>
      <c r="AB402" s="198"/>
      <c r="AC402" s="199"/>
      <c r="AD402" s="199"/>
      <c r="AE402" s="199"/>
      <c r="AF402" s="199" t="s">
        <v>862</v>
      </c>
      <c r="AG402" s="199"/>
      <c r="AH402" s="199"/>
      <c r="AI402" s="199"/>
      <c r="AJ402" s="198"/>
      <c r="AK402" s="199"/>
      <c r="AL402" s="199"/>
      <c r="AM402" s="199"/>
      <c r="AN402" s="199"/>
      <c r="AO402" s="199"/>
      <c r="AP402" s="199"/>
      <c r="AQ402" s="199"/>
      <c r="AR402" s="199"/>
      <c r="AS402" s="199"/>
      <c r="AT402" s="199"/>
      <c r="AU402" s="199"/>
      <c r="AV402" s="199"/>
      <c r="AW402" s="155"/>
    </row>
    <row r="403" spans="1:49" s="236" customFormat="1" ht="15">
      <c r="A403" s="40">
        <f t="shared" si="21"/>
        <v>397</v>
      </c>
      <c r="B403" s="199"/>
      <c r="C403" s="199"/>
      <c r="D403" s="199"/>
      <c r="E403" s="199"/>
      <c r="F403" s="199"/>
      <c r="G403" s="199"/>
      <c r="H403" s="199"/>
      <c r="I403" s="199"/>
      <c r="J403" s="201" t="s">
        <v>4052</v>
      </c>
      <c r="K403" s="199"/>
      <c r="L403" s="201" t="s">
        <v>4051</v>
      </c>
      <c r="M403" s="201"/>
      <c r="N403" s="126" t="s">
        <v>433</v>
      </c>
      <c r="O403" s="199" t="s">
        <v>862</v>
      </c>
      <c r="P403" s="199"/>
      <c r="Q403" s="126"/>
      <c r="R403" s="199"/>
      <c r="S403" s="199"/>
      <c r="T403" s="126"/>
      <c r="U403" s="218"/>
      <c r="V403" s="218"/>
      <c r="W403" s="199"/>
      <c r="X403" s="199" t="s">
        <v>862</v>
      </c>
      <c r="Y403" s="199"/>
      <c r="Z403" s="255"/>
      <c r="AA403" s="199"/>
      <c r="AB403" s="198"/>
      <c r="AC403" s="199"/>
      <c r="AD403" s="199"/>
      <c r="AE403" s="199"/>
      <c r="AF403" s="199" t="s">
        <v>862</v>
      </c>
      <c r="AG403" s="199"/>
      <c r="AH403" s="199"/>
      <c r="AI403" s="199"/>
      <c r="AJ403" s="198"/>
      <c r="AK403" s="199"/>
      <c r="AL403" s="199"/>
      <c r="AM403" s="199"/>
      <c r="AN403" s="199"/>
      <c r="AO403" s="199"/>
      <c r="AP403" s="199"/>
      <c r="AQ403" s="199"/>
      <c r="AR403" s="199"/>
      <c r="AS403" s="199"/>
      <c r="AT403" s="199"/>
      <c r="AU403" s="199"/>
      <c r="AV403" s="199"/>
      <c r="AW403" s="155"/>
    </row>
    <row r="404" spans="1:49" s="236" customFormat="1" ht="26.4">
      <c r="A404" s="40">
        <f t="shared" si="21"/>
        <v>398</v>
      </c>
      <c r="B404" s="199"/>
      <c r="C404" s="199"/>
      <c r="D404" s="199"/>
      <c r="E404" s="199"/>
      <c r="F404" s="199"/>
      <c r="G404" s="199"/>
      <c r="H404" s="199"/>
      <c r="I404" s="199"/>
      <c r="J404" s="215" t="s">
        <v>581</v>
      </c>
      <c r="K404" s="199"/>
      <c r="L404" s="201" t="s">
        <v>4053</v>
      </c>
      <c r="M404" s="201"/>
      <c r="N404" s="126" t="s">
        <v>433</v>
      </c>
      <c r="O404" s="199" t="s">
        <v>862</v>
      </c>
      <c r="P404" s="199"/>
      <c r="Q404" s="126" t="s">
        <v>6</v>
      </c>
      <c r="R404" s="199"/>
      <c r="S404" s="199"/>
      <c r="T404" s="126"/>
      <c r="U404" s="218" t="s">
        <v>515</v>
      </c>
      <c r="V404" s="218"/>
      <c r="W404" s="199"/>
      <c r="X404" s="199" t="s">
        <v>862</v>
      </c>
      <c r="Y404" s="199"/>
      <c r="Z404" s="255"/>
      <c r="AA404" s="199"/>
      <c r="AB404" s="204" t="s">
        <v>835</v>
      </c>
      <c r="AC404" s="199"/>
      <c r="AD404" s="199"/>
      <c r="AE404" s="199"/>
      <c r="AF404" s="199" t="s">
        <v>862</v>
      </c>
      <c r="AG404" s="199"/>
      <c r="AH404" s="199"/>
      <c r="AI404" s="199"/>
      <c r="AJ404" s="204" t="s">
        <v>835</v>
      </c>
      <c r="AK404" s="199"/>
      <c r="AL404" s="199"/>
      <c r="AM404" s="199"/>
      <c r="AN404" s="199"/>
      <c r="AO404" s="199"/>
      <c r="AP404" s="199"/>
      <c r="AQ404" s="199"/>
      <c r="AR404" s="199"/>
      <c r="AS404" s="199"/>
      <c r="AT404" s="199"/>
      <c r="AU404" s="199"/>
      <c r="AV404" s="199"/>
      <c r="AW404" s="155"/>
    </row>
    <row r="405" spans="1:49" s="236" customFormat="1" ht="15">
      <c r="A405" s="40">
        <f t="shared" si="21"/>
        <v>399</v>
      </c>
      <c r="B405" s="199"/>
      <c r="C405" s="199"/>
      <c r="D405" s="199"/>
      <c r="E405" s="199"/>
      <c r="F405" s="199"/>
      <c r="G405" s="199"/>
      <c r="H405" s="199"/>
      <c r="I405" s="199"/>
      <c r="J405" s="201" t="s">
        <v>4054</v>
      </c>
      <c r="K405" s="199"/>
      <c r="L405" s="201" t="s">
        <v>4053</v>
      </c>
      <c r="M405" s="201"/>
      <c r="N405" s="126" t="s">
        <v>433</v>
      </c>
      <c r="O405" s="199" t="s">
        <v>862</v>
      </c>
      <c r="P405" s="199"/>
      <c r="Q405" s="126"/>
      <c r="R405" s="199"/>
      <c r="S405" s="199"/>
      <c r="T405" s="126"/>
      <c r="U405" s="218" t="s">
        <v>560</v>
      </c>
      <c r="V405" s="218"/>
      <c r="W405" s="199"/>
      <c r="X405" s="199" t="s">
        <v>862</v>
      </c>
      <c r="Y405" s="199"/>
      <c r="Z405" s="255"/>
      <c r="AA405" s="199"/>
      <c r="AB405" s="204" t="s">
        <v>835</v>
      </c>
      <c r="AC405" s="199"/>
      <c r="AD405" s="199"/>
      <c r="AE405" s="199"/>
      <c r="AF405" s="199" t="s">
        <v>862</v>
      </c>
      <c r="AG405" s="199"/>
      <c r="AH405" s="199"/>
      <c r="AI405" s="199"/>
      <c r="AJ405" s="204" t="s">
        <v>835</v>
      </c>
      <c r="AK405" s="199"/>
      <c r="AL405" s="199"/>
      <c r="AM405" s="199"/>
      <c r="AN405" s="199"/>
      <c r="AO405" s="199"/>
      <c r="AP405" s="199"/>
      <c r="AQ405" s="199"/>
      <c r="AR405" s="199"/>
      <c r="AS405" s="199"/>
      <c r="AT405" s="199"/>
      <c r="AU405" s="199"/>
      <c r="AV405" s="199"/>
      <c r="AW405" s="155"/>
    </row>
    <row r="406" spans="1:49" s="236" customFormat="1" ht="26.4">
      <c r="A406" s="40">
        <f t="shared" si="21"/>
        <v>400</v>
      </c>
      <c r="B406" s="199"/>
      <c r="C406" s="199"/>
      <c r="D406" s="199"/>
      <c r="E406" s="199"/>
      <c r="F406" s="199"/>
      <c r="G406" s="199"/>
      <c r="H406" s="199"/>
      <c r="I406" s="199"/>
      <c r="J406" s="215" t="s">
        <v>583</v>
      </c>
      <c r="K406" s="199"/>
      <c r="L406" s="201" t="s">
        <v>4055</v>
      </c>
      <c r="M406" s="201"/>
      <c r="N406" s="126" t="s">
        <v>433</v>
      </c>
      <c r="O406" s="199" t="s">
        <v>862</v>
      </c>
      <c r="P406" s="199"/>
      <c r="Q406" s="126" t="s">
        <v>6</v>
      </c>
      <c r="R406" s="199"/>
      <c r="S406" s="199"/>
      <c r="T406" s="126"/>
      <c r="U406" s="218" t="s">
        <v>515</v>
      </c>
      <c r="V406" s="218"/>
      <c r="W406" s="199"/>
      <c r="X406" s="199" t="s">
        <v>862</v>
      </c>
      <c r="Y406" s="199"/>
      <c r="Z406" s="255"/>
      <c r="AA406" s="199"/>
      <c r="AB406" s="204" t="s">
        <v>835</v>
      </c>
      <c r="AC406" s="199"/>
      <c r="AD406" s="199"/>
      <c r="AE406" s="199"/>
      <c r="AF406" s="199" t="s">
        <v>862</v>
      </c>
      <c r="AG406" s="199"/>
      <c r="AH406" s="199"/>
      <c r="AI406" s="199"/>
      <c r="AJ406" s="204" t="s">
        <v>835</v>
      </c>
      <c r="AK406" s="199"/>
      <c r="AL406" s="199"/>
      <c r="AM406" s="199"/>
      <c r="AN406" s="199"/>
      <c r="AO406" s="199"/>
      <c r="AP406" s="199"/>
      <c r="AQ406" s="199"/>
      <c r="AR406" s="199"/>
      <c r="AS406" s="199"/>
      <c r="AT406" s="199"/>
      <c r="AU406" s="199"/>
      <c r="AV406" s="199"/>
      <c r="AW406" s="155"/>
    </row>
    <row r="407" spans="1:49" s="236" customFormat="1" ht="15">
      <c r="A407" s="40">
        <f t="shared" si="21"/>
        <v>401</v>
      </c>
      <c r="B407" s="199"/>
      <c r="C407" s="199"/>
      <c r="D407" s="199"/>
      <c r="E407" s="199"/>
      <c r="F407" s="199"/>
      <c r="G407" s="199"/>
      <c r="H407" s="199"/>
      <c r="I407" s="199"/>
      <c r="J407" s="201" t="s">
        <v>4056</v>
      </c>
      <c r="K407" s="199"/>
      <c r="L407" s="201" t="s">
        <v>4055</v>
      </c>
      <c r="M407" s="201"/>
      <c r="N407" s="126" t="s">
        <v>433</v>
      </c>
      <c r="O407" s="199" t="s">
        <v>862</v>
      </c>
      <c r="P407" s="199"/>
      <c r="Q407" s="126"/>
      <c r="R407" s="199"/>
      <c r="S407" s="199"/>
      <c r="T407" s="126"/>
      <c r="U407" s="218" t="s">
        <v>560</v>
      </c>
      <c r="V407" s="218"/>
      <c r="W407" s="199"/>
      <c r="X407" s="199" t="s">
        <v>862</v>
      </c>
      <c r="Y407" s="199"/>
      <c r="Z407" s="255"/>
      <c r="AA407" s="199"/>
      <c r="AB407" s="204" t="s">
        <v>835</v>
      </c>
      <c r="AC407" s="199"/>
      <c r="AD407" s="199"/>
      <c r="AE407" s="199"/>
      <c r="AF407" s="199" t="s">
        <v>862</v>
      </c>
      <c r="AG407" s="199"/>
      <c r="AH407" s="199"/>
      <c r="AI407" s="199"/>
      <c r="AJ407" s="204" t="s">
        <v>835</v>
      </c>
      <c r="AK407" s="199"/>
      <c r="AL407" s="199"/>
      <c r="AM407" s="199"/>
      <c r="AN407" s="199"/>
      <c r="AO407" s="199"/>
      <c r="AP407" s="199"/>
      <c r="AQ407" s="199"/>
      <c r="AR407" s="199"/>
      <c r="AS407" s="199"/>
      <c r="AT407" s="199"/>
      <c r="AU407" s="199"/>
      <c r="AV407" s="199"/>
      <c r="AW407" s="155"/>
    </row>
    <row r="408" spans="1:49" s="236" customFormat="1" ht="26.4">
      <c r="A408" s="40">
        <f t="shared" si="21"/>
        <v>402</v>
      </c>
      <c r="B408" s="199"/>
      <c r="C408" s="199"/>
      <c r="D408" s="199"/>
      <c r="E408" s="199"/>
      <c r="F408" s="199"/>
      <c r="G408" s="199"/>
      <c r="H408" s="199"/>
      <c r="I408" s="199"/>
      <c r="J408" s="215" t="s">
        <v>585</v>
      </c>
      <c r="K408" s="199"/>
      <c r="L408" s="201" t="s">
        <v>4057</v>
      </c>
      <c r="M408" s="201"/>
      <c r="N408" s="126" t="s">
        <v>433</v>
      </c>
      <c r="O408" s="199" t="s">
        <v>862</v>
      </c>
      <c r="P408" s="199"/>
      <c r="Q408" s="126" t="s">
        <v>6</v>
      </c>
      <c r="R408" s="199"/>
      <c r="S408" s="199"/>
      <c r="T408" s="126"/>
      <c r="U408" s="218" t="s">
        <v>515</v>
      </c>
      <c r="V408" s="218"/>
      <c r="W408" s="199"/>
      <c r="X408" s="199" t="s">
        <v>862</v>
      </c>
      <c r="Y408" s="199"/>
      <c r="Z408" s="255"/>
      <c r="AA408" s="199"/>
      <c r="AB408" s="204" t="s">
        <v>835</v>
      </c>
      <c r="AC408" s="199"/>
      <c r="AD408" s="199"/>
      <c r="AE408" s="199"/>
      <c r="AF408" s="199" t="s">
        <v>862</v>
      </c>
      <c r="AG408" s="199"/>
      <c r="AH408" s="199"/>
      <c r="AI408" s="199"/>
      <c r="AJ408" s="204" t="s">
        <v>835</v>
      </c>
      <c r="AK408" s="199"/>
      <c r="AL408" s="199"/>
      <c r="AM408" s="199"/>
      <c r="AN408" s="199"/>
      <c r="AO408" s="199"/>
      <c r="AP408" s="199"/>
      <c r="AQ408" s="199"/>
      <c r="AR408" s="199"/>
      <c r="AS408" s="199"/>
      <c r="AT408" s="199"/>
      <c r="AU408" s="199"/>
      <c r="AV408" s="199"/>
      <c r="AW408" s="155"/>
    </row>
    <row r="409" spans="1:49" s="236" customFormat="1" ht="15">
      <c r="A409" s="40">
        <f t="shared" si="21"/>
        <v>403</v>
      </c>
      <c r="B409" s="199"/>
      <c r="C409" s="199"/>
      <c r="D409" s="199"/>
      <c r="E409" s="199"/>
      <c r="F409" s="199"/>
      <c r="G409" s="199"/>
      <c r="H409" s="199"/>
      <c r="I409" s="199"/>
      <c r="J409" s="201" t="s">
        <v>4058</v>
      </c>
      <c r="K409" s="199"/>
      <c r="L409" s="201" t="s">
        <v>4057</v>
      </c>
      <c r="M409" s="201"/>
      <c r="N409" s="126" t="s">
        <v>433</v>
      </c>
      <c r="O409" s="199" t="s">
        <v>862</v>
      </c>
      <c r="P409" s="199"/>
      <c r="Q409" s="126"/>
      <c r="R409" s="199"/>
      <c r="S409" s="199"/>
      <c r="T409" s="126"/>
      <c r="U409" s="218" t="s">
        <v>560</v>
      </c>
      <c r="V409" s="218"/>
      <c r="W409" s="199"/>
      <c r="X409" s="199" t="s">
        <v>862</v>
      </c>
      <c r="Y409" s="199"/>
      <c r="Z409" s="255"/>
      <c r="AA409" s="199"/>
      <c r="AB409" s="204" t="s">
        <v>835</v>
      </c>
      <c r="AC409" s="199"/>
      <c r="AD409" s="199"/>
      <c r="AE409" s="199"/>
      <c r="AF409" s="199" t="s">
        <v>862</v>
      </c>
      <c r="AG409" s="199"/>
      <c r="AH409" s="199"/>
      <c r="AI409" s="199"/>
      <c r="AJ409" s="204" t="s">
        <v>835</v>
      </c>
      <c r="AK409" s="199"/>
      <c r="AL409" s="199"/>
      <c r="AM409" s="199"/>
      <c r="AN409" s="199"/>
      <c r="AO409" s="199"/>
      <c r="AP409" s="199"/>
      <c r="AQ409" s="199"/>
      <c r="AR409" s="199"/>
      <c r="AS409" s="199"/>
      <c r="AT409" s="199"/>
      <c r="AU409" s="199"/>
      <c r="AV409" s="199"/>
      <c r="AW409" s="155"/>
    </row>
    <row r="410" spans="1:49" s="236" customFormat="1" ht="26.4">
      <c r="A410" s="40">
        <f t="shared" si="21"/>
        <v>404</v>
      </c>
      <c r="B410" s="199"/>
      <c r="C410" s="199"/>
      <c r="D410" s="199"/>
      <c r="E410" s="199"/>
      <c r="F410" s="199"/>
      <c r="G410" s="199"/>
      <c r="H410" s="199"/>
      <c r="I410" s="199"/>
      <c r="J410" s="215" t="s">
        <v>587</v>
      </c>
      <c r="K410" s="204"/>
      <c r="L410" s="204" t="s">
        <v>4059</v>
      </c>
      <c r="M410" s="204"/>
      <c r="N410" s="126" t="s">
        <v>433</v>
      </c>
      <c r="O410" s="199" t="s">
        <v>862</v>
      </c>
      <c r="P410" s="199"/>
      <c r="Q410" s="126" t="s">
        <v>6</v>
      </c>
      <c r="R410" s="199"/>
      <c r="S410" s="199"/>
      <c r="T410" s="126"/>
      <c r="U410" s="218" t="s">
        <v>515</v>
      </c>
      <c r="V410" s="204"/>
      <c r="W410" s="204"/>
      <c r="X410" s="199" t="s">
        <v>862</v>
      </c>
      <c r="Y410" s="199"/>
      <c r="Z410" s="255"/>
      <c r="AA410" s="40"/>
      <c r="AB410" s="204" t="s">
        <v>835</v>
      </c>
      <c r="AC410" s="199"/>
      <c r="AD410" s="199"/>
      <c r="AE410" s="204"/>
      <c r="AF410" s="199" t="s">
        <v>862</v>
      </c>
      <c r="AG410" s="199"/>
      <c r="AH410" s="199"/>
      <c r="AI410" s="199"/>
      <c r="AJ410" s="204" t="s">
        <v>835</v>
      </c>
      <c r="AK410" s="199"/>
      <c r="AL410" s="199"/>
      <c r="AM410" s="199"/>
      <c r="AN410" s="199"/>
      <c r="AO410" s="199"/>
      <c r="AP410" s="199"/>
      <c r="AQ410" s="199"/>
      <c r="AR410" s="199"/>
      <c r="AS410" s="199"/>
      <c r="AT410" s="199"/>
      <c r="AU410" s="199"/>
      <c r="AV410" s="199"/>
      <c r="AW410" s="155"/>
    </row>
    <row r="411" spans="1:49" s="236" customFormat="1" ht="15">
      <c r="A411" s="40">
        <f t="shared" si="21"/>
        <v>405</v>
      </c>
      <c r="B411" s="199"/>
      <c r="C411" s="199"/>
      <c r="D411" s="199"/>
      <c r="E411" s="199"/>
      <c r="F411" s="199"/>
      <c r="G411" s="199"/>
      <c r="H411" s="199"/>
      <c r="I411" s="199"/>
      <c r="J411" s="215" t="s">
        <v>3672</v>
      </c>
      <c r="K411" s="204"/>
      <c r="L411" s="204" t="s">
        <v>4059</v>
      </c>
      <c r="M411" s="204"/>
      <c r="N411" s="126" t="s">
        <v>433</v>
      </c>
      <c r="O411" s="199" t="s">
        <v>862</v>
      </c>
      <c r="P411" s="199"/>
      <c r="Q411" s="126"/>
      <c r="R411" s="199"/>
      <c r="S411" s="199"/>
      <c r="T411" s="126"/>
      <c r="U411" s="218" t="s">
        <v>560</v>
      </c>
      <c r="V411" s="204"/>
      <c r="W411" s="204"/>
      <c r="X411" s="199" t="s">
        <v>862</v>
      </c>
      <c r="Y411" s="199"/>
      <c r="Z411" s="255"/>
      <c r="AA411" s="40"/>
      <c r="AB411" s="204" t="s">
        <v>835</v>
      </c>
      <c r="AC411" s="199"/>
      <c r="AD411" s="199"/>
      <c r="AE411" s="204"/>
      <c r="AF411" s="199" t="s">
        <v>862</v>
      </c>
      <c r="AG411" s="199"/>
      <c r="AH411" s="199"/>
      <c r="AI411" s="199"/>
      <c r="AJ411" s="204" t="s">
        <v>835</v>
      </c>
      <c r="AK411" s="199"/>
      <c r="AL411" s="199"/>
      <c r="AM411" s="199"/>
      <c r="AN411" s="199"/>
      <c r="AO411" s="199"/>
      <c r="AP411" s="199"/>
      <c r="AQ411" s="199"/>
      <c r="AR411" s="199"/>
      <c r="AS411" s="199"/>
      <c r="AT411" s="199"/>
      <c r="AU411" s="199"/>
      <c r="AV411" s="199"/>
      <c r="AW411" s="155"/>
    </row>
    <row r="412" spans="1:49" s="236" customFormat="1" ht="15">
      <c r="A412" s="40">
        <f t="shared" si="21"/>
        <v>406</v>
      </c>
      <c r="B412" s="199"/>
      <c r="C412" s="199"/>
      <c r="D412" s="199"/>
      <c r="E412" s="199"/>
      <c r="F412" s="199"/>
      <c r="G412" s="199"/>
      <c r="H412" s="199"/>
      <c r="I412" s="199"/>
      <c r="J412" s="239" t="s">
        <v>4060</v>
      </c>
      <c r="K412" s="199"/>
      <c r="L412" s="249" t="s">
        <v>863</v>
      </c>
      <c r="M412" s="249"/>
      <c r="N412" s="126" t="s">
        <v>413</v>
      </c>
      <c r="O412" s="199" t="s">
        <v>862</v>
      </c>
      <c r="P412" s="199"/>
      <c r="Q412" s="126"/>
      <c r="R412" s="199"/>
      <c r="S412" s="199"/>
      <c r="T412" s="126"/>
      <c r="U412" s="202"/>
      <c r="V412" s="202"/>
      <c r="W412" s="199"/>
      <c r="X412" s="199" t="s">
        <v>862</v>
      </c>
      <c r="Y412" s="199"/>
      <c r="Z412" s="255"/>
      <c r="AA412" s="199"/>
      <c r="AB412" s="198"/>
      <c r="AC412" s="199"/>
      <c r="AD412" s="199"/>
      <c r="AE412" s="199"/>
      <c r="AF412" s="199" t="s">
        <v>862</v>
      </c>
      <c r="AG412" s="199"/>
      <c r="AH412" s="199"/>
      <c r="AI412" s="199"/>
      <c r="AJ412" s="198"/>
      <c r="AK412" s="199"/>
      <c r="AL412" s="199"/>
      <c r="AM412" s="199"/>
      <c r="AN412" s="199"/>
      <c r="AO412" s="199"/>
      <c r="AP412" s="199"/>
      <c r="AQ412" s="199"/>
      <c r="AR412" s="199"/>
      <c r="AS412" s="199"/>
      <c r="AT412" s="199"/>
      <c r="AU412" s="199"/>
      <c r="AV412" s="199"/>
      <c r="AW412" s="155"/>
    </row>
    <row r="413" spans="1:49" s="236" customFormat="1" ht="15">
      <c r="A413" s="40">
        <f t="shared" si="21"/>
        <v>407</v>
      </c>
      <c r="B413" s="199"/>
      <c r="C413" s="199"/>
      <c r="D413" s="199"/>
      <c r="E413" s="199"/>
      <c r="F413" s="199"/>
      <c r="G413" s="199"/>
      <c r="H413" s="199"/>
      <c r="I413" s="199"/>
      <c r="J413" s="239" t="s">
        <v>4061</v>
      </c>
      <c r="K413" s="199"/>
      <c r="L413" s="249" t="s">
        <v>3900</v>
      </c>
      <c r="M413" s="249"/>
      <c r="N413" s="126" t="s">
        <v>413</v>
      </c>
      <c r="O413" s="199" t="s">
        <v>862</v>
      </c>
      <c r="P413" s="199"/>
      <c r="Q413" s="126"/>
      <c r="R413" s="199"/>
      <c r="S413" s="199"/>
      <c r="T413" s="126"/>
      <c r="U413" s="202"/>
      <c r="V413" s="202"/>
      <c r="W413" s="199"/>
      <c r="X413" s="199" t="s">
        <v>862</v>
      </c>
      <c r="Y413" s="199"/>
      <c r="Z413" s="255"/>
      <c r="AA413" s="199"/>
      <c r="AB413" s="198"/>
      <c r="AC413" s="199"/>
      <c r="AD413" s="199"/>
      <c r="AE413" s="199"/>
      <c r="AF413" s="199" t="s">
        <v>862</v>
      </c>
      <c r="AG413" s="199"/>
      <c r="AH413" s="199"/>
      <c r="AI413" s="199"/>
      <c r="AJ413" s="198"/>
      <c r="AK413" s="199"/>
      <c r="AL413" s="199"/>
      <c r="AM413" s="199"/>
      <c r="AN413" s="199"/>
      <c r="AO413" s="199"/>
      <c r="AP413" s="199"/>
      <c r="AQ413" s="199"/>
      <c r="AR413" s="199"/>
      <c r="AS413" s="199"/>
      <c r="AT413" s="199"/>
      <c r="AU413" s="199"/>
      <c r="AV413" s="199"/>
      <c r="AW413" s="155"/>
    </row>
    <row r="414" spans="1:49" s="236" customFormat="1" ht="15">
      <c r="A414" s="40">
        <f t="shared" si="21"/>
        <v>408</v>
      </c>
      <c r="B414" s="199"/>
      <c r="C414" s="199"/>
      <c r="D414" s="199"/>
      <c r="E414" s="199"/>
      <c r="F414" s="199"/>
      <c r="G414" s="199"/>
      <c r="H414" s="199"/>
      <c r="I414" s="199"/>
      <c r="J414" s="239" t="s">
        <v>4062</v>
      </c>
      <c r="K414" s="199"/>
      <c r="L414" s="249" t="s">
        <v>4063</v>
      </c>
      <c r="M414" s="249"/>
      <c r="N414" s="126" t="s">
        <v>413</v>
      </c>
      <c r="O414" s="199" t="s">
        <v>862</v>
      </c>
      <c r="P414" s="199"/>
      <c r="Q414" s="126"/>
      <c r="R414" s="199"/>
      <c r="S414" s="199"/>
      <c r="T414" s="126"/>
      <c r="U414" s="202"/>
      <c r="V414" s="202"/>
      <c r="W414" s="199"/>
      <c r="X414" s="199" t="s">
        <v>862</v>
      </c>
      <c r="Y414" s="199"/>
      <c r="Z414" s="255"/>
      <c r="AA414" s="199"/>
      <c r="AB414" s="198"/>
      <c r="AC414" s="199"/>
      <c r="AD414" s="199"/>
      <c r="AE414" s="199"/>
      <c r="AF414" s="199" t="s">
        <v>862</v>
      </c>
      <c r="AG414" s="199"/>
      <c r="AH414" s="199"/>
      <c r="AI414" s="199"/>
      <c r="AJ414" s="198"/>
      <c r="AK414" s="199"/>
      <c r="AL414" s="199"/>
      <c r="AM414" s="199"/>
      <c r="AN414" s="199"/>
      <c r="AO414" s="199"/>
      <c r="AP414" s="199"/>
      <c r="AQ414" s="199"/>
      <c r="AR414" s="199"/>
      <c r="AS414" s="199"/>
      <c r="AT414" s="199"/>
      <c r="AU414" s="199"/>
      <c r="AV414" s="199"/>
      <c r="AW414" s="155"/>
    </row>
    <row r="415" spans="1:49" ht="15">
      <c r="AW415" s="155">
        <f t="shared" si="20"/>
        <v>0</v>
      </c>
    </row>
    <row r="416" spans="1:49" ht="15">
      <c r="AW416" s="155">
        <f t="shared" si="20"/>
        <v>0</v>
      </c>
    </row>
    <row r="417" spans="49:49" ht="15">
      <c r="AW417" s="155">
        <f t="shared" si="20"/>
        <v>0</v>
      </c>
    </row>
    <row r="418" spans="49:49" ht="15">
      <c r="AW418" s="155">
        <f t="shared" si="20"/>
        <v>0</v>
      </c>
    </row>
    <row r="419" spans="49:49" ht="15">
      <c r="AW419" s="155">
        <f t="shared" si="20"/>
        <v>0</v>
      </c>
    </row>
    <row r="420" spans="49:49" ht="15">
      <c r="AW420" s="155">
        <f t="shared" si="20"/>
        <v>0</v>
      </c>
    </row>
    <row r="421" spans="49:49" ht="15">
      <c r="AW421" s="155">
        <f t="shared" si="20"/>
        <v>0</v>
      </c>
    </row>
    <row r="422" spans="49:49" ht="15">
      <c r="AW422" s="155">
        <f t="shared" si="20"/>
        <v>0</v>
      </c>
    </row>
    <row r="423" spans="49:49" ht="15">
      <c r="AW423" s="155">
        <f t="shared" si="20"/>
        <v>0</v>
      </c>
    </row>
    <row r="424" spans="49:49" ht="15">
      <c r="AW424" s="155">
        <f t="shared" si="20"/>
        <v>0</v>
      </c>
    </row>
    <row r="425" spans="49:49" ht="15">
      <c r="AW425" s="155">
        <f t="shared" si="20"/>
        <v>0</v>
      </c>
    </row>
    <row r="426" spans="49:49" ht="15">
      <c r="AW426" s="155">
        <f t="shared" si="20"/>
        <v>0</v>
      </c>
    </row>
    <row r="427" spans="49:49" ht="15">
      <c r="AW427" s="155">
        <f t="shared" si="20"/>
        <v>0</v>
      </c>
    </row>
    <row r="428" spans="49:49" ht="15">
      <c r="AW428" s="155">
        <f t="shared" si="20"/>
        <v>0</v>
      </c>
    </row>
    <row r="429" spans="49:49" ht="15">
      <c r="AW429" s="155">
        <f t="shared" si="20"/>
        <v>0</v>
      </c>
    </row>
    <row r="430" spans="49:49" ht="15">
      <c r="AW430" s="155">
        <f t="shared" si="20"/>
        <v>0</v>
      </c>
    </row>
    <row r="431" spans="49:49" ht="15">
      <c r="AW431" s="155">
        <f t="shared" si="20"/>
        <v>0</v>
      </c>
    </row>
    <row r="432" spans="49:49" ht="15">
      <c r="AW432" s="155">
        <f t="shared" si="20"/>
        <v>0</v>
      </c>
    </row>
    <row r="433" spans="49:49" ht="15">
      <c r="AW433" s="155">
        <f t="shared" si="20"/>
        <v>0</v>
      </c>
    </row>
    <row r="434" spans="49:49" ht="15">
      <c r="AW434" s="155">
        <f t="shared" si="20"/>
        <v>0</v>
      </c>
    </row>
    <row r="435" spans="49:49" ht="15">
      <c r="AW435" s="155">
        <f t="shared" si="20"/>
        <v>0</v>
      </c>
    </row>
    <row r="436" spans="49:49" ht="15">
      <c r="AW436" s="155">
        <f t="shared" si="20"/>
        <v>0</v>
      </c>
    </row>
    <row r="437" spans="49:49" ht="15">
      <c r="AW437" s="155">
        <f t="shared" ref="AW437:AW500" si="22">LEN(L437)</f>
        <v>0</v>
      </c>
    </row>
    <row r="438" spans="49:49" ht="15">
      <c r="AW438" s="155">
        <f t="shared" si="22"/>
        <v>0</v>
      </c>
    </row>
    <row r="439" spans="49:49" ht="15">
      <c r="AW439" s="155">
        <f t="shared" si="22"/>
        <v>0</v>
      </c>
    </row>
    <row r="440" spans="49:49" ht="15">
      <c r="AW440" s="155">
        <f t="shared" si="22"/>
        <v>0</v>
      </c>
    </row>
    <row r="441" spans="49:49" ht="15">
      <c r="AW441" s="155">
        <f t="shared" si="22"/>
        <v>0</v>
      </c>
    </row>
    <row r="442" spans="49:49" ht="15">
      <c r="AW442" s="155">
        <f t="shared" si="22"/>
        <v>0</v>
      </c>
    </row>
    <row r="443" spans="49:49" ht="15">
      <c r="AW443" s="155">
        <f t="shared" si="22"/>
        <v>0</v>
      </c>
    </row>
    <row r="444" spans="49:49" ht="15">
      <c r="AW444" s="155">
        <f t="shared" si="22"/>
        <v>0</v>
      </c>
    </row>
    <row r="445" spans="49:49" ht="15">
      <c r="AW445" s="155">
        <f t="shared" si="22"/>
        <v>0</v>
      </c>
    </row>
    <row r="446" spans="49:49" ht="15">
      <c r="AW446" s="155">
        <f t="shared" si="22"/>
        <v>0</v>
      </c>
    </row>
    <row r="447" spans="49:49" ht="15">
      <c r="AW447" s="155">
        <f t="shared" si="22"/>
        <v>0</v>
      </c>
    </row>
    <row r="448" spans="49:49" ht="15">
      <c r="AW448" s="155">
        <f t="shared" si="22"/>
        <v>0</v>
      </c>
    </row>
    <row r="449" spans="49:49" ht="15">
      <c r="AW449" s="155">
        <f t="shared" si="22"/>
        <v>0</v>
      </c>
    </row>
    <row r="450" spans="49:49" ht="15">
      <c r="AW450" s="155">
        <f t="shared" si="22"/>
        <v>0</v>
      </c>
    </row>
    <row r="451" spans="49:49" ht="15">
      <c r="AW451" s="155">
        <f t="shared" si="22"/>
        <v>0</v>
      </c>
    </row>
    <row r="452" spans="49:49" ht="15">
      <c r="AW452" s="155">
        <f t="shared" si="22"/>
        <v>0</v>
      </c>
    </row>
    <row r="453" spans="49:49" ht="15">
      <c r="AW453" s="155">
        <f t="shared" si="22"/>
        <v>0</v>
      </c>
    </row>
    <row r="454" spans="49:49" ht="15">
      <c r="AW454" s="155">
        <f t="shared" si="22"/>
        <v>0</v>
      </c>
    </row>
    <row r="455" spans="49:49" ht="15">
      <c r="AW455" s="155">
        <f t="shared" si="22"/>
        <v>0</v>
      </c>
    </row>
    <row r="456" spans="49:49" ht="15">
      <c r="AW456" s="155">
        <f t="shared" si="22"/>
        <v>0</v>
      </c>
    </row>
    <row r="457" spans="49:49" ht="15">
      <c r="AW457" s="155">
        <f t="shared" si="22"/>
        <v>0</v>
      </c>
    </row>
    <row r="458" spans="49:49" ht="15">
      <c r="AW458" s="155">
        <f t="shared" si="22"/>
        <v>0</v>
      </c>
    </row>
    <row r="459" spans="49:49" ht="15">
      <c r="AW459" s="155">
        <f t="shared" si="22"/>
        <v>0</v>
      </c>
    </row>
    <row r="460" spans="49:49" ht="15">
      <c r="AW460" s="155">
        <f t="shared" si="22"/>
        <v>0</v>
      </c>
    </row>
    <row r="461" spans="49:49" ht="15">
      <c r="AW461" s="155">
        <f t="shared" si="22"/>
        <v>0</v>
      </c>
    </row>
    <row r="462" spans="49:49" ht="15">
      <c r="AW462" s="155">
        <f t="shared" si="22"/>
        <v>0</v>
      </c>
    </row>
    <row r="463" spans="49:49" ht="15">
      <c r="AW463" s="155">
        <f t="shared" si="22"/>
        <v>0</v>
      </c>
    </row>
    <row r="464" spans="49:49" ht="15">
      <c r="AW464" s="155">
        <f t="shared" si="22"/>
        <v>0</v>
      </c>
    </row>
    <row r="465" spans="49:49" ht="15">
      <c r="AW465" s="155">
        <f t="shared" si="22"/>
        <v>0</v>
      </c>
    </row>
    <row r="466" spans="49:49" ht="15">
      <c r="AW466" s="155">
        <f t="shared" si="22"/>
        <v>0</v>
      </c>
    </row>
    <row r="467" spans="49:49" ht="15">
      <c r="AW467" s="155">
        <f t="shared" si="22"/>
        <v>0</v>
      </c>
    </row>
    <row r="468" spans="49:49" ht="15">
      <c r="AW468" s="155">
        <f t="shared" si="22"/>
        <v>0</v>
      </c>
    </row>
    <row r="469" spans="49:49" ht="15">
      <c r="AW469" s="155">
        <f t="shared" si="22"/>
        <v>0</v>
      </c>
    </row>
    <row r="470" spans="49:49" ht="15">
      <c r="AW470" s="155">
        <f t="shared" si="22"/>
        <v>0</v>
      </c>
    </row>
    <row r="471" spans="49:49" ht="15">
      <c r="AW471" s="155">
        <f t="shared" si="22"/>
        <v>0</v>
      </c>
    </row>
    <row r="472" spans="49:49" ht="15">
      <c r="AW472" s="155">
        <f t="shared" si="22"/>
        <v>0</v>
      </c>
    </row>
    <row r="473" spans="49:49" ht="15">
      <c r="AW473" s="155">
        <f t="shared" si="22"/>
        <v>0</v>
      </c>
    </row>
    <row r="474" spans="49:49" ht="15">
      <c r="AW474" s="155">
        <f t="shared" si="22"/>
        <v>0</v>
      </c>
    </row>
    <row r="475" spans="49:49" ht="15">
      <c r="AW475" s="155">
        <f t="shared" si="22"/>
        <v>0</v>
      </c>
    </row>
    <row r="476" spans="49:49" ht="15">
      <c r="AW476" s="155">
        <f t="shared" si="22"/>
        <v>0</v>
      </c>
    </row>
    <row r="477" spans="49:49" ht="15">
      <c r="AW477" s="155">
        <f t="shared" si="22"/>
        <v>0</v>
      </c>
    </row>
    <row r="478" spans="49:49" ht="15">
      <c r="AW478" s="155">
        <f t="shared" si="22"/>
        <v>0</v>
      </c>
    </row>
    <row r="479" spans="49:49" ht="15">
      <c r="AW479" s="155">
        <f t="shared" si="22"/>
        <v>0</v>
      </c>
    </row>
    <row r="480" spans="49:49" ht="15">
      <c r="AW480" s="155">
        <f t="shared" si="22"/>
        <v>0</v>
      </c>
    </row>
    <row r="481" spans="49:49" ht="15">
      <c r="AW481" s="155">
        <f t="shared" si="22"/>
        <v>0</v>
      </c>
    </row>
    <row r="482" spans="49:49" ht="15">
      <c r="AW482" s="155">
        <f t="shared" si="22"/>
        <v>0</v>
      </c>
    </row>
    <row r="483" spans="49:49" ht="15">
      <c r="AW483" s="155">
        <f t="shared" si="22"/>
        <v>0</v>
      </c>
    </row>
    <row r="484" spans="49:49" ht="15">
      <c r="AW484" s="155">
        <f t="shared" si="22"/>
        <v>0</v>
      </c>
    </row>
    <row r="485" spans="49:49" ht="15">
      <c r="AW485" s="155">
        <f t="shared" si="22"/>
        <v>0</v>
      </c>
    </row>
    <row r="486" spans="49:49" ht="15">
      <c r="AW486" s="155">
        <f t="shared" si="22"/>
        <v>0</v>
      </c>
    </row>
    <row r="487" spans="49:49" ht="15">
      <c r="AW487" s="155">
        <f t="shared" si="22"/>
        <v>0</v>
      </c>
    </row>
    <row r="488" spans="49:49" ht="15">
      <c r="AW488" s="155">
        <f t="shared" si="22"/>
        <v>0</v>
      </c>
    </row>
    <row r="489" spans="49:49" ht="15">
      <c r="AW489" s="155">
        <f t="shared" si="22"/>
        <v>0</v>
      </c>
    </row>
    <row r="490" spans="49:49" ht="15">
      <c r="AW490" s="155">
        <f t="shared" si="22"/>
        <v>0</v>
      </c>
    </row>
    <row r="491" spans="49:49" ht="15">
      <c r="AW491" s="155">
        <f t="shared" si="22"/>
        <v>0</v>
      </c>
    </row>
    <row r="492" spans="49:49" ht="15">
      <c r="AW492" s="155">
        <f t="shared" si="22"/>
        <v>0</v>
      </c>
    </row>
    <row r="493" spans="49:49" ht="15">
      <c r="AW493" s="155">
        <f t="shared" si="22"/>
        <v>0</v>
      </c>
    </row>
    <row r="494" spans="49:49" ht="15">
      <c r="AW494" s="155">
        <f t="shared" si="22"/>
        <v>0</v>
      </c>
    </row>
    <row r="495" spans="49:49" ht="15">
      <c r="AW495" s="155">
        <f t="shared" si="22"/>
        <v>0</v>
      </c>
    </row>
    <row r="496" spans="49:49" ht="15">
      <c r="AW496" s="155">
        <f t="shared" si="22"/>
        <v>0</v>
      </c>
    </row>
    <row r="497" spans="49:49" ht="15">
      <c r="AW497" s="155">
        <f t="shared" si="22"/>
        <v>0</v>
      </c>
    </row>
    <row r="498" spans="49:49" ht="15">
      <c r="AW498" s="155">
        <f t="shared" si="22"/>
        <v>0</v>
      </c>
    </row>
    <row r="499" spans="49:49" ht="15">
      <c r="AW499" s="155">
        <f t="shared" si="22"/>
        <v>0</v>
      </c>
    </row>
    <row r="500" spans="49:49" ht="15">
      <c r="AW500" s="155">
        <f t="shared" si="22"/>
        <v>0</v>
      </c>
    </row>
    <row r="501" spans="49:49" ht="15">
      <c r="AW501" s="155">
        <f t="shared" ref="AW501:AW564" si="23">LEN(L501)</f>
        <v>0</v>
      </c>
    </row>
    <row r="502" spans="49:49" ht="15">
      <c r="AW502" s="155">
        <f t="shared" si="23"/>
        <v>0</v>
      </c>
    </row>
    <row r="503" spans="49:49" ht="15">
      <c r="AW503" s="155">
        <f t="shared" si="23"/>
        <v>0</v>
      </c>
    </row>
    <row r="504" spans="49:49" ht="15">
      <c r="AW504" s="155">
        <f t="shared" si="23"/>
        <v>0</v>
      </c>
    </row>
    <row r="505" spans="49:49" ht="15">
      <c r="AW505" s="155">
        <f t="shared" si="23"/>
        <v>0</v>
      </c>
    </row>
    <row r="506" spans="49:49" ht="15">
      <c r="AW506" s="155">
        <f t="shared" si="23"/>
        <v>0</v>
      </c>
    </row>
    <row r="507" spans="49:49" ht="15">
      <c r="AW507" s="155">
        <f t="shared" si="23"/>
        <v>0</v>
      </c>
    </row>
    <row r="508" spans="49:49" ht="15">
      <c r="AW508" s="155">
        <f t="shared" si="23"/>
        <v>0</v>
      </c>
    </row>
    <row r="509" spans="49:49" ht="15">
      <c r="AW509" s="155">
        <f t="shared" si="23"/>
        <v>0</v>
      </c>
    </row>
    <row r="510" spans="49:49" ht="15">
      <c r="AW510" s="155">
        <f t="shared" si="23"/>
        <v>0</v>
      </c>
    </row>
    <row r="511" spans="49:49" ht="15">
      <c r="AW511" s="155">
        <f t="shared" si="23"/>
        <v>0</v>
      </c>
    </row>
    <row r="512" spans="49:49" ht="15">
      <c r="AW512" s="155">
        <f t="shared" si="23"/>
        <v>0</v>
      </c>
    </row>
    <row r="513" spans="49:49" ht="15">
      <c r="AW513" s="155">
        <f t="shared" si="23"/>
        <v>0</v>
      </c>
    </row>
    <row r="514" spans="49:49" ht="15">
      <c r="AW514" s="155">
        <f t="shared" si="23"/>
        <v>0</v>
      </c>
    </row>
    <row r="515" spans="49:49" ht="15">
      <c r="AW515" s="155">
        <f t="shared" si="23"/>
        <v>0</v>
      </c>
    </row>
    <row r="516" spans="49:49" ht="15">
      <c r="AW516" s="155">
        <f t="shared" si="23"/>
        <v>0</v>
      </c>
    </row>
    <row r="517" spans="49:49" ht="15">
      <c r="AW517" s="155">
        <f t="shared" si="23"/>
        <v>0</v>
      </c>
    </row>
    <row r="518" spans="49:49" ht="15">
      <c r="AW518" s="155">
        <f t="shared" si="23"/>
        <v>0</v>
      </c>
    </row>
    <row r="519" spans="49:49" ht="15">
      <c r="AW519" s="155">
        <f t="shared" si="23"/>
        <v>0</v>
      </c>
    </row>
    <row r="520" spans="49:49" ht="15">
      <c r="AW520" s="155">
        <f t="shared" si="23"/>
        <v>0</v>
      </c>
    </row>
    <row r="521" spans="49:49" ht="15">
      <c r="AW521" s="155">
        <f t="shared" si="23"/>
        <v>0</v>
      </c>
    </row>
    <row r="522" spans="49:49" ht="15">
      <c r="AW522" s="155">
        <f t="shared" si="23"/>
        <v>0</v>
      </c>
    </row>
    <row r="523" spans="49:49" ht="15">
      <c r="AW523" s="155">
        <f t="shared" si="23"/>
        <v>0</v>
      </c>
    </row>
    <row r="524" spans="49:49" ht="15">
      <c r="AW524" s="155">
        <f t="shared" si="23"/>
        <v>0</v>
      </c>
    </row>
    <row r="525" spans="49:49" ht="15">
      <c r="AW525" s="155">
        <f t="shared" si="23"/>
        <v>0</v>
      </c>
    </row>
    <row r="526" spans="49:49" ht="15">
      <c r="AW526" s="155">
        <f t="shared" si="23"/>
        <v>0</v>
      </c>
    </row>
    <row r="527" spans="49:49" ht="15">
      <c r="AW527" s="155">
        <f t="shared" si="23"/>
        <v>0</v>
      </c>
    </row>
    <row r="528" spans="49:49" ht="15">
      <c r="AW528" s="155">
        <f t="shared" si="23"/>
        <v>0</v>
      </c>
    </row>
    <row r="529" spans="49:49" ht="15">
      <c r="AW529" s="155">
        <f t="shared" si="23"/>
        <v>0</v>
      </c>
    </row>
    <row r="530" spans="49:49" ht="15">
      <c r="AW530" s="155">
        <f t="shared" si="23"/>
        <v>0</v>
      </c>
    </row>
    <row r="531" spans="49:49" ht="15">
      <c r="AW531" s="155">
        <f t="shared" si="23"/>
        <v>0</v>
      </c>
    </row>
    <row r="532" spans="49:49" ht="15">
      <c r="AW532" s="155">
        <f t="shared" si="23"/>
        <v>0</v>
      </c>
    </row>
    <row r="533" spans="49:49" ht="15">
      <c r="AW533" s="155">
        <f t="shared" si="23"/>
        <v>0</v>
      </c>
    </row>
    <row r="534" spans="49:49" ht="15">
      <c r="AW534" s="155">
        <f t="shared" si="23"/>
        <v>0</v>
      </c>
    </row>
    <row r="535" spans="49:49" ht="15">
      <c r="AW535" s="155">
        <f t="shared" si="23"/>
        <v>0</v>
      </c>
    </row>
    <row r="536" spans="49:49" ht="15">
      <c r="AW536" s="155">
        <f t="shared" si="23"/>
        <v>0</v>
      </c>
    </row>
    <row r="537" spans="49:49" ht="15">
      <c r="AW537" s="155">
        <f t="shared" si="23"/>
        <v>0</v>
      </c>
    </row>
    <row r="538" spans="49:49" ht="15">
      <c r="AW538" s="155">
        <f t="shared" si="23"/>
        <v>0</v>
      </c>
    </row>
    <row r="539" spans="49:49" ht="15">
      <c r="AW539" s="155">
        <f t="shared" si="23"/>
        <v>0</v>
      </c>
    </row>
    <row r="540" spans="49:49" ht="15">
      <c r="AW540" s="155">
        <f t="shared" si="23"/>
        <v>0</v>
      </c>
    </row>
    <row r="541" spans="49:49" ht="15">
      <c r="AW541" s="155">
        <f t="shared" si="23"/>
        <v>0</v>
      </c>
    </row>
    <row r="542" spans="49:49" ht="15">
      <c r="AW542" s="155">
        <f t="shared" si="23"/>
        <v>0</v>
      </c>
    </row>
    <row r="543" spans="49:49" ht="15">
      <c r="AW543" s="155">
        <f t="shared" si="23"/>
        <v>0</v>
      </c>
    </row>
    <row r="544" spans="49:49" ht="15">
      <c r="AW544" s="155">
        <f t="shared" si="23"/>
        <v>0</v>
      </c>
    </row>
    <row r="545" spans="49:49" ht="15">
      <c r="AW545" s="155">
        <f t="shared" si="23"/>
        <v>0</v>
      </c>
    </row>
    <row r="546" spans="49:49" ht="15">
      <c r="AW546" s="155">
        <f t="shared" si="23"/>
        <v>0</v>
      </c>
    </row>
    <row r="547" spans="49:49" ht="15">
      <c r="AW547" s="155">
        <f t="shared" si="23"/>
        <v>0</v>
      </c>
    </row>
    <row r="548" spans="49:49" ht="15">
      <c r="AW548" s="155">
        <f t="shared" si="23"/>
        <v>0</v>
      </c>
    </row>
    <row r="549" spans="49:49" ht="15">
      <c r="AW549" s="155">
        <f t="shared" si="23"/>
        <v>0</v>
      </c>
    </row>
    <row r="550" spans="49:49" ht="15">
      <c r="AW550" s="155">
        <f t="shared" si="23"/>
        <v>0</v>
      </c>
    </row>
    <row r="551" spans="49:49" ht="15">
      <c r="AW551" s="155">
        <f t="shared" si="23"/>
        <v>0</v>
      </c>
    </row>
    <row r="552" spans="49:49" ht="15">
      <c r="AW552" s="155">
        <f t="shared" si="23"/>
        <v>0</v>
      </c>
    </row>
    <row r="553" spans="49:49" ht="15">
      <c r="AW553" s="155">
        <f t="shared" si="23"/>
        <v>0</v>
      </c>
    </row>
    <row r="554" spans="49:49" ht="15">
      <c r="AW554" s="155">
        <f t="shared" si="23"/>
        <v>0</v>
      </c>
    </row>
    <row r="555" spans="49:49" ht="15">
      <c r="AW555" s="155">
        <f t="shared" si="23"/>
        <v>0</v>
      </c>
    </row>
    <row r="556" spans="49:49" ht="15">
      <c r="AW556" s="155">
        <f t="shared" si="23"/>
        <v>0</v>
      </c>
    </row>
    <row r="557" spans="49:49" ht="15">
      <c r="AW557" s="155">
        <f t="shared" si="23"/>
        <v>0</v>
      </c>
    </row>
    <row r="558" spans="49:49" ht="15">
      <c r="AW558" s="155">
        <f t="shared" si="23"/>
        <v>0</v>
      </c>
    </row>
    <row r="559" spans="49:49" ht="15">
      <c r="AW559" s="155">
        <f t="shared" si="23"/>
        <v>0</v>
      </c>
    </row>
    <row r="560" spans="49:49" ht="15">
      <c r="AW560" s="155">
        <f t="shared" si="23"/>
        <v>0</v>
      </c>
    </row>
    <row r="561" spans="49:49" ht="15">
      <c r="AW561" s="155">
        <f t="shared" si="23"/>
        <v>0</v>
      </c>
    </row>
    <row r="562" spans="49:49" ht="15">
      <c r="AW562" s="155">
        <f t="shared" si="23"/>
        <v>0</v>
      </c>
    </row>
    <row r="563" spans="49:49" ht="15">
      <c r="AW563" s="155">
        <f t="shared" si="23"/>
        <v>0</v>
      </c>
    </row>
    <row r="564" spans="49:49" ht="15">
      <c r="AW564" s="155">
        <f t="shared" si="23"/>
        <v>0</v>
      </c>
    </row>
    <row r="565" spans="49:49" ht="15">
      <c r="AW565" s="155">
        <f t="shared" ref="AW565:AW619" si="24">LEN(L565)</f>
        <v>0</v>
      </c>
    </row>
    <row r="566" spans="49:49" ht="15">
      <c r="AW566" s="155">
        <f t="shared" si="24"/>
        <v>0</v>
      </c>
    </row>
    <row r="567" spans="49:49" ht="15">
      <c r="AW567" s="155">
        <f t="shared" si="24"/>
        <v>0</v>
      </c>
    </row>
    <row r="568" spans="49:49" ht="15">
      <c r="AW568" s="155">
        <f t="shared" si="24"/>
        <v>0</v>
      </c>
    </row>
    <row r="569" spans="49:49" ht="15">
      <c r="AW569" s="155">
        <f t="shared" si="24"/>
        <v>0</v>
      </c>
    </row>
    <row r="570" spans="49:49" ht="15">
      <c r="AW570" s="155">
        <f t="shared" si="24"/>
        <v>0</v>
      </c>
    </row>
    <row r="571" spans="49:49" ht="15">
      <c r="AW571" s="155">
        <f t="shared" si="24"/>
        <v>0</v>
      </c>
    </row>
    <row r="572" spans="49:49" ht="15">
      <c r="AW572" s="155">
        <f t="shared" si="24"/>
        <v>0</v>
      </c>
    </row>
    <row r="573" spans="49:49" ht="15">
      <c r="AW573" s="155">
        <f t="shared" si="24"/>
        <v>0</v>
      </c>
    </row>
    <row r="574" spans="49:49" ht="15">
      <c r="AW574" s="155">
        <f t="shared" si="24"/>
        <v>0</v>
      </c>
    </row>
    <row r="575" spans="49:49" ht="15">
      <c r="AW575" s="155">
        <f t="shared" si="24"/>
        <v>0</v>
      </c>
    </row>
    <row r="576" spans="49:49" ht="15">
      <c r="AW576" s="155">
        <f t="shared" si="24"/>
        <v>0</v>
      </c>
    </row>
    <row r="577" spans="49:49" ht="15">
      <c r="AW577" s="155">
        <f t="shared" si="24"/>
        <v>0</v>
      </c>
    </row>
    <row r="578" spans="49:49" ht="15">
      <c r="AW578" s="155">
        <f t="shared" si="24"/>
        <v>0</v>
      </c>
    </row>
    <row r="579" spans="49:49" ht="15">
      <c r="AW579" s="155">
        <f t="shared" si="24"/>
        <v>0</v>
      </c>
    </row>
    <row r="580" spans="49:49" ht="15">
      <c r="AW580" s="155">
        <f t="shared" si="24"/>
        <v>0</v>
      </c>
    </row>
    <row r="581" spans="49:49" ht="15">
      <c r="AW581" s="155">
        <f t="shared" si="24"/>
        <v>0</v>
      </c>
    </row>
    <row r="582" spans="49:49" ht="15">
      <c r="AW582" s="155">
        <f t="shared" si="24"/>
        <v>0</v>
      </c>
    </row>
    <row r="583" spans="49:49" ht="15">
      <c r="AW583" s="155">
        <f t="shared" si="24"/>
        <v>0</v>
      </c>
    </row>
    <row r="584" spans="49:49" ht="15">
      <c r="AW584" s="155">
        <f t="shared" si="24"/>
        <v>0</v>
      </c>
    </row>
    <row r="585" spans="49:49" ht="15">
      <c r="AW585" s="155">
        <f t="shared" si="24"/>
        <v>0</v>
      </c>
    </row>
    <row r="586" spans="49:49" ht="15">
      <c r="AW586" s="155">
        <f t="shared" si="24"/>
        <v>0</v>
      </c>
    </row>
    <row r="587" spans="49:49" ht="15">
      <c r="AW587" s="155">
        <f t="shared" si="24"/>
        <v>0</v>
      </c>
    </row>
    <row r="588" spans="49:49" ht="15">
      <c r="AW588" s="155">
        <f t="shared" si="24"/>
        <v>0</v>
      </c>
    </row>
    <row r="589" spans="49:49" ht="15">
      <c r="AW589" s="155">
        <f t="shared" si="24"/>
        <v>0</v>
      </c>
    </row>
    <row r="590" spans="49:49" ht="15">
      <c r="AW590" s="155">
        <f t="shared" si="24"/>
        <v>0</v>
      </c>
    </row>
    <row r="591" spans="49:49" ht="15">
      <c r="AW591" s="155">
        <f t="shared" si="24"/>
        <v>0</v>
      </c>
    </row>
    <row r="592" spans="49:49" ht="15">
      <c r="AW592" s="155">
        <f t="shared" si="24"/>
        <v>0</v>
      </c>
    </row>
    <row r="593" spans="49:49" ht="15">
      <c r="AW593" s="155">
        <f t="shared" si="24"/>
        <v>0</v>
      </c>
    </row>
    <row r="594" spans="49:49" ht="15">
      <c r="AW594" s="155">
        <f t="shared" si="24"/>
        <v>0</v>
      </c>
    </row>
    <row r="595" spans="49:49" ht="15">
      <c r="AW595" s="155">
        <f t="shared" si="24"/>
        <v>0</v>
      </c>
    </row>
    <row r="596" spans="49:49" ht="15">
      <c r="AW596" s="155">
        <f t="shared" si="24"/>
        <v>0</v>
      </c>
    </row>
    <row r="597" spans="49:49" ht="15">
      <c r="AW597" s="155">
        <f t="shared" si="24"/>
        <v>0</v>
      </c>
    </row>
    <row r="598" spans="49:49" ht="15">
      <c r="AW598" s="155">
        <f t="shared" si="24"/>
        <v>0</v>
      </c>
    </row>
    <row r="599" spans="49:49" ht="15">
      <c r="AW599" s="155">
        <f t="shared" si="24"/>
        <v>0</v>
      </c>
    </row>
    <row r="600" spans="49:49" ht="15">
      <c r="AW600" s="155">
        <f t="shared" si="24"/>
        <v>0</v>
      </c>
    </row>
    <row r="601" spans="49:49" ht="15">
      <c r="AW601" s="155">
        <f t="shared" si="24"/>
        <v>0</v>
      </c>
    </row>
    <row r="602" spans="49:49" ht="15">
      <c r="AW602" s="155">
        <f t="shared" si="24"/>
        <v>0</v>
      </c>
    </row>
    <row r="603" spans="49:49" ht="15">
      <c r="AW603" s="155">
        <f t="shared" si="24"/>
        <v>0</v>
      </c>
    </row>
    <row r="604" spans="49:49" ht="15">
      <c r="AW604" s="155">
        <f t="shared" si="24"/>
        <v>0</v>
      </c>
    </row>
    <row r="605" spans="49:49" ht="15">
      <c r="AW605" s="155">
        <f t="shared" si="24"/>
        <v>0</v>
      </c>
    </row>
    <row r="606" spans="49:49" ht="15">
      <c r="AW606" s="155">
        <f t="shared" si="24"/>
        <v>0</v>
      </c>
    </row>
    <row r="607" spans="49:49" ht="15">
      <c r="AW607" s="155">
        <f t="shared" si="24"/>
        <v>0</v>
      </c>
    </row>
    <row r="608" spans="49:49" ht="15">
      <c r="AW608" s="155">
        <f t="shared" si="24"/>
        <v>0</v>
      </c>
    </row>
    <row r="609" spans="49:49" ht="15">
      <c r="AW609" s="155">
        <f t="shared" si="24"/>
        <v>0</v>
      </c>
    </row>
    <row r="610" spans="49:49" ht="15">
      <c r="AW610" s="155">
        <f t="shared" si="24"/>
        <v>0</v>
      </c>
    </row>
    <row r="611" spans="49:49" ht="15">
      <c r="AW611" s="155">
        <f t="shared" si="24"/>
        <v>0</v>
      </c>
    </row>
    <row r="612" spans="49:49" ht="15">
      <c r="AW612" s="155">
        <f t="shared" si="24"/>
        <v>0</v>
      </c>
    </row>
    <row r="613" spans="49:49" ht="15">
      <c r="AW613" s="155">
        <f t="shared" si="24"/>
        <v>0</v>
      </c>
    </row>
    <row r="614" spans="49:49" ht="15">
      <c r="AW614" s="155">
        <f t="shared" si="24"/>
        <v>0</v>
      </c>
    </row>
    <row r="615" spans="49:49" ht="15">
      <c r="AW615" s="155">
        <f t="shared" si="24"/>
        <v>0</v>
      </c>
    </row>
    <row r="616" spans="49:49" ht="15">
      <c r="AW616" s="155">
        <f t="shared" si="24"/>
        <v>0</v>
      </c>
    </row>
    <row r="617" spans="49:49" ht="15">
      <c r="AW617" s="155">
        <f t="shared" si="24"/>
        <v>0</v>
      </c>
    </row>
    <row r="618" spans="49:49" ht="15">
      <c r="AW618" s="155">
        <f t="shared" si="24"/>
        <v>0</v>
      </c>
    </row>
    <row r="619" spans="49:49" ht="15">
      <c r="AW619" s="155">
        <f t="shared" si="24"/>
        <v>0</v>
      </c>
    </row>
  </sheetData>
  <mergeCells count="57">
    <mergeCell ref="F5:F6"/>
    <mergeCell ref="G5:G6"/>
    <mergeCell ref="B7:AV7"/>
    <mergeCell ref="AO4:AU4"/>
    <mergeCell ref="AO5:AO6"/>
    <mergeCell ref="AP5:AP6"/>
    <mergeCell ref="AT5:AT6"/>
    <mergeCell ref="AU5:AU6"/>
    <mergeCell ref="AQ5:AQ6"/>
    <mergeCell ref="AS5:AS6"/>
    <mergeCell ref="B4:C4"/>
    <mergeCell ref="B5:B6"/>
    <mergeCell ref="C5:C6"/>
    <mergeCell ref="D5:D6"/>
    <mergeCell ref="E5:E6"/>
    <mergeCell ref="W4:AD4"/>
    <mergeCell ref="CC5:CD5"/>
    <mergeCell ref="L5:L6"/>
    <mergeCell ref="K5:K6"/>
    <mergeCell ref="AJ5:AJ6"/>
    <mergeCell ref="BX5:BY5"/>
    <mergeCell ref="BF5:BS5"/>
    <mergeCell ref="BT5:BW5"/>
    <mergeCell ref="AK5:AK6"/>
    <mergeCell ref="AR5:AR6"/>
    <mergeCell ref="AL5:AL6"/>
    <mergeCell ref="AG5:AG6"/>
    <mergeCell ref="AE5:AE6"/>
    <mergeCell ref="AH5:AH6"/>
    <mergeCell ref="AI5:AI6"/>
    <mergeCell ref="AZ5:AZ6"/>
    <mergeCell ref="BZ5:CB5"/>
    <mergeCell ref="BA5:BE5"/>
    <mergeCell ref="AV5:AV6"/>
    <mergeCell ref="AX5:AX6"/>
    <mergeCell ref="H5:H6"/>
    <mergeCell ref="I5:I6"/>
    <mergeCell ref="Q5:Q6"/>
    <mergeCell ref="R5:R6"/>
    <mergeCell ref="V5:V6"/>
    <mergeCell ref="S5:S6"/>
    <mergeCell ref="P5:P6"/>
    <mergeCell ref="J5:J6"/>
    <mergeCell ref="N5:N6"/>
    <mergeCell ref="O5:O6"/>
    <mergeCell ref="U5:U6"/>
    <mergeCell ref="T5:T6"/>
    <mergeCell ref="AB5:AB6"/>
    <mergeCell ref="AC5:AC6"/>
    <mergeCell ref="AD5:AD6"/>
    <mergeCell ref="AF5:AF6"/>
    <mergeCell ref="AE4:AL4"/>
    <mergeCell ref="W5:W6"/>
    <mergeCell ref="X5:X6"/>
    <mergeCell ref="Y5:Y6"/>
    <mergeCell ref="Z5:Z6"/>
    <mergeCell ref="AA5:AA6"/>
  </mergeCells>
  <phoneticPr fontId="13" type="noConversion"/>
  <conditionalFormatting sqref="AW91 AW1:AW11 AW13:AW29 AW133:AW65530 AW104:AW109 AW101 AW99 AW93:AW97 AW32:AW86 AW113:AW126 AW130:AW131 AW128">
    <cfRule type="cellIs" dxfId="367" priority="59" stopIfTrue="1" operator="greaterThan">
      <formula>42</formula>
    </cfRule>
  </conditionalFormatting>
  <conditionalFormatting sqref="AW102">
    <cfRule type="cellIs" dxfId="366" priority="21" stopIfTrue="1" operator="greaterThan">
      <formula>42</formula>
    </cfRule>
  </conditionalFormatting>
  <conditionalFormatting sqref="AW103">
    <cfRule type="cellIs" dxfId="365" priority="20" stopIfTrue="1" operator="greaterThan">
      <formula>42</formula>
    </cfRule>
  </conditionalFormatting>
  <conditionalFormatting sqref="AW90">
    <cfRule type="cellIs" dxfId="364" priority="19" stopIfTrue="1" operator="greaterThan">
      <formula>42</formula>
    </cfRule>
  </conditionalFormatting>
  <conditionalFormatting sqref="AW89">
    <cfRule type="cellIs" dxfId="363" priority="18" stopIfTrue="1" operator="greaterThan">
      <formula>42</formula>
    </cfRule>
  </conditionalFormatting>
  <conditionalFormatting sqref="AW88">
    <cfRule type="cellIs" dxfId="362" priority="17" stopIfTrue="1" operator="greaterThan">
      <formula>42</formula>
    </cfRule>
  </conditionalFormatting>
  <conditionalFormatting sqref="AW87">
    <cfRule type="cellIs" dxfId="361" priority="16" stopIfTrue="1" operator="greaterThan">
      <formula>42</formula>
    </cfRule>
  </conditionalFormatting>
  <conditionalFormatting sqref="AW12">
    <cfRule type="cellIs" dxfId="360" priority="15" stopIfTrue="1" operator="greaterThan">
      <formula>42</formula>
    </cfRule>
  </conditionalFormatting>
  <conditionalFormatting sqref="AW31">
    <cfRule type="cellIs" dxfId="359" priority="14" stopIfTrue="1" operator="greaterThan">
      <formula>42</formula>
    </cfRule>
  </conditionalFormatting>
  <conditionalFormatting sqref="AW30">
    <cfRule type="cellIs" dxfId="358" priority="13" stopIfTrue="1" operator="greaterThan">
      <formula>42</formula>
    </cfRule>
  </conditionalFormatting>
  <conditionalFormatting sqref="AW92">
    <cfRule type="cellIs" dxfId="357" priority="12" stopIfTrue="1" operator="greaterThan">
      <formula>42</formula>
    </cfRule>
  </conditionalFormatting>
  <conditionalFormatting sqref="AW100">
    <cfRule type="cellIs" dxfId="356" priority="11" stopIfTrue="1" operator="greaterThan">
      <formula>42</formula>
    </cfRule>
  </conditionalFormatting>
  <conditionalFormatting sqref="AW98">
    <cfRule type="cellIs" dxfId="355" priority="10" stopIfTrue="1" operator="greaterThan">
      <formula>42</formula>
    </cfRule>
  </conditionalFormatting>
  <conditionalFormatting sqref="AW132">
    <cfRule type="cellIs" dxfId="354" priority="9" stopIfTrue="1" operator="greaterThan">
      <formula>42</formula>
    </cfRule>
  </conditionalFormatting>
  <conditionalFormatting sqref="AW110">
    <cfRule type="cellIs" dxfId="353" priority="8" stopIfTrue="1" operator="greaterThan">
      <formula>42</formula>
    </cfRule>
  </conditionalFormatting>
  <conditionalFormatting sqref="AW111">
    <cfRule type="cellIs" dxfId="352" priority="7" stopIfTrue="1" operator="greaterThan">
      <formula>42</formula>
    </cfRule>
  </conditionalFormatting>
  <conditionalFormatting sqref="AW112">
    <cfRule type="cellIs" dxfId="351" priority="6" stopIfTrue="1" operator="greaterThan">
      <formula>42</formula>
    </cfRule>
  </conditionalFormatting>
  <conditionalFormatting sqref="AW129">
    <cfRule type="cellIs" dxfId="350" priority="5" stopIfTrue="1" operator="greaterThan">
      <formula>42</formula>
    </cfRule>
  </conditionalFormatting>
  <conditionalFormatting sqref="AW127">
    <cfRule type="cellIs" dxfId="349" priority="4" stopIfTrue="1" operator="greaterThan">
      <formula>42</formula>
    </cfRule>
  </conditionalFormatting>
  <conditionalFormatting sqref="AW138:AW381">
    <cfRule type="cellIs" dxfId="348" priority="3" stopIfTrue="1" operator="greaterThan">
      <formula>42</formula>
    </cfRule>
  </conditionalFormatting>
  <conditionalFormatting sqref="AW395:AW414">
    <cfRule type="cellIs" dxfId="347" priority="2" stopIfTrue="1" operator="greaterThan">
      <formula>42</formula>
    </cfRule>
  </conditionalFormatting>
  <conditionalFormatting sqref="AW395:AW414">
    <cfRule type="cellIs" dxfId="346" priority="1" stopIfTrue="1" operator="greaterThan">
      <formula>42</formula>
    </cfRule>
  </conditionalFormatting>
  <dataValidations count="3">
    <dataValidation type="textLength" operator="lessThanOrEqual" allowBlank="1" showInputMessage="1" showErrorMessage="1" sqref="AO156:AT156 AO198:AT203 AO151:AT151 AO138:AT145" xr:uid="{00000000-0002-0000-0300-000000000000}">
      <formula1>4</formula1>
    </dataValidation>
    <dataValidation type="textLength" allowBlank="1" showInputMessage="1" showErrorMessage="1" sqref="AO152:AT155 AO379:AT380 AO157:AT197 AO146:AT150" xr:uid="{00000000-0002-0000-0300-000001000000}">
      <formula1>0</formula1>
      <formula2>4</formula2>
    </dataValidation>
    <dataValidation type="textLength" operator="lessThan" allowBlank="1" showInputMessage="1" showErrorMessage="1" error="text length exceeded" prompt="max. 64 charcters" sqref="B151:B158 C380 B379:C379 L298:L303 B145 B192:C201 C187:C189 C176 C178 C182 C170 C167 BB166 B162:B190 C163:C165 C145:C161 D156 B138:D143 D151 B148 L307:L312" xr:uid="{00000000-0002-0000-0300-000002000000}">
      <formula1>65</formula1>
    </dataValidation>
  </dataValidations>
  <pageMargins left="0.78740157499999996" right="0.78740157499999996" top="0.984251969" bottom="0.984251969" header="0.49212598499999999" footer="0.49212598499999999"/>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CI788"/>
  <sheetViews>
    <sheetView showGridLines="0" showRuler="0" topLeftCell="A4" zoomScale="70" zoomScaleNormal="70" zoomScalePageLayoutView="90" workbookViewId="0">
      <pane ySplit="3" topLeftCell="A303" activePane="bottomLeft" state="frozenSplit"/>
      <selection activeCell="A4" sqref="A4"/>
      <selection pane="bottomLeft" activeCell="M312" sqref="M312"/>
    </sheetView>
  </sheetViews>
  <sheetFormatPr defaultColWidth="9.109375" defaultRowHeight="13.2"/>
  <cols>
    <col min="1" max="1" width="4.88671875" style="144" customWidth="1"/>
    <col min="2" max="3" width="4.88671875" style="144" hidden="1" customWidth="1"/>
    <col min="4" max="4" width="28.109375" style="144" hidden="1" customWidth="1"/>
    <col min="5" max="5" width="22.109375" style="144" hidden="1" customWidth="1"/>
    <col min="6" max="7" width="4.109375" style="144" hidden="1" customWidth="1"/>
    <col min="8" max="8" width="31.33203125" style="144" hidden="1" customWidth="1"/>
    <col min="9" max="9" width="4.88671875" style="144" hidden="1" customWidth="1"/>
    <col min="10" max="10" width="47.109375" style="144" customWidth="1"/>
    <col min="11" max="11" width="22.6640625" style="144" bestFit="1" customWidth="1"/>
    <col min="12" max="12" width="42.33203125" style="144" bestFit="1" customWidth="1"/>
    <col min="13" max="13" width="42.33203125" style="144" customWidth="1"/>
    <col min="14" max="14" width="9" style="138" bestFit="1" customWidth="1"/>
    <col min="15" max="15" width="5.6640625" style="138" customWidth="1"/>
    <col min="16" max="16" width="6.6640625" style="138" bestFit="1" customWidth="1"/>
    <col min="17" max="20" width="4.6640625" style="138" customWidth="1"/>
    <col min="21" max="21" width="67" style="128" customWidth="1"/>
    <col min="22" max="22" width="36.33203125" style="127" customWidth="1"/>
    <col min="23" max="23" width="19.109375" style="144" customWidth="1"/>
    <col min="24" max="24" width="6.6640625" style="144" customWidth="1"/>
    <col min="25" max="25" width="5.6640625" style="144" customWidth="1"/>
    <col min="26" max="27" width="4.6640625" style="144" customWidth="1"/>
    <col min="28" max="28" width="19.109375" style="144" customWidth="1"/>
    <col min="29" max="29" width="16.109375" style="144" customWidth="1"/>
    <col min="30" max="30" width="22.109375" style="144" customWidth="1"/>
    <col min="31" max="31" width="19.109375" style="144" customWidth="1"/>
    <col min="32" max="32" width="6.6640625" style="144" customWidth="1"/>
    <col min="33" max="33" width="5.6640625" style="144" customWidth="1"/>
    <col min="34" max="35" width="4.6640625" style="144" customWidth="1"/>
    <col min="36" max="36" width="33.6640625" style="160" customWidth="1"/>
    <col min="37" max="37" width="9.109375" style="144" customWidth="1"/>
    <col min="38" max="38" width="24.44140625" style="144" customWidth="1"/>
    <col min="39" max="39" width="13.88671875" style="144" customWidth="1"/>
    <col min="40" max="40" width="30.6640625" style="144" customWidth="1"/>
    <col min="41" max="47" width="11.44140625" style="144" customWidth="1"/>
    <col min="48" max="48" width="30.6640625" style="144" customWidth="1"/>
    <col min="49" max="49" width="9.109375" style="144" hidden="1" customWidth="1"/>
    <col min="50" max="16384" width="9.109375" style="144"/>
  </cols>
  <sheetData>
    <row r="1" spans="1:87" ht="13.8" hidden="1" thickBot="1">
      <c r="U1" s="347"/>
      <c r="V1" s="346"/>
      <c r="AJ1" s="346"/>
    </row>
    <row r="2" spans="1:87" ht="13.8" hidden="1" thickBot="1">
      <c r="U2" s="347"/>
      <c r="V2" s="346"/>
      <c r="AJ2" s="346"/>
    </row>
    <row r="3" spans="1:87" s="146" customFormat="1" ht="13.8" hidden="1" thickBot="1">
      <c r="C3" s="147"/>
      <c r="E3" s="136"/>
      <c r="F3" s="136"/>
      <c r="G3" s="136"/>
      <c r="H3" s="136"/>
      <c r="I3" s="136"/>
      <c r="J3" s="136"/>
      <c r="K3" s="136"/>
      <c r="L3" s="136"/>
      <c r="M3" s="136"/>
      <c r="N3" s="136"/>
      <c r="O3" s="136"/>
      <c r="P3" s="136"/>
      <c r="Q3" s="136"/>
      <c r="R3" s="136"/>
      <c r="S3" s="136"/>
      <c r="T3" s="136"/>
      <c r="U3" s="348"/>
      <c r="V3" s="136"/>
      <c r="W3" s="136"/>
      <c r="X3" s="148"/>
      <c r="AA3" s="136"/>
      <c r="AB3" s="136"/>
      <c r="AC3" s="136"/>
      <c r="AD3" s="136"/>
      <c r="AE3" s="136"/>
      <c r="AF3" s="148"/>
      <c r="AI3" s="136"/>
      <c r="AJ3" s="136"/>
      <c r="AK3" s="147"/>
      <c r="AL3" s="147"/>
      <c r="AM3" s="147"/>
      <c r="AN3" s="147"/>
      <c r="AO3" s="147"/>
      <c r="AP3" s="147"/>
      <c r="AQ3" s="147"/>
    </row>
    <row r="4" spans="1:87" s="146" customFormat="1" ht="16.2" thickBot="1">
      <c r="A4" s="149"/>
      <c r="B4" s="661" t="s">
        <v>462</v>
      </c>
      <c r="C4" s="663"/>
      <c r="D4" s="391" t="s">
        <v>463</v>
      </c>
      <c r="E4" s="156"/>
      <c r="F4" s="156"/>
      <c r="G4" s="156"/>
      <c r="H4" s="156"/>
      <c r="I4" s="156"/>
      <c r="J4" s="24" t="s">
        <v>865</v>
      </c>
      <c r="K4" s="25"/>
      <c r="L4" s="25"/>
      <c r="M4" s="25"/>
      <c r="N4" s="81"/>
      <c r="O4" s="81"/>
      <c r="P4" s="81"/>
      <c r="Q4" s="81"/>
      <c r="R4" s="81"/>
      <c r="S4" s="81"/>
      <c r="T4" s="81"/>
      <c r="U4" s="303"/>
      <c r="V4" s="25"/>
      <c r="W4" s="666" t="s">
        <v>465</v>
      </c>
      <c r="X4" s="667"/>
      <c r="Y4" s="667"/>
      <c r="Z4" s="667"/>
      <c r="AA4" s="667"/>
      <c r="AB4" s="667"/>
      <c r="AC4" s="667"/>
      <c r="AD4" s="668"/>
      <c r="AE4" s="669" t="s">
        <v>466</v>
      </c>
      <c r="AF4" s="639"/>
      <c r="AG4" s="639"/>
      <c r="AH4" s="639"/>
      <c r="AI4" s="639"/>
      <c r="AJ4" s="639"/>
      <c r="AK4" s="639"/>
      <c r="AL4" s="639"/>
      <c r="AM4" s="24" t="s">
        <v>467</v>
      </c>
      <c r="AN4" s="157"/>
      <c r="AO4" s="661" t="s">
        <v>468</v>
      </c>
      <c r="AP4" s="662"/>
      <c r="AQ4" s="662"/>
      <c r="AR4" s="662"/>
      <c r="AS4" s="662"/>
      <c r="AT4" s="662"/>
      <c r="AU4" s="663"/>
      <c r="AV4" s="158"/>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row>
    <row r="5" spans="1:87" s="146" customFormat="1" ht="18" thickBot="1">
      <c r="A5" s="159"/>
      <c r="B5" s="654" t="s">
        <v>469</v>
      </c>
      <c r="C5" s="654" t="s">
        <v>470</v>
      </c>
      <c r="D5" s="637" t="s">
        <v>471</v>
      </c>
      <c r="E5" s="637" t="s">
        <v>472</v>
      </c>
      <c r="F5" s="390"/>
      <c r="G5" s="390"/>
      <c r="H5" s="637" t="s">
        <v>475</v>
      </c>
      <c r="I5" s="646" t="s">
        <v>476</v>
      </c>
      <c r="J5" s="648" t="s">
        <v>477</v>
      </c>
      <c r="K5" s="648" t="s">
        <v>478</v>
      </c>
      <c r="L5" s="648" t="s">
        <v>479</v>
      </c>
      <c r="M5" s="445"/>
      <c r="N5" s="648" t="s">
        <v>480</v>
      </c>
      <c r="O5" s="648" t="s">
        <v>481</v>
      </c>
      <c r="P5" s="648" t="s">
        <v>482</v>
      </c>
      <c r="Q5" s="648" t="s">
        <v>483</v>
      </c>
      <c r="R5" s="648" t="s">
        <v>484</v>
      </c>
      <c r="S5" s="648" t="s">
        <v>485</v>
      </c>
      <c r="T5" s="648" t="s">
        <v>486</v>
      </c>
      <c r="U5" s="670" t="s">
        <v>487</v>
      </c>
      <c r="V5" s="648" t="s">
        <v>488</v>
      </c>
      <c r="W5" s="635" t="s">
        <v>478</v>
      </c>
      <c r="X5" s="635" t="s">
        <v>489</v>
      </c>
      <c r="Y5" s="635" t="s">
        <v>482</v>
      </c>
      <c r="Z5" s="640" t="s">
        <v>490</v>
      </c>
      <c r="AA5" s="635" t="s">
        <v>485</v>
      </c>
      <c r="AB5" s="635" t="s">
        <v>487</v>
      </c>
      <c r="AC5" s="635" t="s">
        <v>866</v>
      </c>
      <c r="AD5" s="672" t="s">
        <v>488</v>
      </c>
      <c r="AE5" s="675" t="s">
        <v>478</v>
      </c>
      <c r="AF5" s="675" t="s">
        <v>489</v>
      </c>
      <c r="AG5" s="675" t="s">
        <v>482</v>
      </c>
      <c r="AH5" s="637" t="s">
        <v>490</v>
      </c>
      <c r="AI5" s="677" t="s">
        <v>485</v>
      </c>
      <c r="AJ5" s="637" t="s">
        <v>487</v>
      </c>
      <c r="AK5" s="637" t="s">
        <v>866</v>
      </c>
      <c r="AL5" s="637" t="s">
        <v>488</v>
      </c>
      <c r="AM5" s="30" t="s">
        <v>867</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153"/>
      <c r="CF5" s="153"/>
      <c r="CG5" s="153"/>
      <c r="CH5" s="153"/>
    </row>
    <row r="6" spans="1:87" s="154" customFormat="1" ht="142.5" customHeight="1" thickBot="1">
      <c r="A6" s="58" t="s">
        <v>501</v>
      </c>
      <c r="B6" s="655"/>
      <c r="C6" s="655"/>
      <c r="D6" s="638"/>
      <c r="E6" s="638"/>
      <c r="F6" s="396" t="s">
        <v>473</v>
      </c>
      <c r="G6" s="396" t="s">
        <v>474</v>
      </c>
      <c r="H6" s="638"/>
      <c r="I6" s="647"/>
      <c r="J6" s="649"/>
      <c r="K6" s="649"/>
      <c r="L6" s="649"/>
      <c r="M6" s="446" t="s">
        <v>3506</v>
      </c>
      <c r="N6" s="649"/>
      <c r="O6" s="649"/>
      <c r="P6" s="649"/>
      <c r="Q6" s="649"/>
      <c r="R6" s="649"/>
      <c r="S6" s="649"/>
      <c r="T6" s="649"/>
      <c r="U6" s="671"/>
      <c r="V6" s="649"/>
      <c r="W6" s="636"/>
      <c r="X6" s="636"/>
      <c r="Y6" s="636"/>
      <c r="Z6" s="641"/>
      <c r="AA6" s="636"/>
      <c r="AB6" s="636"/>
      <c r="AC6" s="636"/>
      <c r="AD6" s="673"/>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153"/>
      <c r="CF6" s="153"/>
      <c r="CG6" s="153"/>
      <c r="CH6" s="153"/>
    </row>
    <row r="7" spans="1:87" ht="15">
      <c r="A7" s="451">
        <f t="shared" ref="A7:A70" si="0">ROW() - 6</f>
        <v>1</v>
      </c>
      <c r="B7" s="142"/>
      <c r="C7" s="142"/>
      <c r="D7" s="142"/>
      <c r="E7" s="142"/>
      <c r="F7" s="142"/>
      <c r="G7" s="142"/>
      <c r="H7" s="142"/>
      <c r="I7" s="142"/>
      <c r="J7" s="464" t="s">
        <v>503</v>
      </c>
      <c r="K7" s="142"/>
      <c r="L7" s="142"/>
      <c r="M7" s="142"/>
      <c r="N7" s="137"/>
      <c r="O7" s="419"/>
      <c r="P7" s="419"/>
      <c r="Q7" s="137"/>
      <c r="R7" s="137"/>
      <c r="S7" s="137"/>
      <c r="T7" s="145"/>
      <c r="U7" s="229"/>
      <c r="V7" s="145"/>
      <c r="W7" s="142"/>
      <c r="X7" s="420"/>
      <c r="Y7" s="420"/>
      <c r="Z7" s="142"/>
      <c r="AA7" s="142"/>
      <c r="AB7" s="142"/>
      <c r="AC7" s="142"/>
      <c r="AD7" s="142"/>
      <c r="AE7" s="142"/>
      <c r="AF7" s="420"/>
      <c r="AG7" s="420"/>
      <c r="AH7" s="142"/>
      <c r="AI7" s="142"/>
      <c r="AJ7" s="145"/>
      <c r="AK7" s="142"/>
      <c r="AL7" s="142"/>
      <c r="AM7" s="142"/>
      <c r="AN7" s="142"/>
      <c r="AO7" s="142"/>
      <c r="AP7" s="142"/>
      <c r="AQ7" s="142"/>
      <c r="AR7" s="142"/>
      <c r="AS7" s="142"/>
      <c r="AT7" s="142"/>
      <c r="AU7" s="142"/>
      <c r="AV7" s="142"/>
      <c r="AW7" s="155">
        <f>LEN(L7)</f>
        <v>0</v>
      </c>
    </row>
    <row r="8" spans="1:87" s="155" customFormat="1" ht="15">
      <c r="A8" s="40">
        <f t="shared" si="0"/>
        <v>2</v>
      </c>
      <c r="B8" s="232"/>
      <c r="C8" s="41"/>
      <c r="D8" s="232"/>
      <c r="E8" s="232"/>
      <c r="F8" s="232"/>
      <c r="G8" s="232"/>
      <c r="H8" s="40"/>
      <c r="I8" s="40" t="s">
        <v>868</v>
      </c>
      <c r="J8" s="412" t="s">
        <v>869</v>
      </c>
      <c r="K8" s="204" t="s">
        <v>132</v>
      </c>
      <c r="L8" s="204" t="s">
        <v>870</v>
      </c>
      <c r="M8" s="204"/>
      <c r="N8" s="126" t="s">
        <v>504</v>
      </c>
      <c r="O8" s="416"/>
      <c r="P8" s="416"/>
      <c r="Q8" s="126" t="s">
        <v>6</v>
      </c>
      <c r="R8" s="126" t="s">
        <v>6</v>
      </c>
      <c r="S8" s="126" t="s">
        <v>6</v>
      </c>
      <c r="T8" s="40" t="s">
        <v>6</v>
      </c>
      <c r="U8" s="200" t="s">
        <v>871</v>
      </c>
      <c r="V8" s="204"/>
      <c r="W8" s="204" t="s">
        <v>133</v>
      </c>
      <c r="X8" s="416"/>
      <c r="Y8" s="416"/>
      <c r="Z8" s="126" t="s">
        <v>6</v>
      </c>
      <c r="AA8" s="126" t="s">
        <v>6</v>
      </c>
      <c r="AB8" s="415"/>
      <c r="AC8" s="415"/>
      <c r="AD8" s="415"/>
      <c r="AE8" s="204" t="s">
        <v>133</v>
      </c>
      <c r="AF8" s="416"/>
      <c r="AG8" s="416"/>
      <c r="AH8" s="126" t="s">
        <v>6</v>
      </c>
      <c r="AI8" s="126" t="s">
        <v>6</v>
      </c>
      <c r="AJ8" s="415"/>
      <c r="AK8" s="415"/>
      <c r="AL8" s="415"/>
      <c r="AM8" s="198"/>
      <c r="AN8" s="232"/>
      <c r="AO8" s="198"/>
      <c r="AP8" s="198"/>
      <c r="AQ8" s="198"/>
      <c r="AR8" s="198"/>
      <c r="AS8" s="198"/>
      <c r="AT8" s="198"/>
      <c r="AU8" s="40"/>
      <c r="AV8" s="198"/>
      <c r="AW8" s="155">
        <f>LEN(L8)</f>
        <v>32</v>
      </c>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row>
    <row r="9" spans="1:87" s="14" customFormat="1" ht="39.6">
      <c r="A9" s="40">
        <f t="shared" si="0"/>
        <v>3</v>
      </c>
      <c r="B9" s="232"/>
      <c r="C9" s="41"/>
      <c r="D9" s="232"/>
      <c r="E9" s="232"/>
      <c r="F9" s="232"/>
      <c r="G9" s="232"/>
      <c r="H9" s="40"/>
      <c r="I9" s="40" t="s">
        <v>868</v>
      </c>
      <c r="J9" s="609" t="s">
        <v>3398</v>
      </c>
      <c r="K9" s="204" t="s">
        <v>122</v>
      </c>
      <c r="L9" s="204" t="s">
        <v>872</v>
      </c>
      <c r="M9" s="204" t="s">
        <v>4071</v>
      </c>
      <c r="N9" s="349" t="s">
        <v>873</v>
      </c>
      <c r="O9" s="126"/>
      <c r="P9" s="126"/>
      <c r="Q9" s="126" t="s">
        <v>6</v>
      </c>
      <c r="R9" s="126" t="s">
        <v>6</v>
      </c>
      <c r="S9" s="126" t="s">
        <v>6</v>
      </c>
      <c r="T9" s="40" t="s">
        <v>6</v>
      </c>
      <c r="U9" s="201" t="s">
        <v>874</v>
      </c>
      <c r="V9" s="204"/>
      <c r="W9" s="204" t="s">
        <v>125</v>
      </c>
      <c r="X9" s="199"/>
      <c r="Y9" s="199"/>
      <c r="Z9" s="199"/>
      <c r="AA9" s="126" t="s">
        <v>6</v>
      </c>
      <c r="AB9" s="415"/>
      <c r="AC9" s="415"/>
      <c r="AD9" s="415"/>
      <c r="AE9" s="204" t="s">
        <v>125</v>
      </c>
      <c r="AF9" s="199"/>
      <c r="AG9" s="199"/>
      <c r="AH9" s="199"/>
      <c r="AI9" s="126" t="s">
        <v>6</v>
      </c>
      <c r="AJ9" s="415"/>
      <c r="AK9" s="415"/>
      <c r="AL9" s="415"/>
      <c r="AM9" s="198" t="s">
        <v>875</v>
      </c>
      <c r="AN9" s="200"/>
      <c r="AO9" s="40"/>
      <c r="AP9" s="40"/>
      <c r="AQ9" s="40"/>
      <c r="AR9" s="40"/>
      <c r="AS9" s="40"/>
      <c r="AT9" s="40"/>
      <c r="AU9" s="198"/>
      <c r="AV9" s="198"/>
      <c r="AW9" s="155">
        <f>LEN(L9)</f>
        <v>41</v>
      </c>
    </row>
    <row r="10" spans="1:87" s="14" customFormat="1" ht="24.75" customHeight="1">
      <c r="A10" s="40">
        <f t="shared" si="0"/>
        <v>4</v>
      </c>
      <c r="B10" s="232"/>
      <c r="C10" s="41"/>
      <c r="D10" s="232"/>
      <c r="E10" s="232"/>
      <c r="F10" s="232"/>
      <c r="G10" s="232"/>
      <c r="H10" s="40"/>
      <c r="I10" s="40" t="s">
        <v>868</v>
      </c>
      <c r="J10" s="609" t="s">
        <v>3399</v>
      </c>
      <c r="K10" s="204" t="s">
        <v>122</v>
      </c>
      <c r="L10" s="204" t="s">
        <v>876</v>
      </c>
      <c r="M10" s="204" t="s">
        <v>4071</v>
      </c>
      <c r="N10" s="349" t="s">
        <v>873</v>
      </c>
      <c r="O10" s="126"/>
      <c r="P10" s="126"/>
      <c r="Q10" s="126" t="s">
        <v>6</v>
      </c>
      <c r="R10" s="126" t="s">
        <v>6</v>
      </c>
      <c r="S10" s="126" t="s">
        <v>6</v>
      </c>
      <c r="T10" s="40" t="s">
        <v>6</v>
      </c>
      <c r="U10" s="234" t="s">
        <v>874</v>
      </c>
      <c r="V10" s="204"/>
      <c r="W10" s="204" t="s">
        <v>125</v>
      </c>
      <c r="X10" s="199"/>
      <c r="Y10" s="199"/>
      <c r="Z10" s="199"/>
      <c r="AA10" s="126" t="s">
        <v>6</v>
      </c>
      <c r="AB10" s="415"/>
      <c r="AC10" s="415"/>
      <c r="AD10" s="415"/>
      <c r="AE10" s="204" t="s">
        <v>125</v>
      </c>
      <c r="AF10" s="199"/>
      <c r="AG10" s="199"/>
      <c r="AH10" s="199"/>
      <c r="AI10" s="126" t="s">
        <v>6</v>
      </c>
      <c r="AJ10" s="415"/>
      <c r="AK10" s="415"/>
      <c r="AL10" s="415"/>
      <c r="AM10" s="198" t="s">
        <v>875</v>
      </c>
      <c r="AN10" s="200"/>
      <c r="AO10" s="40"/>
      <c r="AP10" s="40"/>
      <c r="AQ10" s="40"/>
      <c r="AR10" s="40"/>
      <c r="AS10" s="40"/>
      <c r="AT10" s="40"/>
      <c r="AU10" s="198"/>
      <c r="AV10" s="198"/>
      <c r="AW10" s="155">
        <f t="shared" ref="AW10:AW44" si="1">LEN(L10)</f>
        <v>41</v>
      </c>
    </row>
    <row r="11" spans="1:87" s="14" customFormat="1" ht="39.6">
      <c r="A11" s="40">
        <f t="shared" si="0"/>
        <v>5</v>
      </c>
      <c r="B11" s="232"/>
      <c r="C11" s="41"/>
      <c r="D11" s="232"/>
      <c r="E11" s="232"/>
      <c r="F11" s="232"/>
      <c r="G11" s="232"/>
      <c r="H11" s="40"/>
      <c r="I11" s="40" t="s">
        <v>868</v>
      </c>
      <c r="J11" s="609" t="s">
        <v>3400</v>
      </c>
      <c r="K11" s="204" t="s">
        <v>122</v>
      </c>
      <c r="L11" s="204" t="s">
        <v>877</v>
      </c>
      <c r="M11" s="204" t="s">
        <v>4071</v>
      </c>
      <c r="N11" s="349" t="s">
        <v>873</v>
      </c>
      <c r="O11" s="126"/>
      <c r="P11" s="126"/>
      <c r="Q11" s="126" t="s">
        <v>6</v>
      </c>
      <c r="R11" s="126" t="s">
        <v>6</v>
      </c>
      <c r="S11" s="126" t="s">
        <v>6</v>
      </c>
      <c r="T11" s="40" t="s">
        <v>6</v>
      </c>
      <c r="U11" s="234" t="s">
        <v>878</v>
      </c>
      <c r="V11" s="204"/>
      <c r="W11" s="204" t="s">
        <v>125</v>
      </c>
      <c r="X11" s="199"/>
      <c r="Y11" s="199"/>
      <c r="Z11" s="199"/>
      <c r="AA11" s="126" t="s">
        <v>6</v>
      </c>
      <c r="AB11" s="415"/>
      <c r="AC11" s="415"/>
      <c r="AD11" s="415"/>
      <c r="AE11" s="204" t="s">
        <v>125</v>
      </c>
      <c r="AF11" s="199"/>
      <c r="AG11" s="199"/>
      <c r="AH11" s="199"/>
      <c r="AI11" s="126" t="s">
        <v>6</v>
      </c>
      <c r="AJ11" s="415"/>
      <c r="AK11" s="415"/>
      <c r="AL11" s="415"/>
      <c r="AM11" s="198" t="s">
        <v>875</v>
      </c>
      <c r="AN11" s="200"/>
      <c r="AO11" s="40"/>
      <c r="AP11" s="40"/>
      <c r="AQ11" s="40"/>
      <c r="AR11" s="40"/>
      <c r="AS11" s="40"/>
      <c r="AT11" s="40"/>
      <c r="AU11" s="198"/>
      <c r="AV11" s="198"/>
      <c r="AW11" s="155">
        <f t="shared" si="1"/>
        <v>41</v>
      </c>
    </row>
    <row r="12" spans="1:87" s="14" customFormat="1" ht="15">
      <c r="A12" s="40">
        <f t="shared" si="0"/>
        <v>6</v>
      </c>
      <c r="B12" s="38"/>
      <c r="C12" s="41"/>
      <c r="D12" s="232"/>
      <c r="E12" s="232"/>
      <c r="F12" s="232"/>
      <c r="G12" s="232"/>
      <c r="H12" s="40"/>
      <c r="I12" s="40" t="s">
        <v>868</v>
      </c>
      <c r="J12" s="609" t="s">
        <v>3401</v>
      </c>
      <c r="K12" s="204" t="s">
        <v>122</v>
      </c>
      <c r="L12" s="204" t="s">
        <v>879</v>
      </c>
      <c r="M12" s="204" t="s">
        <v>4071</v>
      </c>
      <c r="N12" s="349" t="s">
        <v>873</v>
      </c>
      <c r="O12" s="126"/>
      <c r="P12" s="126"/>
      <c r="Q12" s="126" t="s">
        <v>6</v>
      </c>
      <c r="R12" s="126" t="s">
        <v>6</v>
      </c>
      <c r="S12" s="126" t="s">
        <v>6</v>
      </c>
      <c r="T12" s="40" t="s">
        <v>6</v>
      </c>
      <c r="U12" s="218" t="s">
        <v>880</v>
      </c>
      <c r="V12" s="204"/>
      <c r="W12" s="204" t="s">
        <v>123</v>
      </c>
      <c r="X12" s="199"/>
      <c r="Y12" s="199"/>
      <c r="Z12" s="126" t="s">
        <v>6</v>
      </c>
      <c r="AA12" s="126" t="s">
        <v>6</v>
      </c>
      <c r="AB12" s="415"/>
      <c r="AC12" s="415"/>
      <c r="AD12" s="235" t="s">
        <v>881</v>
      </c>
      <c r="AE12" s="204" t="s">
        <v>123</v>
      </c>
      <c r="AF12" s="199"/>
      <c r="AG12" s="199"/>
      <c r="AH12" s="126" t="s">
        <v>6</v>
      </c>
      <c r="AI12" s="126" t="s">
        <v>6</v>
      </c>
      <c r="AJ12" s="415"/>
      <c r="AK12" s="415"/>
      <c r="AL12" s="235" t="s">
        <v>881</v>
      </c>
      <c r="AM12" s="198" t="s">
        <v>875</v>
      </c>
      <c r="AN12" s="232"/>
      <c r="AO12" s="198"/>
      <c r="AP12" s="198"/>
      <c r="AQ12" s="198"/>
      <c r="AR12" s="198"/>
      <c r="AS12" s="198"/>
      <c r="AT12" s="198"/>
      <c r="AU12" s="198"/>
      <c r="AV12" s="40"/>
      <c r="AW12" s="155">
        <f>LEN(L12)</f>
        <v>34</v>
      </c>
    </row>
    <row r="13" spans="1:87" s="14" customFormat="1" ht="39.6">
      <c r="A13" s="40">
        <f t="shared" si="0"/>
        <v>7</v>
      </c>
      <c r="B13" s="38"/>
      <c r="C13" s="41"/>
      <c r="D13" s="232"/>
      <c r="E13" s="232"/>
      <c r="F13" s="232"/>
      <c r="G13" s="232"/>
      <c r="H13" s="40"/>
      <c r="I13" s="40" t="s">
        <v>868</v>
      </c>
      <c r="J13" s="609" t="s">
        <v>3402</v>
      </c>
      <c r="K13" s="204" t="s">
        <v>122</v>
      </c>
      <c r="L13" s="204" t="s">
        <v>882</v>
      </c>
      <c r="M13" s="204" t="s">
        <v>4802</v>
      </c>
      <c r="N13" s="349" t="s">
        <v>873</v>
      </c>
      <c r="O13" s="126"/>
      <c r="P13" s="126"/>
      <c r="Q13" s="126" t="s">
        <v>6</v>
      </c>
      <c r="R13" s="126" t="s">
        <v>6</v>
      </c>
      <c r="S13" s="126" t="s">
        <v>6</v>
      </c>
      <c r="T13" s="40" t="s">
        <v>6</v>
      </c>
      <c r="U13" s="234" t="s">
        <v>874</v>
      </c>
      <c r="V13" s="204"/>
      <c r="W13" s="204" t="s">
        <v>125</v>
      </c>
      <c r="X13" s="199"/>
      <c r="Y13" s="199"/>
      <c r="Z13" s="199"/>
      <c r="AA13" s="126" t="s">
        <v>6</v>
      </c>
      <c r="AB13" s="415"/>
      <c r="AC13" s="415"/>
      <c r="AD13" s="415"/>
      <c r="AE13" s="204" t="s">
        <v>125</v>
      </c>
      <c r="AF13" s="199"/>
      <c r="AG13" s="199"/>
      <c r="AH13" s="199"/>
      <c r="AI13" s="126" t="s">
        <v>6</v>
      </c>
      <c r="AJ13" s="415"/>
      <c r="AK13" s="415"/>
      <c r="AL13" s="415"/>
      <c r="AM13" s="198" t="s">
        <v>883</v>
      </c>
      <c r="AN13" s="200"/>
      <c r="AO13" s="198"/>
      <c r="AP13" s="198"/>
      <c r="AQ13" s="198"/>
      <c r="AR13" s="198"/>
      <c r="AS13" s="198"/>
      <c r="AT13" s="198"/>
      <c r="AU13" s="198"/>
      <c r="AV13" s="232"/>
      <c r="AW13" s="155">
        <f>LEN(L13)</f>
        <v>40</v>
      </c>
    </row>
    <row r="14" spans="1:87" s="14" customFormat="1" ht="39.6">
      <c r="A14" s="40">
        <f t="shared" si="0"/>
        <v>8</v>
      </c>
      <c r="B14" s="38"/>
      <c r="C14" s="41"/>
      <c r="D14" s="232"/>
      <c r="E14" s="232"/>
      <c r="F14" s="232"/>
      <c r="G14" s="232"/>
      <c r="H14" s="40"/>
      <c r="I14" s="40" t="s">
        <v>868</v>
      </c>
      <c r="J14" s="609" t="s">
        <v>3403</v>
      </c>
      <c r="K14" s="204" t="s">
        <v>122</v>
      </c>
      <c r="L14" s="204" t="s">
        <v>884</v>
      </c>
      <c r="M14" s="204" t="s">
        <v>4802</v>
      </c>
      <c r="N14" s="349" t="s">
        <v>873</v>
      </c>
      <c r="O14" s="126"/>
      <c r="P14" s="126"/>
      <c r="Q14" s="126" t="s">
        <v>6</v>
      </c>
      <c r="R14" s="126" t="s">
        <v>6</v>
      </c>
      <c r="S14" s="126" t="s">
        <v>6</v>
      </c>
      <c r="T14" s="40" t="s">
        <v>6</v>
      </c>
      <c r="U14" s="234" t="s">
        <v>874</v>
      </c>
      <c r="V14" s="204"/>
      <c r="W14" s="204" t="s">
        <v>125</v>
      </c>
      <c r="X14" s="199"/>
      <c r="Y14" s="199"/>
      <c r="Z14" s="199"/>
      <c r="AA14" s="126" t="s">
        <v>6</v>
      </c>
      <c r="AB14" s="415"/>
      <c r="AC14" s="415"/>
      <c r="AD14" s="415"/>
      <c r="AE14" s="204" t="s">
        <v>125</v>
      </c>
      <c r="AF14" s="199"/>
      <c r="AG14" s="199"/>
      <c r="AH14" s="199"/>
      <c r="AI14" s="126" t="s">
        <v>6</v>
      </c>
      <c r="AJ14" s="415"/>
      <c r="AK14" s="415"/>
      <c r="AL14" s="415"/>
      <c r="AM14" s="198" t="s">
        <v>883</v>
      </c>
      <c r="AN14" s="200"/>
      <c r="AO14" s="198"/>
      <c r="AP14" s="198"/>
      <c r="AQ14" s="198"/>
      <c r="AR14" s="198"/>
      <c r="AS14" s="198"/>
      <c r="AT14" s="198"/>
      <c r="AU14" s="198"/>
      <c r="AV14" s="232"/>
      <c r="AW14" s="155">
        <f t="shared" si="1"/>
        <v>40</v>
      </c>
    </row>
    <row r="15" spans="1:87" s="14" customFormat="1" ht="39.6">
      <c r="A15" s="40">
        <f t="shared" si="0"/>
        <v>9</v>
      </c>
      <c r="B15" s="38"/>
      <c r="C15" s="41"/>
      <c r="D15" s="232"/>
      <c r="E15" s="232"/>
      <c r="F15" s="232"/>
      <c r="G15" s="232"/>
      <c r="H15" s="40"/>
      <c r="I15" s="40" t="s">
        <v>868</v>
      </c>
      <c r="J15" s="609" t="s">
        <v>3404</v>
      </c>
      <c r="K15" s="204" t="s">
        <v>122</v>
      </c>
      <c r="L15" s="204" t="s">
        <v>885</v>
      </c>
      <c r="M15" s="204" t="s">
        <v>4802</v>
      </c>
      <c r="N15" s="349" t="s">
        <v>873</v>
      </c>
      <c r="O15" s="126"/>
      <c r="P15" s="126"/>
      <c r="Q15" s="126" t="s">
        <v>6</v>
      </c>
      <c r="R15" s="126" t="s">
        <v>6</v>
      </c>
      <c r="S15" s="126" t="s">
        <v>6</v>
      </c>
      <c r="T15" s="40" t="s">
        <v>6</v>
      </c>
      <c r="U15" s="234" t="s">
        <v>874</v>
      </c>
      <c r="V15" s="204"/>
      <c r="W15" s="204" t="s">
        <v>125</v>
      </c>
      <c r="X15" s="199"/>
      <c r="Y15" s="199"/>
      <c r="Z15" s="199"/>
      <c r="AA15" s="126" t="s">
        <v>6</v>
      </c>
      <c r="AB15" s="415"/>
      <c r="AC15" s="415"/>
      <c r="AD15" s="415"/>
      <c r="AE15" s="204" t="s">
        <v>125</v>
      </c>
      <c r="AF15" s="199"/>
      <c r="AG15" s="199"/>
      <c r="AH15" s="199"/>
      <c r="AI15" s="126" t="s">
        <v>6</v>
      </c>
      <c r="AJ15" s="415"/>
      <c r="AK15" s="415"/>
      <c r="AL15" s="415"/>
      <c r="AM15" s="198" t="s">
        <v>883</v>
      </c>
      <c r="AN15" s="200"/>
      <c r="AO15" s="198"/>
      <c r="AP15" s="198"/>
      <c r="AQ15" s="198"/>
      <c r="AR15" s="198"/>
      <c r="AS15" s="198"/>
      <c r="AT15" s="198"/>
      <c r="AU15" s="198"/>
      <c r="AV15" s="232"/>
      <c r="AW15" s="155">
        <f t="shared" si="1"/>
        <v>40</v>
      </c>
    </row>
    <row r="16" spans="1:87" s="236" customFormat="1" ht="15">
      <c r="A16" s="40">
        <f t="shared" si="0"/>
        <v>10</v>
      </c>
      <c r="B16" s="38"/>
      <c r="C16" s="41"/>
      <c r="D16" s="38"/>
      <c r="E16" s="46"/>
      <c r="F16" s="46"/>
      <c r="G16" s="46"/>
      <c r="H16" s="40"/>
      <c r="I16" s="40" t="s">
        <v>868</v>
      </c>
      <c r="J16" s="609" t="s">
        <v>3405</v>
      </c>
      <c r="K16" s="204" t="s">
        <v>122</v>
      </c>
      <c r="L16" s="204" t="s">
        <v>886</v>
      </c>
      <c r="M16" s="204" t="s">
        <v>4802</v>
      </c>
      <c r="N16" s="349" t="s">
        <v>873</v>
      </c>
      <c r="O16" s="126"/>
      <c r="P16" s="126"/>
      <c r="Q16" s="126" t="s">
        <v>6</v>
      </c>
      <c r="R16" s="126" t="s">
        <v>6</v>
      </c>
      <c r="S16" s="126" t="s">
        <v>6</v>
      </c>
      <c r="T16" s="40" t="s">
        <v>6</v>
      </c>
      <c r="U16" s="218" t="s">
        <v>880</v>
      </c>
      <c r="V16" s="204"/>
      <c r="W16" s="204" t="s">
        <v>123</v>
      </c>
      <c r="X16" s="199"/>
      <c r="Y16" s="199"/>
      <c r="Z16" s="126" t="s">
        <v>6</v>
      </c>
      <c r="AA16" s="126" t="s">
        <v>6</v>
      </c>
      <c r="AB16" s="415"/>
      <c r="AC16" s="415"/>
      <c r="AD16" s="201" t="s">
        <v>881</v>
      </c>
      <c r="AE16" s="204" t="s">
        <v>123</v>
      </c>
      <c r="AF16" s="199"/>
      <c r="AG16" s="199"/>
      <c r="AH16" s="126" t="s">
        <v>6</v>
      </c>
      <c r="AI16" s="126" t="s">
        <v>6</v>
      </c>
      <c r="AJ16" s="415"/>
      <c r="AK16" s="415"/>
      <c r="AL16" s="201" t="s">
        <v>881</v>
      </c>
      <c r="AM16" s="198" t="s">
        <v>883</v>
      </c>
      <c r="AN16" s="232"/>
      <c r="AO16" s="198"/>
      <c r="AP16" s="198"/>
      <c r="AQ16" s="198"/>
      <c r="AR16" s="198"/>
      <c r="AS16" s="198"/>
      <c r="AT16" s="198"/>
      <c r="AU16" s="198"/>
      <c r="AV16" s="232"/>
      <c r="AW16" s="155">
        <f>LEN(L16)</f>
        <v>33</v>
      </c>
    </row>
    <row r="17" spans="1:51" s="14" customFormat="1" ht="39.6">
      <c r="A17" s="40">
        <f t="shared" si="0"/>
        <v>11</v>
      </c>
      <c r="B17" s="38"/>
      <c r="C17" s="41"/>
      <c r="D17" s="232"/>
      <c r="E17" s="232"/>
      <c r="F17" s="232"/>
      <c r="G17" s="232"/>
      <c r="H17" s="40"/>
      <c r="I17" s="40" t="s">
        <v>868</v>
      </c>
      <c r="J17" s="399" t="s">
        <v>888</v>
      </c>
      <c r="K17" s="204" t="s">
        <v>122</v>
      </c>
      <c r="L17" s="204" t="s">
        <v>889</v>
      </c>
      <c r="M17" s="204" t="s">
        <v>4037</v>
      </c>
      <c r="N17" s="349" t="s">
        <v>873</v>
      </c>
      <c r="O17" s="126"/>
      <c r="P17" s="126"/>
      <c r="Q17" s="126"/>
      <c r="R17" s="126" t="s">
        <v>6</v>
      </c>
      <c r="S17" s="126" t="s">
        <v>6</v>
      </c>
      <c r="T17" s="40" t="s">
        <v>6</v>
      </c>
      <c r="U17" s="218" t="s">
        <v>812</v>
      </c>
      <c r="V17" s="215"/>
      <c r="W17" s="204" t="s">
        <v>125</v>
      </c>
      <c r="X17" s="199"/>
      <c r="Y17" s="199"/>
      <c r="Z17" s="199"/>
      <c r="AA17" s="126" t="s">
        <v>6</v>
      </c>
      <c r="AB17" s="403"/>
      <c r="AC17" s="403"/>
      <c r="AD17" s="399" t="s">
        <v>890</v>
      </c>
      <c r="AE17" s="204" t="s">
        <v>125</v>
      </c>
      <c r="AF17" s="199"/>
      <c r="AG17" s="199"/>
      <c r="AH17" s="199"/>
      <c r="AI17" s="126" t="s">
        <v>6</v>
      </c>
      <c r="AJ17" s="403"/>
      <c r="AK17" s="403"/>
      <c r="AL17" s="399" t="s">
        <v>890</v>
      </c>
      <c r="AM17" s="198" t="s">
        <v>891</v>
      </c>
      <c r="AN17" s="200"/>
      <c r="AO17" s="198"/>
      <c r="AP17" s="198"/>
      <c r="AQ17" s="198"/>
      <c r="AR17" s="198"/>
      <c r="AS17" s="198"/>
      <c r="AT17" s="198"/>
      <c r="AU17" s="198"/>
      <c r="AV17" s="198"/>
      <c r="AW17" s="155">
        <f>LEN(L17)</f>
        <v>31</v>
      </c>
      <c r="AX17" s="237"/>
      <c r="AY17" s="238"/>
    </row>
    <row r="18" spans="1:51" s="14" customFormat="1" ht="39.6">
      <c r="A18" s="40">
        <f t="shared" si="0"/>
        <v>12</v>
      </c>
      <c r="B18" s="38"/>
      <c r="C18" s="41"/>
      <c r="D18" s="232"/>
      <c r="E18" s="232"/>
      <c r="F18" s="232"/>
      <c r="G18" s="232"/>
      <c r="H18" s="40"/>
      <c r="I18" s="40" t="s">
        <v>868</v>
      </c>
      <c r="J18" s="399" t="s">
        <v>893</v>
      </c>
      <c r="K18" s="204" t="s">
        <v>122</v>
      </c>
      <c r="L18" s="204" t="s">
        <v>894</v>
      </c>
      <c r="M18" s="204" t="s">
        <v>4037</v>
      </c>
      <c r="N18" s="349" t="s">
        <v>873</v>
      </c>
      <c r="O18" s="126"/>
      <c r="P18" s="126"/>
      <c r="Q18" s="126"/>
      <c r="R18" s="126" t="s">
        <v>6</v>
      </c>
      <c r="S18" s="126" t="s">
        <v>6</v>
      </c>
      <c r="T18" s="40" t="s">
        <v>6</v>
      </c>
      <c r="U18" s="218" t="s">
        <v>812</v>
      </c>
      <c r="V18" s="215"/>
      <c r="W18" s="204" t="s">
        <v>125</v>
      </c>
      <c r="X18" s="199"/>
      <c r="Y18" s="199"/>
      <c r="Z18" s="199"/>
      <c r="AA18" s="126" t="s">
        <v>6</v>
      </c>
      <c r="AB18" s="403"/>
      <c r="AC18" s="403"/>
      <c r="AD18" s="399" t="s">
        <v>890</v>
      </c>
      <c r="AE18" s="204" t="s">
        <v>125</v>
      </c>
      <c r="AF18" s="199"/>
      <c r="AG18" s="199"/>
      <c r="AH18" s="199"/>
      <c r="AI18" s="126" t="s">
        <v>6</v>
      </c>
      <c r="AJ18" s="403"/>
      <c r="AK18" s="403"/>
      <c r="AL18" s="399" t="s">
        <v>890</v>
      </c>
      <c r="AM18" s="198" t="s">
        <v>891</v>
      </c>
      <c r="AN18" s="200"/>
      <c r="AO18" s="198"/>
      <c r="AP18" s="198"/>
      <c r="AQ18" s="198"/>
      <c r="AR18" s="198"/>
      <c r="AS18" s="198"/>
      <c r="AT18" s="198"/>
      <c r="AU18" s="198"/>
      <c r="AV18" s="198"/>
      <c r="AW18" s="155">
        <f t="shared" si="1"/>
        <v>31</v>
      </c>
      <c r="AX18" s="237"/>
      <c r="AY18" s="238"/>
    </row>
    <row r="19" spans="1:51" s="14" customFormat="1" ht="39.6">
      <c r="A19" s="40">
        <f t="shared" si="0"/>
        <v>13</v>
      </c>
      <c r="B19" s="38"/>
      <c r="C19" s="41"/>
      <c r="D19" s="232"/>
      <c r="E19" s="232"/>
      <c r="F19" s="232"/>
      <c r="G19" s="232"/>
      <c r="H19" s="40"/>
      <c r="I19" s="40" t="s">
        <v>868</v>
      </c>
      <c r="J19" s="399" t="s">
        <v>895</v>
      </c>
      <c r="K19" s="204" t="s">
        <v>122</v>
      </c>
      <c r="L19" s="204" t="s">
        <v>896</v>
      </c>
      <c r="M19" s="204" t="s">
        <v>4037</v>
      </c>
      <c r="N19" s="349" t="s">
        <v>873</v>
      </c>
      <c r="O19" s="126"/>
      <c r="P19" s="126"/>
      <c r="Q19" s="126"/>
      <c r="R19" s="126" t="s">
        <v>6</v>
      </c>
      <c r="S19" s="126" t="s">
        <v>6</v>
      </c>
      <c r="T19" s="40" t="s">
        <v>6</v>
      </c>
      <c r="U19" s="218" t="s">
        <v>812</v>
      </c>
      <c r="V19" s="215"/>
      <c r="W19" s="204" t="s">
        <v>125</v>
      </c>
      <c r="X19" s="199"/>
      <c r="Y19" s="199"/>
      <c r="Z19" s="199"/>
      <c r="AA19" s="126" t="s">
        <v>6</v>
      </c>
      <c r="AB19" s="403"/>
      <c r="AC19" s="403"/>
      <c r="AD19" s="399" t="s">
        <v>890</v>
      </c>
      <c r="AE19" s="204" t="s">
        <v>125</v>
      </c>
      <c r="AF19" s="199"/>
      <c r="AG19" s="199"/>
      <c r="AH19" s="199"/>
      <c r="AI19" s="126" t="s">
        <v>6</v>
      </c>
      <c r="AJ19" s="403"/>
      <c r="AK19" s="403"/>
      <c r="AL19" s="399" t="s">
        <v>890</v>
      </c>
      <c r="AM19" s="198" t="s">
        <v>891</v>
      </c>
      <c r="AN19" s="200"/>
      <c r="AO19" s="198"/>
      <c r="AP19" s="198"/>
      <c r="AQ19" s="198"/>
      <c r="AR19" s="198"/>
      <c r="AS19" s="198"/>
      <c r="AT19" s="198"/>
      <c r="AU19" s="198"/>
      <c r="AV19" s="198"/>
      <c r="AW19" s="155">
        <f t="shared" si="1"/>
        <v>31</v>
      </c>
      <c r="AX19" s="237"/>
      <c r="AY19" s="238"/>
    </row>
    <row r="20" spans="1:51" s="236" customFormat="1" ht="15">
      <c r="A20" s="40">
        <f t="shared" si="0"/>
        <v>14</v>
      </c>
      <c r="B20" s="232"/>
      <c r="C20" s="48"/>
      <c r="D20" s="232"/>
      <c r="E20" s="232"/>
      <c r="F20" s="232"/>
      <c r="G20" s="232"/>
      <c r="H20" s="40"/>
      <c r="I20" s="40" t="s">
        <v>868</v>
      </c>
      <c r="J20" s="399" t="s">
        <v>897</v>
      </c>
      <c r="K20" s="204" t="s">
        <v>122</v>
      </c>
      <c r="L20" s="204" t="s">
        <v>674</v>
      </c>
      <c r="M20" s="204" t="s">
        <v>4037</v>
      </c>
      <c r="N20" s="349" t="s">
        <v>873</v>
      </c>
      <c r="O20" s="126"/>
      <c r="P20" s="126"/>
      <c r="Q20" s="126" t="s">
        <v>6</v>
      </c>
      <c r="R20" s="126" t="s">
        <v>6</v>
      </c>
      <c r="S20" s="126" t="s">
        <v>6</v>
      </c>
      <c r="T20" s="126" t="s">
        <v>6</v>
      </c>
      <c r="U20" s="218" t="s">
        <v>812</v>
      </c>
      <c r="V20" s="399" t="s">
        <v>892</v>
      </c>
      <c r="W20" s="204" t="s">
        <v>123</v>
      </c>
      <c r="X20" s="199"/>
      <c r="Y20" s="199"/>
      <c r="Z20" s="126" t="s">
        <v>6</v>
      </c>
      <c r="AA20" s="126" t="s">
        <v>6</v>
      </c>
      <c r="AB20" s="215"/>
      <c r="AC20" s="403"/>
      <c r="AD20" s="403"/>
      <c r="AE20" s="204" t="s">
        <v>123</v>
      </c>
      <c r="AF20" s="199"/>
      <c r="AG20" s="199"/>
      <c r="AH20" s="126" t="s">
        <v>6</v>
      </c>
      <c r="AI20" s="126" t="s">
        <v>6</v>
      </c>
      <c r="AJ20" s="215" t="e">
        <f>"Atende também ao agrupamento dos itens "&amp;#REF!&amp;" a "&amp;#REF!&amp;" para anunciador do nível 2 e alarme do nível 3."</f>
        <v>#REF!</v>
      </c>
      <c r="AK20" s="403"/>
      <c r="AL20" s="403"/>
      <c r="AM20" s="198" t="s">
        <v>891</v>
      </c>
      <c r="AN20" s="202"/>
      <c r="AO20" s="40"/>
      <c r="AP20" s="40"/>
      <c r="AQ20" s="40"/>
      <c r="AR20" s="40"/>
      <c r="AS20" s="40"/>
      <c r="AT20" s="40"/>
      <c r="AU20" s="198"/>
      <c r="AV20" s="198"/>
      <c r="AW20" s="155">
        <f>LEN(L20)</f>
        <v>24</v>
      </c>
    </row>
    <row r="21" spans="1:51" s="236" customFormat="1" ht="15">
      <c r="A21" s="40">
        <f t="shared" si="0"/>
        <v>15</v>
      </c>
      <c r="B21" s="232"/>
      <c r="C21" s="48"/>
      <c r="D21" s="232"/>
      <c r="E21" s="232"/>
      <c r="F21" s="232"/>
      <c r="G21" s="232"/>
      <c r="H21" s="40"/>
      <c r="I21" s="40" t="s">
        <v>868</v>
      </c>
      <c r="J21" s="399" t="s">
        <v>898</v>
      </c>
      <c r="K21" s="204" t="s">
        <v>122</v>
      </c>
      <c r="L21" s="204" t="s">
        <v>899</v>
      </c>
      <c r="M21" s="204" t="s">
        <v>4037</v>
      </c>
      <c r="N21" s="349" t="s">
        <v>873</v>
      </c>
      <c r="O21" s="126"/>
      <c r="P21" s="126"/>
      <c r="Q21" s="126" t="s">
        <v>6</v>
      </c>
      <c r="R21" s="126" t="s">
        <v>6</v>
      </c>
      <c r="S21" s="126" t="s">
        <v>6</v>
      </c>
      <c r="T21" s="126" t="s">
        <v>6</v>
      </c>
      <c r="U21" s="215" t="s">
        <v>802</v>
      </c>
      <c r="V21" s="215"/>
      <c r="W21" s="204" t="s">
        <v>123</v>
      </c>
      <c r="X21" s="199"/>
      <c r="Y21" s="199"/>
      <c r="Z21" s="126" t="s">
        <v>6</v>
      </c>
      <c r="AA21" s="126" t="s">
        <v>6</v>
      </c>
      <c r="AB21" s="215"/>
      <c r="AC21" s="403"/>
      <c r="AD21" s="403"/>
      <c r="AE21" s="204" t="s">
        <v>123</v>
      </c>
      <c r="AF21" s="199"/>
      <c r="AG21" s="199"/>
      <c r="AH21" s="126" t="s">
        <v>6</v>
      </c>
      <c r="AI21" s="126" t="s">
        <v>6</v>
      </c>
      <c r="AJ21" s="215" t="e">
        <f>"Atende também ao agrupamento dos itens "&amp;A20&amp;" a "&amp;#REF!&amp;" para anunciador do nível 2 e alarme do nível 3."</f>
        <v>#REF!</v>
      </c>
      <c r="AK21" s="403"/>
      <c r="AL21" s="403"/>
      <c r="AM21" s="198" t="s">
        <v>891</v>
      </c>
      <c r="AN21" s="202"/>
      <c r="AO21" s="40"/>
      <c r="AP21" s="40"/>
      <c r="AQ21" s="40"/>
      <c r="AR21" s="40"/>
      <c r="AS21" s="40"/>
      <c r="AT21" s="40"/>
      <c r="AU21" s="198"/>
      <c r="AV21" s="198"/>
      <c r="AW21" s="155">
        <f>LEN(L21)</f>
        <v>33</v>
      </c>
    </row>
    <row r="22" spans="1:51" s="236" customFormat="1" ht="15">
      <c r="A22" s="40">
        <f t="shared" si="0"/>
        <v>16</v>
      </c>
      <c r="B22" s="232"/>
      <c r="C22" s="48"/>
      <c r="D22" s="232"/>
      <c r="E22" s="232"/>
      <c r="F22" s="232"/>
      <c r="G22" s="232"/>
      <c r="H22" s="40"/>
      <c r="I22" s="40" t="s">
        <v>868</v>
      </c>
      <c r="J22" s="399" t="s">
        <v>900</v>
      </c>
      <c r="K22" s="204" t="s">
        <v>122</v>
      </c>
      <c r="L22" s="204" t="s">
        <v>901</v>
      </c>
      <c r="M22" s="204" t="s">
        <v>4037</v>
      </c>
      <c r="N22" s="349" t="s">
        <v>873</v>
      </c>
      <c r="O22" s="126"/>
      <c r="P22" s="126"/>
      <c r="Q22" s="126" t="s">
        <v>6</v>
      </c>
      <c r="R22" s="126" t="s">
        <v>6</v>
      </c>
      <c r="S22" s="126" t="s">
        <v>6</v>
      </c>
      <c r="T22" s="126" t="s">
        <v>6</v>
      </c>
      <c r="U22" s="215" t="s">
        <v>802</v>
      </c>
      <c r="V22" s="215"/>
      <c r="W22" s="204" t="s">
        <v>123</v>
      </c>
      <c r="X22" s="199"/>
      <c r="Y22" s="199"/>
      <c r="Z22" s="126" t="s">
        <v>6</v>
      </c>
      <c r="AA22" s="126" t="s">
        <v>6</v>
      </c>
      <c r="AB22" s="215"/>
      <c r="AC22" s="403"/>
      <c r="AD22" s="403"/>
      <c r="AE22" s="204" t="s">
        <v>123</v>
      </c>
      <c r="AF22" s="199"/>
      <c r="AG22" s="199"/>
      <c r="AH22" s="126" t="s">
        <v>6</v>
      </c>
      <c r="AI22" s="126" t="s">
        <v>6</v>
      </c>
      <c r="AJ22" s="215" t="e">
        <f>"Atende também ao agrupamento dos itens "&amp;#REF!&amp;" a "&amp;#REF!&amp;" para anunciador do nível 2 e alarme do nível 3."</f>
        <v>#REF!</v>
      </c>
      <c r="AK22" s="403"/>
      <c r="AL22" s="403"/>
      <c r="AM22" s="198" t="s">
        <v>891</v>
      </c>
      <c r="AN22" s="202"/>
      <c r="AO22" s="40"/>
      <c r="AP22" s="40"/>
      <c r="AQ22" s="40"/>
      <c r="AR22" s="40"/>
      <c r="AS22" s="40"/>
      <c r="AT22" s="40"/>
      <c r="AU22" s="198"/>
      <c r="AV22" s="198"/>
      <c r="AW22" s="155">
        <f t="shared" si="1"/>
        <v>33</v>
      </c>
    </row>
    <row r="23" spans="1:51" s="236" customFormat="1" ht="15">
      <c r="A23" s="40">
        <f t="shared" si="0"/>
        <v>17</v>
      </c>
      <c r="B23" s="232"/>
      <c r="C23" s="48"/>
      <c r="D23" s="232"/>
      <c r="E23" s="232"/>
      <c r="F23" s="232"/>
      <c r="G23" s="232"/>
      <c r="H23" s="40"/>
      <c r="I23" s="40" t="s">
        <v>868</v>
      </c>
      <c r="J23" s="399" t="s">
        <v>902</v>
      </c>
      <c r="K23" s="204" t="s">
        <v>122</v>
      </c>
      <c r="L23" s="204" t="s">
        <v>903</v>
      </c>
      <c r="M23" s="204" t="s">
        <v>4037</v>
      </c>
      <c r="N23" s="349" t="s">
        <v>873</v>
      </c>
      <c r="O23" s="126"/>
      <c r="P23" s="126"/>
      <c r="Q23" s="126" t="s">
        <v>6</v>
      </c>
      <c r="R23" s="126" t="s">
        <v>6</v>
      </c>
      <c r="S23" s="126" t="s">
        <v>6</v>
      </c>
      <c r="T23" s="126" t="s">
        <v>6</v>
      </c>
      <c r="U23" s="215" t="s">
        <v>802</v>
      </c>
      <c r="V23" s="215"/>
      <c r="W23" s="204" t="s">
        <v>123</v>
      </c>
      <c r="X23" s="199"/>
      <c r="Y23" s="199"/>
      <c r="Z23" s="126" t="s">
        <v>6</v>
      </c>
      <c r="AA23" s="126" t="s">
        <v>6</v>
      </c>
      <c r="AB23" s="215"/>
      <c r="AC23" s="403"/>
      <c r="AD23" s="403"/>
      <c r="AE23" s="204" t="s">
        <v>123</v>
      </c>
      <c r="AF23" s="199"/>
      <c r="AG23" s="199"/>
      <c r="AH23" s="126" t="s">
        <v>6</v>
      </c>
      <c r="AI23" s="126" t="s">
        <v>6</v>
      </c>
      <c r="AJ23" s="215" t="e">
        <f>"Atende também ao agrupamento dos itens "&amp;#REF!&amp;" a "&amp;#REF!&amp;" para anunciador do nível 2 e alarme do nível 3."</f>
        <v>#REF!</v>
      </c>
      <c r="AK23" s="403"/>
      <c r="AL23" s="403"/>
      <c r="AM23" s="198" t="s">
        <v>891</v>
      </c>
      <c r="AN23" s="202"/>
      <c r="AO23" s="40"/>
      <c r="AP23" s="40"/>
      <c r="AQ23" s="40"/>
      <c r="AR23" s="40"/>
      <c r="AS23" s="40"/>
      <c r="AT23" s="40"/>
      <c r="AU23" s="198"/>
      <c r="AV23" s="198"/>
      <c r="AW23" s="155">
        <f>LEN(L23)</f>
        <v>33</v>
      </c>
    </row>
    <row r="24" spans="1:51" s="236" customFormat="1" ht="26.4">
      <c r="A24" s="40">
        <f t="shared" si="0"/>
        <v>18</v>
      </c>
      <c r="B24" s="232"/>
      <c r="C24" s="41"/>
      <c r="D24" s="232"/>
      <c r="E24" s="232"/>
      <c r="F24" s="232"/>
      <c r="G24" s="232"/>
      <c r="H24" s="40"/>
      <c r="I24" s="40" t="s">
        <v>868</v>
      </c>
      <c r="J24" s="399" t="s">
        <v>904</v>
      </c>
      <c r="K24" s="204" t="s">
        <v>132</v>
      </c>
      <c r="L24" s="204" t="s">
        <v>905</v>
      </c>
      <c r="M24" s="204" t="s">
        <v>4033</v>
      </c>
      <c r="N24" s="126" t="s">
        <v>504</v>
      </c>
      <c r="O24" s="126"/>
      <c r="P24" s="126"/>
      <c r="Q24" s="126"/>
      <c r="R24" s="126" t="s">
        <v>6</v>
      </c>
      <c r="S24" s="126" t="s">
        <v>6</v>
      </c>
      <c r="T24" s="126" t="s">
        <v>6</v>
      </c>
      <c r="U24" s="218"/>
      <c r="V24" s="399"/>
      <c r="W24" s="204" t="s">
        <v>125</v>
      </c>
      <c r="X24" s="199"/>
      <c r="Y24" s="199"/>
      <c r="Z24" s="199"/>
      <c r="AA24" s="126" t="s">
        <v>6</v>
      </c>
      <c r="AB24" s="350"/>
      <c r="AC24" s="403"/>
      <c r="AD24" s="399" t="s">
        <v>906</v>
      </c>
      <c r="AE24" s="204" t="s">
        <v>125</v>
      </c>
      <c r="AF24" s="199"/>
      <c r="AG24" s="199"/>
      <c r="AH24" s="199"/>
      <c r="AI24" s="126" t="s">
        <v>6</v>
      </c>
      <c r="AJ24" s="350"/>
      <c r="AK24" s="403"/>
      <c r="AL24" s="399" t="s">
        <v>906</v>
      </c>
      <c r="AM24" s="198" t="s">
        <v>907</v>
      </c>
      <c r="AN24" s="203" t="s">
        <v>908</v>
      </c>
      <c r="AO24" s="40"/>
      <c r="AP24" s="40"/>
      <c r="AQ24" s="40"/>
      <c r="AR24" s="40"/>
      <c r="AS24" s="40"/>
      <c r="AT24" s="40"/>
      <c r="AU24" s="198"/>
      <c r="AV24" s="198"/>
      <c r="AW24" s="155">
        <f>LEN(L24)</f>
        <v>37</v>
      </c>
    </row>
    <row r="25" spans="1:51" s="236" customFormat="1" ht="26.4">
      <c r="A25" s="40">
        <f t="shared" si="0"/>
        <v>19</v>
      </c>
      <c r="B25" s="232"/>
      <c r="C25" s="41"/>
      <c r="D25" s="232"/>
      <c r="E25" s="232"/>
      <c r="F25" s="232"/>
      <c r="G25" s="232"/>
      <c r="H25" s="40"/>
      <c r="I25" s="40" t="s">
        <v>868</v>
      </c>
      <c r="J25" s="399" t="s">
        <v>909</v>
      </c>
      <c r="K25" s="204" t="s">
        <v>132</v>
      </c>
      <c r="L25" s="204" t="s">
        <v>910</v>
      </c>
      <c r="M25" s="204" t="s">
        <v>4033</v>
      </c>
      <c r="N25" s="126" t="s">
        <v>504</v>
      </c>
      <c r="O25" s="126"/>
      <c r="P25" s="126"/>
      <c r="Q25" s="126"/>
      <c r="R25" s="126" t="s">
        <v>6</v>
      </c>
      <c r="S25" s="126" t="s">
        <v>6</v>
      </c>
      <c r="T25" s="126" t="s">
        <v>6</v>
      </c>
      <c r="U25" s="218"/>
      <c r="V25" s="399"/>
      <c r="W25" s="204" t="s">
        <v>125</v>
      </c>
      <c r="X25" s="199"/>
      <c r="Y25" s="199"/>
      <c r="Z25" s="199"/>
      <c r="AA25" s="126" t="s">
        <v>6</v>
      </c>
      <c r="AB25" s="350"/>
      <c r="AC25" s="403"/>
      <c r="AD25" s="399" t="s">
        <v>906</v>
      </c>
      <c r="AE25" s="204" t="s">
        <v>125</v>
      </c>
      <c r="AF25" s="199"/>
      <c r="AG25" s="199"/>
      <c r="AH25" s="199"/>
      <c r="AI25" s="126" t="s">
        <v>6</v>
      </c>
      <c r="AJ25" s="350"/>
      <c r="AK25" s="403"/>
      <c r="AL25" s="399" t="s">
        <v>906</v>
      </c>
      <c r="AM25" s="198" t="s">
        <v>907</v>
      </c>
      <c r="AN25" s="203" t="s">
        <v>908</v>
      </c>
      <c r="AO25" s="40"/>
      <c r="AP25" s="40"/>
      <c r="AQ25" s="40"/>
      <c r="AR25" s="40"/>
      <c r="AS25" s="40"/>
      <c r="AT25" s="40"/>
      <c r="AU25" s="198"/>
      <c r="AV25" s="198"/>
      <c r="AW25" s="155">
        <f t="shared" si="1"/>
        <v>37</v>
      </c>
    </row>
    <row r="26" spans="1:51" s="236" customFormat="1" ht="26.4">
      <c r="A26" s="40">
        <f t="shared" si="0"/>
        <v>20</v>
      </c>
      <c r="B26" s="232"/>
      <c r="C26" s="41"/>
      <c r="D26" s="232"/>
      <c r="E26" s="232"/>
      <c r="F26" s="232"/>
      <c r="G26" s="232"/>
      <c r="H26" s="40"/>
      <c r="I26" s="40" t="s">
        <v>868</v>
      </c>
      <c r="J26" s="399" t="s">
        <v>911</v>
      </c>
      <c r="K26" s="204" t="s">
        <v>132</v>
      </c>
      <c r="L26" s="204" t="s">
        <v>912</v>
      </c>
      <c r="M26" s="204" t="s">
        <v>4033</v>
      </c>
      <c r="N26" s="126" t="s">
        <v>504</v>
      </c>
      <c r="O26" s="126"/>
      <c r="P26" s="126"/>
      <c r="Q26" s="126"/>
      <c r="R26" s="126" t="s">
        <v>6</v>
      </c>
      <c r="S26" s="126" t="s">
        <v>6</v>
      </c>
      <c r="T26" s="126" t="s">
        <v>6</v>
      </c>
      <c r="U26" s="218"/>
      <c r="V26" s="399"/>
      <c r="W26" s="204" t="s">
        <v>125</v>
      </c>
      <c r="X26" s="199"/>
      <c r="Y26" s="199"/>
      <c r="Z26" s="199"/>
      <c r="AA26" s="126" t="s">
        <v>6</v>
      </c>
      <c r="AB26" s="350"/>
      <c r="AC26" s="403"/>
      <c r="AD26" s="399" t="s">
        <v>906</v>
      </c>
      <c r="AE26" s="204" t="s">
        <v>125</v>
      </c>
      <c r="AF26" s="199"/>
      <c r="AG26" s="199"/>
      <c r="AH26" s="199"/>
      <c r="AI26" s="126" t="s">
        <v>6</v>
      </c>
      <c r="AJ26" s="350"/>
      <c r="AK26" s="403"/>
      <c r="AL26" s="399" t="s">
        <v>906</v>
      </c>
      <c r="AM26" s="198" t="s">
        <v>907</v>
      </c>
      <c r="AN26" s="203" t="s">
        <v>908</v>
      </c>
      <c r="AO26" s="40"/>
      <c r="AP26" s="40"/>
      <c r="AQ26" s="40"/>
      <c r="AR26" s="40"/>
      <c r="AS26" s="40"/>
      <c r="AT26" s="40"/>
      <c r="AU26" s="198"/>
      <c r="AV26" s="198"/>
      <c r="AW26" s="155">
        <f>LEN(L26)</f>
        <v>37</v>
      </c>
    </row>
    <row r="27" spans="1:51" s="236" customFormat="1" ht="26.4">
      <c r="A27" s="40">
        <f t="shared" si="0"/>
        <v>21</v>
      </c>
      <c r="B27" s="232"/>
      <c r="C27" s="41"/>
      <c r="D27" s="232"/>
      <c r="E27" s="232"/>
      <c r="F27" s="232"/>
      <c r="G27" s="232"/>
      <c r="H27" s="40"/>
      <c r="I27" s="40" t="s">
        <v>868</v>
      </c>
      <c r="J27" s="399" t="s">
        <v>913</v>
      </c>
      <c r="K27" s="204" t="s">
        <v>132</v>
      </c>
      <c r="L27" s="204" t="s">
        <v>914</v>
      </c>
      <c r="M27" s="204" t="s">
        <v>4033</v>
      </c>
      <c r="N27" s="126" t="s">
        <v>504</v>
      </c>
      <c r="O27" s="126"/>
      <c r="P27" s="126"/>
      <c r="Q27" s="126" t="s">
        <v>6</v>
      </c>
      <c r="R27" s="126" t="s">
        <v>6</v>
      </c>
      <c r="S27" s="126" t="s">
        <v>6</v>
      </c>
      <c r="T27" s="126" t="s">
        <v>6</v>
      </c>
      <c r="U27" s="218"/>
      <c r="V27" s="399"/>
      <c r="W27" s="204" t="s">
        <v>125</v>
      </c>
      <c r="X27" s="199"/>
      <c r="Y27" s="199"/>
      <c r="Z27" s="199"/>
      <c r="AA27" s="126" t="s">
        <v>6</v>
      </c>
      <c r="AB27" s="350"/>
      <c r="AC27" s="403"/>
      <c r="AD27" s="399" t="s">
        <v>906</v>
      </c>
      <c r="AE27" s="204" t="s">
        <v>125</v>
      </c>
      <c r="AF27" s="199"/>
      <c r="AG27" s="199"/>
      <c r="AH27" s="199"/>
      <c r="AI27" s="126" t="s">
        <v>6</v>
      </c>
      <c r="AJ27" s="350"/>
      <c r="AK27" s="403"/>
      <c r="AL27" s="399" t="s">
        <v>906</v>
      </c>
      <c r="AM27" s="198" t="s">
        <v>907</v>
      </c>
      <c r="AN27" s="203" t="s">
        <v>908</v>
      </c>
      <c r="AO27" s="40"/>
      <c r="AP27" s="40"/>
      <c r="AQ27" s="40"/>
      <c r="AR27" s="40"/>
      <c r="AS27" s="40"/>
      <c r="AT27" s="40"/>
      <c r="AU27" s="198"/>
      <c r="AV27" s="198"/>
      <c r="AW27" s="155">
        <f t="shared" si="1"/>
        <v>36</v>
      </c>
    </row>
    <row r="28" spans="1:51" s="236" customFormat="1" ht="15">
      <c r="A28" s="40">
        <f t="shared" si="0"/>
        <v>22</v>
      </c>
      <c r="B28" s="38"/>
      <c r="C28" s="41"/>
      <c r="D28" s="232"/>
      <c r="E28" s="232"/>
      <c r="F28" s="232"/>
      <c r="G28" s="232"/>
      <c r="H28" s="40"/>
      <c r="I28" s="40" t="s">
        <v>868</v>
      </c>
      <c r="J28" s="399" t="s">
        <v>916</v>
      </c>
      <c r="K28" s="204" t="s">
        <v>132</v>
      </c>
      <c r="L28" s="204" t="s">
        <v>917</v>
      </c>
      <c r="M28" s="204" t="s">
        <v>4034</v>
      </c>
      <c r="N28" s="126" t="s">
        <v>504</v>
      </c>
      <c r="O28" s="126"/>
      <c r="P28" s="126"/>
      <c r="Q28" s="126" t="s">
        <v>6</v>
      </c>
      <c r="R28" s="126" t="s">
        <v>6</v>
      </c>
      <c r="S28" s="126" t="s">
        <v>6</v>
      </c>
      <c r="T28" s="126" t="s">
        <v>6</v>
      </c>
      <c r="U28" s="215"/>
      <c r="V28" s="399"/>
      <c r="W28" s="204" t="s">
        <v>133</v>
      </c>
      <c r="X28" s="199"/>
      <c r="Y28" s="199"/>
      <c r="Z28" s="126" t="s">
        <v>6</v>
      </c>
      <c r="AA28" s="126" t="s">
        <v>6</v>
      </c>
      <c r="AB28" s="403"/>
      <c r="AC28" s="403"/>
      <c r="AD28" s="235" t="s">
        <v>915</v>
      </c>
      <c r="AE28" s="204" t="s">
        <v>133</v>
      </c>
      <c r="AF28" s="199"/>
      <c r="AG28" s="199"/>
      <c r="AH28" s="126" t="s">
        <v>6</v>
      </c>
      <c r="AI28" s="126" t="s">
        <v>6</v>
      </c>
      <c r="AJ28" s="403"/>
      <c r="AK28" s="403"/>
      <c r="AL28" s="235" t="s">
        <v>915</v>
      </c>
      <c r="AM28" s="198" t="s">
        <v>907</v>
      </c>
      <c r="AN28" s="203" t="s">
        <v>908</v>
      </c>
      <c r="AO28" s="198"/>
      <c r="AP28" s="198"/>
      <c r="AQ28" s="198"/>
      <c r="AR28" s="198"/>
      <c r="AS28" s="198"/>
      <c r="AT28" s="198"/>
      <c r="AU28" s="198"/>
      <c r="AV28" s="198"/>
      <c r="AW28" s="155">
        <f>LEN(L28)</f>
        <v>37</v>
      </c>
    </row>
    <row r="29" spans="1:51" s="236" customFormat="1" ht="26.4">
      <c r="A29" s="40">
        <f t="shared" si="0"/>
        <v>23</v>
      </c>
      <c r="B29" s="38"/>
      <c r="C29" s="41"/>
      <c r="D29" s="38"/>
      <c r="E29" s="46"/>
      <c r="F29" s="46"/>
      <c r="G29" s="46"/>
      <c r="H29" s="40"/>
      <c r="I29" s="40" t="s">
        <v>868</v>
      </c>
      <c r="J29" s="399" t="s">
        <v>918</v>
      </c>
      <c r="K29" s="204" t="s">
        <v>132</v>
      </c>
      <c r="L29" s="204" t="s">
        <v>919</v>
      </c>
      <c r="M29" s="204" t="s">
        <v>4033</v>
      </c>
      <c r="N29" s="126" t="s">
        <v>504</v>
      </c>
      <c r="O29" s="126"/>
      <c r="P29" s="126"/>
      <c r="Q29" s="126"/>
      <c r="R29" s="126" t="s">
        <v>6</v>
      </c>
      <c r="S29" s="126" t="s">
        <v>6</v>
      </c>
      <c r="T29" s="126" t="s">
        <v>6</v>
      </c>
      <c r="U29" s="218"/>
      <c r="V29" s="399"/>
      <c r="W29" s="204" t="s">
        <v>125</v>
      </c>
      <c r="X29" s="199"/>
      <c r="Y29" s="199"/>
      <c r="Z29" s="199"/>
      <c r="AA29" s="126" t="s">
        <v>6</v>
      </c>
      <c r="AB29" s="403"/>
      <c r="AC29" s="403"/>
      <c r="AD29" s="399" t="s">
        <v>920</v>
      </c>
      <c r="AE29" s="204" t="s">
        <v>125</v>
      </c>
      <c r="AF29" s="199"/>
      <c r="AG29" s="199"/>
      <c r="AH29" s="199"/>
      <c r="AI29" s="126" t="s">
        <v>6</v>
      </c>
      <c r="AJ29" s="403"/>
      <c r="AK29" s="403"/>
      <c r="AL29" s="399" t="s">
        <v>920</v>
      </c>
      <c r="AM29" s="198" t="s">
        <v>907</v>
      </c>
      <c r="AN29" s="203" t="s">
        <v>908</v>
      </c>
      <c r="AO29" s="40"/>
      <c r="AP29" s="40"/>
      <c r="AQ29" s="40"/>
      <c r="AR29" s="40"/>
      <c r="AS29" s="40"/>
      <c r="AT29" s="40"/>
      <c r="AU29" s="40"/>
      <c r="AV29" s="232"/>
      <c r="AW29" s="155">
        <f>LEN(L29)</f>
        <v>38</v>
      </c>
    </row>
    <row r="30" spans="1:51" s="236" customFormat="1" ht="26.4">
      <c r="A30" s="40">
        <f t="shared" si="0"/>
        <v>24</v>
      </c>
      <c r="B30" s="38"/>
      <c r="C30" s="41"/>
      <c r="D30" s="38"/>
      <c r="E30" s="46"/>
      <c r="F30" s="46"/>
      <c r="G30" s="46"/>
      <c r="H30" s="40"/>
      <c r="I30" s="40" t="s">
        <v>868</v>
      </c>
      <c r="J30" s="399" t="s">
        <v>921</v>
      </c>
      <c r="K30" s="204" t="s">
        <v>132</v>
      </c>
      <c r="L30" s="204" t="s">
        <v>922</v>
      </c>
      <c r="M30" s="204" t="s">
        <v>4033</v>
      </c>
      <c r="N30" s="126" t="s">
        <v>504</v>
      </c>
      <c r="O30" s="126"/>
      <c r="P30" s="126"/>
      <c r="Q30" s="126"/>
      <c r="R30" s="126" t="s">
        <v>6</v>
      </c>
      <c r="S30" s="126" t="s">
        <v>6</v>
      </c>
      <c r="T30" s="126" t="s">
        <v>6</v>
      </c>
      <c r="U30" s="218"/>
      <c r="V30" s="399"/>
      <c r="W30" s="204" t="s">
        <v>125</v>
      </c>
      <c r="X30" s="199"/>
      <c r="Y30" s="199"/>
      <c r="Z30" s="199"/>
      <c r="AA30" s="126" t="s">
        <v>6</v>
      </c>
      <c r="AB30" s="403"/>
      <c r="AC30" s="403"/>
      <c r="AD30" s="399" t="s">
        <v>920</v>
      </c>
      <c r="AE30" s="204" t="s">
        <v>125</v>
      </c>
      <c r="AF30" s="199"/>
      <c r="AG30" s="199"/>
      <c r="AH30" s="199"/>
      <c r="AI30" s="126" t="s">
        <v>6</v>
      </c>
      <c r="AJ30" s="403"/>
      <c r="AK30" s="403"/>
      <c r="AL30" s="399" t="s">
        <v>920</v>
      </c>
      <c r="AM30" s="198" t="s">
        <v>907</v>
      </c>
      <c r="AN30" s="203" t="s">
        <v>908</v>
      </c>
      <c r="AO30" s="40"/>
      <c r="AP30" s="40"/>
      <c r="AQ30" s="40"/>
      <c r="AR30" s="40"/>
      <c r="AS30" s="40"/>
      <c r="AT30" s="40"/>
      <c r="AU30" s="40"/>
      <c r="AV30" s="232"/>
      <c r="AW30" s="155">
        <f t="shared" si="1"/>
        <v>38</v>
      </c>
    </row>
    <row r="31" spans="1:51" s="236" customFormat="1" ht="26.4">
      <c r="A31" s="40">
        <f t="shared" si="0"/>
        <v>25</v>
      </c>
      <c r="B31" s="38"/>
      <c r="C31" s="41"/>
      <c r="D31" s="38"/>
      <c r="E31" s="46"/>
      <c r="F31" s="46"/>
      <c r="G31" s="46"/>
      <c r="H31" s="40"/>
      <c r="I31" s="40" t="s">
        <v>868</v>
      </c>
      <c r="J31" s="399" t="s">
        <v>923</v>
      </c>
      <c r="K31" s="204" t="s">
        <v>132</v>
      </c>
      <c r="L31" s="204" t="s">
        <v>924</v>
      </c>
      <c r="M31" s="204" t="s">
        <v>4033</v>
      </c>
      <c r="N31" s="126" t="s">
        <v>504</v>
      </c>
      <c r="O31" s="126"/>
      <c r="P31" s="126"/>
      <c r="Q31" s="126"/>
      <c r="R31" s="126" t="s">
        <v>6</v>
      </c>
      <c r="S31" s="126" t="s">
        <v>6</v>
      </c>
      <c r="T31" s="126" t="s">
        <v>6</v>
      </c>
      <c r="U31" s="218"/>
      <c r="V31" s="399"/>
      <c r="W31" s="204" t="s">
        <v>125</v>
      </c>
      <c r="X31" s="199"/>
      <c r="Y31" s="199"/>
      <c r="Z31" s="199"/>
      <c r="AA31" s="126" t="s">
        <v>6</v>
      </c>
      <c r="AB31" s="403"/>
      <c r="AC31" s="403"/>
      <c r="AD31" s="399" t="s">
        <v>920</v>
      </c>
      <c r="AE31" s="204" t="s">
        <v>125</v>
      </c>
      <c r="AF31" s="199"/>
      <c r="AG31" s="199"/>
      <c r="AH31" s="199"/>
      <c r="AI31" s="126" t="s">
        <v>6</v>
      </c>
      <c r="AJ31" s="403"/>
      <c r="AK31" s="403"/>
      <c r="AL31" s="399" t="s">
        <v>920</v>
      </c>
      <c r="AM31" s="198" t="s">
        <v>907</v>
      </c>
      <c r="AN31" s="203" t="s">
        <v>908</v>
      </c>
      <c r="AO31" s="40"/>
      <c r="AP31" s="40"/>
      <c r="AQ31" s="40"/>
      <c r="AR31" s="40"/>
      <c r="AS31" s="40"/>
      <c r="AT31" s="40"/>
      <c r="AU31" s="40"/>
      <c r="AV31" s="232"/>
      <c r="AW31" s="155">
        <f t="shared" si="1"/>
        <v>38</v>
      </c>
    </row>
    <row r="32" spans="1:51" s="236" customFormat="1" ht="26.4">
      <c r="A32" s="40">
        <f t="shared" si="0"/>
        <v>26</v>
      </c>
      <c r="B32" s="38"/>
      <c r="C32" s="41"/>
      <c r="D32" s="38"/>
      <c r="E32" s="46"/>
      <c r="F32" s="46"/>
      <c r="G32" s="46"/>
      <c r="H32" s="40"/>
      <c r="I32" s="40" t="s">
        <v>868</v>
      </c>
      <c r="J32" s="399" t="s">
        <v>925</v>
      </c>
      <c r="K32" s="204" t="s">
        <v>132</v>
      </c>
      <c r="L32" s="204" t="s">
        <v>926</v>
      </c>
      <c r="M32" s="204" t="s">
        <v>4033</v>
      </c>
      <c r="N32" s="126" t="s">
        <v>504</v>
      </c>
      <c r="O32" s="126"/>
      <c r="P32" s="126"/>
      <c r="Q32" s="126" t="s">
        <v>6</v>
      </c>
      <c r="R32" s="126" t="s">
        <v>6</v>
      </c>
      <c r="S32" s="126" t="s">
        <v>6</v>
      </c>
      <c r="T32" s="126" t="s">
        <v>6</v>
      </c>
      <c r="U32" s="218"/>
      <c r="V32" s="399"/>
      <c r="W32" s="204" t="s">
        <v>125</v>
      </c>
      <c r="X32" s="199"/>
      <c r="Y32" s="199"/>
      <c r="Z32" s="199"/>
      <c r="AA32" s="126" t="s">
        <v>6</v>
      </c>
      <c r="AB32" s="403"/>
      <c r="AC32" s="403"/>
      <c r="AD32" s="399" t="s">
        <v>920</v>
      </c>
      <c r="AE32" s="204" t="s">
        <v>125</v>
      </c>
      <c r="AF32" s="199"/>
      <c r="AG32" s="199"/>
      <c r="AH32" s="199"/>
      <c r="AI32" s="126" t="s">
        <v>6</v>
      </c>
      <c r="AJ32" s="403"/>
      <c r="AK32" s="403"/>
      <c r="AL32" s="399" t="s">
        <v>920</v>
      </c>
      <c r="AM32" s="198" t="s">
        <v>907</v>
      </c>
      <c r="AN32" s="203" t="s">
        <v>908</v>
      </c>
      <c r="AO32" s="40"/>
      <c r="AP32" s="40"/>
      <c r="AQ32" s="40"/>
      <c r="AR32" s="40"/>
      <c r="AS32" s="40"/>
      <c r="AT32" s="40"/>
      <c r="AU32" s="40"/>
      <c r="AV32" s="232"/>
      <c r="AW32" s="155">
        <f t="shared" si="1"/>
        <v>37</v>
      </c>
    </row>
    <row r="33" spans="1:49" s="236" customFormat="1" ht="26.4">
      <c r="A33" s="40">
        <f t="shared" si="0"/>
        <v>27</v>
      </c>
      <c r="B33" s="38"/>
      <c r="C33" s="41"/>
      <c r="D33" s="38"/>
      <c r="E33" s="46"/>
      <c r="F33" s="46"/>
      <c r="G33" s="46"/>
      <c r="H33" s="40"/>
      <c r="I33" s="40" t="s">
        <v>868</v>
      </c>
      <c r="J33" s="399" t="s">
        <v>927</v>
      </c>
      <c r="K33" s="204" t="s">
        <v>132</v>
      </c>
      <c r="L33" s="204" t="s">
        <v>928</v>
      </c>
      <c r="M33" s="204" t="s">
        <v>4034</v>
      </c>
      <c r="N33" s="126" t="s">
        <v>504</v>
      </c>
      <c r="O33" s="126"/>
      <c r="P33" s="126"/>
      <c r="Q33" s="126" t="s">
        <v>6</v>
      </c>
      <c r="R33" s="126" t="s">
        <v>6</v>
      </c>
      <c r="S33" s="126" t="s">
        <v>6</v>
      </c>
      <c r="T33" s="126" t="s">
        <v>6</v>
      </c>
      <c r="U33" s="218"/>
      <c r="V33" s="399"/>
      <c r="W33" s="204" t="s">
        <v>125</v>
      </c>
      <c r="X33" s="199"/>
      <c r="Y33" s="199"/>
      <c r="Z33" s="199"/>
      <c r="AA33" s="126" t="s">
        <v>6</v>
      </c>
      <c r="AB33" s="403"/>
      <c r="AC33" s="403"/>
      <c r="AD33" s="399" t="s">
        <v>920</v>
      </c>
      <c r="AE33" s="204" t="s">
        <v>125</v>
      </c>
      <c r="AF33" s="199"/>
      <c r="AG33" s="199"/>
      <c r="AH33" s="199"/>
      <c r="AI33" s="126" t="s">
        <v>6</v>
      </c>
      <c r="AJ33" s="403"/>
      <c r="AK33" s="403"/>
      <c r="AL33" s="399" t="s">
        <v>920</v>
      </c>
      <c r="AM33" s="198" t="s">
        <v>907</v>
      </c>
      <c r="AN33" s="203" t="s">
        <v>908</v>
      </c>
      <c r="AO33" s="40"/>
      <c r="AP33" s="40"/>
      <c r="AQ33" s="40"/>
      <c r="AR33" s="40"/>
      <c r="AS33" s="40"/>
      <c r="AT33" s="40"/>
      <c r="AU33" s="40"/>
      <c r="AV33" s="232"/>
      <c r="AW33" s="155">
        <f>LEN(L33)</f>
        <v>38</v>
      </c>
    </row>
    <row r="34" spans="1:49" s="236" customFormat="1" ht="26.4">
      <c r="A34" s="40">
        <f t="shared" si="0"/>
        <v>28</v>
      </c>
      <c r="B34" s="38"/>
      <c r="C34" s="41"/>
      <c r="D34" s="38"/>
      <c r="E34" s="46"/>
      <c r="F34" s="46"/>
      <c r="G34" s="46"/>
      <c r="H34" s="40"/>
      <c r="I34" s="40" t="s">
        <v>868</v>
      </c>
      <c r="J34" s="399" t="s">
        <v>929</v>
      </c>
      <c r="K34" s="204" t="s">
        <v>132</v>
      </c>
      <c r="L34" s="204" t="s">
        <v>930</v>
      </c>
      <c r="M34" s="204" t="s">
        <v>3809</v>
      </c>
      <c r="N34" s="126" t="s">
        <v>504</v>
      </c>
      <c r="O34" s="126"/>
      <c r="P34" s="126"/>
      <c r="Q34" s="126" t="s">
        <v>6</v>
      </c>
      <c r="R34" s="126" t="s">
        <v>6</v>
      </c>
      <c r="S34" s="126" t="s">
        <v>6</v>
      </c>
      <c r="T34" s="126" t="s">
        <v>6</v>
      </c>
      <c r="U34" s="218"/>
      <c r="V34" s="399"/>
      <c r="W34" s="204" t="s">
        <v>125</v>
      </c>
      <c r="X34" s="199"/>
      <c r="Y34" s="199"/>
      <c r="Z34" s="199"/>
      <c r="AA34" s="126" t="s">
        <v>6</v>
      </c>
      <c r="AB34" s="403"/>
      <c r="AC34" s="403"/>
      <c r="AD34" s="399" t="s">
        <v>920</v>
      </c>
      <c r="AE34" s="204" t="s">
        <v>125</v>
      </c>
      <c r="AF34" s="199"/>
      <c r="AG34" s="199"/>
      <c r="AH34" s="199"/>
      <c r="AI34" s="126" t="s">
        <v>6</v>
      </c>
      <c r="AJ34" s="403"/>
      <c r="AK34" s="403"/>
      <c r="AL34" s="399" t="s">
        <v>920</v>
      </c>
      <c r="AM34" s="198" t="s">
        <v>907</v>
      </c>
      <c r="AN34" s="203" t="s">
        <v>908</v>
      </c>
      <c r="AO34" s="40"/>
      <c r="AP34" s="40"/>
      <c r="AQ34" s="40"/>
      <c r="AR34" s="40"/>
      <c r="AS34" s="40"/>
      <c r="AT34" s="40"/>
      <c r="AU34" s="40"/>
      <c r="AV34" s="232"/>
      <c r="AW34" s="155">
        <f t="shared" si="1"/>
        <v>31</v>
      </c>
    </row>
    <row r="35" spans="1:49" s="236" customFormat="1" ht="26.4">
      <c r="A35" s="40">
        <f t="shared" si="0"/>
        <v>29</v>
      </c>
      <c r="B35" s="38"/>
      <c r="C35" s="41"/>
      <c r="D35" s="38"/>
      <c r="E35" s="46"/>
      <c r="F35" s="46"/>
      <c r="G35" s="46"/>
      <c r="H35" s="40"/>
      <c r="I35" s="40" t="s">
        <v>868</v>
      </c>
      <c r="J35" s="399" t="s">
        <v>931</v>
      </c>
      <c r="K35" s="204" t="s">
        <v>132</v>
      </c>
      <c r="L35" s="204" t="s">
        <v>932</v>
      </c>
      <c r="M35" s="204" t="s">
        <v>3809</v>
      </c>
      <c r="N35" s="126" t="s">
        <v>504</v>
      </c>
      <c r="O35" s="126"/>
      <c r="P35" s="126"/>
      <c r="Q35" s="126" t="s">
        <v>6</v>
      </c>
      <c r="R35" s="126" t="s">
        <v>6</v>
      </c>
      <c r="S35" s="126" t="s">
        <v>6</v>
      </c>
      <c r="T35" s="126" t="s">
        <v>6</v>
      </c>
      <c r="U35" s="218"/>
      <c r="V35" s="399"/>
      <c r="W35" s="204" t="s">
        <v>125</v>
      </c>
      <c r="X35" s="199"/>
      <c r="Y35" s="199"/>
      <c r="Z35" s="199"/>
      <c r="AA35" s="126" t="s">
        <v>6</v>
      </c>
      <c r="AB35" s="403"/>
      <c r="AC35" s="403"/>
      <c r="AD35" s="399" t="s">
        <v>920</v>
      </c>
      <c r="AE35" s="204" t="s">
        <v>125</v>
      </c>
      <c r="AF35" s="199"/>
      <c r="AG35" s="199"/>
      <c r="AH35" s="199"/>
      <c r="AI35" s="126" t="s">
        <v>6</v>
      </c>
      <c r="AJ35" s="403"/>
      <c r="AK35" s="403"/>
      <c r="AL35" s="399" t="s">
        <v>920</v>
      </c>
      <c r="AM35" s="198" t="s">
        <v>907</v>
      </c>
      <c r="AN35" s="203" t="s">
        <v>908</v>
      </c>
      <c r="AO35" s="40"/>
      <c r="AP35" s="40"/>
      <c r="AQ35" s="40"/>
      <c r="AR35" s="40"/>
      <c r="AS35" s="40"/>
      <c r="AT35" s="40"/>
      <c r="AU35" s="40"/>
      <c r="AV35" s="232"/>
      <c r="AW35" s="155">
        <f>LEN(L35)</f>
        <v>32</v>
      </c>
    </row>
    <row r="36" spans="1:49" s="236" customFormat="1" ht="26.4">
      <c r="A36" s="40">
        <f t="shared" si="0"/>
        <v>30</v>
      </c>
      <c r="B36" s="38"/>
      <c r="C36" s="41"/>
      <c r="D36" s="38"/>
      <c r="E36" s="46"/>
      <c r="F36" s="46"/>
      <c r="G36" s="46"/>
      <c r="H36" s="40"/>
      <c r="I36" s="40" t="s">
        <v>868</v>
      </c>
      <c r="J36" s="399" t="s">
        <v>933</v>
      </c>
      <c r="K36" s="204" t="s">
        <v>132</v>
      </c>
      <c r="L36" s="204" t="s">
        <v>934</v>
      </c>
      <c r="M36" s="204" t="s">
        <v>4033</v>
      </c>
      <c r="N36" s="126" t="s">
        <v>504</v>
      </c>
      <c r="O36" s="126"/>
      <c r="P36" s="126"/>
      <c r="Q36" s="126" t="s">
        <v>6</v>
      </c>
      <c r="R36" s="126" t="s">
        <v>6</v>
      </c>
      <c r="S36" s="126" t="s">
        <v>6</v>
      </c>
      <c r="T36" s="126" t="s">
        <v>6</v>
      </c>
      <c r="U36" s="218"/>
      <c r="V36" s="399"/>
      <c r="W36" s="204" t="s">
        <v>125</v>
      </c>
      <c r="X36" s="199"/>
      <c r="Y36" s="199"/>
      <c r="Z36" s="199"/>
      <c r="AA36" s="126" t="s">
        <v>6</v>
      </c>
      <c r="AB36" s="403"/>
      <c r="AC36" s="403"/>
      <c r="AD36" s="399" t="s">
        <v>920</v>
      </c>
      <c r="AE36" s="204" t="s">
        <v>125</v>
      </c>
      <c r="AF36" s="199"/>
      <c r="AG36" s="199"/>
      <c r="AH36" s="199"/>
      <c r="AI36" s="126" t="s">
        <v>6</v>
      </c>
      <c r="AJ36" s="403"/>
      <c r="AK36" s="403"/>
      <c r="AL36" s="399" t="s">
        <v>920</v>
      </c>
      <c r="AM36" s="198" t="s">
        <v>907</v>
      </c>
      <c r="AN36" s="203" t="s">
        <v>908</v>
      </c>
      <c r="AO36" s="40"/>
      <c r="AP36" s="40"/>
      <c r="AQ36" s="40"/>
      <c r="AR36" s="40"/>
      <c r="AS36" s="40"/>
      <c r="AT36" s="40"/>
      <c r="AU36" s="40"/>
      <c r="AV36" s="232"/>
      <c r="AW36" s="155">
        <f t="shared" si="1"/>
        <v>37</v>
      </c>
    </row>
    <row r="37" spans="1:49" s="236" customFormat="1" ht="39.6">
      <c r="A37" s="40">
        <f t="shared" si="0"/>
        <v>31</v>
      </c>
      <c r="B37" s="199"/>
      <c r="C37" s="199"/>
      <c r="D37" s="199"/>
      <c r="E37" s="199"/>
      <c r="F37" s="199"/>
      <c r="G37" s="199"/>
      <c r="H37" s="199"/>
      <c r="I37" s="40" t="s">
        <v>868</v>
      </c>
      <c r="J37" s="399" t="s">
        <v>935</v>
      </c>
      <c r="K37" s="204" t="s">
        <v>132</v>
      </c>
      <c r="L37" s="351" t="s">
        <v>936</v>
      </c>
      <c r="M37" s="204" t="s">
        <v>4033</v>
      </c>
      <c r="N37" s="126" t="s">
        <v>504</v>
      </c>
      <c r="O37" s="126"/>
      <c r="P37" s="126"/>
      <c r="Q37" s="126"/>
      <c r="R37" s="126" t="s">
        <v>6</v>
      </c>
      <c r="S37" s="126" t="s">
        <v>6</v>
      </c>
      <c r="T37" s="126" t="s">
        <v>6</v>
      </c>
      <c r="U37" s="218"/>
      <c r="V37" s="399"/>
      <c r="W37" s="204" t="s">
        <v>125</v>
      </c>
      <c r="X37" s="199"/>
      <c r="Y37" s="199"/>
      <c r="Z37" s="199"/>
      <c r="AA37" s="126" t="s">
        <v>6</v>
      </c>
      <c r="AB37" s="399" t="s">
        <v>937</v>
      </c>
      <c r="AC37" s="199"/>
      <c r="AD37" s="199"/>
      <c r="AE37" s="204" t="s">
        <v>125</v>
      </c>
      <c r="AF37" s="199"/>
      <c r="AG37" s="199"/>
      <c r="AH37" s="199"/>
      <c r="AI37" s="126" t="s">
        <v>6</v>
      </c>
      <c r="AJ37" s="399" t="s">
        <v>937</v>
      </c>
      <c r="AK37" s="199"/>
      <c r="AL37" s="199"/>
      <c r="AM37" s="198" t="s">
        <v>907</v>
      </c>
      <c r="AN37" s="203" t="s">
        <v>908</v>
      </c>
      <c r="AO37" s="199"/>
      <c r="AP37" s="199"/>
      <c r="AQ37" s="199"/>
      <c r="AR37" s="199"/>
      <c r="AS37" s="199"/>
      <c r="AT37" s="199"/>
      <c r="AU37" s="199"/>
      <c r="AV37" s="199"/>
      <c r="AW37" s="155">
        <f>LEN(L37)</f>
        <v>37</v>
      </c>
    </row>
    <row r="38" spans="1:49" s="236" customFormat="1" ht="39.6">
      <c r="A38" s="40">
        <f t="shared" si="0"/>
        <v>32</v>
      </c>
      <c r="B38" s="199"/>
      <c r="C38" s="199"/>
      <c r="D38" s="199"/>
      <c r="E38" s="199"/>
      <c r="F38" s="199"/>
      <c r="G38" s="199"/>
      <c r="H38" s="199"/>
      <c r="I38" s="40" t="s">
        <v>868</v>
      </c>
      <c r="J38" s="399" t="s">
        <v>938</v>
      </c>
      <c r="K38" s="204" t="s">
        <v>132</v>
      </c>
      <c r="L38" s="351" t="s">
        <v>939</v>
      </c>
      <c r="M38" s="204" t="s">
        <v>4033</v>
      </c>
      <c r="N38" s="126" t="s">
        <v>504</v>
      </c>
      <c r="O38" s="126"/>
      <c r="P38" s="126"/>
      <c r="Q38" s="126"/>
      <c r="R38" s="126" t="s">
        <v>6</v>
      </c>
      <c r="S38" s="126" t="s">
        <v>6</v>
      </c>
      <c r="T38" s="126" t="s">
        <v>6</v>
      </c>
      <c r="U38" s="218"/>
      <c r="V38" s="399"/>
      <c r="W38" s="204" t="s">
        <v>125</v>
      </c>
      <c r="X38" s="199"/>
      <c r="Y38" s="199"/>
      <c r="Z38" s="199"/>
      <c r="AA38" s="126" t="s">
        <v>6</v>
      </c>
      <c r="AB38" s="399" t="s">
        <v>937</v>
      </c>
      <c r="AC38" s="199"/>
      <c r="AD38" s="199"/>
      <c r="AE38" s="204" t="s">
        <v>125</v>
      </c>
      <c r="AF38" s="199"/>
      <c r="AG38" s="199"/>
      <c r="AH38" s="199"/>
      <c r="AI38" s="126" t="s">
        <v>6</v>
      </c>
      <c r="AJ38" s="399" t="s">
        <v>937</v>
      </c>
      <c r="AK38" s="199"/>
      <c r="AL38" s="199"/>
      <c r="AM38" s="198" t="s">
        <v>907</v>
      </c>
      <c r="AN38" s="203" t="s">
        <v>908</v>
      </c>
      <c r="AO38" s="199"/>
      <c r="AP38" s="199"/>
      <c r="AQ38" s="199"/>
      <c r="AR38" s="199"/>
      <c r="AS38" s="199"/>
      <c r="AT38" s="199"/>
      <c r="AU38" s="199"/>
      <c r="AV38" s="199"/>
      <c r="AW38" s="155">
        <f t="shared" si="1"/>
        <v>37</v>
      </c>
    </row>
    <row r="39" spans="1:49" s="236" customFormat="1" ht="39.6">
      <c r="A39" s="40">
        <f t="shared" si="0"/>
        <v>33</v>
      </c>
      <c r="B39" s="199"/>
      <c r="C39" s="199"/>
      <c r="D39" s="199"/>
      <c r="E39" s="199"/>
      <c r="F39" s="199"/>
      <c r="G39" s="199"/>
      <c r="H39" s="199"/>
      <c r="I39" s="40" t="s">
        <v>868</v>
      </c>
      <c r="J39" s="399" t="s">
        <v>940</v>
      </c>
      <c r="K39" s="204" t="s">
        <v>132</v>
      </c>
      <c r="L39" s="351" t="s">
        <v>941</v>
      </c>
      <c r="M39" s="204" t="s">
        <v>4033</v>
      </c>
      <c r="N39" s="126" t="s">
        <v>504</v>
      </c>
      <c r="O39" s="126"/>
      <c r="P39" s="126"/>
      <c r="Q39" s="126"/>
      <c r="R39" s="126" t="s">
        <v>6</v>
      </c>
      <c r="S39" s="126" t="s">
        <v>6</v>
      </c>
      <c r="T39" s="126" t="s">
        <v>6</v>
      </c>
      <c r="U39" s="218"/>
      <c r="V39" s="399"/>
      <c r="W39" s="204" t="s">
        <v>125</v>
      </c>
      <c r="X39" s="199"/>
      <c r="Y39" s="199"/>
      <c r="Z39" s="199"/>
      <c r="AA39" s="126" t="s">
        <v>6</v>
      </c>
      <c r="AB39" s="399" t="s">
        <v>937</v>
      </c>
      <c r="AC39" s="199"/>
      <c r="AD39" s="199"/>
      <c r="AE39" s="204" t="s">
        <v>125</v>
      </c>
      <c r="AF39" s="199"/>
      <c r="AG39" s="199"/>
      <c r="AH39" s="199"/>
      <c r="AI39" s="126" t="s">
        <v>6</v>
      </c>
      <c r="AJ39" s="399" t="s">
        <v>937</v>
      </c>
      <c r="AK39" s="199"/>
      <c r="AL39" s="199"/>
      <c r="AM39" s="198" t="s">
        <v>907</v>
      </c>
      <c r="AN39" s="203" t="s">
        <v>908</v>
      </c>
      <c r="AO39" s="199"/>
      <c r="AP39" s="199"/>
      <c r="AQ39" s="199"/>
      <c r="AR39" s="199"/>
      <c r="AS39" s="199"/>
      <c r="AT39" s="199"/>
      <c r="AU39" s="199"/>
      <c r="AV39" s="199"/>
      <c r="AW39" s="155">
        <f t="shared" si="1"/>
        <v>37</v>
      </c>
    </row>
    <row r="40" spans="1:49" s="236" customFormat="1" ht="39.6">
      <c r="A40" s="40">
        <f t="shared" si="0"/>
        <v>34</v>
      </c>
      <c r="B40" s="199"/>
      <c r="C40" s="199"/>
      <c r="D40" s="199"/>
      <c r="E40" s="199"/>
      <c r="F40" s="199"/>
      <c r="G40" s="199"/>
      <c r="H40" s="199"/>
      <c r="I40" s="40" t="s">
        <v>868</v>
      </c>
      <c r="J40" s="399" t="s">
        <v>942</v>
      </c>
      <c r="K40" s="204" t="s">
        <v>132</v>
      </c>
      <c r="L40" s="351" t="s">
        <v>943</v>
      </c>
      <c r="M40" s="204" t="s">
        <v>4035</v>
      </c>
      <c r="N40" s="126" t="s">
        <v>504</v>
      </c>
      <c r="O40" s="126"/>
      <c r="P40" s="126"/>
      <c r="Q40" s="126" t="s">
        <v>6</v>
      </c>
      <c r="R40" s="126" t="s">
        <v>6</v>
      </c>
      <c r="S40" s="126" t="s">
        <v>6</v>
      </c>
      <c r="T40" s="126" t="s">
        <v>6</v>
      </c>
      <c r="U40" s="218"/>
      <c r="V40" s="399"/>
      <c r="W40" s="204" t="s">
        <v>125</v>
      </c>
      <c r="X40" s="199"/>
      <c r="Y40" s="199"/>
      <c r="Z40" s="199"/>
      <c r="AA40" s="126" t="s">
        <v>6</v>
      </c>
      <c r="AB40" s="399" t="s">
        <v>937</v>
      </c>
      <c r="AC40" s="199"/>
      <c r="AD40" s="199"/>
      <c r="AE40" s="204" t="s">
        <v>125</v>
      </c>
      <c r="AF40" s="199"/>
      <c r="AG40" s="199"/>
      <c r="AH40" s="199"/>
      <c r="AI40" s="126" t="s">
        <v>6</v>
      </c>
      <c r="AJ40" s="399" t="s">
        <v>937</v>
      </c>
      <c r="AK40" s="199"/>
      <c r="AL40" s="199"/>
      <c r="AM40" s="198" t="s">
        <v>907</v>
      </c>
      <c r="AN40" s="203" t="s">
        <v>908</v>
      </c>
      <c r="AO40" s="199"/>
      <c r="AP40" s="199"/>
      <c r="AQ40" s="199"/>
      <c r="AR40" s="199"/>
      <c r="AS40" s="199"/>
      <c r="AT40" s="199"/>
      <c r="AU40" s="199"/>
      <c r="AV40" s="199"/>
      <c r="AW40" s="155">
        <f>LEN(L40)</f>
        <v>36</v>
      </c>
    </row>
    <row r="41" spans="1:49" s="236" customFormat="1" ht="39.6">
      <c r="A41" s="40">
        <f t="shared" si="0"/>
        <v>35</v>
      </c>
      <c r="B41" s="199"/>
      <c r="C41" s="199"/>
      <c r="D41" s="199"/>
      <c r="E41" s="199"/>
      <c r="F41" s="199"/>
      <c r="G41" s="199"/>
      <c r="H41" s="199"/>
      <c r="I41" s="40" t="s">
        <v>868</v>
      </c>
      <c r="J41" s="399" t="s">
        <v>944</v>
      </c>
      <c r="K41" s="204" t="s">
        <v>132</v>
      </c>
      <c r="L41" s="351" t="s">
        <v>945</v>
      </c>
      <c r="M41" s="351" t="s">
        <v>4034</v>
      </c>
      <c r="N41" s="126" t="s">
        <v>504</v>
      </c>
      <c r="O41" s="126"/>
      <c r="P41" s="126"/>
      <c r="Q41" s="126" t="s">
        <v>6</v>
      </c>
      <c r="R41" s="126" t="s">
        <v>6</v>
      </c>
      <c r="S41" s="126" t="s">
        <v>6</v>
      </c>
      <c r="T41" s="126" t="s">
        <v>6</v>
      </c>
      <c r="U41" s="218"/>
      <c r="V41" s="399"/>
      <c r="W41" s="204" t="s">
        <v>125</v>
      </c>
      <c r="X41" s="199"/>
      <c r="Y41" s="199"/>
      <c r="Z41" s="199"/>
      <c r="AA41" s="126" t="s">
        <v>6</v>
      </c>
      <c r="AB41" s="399" t="s">
        <v>937</v>
      </c>
      <c r="AC41" s="199"/>
      <c r="AD41" s="199"/>
      <c r="AE41" s="204" t="s">
        <v>125</v>
      </c>
      <c r="AF41" s="199"/>
      <c r="AG41" s="199"/>
      <c r="AH41" s="199"/>
      <c r="AI41" s="126" t="s">
        <v>6</v>
      </c>
      <c r="AJ41" s="399" t="s">
        <v>937</v>
      </c>
      <c r="AK41" s="199"/>
      <c r="AL41" s="199"/>
      <c r="AM41" s="198" t="s">
        <v>907</v>
      </c>
      <c r="AN41" s="203" t="s">
        <v>908</v>
      </c>
      <c r="AO41" s="199"/>
      <c r="AP41" s="199"/>
      <c r="AQ41" s="199"/>
      <c r="AR41" s="199"/>
      <c r="AS41" s="199"/>
      <c r="AT41" s="199"/>
      <c r="AU41" s="199"/>
      <c r="AV41" s="199"/>
      <c r="AW41" s="155">
        <f t="shared" si="1"/>
        <v>37</v>
      </c>
    </row>
    <row r="42" spans="1:49" s="236" customFormat="1" ht="26.4">
      <c r="A42" s="40">
        <f t="shared" si="0"/>
        <v>36</v>
      </c>
      <c r="B42" s="199"/>
      <c r="C42" s="199"/>
      <c r="D42" s="199"/>
      <c r="E42" s="199"/>
      <c r="F42" s="199"/>
      <c r="G42" s="199"/>
      <c r="H42" s="199"/>
      <c r="I42" s="40" t="s">
        <v>868</v>
      </c>
      <c r="J42" s="399" t="s">
        <v>946</v>
      </c>
      <c r="K42" s="204" t="s">
        <v>132</v>
      </c>
      <c r="L42" s="351" t="s">
        <v>947</v>
      </c>
      <c r="M42" s="351" t="s">
        <v>4033</v>
      </c>
      <c r="N42" s="126" t="s">
        <v>504</v>
      </c>
      <c r="O42" s="126"/>
      <c r="P42" s="126"/>
      <c r="Q42" s="126"/>
      <c r="R42" s="126" t="s">
        <v>6</v>
      </c>
      <c r="S42" s="126" t="s">
        <v>6</v>
      </c>
      <c r="T42" s="126" t="s">
        <v>6</v>
      </c>
      <c r="U42" s="218"/>
      <c r="V42" s="399"/>
      <c r="W42" s="204" t="s">
        <v>125</v>
      </c>
      <c r="X42" s="199"/>
      <c r="Y42" s="199"/>
      <c r="Z42" s="199"/>
      <c r="AA42" s="126" t="s">
        <v>6</v>
      </c>
      <c r="AB42" s="198"/>
      <c r="AC42" s="199"/>
      <c r="AD42" s="399" t="s">
        <v>948</v>
      </c>
      <c r="AE42" s="204" t="s">
        <v>125</v>
      </c>
      <c r="AF42" s="199"/>
      <c r="AG42" s="199"/>
      <c r="AH42" s="199"/>
      <c r="AI42" s="126" t="s">
        <v>6</v>
      </c>
      <c r="AJ42" s="198"/>
      <c r="AK42" s="199"/>
      <c r="AL42" s="399" t="s">
        <v>948</v>
      </c>
      <c r="AM42" s="198" t="s">
        <v>907</v>
      </c>
      <c r="AN42" s="203" t="s">
        <v>908</v>
      </c>
      <c r="AO42" s="199"/>
      <c r="AP42" s="199"/>
      <c r="AQ42" s="199"/>
      <c r="AR42" s="199"/>
      <c r="AS42" s="199"/>
      <c r="AT42" s="199"/>
      <c r="AU42" s="199"/>
      <c r="AV42" s="199"/>
      <c r="AW42" s="155">
        <f>LEN(L42)</f>
        <v>38</v>
      </c>
    </row>
    <row r="43" spans="1:49" s="236" customFormat="1" ht="26.4">
      <c r="A43" s="40">
        <f t="shared" si="0"/>
        <v>37</v>
      </c>
      <c r="B43" s="199"/>
      <c r="C43" s="199"/>
      <c r="D43" s="199"/>
      <c r="E43" s="199"/>
      <c r="F43" s="199"/>
      <c r="G43" s="199"/>
      <c r="H43" s="199"/>
      <c r="I43" s="40" t="s">
        <v>868</v>
      </c>
      <c r="J43" s="399" t="s">
        <v>949</v>
      </c>
      <c r="K43" s="204" t="s">
        <v>132</v>
      </c>
      <c r="L43" s="351" t="s">
        <v>950</v>
      </c>
      <c r="M43" s="351" t="s">
        <v>4033</v>
      </c>
      <c r="N43" s="126" t="s">
        <v>504</v>
      </c>
      <c r="O43" s="126"/>
      <c r="P43" s="126"/>
      <c r="Q43" s="126"/>
      <c r="R43" s="126" t="s">
        <v>6</v>
      </c>
      <c r="S43" s="126" t="s">
        <v>6</v>
      </c>
      <c r="T43" s="126" t="s">
        <v>6</v>
      </c>
      <c r="U43" s="218"/>
      <c r="V43" s="399"/>
      <c r="W43" s="204" t="s">
        <v>125</v>
      </c>
      <c r="X43" s="199"/>
      <c r="Y43" s="199"/>
      <c r="Z43" s="199"/>
      <c r="AA43" s="126" t="s">
        <v>6</v>
      </c>
      <c r="AB43" s="198"/>
      <c r="AC43" s="199"/>
      <c r="AD43" s="399" t="s">
        <v>948</v>
      </c>
      <c r="AE43" s="204" t="s">
        <v>125</v>
      </c>
      <c r="AF43" s="199"/>
      <c r="AG43" s="199"/>
      <c r="AH43" s="199"/>
      <c r="AI43" s="126" t="s">
        <v>6</v>
      </c>
      <c r="AJ43" s="198"/>
      <c r="AK43" s="199"/>
      <c r="AL43" s="399" t="s">
        <v>948</v>
      </c>
      <c r="AM43" s="198" t="s">
        <v>907</v>
      </c>
      <c r="AN43" s="203" t="s">
        <v>908</v>
      </c>
      <c r="AO43" s="199"/>
      <c r="AP43" s="199"/>
      <c r="AQ43" s="199"/>
      <c r="AR43" s="199"/>
      <c r="AS43" s="199"/>
      <c r="AT43" s="199"/>
      <c r="AU43" s="199"/>
      <c r="AV43" s="199"/>
      <c r="AW43" s="155">
        <f t="shared" si="1"/>
        <v>38</v>
      </c>
    </row>
    <row r="44" spans="1:49" s="236" customFormat="1" ht="26.4">
      <c r="A44" s="40">
        <f t="shared" si="0"/>
        <v>38</v>
      </c>
      <c r="B44" s="199"/>
      <c r="C44" s="199"/>
      <c r="D44" s="199"/>
      <c r="E44" s="199"/>
      <c r="F44" s="199"/>
      <c r="G44" s="199"/>
      <c r="H44" s="199"/>
      <c r="I44" s="40" t="s">
        <v>868</v>
      </c>
      <c r="J44" s="399" t="s">
        <v>951</v>
      </c>
      <c r="K44" s="204" t="s">
        <v>132</v>
      </c>
      <c r="L44" s="351" t="s">
        <v>952</v>
      </c>
      <c r="M44" s="351" t="s">
        <v>4033</v>
      </c>
      <c r="N44" s="126" t="s">
        <v>504</v>
      </c>
      <c r="O44" s="126"/>
      <c r="P44" s="126"/>
      <c r="Q44" s="126"/>
      <c r="R44" s="126" t="s">
        <v>6</v>
      </c>
      <c r="S44" s="126" t="s">
        <v>6</v>
      </c>
      <c r="T44" s="126" t="s">
        <v>6</v>
      </c>
      <c r="U44" s="218"/>
      <c r="V44" s="399"/>
      <c r="W44" s="204" t="s">
        <v>125</v>
      </c>
      <c r="X44" s="199"/>
      <c r="Y44" s="199"/>
      <c r="Z44" s="199"/>
      <c r="AA44" s="126" t="s">
        <v>6</v>
      </c>
      <c r="AB44" s="198"/>
      <c r="AC44" s="199"/>
      <c r="AD44" s="399" t="s">
        <v>948</v>
      </c>
      <c r="AE44" s="204" t="s">
        <v>125</v>
      </c>
      <c r="AF44" s="199"/>
      <c r="AG44" s="199"/>
      <c r="AH44" s="199"/>
      <c r="AI44" s="126" t="s">
        <v>6</v>
      </c>
      <c r="AJ44" s="198"/>
      <c r="AK44" s="199"/>
      <c r="AL44" s="399" t="s">
        <v>948</v>
      </c>
      <c r="AM44" s="198" t="s">
        <v>907</v>
      </c>
      <c r="AN44" s="203" t="s">
        <v>908</v>
      </c>
      <c r="AO44" s="199"/>
      <c r="AP44" s="199"/>
      <c r="AQ44" s="199"/>
      <c r="AR44" s="199"/>
      <c r="AS44" s="199"/>
      <c r="AT44" s="199"/>
      <c r="AU44" s="199"/>
      <c r="AV44" s="199"/>
      <c r="AW44" s="155">
        <f t="shared" si="1"/>
        <v>38</v>
      </c>
    </row>
    <row r="45" spans="1:49" s="236" customFormat="1" ht="39.6">
      <c r="A45" s="40">
        <f t="shared" si="0"/>
        <v>39</v>
      </c>
      <c r="B45" s="199"/>
      <c r="C45" s="199"/>
      <c r="D45" s="199"/>
      <c r="E45" s="199"/>
      <c r="F45" s="199"/>
      <c r="G45" s="199"/>
      <c r="H45" s="199"/>
      <c r="I45" s="40" t="s">
        <v>868</v>
      </c>
      <c r="J45" s="399" t="s">
        <v>953</v>
      </c>
      <c r="K45" s="204" t="s">
        <v>132</v>
      </c>
      <c r="L45" s="351" t="s">
        <v>954</v>
      </c>
      <c r="M45" s="351" t="s">
        <v>4035</v>
      </c>
      <c r="N45" s="126" t="s">
        <v>504</v>
      </c>
      <c r="O45" s="126"/>
      <c r="P45" s="126"/>
      <c r="Q45" s="126" t="s">
        <v>6</v>
      </c>
      <c r="R45" s="126" t="s">
        <v>6</v>
      </c>
      <c r="S45" s="126" t="s">
        <v>6</v>
      </c>
      <c r="T45" s="126" t="s">
        <v>6</v>
      </c>
      <c r="U45" s="218"/>
      <c r="V45" s="215"/>
      <c r="W45" s="204" t="s">
        <v>133</v>
      </c>
      <c r="X45" s="199"/>
      <c r="Y45" s="199"/>
      <c r="Z45" s="126" t="s">
        <v>6</v>
      </c>
      <c r="AA45" s="126" t="s">
        <v>6</v>
      </c>
      <c r="AB45" s="215"/>
      <c r="AC45" s="199"/>
      <c r="AD45" s="199" t="s">
        <v>915</v>
      </c>
      <c r="AE45" s="204" t="s">
        <v>133</v>
      </c>
      <c r="AF45" s="199"/>
      <c r="AG45" s="199"/>
      <c r="AH45" s="126" t="s">
        <v>6</v>
      </c>
      <c r="AI45" s="126" t="s">
        <v>6</v>
      </c>
      <c r="AJ45" s="215" t="str">
        <f>"Atende também ao agrupamento dos itens "&amp;A42&amp;" a "&amp;A44&amp;" para anunciador do nível 2 e alarme do nível 3."</f>
        <v>Atende também ao agrupamento dos itens 36 a 38 para anunciador do nível 2 e alarme do nível 3.</v>
      </c>
      <c r="AK45" s="199"/>
      <c r="AL45" s="199" t="s">
        <v>915</v>
      </c>
      <c r="AM45" s="198" t="s">
        <v>907</v>
      </c>
      <c r="AN45" s="203" t="s">
        <v>908</v>
      </c>
      <c r="AO45" s="199"/>
      <c r="AP45" s="199"/>
      <c r="AQ45" s="199"/>
      <c r="AR45" s="199"/>
      <c r="AS45" s="199"/>
      <c r="AT45" s="199"/>
      <c r="AU45" s="199"/>
      <c r="AV45" s="199"/>
      <c r="AW45" s="155">
        <f>LEN(L45)</f>
        <v>37</v>
      </c>
    </row>
    <row r="46" spans="1:49" s="236" customFormat="1" ht="39.6">
      <c r="A46" s="40">
        <f t="shared" si="0"/>
        <v>40</v>
      </c>
      <c r="B46" s="199"/>
      <c r="C46" s="199"/>
      <c r="D46" s="199"/>
      <c r="E46" s="199"/>
      <c r="F46" s="199"/>
      <c r="G46" s="199"/>
      <c r="H46" s="199"/>
      <c r="I46" s="40" t="s">
        <v>868</v>
      </c>
      <c r="J46" s="399" t="s">
        <v>955</v>
      </c>
      <c r="K46" s="204" t="s">
        <v>132</v>
      </c>
      <c r="L46" s="241" t="s">
        <v>956</v>
      </c>
      <c r="M46" s="351" t="s">
        <v>4034</v>
      </c>
      <c r="N46" s="126" t="s">
        <v>504</v>
      </c>
      <c r="O46" s="126"/>
      <c r="P46" s="126"/>
      <c r="Q46" s="126" t="s">
        <v>6</v>
      </c>
      <c r="R46" s="126" t="s">
        <v>6</v>
      </c>
      <c r="S46" s="126" t="s">
        <v>6</v>
      </c>
      <c r="T46" s="126" t="s">
        <v>6</v>
      </c>
      <c r="U46" s="215"/>
      <c r="V46" s="215"/>
      <c r="W46" s="204" t="s">
        <v>133</v>
      </c>
      <c r="X46" s="199"/>
      <c r="Y46" s="199"/>
      <c r="Z46" s="126" t="s">
        <v>6</v>
      </c>
      <c r="AA46" s="126" t="s">
        <v>6</v>
      </c>
      <c r="AB46" s="215"/>
      <c r="AC46" s="199"/>
      <c r="AD46" s="199" t="s">
        <v>915</v>
      </c>
      <c r="AE46" s="204" t="s">
        <v>133</v>
      </c>
      <c r="AF46" s="199"/>
      <c r="AG46" s="199"/>
      <c r="AH46" s="126" t="s">
        <v>6</v>
      </c>
      <c r="AI46" s="126" t="s">
        <v>6</v>
      </c>
      <c r="AJ46" s="215" t="str">
        <f>"Atende também ao agrupamento dos itens "&amp;A43&amp;" a "&amp;A45&amp;" para anunciador do nível 2 e alarme do nível 3."</f>
        <v>Atende também ao agrupamento dos itens 37 a 39 para anunciador do nível 2 e alarme do nível 3.</v>
      </c>
      <c r="AK46" s="199"/>
      <c r="AL46" s="199" t="s">
        <v>915</v>
      </c>
      <c r="AM46" s="198" t="s">
        <v>907</v>
      </c>
      <c r="AN46" s="203" t="s">
        <v>908</v>
      </c>
      <c r="AO46" s="199"/>
      <c r="AP46" s="199"/>
      <c r="AQ46" s="199"/>
      <c r="AR46" s="199"/>
      <c r="AS46" s="199"/>
      <c r="AT46" s="199"/>
      <c r="AU46" s="199"/>
      <c r="AV46" s="199"/>
      <c r="AW46" s="155">
        <f t="shared" ref="AW46:AW81" si="2">LEN(L46)</f>
        <v>38</v>
      </c>
    </row>
    <row r="47" spans="1:49" s="236" customFormat="1" ht="15">
      <c r="A47" s="40">
        <f t="shared" si="0"/>
        <v>41</v>
      </c>
      <c r="B47" s="199"/>
      <c r="C47" s="199"/>
      <c r="D47" s="199"/>
      <c r="E47" s="199"/>
      <c r="F47" s="199"/>
      <c r="G47" s="199"/>
      <c r="H47" s="199"/>
      <c r="I47" s="40" t="s">
        <v>868</v>
      </c>
      <c r="J47" s="399" t="s">
        <v>957</v>
      </c>
      <c r="K47" s="204" t="s">
        <v>132</v>
      </c>
      <c r="L47" s="351" t="s">
        <v>958</v>
      </c>
      <c r="M47" s="351" t="s">
        <v>4803</v>
      </c>
      <c r="N47" s="126" t="s">
        <v>504</v>
      </c>
      <c r="O47" s="126"/>
      <c r="P47" s="126"/>
      <c r="Q47" s="126" t="s">
        <v>6</v>
      </c>
      <c r="R47" s="126" t="s">
        <v>6</v>
      </c>
      <c r="S47" s="126" t="s">
        <v>6</v>
      </c>
      <c r="T47" s="126" t="s">
        <v>6</v>
      </c>
      <c r="U47" s="215"/>
      <c r="V47" s="399"/>
      <c r="W47" s="204" t="s">
        <v>133</v>
      </c>
      <c r="X47" s="199"/>
      <c r="Y47" s="199"/>
      <c r="Z47" s="126" t="s">
        <v>6</v>
      </c>
      <c r="AA47" s="126" t="s">
        <v>6</v>
      </c>
      <c r="AB47" s="198"/>
      <c r="AC47" s="199"/>
      <c r="AD47" s="199" t="s">
        <v>915</v>
      </c>
      <c r="AE47" s="204" t="s">
        <v>133</v>
      </c>
      <c r="AF47" s="199"/>
      <c r="AG47" s="199"/>
      <c r="AH47" s="126" t="s">
        <v>6</v>
      </c>
      <c r="AI47" s="126" t="s">
        <v>6</v>
      </c>
      <c r="AJ47" s="198"/>
      <c r="AK47" s="199"/>
      <c r="AL47" s="199" t="s">
        <v>915</v>
      </c>
      <c r="AM47" s="198" t="s">
        <v>907</v>
      </c>
      <c r="AN47" s="203" t="s">
        <v>908</v>
      </c>
      <c r="AO47" s="199"/>
      <c r="AP47" s="199"/>
      <c r="AQ47" s="199"/>
      <c r="AR47" s="199"/>
      <c r="AS47" s="199"/>
      <c r="AT47" s="199"/>
      <c r="AU47" s="199"/>
      <c r="AV47" s="199"/>
      <c r="AW47" s="155">
        <f>LEN(L47)</f>
        <v>31</v>
      </c>
    </row>
    <row r="48" spans="1:49" s="236" customFormat="1" ht="15">
      <c r="A48" s="40">
        <f t="shared" si="0"/>
        <v>42</v>
      </c>
      <c r="B48" s="199"/>
      <c r="C48" s="199"/>
      <c r="D48" s="199"/>
      <c r="E48" s="199"/>
      <c r="F48" s="199"/>
      <c r="G48" s="199"/>
      <c r="H48" s="199"/>
      <c r="I48" s="40" t="s">
        <v>868</v>
      </c>
      <c r="J48" s="399" t="s">
        <v>959</v>
      </c>
      <c r="K48" s="204" t="s">
        <v>132</v>
      </c>
      <c r="L48" s="351" t="s">
        <v>960</v>
      </c>
      <c r="M48" s="351" t="s">
        <v>4803</v>
      </c>
      <c r="N48" s="126" t="s">
        <v>504</v>
      </c>
      <c r="O48" s="126"/>
      <c r="P48" s="126"/>
      <c r="Q48" s="126" t="s">
        <v>6</v>
      </c>
      <c r="R48" s="126" t="s">
        <v>6</v>
      </c>
      <c r="S48" s="126" t="s">
        <v>6</v>
      </c>
      <c r="T48" s="126" t="s">
        <v>6</v>
      </c>
      <c r="U48" s="215"/>
      <c r="V48" s="399"/>
      <c r="W48" s="204" t="s">
        <v>133</v>
      </c>
      <c r="X48" s="199"/>
      <c r="Y48" s="199"/>
      <c r="Z48" s="126" t="s">
        <v>6</v>
      </c>
      <c r="AA48" s="126" t="s">
        <v>6</v>
      </c>
      <c r="AB48" s="198"/>
      <c r="AC48" s="199"/>
      <c r="AD48" s="199" t="s">
        <v>915</v>
      </c>
      <c r="AE48" s="204" t="s">
        <v>133</v>
      </c>
      <c r="AF48" s="199"/>
      <c r="AG48" s="199"/>
      <c r="AH48" s="126" t="s">
        <v>6</v>
      </c>
      <c r="AI48" s="126" t="s">
        <v>6</v>
      </c>
      <c r="AJ48" s="198"/>
      <c r="AK48" s="199"/>
      <c r="AL48" s="199" t="s">
        <v>915</v>
      </c>
      <c r="AM48" s="198" t="s">
        <v>907</v>
      </c>
      <c r="AN48" s="203" t="s">
        <v>908</v>
      </c>
      <c r="AO48" s="199"/>
      <c r="AP48" s="199"/>
      <c r="AQ48" s="199"/>
      <c r="AR48" s="199"/>
      <c r="AS48" s="199"/>
      <c r="AT48" s="199"/>
      <c r="AU48" s="199"/>
      <c r="AV48" s="199"/>
      <c r="AW48" s="155">
        <f>LEN(L48)</f>
        <v>29</v>
      </c>
    </row>
    <row r="49" spans="1:49" s="236" customFormat="1" ht="15">
      <c r="A49" s="40">
        <f t="shared" si="0"/>
        <v>43</v>
      </c>
      <c r="B49" s="199"/>
      <c r="C49" s="199"/>
      <c r="D49" s="199"/>
      <c r="E49" s="199"/>
      <c r="F49" s="199"/>
      <c r="G49" s="199"/>
      <c r="H49" s="199"/>
      <c r="I49" s="40" t="s">
        <v>868</v>
      </c>
      <c r="J49" s="399" t="s">
        <v>961</v>
      </c>
      <c r="K49" s="204" t="s">
        <v>132</v>
      </c>
      <c r="L49" s="351" t="s">
        <v>962</v>
      </c>
      <c r="M49" s="351" t="s">
        <v>4035</v>
      </c>
      <c r="N49" s="126" t="s">
        <v>504</v>
      </c>
      <c r="O49" s="126"/>
      <c r="P49" s="126"/>
      <c r="Q49" s="126" t="s">
        <v>6</v>
      </c>
      <c r="R49" s="126" t="s">
        <v>6</v>
      </c>
      <c r="S49" s="126" t="s">
        <v>6</v>
      </c>
      <c r="T49" s="126" t="s">
        <v>6</v>
      </c>
      <c r="U49" s="215"/>
      <c r="V49" s="399"/>
      <c r="W49" s="204" t="s">
        <v>133</v>
      </c>
      <c r="X49" s="199"/>
      <c r="Y49" s="199"/>
      <c r="Z49" s="126" t="s">
        <v>6</v>
      </c>
      <c r="AA49" s="126" t="s">
        <v>6</v>
      </c>
      <c r="AB49" s="198"/>
      <c r="AC49" s="199"/>
      <c r="AD49" s="199" t="s">
        <v>915</v>
      </c>
      <c r="AE49" s="204" t="s">
        <v>133</v>
      </c>
      <c r="AF49" s="199"/>
      <c r="AG49" s="199"/>
      <c r="AH49" s="126" t="s">
        <v>6</v>
      </c>
      <c r="AI49" s="126" t="s">
        <v>6</v>
      </c>
      <c r="AJ49" s="198"/>
      <c r="AK49" s="199"/>
      <c r="AL49" s="199" t="s">
        <v>915</v>
      </c>
      <c r="AM49" s="198" t="s">
        <v>907</v>
      </c>
      <c r="AN49" s="203" t="s">
        <v>908</v>
      </c>
      <c r="AO49" s="199"/>
      <c r="AP49" s="199"/>
      <c r="AQ49" s="199"/>
      <c r="AR49" s="199"/>
      <c r="AS49" s="199"/>
      <c r="AT49" s="199"/>
      <c r="AU49" s="199"/>
      <c r="AV49" s="199"/>
      <c r="AW49" s="155">
        <f>LEN(L49)</f>
        <v>37</v>
      </c>
    </row>
    <row r="50" spans="1:49" s="236" customFormat="1" ht="26.4">
      <c r="A50" s="40">
        <f t="shared" si="0"/>
        <v>44</v>
      </c>
      <c r="B50" s="199"/>
      <c r="C50" s="199"/>
      <c r="D50" s="199"/>
      <c r="E50" s="199"/>
      <c r="F50" s="199"/>
      <c r="G50" s="199"/>
      <c r="H50" s="199"/>
      <c r="I50" s="40" t="s">
        <v>868</v>
      </c>
      <c r="J50" s="399" t="s">
        <v>963</v>
      </c>
      <c r="K50" s="204" t="s">
        <v>132</v>
      </c>
      <c r="L50" s="351" t="s">
        <v>964</v>
      </c>
      <c r="M50" s="351" t="s">
        <v>4033</v>
      </c>
      <c r="N50" s="126" t="s">
        <v>504</v>
      </c>
      <c r="O50" s="126"/>
      <c r="P50" s="126"/>
      <c r="Q50" s="126"/>
      <c r="R50" s="126" t="s">
        <v>6</v>
      </c>
      <c r="S50" s="126" t="s">
        <v>6</v>
      </c>
      <c r="T50" s="126" t="s">
        <v>6</v>
      </c>
      <c r="U50" s="218"/>
      <c r="V50" s="399"/>
      <c r="W50" s="204" t="s">
        <v>125</v>
      </c>
      <c r="X50" s="199"/>
      <c r="Y50" s="199"/>
      <c r="Z50" s="199"/>
      <c r="AA50" s="126" t="s">
        <v>6</v>
      </c>
      <c r="AB50" s="198"/>
      <c r="AC50" s="199"/>
      <c r="AD50" s="399" t="s">
        <v>965</v>
      </c>
      <c r="AE50" s="204" t="s">
        <v>125</v>
      </c>
      <c r="AF50" s="199"/>
      <c r="AG50" s="199"/>
      <c r="AH50" s="199"/>
      <c r="AI50" s="126" t="s">
        <v>6</v>
      </c>
      <c r="AJ50" s="198"/>
      <c r="AK50" s="199"/>
      <c r="AL50" s="399" t="s">
        <v>965</v>
      </c>
      <c r="AM50" s="198" t="s">
        <v>907</v>
      </c>
      <c r="AN50" s="203" t="s">
        <v>908</v>
      </c>
      <c r="AO50" s="199"/>
      <c r="AP50" s="199"/>
      <c r="AQ50" s="199"/>
      <c r="AR50" s="199"/>
      <c r="AS50" s="199"/>
      <c r="AT50" s="199"/>
      <c r="AU50" s="199"/>
      <c r="AV50" s="199"/>
      <c r="AW50" s="155">
        <f>LEN(L50)</f>
        <v>37</v>
      </c>
    </row>
    <row r="51" spans="1:49" s="236" customFormat="1" ht="26.4">
      <c r="A51" s="40">
        <f t="shared" si="0"/>
        <v>45</v>
      </c>
      <c r="B51" s="199"/>
      <c r="C51" s="199"/>
      <c r="D51" s="199"/>
      <c r="E51" s="199"/>
      <c r="F51" s="199"/>
      <c r="G51" s="199"/>
      <c r="H51" s="199"/>
      <c r="I51" s="40" t="s">
        <v>868</v>
      </c>
      <c r="J51" s="399" t="s">
        <v>966</v>
      </c>
      <c r="K51" s="204" t="s">
        <v>132</v>
      </c>
      <c r="L51" s="351" t="s">
        <v>967</v>
      </c>
      <c r="M51" s="351" t="s">
        <v>4033</v>
      </c>
      <c r="N51" s="126" t="s">
        <v>504</v>
      </c>
      <c r="O51" s="126"/>
      <c r="P51" s="126"/>
      <c r="Q51" s="126"/>
      <c r="R51" s="126" t="s">
        <v>6</v>
      </c>
      <c r="S51" s="126" t="s">
        <v>6</v>
      </c>
      <c r="T51" s="126" t="s">
        <v>6</v>
      </c>
      <c r="U51" s="218"/>
      <c r="V51" s="399"/>
      <c r="W51" s="204" t="s">
        <v>125</v>
      </c>
      <c r="X51" s="199"/>
      <c r="Y51" s="199"/>
      <c r="Z51" s="199"/>
      <c r="AA51" s="126" t="s">
        <v>6</v>
      </c>
      <c r="AB51" s="198"/>
      <c r="AC51" s="199"/>
      <c r="AD51" s="399" t="s">
        <v>965</v>
      </c>
      <c r="AE51" s="204" t="s">
        <v>125</v>
      </c>
      <c r="AF51" s="199"/>
      <c r="AG51" s="199"/>
      <c r="AH51" s="199"/>
      <c r="AI51" s="126" t="s">
        <v>6</v>
      </c>
      <c r="AJ51" s="198"/>
      <c r="AK51" s="199"/>
      <c r="AL51" s="399" t="s">
        <v>965</v>
      </c>
      <c r="AM51" s="198" t="s">
        <v>907</v>
      </c>
      <c r="AN51" s="203" t="s">
        <v>908</v>
      </c>
      <c r="AO51" s="199"/>
      <c r="AP51" s="199"/>
      <c r="AQ51" s="199"/>
      <c r="AR51" s="199"/>
      <c r="AS51" s="199"/>
      <c r="AT51" s="199"/>
      <c r="AU51" s="199"/>
      <c r="AV51" s="199"/>
      <c r="AW51" s="155">
        <f t="shared" si="2"/>
        <v>37</v>
      </c>
    </row>
    <row r="52" spans="1:49" s="236" customFormat="1" ht="26.4">
      <c r="A52" s="40">
        <f t="shared" si="0"/>
        <v>46</v>
      </c>
      <c r="B52" s="199"/>
      <c r="C52" s="199"/>
      <c r="D52" s="199"/>
      <c r="E52" s="199"/>
      <c r="F52" s="199"/>
      <c r="G52" s="199"/>
      <c r="H52" s="199"/>
      <c r="I52" s="40" t="s">
        <v>868</v>
      </c>
      <c r="J52" s="399" t="s">
        <v>968</v>
      </c>
      <c r="K52" s="204" t="s">
        <v>132</v>
      </c>
      <c r="L52" s="351" t="s">
        <v>969</v>
      </c>
      <c r="M52" s="351" t="s">
        <v>4033</v>
      </c>
      <c r="N52" s="126" t="s">
        <v>504</v>
      </c>
      <c r="O52" s="126"/>
      <c r="P52" s="126"/>
      <c r="Q52" s="126"/>
      <c r="R52" s="126" t="s">
        <v>6</v>
      </c>
      <c r="S52" s="126" t="s">
        <v>6</v>
      </c>
      <c r="T52" s="126" t="s">
        <v>6</v>
      </c>
      <c r="U52" s="218"/>
      <c r="V52" s="399"/>
      <c r="W52" s="204" t="s">
        <v>125</v>
      </c>
      <c r="X52" s="199"/>
      <c r="Y52" s="199"/>
      <c r="Z52" s="199"/>
      <c r="AA52" s="126" t="s">
        <v>6</v>
      </c>
      <c r="AB52" s="198"/>
      <c r="AC52" s="199"/>
      <c r="AD52" s="399" t="s">
        <v>965</v>
      </c>
      <c r="AE52" s="204" t="s">
        <v>125</v>
      </c>
      <c r="AF52" s="199"/>
      <c r="AG52" s="199"/>
      <c r="AH52" s="199"/>
      <c r="AI52" s="126" t="s">
        <v>6</v>
      </c>
      <c r="AJ52" s="198"/>
      <c r="AK52" s="199"/>
      <c r="AL52" s="399" t="s">
        <v>965</v>
      </c>
      <c r="AM52" s="198" t="s">
        <v>907</v>
      </c>
      <c r="AN52" s="203" t="s">
        <v>908</v>
      </c>
      <c r="AO52" s="199"/>
      <c r="AP52" s="199"/>
      <c r="AQ52" s="199"/>
      <c r="AR52" s="199"/>
      <c r="AS52" s="199"/>
      <c r="AT52" s="199"/>
      <c r="AU52" s="199"/>
      <c r="AV52" s="199"/>
      <c r="AW52" s="155">
        <f t="shared" si="2"/>
        <v>37</v>
      </c>
    </row>
    <row r="53" spans="1:49" s="236" customFormat="1" ht="39.6">
      <c r="A53" s="40">
        <f t="shared" si="0"/>
        <v>47</v>
      </c>
      <c r="B53" s="199"/>
      <c r="C53" s="199"/>
      <c r="D53" s="199"/>
      <c r="E53" s="199"/>
      <c r="F53" s="199"/>
      <c r="G53" s="199"/>
      <c r="H53" s="199"/>
      <c r="I53" s="40" t="s">
        <v>868</v>
      </c>
      <c r="J53" s="399" t="s">
        <v>970</v>
      </c>
      <c r="K53" s="204" t="s">
        <v>132</v>
      </c>
      <c r="L53" s="351" t="s">
        <v>971</v>
      </c>
      <c r="M53" s="351" t="s">
        <v>4035</v>
      </c>
      <c r="N53" s="126" t="s">
        <v>504</v>
      </c>
      <c r="O53" s="126"/>
      <c r="P53" s="126"/>
      <c r="Q53" s="126" t="s">
        <v>6</v>
      </c>
      <c r="R53" s="126" t="s">
        <v>6</v>
      </c>
      <c r="S53" s="126" t="s">
        <v>6</v>
      </c>
      <c r="T53" s="126" t="s">
        <v>6</v>
      </c>
      <c r="U53" s="218"/>
      <c r="V53" s="215"/>
      <c r="W53" s="204" t="s">
        <v>133</v>
      </c>
      <c r="X53" s="199"/>
      <c r="Y53" s="199"/>
      <c r="Z53" s="126" t="s">
        <v>6</v>
      </c>
      <c r="AA53" s="126" t="s">
        <v>6</v>
      </c>
      <c r="AB53" s="215"/>
      <c r="AC53" s="199"/>
      <c r="AD53" s="199" t="s">
        <v>915</v>
      </c>
      <c r="AE53" s="204" t="s">
        <v>133</v>
      </c>
      <c r="AF53" s="199"/>
      <c r="AG53" s="199"/>
      <c r="AH53" s="126" t="s">
        <v>6</v>
      </c>
      <c r="AI53" s="126" t="s">
        <v>6</v>
      </c>
      <c r="AJ53" s="215" t="str">
        <f>"Atende também ao agrupamento dos itens "&amp;A50&amp;" a "&amp;A52&amp;" para anunciador do nível 2 e alarme do nível 3."</f>
        <v>Atende também ao agrupamento dos itens 44 a 46 para anunciador do nível 2 e alarme do nível 3.</v>
      </c>
      <c r="AK53" s="199"/>
      <c r="AL53" s="199" t="s">
        <v>915</v>
      </c>
      <c r="AM53" s="198" t="s">
        <v>907</v>
      </c>
      <c r="AN53" s="203" t="s">
        <v>908</v>
      </c>
      <c r="AO53" s="199"/>
      <c r="AP53" s="199"/>
      <c r="AQ53" s="199"/>
      <c r="AR53" s="199"/>
      <c r="AS53" s="199"/>
      <c r="AT53" s="199"/>
      <c r="AU53" s="199"/>
      <c r="AV53" s="199"/>
      <c r="AW53" s="155">
        <f>LEN(L53)</f>
        <v>36</v>
      </c>
    </row>
    <row r="54" spans="1:49" s="236" customFormat="1" ht="15">
      <c r="A54" s="40">
        <f t="shared" si="0"/>
        <v>48</v>
      </c>
      <c r="B54" s="199"/>
      <c r="C54" s="199"/>
      <c r="D54" s="199"/>
      <c r="E54" s="199"/>
      <c r="F54" s="199"/>
      <c r="G54" s="199"/>
      <c r="H54" s="199"/>
      <c r="I54" s="40" t="s">
        <v>868</v>
      </c>
      <c r="J54" s="399" t="s">
        <v>972</v>
      </c>
      <c r="K54" s="204" t="s">
        <v>132</v>
      </c>
      <c r="L54" s="351" t="s">
        <v>973</v>
      </c>
      <c r="M54" s="351" t="s">
        <v>4034</v>
      </c>
      <c r="N54" s="126" t="s">
        <v>504</v>
      </c>
      <c r="O54" s="126"/>
      <c r="P54" s="126"/>
      <c r="Q54" s="126" t="s">
        <v>6</v>
      </c>
      <c r="R54" s="126" t="s">
        <v>6</v>
      </c>
      <c r="S54" s="126" t="s">
        <v>6</v>
      </c>
      <c r="T54" s="126" t="s">
        <v>6</v>
      </c>
      <c r="U54" s="215"/>
      <c r="V54" s="399"/>
      <c r="W54" s="204" t="s">
        <v>133</v>
      </c>
      <c r="X54" s="199"/>
      <c r="Y54" s="199"/>
      <c r="Z54" s="126" t="s">
        <v>6</v>
      </c>
      <c r="AA54" s="126" t="s">
        <v>6</v>
      </c>
      <c r="AB54" s="198"/>
      <c r="AC54" s="199"/>
      <c r="AD54" s="199" t="s">
        <v>915</v>
      </c>
      <c r="AE54" s="204" t="s">
        <v>133</v>
      </c>
      <c r="AF54" s="199"/>
      <c r="AG54" s="199"/>
      <c r="AH54" s="126" t="s">
        <v>6</v>
      </c>
      <c r="AI54" s="126" t="s">
        <v>6</v>
      </c>
      <c r="AJ54" s="198"/>
      <c r="AK54" s="199"/>
      <c r="AL54" s="199" t="s">
        <v>915</v>
      </c>
      <c r="AM54" s="198" t="s">
        <v>907</v>
      </c>
      <c r="AN54" s="203" t="s">
        <v>908</v>
      </c>
      <c r="AO54" s="199"/>
      <c r="AP54" s="199"/>
      <c r="AQ54" s="199"/>
      <c r="AR54" s="199"/>
      <c r="AS54" s="199"/>
      <c r="AT54" s="199"/>
      <c r="AU54" s="199"/>
      <c r="AV54" s="199"/>
      <c r="AW54" s="155">
        <f>LEN(L54)</f>
        <v>37</v>
      </c>
    </row>
    <row r="55" spans="1:49" s="236" customFormat="1" ht="26.4">
      <c r="A55" s="40">
        <f t="shared" si="0"/>
        <v>49</v>
      </c>
      <c r="B55" s="199"/>
      <c r="C55" s="199"/>
      <c r="D55" s="199"/>
      <c r="E55" s="199"/>
      <c r="F55" s="199"/>
      <c r="G55" s="199"/>
      <c r="H55" s="199"/>
      <c r="I55" s="40" t="s">
        <v>868</v>
      </c>
      <c r="J55" s="399" t="s">
        <v>974</v>
      </c>
      <c r="K55" s="204" t="s">
        <v>132</v>
      </c>
      <c r="L55" s="351" t="s">
        <v>975</v>
      </c>
      <c r="M55" s="351" t="s">
        <v>4033</v>
      </c>
      <c r="N55" s="126" t="s">
        <v>504</v>
      </c>
      <c r="O55" s="126"/>
      <c r="P55" s="126"/>
      <c r="Q55" s="126"/>
      <c r="R55" s="126" t="s">
        <v>6</v>
      </c>
      <c r="S55" s="126" t="s">
        <v>6</v>
      </c>
      <c r="T55" s="126" t="s">
        <v>6</v>
      </c>
      <c r="U55" s="218"/>
      <c r="V55" s="399"/>
      <c r="W55" s="204" t="s">
        <v>125</v>
      </c>
      <c r="X55" s="199"/>
      <c r="Y55" s="199"/>
      <c r="Z55" s="199"/>
      <c r="AA55" s="126" t="s">
        <v>6</v>
      </c>
      <c r="AB55" s="198"/>
      <c r="AC55" s="199"/>
      <c r="AD55" s="399" t="s">
        <v>976</v>
      </c>
      <c r="AE55" s="204" t="s">
        <v>125</v>
      </c>
      <c r="AF55" s="199"/>
      <c r="AG55" s="199"/>
      <c r="AH55" s="199"/>
      <c r="AI55" s="126" t="s">
        <v>6</v>
      </c>
      <c r="AJ55" s="198"/>
      <c r="AK55" s="199"/>
      <c r="AL55" s="399" t="s">
        <v>976</v>
      </c>
      <c r="AM55" s="198" t="s">
        <v>907</v>
      </c>
      <c r="AN55" s="203" t="s">
        <v>908</v>
      </c>
      <c r="AO55" s="199"/>
      <c r="AP55" s="199"/>
      <c r="AQ55" s="199"/>
      <c r="AR55" s="199"/>
      <c r="AS55" s="199"/>
      <c r="AT55" s="199"/>
      <c r="AU55" s="199"/>
      <c r="AV55" s="199"/>
      <c r="AW55" s="155">
        <f>LEN(L55)</f>
        <v>38</v>
      </c>
    </row>
    <row r="56" spans="1:49" s="236" customFormat="1" ht="26.4">
      <c r="A56" s="40">
        <f t="shared" si="0"/>
        <v>50</v>
      </c>
      <c r="B56" s="199"/>
      <c r="C56" s="199"/>
      <c r="D56" s="199"/>
      <c r="E56" s="199"/>
      <c r="F56" s="199"/>
      <c r="G56" s="199"/>
      <c r="H56" s="199"/>
      <c r="I56" s="40" t="s">
        <v>868</v>
      </c>
      <c r="J56" s="399" t="s">
        <v>977</v>
      </c>
      <c r="K56" s="204" t="s">
        <v>132</v>
      </c>
      <c r="L56" s="351" t="s">
        <v>978</v>
      </c>
      <c r="M56" s="351" t="s">
        <v>4033</v>
      </c>
      <c r="N56" s="126" t="s">
        <v>504</v>
      </c>
      <c r="O56" s="126"/>
      <c r="P56" s="126"/>
      <c r="Q56" s="126"/>
      <c r="R56" s="126" t="s">
        <v>6</v>
      </c>
      <c r="S56" s="126" t="s">
        <v>6</v>
      </c>
      <c r="T56" s="126" t="s">
        <v>6</v>
      </c>
      <c r="U56" s="218"/>
      <c r="V56" s="399"/>
      <c r="W56" s="204" t="s">
        <v>125</v>
      </c>
      <c r="X56" s="199"/>
      <c r="Y56" s="199"/>
      <c r="Z56" s="199"/>
      <c r="AA56" s="126" t="s">
        <v>6</v>
      </c>
      <c r="AB56" s="198"/>
      <c r="AC56" s="199"/>
      <c r="AD56" s="399" t="s">
        <v>976</v>
      </c>
      <c r="AE56" s="204" t="s">
        <v>125</v>
      </c>
      <c r="AF56" s="199"/>
      <c r="AG56" s="199"/>
      <c r="AH56" s="199"/>
      <c r="AI56" s="126" t="s">
        <v>6</v>
      </c>
      <c r="AJ56" s="198"/>
      <c r="AK56" s="199"/>
      <c r="AL56" s="399" t="s">
        <v>976</v>
      </c>
      <c r="AM56" s="198" t="s">
        <v>907</v>
      </c>
      <c r="AN56" s="203" t="s">
        <v>908</v>
      </c>
      <c r="AO56" s="199"/>
      <c r="AP56" s="199"/>
      <c r="AQ56" s="199"/>
      <c r="AR56" s="199"/>
      <c r="AS56" s="199"/>
      <c r="AT56" s="199"/>
      <c r="AU56" s="199"/>
      <c r="AV56" s="199"/>
      <c r="AW56" s="155">
        <f t="shared" si="2"/>
        <v>38</v>
      </c>
    </row>
    <row r="57" spans="1:49" s="236" customFormat="1" ht="26.4">
      <c r="A57" s="40">
        <f t="shared" si="0"/>
        <v>51</v>
      </c>
      <c r="B57" s="199"/>
      <c r="C57" s="199"/>
      <c r="D57" s="199"/>
      <c r="E57" s="199"/>
      <c r="F57" s="199"/>
      <c r="G57" s="199"/>
      <c r="H57" s="199"/>
      <c r="I57" s="40" t="s">
        <v>868</v>
      </c>
      <c r="J57" s="399" t="s">
        <v>979</v>
      </c>
      <c r="K57" s="204" t="s">
        <v>132</v>
      </c>
      <c r="L57" s="351" t="s">
        <v>980</v>
      </c>
      <c r="M57" s="351" t="s">
        <v>4033</v>
      </c>
      <c r="N57" s="126" t="s">
        <v>504</v>
      </c>
      <c r="O57" s="126"/>
      <c r="P57" s="126"/>
      <c r="Q57" s="126"/>
      <c r="R57" s="126" t="s">
        <v>6</v>
      </c>
      <c r="S57" s="126" t="s">
        <v>6</v>
      </c>
      <c r="T57" s="126" t="s">
        <v>6</v>
      </c>
      <c r="U57" s="218"/>
      <c r="V57" s="399"/>
      <c r="W57" s="204" t="s">
        <v>125</v>
      </c>
      <c r="X57" s="199"/>
      <c r="Y57" s="199"/>
      <c r="Z57" s="199"/>
      <c r="AA57" s="126" t="s">
        <v>6</v>
      </c>
      <c r="AB57" s="198"/>
      <c r="AC57" s="199"/>
      <c r="AD57" s="399" t="s">
        <v>976</v>
      </c>
      <c r="AE57" s="204" t="s">
        <v>125</v>
      </c>
      <c r="AF57" s="199"/>
      <c r="AG57" s="199"/>
      <c r="AH57" s="199"/>
      <c r="AI57" s="126" t="s">
        <v>6</v>
      </c>
      <c r="AJ57" s="198"/>
      <c r="AK57" s="199"/>
      <c r="AL57" s="399" t="s">
        <v>976</v>
      </c>
      <c r="AM57" s="198" t="s">
        <v>907</v>
      </c>
      <c r="AN57" s="203" t="s">
        <v>908</v>
      </c>
      <c r="AO57" s="199"/>
      <c r="AP57" s="199"/>
      <c r="AQ57" s="199"/>
      <c r="AR57" s="199"/>
      <c r="AS57" s="199"/>
      <c r="AT57" s="199"/>
      <c r="AU57" s="199"/>
      <c r="AV57" s="199"/>
      <c r="AW57" s="155">
        <f t="shared" si="2"/>
        <v>38</v>
      </c>
    </row>
    <row r="58" spans="1:49" s="236" customFormat="1" ht="39.6">
      <c r="A58" s="40">
        <f t="shared" si="0"/>
        <v>52</v>
      </c>
      <c r="B58" s="199"/>
      <c r="C58" s="199"/>
      <c r="D58" s="199"/>
      <c r="E58" s="199"/>
      <c r="F58" s="199"/>
      <c r="G58" s="199"/>
      <c r="H58" s="199"/>
      <c r="I58" s="40" t="s">
        <v>868</v>
      </c>
      <c r="J58" s="399" t="s">
        <v>981</v>
      </c>
      <c r="K58" s="204" t="s">
        <v>132</v>
      </c>
      <c r="L58" s="351" t="s">
        <v>982</v>
      </c>
      <c r="M58" s="351" t="s">
        <v>4035</v>
      </c>
      <c r="N58" s="126" t="s">
        <v>504</v>
      </c>
      <c r="O58" s="126"/>
      <c r="P58" s="126"/>
      <c r="Q58" s="126" t="s">
        <v>6</v>
      </c>
      <c r="R58" s="126" t="s">
        <v>6</v>
      </c>
      <c r="S58" s="126" t="s">
        <v>6</v>
      </c>
      <c r="T58" s="126" t="s">
        <v>6</v>
      </c>
      <c r="U58" s="218"/>
      <c r="V58" s="215"/>
      <c r="W58" s="204" t="s">
        <v>133</v>
      </c>
      <c r="X58" s="199"/>
      <c r="Y58" s="199"/>
      <c r="Z58" s="126" t="s">
        <v>6</v>
      </c>
      <c r="AA58" s="126" t="s">
        <v>6</v>
      </c>
      <c r="AB58" s="215"/>
      <c r="AC58" s="199"/>
      <c r="AD58" s="199" t="s">
        <v>915</v>
      </c>
      <c r="AE58" s="204" t="s">
        <v>133</v>
      </c>
      <c r="AF58" s="199"/>
      <c r="AG58" s="199"/>
      <c r="AH58" s="126" t="s">
        <v>6</v>
      </c>
      <c r="AI58" s="126" t="s">
        <v>6</v>
      </c>
      <c r="AJ58" s="215" t="str">
        <f>"Atende também ao agrupamento dos itens "&amp;A55&amp;" a "&amp;A57&amp;" para anunciador do nível 2 e alarme do nível 3."</f>
        <v>Atende também ao agrupamento dos itens 49 a 51 para anunciador do nível 2 e alarme do nível 3.</v>
      </c>
      <c r="AK58" s="199"/>
      <c r="AL58" s="199" t="s">
        <v>915</v>
      </c>
      <c r="AM58" s="198" t="s">
        <v>907</v>
      </c>
      <c r="AN58" s="203" t="s">
        <v>908</v>
      </c>
      <c r="AO58" s="199"/>
      <c r="AP58" s="199"/>
      <c r="AQ58" s="199"/>
      <c r="AR58" s="199"/>
      <c r="AS58" s="199"/>
      <c r="AT58" s="199"/>
      <c r="AU58" s="199"/>
      <c r="AV58" s="199"/>
      <c r="AW58" s="155">
        <f>LEN(L58)</f>
        <v>37</v>
      </c>
    </row>
    <row r="59" spans="1:49" s="236" customFormat="1" ht="39.6">
      <c r="A59" s="40">
        <f t="shared" si="0"/>
        <v>53</v>
      </c>
      <c r="B59" s="199"/>
      <c r="C59" s="199"/>
      <c r="D59" s="199"/>
      <c r="E59" s="199"/>
      <c r="F59" s="199"/>
      <c r="G59" s="199"/>
      <c r="H59" s="199"/>
      <c r="I59" s="40" t="s">
        <v>868</v>
      </c>
      <c r="J59" s="399" t="s">
        <v>983</v>
      </c>
      <c r="K59" s="204" t="s">
        <v>132</v>
      </c>
      <c r="L59" s="351" t="s">
        <v>984</v>
      </c>
      <c r="M59" s="351" t="s">
        <v>4034</v>
      </c>
      <c r="N59" s="126" t="s">
        <v>504</v>
      </c>
      <c r="O59" s="126"/>
      <c r="P59" s="126"/>
      <c r="Q59" s="126" t="s">
        <v>6</v>
      </c>
      <c r="R59" s="126" t="s">
        <v>6</v>
      </c>
      <c r="S59" s="126" t="s">
        <v>6</v>
      </c>
      <c r="T59" s="126" t="s">
        <v>6</v>
      </c>
      <c r="U59" s="215"/>
      <c r="V59" s="215"/>
      <c r="W59" s="204" t="s">
        <v>133</v>
      </c>
      <c r="X59" s="199"/>
      <c r="Y59" s="199"/>
      <c r="Z59" s="126" t="s">
        <v>6</v>
      </c>
      <c r="AA59" s="126" t="s">
        <v>6</v>
      </c>
      <c r="AB59" s="215"/>
      <c r="AC59" s="199"/>
      <c r="AD59" s="199" t="s">
        <v>915</v>
      </c>
      <c r="AE59" s="204" t="s">
        <v>133</v>
      </c>
      <c r="AF59" s="199"/>
      <c r="AG59" s="199"/>
      <c r="AH59" s="126" t="s">
        <v>6</v>
      </c>
      <c r="AI59" s="126" t="s">
        <v>6</v>
      </c>
      <c r="AJ59" s="215" t="str">
        <f>"Atende também ao agrupamento dos itens "&amp;A56&amp;" a "&amp;A58&amp;" para anunciador do nível 2 e alarme do nível 3."</f>
        <v>Atende também ao agrupamento dos itens 50 a 52 para anunciador do nível 2 e alarme do nível 3.</v>
      </c>
      <c r="AK59" s="199"/>
      <c r="AL59" s="199" t="s">
        <v>915</v>
      </c>
      <c r="AM59" s="198" t="s">
        <v>907</v>
      </c>
      <c r="AN59" s="203" t="s">
        <v>908</v>
      </c>
      <c r="AO59" s="199"/>
      <c r="AP59" s="199"/>
      <c r="AQ59" s="199"/>
      <c r="AR59" s="199"/>
      <c r="AS59" s="199"/>
      <c r="AT59" s="199"/>
      <c r="AU59" s="199"/>
      <c r="AV59" s="199"/>
      <c r="AW59" s="155">
        <f t="shared" si="2"/>
        <v>38</v>
      </c>
    </row>
    <row r="60" spans="1:49" s="236" customFormat="1" ht="15">
      <c r="A60" s="40">
        <f t="shared" si="0"/>
        <v>54</v>
      </c>
      <c r="B60" s="199"/>
      <c r="C60" s="199"/>
      <c r="D60" s="199"/>
      <c r="E60" s="199"/>
      <c r="F60" s="199"/>
      <c r="G60" s="199"/>
      <c r="H60" s="199"/>
      <c r="I60" s="40" t="s">
        <v>868</v>
      </c>
      <c r="J60" s="399" t="s">
        <v>985</v>
      </c>
      <c r="K60" s="204" t="s">
        <v>132</v>
      </c>
      <c r="L60" s="351" t="s">
        <v>986</v>
      </c>
      <c r="M60" s="351" t="s">
        <v>4803</v>
      </c>
      <c r="N60" s="126" t="s">
        <v>504</v>
      </c>
      <c r="O60" s="126"/>
      <c r="P60" s="126"/>
      <c r="Q60" s="126" t="s">
        <v>6</v>
      </c>
      <c r="R60" s="126" t="s">
        <v>6</v>
      </c>
      <c r="S60" s="126" t="s">
        <v>6</v>
      </c>
      <c r="T60" s="126" t="s">
        <v>6</v>
      </c>
      <c r="U60" s="215"/>
      <c r="V60" s="399"/>
      <c r="W60" s="204" t="s">
        <v>133</v>
      </c>
      <c r="X60" s="199"/>
      <c r="Y60" s="199"/>
      <c r="Z60" s="126" t="s">
        <v>6</v>
      </c>
      <c r="AA60" s="126" t="s">
        <v>6</v>
      </c>
      <c r="AB60" s="198"/>
      <c r="AC60" s="199"/>
      <c r="AD60" s="199" t="s">
        <v>915</v>
      </c>
      <c r="AE60" s="204" t="s">
        <v>133</v>
      </c>
      <c r="AF60" s="199"/>
      <c r="AG60" s="199"/>
      <c r="AH60" s="126" t="s">
        <v>6</v>
      </c>
      <c r="AI60" s="126" t="s">
        <v>6</v>
      </c>
      <c r="AJ60" s="198"/>
      <c r="AK60" s="199"/>
      <c r="AL60" s="199" t="s">
        <v>915</v>
      </c>
      <c r="AM60" s="198" t="s">
        <v>907</v>
      </c>
      <c r="AN60" s="203" t="s">
        <v>908</v>
      </c>
      <c r="AO60" s="199"/>
      <c r="AP60" s="199"/>
      <c r="AQ60" s="199"/>
      <c r="AR60" s="199"/>
      <c r="AS60" s="199"/>
      <c r="AT60" s="199"/>
      <c r="AU60" s="199"/>
      <c r="AV60" s="199"/>
      <c r="AW60" s="155">
        <f>LEN(L60)</f>
        <v>31</v>
      </c>
    </row>
    <row r="61" spans="1:49" s="236" customFormat="1" ht="15">
      <c r="A61" s="40">
        <f t="shared" si="0"/>
        <v>55</v>
      </c>
      <c r="B61" s="199"/>
      <c r="C61" s="199"/>
      <c r="D61" s="199"/>
      <c r="E61" s="199"/>
      <c r="F61" s="199"/>
      <c r="G61" s="199"/>
      <c r="H61" s="199"/>
      <c r="I61" s="40" t="s">
        <v>868</v>
      </c>
      <c r="J61" s="399" t="s">
        <v>987</v>
      </c>
      <c r="K61" s="204" t="s">
        <v>132</v>
      </c>
      <c r="L61" s="351" t="s">
        <v>988</v>
      </c>
      <c r="M61" s="351" t="s">
        <v>4803</v>
      </c>
      <c r="N61" s="126" t="s">
        <v>504</v>
      </c>
      <c r="O61" s="126"/>
      <c r="P61" s="126"/>
      <c r="Q61" s="126" t="s">
        <v>6</v>
      </c>
      <c r="R61" s="126" t="s">
        <v>6</v>
      </c>
      <c r="S61" s="126" t="s">
        <v>6</v>
      </c>
      <c r="T61" s="126" t="s">
        <v>6</v>
      </c>
      <c r="U61" s="215"/>
      <c r="V61" s="399"/>
      <c r="W61" s="204" t="s">
        <v>133</v>
      </c>
      <c r="X61" s="199"/>
      <c r="Y61" s="199"/>
      <c r="Z61" s="126" t="s">
        <v>6</v>
      </c>
      <c r="AA61" s="126" t="s">
        <v>6</v>
      </c>
      <c r="AB61" s="198"/>
      <c r="AC61" s="199"/>
      <c r="AD61" s="199" t="s">
        <v>915</v>
      </c>
      <c r="AE61" s="204" t="s">
        <v>133</v>
      </c>
      <c r="AF61" s="199"/>
      <c r="AG61" s="199"/>
      <c r="AH61" s="126" t="s">
        <v>6</v>
      </c>
      <c r="AI61" s="126" t="s">
        <v>6</v>
      </c>
      <c r="AJ61" s="198"/>
      <c r="AK61" s="199"/>
      <c r="AL61" s="199" t="s">
        <v>915</v>
      </c>
      <c r="AM61" s="198" t="s">
        <v>907</v>
      </c>
      <c r="AN61" s="203" t="s">
        <v>908</v>
      </c>
      <c r="AO61" s="199"/>
      <c r="AP61" s="199"/>
      <c r="AQ61" s="199"/>
      <c r="AR61" s="199"/>
      <c r="AS61" s="199"/>
      <c r="AT61" s="199"/>
      <c r="AU61" s="199"/>
      <c r="AV61" s="199"/>
      <c r="AW61" s="155">
        <f>LEN(L61)</f>
        <v>29</v>
      </c>
    </row>
    <row r="62" spans="1:49" s="236" customFormat="1" ht="15">
      <c r="A62" s="40">
        <f t="shared" si="0"/>
        <v>56</v>
      </c>
      <c r="B62" s="199"/>
      <c r="C62" s="199"/>
      <c r="D62" s="199"/>
      <c r="E62" s="199"/>
      <c r="F62" s="199"/>
      <c r="G62" s="199"/>
      <c r="H62" s="199"/>
      <c r="I62" s="40" t="s">
        <v>868</v>
      </c>
      <c r="J62" s="399" t="s">
        <v>989</v>
      </c>
      <c r="K62" s="204" t="s">
        <v>132</v>
      </c>
      <c r="L62" s="351" t="s">
        <v>990</v>
      </c>
      <c r="M62" s="351" t="s">
        <v>4035</v>
      </c>
      <c r="N62" s="126" t="s">
        <v>504</v>
      </c>
      <c r="O62" s="126"/>
      <c r="P62" s="126"/>
      <c r="Q62" s="126" t="s">
        <v>6</v>
      </c>
      <c r="R62" s="126" t="s">
        <v>6</v>
      </c>
      <c r="S62" s="126" t="s">
        <v>6</v>
      </c>
      <c r="T62" s="126" t="s">
        <v>6</v>
      </c>
      <c r="U62" s="215"/>
      <c r="V62" s="399"/>
      <c r="W62" s="204" t="s">
        <v>133</v>
      </c>
      <c r="X62" s="199"/>
      <c r="Y62" s="199"/>
      <c r="Z62" s="126" t="s">
        <v>6</v>
      </c>
      <c r="AA62" s="126" t="s">
        <v>6</v>
      </c>
      <c r="AB62" s="198"/>
      <c r="AC62" s="199"/>
      <c r="AD62" s="199" t="s">
        <v>915</v>
      </c>
      <c r="AE62" s="204" t="s">
        <v>133</v>
      </c>
      <c r="AF62" s="199"/>
      <c r="AG62" s="199"/>
      <c r="AH62" s="126" t="s">
        <v>6</v>
      </c>
      <c r="AI62" s="126" t="s">
        <v>6</v>
      </c>
      <c r="AJ62" s="198"/>
      <c r="AK62" s="199"/>
      <c r="AL62" s="199" t="s">
        <v>915</v>
      </c>
      <c r="AM62" s="198" t="s">
        <v>907</v>
      </c>
      <c r="AN62" s="203" t="s">
        <v>908</v>
      </c>
      <c r="AO62" s="199"/>
      <c r="AP62" s="199"/>
      <c r="AQ62" s="199"/>
      <c r="AR62" s="199"/>
      <c r="AS62" s="199"/>
      <c r="AT62" s="199"/>
      <c r="AU62" s="199"/>
      <c r="AV62" s="199"/>
      <c r="AW62" s="155">
        <f>LEN(L62)</f>
        <v>37</v>
      </c>
    </row>
    <row r="63" spans="1:49" s="236" customFormat="1" ht="26.4">
      <c r="A63" s="40">
        <f t="shared" si="0"/>
        <v>57</v>
      </c>
      <c r="B63" s="199"/>
      <c r="C63" s="199"/>
      <c r="D63" s="199"/>
      <c r="E63" s="199"/>
      <c r="F63" s="199"/>
      <c r="G63" s="199"/>
      <c r="H63" s="199"/>
      <c r="I63" s="40" t="s">
        <v>868</v>
      </c>
      <c r="J63" s="399" t="s">
        <v>991</v>
      </c>
      <c r="K63" s="204" t="s">
        <v>132</v>
      </c>
      <c r="L63" s="204" t="s">
        <v>992</v>
      </c>
      <c r="M63" s="351" t="s">
        <v>4033</v>
      </c>
      <c r="N63" s="126" t="s">
        <v>504</v>
      </c>
      <c r="O63" s="126"/>
      <c r="P63" s="126"/>
      <c r="Q63" s="126"/>
      <c r="R63" s="126" t="s">
        <v>6</v>
      </c>
      <c r="S63" s="126" t="s">
        <v>6</v>
      </c>
      <c r="T63" s="126" t="s">
        <v>6</v>
      </c>
      <c r="U63" s="218"/>
      <c r="V63" s="399"/>
      <c r="W63" s="204" t="s">
        <v>125</v>
      </c>
      <c r="X63" s="199"/>
      <c r="Y63" s="199"/>
      <c r="Z63" s="199"/>
      <c r="AA63" s="126" t="s">
        <v>6</v>
      </c>
      <c r="AB63" s="198"/>
      <c r="AC63" s="199"/>
      <c r="AD63" s="399" t="s">
        <v>993</v>
      </c>
      <c r="AE63" s="204" t="s">
        <v>125</v>
      </c>
      <c r="AF63" s="199"/>
      <c r="AG63" s="199"/>
      <c r="AH63" s="199"/>
      <c r="AI63" s="126" t="s">
        <v>6</v>
      </c>
      <c r="AJ63" s="198"/>
      <c r="AK63" s="199"/>
      <c r="AL63" s="399" t="s">
        <v>993</v>
      </c>
      <c r="AM63" s="198" t="s">
        <v>907</v>
      </c>
      <c r="AN63" s="203" t="s">
        <v>908</v>
      </c>
      <c r="AO63" s="199"/>
      <c r="AP63" s="199"/>
      <c r="AQ63" s="199"/>
      <c r="AR63" s="199"/>
      <c r="AS63" s="199"/>
      <c r="AT63" s="199"/>
      <c r="AU63" s="199"/>
      <c r="AV63" s="199"/>
      <c r="AW63" s="155">
        <f>LEN(L63)</f>
        <v>36</v>
      </c>
    </row>
    <row r="64" spans="1:49" s="236" customFormat="1" ht="26.4">
      <c r="A64" s="40">
        <f t="shared" si="0"/>
        <v>58</v>
      </c>
      <c r="B64" s="199"/>
      <c r="C64" s="199"/>
      <c r="D64" s="199"/>
      <c r="E64" s="199"/>
      <c r="F64" s="199"/>
      <c r="G64" s="199"/>
      <c r="H64" s="199"/>
      <c r="I64" s="40" t="s">
        <v>868</v>
      </c>
      <c r="J64" s="399" t="s">
        <v>994</v>
      </c>
      <c r="K64" s="204" t="s">
        <v>132</v>
      </c>
      <c r="L64" s="204" t="s">
        <v>995</v>
      </c>
      <c r="M64" s="351" t="s">
        <v>4033</v>
      </c>
      <c r="N64" s="126" t="s">
        <v>504</v>
      </c>
      <c r="O64" s="126"/>
      <c r="P64" s="126"/>
      <c r="Q64" s="126"/>
      <c r="R64" s="126" t="s">
        <v>6</v>
      </c>
      <c r="S64" s="126" t="s">
        <v>6</v>
      </c>
      <c r="T64" s="126" t="s">
        <v>6</v>
      </c>
      <c r="U64" s="218"/>
      <c r="V64" s="399"/>
      <c r="W64" s="204" t="s">
        <v>125</v>
      </c>
      <c r="X64" s="199"/>
      <c r="Y64" s="199"/>
      <c r="Z64" s="199"/>
      <c r="AA64" s="126" t="s">
        <v>6</v>
      </c>
      <c r="AB64" s="198"/>
      <c r="AC64" s="199"/>
      <c r="AD64" s="399" t="s">
        <v>993</v>
      </c>
      <c r="AE64" s="204" t="s">
        <v>125</v>
      </c>
      <c r="AF64" s="199"/>
      <c r="AG64" s="199"/>
      <c r="AH64" s="199"/>
      <c r="AI64" s="126" t="s">
        <v>6</v>
      </c>
      <c r="AJ64" s="198"/>
      <c r="AK64" s="199"/>
      <c r="AL64" s="399" t="s">
        <v>993</v>
      </c>
      <c r="AM64" s="198" t="s">
        <v>907</v>
      </c>
      <c r="AN64" s="203" t="s">
        <v>908</v>
      </c>
      <c r="AO64" s="199"/>
      <c r="AP64" s="199"/>
      <c r="AQ64" s="199"/>
      <c r="AR64" s="199"/>
      <c r="AS64" s="199"/>
      <c r="AT64" s="199"/>
      <c r="AU64" s="199"/>
      <c r="AV64" s="199"/>
      <c r="AW64" s="155">
        <f t="shared" si="2"/>
        <v>36</v>
      </c>
    </row>
    <row r="65" spans="1:49" s="236" customFormat="1" ht="26.4">
      <c r="A65" s="40">
        <f t="shared" si="0"/>
        <v>59</v>
      </c>
      <c r="B65" s="199"/>
      <c r="C65" s="199"/>
      <c r="D65" s="199"/>
      <c r="E65" s="199"/>
      <c r="F65" s="199"/>
      <c r="G65" s="199"/>
      <c r="H65" s="199"/>
      <c r="I65" s="40" t="s">
        <v>868</v>
      </c>
      <c r="J65" s="399" t="s">
        <v>996</v>
      </c>
      <c r="K65" s="204" t="s">
        <v>132</v>
      </c>
      <c r="L65" s="204" t="s">
        <v>997</v>
      </c>
      <c r="M65" s="351" t="s">
        <v>4033</v>
      </c>
      <c r="N65" s="126" t="s">
        <v>504</v>
      </c>
      <c r="O65" s="126"/>
      <c r="P65" s="126"/>
      <c r="Q65" s="126"/>
      <c r="R65" s="126" t="s">
        <v>6</v>
      </c>
      <c r="S65" s="126" t="s">
        <v>6</v>
      </c>
      <c r="T65" s="126" t="s">
        <v>6</v>
      </c>
      <c r="U65" s="218"/>
      <c r="V65" s="399"/>
      <c r="W65" s="204" t="s">
        <v>125</v>
      </c>
      <c r="X65" s="199"/>
      <c r="Y65" s="199"/>
      <c r="Z65" s="199"/>
      <c r="AA65" s="126" t="s">
        <v>6</v>
      </c>
      <c r="AB65" s="198"/>
      <c r="AC65" s="199"/>
      <c r="AD65" s="399" t="s">
        <v>993</v>
      </c>
      <c r="AE65" s="204" t="s">
        <v>125</v>
      </c>
      <c r="AF65" s="199"/>
      <c r="AG65" s="199"/>
      <c r="AH65" s="199"/>
      <c r="AI65" s="126" t="s">
        <v>6</v>
      </c>
      <c r="AJ65" s="198"/>
      <c r="AK65" s="199"/>
      <c r="AL65" s="399" t="s">
        <v>993</v>
      </c>
      <c r="AM65" s="198" t="s">
        <v>907</v>
      </c>
      <c r="AN65" s="203" t="s">
        <v>908</v>
      </c>
      <c r="AO65" s="199"/>
      <c r="AP65" s="199"/>
      <c r="AQ65" s="199"/>
      <c r="AR65" s="199"/>
      <c r="AS65" s="199"/>
      <c r="AT65" s="199"/>
      <c r="AU65" s="199"/>
      <c r="AV65" s="199"/>
      <c r="AW65" s="155">
        <f t="shared" si="2"/>
        <v>36</v>
      </c>
    </row>
    <row r="66" spans="1:49" s="236" customFormat="1" ht="39.6">
      <c r="A66" s="40">
        <f t="shared" si="0"/>
        <v>60</v>
      </c>
      <c r="B66" s="199"/>
      <c r="C66" s="199"/>
      <c r="D66" s="199"/>
      <c r="E66" s="199"/>
      <c r="F66" s="199"/>
      <c r="G66" s="199"/>
      <c r="H66" s="199"/>
      <c r="I66" s="40" t="s">
        <v>868</v>
      </c>
      <c r="J66" s="399" t="s">
        <v>998</v>
      </c>
      <c r="K66" s="204" t="s">
        <v>132</v>
      </c>
      <c r="L66" s="204" t="s">
        <v>999</v>
      </c>
      <c r="M66" s="351" t="s">
        <v>4035</v>
      </c>
      <c r="N66" s="126" t="s">
        <v>504</v>
      </c>
      <c r="O66" s="126"/>
      <c r="P66" s="126"/>
      <c r="Q66" s="126" t="s">
        <v>6</v>
      </c>
      <c r="R66" s="126" t="s">
        <v>6</v>
      </c>
      <c r="S66" s="126" t="s">
        <v>6</v>
      </c>
      <c r="T66" s="126" t="s">
        <v>6</v>
      </c>
      <c r="U66" s="218"/>
      <c r="V66" s="215"/>
      <c r="W66" s="204" t="s">
        <v>133</v>
      </c>
      <c r="X66" s="199"/>
      <c r="Y66" s="199"/>
      <c r="Z66" s="126" t="s">
        <v>6</v>
      </c>
      <c r="AA66" s="126" t="s">
        <v>6</v>
      </c>
      <c r="AB66" s="215"/>
      <c r="AC66" s="199"/>
      <c r="AD66" s="199" t="s">
        <v>915</v>
      </c>
      <c r="AE66" s="204" t="s">
        <v>133</v>
      </c>
      <c r="AF66" s="199"/>
      <c r="AG66" s="199"/>
      <c r="AH66" s="126" t="s">
        <v>6</v>
      </c>
      <c r="AI66" s="126" t="s">
        <v>6</v>
      </c>
      <c r="AJ66" s="215" t="str">
        <f>"Atende também ao agrupamento dos itens "&amp;A63&amp;" a "&amp;A65&amp;" para anunciador do nível 2 e alarme do nível 3."</f>
        <v>Atende também ao agrupamento dos itens 57 a 59 para anunciador do nível 2 e alarme do nível 3.</v>
      </c>
      <c r="AK66" s="199"/>
      <c r="AL66" s="199" t="s">
        <v>915</v>
      </c>
      <c r="AM66" s="198" t="s">
        <v>907</v>
      </c>
      <c r="AN66" s="203" t="s">
        <v>908</v>
      </c>
      <c r="AO66" s="199"/>
      <c r="AP66" s="199"/>
      <c r="AQ66" s="199"/>
      <c r="AR66" s="199"/>
      <c r="AS66" s="199"/>
      <c r="AT66" s="199"/>
      <c r="AU66" s="199"/>
      <c r="AV66" s="199"/>
      <c r="AW66" s="155">
        <f>LEN(L66)</f>
        <v>35</v>
      </c>
    </row>
    <row r="67" spans="1:49" s="236" customFormat="1" ht="15">
      <c r="A67" s="40">
        <f t="shared" si="0"/>
        <v>61</v>
      </c>
      <c r="B67" s="199"/>
      <c r="C67" s="199"/>
      <c r="D67" s="199"/>
      <c r="E67" s="199"/>
      <c r="F67" s="199"/>
      <c r="G67" s="199"/>
      <c r="H67" s="199"/>
      <c r="I67" s="40" t="s">
        <v>868</v>
      </c>
      <c r="J67" s="399" t="s">
        <v>1000</v>
      </c>
      <c r="K67" s="204" t="s">
        <v>122</v>
      </c>
      <c r="L67" s="204" t="s">
        <v>1001</v>
      </c>
      <c r="M67" s="351" t="s">
        <v>4034</v>
      </c>
      <c r="N67" s="349" t="s">
        <v>873</v>
      </c>
      <c r="O67" s="126"/>
      <c r="P67" s="126"/>
      <c r="Q67" s="126" t="s">
        <v>6</v>
      </c>
      <c r="R67" s="126" t="s">
        <v>6</v>
      </c>
      <c r="S67" s="126" t="s">
        <v>6</v>
      </c>
      <c r="T67" s="126" t="s">
        <v>6</v>
      </c>
      <c r="U67" s="215"/>
      <c r="V67" s="399"/>
      <c r="W67" s="204" t="s">
        <v>123</v>
      </c>
      <c r="X67" s="199"/>
      <c r="Y67" s="199"/>
      <c r="Z67" s="126" t="s">
        <v>6</v>
      </c>
      <c r="AA67" s="126" t="s">
        <v>6</v>
      </c>
      <c r="AB67" s="198"/>
      <c r="AC67" s="199"/>
      <c r="AD67" s="199" t="s">
        <v>915</v>
      </c>
      <c r="AE67" s="204" t="s">
        <v>123</v>
      </c>
      <c r="AF67" s="199"/>
      <c r="AG67" s="199"/>
      <c r="AH67" s="126" t="s">
        <v>6</v>
      </c>
      <c r="AI67" s="126" t="s">
        <v>6</v>
      </c>
      <c r="AJ67" s="198"/>
      <c r="AK67" s="199"/>
      <c r="AL67" s="199" t="s">
        <v>915</v>
      </c>
      <c r="AM67" s="198" t="s">
        <v>907</v>
      </c>
      <c r="AN67" s="203" t="s">
        <v>908</v>
      </c>
      <c r="AO67" s="199"/>
      <c r="AP67" s="199"/>
      <c r="AQ67" s="199"/>
      <c r="AR67" s="199"/>
      <c r="AS67" s="199"/>
      <c r="AT67" s="199"/>
      <c r="AU67" s="199"/>
      <c r="AV67" s="199"/>
      <c r="AW67" s="155">
        <f>LEN(L67)</f>
        <v>36</v>
      </c>
    </row>
    <row r="68" spans="1:49" s="236" customFormat="1" ht="26.4">
      <c r="A68" s="40">
        <f t="shared" si="0"/>
        <v>62</v>
      </c>
      <c r="B68" s="199"/>
      <c r="C68" s="199"/>
      <c r="D68" s="199"/>
      <c r="E68" s="199"/>
      <c r="F68" s="199"/>
      <c r="G68" s="199"/>
      <c r="H68" s="199"/>
      <c r="I68" s="40" t="s">
        <v>868</v>
      </c>
      <c r="J68" s="399" t="s">
        <v>1002</v>
      </c>
      <c r="K68" s="204" t="s">
        <v>132</v>
      </c>
      <c r="L68" s="351" t="s">
        <v>1003</v>
      </c>
      <c r="M68" s="351" t="s">
        <v>4033</v>
      </c>
      <c r="N68" s="126" t="s">
        <v>504</v>
      </c>
      <c r="O68" s="126"/>
      <c r="P68" s="126"/>
      <c r="Q68" s="126"/>
      <c r="R68" s="126" t="s">
        <v>6</v>
      </c>
      <c r="S68" s="126" t="s">
        <v>6</v>
      </c>
      <c r="T68" s="126" t="s">
        <v>6</v>
      </c>
      <c r="U68" s="218"/>
      <c r="V68" s="399"/>
      <c r="W68" s="204" t="s">
        <v>125</v>
      </c>
      <c r="X68" s="199"/>
      <c r="Y68" s="199"/>
      <c r="Z68" s="199"/>
      <c r="AA68" s="126" t="s">
        <v>6</v>
      </c>
      <c r="AB68" s="198"/>
      <c r="AC68" s="199"/>
      <c r="AD68" s="399" t="s">
        <v>1004</v>
      </c>
      <c r="AE68" s="204" t="s">
        <v>125</v>
      </c>
      <c r="AF68" s="199"/>
      <c r="AG68" s="199"/>
      <c r="AH68" s="199"/>
      <c r="AI68" s="126" t="s">
        <v>6</v>
      </c>
      <c r="AJ68" s="198"/>
      <c r="AK68" s="199"/>
      <c r="AL68" s="399" t="s">
        <v>1004</v>
      </c>
      <c r="AM68" s="198" t="s">
        <v>907</v>
      </c>
      <c r="AN68" s="203" t="s">
        <v>908</v>
      </c>
      <c r="AO68" s="199"/>
      <c r="AP68" s="199"/>
      <c r="AQ68" s="199"/>
      <c r="AR68" s="199"/>
      <c r="AS68" s="199"/>
      <c r="AT68" s="199"/>
      <c r="AU68" s="199"/>
      <c r="AV68" s="199"/>
      <c r="AW68" s="155">
        <f>LEN(L68)</f>
        <v>37</v>
      </c>
    </row>
    <row r="69" spans="1:49" s="236" customFormat="1" ht="26.4">
      <c r="A69" s="40">
        <f t="shared" si="0"/>
        <v>63</v>
      </c>
      <c r="B69" s="199"/>
      <c r="C69" s="199"/>
      <c r="D69" s="199"/>
      <c r="E69" s="199"/>
      <c r="F69" s="199"/>
      <c r="G69" s="199"/>
      <c r="H69" s="199"/>
      <c r="I69" s="40" t="s">
        <v>868</v>
      </c>
      <c r="J69" s="399" t="s">
        <v>1005</v>
      </c>
      <c r="K69" s="204" t="s">
        <v>132</v>
      </c>
      <c r="L69" s="351" t="s">
        <v>1006</v>
      </c>
      <c r="M69" s="351" t="s">
        <v>4033</v>
      </c>
      <c r="N69" s="126" t="s">
        <v>504</v>
      </c>
      <c r="O69" s="126"/>
      <c r="P69" s="126"/>
      <c r="Q69" s="126"/>
      <c r="R69" s="126" t="s">
        <v>6</v>
      </c>
      <c r="S69" s="126" t="s">
        <v>6</v>
      </c>
      <c r="T69" s="126" t="s">
        <v>6</v>
      </c>
      <c r="U69" s="218"/>
      <c r="V69" s="399"/>
      <c r="W69" s="204" t="s">
        <v>125</v>
      </c>
      <c r="X69" s="199"/>
      <c r="Y69" s="199"/>
      <c r="Z69" s="199"/>
      <c r="AA69" s="126" t="s">
        <v>6</v>
      </c>
      <c r="AB69" s="198"/>
      <c r="AC69" s="199"/>
      <c r="AD69" s="399" t="s">
        <v>1004</v>
      </c>
      <c r="AE69" s="204" t="s">
        <v>125</v>
      </c>
      <c r="AF69" s="199"/>
      <c r="AG69" s="199"/>
      <c r="AH69" s="199"/>
      <c r="AI69" s="126" t="s">
        <v>6</v>
      </c>
      <c r="AJ69" s="198"/>
      <c r="AK69" s="199"/>
      <c r="AL69" s="399" t="s">
        <v>1004</v>
      </c>
      <c r="AM69" s="198" t="s">
        <v>907</v>
      </c>
      <c r="AN69" s="203" t="s">
        <v>908</v>
      </c>
      <c r="AO69" s="199"/>
      <c r="AP69" s="199"/>
      <c r="AQ69" s="199"/>
      <c r="AR69" s="199"/>
      <c r="AS69" s="199"/>
      <c r="AT69" s="199"/>
      <c r="AU69" s="199"/>
      <c r="AV69" s="199"/>
      <c r="AW69" s="155">
        <f t="shared" si="2"/>
        <v>37</v>
      </c>
    </row>
    <row r="70" spans="1:49" s="236" customFormat="1" ht="26.4">
      <c r="A70" s="40">
        <f t="shared" si="0"/>
        <v>64</v>
      </c>
      <c r="B70" s="199"/>
      <c r="C70" s="199"/>
      <c r="D70" s="199"/>
      <c r="E70" s="199"/>
      <c r="F70" s="199"/>
      <c r="G70" s="199"/>
      <c r="H70" s="199"/>
      <c r="I70" s="40" t="s">
        <v>868</v>
      </c>
      <c r="J70" s="399" t="s">
        <v>1007</v>
      </c>
      <c r="K70" s="204" t="s">
        <v>132</v>
      </c>
      <c r="L70" s="351" t="s">
        <v>1008</v>
      </c>
      <c r="M70" s="351" t="s">
        <v>4033</v>
      </c>
      <c r="N70" s="126" t="s">
        <v>504</v>
      </c>
      <c r="O70" s="126"/>
      <c r="P70" s="126"/>
      <c r="Q70" s="126"/>
      <c r="R70" s="126" t="s">
        <v>6</v>
      </c>
      <c r="S70" s="126" t="s">
        <v>6</v>
      </c>
      <c r="T70" s="126" t="s">
        <v>6</v>
      </c>
      <c r="U70" s="218"/>
      <c r="V70" s="399"/>
      <c r="W70" s="204" t="s">
        <v>125</v>
      </c>
      <c r="X70" s="199"/>
      <c r="Y70" s="199"/>
      <c r="Z70" s="199"/>
      <c r="AA70" s="126" t="s">
        <v>6</v>
      </c>
      <c r="AB70" s="198"/>
      <c r="AC70" s="199"/>
      <c r="AD70" s="399" t="s">
        <v>1004</v>
      </c>
      <c r="AE70" s="204" t="s">
        <v>125</v>
      </c>
      <c r="AF70" s="199"/>
      <c r="AG70" s="199"/>
      <c r="AH70" s="199"/>
      <c r="AI70" s="126" t="s">
        <v>6</v>
      </c>
      <c r="AJ70" s="198"/>
      <c r="AK70" s="199"/>
      <c r="AL70" s="399" t="s">
        <v>1004</v>
      </c>
      <c r="AM70" s="198" t="s">
        <v>907</v>
      </c>
      <c r="AN70" s="203" t="s">
        <v>908</v>
      </c>
      <c r="AO70" s="199"/>
      <c r="AP70" s="199"/>
      <c r="AQ70" s="199"/>
      <c r="AR70" s="199"/>
      <c r="AS70" s="199"/>
      <c r="AT70" s="199"/>
      <c r="AU70" s="199"/>
      <c r="AV70" s="199"/>
      <c r="AW70" s="155">
        <f t="shared" si="2"/>
        <v>37</v>
      </c>
    </row>
    <row r="71" spans="1:49" s="236" customFormat="1" ht="39.6">
      <c r="A71" s="40">
        <f t="shared" ref="A71:A134" si="3">ROW() - 6</f>
        <v>65</v>
      </c>
      <c r="B71" s="199"/>
      <c r="C71" s="199"/>
      <c r="D71" s="199"/>
      <c r="E71" s="199"/>
      <c r="F71" s="199"/>
      <c r="G71" s="199"/>
      <c r="H71" s="199"/>
      <c r="I71" s="40" t="s">
        <v>868</v>
      </c>
      <c r="J71" s="399" t="s">
        <v>1009</v>
      </c>
      <c r="K71" s="204" t="s">
        <v>132</v>
      </c>
      <c r="L71" s="351" t="s">
        <v>1010</v>
      </c>
      <c r="M71" s="351" t="s">
        <v>4035</v>
      </c>
      <c r="N71" s="126" t="s">
        <v>504</v>
      </c>
      <c r="O71" s="126"/>
      <c r="P71" s="126"/>
      <c r="Q71" s="126" t="s">
        <v>6</v>
      </c>
      <c r="R71" s="126" t="s">
        <v>6</v>
      </c>
      <c r="S71" s="126" t="s">
        <v>6</v>
      </c>
      <c r="T71" s="126" t="s">
        <v>6</v>
      </c>
      <c r="U71" s="218"/>
      <c r="V71" s="215"/>
      <c r="W71" s="204" t="s">
        <v>133</v>
      </c>
      <c r="X71" s="199"/>
      <c r="Y71" s="199"/>
      <c r="Z71" s="126" t="s">
        <v>6</v>
      </c>
      <c r="AA71" s="126" t="s">
        <v>6</v>
      </c>
      <c r="AB71" s="215"/>
      <c r="AC71" s="199"/>
      <c r="AD71" s="199" t="s">
        <v>915</v>
      </c>
      <c r="AE71" s="204" t="s">
        <v>133</v>
      </c>
      <c r="AF71" s="199"/>
      <c r="AG71" s="199"/>
      <c r="AH71" s="126" t="s">
        <v>6</v>
      </c>
      <c r="AI71" s="126" t="s">
        <v>6</v>
      </c>
      <c r="AJ71" s="215" t="str">
        <f>"Atende também ao agrupamento dos itens "&amp;A68&amp;" a "&amp;A70&amp;" para anunciador do nível 2 e alarme do nível 3."</f>
        <v>Atende também ao agrupamento dos itens 62 a 64 para anunciador do nível 2 e alarme do nível 3.</v>
      </c>
      <c r="AK71" s="199"/>
      <c r="AL71" s="199" t="s">
        <v>915</v>
      </c>
      <c r="AM71" s="198" t="s">
        <v>907</v>
      </c>
      <c r="AN71" s="203" t="s">
        <v>908</v>
      </c>
      <c r="AO71" s="199"/>
      <c r="AP71" s="199"/>
      <c r="AQ71" s="199"/>
      <c r="AR71" s="199"/>
      <c r="AS71" s="199"/>
      <c r="AT71" s="199"/>
      <c r="AU71" s="199"/>
      <c r="AV71" s="199"/>
      <c r="AW71" s="155">
        <f>LEN(L71)</f>
        <v>36</v>
      </c>
    </row>
    <row r="72" spans="1:49" s="236" customFormat="1" ht="15">
      <c r="A72" s="40">
        <f t="shared" si="3"/>
        <v>66</v>
      </c>
      <c r="B72" s="199"/>
      <c r="C72" s="199"/>
      <c r="D72" s="199"/>
      <c r="E72" s="199"/>
      <c r="F72" s="199"/>
      <c r="G72" s="199"/>
      <c r="H72" s="199"/>
      <c r="I72" s="40" t="s">
        <v>868</v>
      </c>
      <c r="J72" s="399" t="s">
        <v>1011</v>
      </c>
      <c r="K72" s="204" t="s">
        <v>122</v>
      </c>
      <c r="L72" s="351" t="s">
        <v>1012</v>
      </c>
      <c r="M72" s="351" t="s">
        <v>4034</v>
      </c>
      <c r="N72" s="349" t="s">
        <v>873</v>
      </c>
      <c r="O72" s="126"/>
      <c r="P72" s="126"/>
      <c r="Q72" s="126" t="s">
        <v>6</v>
      </c>
      <c r="R72" s="126" t="s">
        <v>6</v>
      </c>
      <c r="S72" s="126" t="s">
        <v>6</v>
      </c>
      <c r="T72" s="126" t="s">
        <v>6</v>
      </c>
      <c r="U72" s="215"/>
      <c r="V72" s="399"/>
      <c r="W72" s="204" t="s">
        <v>123</v>
      </c>
      <c r="X72" s="199"/>
      <c r="Y72" s="199"/>
      <c r="Z72" s="126" t="s">
        <v>6</v>
      </c>
      <c r="AA72" s="126" t="s">
        <v>6</v>
      </c>
      <c r="AB72" s="198"/>
      <c r="AC72" s="199"/>
      <c r="AD72" s="199" t="s">
        <v>915</v>
      </c>
      <c r="AE72" s="204" t="s">
        <v>123</v>
      </c>
      <c r="AF72" s="199"/>
      <c r="AG72" s="199"/>
      <c r="AH72" s="126" t="s">
        <v>6</v>
      </c>
      <c r="AI72" s="126" t="s">
        <v>6</v>
      </c>
      <c r="AJ72" s="198"/>
      <c r="AK72" s="199"/>
      <c r="AL72" s="199" t="s">
        <v>915</v>
      </c>
      <c r="AM72" s="198" t="s">
        <v>907</v>
      </c>
      <c r="AN72" s="203" t="s">
        <v>908</v>
      </c>
      <c r="AO72" s="199"/>
      <c r="AP72" s="199"/>
      <c r="AQ72" s="199"/>
      <c r="AR72" s="199"/>
      <c r="AS72" s="199"/>
      <c r="AT72" s="199"/>
      <c r="AU72" s="199"/>
      <c r="AV72" s="199"/>
      <c r="AW72" s="155">
        <f>LEN(L72)</f>
        <v>37</v>
      </c>
    </row>
    <row r="73" spans="1:49" s="236" customFormat="1" ht="15">
      <c r="A73" s="40">
        <f t="shared" si="3"/>
        <v>67</v>
      </c>
      <c r="B73" s="199"/>
      <c r="C73" s="199"/>
      <c r="D73" s="199"/>
      <c r="E73" s="199"/>
      <c r="F73" s="199"/>
      <c r="G73" s="199"/>
      <c r="H73" s="199"/>
      <c r="I73" s="40" t="s">
        <v>868</v>
      </c>
      <c r="J73" s="399" t="s">
        <v>1013</v>
      </c>
      <c r="K73" s="204" t="s">
        <v>132</v>
      </c>
      <c r="L73" s="241" t="s">
        <v>1014</v>
      </c>
      <c r="M73" s="351" t="s">
        <v>4035</v>
      </c>
      <c r="N73" s="126" t="s">
        <v>504</v>
      </c>
      <c r="O73" s="126"/>
      <c r="P73" s="126"/>
      <c r="Q73" s="126" t="s">
        <v>6</v>
      </c>
      <c r="R73" s="126" t="s">
        <v>6</v>
      </c>
      <c r="S73" s="126" t="s">
        <v>6</v>
      </c>
      <c r="T73" s="126" t="s">
        <v>6</v>
      </c>
      <c r="U73" s="215"/>
      <c r="V73" s="399"/>
      <c r="W73" s="204" t="s">
        <v>133</v>
      </c>
      <c r="X73" s="199"/>
      <c r="Y73" s="199"/>
      <c r="Z73" s="126" t="s">
        <v>6</v>
      </c>
      <c r="AA73" s="126" t="s">
        <v>6</v>
      </c>
      <c r="AB73" s="198"/>
      <c r="AC73" s="199"/>
      <c r="AD73" s="199" t="s">
        <v>915</v>
      </c>
      <c r="AE73" s="204" t="s">
        <v>133</v>
      </c>
      <c r="AF73" s="199"/>
      <c r="AG73" s="199"/>
      <c r="AH73" s="126" t="s">
        <v>6</v>
      </c>
      <c r="AI73" s="126" t="s">
        <v>6</v>
      </c>
      <c r="AJ73" s="198"/>
      <c r="AK73" s="199"/>
      <c r="AL73" s="199" t="s">
        <v>915</v>
      </c>
      <c r="AM73" s="198" t="s">
        <v>907</v>
      </c>
      <c r="AN73" s="203" t="s">
        <v>908</v>
      </c>
      <c r="AO73" s="199"/>
      <c r="AP73" s="199"/>
      <c r="AQ73" s="199"/>
      <c r="AR73" s="199"/>
      <c r="AS73" s="199"/>
      <c r="AT73" s="199"/>
      <c r="AU73" s="199"/>
      <c r="AV73" s="199"/>
      <c r="AW73" s="155">
        <f>LEN(L73)</f>
        <v>36</v>
      </c>
    </row>
    <row r="74" spans="1:49" s="236" customFormat="1" ht="81" customHeight="1">
      <c r="A74" s="40">
        <f t="shared" si="3"/>
        <v>68</v>
      </c>
      <c r="B74" s="199"/>
      <c r="C74" s="199"/>
      <c r="D74" s="199"/>
      <c r="E74" s="199"/>
      <c r="F74" s="199"/>
      <c r="G74" s="199"/>
      <c r="H74" s="199"/>
      <c r="I74" s="40" t="s">
        <v>868</v>
      </c>
      <c r="J74" s="412" t="s">
        <v>1015</v>
      </c>
      <c r="K74" s="242" t="s">
        <v>132</v>
      </c>
      <c r="L74" s="241" t="s">
        <v>1016</v>
      </c>
      <c r="M74" s="351" t="s">
        <v>4033</v>
      </c>
      <c r="N74" s="349" t="s">
        <v>504</v>
      </c>
      <c r="O74" s="126"/>
      <c r="P74" s="126"/>
      <c r="Q74" s="40" t="s">
        <v>6</v>
      </c>
      <c r="R74" s="126" t="s">
        <v>6</v>
      </c>
      <c r="S74" s="126" t="s">
        <v>6</v>
      </c>
      <c r="T74" s="126" t="s">
        <v>6</v>
      </c>
      <c r="U74" s="208" t="s">
        <v>1017</v>
      </c>
      <c r="V74" s="412"/>
      <c r="W74" s="204" t="s">
        <v>125</v>
      </c>
      <c r="X74" s="199"/>
      <c r="Y74" s="199"/>
      <c r="Z74" s="199"/>
      <c r="AA74" s="126" t="s">
        <v>6</v>
      </c>
      <c r="AB74" s="198"/>
      <c r="AC74" s="199"/>
      <c r="AD74" s="412" t="s">
        <v>1018</v>
      </c>
      <c r="AE74" s="204" t="s">
        <v>125</v>
      </c>
      <c r="AF74" s="199"/>
      <c r="AG74" s="199"/>
      <c r="AH74" s="199"/>
      <c r="AI74" s="126" t="s">
        <v>6</v>
      </c>
      <c r="AJ74" s="198"/>
      <c r="AK74" s="199"/>
      <c r="AL74" s="412" t="s">
        <v>1018</v>
      </c>
      <c r="AM74" s="198" t="s">
        <v>907</v>
      </c>
      <c r="AN74" s="203" t="s">
        <v>908</v>
      </c>
      <c r="AO74" s="199"/>
      <c r="AP74" s="199"/>
      <c r="AQ74" s="199"/>
      <c r="AR74" s="199"/>
      <c r="AS74" s="199"/>
      <c r="AT74" s="199"/>
      <c r="AU74" s="199"/>
      <c r="AV74" s="199"/>
      <c r="AW74" s="155">
        <f>LEN(L74)</f>
        <v>38</v>
      </c>
    </row>
    <row r="75" spans="1:49" s="236" customFormat="1" ht="52.8">
      <c r="A75" s="40">
        <f t="shared" si="3"/>
        <v>69</v>
      </c>
      <c r="B75" s="199"/>
      <c r="C75" s="199"/>
      <c r="D75" s="199"/>
      <c r="E75" s="199"/>
      <c r="F75" s="199"/>
      <c r="G75" s="199"/>
      <c r="H75" s="199"/>
      <c r="I75" s="40" t="s">
        <v>868</v>
      </c>
      <c r="J75" s="412" t="s">
        <v>1019</v>
      </c>
      <c r="K75" s="242" t="s">
        <v>132</v>
      </c>
      <c r="L75" s="351" t="s">
        <v>1020</v>
      </c>
      <c r="M75" s="351" t="s">
        <v>4033</v>
      </c>
      <c r="N75" s="349" t="s">
        <v>504</v>
      </c>
      <c r="O75" s="126"/>
      <c r="P75" s="126"/>
      <c r="Q75" s="40" t="s">
        <v>6</v>
      </c>
      <c r="R75" s="126" t="s">
        <v>6</v>
      </c>
      <c r="S75" s="126" t="s">
        <v>6</v>
      </c>
      <c r="T75" s="126" t="s">
        <v>6</v>
      </c>
      <c r="U75" s="208" t="s">
        <v>1017</v>
      </c>
      <c r="V75" s="412"/>
      <c r="W75" s="204" t="s">
        <v>125</v>
      </c>
      <c r="X75" s="199"/>
      <c r="Y75" s="199"/>
      <c r="Z75" s="199"/>
      <c r="AA75" s="126" t="s">
        <v>6</v>
      </c>
      <c r="AB75" s="198"/>
      <c r="AC75" s="199"/>
      <c r="AD75" s="412" t="s">
        <v>1018</v>
      </c>
      <c r="AE75" s="204" t="s">
        <v>125</v>
      </c>
      <c r="AF75" s="199"/>
      <c r="AG75" s="199"/>
      <c r="AH75" s="199"/>
      <c r="AI75" s="126" t="s">
        <v>6</v>
      </c>
      <c r="AJ75" s="198"/>
      <c r="AK75" s="199"/>
      <c r="AL75" s="412" t="s">
        <v>1018</v>
      </c>
      <c r="AM75" s="198" t="s">
        <v>907</v>
      </c>
      <c r="AN75" s="203" t="s">
        <v>908</v>
      </c>
      <c r="AO75" s="199"/>
      <c r="AP75" s="199"/>
      <c r="AQ75" s="199"/>
      <c r="AR75" s="199"/>
      <c r="AS75" s="199"/>
      <c r="AT75" s="199"/>
      <c r="AU75" s="199"/>
      <c r="AV75" s="199"/>
      <c r="AW75" s="155">
        <f t="shared" si="2"/>
        <v>38</v>
      </c>
    </row>
    <row r="76" spans="1:49" s="236" customFormat="1" ht="52.8">
      <c r="A76" s="40">
        <f t="shared" si="3"/>
        <v>70</v>
      </c>
      <c r="B76" s="199"/>
      <c r="C76" s="199"/>
      <c r="D76" s="199"/>
      <c r="E76" s="199"/>
      <c r="F76" s="199"/>
      <c r="G76" s="199"/>
      <c r="H76" s="199"/>
      <c r="I76" s="40" t="s">
        <v>868</v>
      </c>
      <c r="J76" s="412" t="s">
        <v>1021</v>
      </c>
      <c r="K76" s="242" t="s">
        <v>132</v>
      </c>
      <c r="L76" s="351" t="s">
        <v>1022</v>
      </c>
      <c r="M76" s="351" t="s">
        <v>4033</v>
      </c>
      <c r="N76" s="349" t="s">
        <v>504</v>
      </c>
      <c r="O76" s="126"/>
      <c r="P76" s="126"/>
      <c r="Q76" s="40" t="s">
        <v>6</v>
      </c>
      <c r="R76" s="126" t="s">
        <v>6</v>
      </c>
      <c r="S76" s="126" t="s">
        <v>6</v>
      </c>
      <c r="T76" s="126" t="s">
        <v>6</v>
      </c>
      <c r="U76" s="208" t="s">
        <v>1017</v>
      </c>
      <c r="V76" s="412"/>
      <c r="W76" s="204" t="s">
        <v>125</v>
      </c>
      <c r="X76" s="199"/>
      <c r="Y76" s="199"/>
      <c r="Z76" s="199"/>
      <c r="AA76" s="126" t="s">
        <v>6</v>
      </c>
      <c r="AB76" s="198"/>
      <c r="AC76" s="199"/>
      <c r="AD76" s="412" t="s">
        <v>1018</v>
      </c>
      <c r="AE76" s="204" t="s">
        <v>125</v>
      </c>
      <c r="AF76" s="199"/>
      <c r="AG76" s="199"/>
      <c r="AH76" s="199"/>
      <c r="AI76" s="126" t="s">
        <v>6</v>
      </c>
      <c r="AJ76" s="198"/>
      <c r="AK76" s="199"/>
      <c r="AL76" s="412" t="s">
        <v>1018</v>
      </c>
      <c r="AM76" s="198" t="s">
        <v>907</v>
      </c>
      <c r="AN76" s="203" t="s">
        <v>908</v>
      </c>
      <c r="AO76" s="199"/>
      <c r="AP76" s="199"/>
      <c r="AQ76" s="199"/>
      <c r="AR76" s="199"/>
      <c r="AS76" s="199"/>
      <c r="AT76" s="199"/>
      <c r="AU76" s="199"/>
      <c r="AV76" s="199"/>
      <c r="AW76" s="155">
        <f t="shared" si="2"/>
        <v>38</v>
      </c>
    </row>
    <row r="77" spans="1:49" s="236" customFormat="1" ht="52.8">
      <c r="A77" s="40">
        <f t="shared" si="3"/>
        <v>71</v>
      </c>
      <c r="B77" s="199"/>
      <c r="C77" s="199"/>
      <c r="D77" s="199"/>
      <c r="E77" s="199"/>
      <c r="F77" s="199"/>
      <c r="G77" s="199"/>
      <c r="H77" s="199"/>
      <c r="I77" s="40" t="s">
        <v>868</v>
      </c>
      <c r="J77" s="412" t="s">
        <v>1023</v>
      </c>
      <c r="K77" s="242" t="s">
        <v>132</v>
      </c>
      <c r="L77" s="351" t="s">
        <v>1024</v>
      </c>
      <c r="M77" s="351" t="s">
        <v>4035</v>
      </c>
      <c r="N77" s="349" t="s">
        <v>504</v>
      </c>
      <c r="O77" s="126"/>
      <c r="P77" s="126"/>
      <c r="Q77" s="126" t="s">
        <v>6</v>
      </c>
      <c r="R77" s="126" t="s">
        <v>6</v>
      </c>
      <c r="S77" s="126" t="s">
        <v>6</v>
      </c>
      <c r="T77" s="126" t="s">
        <v>6</v>
      </c>
      <c r="U77" s="208" t="s">
        <v>1025</v>
      </c>
      <c r="V77" s="215"/>
      <c r="W77" s="204" t="s">
        <v>133</v>
      </c>
      <c r="X77" s="199"/>
      <c r="Y77" s="199"/>
      <c r="Z77" s="126" t="s">
        <v>6</v>
      </c>
      <c r="AA77" s="126" t="s">
        <v>6</v>
      </c>
      <c r="AB77" s="215"/>
      <c r="AC77" s="199"/>
      <c r="AD77" s="199" t="s">
        <v>915</v>
      </c>
      <c r="AE77" s="204" t="s">
        <v>133</v>
      </c>
      <c r="AF77" s="199"/>
      <c r="AG77" s="199"/>
      <c r="AH77" s="126" t="s">
        <v>6</v>
      </c>
      <c r="AI77" s="126" t="s">
        <v>6</v>
      </c>
      <c r="AJ77" s="215" t="str">
        <f>"Atende também ao agrupamento dos itens "&amp;A74&amp;" a "&amp;A76&amp;" para anunciador do nível 2 e alarme do nível 3."</f>
        <v>Atende também ao agrupamento dos itens 68 a 70 para anunciador do nível 2 e alarme do nível 3.</v>
      </c>
      <c r="AK77" s="199"/>
      <c r="AL77" s="199" t="s">
        <v>915</v>
      </c>
      <c r="AM77" s="198" t="s">
        <v>907</v>
      </c>
      <c r="AN77" s="203" t="s">
        <v>908</v>
      </c>
      <c r="AO77" s="199"/>
      <c r="AP77" s="199"/>
      <c r="AQ77" s="199"/>
      <c r="AR77" s="199"/>
      <c r="AS77" s="199"/>
      <c r="AT77" s="199"/>
      <c r="AU77" s="199"/>
      <c r="AV77" s="199"/>
      <c r="AW77" s="155">
        <f>LEN(L77)</f>
        <v>37</v>
      </c>
    </row>
    <row r="78" spans="1:49" s="236" customFormat="1" ht="30.75" customHeight="1">
      <c r="A78" s="40">
        <f t="shared" si="3"/>
        <v>72</v>
      </c>
      <c r="B78" s="199"/>
      <c r="C78" s="199"/>
      <c r="D78" s="199"/>
      <c r="E78" s="199"/>
      <c r="F78" s="199"/>
      <c r="G78" s="199"/>
      <c r="H78" s="199"/>
      <c r="I78" s="40" t="s">
        <v>868</v>
      </c>
      <c r="J78" s="412" t="s">
        <v>1026</v>
      </c>
      <c r="K78" s="242" t="s">
        <v>132</v>
      </c>
      <c r="L78" s="241" t="s">
        <v>1027</v>
      </c>
      <c r="M78" s="351" t="s">
        <v>4034</v>
      </c>
      <c r="N78" s="349" t="s">
        <v>504</v>
      </c>
      <c r="O78" s="126"/>
      <c r="P78" s="126"/>
      <c r="Q78" s="126" t="s">
        <v>6</v>
      </c>
      <c r="R78" s="126" t="s">
        <v>6</v>
      </c>
      <c r="S78" s="126" t="s">
        <v>6</v>
      </c>
      <c r="T78" s="126" t="s">
        <v>6</v>
      </c>
      <c r="U78" s="208" t="s">
        <v>1025</v>
      </c>
      <c r="V78" s="412"/>
      <c r="W78" s="204" t="s">
        <v>133</v>
      </c>
      <c r="X78" s="199"/>
      <c r="Y78" s="199"/>
      <c r="Z78" s="126" t="s">
        <v>6</v>
      </c>
      <c r="AA78" s="126" t="s">
        <v>6</v>
      </c>
      <c r="AB78" s="198"/>
      <c r="AC78" s="199"/>
      <c r="AD78" s="199" t="s">
        <v>915</v>
      </c>
      <c r="AE78" s="204" t="s">
        <v>133</v>
      </c>
      <c r="AF78" s="199"/>
      <c r="AG78" s="199"/>
      <c r="AH78" s="126" t="s">
        <v>6</v>
      </c>
      <c r="AI78" s="126" t="s">
        <v>6</v>
      </c>
      <c r="AJ78" s="198"/>
      <c r="AK78" s="199"/>
      <c r="AL78" s="199" t="s">
        <v>915</v>
      </c>
      <c r="AM78" s="198" t="s">
        <v>907</v>
      </c>
      <c r="AN78" s="203" t="s">
        <v>908</v>
      </c>
      <c r="AO78" s="199"/>
      <c r="AP78" s="199"/>
      <c r="AQ78" s="199"/>
      <c r="AR78" s="199"/>
      <c r="AS78" s="199"/>
      <c r="AT78" s="199"/>
      <c r="AU78" s="199"/>
      <c r="AV78" s="199"/>
      <c r="AW78" s="155">
        <f>LEN(L78)</f>
        <v>38</v>
      </c>
    </row>
    <row r="79" spans="1:49" s="236" customFormat="1" ht="26.4">
      <c r="A79" s="40">
        <f t="shared" si="3"/>
        <v>73</v>
      </c>
      <c r="B79" s="199"/>
      <c r="C79" s="199"/>
      <c r="D79" s="199"/>
      <c r="E79" s="199"/>
      <c r="F79" s="199"/>
      <c r="G79" s="199"/>
      <c r="H79" s="199"/>
      <c r="I79" s="40" t="s">
        <v>868</v>
      </c>
      <c r="J79" s="412" t="s">
        <v>1028</v>
      </c>
      <c r="K79" s="204" t="s">
        <v>132</v>
      </c>
      <c r="L79" s="351" t="s">
        <v>1029</v>
      </c>
      <c r="M79" s="351" t="s">
        <v>4033</v>
      </c>
      <c r="N79" s="126" t="s">
        <v>504</v>
      </c>
      <c r="O79" s="126"/>
      <c r="P79" s="126"/>
      <c r="Q79" s="40" t="s">
        <v>6</v>
      </c>
      <c r="R79" s="126" t="s">
        <v>6</v>
      </c>
      <c r="S79" s="126" t="s">
        <v>6</v>
      </c>
      <c r="T79" s="126" t="s">
        <v>6</v>
      </c>
      <c r="U79" s="218" t="s">
        <v>1030</v>
      </c>
      <c r="V79" s="412"/>
      <c r="W79" s="204" t="s">
        <v>125</v>
      </c>
      <c r="X79" s="199"/>
      <c r="Y79" s="199"/>
      <c r="Z79" s="199"/>
      <c r="AA79" s="126" t="s">
        <v>6</v>
      </c>
      <c r="AB79" s="198"/>
      <c r="AC79" s="199"/>
      <c r="AD79" s="412" t="s">
        <v>1031</v>
      </c>
      <c r="AE79" s="204" t="s">
        <v>125</v>
      </c>
      <c r="AF79" s="199"/>
      <c r="AG79" s="199"/>
      <c r="AH79" s="199"/>
      <c r="AI79" s="126" t="s">
        <v>6</v>
      </c>
      <c r="AJ79" s="198"/>
      <c r="AK79" s="199"/>
      <c r="AL79" s="412" t="s">
        <v>1031</v>
      </c>
      <c r="AM79" s="198" t="s">
        <v>907</v>
      </c>
      <c r="AN79" s="203" t="s">
        <v>908</v>
      </c>
      <c r="AO79" s="199"/>
      <c r="AP79" s="199"/>
      <c r="AQ79" s="199"/>
      <c r="AR79" s="199"/>
      <c r="AS79" s="199"/>
      <c r="AT79" s="199"/>
      <c r="AU79" s="199"/>
      <c r="AV79" s="199"/>
      <c r="AW79" s="155">
        <f>LEN(L79)</f>
        <v>39</v>
      </c>
    </row>
    <row r="80" spans="1:49" s="236" customFormat="1" ht="26.4">
      <c r="A80" s="40">
        <f t="shared" si="3"/>
        <v>74</v>
      </c>
      <c r="B80" s="199"/>
      <c r="C80" s="199"/>
      <c r="D80" s="199"/>
      <c r="E80" s="199"/>
      <c r="F80" s="199"/>
      <c r="G80" s="199"/>
      <c r="H80" s="199"/>
      <c r="I80" s="40" t="s">
        <v>868</v>
      </c>
      <c r="J80" s="412" t="s">
        <v>1032</v>
      </c>
      <c r="K80" s="204" t="s">
        <v>132</v>
      </c>
      <c r="L80" s="351" t="s">
        <v>1033</v>
      </c>
      <c r="M80" s="351" t="s">
        <v>4033</v>
      </c>
      <c r="N80" s="126" t="s">
        <v>504</v>
      </c>
      <c r="O80" s="126"/>
      <c r="P80" s="126"/>
      <c r="Q80" s="40" t="s">
        <v>6</v>
      </c>
      <c r="R80" s="126" t="s">
        <v>6</v>
      </c>
      <c r="S80" s="126" t="s">
        <v>6</v>
      </c>
      <c r="T80" s="126" t="s">
        <v>6</v>
      </c>
      <c r="U80" s="218" t="s">
        <v>1030</v>
      </c>
      <c r="V80" s="412"/>
      <c r="W80" s="204" t="s">
        <v>125</v>
      </c>
      <c r="X80" s="199"/>
      <c r="Y80" s="199"/>
      <c r="Z80" s="199"/>
      <c r="AA80" s="126" t="s">
        <v>6</v>
      </c>
      <c r="AB80" s="198"/>
      <c r="AC80" s="199"/>
      <c r="AD80" s="412" t="s">
        <v>1031</v>
      </c>
      <c r="AE80" s="204" t="s">
        <v>125</v>
      </c>
      <c r="AF80" s="199"/>
      <c r="AG80" s="199"/>
      <c r="AH80" s="199"/>
      <c r="AI80" s="126" t="s">
        <v>6</v>
      </c>
      <c r="AJ80" s="198"/>
      <c r="AK80" s="199"/>
      <c r="AL80" s="412" t="s">
        <v>1031</v>
      </c>
      <c r="AM80" s="198" t="s">
        <v>907</v>
      </c>
      <c r="AN80" s="203" t="s">
        <v>908</v>
      </c>
      <c r="AO80" s="199"/>
      <c r="AP80" s="199"/>
      <c r="AQ80" s="199"/>
      <c r="AR80" s="199"/>
      <c r="AS80" s="199"/>
      <c r="AT80" s="199"/>
      <c r="AU80" s="199"/>
      <c r="AV80" s="199"/>
      <c r="AW80" s="155">
        <f t="shared" si="2"/>
        <v>39</v>
      </c>
    </row>
    <row r="81" spans="1:49" s="236" customFormat="1" ht="26.4">
      <c r="A81" s="40">
        <f t="shared" si="3"/>
        <v>75</v>
      </c>
      <c r="B81" s="199"/>
      <c r="C81" s="199"/>
      <c r="D81" s="199"/>
      <c r="E81" s="199"/>
      <c r="F81" s="199"/>
      <c r="G81" s="199"/>
      <c r="H81" s="199"/>
      <c r="I81" s="40" t="s">
        <v>868</v>
      </c>
      <c r="J81" s="412" t="s">
        <v>1034</v>
      </c>
      <c r="K81" s="204" t="s">
        <v>132</v>
      </c>
      <c r="L81" s="351" t="s">
        <v>1035</v>
      </c>
      <c r="M81" s="351" t="s">
        <v>4033</v>
      </c>
      <c r="N81" s="126" t="s">
        <v>504</v>
      </c>
      <c r="O81" s="126"/>
      <c r="P81" s="126"/>
      <c r="Q81" s="40" t="s">
        <v>6</v>
      </c>
      <c r="R81" s="126" t="s">
        <v>6</v>
      </c>
      <c r="S81" s="126" t="s">
        <v>6</v>
      </c>
      <c r="T81" s="126" t="s">
        <v>6</v>
      </c>
      <c r="U81" s="218" t="s">
        <v>1030</v>
      </c>
      <c r="V81" s="412"/>
      <c r="W81" s="204" t="s">
        <v>125</v>
      </c>
      <c r="X81" s="199"/>
      <c r="Y81" s="199"/>
      <c r="Z81" s="199"/>
      <c r="AA81" s="126" t="s">
        <v>6</v>
      </c>
      <c r="AB81" s="198"/>
      <c r="AC81" s="199"/>
      <c r="AD81" s="412" t="s">
        <v>1031</v>
      </c>
      <c r="AE81" s="204" t="s">
        <v>125</v>
      </c>
      <c r="AF81" s="199"/>
      <c r="AG81" s="199"/>
      <c r="AH81" s="199"/>
      <c r="AI81" s="126" t="s">
        <v>6</v>
      </c>
      <c r="AJ81" s="198"/>
      <c r="AK81" s="199"/>
      <c r="AL81" s="412" t="s">
        <v>1031</v>
      </c>
      <c r="AM81" s="198" t="s">
        <v>907</v>
      </c>
      <c r="AN81" s="203" t="s">
        <v>908</v>
      </c>
      <c r="AO81" s="199"/>
      <c r="AP81" s="199"/>
      <c r="AQ81" s="199"/>
      <c r="AR81" s="199"/>
      <c r="AS81" s="199"/>
      <c r="AT81" s="199"/>
      <c r="AU81" s="199"/>
      <c r="AV81" s="199"/>
      <c r="AW81" s="155">
        <f t="shared" si="2"/>
        <v>39</v>
      </c>
    </row>
    <row r="82" spans="1:49" s="236" customFormat="1" ht="39.6">
      <c r="A82" s="40">
        <f t="shared" si="3"/>
        <v>76</v>
      </c>
      <c r="B82" s="199"/>
      <c r="C82" s="199"/>
      <c r="D82" s="199"/>
      <c r="E82" s="199"/>
      <c r="F82" s="199"/>
      <c r="G82" s="199"/>
      <c r="H82" s="199"/>
      <c r="I82" s="40" t="s">
        <v>868</v>
      </c>
      <c r="J82" s="399" t="s">
        <v>1036</v>
      </c>
      <c r="K82" s="204" t="s">
        <v>132</v>
      </c>
      <c r="L82" s="351" t="s">
        <v>1037</v>
      </c>
      <c r="M82" s="351" t="s">
        <v>4035</v>
      </c>
      <c r="N82" s="126" t="s">
        <v>504</v>
      </c>
      <c r="O82" s="126"/>
      <c r="P82" s="126"/>
      <c r="Q82" s="126" t="s">
        <v>6</v>
      </c>
      <c r="R82" s="126" t="s">
        <v>6</v>
      </c>
      <c r="S82" s="126" t="s">
        <v>6</v>
      </c>
      <c r="T82" s="126" t="s">
        <v>6</v>
      </c>
      <c r="U82" s="218"/>
      <c r="V82" s="215"/>
      <c r="W82" s="204" t="s">
        <v>133</v>
      </c>
      <c r="X82" s="199"/>
      <c r="Y82" s="199"/>
      <c r="Z82" s="126" t="s">
        <v>6</v>
      </c>
      <c r="AA82" s="126" t="s">
        <v>6</v>
      </c>
      <c r="AB82" s="215"/>
      <c r="AC82" s="199"/>
      <c r="AD82" s="199" t="s">
        <v>915</v>
      </c>
      <c r="AE82" s="204" t="s">
        <v>133</v>
      </c>
      <c r="AF82" s="199"/>
      <c r="AG82" s="199"/>
      <c r="AH82" s="126" t="s">
        <v>6</v>
      </c>
      <c r="AI82" s="126" t="s">
        <v>6</v>
      </c>
      <c r="AJ82" s="215" t="str">
        <f>"Atende também ao agrupamento dos itens "&amp;A79&amp;" a "&amp;A81&amp;" para anunciador do nível 2 e alarme do nível 3."</f>
        <v>Atende também ao agrupamento dos itens 73 a 75 para anunciador do nível 2 e alarme do nível 3.</v>
      </c>
      <c r="AK82" s="199"/>
      <c r="AL82" s="199" t="s">
        <v>915</v>
      </c>
      <c r="AM82" s="198" t="s">
        <v>907</v>
      </c>
      <c r="AN82" s="203" t="s">
        <v>908</v>
      </c>
      <c r="AO82" s="199"/>
      <c r="AP82" s="199"/>
      <c r="AQ82" s="199"/>
      <c r="AR82" s="199"/>
      <c r="AS82" s="199"/>
      <c r="AT82" s="199"/>
      <c r="AU82" s="199"/>
      <c r="AV82" s="199"/>
      <c r="AW82" s="155">
        <f>LEN(L82)</f>
        <v>38</v>
      </c>
    </row>
    <row r="83" spans="1:49" s="236" customFormat="1" ht="15">
      <c r="A83" s="40">
        <f t="shared" si="3"/>
        <v>77</v>
      </c>
      <c r="B83" s="199"/>
      <c r="C83" s="199"/>
      <c r="D83" s="199"/>
      <c r="E83" s="199"/>
      <c r="F83" s="199"/>
      <c r="G83" s="199"/>
      <c r="H83" s="199"/>
      <c r="I83" s="40" t="s">
        <v>868</v>
      </c>
      <c r="J83" s="399" t="s">
        <v>1038</v>
      </c>
      <c r="K83" s="204" t="s">
        <v>132</v>
      </c>
      <c r="L83" s="351" t="s">
        <v>1039</v>
      </c>
      <c r="M83" s="351" t="s">
        <v>4034</v>
      </c>
      <c r="N83" s="126" t="s">
        <v>504</v>
      </c>
      <c r="O83" s="126"/>
      <c r="P83" s="126"/>
      <c r="Q83" s="126" t="s">
        <v>6</v>
      </c>
      <c r="R83" s="126" t="s">
        <v>6</v>
      </c>
      <c r="S83" s="126" t="s">
        <v>6</v>
      </c>
      <c r="T83" s="126" t="s">
        <v>6</v>
      </c>
      <c r="U83" s="215"/>
      <c r="V83" s="399"/>
      <c r="W83" s="204" t="s">
        <v>133</v>
      </c>
      <c r="X83" s="199"/>
      <c r="Y83" s="199"/>
      <c r="Z83" s="126" t="s">
        <v>6</v>
      </c>
      <c r="AA83" s="126" t="s">
        <v>6</v>
      </c>
      <c r="AB83" s="198"/>
      <c r="AC83" s="199"/>
      <c r="AD83" s="199" t="s">
        <v>915</v>
      </c>
      <c r="AE83" s="204" t="s">
        <v>133</v>
      </c>
      <c r="AF83" s="199"/>
      <c r="AG83" s="199"/>
      <c r="AH83" s="126" t="s">
        <v>6</v>
      </c>
      <c r="AI83" s="126" t="s">
        <v>6</v>
      </c>
      <c r="AJ83" s="198"/>
      <c r="AK83" s="199"/>
      <c r="AL83" s="199" t="s">
        <v>915</v>
      </c>
      <c r="AM83" s="198" t="s">
        <v>907</v>
      </c>
      <c r="AN83" s="203" t="s">
        <v>908</v>
      </c>
      <c r="AO83" s="199"/>
      <c r="AP83" s="199"/>
      <c r="AQ83" s="199"/>
      <c r="AR83" s="199"/>
      <c r="AS83" s="199"/>
      <c r="AT83" s="199"/>
      <c r="AU83" s="199"/>
      <c r="AV83" s="199"/>
      <c r="AW83" s="155">
        <f>LEN(L83)</f>
        <v>39</v>
      </c>
    </row>
    <row r="84" spans="1:49" s="236" customFormat="1" ht="15">
      <c r="A84" s="40">
        <f t="shared" si="3"/>
        <v>78</v>
      </c>
      <c r="B84" s="199"/>
      <c r="C84" s="199"/>
      <c r="D84" s="199"/>
      <c r="E84" s="199"/>
      <c r="F84" s="199"/>
      <c r="G84" s="199"/>
      <c r="H84" s="199"/>
      <c r="I84" s="40" t="s">
        <v>868</v>
      </c>
      <c r="J84" s="399" t="s">
        <v>1040</v>
      </c>
      <c r="K84" s="204" t="s">
        <v>132</v>
      </c>
      <c r="L84" s="351" t="s">
        <v>1041</v>
      </c>
      <c r="M84" s="351" t="s">
        <v>4035</v>
      </c>
      <c r="N84" s="126" t="s">
        <v>504</v>
      </c>
      <c r="O84" s="126"/>
      <c r="P84" s="126"/>
      <c r="Q84" s="126" t="s">
        <v>6</v>
      </c>
      <c r="R84" s="126" t="s">
        <v>6</v>
      </c>
      <c r="S84" s="126" t="s">
        <v>6</v>
      </c>
      <c r="T84" s="126" t="s">
        <v>6</v>
      </c>
      <c r="U84" s="215"/>
      <c r="V84" s="399"/>
      <c r="W84" s="204" t="s">
        <v>133</v>
      </c>
      <c r="X84" s="199"/>
      <c r="Y84" s="199"/>
      <c r="Z84" s="126" t="s">
        <v>6</v>
      </c>
      <c r="AA84" s="126" t="s">
        <v>6</v>
      </c>
      <c r="AB84" s="198"/>
      <c r="AC84" s="199"/>
      <c r="AD84" s="199" t="s">
        <v>915</v>
      </c>
      <c r="AE84" s="204" t="s">
        <v>133</v>
      </c>
      <c r="AF84" s="199"/>
      <c r="AG84" s="199"/>
      <c r="AH84" s="126" t="s">
        <v>6</v>
      </c>
      <c r="AI84" s="126" t="s">
        <v>6</v>
      </c>
      <c r="AJ84" s="198"/>
      <c r="AK84" s="199"/>
      <c r="AL84" s="199" t="s">
        <v>915</v>
      </c>
      <c r="AM84" s="198" t="s">
        <v>907</v>
      </c>
      <c r="AN84" s="203" t="s">
        <v>908</v>
      </c>
      <c r="AO84" s="199"/>
      <c r="AP84" s="199"/>
      <c r="AQ84" s="199"/>
      <c r="AR84" s="199"/>
      <c r="AS84" s="199"/>
      <c r="AT84" s="199"/>
      <c r="AU84" s="199"/>
      <c r="AV84" s="199"/>
      <c r="AW84" s="155">
        <f>LEN(L84)</f>
        <v>38</v>
      </c>
    </row>
    <row r="85" spans="1:49" s="236" customFormat="1" ht="15">
      <c r="A85" s="40">
        <f t="shared" si="3"/>
        <v>79</v>
      </c>
      <c r="B85" s="199"/>
      <c r="C85" s="199"/>
      <c r="D85" s="199"/>
      <c r="E85" s="199"/>
      <c r="F85" s="199"/>
      <c r="G85" s="199"/>
      <c r="H85" s="199"/>
      <c r="I85" s="199"/>
      <c r="J85" s="204" t="s">
        <v>1043</v>
      </c>
      <c r="K85" s="204" t="s">
        <v>132</v>
      </c>
      <c r="L85" s="204" t="s">
        <v>1044</v>
      </c>
      <c r="M85" s="351" t="s">
        <v>4804</v>
      </c>
      <c r="N85" s="126" t="s">
        <v>504</v>
      </c>
      <c r="O85" s="126"/>
      <c r="P85" s="126"/>
      <c r="Q85" s="126" t="s">
        <v>6</v>
      </c>
      <c r="R85" s="126" t="s">
        <v>6</v>
      </c>
      <c r="S85" s="126" t="s">
        <v>6</v>
      </c>
      <c r="T85" s="126" t="s">
        <v>6</v>
      </c>
      <c r="U85" s="215" t="s">
        <v>802</v>
      </c>
      <c r="V85" s="209"/>
      <c r="W85" s="204" t="s">
        <v>133</v>
      </c>
      <c r="X85" s="199"/>
      <c r="Y85" s="199"/>
      <c r="Z85" s="126" t="s">
        <v>6</v>
      </c>
      <c r="AA85" s="126" t="s">
        <v>6</v>
      </c>
      <c r="AB85" s="198"/>
      <c r="AC85" s="199"/>
      <c r="AD85" s="199" t="s">
        <v>881</v>
      </c>
      <c r="AE85" s="204" t="s">
        <v>133</v>
      </c>
      <c r="AF85" s="199"/>
      <c r="AG85" s="199"/>
      <c r="AH85" s="126" t="s">
        <v>6</v>
      </c>
      <c r="AI85" s="126" t="s">
        <v>6</v>
      </c>
      <c r="AJ85" s="198"/>
      <c r="AK85" s="199"/>
      <c r="AL85" s="199" t="s">
        <v>881</v>
      </c>
      <c r="AM85" s="198" t="s">
        <v>1045</v>
      </c>
      <c r="AN85" s="199"/>
      <c r="AO85" s="199"/>
      <c r="AP85" s="199"/>
      <c r="AQ85" s="199"/>
      <c r="AR85" s="199"/>
      <c r="AS85" s="199"/>
      <c r="AT85" s="199"/>
      <c r="AU85" s="199"/>
      <c r="AV85" s="199"/>
      <c r="AW85" s="155">
        <f>LEN(L85)</f>
        <v>42</v>
      </c>
    </row>
    <row r="86" spans="1:49" s="236" customFormat="1" ht="15">
      <c r="A86" s="40">
        <f t="shared" si="3"/>
        <v>80</v>
      </c>
      <c r="B86" s="199"/>
      <c r="C86" s="199"/>
      <c r="D86" s="199"/>
      <c r="E86" s="199"/>
      <c r="F86" s="199"/>
      <c r="G86" s="199"/>
      <c r="H86" s="199"/>
      <c r="I86" s="199"/>
      <c r="J86" s="412" t="s">
        <v>3453</v>
      </c>
      <c r="K86" s="232" t="s">
        <v>117</v>
      </c>
      <c r="L86" s="204" t="s">
        <v>1048</v>
      </c>
      <c r="M86" s="351"/>
      <c r="N86" s="126" t="s">
        <v>504</v>
      </c>
      <c r="O86" s="40"/>
      <c r="P86" s="40"/>
      <c r="Q86" s="40" t="s">
        <v>6</v>
      </c>
      <c r="R86" s="40" t="s">
        <v>6</v>
      </c>
      <c r="S86" s="126" t="s">
        <v>6</v>
      </c>
      <c r="T86" s="126" t="s">
        <v>6</v>
      </c>
      <c r="U86" s="218" t="s">
        <v>1049</v>
      </c>
      <c r="V86" s="204"/>
      <c r="W86" s="232" t="s">
        <v>133</v>
      </c>
      <c r="X86" s="198"/>
      <c r="Y86" s="198"/>
      <c r="Z86" s="126" t="s">
        <v>6</v>
      </c>
      <c r="AA86" s="126" t="s">
        <v>6</v>
      </c>
      <c r="AB86" s="204"/>
      <c r="AC86" s="199"/>
      <c r="AD86" s="199"/>
      <c r="AE86" s="232" t="s">
        <v>133</v>
      </c>
      <c r="AF86" s="198"/>
      <c r="AG86" s="198"/>
      <c r="AH86" s="126"/>
      <c r="AI86" s="126"/>
      <c r="AJ86" s="204" t="e">
        <f>"Agrupamento itens "&amp;#REF!&amp;" a "&amp;#REF!&amp;".
Apenas para PAD."</f>
        <v>#REF!</v>
      </c>
      <c r="AK86" s="199"/>
      <c r="AL86" s="199"/>
      <c r="AM86" s="199" t="s">
        <v>1046</v>
      </c>
      <c r="AN86" s="199"/>
      <c r="AO86" s="199"/>
      <c r="AP86" s="199"/>
      <c r="AQ86" s="199"/>
      <c r="AR86" s="199"/>
      <c r="AS86" s="199"/>
      <c r="AT86" s="199"/>
      <c r="AU86" s="199"/>
      <c r="AV86" s="199"/>
      <c r="AW86" s="155">
        <f t="shared" ref="AW86:AW97" si="4">LEN(L86)</f>
        <v>39</v>
      </c>
    </row>
    <row r="87" spans="1:49" s="236" customFormat="1" ht="39.6">
      <c r="A87" s="40">
        <f t="shared" si="3"/>
        <v>81</v>
      </c>
      <c r="B87" s="199"/>
      <c r="C87" s="199"/>
      <c r="D87" s="199"/>
      <c r="E87" s="199"/>
      <c r="F87" s="199"/>
      <c r="G87" s="199"/>
      <c r="H87" s="199"/>
      <c r="I87" s="199"/>
      <c r="J87" s="412" t="s">
        <v>3454</v>
      </c>
      <c r="K87" s="232" t="s">
        <v>117</v>
      </c>
      <c r="L87" s="204" t="s">
        <v>1050</v>
      </c>
      <c r="M87" s="351"/>
      <c r="N87" s="126" t="s">
        <v>504</v>
      </c>
      <c r="O87" s="40"/>
      <c r="P87" s="40"/>
      <c r="Q87" s="40" t="s">
        <v>6</v>
      </c>
      <c r="R87" s="40" t="s">
        <v>6</v>
      </c>
      <c r="S87" s="126" t="s">
        <v>6</v>
      </c>
      <c r="T87" s="126" t="s">
        <v>6</v>
      </c>
      <c r="U87" s="218" t="s">
        <v>1051</v>
      </c>
      <c r="V87" s="204"/>
      <c r="W87" s="232" t="s">
        <v>133</v>
      </c>
      <c r="X87" s="198"/>
      <c r="Y87" s="198"/>
      <c r="Z87" s="126" t="s">
        <v>6</v>
      </c>
      <c r="AA87" s="126" t="s">
        <v>6</v>
      </c>
      <c r="AB87" s="204"/>
      <c r="AC87" s="199"/>
      <c r="AD87" s="199"/>
      <c r="AE87" s="232" t="s">
        <v>133</v>
      </c>
      <c r="AF87" s="198"/>
      <c r="AG87" s="198"/>
      <c r="AH87" s="126"/>
      <c r="AI87" s="126"/>
      <c r="AJ87" s="204" t="e">
        <f>"Agrupamento itens "&amp;#REF!&amp;" a "&amp;#REF!&amp;".
Apenas para PAD."</f>
        <v>#REF!</v>
      </c>
      <c r="AK87" s="199"/>
      <c r="AL87" s="199"/>
      <c r="AM87" s="199" t="s">
        <v>1046</v>
      </c>
      <c r="AN87" s="199"/>
      <c r="AO87" s="199"/>
      <c r="AP87" s="199"/>
      <c r="AQ87" s="199"/>
      <c r="AR87" s="199"/>
      <c r="AS87" s="199"/>
      <c r="AT87" s="199"/>
      <c r="AU87" s="199"/>
      <c r="AV87" s="199"/>
      <c r="AW87" s="155">
        <f t="shared" si="4"/>
        <v>41</v>
      </c>
    </row>
    <row r="88" spans="1:49" s="236" customFormat="1" ht="39.6">
      <c r="A88" s="40">
        <f t="shared" si="3"/>
        <v>82</v>
      </c>
      <c r="B88" s="199"/>
      <c r="C88" s="199"/>
      <c r="D88" s="199"/>
      <c r="E88" s="199"/>
      <c r="F88" s="199"/>
      <c r="G88" s="199"/>
      <c r="H88" s="199"/>
      <c r="I88" s="199"/>
      <c r="J88" s="412" t="s">
        <v>3455</v>
      </c>
      <c r="K88" s="232" t="s">
        <v>117</v>
      </c>
      <c r="L88" s="204" t="s">
        <v>1052</v>
      </c>
      <c r="M88" s="351"/>
      <c r="N88" s="126" t="s">
        <v>504</v>
      </c>
      <c r="O88" s="40"/>
      <c r="P88" s="40"/>
      <c r="Q88" s="40" t="s">
        <v>6</v>
      </c>
      <c r="R88" s="40" t="s">
        <v>6</v>
      </c>
      <c r="S88" s="126" t="s">
        <v>6</v>
      </c>
      <c r="T88" s="126" t="s">
        <v>6</v>
      </c>
      <c r="U88" s="218" t="s">
        <v>1051</v>
      </c>
      <c r="V88" s="204"/>
      <c r="W88" s="232" t="s">
        <v>133</v>
      </c>
      <c r="X88" s="198"/>
      <c r="Y88" s="198"/>
      <c r="Z88" s="126" t="s">
        <v>6</v>
      </c>
      <c r="AA88" s="126" t="s">
        <v>6</v>
      </c>
      <c r="AB88" s="204"/>
      <c r="AC88" s="199"/>
      <c r="AD88" s="199"/>
      <c r="AE88" s="232" t="s">
        <v>133</v>
      </c>
      <c r="AF88" s="198"/>
      <c r="AG88" s="198"/>
      <c r="AH88" s="126"/>
      <c r="AI88" s="126"/>
      <c r="AJ88" s="204" t="e">
        <f>"Agrupamento itens "&amp;#REF!&amp;" a "&amp;#REF!&amp;".
Apenas para PAD."</f>
        <v>#REF!</v>
      </c>
      <c r="AK88" s="199"/>
      <c r="AL88" s="199"/>
      <c r="AM88" s="199" t="s">
        <v>1046</v>
      </c>
      <c r="AN88" s="199"/>
      <c r="AO88" s="199"/>
      <c r="AP88" s="199"/>
      <c r="AQ88" s="199"/>
      <c r="AR88" s="199"/>
      <c r="AS88" s="199"/>
      <c r="AT88" s="199"/>
      <c r="AU88" s="199"/>
      <c r="AV88" s="199"/>
      <c r="AW88" s="155">
        <f t="shared" si="4"/>
        <v>41</v>
      </c>
    </row>
    <row r="89" spans="1:49" s="236" customFormat="1" ht="39.6">
      <c r="A89" s="40">
        <f t="shared" si="3"/>
        <v>83</v>
      </c>
      <c r="B89" s="199"/>
      <c r="C89" s="199"/>
      <c r="D89" s="199"/>
      <c r="E89" s="199"/>
      <c r="F89" s="199"/>
      <c r="G89" s="199"/>
      <c r="H89" s="199"/>
      <c r="I89" s="199"/>
      <c r="J89" s="412" t="s">
        <v>3456</v>
      </c>
      <c r="K89" s="232" t="s">
        <v>117</v>
      </c>
      <c r="L89" s="204" t="s">
        <v>1053</v>
      </c>
      <c r="M89" s="351"/>
      <c r="N89" s="126" t="s">
        <v>504</v>
      </c>
      <c r="O89" s="40"/>
      <c r="P89" s="40"/>
      <c r="Q89" s="40" t="s">
        <v>6</v>
      </c>
      <c r="R89" s="40" t="s">
        <v>6</v>
      </c>
      <c r="S89" s="126" t="s">
        <v>6</v>
      </c>
      <c r="T89" s="126" t="s">
        <v>6</v>
      </c>
      <c r="U89" s="218" t="s">
        <v>1051</v>
      </c>
      <c r="V89" s="204"/>
      <c r="W89" s="232" t="s">
        <v>133</v>
      </c>
      <c r="X89" s="198"/>
      <c r="Y89" s="198"/>
      <c r="Z89" s="126" t="s">
        <v>6</v>
      </c>
      <c r="AA89" s="126" t="s">
        <v>6</v>
      </c>
      <c r="AB89" s="204"/>
      <c r="AC89" s="199"/>
      <c r="AD89" s="199"/>
      <c r="AE89" s="232" t="s">
        <v>133</v>
      </c>
      <c r="AF89" s="198"/>
      <c r="AG89" s="198"/>
      <c r="AH89" s="126"/>
      <c r="AI89" s="126"/>
      <c r="AJ89" s="204" t="e">
        <f>"Agrupamento itens "&amp;#REF!&amp;" a "&amp;#REF!&amp;".
Apenas para PAD."</f>
        <v>#REF!</v>
      </c>
      <c r="AK89" s="199"/>
      <c r="AL89" s="199"/>
      <c r="AM89" s="199" t="s">
        <v>1046</v>
      </c>
      <c r="AN89" s="199"/>
      <c r="AO89" s="199"/>
      <c r="AP89" s="199"/>
      <c r="AQ89" s="199"/>
      <c r="AR89" s="199"/>
      <c r="AS89" s="199"/>
      <c r="AT89" s="199"/>
      <c r="AU89" s="199"/>
      <c r="AV89" s="199"/>
      <c r="AW89" s="155">
        <f t="shared" si="4"/>
        <v>41</v>
      </c>
    </row>
    <row r="90" spans="1:49" s="236" customFormat="1" ht="26.4">
      <c r="A90" s="40">
        <f t="shared" si="3"/>
        <v>84</v>
      </c>
      <c r="B90" s="199"/>
      <c r="C90" s="199"/>
      <c r="D90" s="199"/>
      <c r="E90" s="199"/>
      <c r="F90" s="199"/>
      <c r="G90" s="199"/>
      <c r="H90" s="199"/>
      <c r="I90" s="199"/>
      <c r="J90" s="609" t="s">
        <v>3406</v>
      </c>
      <c r="K90" s="232" t="s">
        <v>117</v>
      </c>
      <c r="L90" s="204" t="s">
        <v>1054</v>
      </c>
      <c r="M90" s="351" t="s">
        <v>4805</v>
      </c>
      <c r="N90" s="126" t="s">
        <v>504</v>
      </c>
      <c r="O90" s="40"/>
      <c r="P90" s="40"/>
      <c r="Q90" s="126" t="s">
        <v>6</v>
      </c>
      <c r="R90" s="126" t="s">
        <v>6</v>
      </c>
      <c r="S90" s="126" t="s">
        <v>6</v>
      </c>
      <c r="T90" s="126" t="s">
        <v>6</v>
      </c>
      <c r="U90" s="218" t="s">
        <v>1055</v>
      </c>
      <c r="V90" s="204"/>
      <c r="W90" s="232" t="s">
        <v>133</v>
      </c>
      <c r="X90" s="40"/>
      <c r="Y90" s="40"/>
      <c r="Z90" s="126" t="s">
        <v>6</v>
      </c>
      <c r="AA90" s="126" t="s">
        <v>6</v>
      </c>
      <c r="AB90" s="215"/>
      <c r="AC90" s="199"/>
      <c r="AD90" s="201" t="s">
        <v>1047</v>
      </c>
      <c r="AE90" s="232" t="s">
        <v>133</v>
      </c>
      <c r="AF90" s="40"/>
      <c r="AG90" s="40"/>
      <c r="AH90" s="126" t="s">
        <v>6</v>
      </c>
      <c r="AI90" s="126" t="s">
        <v>6</v>
      </c>
      <c r="AJ90" s="215" t="e">
        <f>"Atende também ao agrupamento dos itens "&amp;#REF!&amp;" a "&amp;#REF!&amp;" para anunciador do nível 2 e alarme do nível 3."</f>
        <v>#REF!</v>
      </c>
      <c r="AK90" s="199"/>
      <c r="AL90" s="201" t="s">
        <v>1047</v>
      </c>
      <c r="AM90" s="199" t="s">
        <v>1056</v>
      </c>
      <c r="AN90" s="199"/>
      <c r="AO90" s="199"/>
      <c r="AP90" s="199"/>
      <c r="AQ90" s="199"/>
      <c r="AR90" s="199"/>
      <c r="AS90" s="199"/>
      <c r="AT90" s="199"/>
      <c r="AU90" s="199"/>
      <c r="AV90" s="199"/>
      <c r="AW90" s="155">
        <f t="shared" si="4"/>
        <v>28</v>
      </c>
    </row>
    <row r="91" spans="1:49" s="236" customFormat="1" ht="39.6">
      <c r="A91" s="40">
        <f t="shared" si="3"/>
        <v>85</v>
      </c>
      <c r="B91" s="199"/>
      <c r="C91" s="199"/>
      <c r="D91" s="199"/>
      <c r="E91" s="199"/>
      <c r="F91" s="199"/>
      <c r="G91" s="199"/>
      <c r="H91" s="199"/>
      <c r="I91" s="199"/>
      <c r="J91" s="609" t="s">
        <v>3407</v>
      </c>
      <c r="K91" s="232" t="s">
        <v>117</v>
      </c>
      <c r="L91" s="204" t="s">
        <v>1057</v>
      </c>
      <c r="M91" s="351" t="s">
        <v>4805</v>
      </c>
      <c r="N91" s="126" t="s">
        <v>504</v>
      </c>
      <c r="O91" s="40"/>
      <c r="P91" s="40"/>
      <c r="Q91" s="126" t="s">
        <v>6</v>
      </c>
      <c r="R91" s="126" t="s">
        <v>6</v>
      </c>
      <c r="S91" s="126" t="s">
        <v>6</v>
      </c>
      <c r="T91" s="126" t="s">
        <v>6</v>
      </c>
      <c r="U91" s="234" t="s">
        <v>1058</v>
      </c>
      <c r="V91" s="204"/>
      <c r="W91" s="232" t="s">
        <v>133</v>
      </c>
      <c r="X91" s="40"/>
      <c r="Y91" s="40"/>
      <c r="Z91" s="126" t="s">
        <v>6</v>
      </c>
      <c r="AA91" s="126" t="s">
        <v>6</v>
      </c>
      <c r="AB91" s="215"/>
      <c r="AC91" s="199"/>
      <c r="AD91" s="201" t="s">
        <v>1047</v>
      </c>
      <c r="AE91" s="232" t="s">
        <v>133</v>
      </c>
      <c r="AF91" s="40"/>
      <c r="AG91" s="40"/>
      <c r="AH91" s="126" t="s">
        <v>6</v>
      </c>
      <c r="AI91" s="126" t="s">
        <v>6</v>
      </c>
      <c r="AJ91" s="215"/>
      <c r="AK91" s="199"/>
      <c r="AL91" s="201" t="s">
        <v>1047</v>
      </c>
      <c r="AM91" s="199" t="s">
        <v>1056</v>
      </c>
      <c r="AN91" s="199"/>
      <c r="AO91" s="199"/>
      <c r="AP91" s="199"/>
      <c r="AQ91" s="199"/>
      <c r="AR91" s="199"/>
      <c r="AS91" s="199"/>
      <c r="AT91" s="199"/>
      <c r="AU91" s="199"/>
      <c r="AV91" s="199"/>
      <c r="AW91" s="155">
        <f t="shared" si="4"/>
        <v>35</v>
      </c>
    </row>
    <row r="92" spans="1:49" s="236" customFormat="1" ht="39.6">
      <c r="A92" s="40">
        <f t="shared" si="3"/>
        <v>86</v>
      </c>
      <c r="B92" s="199"/>
      <c r="C92" s="199"/>
      <c r="D92" s="199"/>
      <c r="E92" s="199"/>
      <c r="F92" s="199"/>
      <c r="G92" s="199"/>
      <c r="H92" s="199"/>
      <c r="I92" s="199"/>
      <c r="J92" s="609" t="s">
        <v>3408</v>
      </c>
      <c r="K92" s="232" t="s">
        <v>117</v>
      </c>
      <c r="L92" s="204" t="s">
        <v>1059</v>
      </c>
      <c r="M92" s="351" t="s">
        <v>4805</v>
      </c>
      <c r="N92" s="126" t="s">
        <v>504</v>
      </c>
      <c r="O92" s="40"/>
      <c r="P92" s="40"/>
      <c r="Q92" s="126" t="s">
        <v>6</v>
      </c>
      <c r="R92" s="126" t="s">
        <v>6</v>
      </c>
      <c r="S92" s="126" t="s">
        <v>6</v>
      </c>
      <c r="T92" s="126" t="s">
        <v>6</v>
      </c>
      <c r="U92" s="234" t="s">
        <v>1058</v>
      </c>
      <c r="V92" s="204"/>
      <c r="W92" s="232" t="s">
        <v>133</v>
      </c>
      <c r="X92" s="40"/>
      <c r="Y92" s="40"/>
      <c r="Z92" s="126" t="s">
        <v>6</v>
      </c>
      <c r="AA92" s="126" t="s">
        <v>6</v>
      </c>
      <c r="AB92" s="215"/>
      <c r="AC92" s="199"/>
      <c r="AD92" s="201" t="s">
        <v>1047</v>
      </c>
      <c r="AE92" s="232" t="s">
        <v>133</v>
      </c>
      <c r="AF92" s="40"/>
      <c r="AG92" s="40"/>
      <c r="AH92" s="126" t="s">
        <v>6</v>
      </c>
      <c r="AI92" s="126" t="s">
        <v>6</v>
      </c>
      <c r="AJ92" s="215" t="e">
        <f>"Atende também ao agrupamento dos itens "&amp;#REF!&amp;" a "&amp;#REF!&amp;" para anunciador do nível 2 e alarme do nível 3."</f>
        <v>#REF!</v>
      </c>
      <c r="AK92" s="199"/>
      <c r="AL92" s="201" t="s">
        <v>1047</v>
      </c>
      <c r="AM92" s="199" t="s">
        <v>1056</v>
      </c>
      <c r="AN92" s="199"/>
      <c r="AO92" s="199"/>
      <c r="AP92" s="199"/>
      <c r="AQ92" s="199"/>
      <c r="AR92" s="199"/>
      <c r="AS92" s="199"/>
      <c r="AT92" s="199"/>
      <c r="AU92" s="199"/>
      <c r="AV92" s="199"/>
      <c r="AW92" s="155">
        <f t="shared" si="4"/>
        <v>35</v>
      </c>
    </row>
    <row r="93" spans="1:49" s="236" customFormat="1" ht="39.6">
      <c r="A93" s="40">
        <f t="shared" si="3"/>
        <v>87</v>
      </c>
      <c r="B93" s="199"/>
      <c r="C93" s="199"/>
      <c r="D93" s="199"/>
      <c r="E93" s="199"/>
      <c r="F93" s="199"/>
      <c r="G93" s="199"/>
      <c r="H93" s="199"/>
      <c r="I93" s="199"/>
      <c r="J93" s="609" t="s">
        <v>3409</v>
      </c>
      <c r="K93" s="232" t="s">
        <v>117</v>
      </c>
      <c r="L93" s="204" t="s">
        <v>1060</v>
      </c>
      <c r="M93" s="351" t="s">
        <v>4805</v>
      </c>
      <c r="N93" s="126" t="s">
        <v>504</v>
      </c>
      <c r="O93" s="40"/>
      <c r="P93" s="40"/>
      <c r="Q93" s="126" t="s">
        <v>6</v>
      </c>
      <c r="R93" s="126" t="s">
        <v>6</v>
      </c>
      <c r="S93" s="126" t="s">
        <v>6</v>
      </c>
      <c r="T93" s="126" t="s">
        <v>6</v>
      </c>
      <c r="U93" s="234" t="s">
        <v>1058</v>
      </c>
      <c r="V93" s="204"/>
      <c r="W93" s="232" t="s">
        <v>133</v>
      </c>
      <c r="X93" s="40"/>
      <c r="Y93" s="40"/>
      <c r="Z93" s="126" t="s">
        <v>6</v>
      </c>
      <c r="AA93" s="126" t="s">
        <v>6</v>
      </c>
      <c r="AB93" s="215"/>
      <c r="AC93" s="199"/>
      <c r="AD93" s="201" t="s">
        <v>1047</v>
      </c>
      <c r="AE93" s="232" t="s">
        <v>133</v>
      </c>
      <c r="AF93" s="40"/>
      <c r="AG93" s="40"/>
      <c r="AH93" s="126" t="s">
        <v>6</v>
      </c>
      <c r="AI93" s="126" t="s">
        <v>6</v>
      </c>
      <c r="AJ93" s="215"/>
      <c r="AK93" s="199"/>
      <c r="AL93" s="201" t="s">
        <v>1047</v>
      </c>
      <c r="AM93" s="199" t="s">
        <v>1056</v>
      </c>
      <c r="AN93" s="199"/>
      <c r="AO93" s="199"/>
      <c r="AP93" s="199"/>
      <c r="AQ93" s="199"/>
      <c r="AR93" s="199"/>
      <c r="AS93" s="199"/>
      <c r="AT93" s="199"/>
      <c r="AU93" s="199"/>
      <c r="AV93" s="199"/>
      <c r="AW93" s="155">
        <f t="shared" si="4"/>
        <v>35</v>
      </c>
    </row>
    <row r="94" spans="1:49" s="236" customFormat="1" ht="26.4">
      <c r="A94" s="40">
        <f t="shared" si="3"/>
        <v>88</v>
      </c>
      <c r="B94" s="199"/>
      <c r="C94" s="199"/>
      <c r="D94" s="199"/>
      <c r="E94" s="199"/>
      <c r="F94" s="199"/>
      <c r="G94" s="199"/>
      <c r="H94" s="199"/>
      <c r="I94" s="199"/>
      <c r="J94" s="609" t="s">
        <v>3410</v>
      </c>
      <c r="K94" s="232" t="s">
        <v>117</v>
      </c>
      <c r="L94" s="204" t="s">
        <v>1061</v>
      </c>
      <c r="M94" s="351" t="s">
        <v>4805</v>
      </c>
      <c r="N94" s="126" t="s">
        <v>504</v>
      </c>
      <c r="O94" s="40"/>
      <c r="P94" s="40"/>
      <c r="Q94" s="126" t="s">
        <v>6</v>
      </c>
      <c r="R94" s="126" t="s">
        <v>6</v>
      </c>
      <c r="S94" s="126" t="s">
        <v>6</v>
      </c>
      <c r="T94" s="126" t="s">
        <v>6</v>
      </c>
      <c r="U94" s="218" t="s">
        <v>1062</v>
      </c>
      <c r="V94" s="204"/>
      <c r="W94" s="232" t="s">
        <v>133</v>
      </c>
      <c r="X94" s="40"/>
      <c r="Y94" s="40"/>
      <c r="Z94" s="126" t="s">
        <v>6</v>
      </c>
      <c r="AA94" s="126" t="s">
        <v>6</v>
      </c>
      <c r="AB94" s="215"/>
      <c r="AC94" s="199"/>
      <c r="AD94" s="201" t="s">
        <v>1047</v>
      </c>
      <c r="AE94" s="232" t="s">
        <v>133</v>
      </c>
      <c r="AF94" s="40"/>
      <c r="AG94" s="40"/>
      <c r="AH94" s="126" t="s">
        <v>6</v>
      </c>
      <c r="AI94" s="126" t="s">
        <v>6</v>
      </c>
      <c r="AJ94" s="215" t="e">
        <f>"Atende também ao agrupamento dos itens "&amp;#REF!&amp;" a "&amp;#REF!&amp;" para anunciador do nível 2 e alarme do nível 3."</f>
        <v>#REF!</v>
      </c>
      <c r="AK94" s="199"/>
      <c r="AL94" s="201" t="s">
        <v>1047</v>
      </c>
      <c r="AM94" s="198" t="s">
        <v>1063</v>
      </c>
      <c r="AN94" s="199"/>
      <c r="AO94" s="199"/>
      <c r="AP94" s="199"/>
      <c r="AQ94" s="199"/>
      <c r="AR94" s="199"/>
      <c r="AS94" s="199"/>
      <c r="AT94" s="199"/>
      <c r="AU94" s="199"/>
      <c r="AV94" s="199"/>
      <c r="AW94" s="155">
        <f t="shared" si="4"/>
        <v>35</v>
      </c>
    </row>
    <row r="95" spans="1:49" s="236" customFormat="1" ht="39.6">
      <c r="A95" s="40">
        <f t="shared" si="3"/>
        <v>89</v>
      </c>
      <c r="B95" s="199"/>
      <c r="C95" s="199"/>
      <c r="D95" s="199"/>
      <c r="E95" s="199"/>
      <c r="F95" s="199"/>
      <c r="G95" s="199"/>
      <c r="H95" s="199"/>
      <c r="I95" s="199"/>
      <c r="J95" s="609" t="s">
        <v>3411</v>
      </c>
      <c r="K95" s="232" t="s">
        <v>117</v>
      </c>
      <c r="L95" s="204" t="s">
        <v>1064</v>
      </c>
      <c r="M95" s="351" t="s">
        <v>4805</v>
      </c>
      <c r="N95" s="126" t="s">
        <v>504</v>
      </c>
      <c r="O95" s="40"/>
      <c r="P95" s="40"/>
      <c r="Q95" s="126" t="s">
        <v>6</v>
      </c>
      <c r="R95" s="126" t="s">
        <v>6</v>
      </c>
      <c r="S95" s="126" t="s">
        <v>6</v>
      </c>
      <c r="T95" s="126" t="s">
        <v>6</v>
      </c>
      <c r="U95" s="234" t="s">
        <v>1065</v>
      </c>
      <c r="V95" s="204"/>
      <c r="W95" s="232" t="s">
        <v>133</v>
      </c>
      <c r="X95" s="40"/>
      <c r="Y95" s="40"/>
      <c r="Z95" s="126" t="s">
        <v>6</v>
      </c>
      <c r="AA95" s="126" t="s">
        <v>6</v>
      </c>
      <c r="AB95" s="215"/>
      <c r="AC95" s="199"/>
      <c r="AD95" s="201" t="s">
        <v>1047</v>
      </c>
      <c r="AE95" s="232" t="s">
        <v>133</v>
      </c>
      <c r="AF95" s="40"/>
      <c r="AG95" s="40"/>
      <c r="AH95" s="126" t="s">
        <v>6</v>
      </c>
      <c r="AI95" s="126" t="s">
        <v>6</v>
      </c>
      <c r="AJ95" s="215" t="e">
        <f>"Atende também ao agrupamento dos itens "&amp;#REF!&amp;" a "&amp;#REF!&amp;" para anunciador do nível 2 e alarme do nível 3."</f>
        <v>#REF!</v>
      </c>
      <c r="AK95" s="199"/>
      <c r="AL95" s="201" t="s">
        <v>1047</v>
      </c>
      <c r="AM95" s="198" t="s">
        <v>1063</v>
      </c>
      <c r="AN95" s="199"/>
      <c r="AO95" s="199"/>
      <c r="AP95" s="199"/>
      <c r="AQ95" s="199"/>
      <c r="AR95" s="199"/>
      <c r="AS95" s="199"/>
      <c r="AT95" s="199"/>
      <c r="AU95" s="199"/>
      <c r="AV95" s="199"/>
      <c r="AW95" s="155">
        <f t="shared" si="4"/>
        <v>42</v>
      </c>
    </row>
    <row r="96" spans="1:49" s="236" customFormat="1" ht="39.6">
      <c r="A96" s="40">
        <f t="shared" si="3"/>
        <v>90</v>
      </c>
      <c r="B96" s="199"/>
      <c r="C96" s="199"/>
      <c r="D96" s="199"/>
      <c r="E96" s="199"/>
      <c r="F96" s="199"/>
      <c r="G96" s="199"/>
      <c r="H96" s="199"/>
      <c r="I96" s="199"/>
      <c r="J96" s="609" t="s">
        <v>3412</v>
      </c>
      <c r="K96" s="232" t="s">
        <v>117</v>
      </c>
      <c r="L96" s="204" t="s">
        <v>1066</v>
      </c>
      <c r="M96" s="351" t="s">
        <v>4805</v>
      </c>
      <c r="N96" s="126" t="s">
        <v>504</v>
      </c>
      <c r="O96" s="40"/>
      <c r="P96" s="40"/>
      <c r="Q96" s="126" t="s">
        <v>6</v>
      </c>
      <c r="R96" s="126" t="s">
        <v>6</v>
      </c>
      <c r="S96" s="126" t="s">
        <v>6</v>
      </c>
      <c r="T96" s="126" t="s">
        <v>6</v>
      </c>
      <c r="U96" s="234" t="s">
        <v>1065</v>
      </c>
      <c r="V96" s="204"/>
      <c r="W96" s="232" t="s">
        <v>133</v>
      </c>
      <c r="X96" s="40"/>
      <c r="Y96" s="40"/>
      <c r="Z96" s="126" t="s">
        <v>6</v>
      </c>
      <c r="AA96" s="126" t="s">
        <v>6</v>
      </c>
      <c r="AB96" s="215"/>
      <c r="AC96" s="199"/>
      <c r="AD96" s="201" t="s">
        <v>1047</v>
      </c>
      <c r="AE96" s="232" t="s">
        <v>133</v>
      </c>
      <c r="AF96" s="40"/>
      <c r="AG96" s="40"/>
      <c r="AH96" s="126" t="s">
        <v>6</v>
      </c>
      <c r="AI96" s="126" t="s">
        <v>6</v>
      </c>
      <c r="AJ96" s="215" t="e">
        <f>"Atende também ao agrupamento dos itens "&amp;#REF!&amp;" a "&amp;#REF!&amp;" para anunciador do nível 2 e alarme do nível 3."</f>
        <v>#REF!</v>
      </c>
      <c r="AK96" s="199"/>
      <c r="AL96" s="201" t="s">
        <v>1047</v>
      </c>
      <c r="AM96" s="198" t="s">
        <v>1063</v>
      </c>
      <c r="AN96" s="199"/>
      <c r="AO96" s="199"/>
      <c r="AP96" s="199"/>
      <c r="AQ96" s="199"/>
      <c r="AR96" s="199"/>
      <c r="AS96" s="199"/>
      <c r="AT96" s="199"/>
      <c r="AU96" s="199"/>
      <c r="AV96" s="199"/>
      <c r="AW96" s="155">
        <f t="shared" si="4"/>
        <v>42</v>
      </c>
    </row>
    <row r="97" spans="1:49" s="236" customFormat="1" ht="39.6">
      <c r="A97" s="40">
        <f t="shared" si="3"/>
        <v>91</v>
      </c>
      <c r="B97" s="199"/>
      <c r="C97" s="199"/>
      <c r="D97" s="199"/>
      <c r="E97" s="199"/>
      <c r="F97" s="199"/>
      <c r="G97" s="199"/>
      <c r="H97" s="199"/>
      <c r="I97" s="199"/>
      <c r="J97" s="609" t="s">
        <v>3413</v>
      </c>
      <c r="K97" s="232" t="s">
        <v>117</v>
      </c>
      <c r="L97" s="204" t="s">
        <v>1067</v>
      </c>
      <c r="M97" s="351" t="s">
        <v>4805</v>
      </c>
      <c r="N97" s="126" t="s">
        <v>504</v>
      </c>
      <c r="O97" s="40"/>
      <c r="P97" s="40"/>
      <c r="Q97" s="126" t="s">
        <v>6</v>
      </c>
      <c r="R97" s="126" t="s">
        <v>6</v>
      </c>
      <c r="S97" s="126" t="s">
        <v>6</v>
      </c>
      <c r="T97" s="126" t="s">
        <v>6</v>
      </c>
      <c r="U97" s="234" t="s">
        <v>1065</v>
      </c>
      <c r="V97" s="204"/>
      <c r="W97" s="232" t="s">
        <v>133</v>
      </c>
      <c r="X97" s="40"/>
      <c r="Y97" s="40"/>
      <c r="Z97" s="126" t="s">
        <v>6</v>
      </c>
      <c r="AA97" s="126" t="s">
        <v>6</v>
      </c>
      <c r="AB97" s="215"/>
      <c r="AC97" s="199"/>
      <c r="AD97" s="201" t="s">
        <v>1047</v>
      </c>
      <c r="AE97" s="232" t="s">
        <v>133</v>
      </c>
      <c r="AF97" s="40"/>
      <c r="AG97" s="40"/>
      <c r="AH97" s="126" t="s">
        <v>6</v>
      </c>
      <c r="AI97" s="126" t="s">
        <v>6</v>
      </c>
      <c r="AJ97" s="215" t="e">
        <f>"Atende também ao agrupamento dos itens "&amp;#REF!&amp;" a "&amp;#REF!&amp;" para anunciador do nível 2 e alarme do nível 3."</f>
        <v>#REF!</v>
      </c>
      <c r="AK97" s="199"/>
      <c r="AL97" s="201" t="s">
        <v>1047</v>
      </c>
      <c r="AM97" s="198" t="s">
        <v>1063</v>
      </c>
      <c r="AN97" s="199"/>
      <c r="AO97" s="199"/>
      <c r="AP97" s="199"/>
      <c r="AQ97" s="199"/>
      <c r="AR97" s="199"/>
      <c r="AS97" s="199"/>
      <c r="AT97" s="199"/>
      <c r="AU97" s="199"/>
      <c r="AV97" s="199"/>
      <c r="AW97" s="155">
        <f t="shared" si="4"/>
        <v>42</v>
      </c>
    </row>
    <row r="98" spans="1:49" s="14" customFormat="1" ht="26.4">
      <c r="A98" s="40">
        <f t="shared" si="3"/>
        <v>92</v>
      </c>
      <c r="B98" s="38"/>
      <c r="C98" s="42"/>
      <c r="D98" s="232"/>
      <c r="E98" s="232"/>
      <c r="F98" s="233"/>
      <c r="G98" s="233"/>
      <c r="H98" s="416"/>
      <c r="I98" s="40" t="s">
        <v>868</v>
      </c>
      <c r="J98" s="412" t="s">
        <v>3414</v>
      </c>
      <c r="K98" s="204" t="s">
        <v>132</v>
      </c>
      <c r="L98" s="204" t="s">
        <v>1068</v>
      </c>
      <c r="M98" s="351" t="s">
        <v>4805</v>
      </c>
      <c r="N98" s="126" t="s">
        <v>504</v>
      </c>
      <c r="O98" s="126"/>
      <c r="P98" s="126"/>
      <c r="Q98" s="126" t="s">
        <v>6</v>
      </c>
      <c r="R98" s="126" t="s">
        <v>6</v>
      </c>
      <c r="S98" s="126" t="s">
        <v>6</v>
      </c>
      <c r="T98" s="40" t="s">
        <v>6</v>
      </c>
      <c r="U98" s="204" t="s">
        <v>1069</v>
      </c>
      <c r="V98" s="204"/>
      <c r="W98" s="204" t="s">
        <v>133</v>
      </c>
      <c r="X98" s="199"/>
      <c r="Y98" s="199"/>
      <c r="Z98" s="126" t="s">
        <v>6</v>
      </c>
      <c r="AA98" s="126" t="s">
        <v>6</v>
      </c>
      <c r="AB98" s="40"/>
      <c r="AC98" s="40"/>
      <c r="AD98" s="40"/>
      <c r="AE98" s="204" t="s">
        <v>133</v>
      </c>
      <c r="AF98" s="199"/>
      <c r="AG98" s="199"/>
      <c r="AH98" s="126" t="s">
        <v>6</v>
      </c>
      <c r="AI98" s="126" t="s">
        <v>6</v>
      </c>
      <c r="AJ98" s="40"/>
      <c r="AK98" s="40"/>
      <c r="AL98" s="40"/>
      <c r="AM98" s="199" t="s">
        <v>1070</v>
      </c>
      <c r="AN98" s="224"/>
      <c r="AO98" s="40"/>
      <c r="AP98" s="40"/>
      <c r="AQ98" s="40"/>
      <c r="AR98" s="40"/>
      <c r="AS98" s="40"/>
      <c r="AT98" s="40"/>
      <c r="AU98" s="40"/>
      <c r="AV98" s="40"/>
      <c r="AW98" s="155">
        <f t="shared" ref="AW98:AW102" si="5">LEN(L98)</f>
        <v>35</v>
      </c>
    </row>
    <row r="99" spans="1:49" s="14" customFormat="1" ht="52.8">
      <c r="A99" s="40">
        <f t="shared" si="3"/>
        <v>93</v>
      </c>
      <c r="B99" s="38"/>
      <c r="C99" s="42"/>
      <c r="D99" s="232"/>
      <c r="E99" s="232"/>
      <c r="F99" s="233"/>
      <c r="G99" s="233"/>
      <c r="H99" s="416"/>
      <c r="I99" s="40" t="s">
        <v>868</v>
      </c>
      <c r="J99" s="412" t="s">
        <v>3415</v>
      </c>
      <c r="K99" s="204" t="s">
        <v>132</v>
      </c>
      <c r="L99" s="204" t="s">
        <v>1071</v>
      </c>
      <c r="M99" s="351" t="s">
        <v>4805</v>
      </c>
      <c r="N99" s="126" t="s">
        <v>504</v>
      </c>
      <c r="O99" s="126"/>
      <c r="P99" s="126"/>
      <c r="Q99" s="40" t="s">
        <v>6</v>
      </c>
      <c r="R99" s="126" t="s">
        <v>6</v>
      </c>
      <c r="S99" s="126" t="s">
        <v>6</v>
      </c>
      <c r="T99" s="40" t="s">
        <v>6</v>
      </c>
      <c r="U99" s="200" t="s">
        <v>1072</v>
      </c>
      <c r="V99" s="204"/>
      <c r="W99" s="204" t="s">
        <v>133</v>
      </c>
      <c r="X99" s="199"/>
      <c r="Y99" s="199"/>
      <c r="Z99" s="126" t="s">
        <v>6</v>
      </c>
      <c r="AA99" s="126" t="s">
        <v>6</v>
      </c>
      <c r="AB99" s="40"/>
      <c r="AC99" s="40"/>
      <c r="AD99" s="40"/>
      <c r="AE99" s="204" t="s">
        <v>133</v>
      </c>
      <c r="AF99" s="199"/>
      <c r="AG99" s="199"/>
      <c r="AH99" s="126" t="s">
        <v>6</v>
      </c>
      <c r="AI99" s="126" t="s">
        <v>6</v>
      </c>
      <c r="AJ99" s="40"/>
      <c r="AK99" s="40"/>
      <c r="AL99" s="40"/>
      <c r="AM99" s="199" t="s">
        <v>1070</v>
      </c>
      <c r="AN99" s="224"/>
      <c r="AO99" s="40"/>
      <c r="AP99" s="40"/>
      <c r="AQ99" s="40"/>
      <c r="AR99" s="40"/>
      <c r="AS99" s="40"/>
      <c r="AT99" s="40"/>
      <c r="AU99" s="40"/>
      <c r="AV99" s="40"/>
      <c r="AW99" s="155">
        <f t="shared" si="5"/>
        <v>42</v>
      </c>
    </row>
    <row r="100" spans="1:49" s="14" customFormat="1" ht="52.8">
      <c r="A100" s="40">
        <f t="shared" si="3"/>
        <v>94</v>
      </c>
      <c r="B100" s="38"/>
      <c r="C100" s="42"/>
      <c r="D100" s="232"/>
      <c r="E100" s="232"/>
      <c r="F100" s="233"/>
      <c r="G100" s="233"/>
      <c r="H100" s="416"/>
      <c r="I100" s="40" t="s">
        <v>868</v>
      </c>
      <c r="J100" s="412" t="s">
        <v>3416</v>
      </c>
      <c r="K100" s="204" t="s">
        <v>132</v>
      </c>
      <c r="L100" s="204" t="s">
        <v>1073</v>
      </c>
      <c r="M100" s="351" t="s">
        <v>4805</v>
      </c>
      <c r="N100" s="126" t="s">
        <v>504</v>
      </c>
      <c r="O100" s="126"/>
      <c r="P100" s="126"/>
      <c r="Q100" s="40" t="s">
        <v>6</v>
      </c>
      <c r="R100" s="126" t="s">
        <v>6</v>
      </c>
      <c r="S100" s="126" t="s">
        <v>6</v>
      </c>
      <c r="T100" s="40" t="s">
        <v>6</v>
      </c>
      <c r="U100" s="200" t="s">
        <v>1072</v>
      </c>
      <c r="V100" s="204"/>
      <c r="W100" s="204" t="s">
        <v>133</v>
      </c>
      <c r="X100" s="199"/>
      <c r="Y100" s="199"/>
      <c r="Z100" s="126" t="s">
        <v>6</v>
      </c>
      <c r="AA100" s="126" t="s">
        <v>6</v>
      </c>
      <c r="AB100" s="40"/>
      <c r="AC100" s="40"/>
      <c r="AD100" s="40"/>
      <c r="AE100" s="204" t="s">
        <v>133</v>
      </c>
      <c r="AF100" s="199"/>
      <c r="AG100" s="199"/>
      <c r="AH100" s="126" t="s">
        <v>6</v>
      </c>
      <c r="AI100" s="126" t="s">
        <v>6</v>
      </c>
      <c r="AJ100" s="40"/>
      <c r="AK100" s="40"/>
      <c r="AL100" s="40"/>
      <c r="AM100" s="199" t="s">
        <v>1070</v>
      </c>
      <c r="AN100" s="224"/>
      <c r="AO100" s="40"/>
      <c r="AP100" s="40"/>
      <c r="AQ100" s="40"/>
      <c r="AR100" s="40"/>
      <c r="AS100" s="40"/>
      <c r="AT100" s="40"/>
      <c r="AU100" s="40"/>
      <c r="AV100" s="40"/>
      <c r="AW100" s="155">
        <f t="shared" si="5"/>
        <v>42</v>
      </c>
    </row>
    <row r="101" spans="1:49" s="14" customFormat="1" ht="52.8">
      <c r="A101" s="40">
        <f t="shared" si="3"/>
        <v>95</v>
      </c>
      <c r="B101" s="38"/>
      <c r="C101" s="42"/>
      <c r="D101" s="232"/>
      <c r="E101" s="232"/>
      <c r="F101" s="233"/>
      <c r="G101" s="233"/>
      <c r="H101" s="416"/>
      <c r="I101" s="40" t="s">
        <v>868</v>
      </c>
      <c r="J101" s="412" t="s">
        <v>3417</v>
      </c>
      <c r="K101" s="204" t="s">
        <v>132</v>
      </c>
      <c r="L101" s="204" t="s">
        <v>1074</v>
      </c>
      <c r="M101" s="351" t="s">
        <v>4805</v>
      </c>
      <c r="N101" s="126" t="s">
        <v>504</v>
      </c>
      <c r="O101" s="126"/>
      <c r="P101" s="126"/>
      <c r="Q101" s="40" t="s">
        <v>6</v>
      </c>
      <c r="R101" s="126" t="s">
        <v>6</v>
      </c>
      <c r="S101" s="126" t="s">
        <v>6</v>
      </c>
      <c r="T101" s="40" t="s">
        <v>6</v>
      </c>
      <c r="U101" s="200" t="s">
        <v>1072</v>
      </c>
      <c r="V101" s="204"/>
      <c r="W101" s="204" t="s">
        <v>133</v>
      </c>
      <c r="X101" s="199"/>
      <c r="Y101" s="199"/>
      <c r="Z101" s="126" t="s">
        <v>6</v>
      </c>
      <c r="AA101" s="126" t="s">
        <v>6</v>
      </c>
      <c r="AB101" s="40"/>
      <c r="AC101" s="40"/>
      <c r="AD101" s="40"/>
      <c r="AE101" s="204" t="s">
        <v>133</v>
      </c>
      <c r="AF101" s="199"/>
      <c r="AG101" s="199"/>
      <c r="AH101" s="126" t="s">
        <v>6</v>
      </c>
      <c r="AI101" s="126" t="s">
        <v>6</v>
      </c>
      <c r="AJ101" s="40"/>
      <c r="AK101" s="40"/>
      <c r="AL101" s="40"/>
      <c r="AM101" s="199" t="s">
        <v>1070</v>
      </c>
      <c r="AN101" s="224"/>
      <c r="AO101" s="40"/>
      <c r="AP101" s="40"/>
      <c r="AQ101" s="40"/>
      <c r="AR101" s="40"/>
      <c r="AS101" s="40"/>
      <c r="AT101" s="40"/>
      <c r="AU101" s="40"/>
      <c r="AV101" s="40"/>
      <c r="AW101" s="155">
        <f t="shared" si="5"/>
        <v>42</v>
      </c>
    </row>
    <row r="102" spans="1:49" s="236" customFormat="1" ht="39.6">
      <c r="A102" s="40">
        <f t="shared" si="3"/>
        <v>96</v>
      </c>
      <c r="B102" s="199"/>
      <c r="C102" s="199"/>
      <c r="D102" s="199"/>
      <c r="E102" s="199"/>
      <c r="F102" s="199"/>
      <c r="G102" s="199"/>
      <c r="H102" s="199"/>
      <c r="I102" s="199"/>
      <c r="J102" s="412" t="s">
        <v>3457</v>
      </c>
      <c r="K102" s="232" t="s">
        <v>117</v>
      </c>
      <c r="L102" s="204" t="s">
        <v>1076</v>
      </c>
      <c r="M102" s="351"/>
      <c r="N102" s="126" t="s">
        <v>504</v>
      </c>
      <c r="O102" s="126"/>
      <c r="P102" s="126"/>
      <c r="Q102" s="126" t="s">
        <v>6</v>
      </c>
      <c r="R102" s="126" t="s">
        <v>6</v>
      </c>
      <c r="S102" s="126" t="s">
        <v>6</v>
      </c>
      <c r="T102" s="40" t="s">
        <v>6</v>
      </c>
      <c r="U102" s="218" t="s">
        <v>1051</v>
      </c>
      <c r="V102" s="204"/>
      <c r="W102" s="204" t="s">
        <v>125</v>
      </c>
      <c r="X102" s="199"/>
      <c r="Y102" s="199"/>
      <c r="Z102" s="199"/>
      <c r="AA102" s="126" t="s">
        <v>6</v>
      </c>
      <c r="AB102" s="198"/>
      <c r="AC102" s="199"/>
      <c r="AD102" s="412" t="s">
        <v>1077</v>
      </c>
      <c r="AE102" s="204" t="s">
        <v>125</v>
      </c>
      <c r="AF102" s="199"/>
      <c r="AG102" s="199"/>
      <c r="AH102" s="199"/>
      <c r="AI102" s="126" t="s">
        <v>6</v>
      </c>
      <c r="AJ102" s="198"/>
      <c r="AK102" s="199"/>
      <c r="AL102" s="412" t="s">
        <v>1077</v>
      </c>
      <c r="AM102" s="198"/>
      <c r="AN102" s="199"/>
      <c r="AO102" s="199"/>
      <c r="AP102" s="199"/>
      <c r="AQ102" s="199"/>
      <c r="AR102" s="199"/>
      <c r="AS102" s="199"/>
      <c r="AT102" s="199"/>
      <c r="AU102" s="199"/>
      <c r="AV102" s="199"/>
      <c r="AW102" s="155">
        <f t="shared" si="5"/>
        <v>31</v>
      </c>
    </row>
    <row r="103" spans="1:49" s="236" customFormat="1" ht="39.6">
      <c r="A103" s="40">
        <f t="shared" si="3"/>
        <v>97</v>
      </c>
      <c r="B103" s="199"/>
      <c r="C103" s="199"/>
      <c r="D103" s="199"/>
      <c r="E103" s="199"/>
      <c r="F103" s="199"/>
      <c r="G103" s="199"/>
      <c r="H103" s="199"/>
      <c r="I103" s="199"/>
      <c r="J103" s="412" t="s">
        <v>3458</v>
      </c>
      <c r="K103" s="232" t="s">
        <v>117</v>
      </c>
      <c r="L103" s="204" t="s">
        <v>1078</v>
      </c>
      <c r="M103" s="351"/>
      <c r="N103" s="126" t="s">
        <v>504</v>
      </c>
      <c r="O103" s="126"/>
      <c r="P103" s="126"/>
      <c r="Q103" s="126" t="s">
        <v>6</v>
      </c>
      <c r="R103" s="126" t="s">
        <v>6</v>
      </c>
      <c r="S103" s="126" t="s">
        <v>6</v>
      </c>
      <c r="T103" s="40" t="s">
        <v>6</v>
      </c>
      <c r="U103" s="218" t="s">
        <v>1051</v>
      </c>
      <c r="V103" s="204"/>
      <c r="W103" s="204" t="s">
        <v>125</v>
      </c>
      <c r="X103" s="199"/>
      <c r="Y103" s="199"/>
      <c r="Z103" s="199"/>
      <c r="AA103" s="126" t="s">
        <v>6</v>
      </c>
      <c r="AB103" s="198"/>
      <c r="AC103" s="199"/>
      <c r="AD103" s="412" t="s">
        <v>1077</v>
      </c>
      <c r="AE103" s="204" t="s">
        <v>125</v>
      </c>
      <c r="AF103" s="199"/>
      <c r="AG103" s="199"/>
      <c r="AH103" s="199"/>
      <c r="AI103" s="126" t="s">
        <v>6</v>
      </c>
      <c r="AJ103" s="198"/>
      <c r="AK103" s="199"/>
      <c r="AL103" s="412" t="s">
        <v>1077</v>
      </c>
      <c r="AM103" s="198"/>
      <c r="AN103" s="199"/>
      <c r="AO103" s="199"/>
      <c r="AP103" s="199"/>
      <c r="AQ103" s="199"/>
      <c r="AR103" s="199"/>
      <c r="AS103" s="199"/>
      <c r="AT103" s="199"/>
      <c r="AU103" s="199"/>
      <c r="AV103" s="199"/>
      <c r="AW103" s="155">
        <f t="shared" ref="AW103:AW108" si="6">LEN(L103)</f>
        <v>31</v>
      </c>
    </row>
    <row r="104" spans="1:49" s="236" customFormat="1" ht="39.6">
      <c r="A104" s="40">
        <f t="shared" si="3"/>
        <v>98</v>
      </c>
      <c r="B104" s="199"/>
      <c r="C104" s="199"/>
      <c r="D104" s="199"/>
      <c r="E104" s="199"/>
      <c r="F104" s="199"/>
      <c r="G104" s="199"/>
      <c r="H104" s="199"/>
      <c r="I104" s="199"/>
      <c r="J104" s="412" t="s">
        <v>3459</v>
      </c>
      <c r="K104" s="232" t="s">
        <v>117</v>
      </c>
      <c r="L104" s="204" t="s">
        <v>1079</v>
      </c>
      <c r="M104" s="351"/>
      <c r="N104" s="126" t="s">
        <v>504</v>
      </c>
      <c r="O104" s="126"/>
      <c r="P104" s="126"/>
      <c r="Q104" s="126" t="s">
        <v>6</v>
      </c>
      <c r="R104" s="126" t="s">
        <v>6</v>
      </c>
      <c r="S104" s="126" t="s">
        <v>6</v>
      </c>
      <c r="T104" s="40" t="s">
        <v>6</v>
      </c>
      <c r="U104" s="218" t="s">
        <v>1051</v>
      </c>
      <c r="V104" s="204"/>
      <c r="W104" s="204" t="s">
        <v>125</v>
      </c>
      <c r="X104" s="199"/>
      <c r="Y104" s="199"/>
      <c r="Z104" s="199"/>
      <c r="AA104" s="126" t="s">
        <v>6</v>
      </c>
      <c r="AB104" s="198"/>
      <c r="AC104" s="199"/>
      <c r="AD104" s="412" t="s">
        <v>1077</v>
      </c>
      <c r="AE104" s="204" t="s">
        <v>125</v>
      </c>
      <c r="AF104" s="199"/>
      <c r="AG104" s="199"/>
      <c r="AH104" s="199"/>
      <c r="AI104" s="126" t="s">
        <v>6</v>
      </c>
      <c r="AJ104" s="198"/>
      <c r="AK104" s="199"/>
      <c r="AL104" s="412" t="s">
        <v>1077</v>
      </c>
      <c r="AM104" s="198"/>
      <c r="AN104" s="199"/>
      <c r="AO104" s="199"/>
      <c r="AP104" s="199"/>
      <c r="AQ104" s="199"/>
      <c r="AR104" s="199"/>
      <c r="AS104" s="199"/>
      <c r="AT104" s="199"/>
      <c r="AU104" s="199"/>
      <c r="AV104" s="199"/>
      <c r="AW104" s="155">
        <f t="shared" si="6"/>
        <v>31</v>
      </c>
    </row>
    <row r="105" spans="1:49" s="236" customFormat="1" ht="39.6">
      <c r="A105" s="40">
        <f t="shared" si="3"/>
        <v>99</v>
      </c>
      <c r="B105" s="199"/>
      <c r="C105" s="199"/>
      <c r="D105" s="199"/>
      <c r="E105" s="199"/>
      <c r="F105" s="199"/>
      <c r="G105" s="199"/>
      <c r="H105" s="199"/>
      <c r="I105" s="199"/>
      <c r="J105" s="412" t="s">
        <v>3460</v>
      </c>
      <c r="K105" s="232" t="s">
        <v>117</v>
      </c>
      <c r="L105" s="204" t="s">
        <v>1080</v>
      </c>
      <c r="M105" s="351"/>
      <c r="N105" s="126" t="s">
        <v>504</v>
      </c>
      <c r="O105" s="126"/>
      <c r="P105" s="126"/>
      <c r="Q105" s="126" t="s">
        <v>6</v>
      </c>
      <c r="R105" s="126" t="s">
        <v>6</v>
      </c>
      <c r="S105" s="126" t="s">
        <v>6</v>
      </c>
      <c r="T105" s="40" t="s">
        <v>6</v>
      </c>
      <c r="U105" s="218" t="s">
        <v>1081</v>
      </c>
      <c r="V105" s="204"/>
      <c r="W105" s="232" t="s">
        <v>133</v>
      </c>
      <c r="X105" s="199"/>
      <c r="Y105" s="199"/>
      <c r="Z105" s="126" t="s">
        <v>6</v>
      </c>
      <c r="AA105" s="126" t="s">
        <v>6</v>
      </c>
      <c r="AB105" s="215"/>
      <c r="AC105" s="199"/>
      <c r="AD105" s="199"/>
      <c r="AE105" s="232" t="s">
        <v>133</v>
      </c>
      <c r="AF105" s="199"/>
      <c r="AG105" s="199"/>
      <c r="AH105" s="126" t="s">
        <v>6</v>
      </c>
      <c r="AI105" s="126" t="s">
        <v>6</v>
      </c>
      <c r="AJ105" s="215" t="str">
        <f>"Atende também ao agrupamento dos itens "&amp;A102&amp;" a "&amp;A104&amp;" para anunciador do nível 2 e alarme do nível 3."</f>
        <v>Atende também ao agrupamento dos itens 96 a 98 para anunciador do nível 2 e alarme do nível 3.</v>
      </c>
      <c r="AK105" s="199"/>
      <c r="AL105" s="199"/>
      <c r="AM105" s="198"/>
      <c r="AN105" s="199"/>
      <c r="AO105" s="199"/>
      <c r="AP105" s="199"/>
      <c r="AQ105" s="199"/>
      <c r="AR105" s="199"/>
      <c r="AS105" s="199"/>
      <c r="AT105" s="199"/>
      <c r="AU105" s="199"/>
      <c r="AV105" s="199"/>
      <c r="AW105" s="155">
        <f>LEN(L105)</f>
        <v>24</v>
      </c>
    </row>
    <row r="106" spans="1:49" s="236" customFormat="1" ht="39.6">
      <c r="A106" s="40">
        <f t="shared" si="3"/>
        <v>100</v>
      </c>
      <c r="B106" s="199"/>
      <c r="C106" s="199"/>
      <c r="D106" s="199"/>
      <c r="E106" s="199"/>
      <c r="F106" s="199"/>
      <c r="G106" s="199"/>
      <c r="H106" s="199"/>
      <c r="I106" s="199"/>
      <c r="J106" s="412" t="s">
        <v>1082</v>
      </c>
      <c r="K106" s="232" t="s">
        <v>117</v>
      </c>
      <c r="L106" s="204" t="s">
        <v>1083</v>
      </c>
      <c r="M106" s="351" t="s">
        <v>4513</v>
      </c>
      <c r="N106" s="126" t="s">
        <v>504</v>
      </c>
      <c r="O106" s="126"/>
      <c r="P106" s="126"/>
      <c r="Q106" s="126" t="s">
        <v>6</v>
      </c>
      <c r="R106" s="126" t="s">
        <v>6</v>
      </c>
      <c r="S106" s="126" t="s">
        <v>6</v>
      </c>
      <c r="T106" s="40" t="s">
        <v>6</v>
      </c>
      <c r="U106" s="218" t="s">
        <v>1084</v>
      </c>
      <c r="V106" s="204"/>
      <c r="W106" s="204" t="s">
        <v>125</v>
      </c>
      <c r="X106" s="199"/>
      <c r="Y106" s="199"/>
      <c r="Z106" s="199"/>
      <c r="AA106" s="126" t="s">
        <v>6</v>
      </c>
      <c r="AB106" s="198"/>
      <c r="AC106" s="199"/>
      <c r="AD106" s="412" t="s">
        <v>1085</v>
      </c>
      <c r="AE106" s="204" t="s">
        <v>125</v>
      </c>
      <c r="AF106" s="199"/>
      <c r="AG106" s="199"/>
      <c r="AH106" s="199"/>
      <c r="AI106" s="126" t="s">
        <v>6</v>
      </c>
      <c r="AJ106" s="198"/>
      <c r="AK106" s="199"/>
      <c r="AL106" s="412" t="s">
        <v>1085</v>
      </c>
      <c r="AM106" s="198" t="s">
        <v>1086</v>
      </c>
      <c r="AN106" s="202"/>
      <c r="AO106" s="199"/>
      <c r="AP106" s="199"/>
      <c r="AQ106" s="199"/>
      <c r="AR106" s="199"/>
      <c r="AS106" s="199"/>
      <c r="AT106" s="199"/>
      <c r="AU106" s="199"/>
      <c r="AV106" s="199"/>
      <c r="AW106" s="155">
        <f>LEN(L106)</f>
        <v>32</v>
      </c>
    </row>
    <row r="107" spans="1:49" s="236" customFormat="1" ht="39.6">
      <c r="A107" s="40">
        <f t="shared" si="3"/>
        <v>101</v>
      </c>
      <c r="B107" s="199"/>
      <c r="C107" s="199"/>
      <c r="D107" s="199"/>
      <c r="E107" s="199"/>
      <c r="F107" s="199"/>
      <c r="G107" s="199"/>
      <c r="H107" s="199"/>
      <c r="I107" s="199"/>
      <c r="J107" s="412" t="s">
        <v>1087</v>
      </c>
      <c r="K107" s="232" t="s">
        <v>117</v>
      </c>
      <c r="L107" s="204" t="s">
        <v>1088</v>
      </c>
      <c r="M107" s="351" t="s">
        <v>4513</v>
      </c>
      <c r="N107" s="126" t="s">
        <v>504</v>
      </c>
      <c r="O107" s="126"/>
      <c r="P107" s="126"/>
      <c r="Q107" s="126" t="s">
        <v>6</v>
      </c>
      <c r="R107" s="126" t="s">
        <v>6</v>
      </c>
      <c r="S107" s="126" t="s">
        <v>6</v>
      </c>
      <c r="T107" s="40" t="s">
        <v>6</v>
      </c>
      <c r="U107" s="218" t="s">
        <v>1084</v>
      </c>
      <c r="V107" s="204"/>
      <c r="W107" s="204" t="s">
        <v>125</v>
      </c>
      <c r="X107" s="199"/>
      <c r="Y107" s="199"/>
      <c r="Z107" s="199"/>
      <c r="AA107" s="126" t="s">
        <v>6</v>
      </c>
      <c r="AB107" s="198"/>
      <c r="AC107" s="199"/>
      <c r="AD107" s="412" t="s">
        <v>1085</v>
      </c>
      <c r="AE107" s="204" t="s">
        <v>125</v>
      </c>
      <c r="AF107" s="199"/>
      <c r="AG107" s="199"/>
      <c r="AH107" s="199"/>
      <c r="AI107" s="126" t="s">
        <v>6</v>
      </c>
      <c r="AJ107" s="198"/>
      <c r="AK107" s="199"/>
      <c r="AL107" s="412" t="s">
        <v>1085</v>
      </c>
      <c r="AM107" s="198" t="s">
        <v>1086</v>
      </c>
      <c r="AN107" s="202"/>
      <c r="AO107" s="199"/>
      <c r="AP107" s="199"/>
      <c r="AQ107" s="199"/>
      <c r="AR107" s="199"/>
      <c r="AS107" s="199"/>
      <c r="AT107" s="199"/>
      <c r="AU107" s="199"/>
      <c r="AV107" s="199"/>
      <c r="AW107" s="155">
        <f t="shared" si="6"/>
        <v>32</v>
      </c>
    </row>
    <row r="108" spans="1:49" s="236" customFormat="1" ht="39.6">
      <c r="A108" s="40">
        <f t="shared" si="3"/>
        <v>102</v>
      </c>
      <c r="B108" s="199"/>
      <c r="C108" s="199"/>
      <c r="D108" s="199"/>
      <c r="E108" s="199"/>
      <c r="F108" s="199"/>
      <c r="G108" s="199"/>
      <c r="H108" s="199"/>
      <c r="I108" s="199"/>
      <c r="J108" s="412" t="s">
        <v>1089</v>
      </c>
      <c r="K108" s="232" t="s">
        <v>117</v>
      </c>
      <c r="L108" s="204" t="s">
        <v>1090</v>
      </c>
      <c r="M108" s="351" t="s">
        <v>4513</v>
      </c>
      <c r="N108" s="126" t="s">
        <v>504</v>
      </c>
      <c r="O108" s="126"/>
      <c r="P108" s="126"/>
      <c r="Q108" s="126" t="s">
        <v>6</v>
      </c>
      <c r="R108" s="126" t="s">
        <v>6</v>
      </c>
      <c r="S108" s="126" t="s">
        <v>6</v>
      </c>
      <c r="T108" s="40" t="s">
        <v>6</v>
      </c>
      <c r="U108" s="218" t="s">
        <v>1084</v>
      </c>
      <c r="V108" s="204"/>
      <c r="W108" s="204" t="s">
        <v>125</v>
      </c>
      <c r="X108" s="199"/>
      <c r="Y108" s="199"/>
      <c r="Z108" s="199"/>
      <c r="AA108" s="126" t="s">
        <v>6</v>
      </c>
      <c r="AB108" s="198"/>
      <c r="AC108" s="199"/>
      <c r="AD108" s="412" t="s">
        <v>1085</v>
      </c>
      <c r="AE108" s="204" t="s">
        <v>125</v>
      </c>
      <c r="AF108" s="199"/>
      <c r="AG108" s="199"/>
      <c r="AH108" s="199"/>
      <c r="AI108" s="126" t="s">
        <v>6</v>
      </c>
      <c r="AJ108" s="198"/>
      <c r="AK108" s="199"/>
      <c r="AL108" s="412" t="s">
        <v>1085</v>
      </c>
      <c r="AM108" s="198" t="s">
        <v>1086</v>
      </c>
      <c r="AN108" s="202"/>
      <c r="AO108" s="199"/>
      <c r="AP108" s="199"/>
      <c r="AQ108" s="199"/>
      <c r="AR108" s="199"/>
      <c r="AS108" s="199"/>
      <c r="AT108" s="199"/>
      <c r="AU108" s="199"/>
      <c r="AV108" s="199"/>
      <c r="AW108" s="155">
        <f t="shared" si="6"/>
        <v>32</v>
      </c>
    </row>
    <row r="109" spans="1:49" s="236" customFormat="1" ht="15">
      <c r="A109" s="40">
        <f t="shared" si="3"/>
        <v>103</v>
      </c>
      <c r="B109" s="199"/>
      <c r="C109" s="199"/>
      <c r="D109" s="199"/>
      <c r="E109" s="199"/>
      <c r="F109" s="199"/>
      <c r="G109" s="199"/>
      <c r="H109" s="199"/>
      <c r="I109" s="199" t="s">
        <v>868</v>
      </c>
      <c r="J109" s="412" t="s">
        <v>1091</v>
      </c>
      <c r="K109" s="232" t="s">
        <v>117</v>
      </c>
      <c r="L109" s="204" t="s">
        <v>1092</v>
      </c>
      <c r="M109" s="351" t="s">
        <v>4513</v>
      </c>
      <c r="N109" s="126" t="s">
        <v>504</v>
      </c>
      <c r="O109" s="126"/>
      <c r="P109" s="126"/>
      <c r="Q109" s="126" t="s">
        <v>6</v>
      </c>
      <c r="R109" s="126" t="s">
        <v>6</v>
      </c>
      <c r="S109" s="126" t="s">
        <v>6</v>
      </c>
      <c r="T109" s="40" t="s">
        <v>6</v>
      </c>
      <c r="U109" s="204" t="s">
        <v>1093</v>
      </c>
      <c r="V109" s="204"/>
      <c r="W109" s="232" t="s">
        <v>133</v>
      </c>
      <c r="X109" s="199"/>
      <c r="Y109" s="199"/>
      <c r="Z109" s="126" t="s">
        <v>6</v>
      </c>
      <c r="AA109" s="126" t="s">
        <v>6</v>
      </c>
      <c r="AB109" s="215"/>
      <c r="AC109" s="199"/>
      <c r="AD109" s="199" t="s">
        <v>881</v>
      </c>
      <c r="AE109" s="232" t="s">
        <v>133</v>
      </c>
      <c r="AF109" s="199"/>
      <c r="AG109" s="199"/>
      <c r="AH109" s="126" t="s">
        <v>6</v>
      </c>
      <c r="AI109" s="126" t="s">
        <v>6</v>
      </c>
      <c r="AJ109" s="215" t="e">
        <f>"Atende também ao agrupamento dos itens "&amp;#REF!&amp;" a "&amp;#REF!&amp;" para anunciador do nível 2 e alarme do nível 3."</f>
        <v>#REF!</v>
      </c>
      <c r="AK109" s="199"/>
      <c r="AL109" s="199" t="s">
        <v>881</v>
      </c>
      <c r="AM109" s="198" t="s">
        <v>1086</v>
      </c>
      <c r="AN109" s="199"/>
      <c r="AO109" s="199"/>
      <c r="AP109" s="199"/>
      <c r="AQ109" s="199"/>
      <c r="AR109" s="199"/>
      <c r="AS109" s="199"/>
      <c r="AT109" s="199"/>
      <c r="AU109" s="199"/>
      <c r="AV109" s="199"/>
      <c r="AW109" s="155">
        <f t="shared" ref="AW109:AW124" si="7">LEN(L109)</f>
        <v>25</v>
      </c>
    </row>
    <row r="110" spans="1:49" s="236" customFormat="1" ht="52.8">
      <c r="A110" s="40">
        <f t="shared" si="3"/>
        <v>104</v>
      </c>
      <c r="B110" s="199"/>
      <c r="C110" s="199"/>
      <c r="D110" s="199"/>
      <c r="E110" s="199"/>
      <c r="F110" s="199"/>
      <c r="G110" s="199"/>
      <c r="H110" s="199"/>
      <c r="I110" s="199" t="s">
        <v>868</v>
      </c>
      <c r="J110" s="412" t="s">
        <v>3418</v>
      </c>
      <c r="K110" s="232" t="s">
        <v>122</v>
      </c>
      <c r="L110" s="204" t="s">
        <v>1094</v>
      </c>
      <c r="M110" s="351" t="s">
        <v>4513</v>
      </c>
      <c r="N110" s="349" t="s">
        <v>873</v>
      </c>
      <c r="O110" s="126"/>
      <c r="P110" s="126"/>
      <c r="Q110" s="126" t="s">
        <v>6</v>
      </c>
      <c r="R110" s="126" t="s">
        <v>6</v>
      </c>
      <c r="S110" s="126" t="s">
        <v>6</v>
      </c>
      <c r="T110" s="40" t="s">
        <v>6</v>
      </c>
      <c r="U110" s="204" t="s">
        <v>1095</v>
      </c>
      <c r="V110" s="204"/>
      <c r="W110" s="232" t="s">
        <v>133</v>
      </c>
      <c r="X110" s="199"/>
      <c r="Y110" s="199"/>
      <c r="Z110" s="126" t="s">
        <v>6</v>
      </c>
      <c r="AA110" s="126" t="s">
        <v>6</v>
      </c>
      <c r="AB110" s="215"/>
      <c r="AC110" s="199"/>
      <c r="AD110" s="199" t="s">
        <v>881</v>
      </c>
      <c r="AE110" s="232" t="s">
        <v>133</v>
      </c>
      <c r="AF110" s="199"/>
      <c r="AG110" s="199"/>
      <c r="AH110" s="126" t="s">
        <v>6</v>
      </c>
      <c r="AI110" s="126" t="s">
        <v>6</v>
      </c>
      <c r="AJ110" s="215" t="str">
        <f>"Atende também ao agrupamento dos itens "&amp;A106&amp;" a "&amp;A108&amp;" para anunciador do nível 2 e alarme do nível 3."</f>
        <v>Atende também ao agrupamento dos itens 100 a 102 para anunciador do nível 2 e alarme do nível 3.</v>
      </c>
      <c r="AK110" s="199"/>
      <c r="AL110" s="199" t="s">
        <v>881</v>
      </c>
      <c r="AM110" s="198" t="s">
        <v>1086</v>
      </c>
      <c r="AN110" s="199"/>
      <c r="AO110" s="199"/>
      <c r="AP110" s="199"/>
      <c r="AQ110" s="199"/>
      <c r="AR110" s="199"/>
      <c r="AS110" s="199"/>
      <c r="AT110" s="199"/>
      <c r="AU110" s="199"/>
      <c r="AV110" s="199"/>
      <c r="AW110" s="155">
        <f t="shared" si="7"/>
        <v>30</v>
      </c>
    </row>
    <row r="111" spans="1:49" s="236" customFormat="1" ht="66">
      <c r="A111" s="40">
        <f t="shared" si="3"/>
        <v>105</v>
      </c>
      <c r="B111" s="199"/>
      <c r="C111" s="199"/>
      <c r="D111" s="199"/>
      <c r="E111" s="199"/>
      <c r="F111" s="199"/>
      <c r="G111" s="199"/>
      <c r="H111" s="199"/>
      <c r="I111" s="199" t="s">
        <v>868</v>
      </c>
      <c r="J111" s="412" t="s">
        <v>3419</v>
      </c>
      <c r="K111" s="232" t="s">
        <v>122</v>
      </c>
      <c r="L111" s="204" t="s">
        <v>1096</v>
      </c>
      <c r="M111" s="351" t="s">
        <v>4513</v>
      </c>
      <c r="N111" s="349" t="s">
        <v>873</v>
      </c>
      <c r="O111" s="126"/>
      <c r="P111" s="126"/>
      <c r="Q111" s="126" t="s">
        <v>6</v>
      </c>
      <c r="R111" s="126" t="s">
        <v>6</v>
      </c>
      <c r="S111" s="126" t="s">
        <v>6</v>
      </c>
      <c r="T111" s="40" t="s">
        <v>6</v>
      </c>
      <c r="U111" s="201" t="s">
        <v>1097</v>
      </c>
      <c r="V111" s="204"/>
      <c r="W111" s="232" t="s">
        <v>133</v>
      </c>
      <c r="X111" s="199"/>
      <c r="Y111" s="199"/>
      <c r="Z111" s="126" t="s">
        <v>6</v>
      </c>
      <c r="AA111" s="126" t="s">
        <v>6</v>
      </c>
      <c r="AB111" s="215"/>
      <c r="AC111" s="199"/>
      <c r="AD111" s="199" t="s">
        <v>881</v>
      </c>
      <c r="AE111" s="232" t="s">
        <v>133</v>
      </c>
      <c r="AF111" s="199"/>
      <c r="AG111" s="199"/>
      <c r="AH111" s="126" t="s">
        <v>6</v>
      </c>
      <c r="AI111" s="126" t="s">
        <v>6</v>
      </c>
      <c r="AJ111" s="215" t="e">
        <f>"Atende também ao agrupamento dos itens "&amp;#REF!&amp;" a "&amp;#REF!&amp;" para anunciador do nível 2 e alarme do nível 3."</f>
        <v>#REF!</v>
      </c>
      <c r="AK111" s="199"/>
      <c r="AL111" s="199" t="s">
        <v>881</v>
      </c>
      <c r="AM111" s="198" t="s">
        <v>1086</v>
      </c>
      <c r="AN111" s="199"/>
      <c r="AO111" s="199"/>
      <c r="AP111" s="199"/>
      <c r="AQ111" s="199"/>
      <c r="AR111" s="199"/>
      <c r="AS111" s="199"/>
      <c r="AT111" s="199"/>
      <c r="AU111" s="199"/>
      <c r="AV111" s="199"/>
      <c r="AW111" s="155">
        <f t="shared" si="7"/>
        <v>37</v>
      </c>
    </row>
    <row r="112" spans="1:49" s="236" customFormat="1" ht="66">
      <c r="A112" s="40">
        <f t="shared" si="3"/>
        <v>106</v>
      </c>
      <c r="B112" s="199"/>
      <c r="C112" s="199"/>
      <c r="D112" s="199"/>
      <c r="E112" s="199"/>
      <c r="F112" s="199"/>
      <c r="G112" s="199"/>
      <c r="H112" s="199"/>
      <c r="I112" s="199" t="s">
        <v>868</v>
      </c>
      <c r="J112" s="412" t="s">
        <v>3420</v>
      </c>
      <c r="K112" s="232" t="s">
        <v>122</v>
      </c>
      <c r="L112" s="204" t="s">
        <v>1098</v>
      </c>
      <c r="M112" s="351" t="s">
        <v>4513</v>
      </c>
      <c r="N112" s="349" t="s">
        <v>873</v>
      </c>
      <c r="O112" s="126"/>
      <c r="P112" s="126"/>
      <c r="Q112" s="126" t="s">
        <v>6</v>
      </c>
      <c r="R112" s="126" t="s">
        <v>6</v>
      </c>
      <c r="S112" s="126" t="s">
        <v>6</v>
      </c>
      <c r="T112" s="40" t="s">
        <v>6</v>
      </c>
      <c r="U112" s="201" t="s">
        <v>1097</v>
      </c>
      <c r="V112" s="204"/>
      <c r="W112" s="232" t="s">
        <v>133</v>
      </c>
      <c r="X112" s="199"/>
      <c r="Y112" s="199"/>
      <c r="Z112" s="126" t="s">
        <v>6</v>
      </c>
      <c r="AA112" s="126" t="s">
        <v>6</v>
      </c>
      <c r="AB112" s="215"/>
      <c r="AC112" s="199"/>
      <c r="AD112" s="199" t="s">
        <v>881</v>
      </c>
      <c r="AE112" s="232" t="s">
        <v>133</v>
      </c>
      <c r="AF112" s="199"/>
      <c r="AG112" s="199"/>
      <c r="AH112" s="126" t="s">
        <v>6</v>
      </c>
      <c r="AI112" s="126" t="s">
        <v>6</v>
      </c>
      <c r="AJ112" s="215" t="e">
        <f>"Atende também ao agrupamento dos itens "&amp;#REF!&amp;" a "&amp;#REF!&amp;" para anunciador do nível 2 e alarme do nível 3."</f>
        <v>#REF!</v>
      </c>
      <c r="AK112" s="199"/>
      <c r="AL112" s="199" t="s">
        <v>881</v>
      </c>
      <c r="AM112" s="198" t="s">
        <v>1086</v>
      </c>
      <c r="AN112" s="199"/>
      <c r="AO112" s="199"/>
      <c r="AP112" s="199"/>
      <c r="AQ112" s="199"/>
      <c r="AR112" s="199"/>
      <c r="AS112" s="199"/>
      <c r="AT112" s="199"/>
      <c r="AU112" s="199"/>
      <c r="AV112" s="199"/>
      <c r="AW112" s="155">
        <f t="shared" si="7"/>
        <v>37</v>
      </c>
    </row>
    <row r="113" spans="1:49" s="236" customFormat="1" ht="66">
      <c r="A113" s="40">
        <f t="shared" si="3"/>
        <v>107</v>
      </c>
      <c r="B113" s="199"/>
      <c r="C113" s="199"/>
      <c r="D113" s="199"/>
      <c r="E113" s="199"/>
      <c r="F113" s="199"/>
      <c r="G113" s="199"/>
      <c r="H113" s="199"/>
      <c r="I113" s="199" t="s">
        <v>868</v>
      </c>
      <c r="J113" s="412" t="s">
        <v>3421</v>
      </c>
      <c r="K113" s="232" t="s">
        <v>122</v>
      </c>
      <c r="L113" s="204" t="s">
        <v>1099</v>
      </c>
      <c r="M113" s="351" t="s">
        <v>4513</v>
      </c>
      <c r="N113" s="349" t="s">
        <v>873</v>
      </c>
      <c r="O113" s="126"/>
      <c r="P113" s="126"/>
      <c r="Q113" s="126" t="s">
        <v>6</v>
      </c>
      <c r="R113" s="126" t="s">
        <v>6</v>
      </c>
      <c r="S113" s="126" t="s">
        <v>6</v>
      </c>
      <c r="T113" s="40" t="s">
        <v>6</v>
      </c>
      <c r="U113" s="201" t="s">
        <v>1097</v>
      </c>
      <c r="V113" s="204"/>
      <c r="W113" s="232" t="s">
        <v>133</v>
      </c>
      <c r="X113" s="199"/>
      <c r="Y113" s="199"/>
      <c r="Z113" s="126" t="s">
        <v>6</v>
      </c>
      <c r="AA113" s="126" t="s">
        <v>6</v>
      </c>
      <c r="AB113" s="215"/>
      <c r="AC113" s="199"/>
      <c r="AD113" s="199" t="s">
        <v>881</v>
      </c>
      <c r="AE113" s="232" t="s">
        <v>133</v>
      </c>
      <c r="AF113" s="199"/>
      <c r="AG113" s="199"/>
      <c r="AH113" s="126" t="s">
        <v>6</v>
      </c>
      <c r="AI113" s="126" t="s">
        <v>6</v>
      </c>
      <c r="AJ113" s="215" t="str">
        <f>"Atende também ao agrupamento dos itens "&amp;A107&amp;" a "&amp;A109&amp;" para anunciador do nível 2 e alarme do nível 3."</f>
        <v>Atende também ao agrupamento dos itens 101 a 103 para anunciador do nível 2 e alarme do nível 3.</v>
      </c>
      <c r="AK113" s="199"/>
      <c r="AL113" s="199" t="s">
        <v>881</v>
      </c>
      <c r="AM113" s="198" t="s">
        <v>1086</v>
      </c>
      <c r="AN113" s="199"/>
      <c r="AO113" s="199"/>
      <c r="AP113" s="199"/>
      <c r="AQ113" s="199"/>
      <c r="AR113" s="199"/>
      <c r="AS113" s="199"/>
      <c r="AT113" s="199"/>
      <c r="AU113" s="199"/>
      <c r="AV113" s="199"/>
      <c r="AW113" s="155">
        <f t="shared" si="7"/>
        <v>37</v>
      </c>
    </row>
    <row r="114" spans="1:49" s="236" customFormat="1" ht="15">
      <c r="A114" s="40">
        <f t="shared" si="3"/>
        <v>108</v>
      </c>
      <c r="B114" s="199"/>
      <c r="C114" s="199"/>
      <c r="D114" s="199"/>
      <c r="E114" s="199"/>
      <c r="F114" s="199"/>
      <c r="G114" s="199"/>
      <c r="H114" s="199"/>
      <c r="I114" s="199"/>
      <c r="J114" s="412" t="s">
        <v>3461</v>
      </c>
      <c r="K114" s="232" t="s">
        <v>117</v>
      </c>
      <c r="L114" s="204" t="s">
        <v>1101</v>
      </c>
      <c r="M114" s="351"/>
      <c r="N114" s="126" t="s">
        <v>504</v>
      </c>
      <c r="O114" s="126"/>
      <c r="P114" s="126"/>
      <c r="Q114" s="126" t="s">
        <v>6</v>
      </c>
      <c r="R114" s="126" t="s">
        <v>6</v>
      </c>
      <c r="S114" s="126" t="s">
        <v>6</v>
      </c>
      <c r="T114" s="40" t="s">
        <v>6</v>
      </c>
      <c r="U114" s="204" t="s">
        <v>1049</v>
      </c>
      <c r="V114" s="412"/>
      <c r="W114" s="232" t="s">
        <v>133</v>
      </c>
      <c r="X114" s="199"/>
      <c r="Y114" s="199"/>
      <c r="Z114" s="126" t="s">
        <v>6</v>
      </c>
      <c r="AA114" s="126" t="s">
        <v>6</v>
      </c>
      <c r="AB114" s="198"/>
      <c r="AC114" s="199"/>
      <c r="AD114" s="199"/>
      <c r="AE114" s="232" t="s">
        <v>133</v>
      </c>
      <c r="AF114" s="199"/>
      <c r="AG114" s="199"/>
      <c r="AH114" s="126" t="s">
        <v>6</v>
      </c>
      <c r="AI114" s="126" t="s">
        <v>6</v>
      </c>
      <c r="AJ114" s="198"/>
      <c r="AK114" s="199"/>
      <c r="AL114" s="199"/>
      <c r="AM114" s="199"/>
      <c r="AN114" s="199"/>
      <c r="AO114" s="199"/>
      <c r="AP114" s="199"/>
      <c r="AQ114" s="199"/>
      <c r="AR114" s="199"/>
      <c r="AS114" s="199"/>
      <c r="AT114" s="199"/>
      <c r="AU114" s="199"/>
      <c r="AV114" s="199"/>
      <c r="AW114" s="155">
        <f t="shared" si="7"/>
        <v>36</v>
      </c>
    </row>
    <row r="115" spans="1:49" s="236" customFormat="1" ht="39.6">
      <c r="A115" s="40">
        <f t="shared" si="3"/>
        <v>109</v>
      </c>
      <c r="B115" s="199"/>
      <c r="C115" s="199"/>
      <c r="D115" s="199"/>
      <c r="E115" s="199"/>
      <c r="F115" s="199"/>
      <c r="G115" s="199"/>
      <c r="H115" s="199"/>
      <c r="I115" s="199"/>
      <c r="J115" s="412" t="s">
        <v>3462</v>
      </c>
      <c r="K115" s="232" t="s">
        <v>117</v>
      </c>
      <c r="L115" s="204" t="s">
        <v>1102</v>
      </c>
      <c r="M115" s="351"/>
      <c r="N115" s="126" t="s">
        <v>504</v>
      </c>
      <c r="O115" s="126"/>
      <c r="P115" s="126"/>
      <c r="Q115" s="40" t="s">
        <v>6</v>
      </c>
      <c r="R115" s="126" t="s">
        <v>6</v>
      </c>
      <c r="S115" s="126" t="s">
        <v>6</v>
      </c>
      <c r="T115" s="40" t="s">
        <v>6</v>
      </c>
      <c r="U115" s="218" t="s">
        <v>1103</v>
      </c>
      <c r="V115" s="412"/>
      <c r="W115" s="232" t="s">
        <v>133</v>
      </c>
      <c r="X115" s="199"/>
      <c r="Y115" s="199"/>
      <c r="Z115" s="126" t="s">
        <v>6</v>
      </c>
      <c r="AA115" s="126" t="s">
        <v>6</v>
      </c>
      <c r="AB115" s="198"/>
      <c r="AC115" s="199"/>
      <c r="AD115" s="199"/>
      <c r="AE115" s="232" t="s">
        <v>133</v>
      </c>
      <c r="AF115" s="199"/>
      <c r="AG115" s="199"/>
      <c r="AH115" s="126" t="s">
        <v>6</v>
      </c>
      <c r="AI115" s="126" t="s">
        <v>6</v>
      </c>
      <c r="AJ115" s="198"/>
      <c r="AK115" s="199"/>
      <c r="AL115" s="199"/>
      <c r="AM115" s="199"/>
      <c r="AN115" s="199"/>
      <c r="AO115" s="199"/>
      <c r="AP115" s="199"/>
      <c r="AQ115" s="199"/>
      <c r="AR115" s="199"/>
      <c r="AS115" s="199"/>
      <c r="AT115" s="199"/>
      <c r="AU115" s="199"/>
      <c r="AV115" s="199"/>
      <c r="AW115" s="155">
        <f t="shared" si="7"/>
        <v>41</v>
      </c>
    </row>
    <row r="116" spans="1:49" s="236" customFormat="1" ht="39.6">
      <c r="A116" s="40">
        <f t="shared" si="3"/>
        <v>110</v>
      </c>
      <c r="B116" s="199"/>
      <c r="C116" s="199"/>
      <c r="D116" s="199"/>
      <c r="E116" s="199"/>
      <c r="F116" s="199"/>
      <c r="G116" s="199"/>
      <c r="H116" s="199"/>
      <c r="I116" s="199"/>
      <c r="J116" s="412" t="s">
        <v>3463</v>
      </c>
      <c r="K116" s="232" t="s">
        <v>117</v>
      </c>
      <c r="L116" s="204" t="s">
        <v>1104</v>
      </c>
      <c r="M116" s="351"/>
      <c r="N116" s="126" t="s">
        <v>504</v>
      </c>
      <c r="O116" s="126"/>
      <c r="P116" s="126"/>
      <c r="Q116" s="40" t="s">
        <v>6</v>
      </c>
      <c r="R116" s="126" t="s">
        <v>6</v>
      </c>
      <c r="S116" s="126" t="s">
        <v>6</v>
      </c>
      <c r="T116" s="40" t="s">
        <v>6</v>
      </c>
      <c r="U116" s="218" t="s">
        <v>1103</v>
      </c>
      <c r="V116" s="412"/>
      <c r="W116" s="232" t="s">
        <v>133</v>
      </c>
      <c r="X116" s="199"/>
      <c r="Y116" s="199"/>
      <c r="Z116" s="126" t="s">
        <v>6</v>
      </c>
      <c r="AA116" s="126" t="s">
        <v>6</v>
      </c>
      <c r="AB116" s="198"/>
      <c r="AC116" s="199"/>
      <c r="AD116" s="199"/>
      <c r="AE116" s="232" t="s">
        <v>133</v>
      </c>
      <c r="AF116" s="199"/>
      <c r="AG116" s="199"/>
      <c r="AH116" s="126" t="s">
        <v>6</v>
      </c>
      <c r="AI116" s="126" t="s">
        <v>6</v>
      </c>
      <c r="AJ116" s="198"/>
      <c r="AK116" s="199"/>
      <c r="AL116" s="199"/>
      <c r="AM116" s="199"/>
      <c r="AN116" s="199"/>
      <c r="AO116" s="199"/>
      <c r="AP116" s="199"/>
      <c r="AQ116" s="199"/>
      <c r="AR116" s="199"/>
      <c r="AS116" s="199"/>
      <c r="AT116" s="199"/>
      <c r="AU116" s="199"/>
      <c r="AV116" s="199"/>
      <c r="AW116" s="155">
        <f t="shared" si="7"/>
        <v>41</v>
      </c>
    </row>
    <row r="117" spans="1:49" s="236" customFormat="1" ht="39.6">
      <c r="A117" s="40">
        <f t="shared" si="3"/>
        <v>111</v>
      </c>
      <c r="B117" s="199"/>
      <c r="C117" s="199"/>
      <c r="D117" s="199"/>
      <c r="E117" s="199"/>
      <c r="F117" s="199"/>
      <c r="G117" s="199"/>
      <c r="H117" s="199"/>
      <c r="I117" s="199"/>
      <c r="J117" s="412" t="s">
        <v>3464</v>
      </c>
      <c r="K117" s="232" t="s">
        <v>117</v>
      </c>
      <c r="L117" s="204" t="s">
        <v>1105</v>
      </c>
      <c r="M117" s="351"/>
      <c r="N117" s="126" t="s">
        <v>504</v>
      </c>
      <c r="O117" s="126"/>
      <c r="P117" s="126"/>
      <c r="Q117" s="40" t="s">
        <v>6</v>
      </c>
      <c r="R117" s="126" t="s">
        <v>6</v>
      </c>
      <c r="S117" s="126" t="s">
        <v>6</v>
      </c>
      <c r="T117" s="40" t="s">
        <v>6</v>
      </c>
      <c r="U117" s="218" t="s">
        <v>1103</v>
      </c>
      <c r="V117" s="412"/>
      <c r="W117" s="232" t="s">
        <v>133</v>
      </c>
      <c r="X117" s="199"/>
      <c r="Y117" s="199"/>
      <c r="Z117" s="126" t="s">
        <v>6</v>
      </c>
      <c r="AA117" s="126" t="s">
        <v>6</v>
      </c>
      <c r="AB117" s="198"/>
      <c r="AC117" s="199"/>
      <c r="AD117" s="199"/>
      <c r="AE117" s="232" t="s">
        <v>133</v>
      </c>
      <c r="AF117" s="199"/>
      <c r="AG117" s="199"/>
      <c r="AH117" s="126" t="s">
        <v>6</v>
      </c>
      <c r="AI117" s="126" t="s">
        <v>6</v>
      </c>
      <c r="AJ117" s="198"/>
      <c r="AK117" s="199"/>
      <c r="AL117" s="199"/>
      <c r="AM117" s="199"/>
      <c r="AN117" s="199"/>
      <c r="AO117" s="199"/>
      <c r="AP117" s="199"/>
      <c r="AQ117" s="199"/>
      <c r="AR117" s="199"/>
      <c r="AS117" s="199"/>
      <c r="AT117" s="199"/>
      <c r="AU117" s="199"/>
      <c r="AV117" s="199"/>
      <c r="AW117" s="155">
        <f t="shared" si="7"/>
        <v>41</v>
      </c>
    </row>
    <row r="118" spans="1:49" s="246" customFormat="1" ht="15">
      <c r="A118" s="40">
        <f t="shared" si="3"/>
        <v>112</v>
      </c>
      <c r="B118" s="198"/>
      <c r="C118" s="198"/>
      <c r="D118" s="198"/>
      <c r="E118" s="198"/>
      <c r="F118" s="198"/>
      <c r="G118" s="198"/>
      <c r="H118" s="198"/>
      <c r="I118" s="198"/>
      <c r="J118" s="232" t="s">
        <v>3465</v>
      </c>
      <c r="K118" s="204" t="s">
        <v>117</v>
      </c>
      <c r="L118" s="232" t="s">
        <v>1106</v>
      </c>
      <c r="M118" s="351"/>
      <c r="N118" s="126" t="s">
        <v>504</v>
      </c>
      <c r="O118" s="416"/>
      <c r="P118" s="416"/>
      <c r="Q118" s="416" t="s">
        <v>6</v>
      </c>
      <c r="R118" s="416" t="s">
        <v>6</v>
      </c>
      <c r="S118" s="416" t="s">
        <v>6</v>
      </c>
      <c r="T118" s="40" t="s">
        <v>6</v>
      </c>
      <c r="U118" s="215" t="s">
        <v>1081</v>
      </c>
      <c r="V118" s="412"/>
      <c r="W118" s="232" t="s">
        <v>133</v>
      </c>
      <c r="X118" s="198"/>
      <c r="Y118" s="198"/>
      <c r="Z118" s="40" t="s">
        <v>6</v>
      </c>
      <c r="AA118" s="40" t="s">
        <v>6</v>
      </c>
      <c r="AB118" s="198"/>
      <c r="AC118" s="198"/>
      <c r="AD118" s="198"/>
      <c r="AE118" s="232" t="s">
        <v>133</v>
      </c>
      <c r="AF118" s="198"/>
      <c r="AG118" s="198"/>
      <c r="AH118" s="40" t="s">
        <v>6</v>
      </c>
      <c r="AI118" s="40" t="s">
        <v>6</v>
      </c>
      <c r="AJ118" s="198"/>
      <c r="AK118" s="198"/>
      <c r="AL118" s="198"/>
      <c r="AM118" s="198"/>
      <c r="AN118" s="198"/>
      <c r="AO118" s="198"/>
      <c r="AP118" s="198"/>
      <c r="AQ118" s="198"/>
      <c r="AR118" s="198"/>
      <c r="AS118" s="198"/>
      <c r="AT118" s="198"/>
      <c r="AU118" s="198"/>
      <c r="AV118" s="198"/>
      <c r="AW118" s="155">
        <f t="shared" si="7"/>
        <v>21</v>
      </c>
    </row>
    <row r="119" spans="1:49" s="246" customFormat="1" ht="39.6">
      <c r="A119" s="40">
        <f t="shared" si="3"/>
        <v>113</v>
      </c>
      <c r="B119" s="198"/>
      <c r="C119" s="198"/>
      <c r="D119" s="198"/>
      <c r="E119" s="198"/>
      <c r="F119" s="198"/>
      <c r="G119" s="198"/>
      <c r="H119" s="198"/>
      <c r="I119" s="198"/>
      <c r="J119" s="232" t="s">
        <v>3466</v>
      </c>
      <c r="K119" s="204" t="s">
        <v>117</v>
      </c>
      <c r="L119" s="232" t="s">
        <v>1107</v>
      </c>
      <c r="M119" s="351"/>
      <c r="N119" s="126" t="s">
        <v>504</v>
      </c>
      <c r="O119" s="416"/>
      <c r="P119" s="416"/>
      <c r="Q119" s="416" t="s">
        <v>6</v>
      </c>
      <c r="R119" s="416" t="s">
        <v>6</v>
      </c>
      <c r="S119" s="416" t="s">
        <v>6</v>
      </c>
      <c r="T119" s="40" t="s">
        <v>6</v>
      </c>
      <c r="U119" s="218" t="s">
        <v>1051</v>
      </c>
      <c r="V119" s="412"/>
      <c r="W119" s="232" t="s">
        <v>133</v>
      </c>
      <c r="X119" s="198"/>
      <c r="Y119" s="198"/>
      <c r="Z119" s="40"/>
      <c r="AA119" s="40" t="s">
        <v>6</v>
      </c>
      <c r="AB119" s="198"/>
      <c r="AC119" s="198"/>
      <c r="AD119" s="198"/>
      <c r="AE119" s="232" t="s">
        <v>133</v>
      </c>
      <c r="AF119" s="198"/>
      <c r="AG119" s="198"/>
      <c r="AH119" s="40"/>
      <c r="AI119" s="40" t="s">
        <v>6</v>
      </c>
      <c r="AJ119" s="198"/>
      <c r="AK119" s="198"/>
      <c r="AL119" s="198"/>
      <c r="AM119" s="198"/>
      <c r="AN119" s="198"/>
      <c r="AO119" s="198"/>
      <c r="AP119" s="198"/>
      <c r="AQ119" s="198"/>
      <c r="AR119" s="198"/>
      <c r="AS119" s="198"/>
      <c r="AT119" s="198"/>
      <c r="AU119" s="198"/>
      <c r="AV119" s="198"/>
      <c r="AW119" s="155">
        <f t="shared" si="7"/>
        <v>28</v>
      </c>
    </row>
    <row r="120" spans="1:49" s="246" customFormat="1" ht="39.6">
      <c r="A120" s="40">
        <f t="shared" si="3"/>
        <v>114</v>
      </c>
      <c r="B120" s="198"/>
      <c r="C120" s="198"/>
      <c r="D120" s="198"/>
      <c r="E120" s="198"/>
      <c r="F120" s="198"/>
      <c r="G120" s="198"/>
      <c r="H120" s="198"/>
      <c r="I120" s="198"/>
      <c r="J120" s="232" t="s">
        <v>3467</v>
      </c>
      <c r="K120" s="204" t="s">
        <v>117</v>
      </c>
      <c r="L120" s="232" t="s">
        <v>1108</v>
      </c>
      <c r="M120" s="351"/>
      <c r="N120" s="126" t="s">
        <v>504</v>
      </c>
      <c r="O120" s="416"/>
      <c r="P120" s="416"/>
      <c r="Q120" s="416" t="s">
        <v>6</v>
      </c>
      <c r="R120" s="416" t="s">
        <v>6</v>
      </c>
      <c r="S120" s="416" t="s">
        <v>6</v>
      </c>
      <c r="T120" s="40" t="s">
        <v>6</v>
      </c>
      <c r="U120" s="218" t="s">
        <v>1051</v>
      </c>
      <c r="V120" s="412"/>
      <c r="W120" s="232" t="s">
        <v>133</v>
      </c>
      <c r="X120" s="198"/>
      <c r="Y120" s="198"/>
      <c r="Z120" s="40"/>
      <c r="AA120" s="40" t="s">
        <v>6</v>
      </c>
      <c r="AB120" s="198"/>
      <c r="AC120" s="198"/>
      <c r="AD120" s="198"/>
      <c r="AE120" s="232" t="s">
        <v>133</v>
      </c>
      <c r="AF120" s="198"/>
      <c r="AG120" s="198"/>
      <c r="AH120" s="40"/>
      <c r="AI120" s="40" t="s">
        <v>6</v>
      </c>
      <c r="AJ120" s="198"/>
      <c r="AK120" s="198"/>
      <c r="AL120" s="198"/>
      <c r="AM120" s="198"/>
      <c r="AN120" s="198"/>
      <c r="AO120" s="198"/>
      <c r="AP120" s="198"/>
      <c r="AQ120" s="198"/>
      <c r="AR120" s="198"/>
      <c r="AS120" s="198"/>
      <c r="AT120" s="198"/>
      <c r="AU120" s="198"/>
      <c r="AV120" s="198"/>
      <c r="AW120" s="155">
        <f t="shared" si="7"/>
        <v>28</v>
      </c>
    </row>
    <row r="121" spans="1:49" s="246" customFormat="1" ht="39.6">
      <c r="A121" s="40">
        <f t="shared" si="3"/>
        <v>115</v>
      </c>
      <c r="B121" s="198"/>
      <c r="C121" s="198"/>
      <c r="D121" s="198"/>
      <c r="E121" s="198"/>
      <c r="F121" s="198"/>
      <c r="G121" s="198"/>
      <c r="H121" s="198"/>
      <c r="I121" s="198"/>
      <c r="J121" s="232" t="s">
        <v>3468</v>
      </c>
      <c r="K121" s="204" t="s">
        <v>117</v>
      </c>
      <c r="L121" s="232" t="s">
        <v>1109</v>
      </c>
      <c r="M121" s="351"/>
      <c r="N121" s="126" t="s">
        <v>504</v>
      </c>
      <c r="O121" s="416"/>
      <c r="P121" s="416"/>
      <c r="Q121" s="416" t="s">
        <v>6</v>
      </c>
      <c r="R121" s="416" t="s">
        <v>6</v>
      </c>
      <c r="S121" s="416" t="s">
        <v>6</v>
      </c>
      <c r="T121" s="40" t="s">
        <v>6</v>
      </c>
      <c r="U121" s="218" t="s">
        <v>1051</v>
      </c>
      <c r="V121" s="412"/>
      <c r="W121" s="232" t="s">
        <v>133</v>
      </c>
      <c r="X121" s="198"/>
      <c r="Y121" s="198"/>
      <c r="Z121" s="40"/>
      <c r="AA121" s="40" t="s">
        <v>6</v>
      </c>
      <c r="AB121" s="198"/>
      <c r="AC121" s="198"/>
      <c r="AD121" s="198"/>
      <c r="AE121" s="232" t="s">
        <v>133</v>
      </c>
      <c r="AF121" s="198"/>
      <c r="AG121" s="198"/>
      <c r="AH121" s="40"/>
      <c r="AI121" s="40" t="s">
        <v>6</v>
      </c>
      <c r="AJ121" s="198"/>
      <c r="AK121" s="198"/>
      <c r="AL121" s="198"/>
      <c r="AM121" s="198"/>
      <c r="AN121" s="198"/>
      <c r="AO121" s="198"/>
      <c r="AP121" s="198"/>
      <c r="AQ121" s="198"/>
      <c r="AR121" s="198"/>
      <c r="AS121" s="198"/>
      <c r="AT121" s="198"/>
      <c r="AU121" s="198"/>
      <c r="AV121" s="198"/>
      <c r="AW121" s="155">
        <f t="shared" si="7"/>
        <v>28</v>
      </c>
    </row>
    <row r="122" spans="1:49" s="236" customFormat="1" ht="15">
      <c r="A122" s="40">
        <f t="shared" si="3"/>
        <v>116</v>
      </c>
      <c r="B122" s="199"/>
      <c r="C122" s="199"/>
      <c r="D122" s="199"/>
      <c r="E122" s="199"/>
      <c r="F122" s="199"/>
      <c r="G122" s="199"/>
      <c r="H122" s="199"/>
      <c r="I122" s="199"/>
      <c r="J122" s="412" t="s">
        <v>3469</v>
      </c>
      <c r="K122" s="232" t="s">
        <v>117</v>
      </c>
      <c r="L122" s="204" t="s">
        <v>1110</v>
      </c>
      <c r="M122" s="351" t="s">
        <v>4540</v>
      </c>
      <c r="N122" s="126" t="s">
        <v>504</v>
      </c>
      <c r="O122" s="126"/>
      <c r="P122" s="126"/>
      <c r="Q122" s="126" t="s">
        <v>6</v>
      </c>
      <c r="R122" s="126" t="s">
        <v>6</v>
      </c>
      <c r="S122" s="126" t="s">
        <v>6</v>
      </c>
      <c r="T122" s="40" t="s">
        <v>6</v>
      </c>
      <c r="U122" s="204" t="s">
        <v>1049</v>
      </c>
      <c r="V122" s="210"/>
      <c r="W122" s="232" t="s">
        <v>133</v>
      </c>
      <c r="X122" s="199"/>
      <c r="Y122" s="199"/>
      <c r="Z122" s="126" t="s">
        <v>6</v>
      </c>
      <c r="AA122" s="126" t="s">
        <v>6</v>
      </c>
      <c r="AB122" s="198"/>
      <c r="AC122" s="199"/>
      <c r="AD122" s="199"/>
      <c r="AE122" s="232" t="s">
        <v>133</v>
      </c>
      <c r="AF122" s="199"/>
      <c r="AG122" s="199"/>
      <c r="AH122" s="126" t="s">
        <v>6</v>
      </c>
      <c r="AI122" s="126" t="s">
        <v>6</v>
      </c>
      <c r="AJ122" s="198"/>
      <c r="AK122" s="199"/>
      <c r="AL122" s="199"/>
      <c r="AM122" s="199"/>
      <c r="AN122" s="199"/>
      <c r="AO122" s="199"/>
      <c r="AP122" s="199"/>
      <c r="AQ122" s="199"/>
      <c r="AR122" s="199"/>
      <c r="AS122" s="199"/>
      <c r="AT122" s="199"/>
      <c r="AU122" s="199"/>
      <c r="AV122" s="199"/>
      <c r="AW122" s="155">
        <f t="shared" si="7"/>
        <v>34</v>
      </c>
    </row>
    <row r="123" spans="1:49" s="236" customFormat="1" ht="39.6">
      <c r="A123" s="40">
        <f t="shared" si="3"/>
        <v>117</v>
      </c>
      <c r="B123" s="199"/>
      <c r="C123" s="199"/>
      <c r="D123" s="199"/>
      <c r="E123" s="199"/>
      <c r="F123" s="199"/>
      <c r="G123" s="199"/>
      <c r="H123" s="199"/>
      <c r="I123" s="199"/>
      <c r="J123" s="412" t="s">
        <v>3470</v>
      </c>
      <c r="K123" s="232" t="s">
        <v>117</v>
      </c>
      <c r="L123" s="204" t="s">
        <v>1111</v>
      </c>
      <c r="M123" s="351" t="s">
        <v>4540</v>
      </c>
      <c r="N123" s="126" t="s">
        <v>504</v>
      </c>
      <c r="O123" s="126"/>
      <c r="P123" s="126"/>
      <c r="Q123" s="40" t="s">
        <v>6</v>
      </c>
      <c r="R123" s="126" t="s">
        <v>6</v>
      </c>
      <c r="S123" s="126" t="s">
        <v>6</v>
      </c>
      <c r="T123" s="40" t="s">
        <v>6</v>
      </c>
      <c r="U123" s="218" t="s">
        <v>1051</v>
      </c>
      <c r="V123" s="210"/>
      <c r="W123" s="232" t="s">
        <v>133</v>
      </c>
      <c r="X123" s="199"/>
      <c r="Y123" s="199"/>
      <c r="Z123" s="126"/>
      <c r="AA123" s="126" t="s">
        <v>6</v>
      </c>
      <c r="AB123" s="198"/>
      <c r="AC123" s="199"/>
      <c r="AD123" s="199"/>
      <c r="AE123" s="232" t="s">
        <v>133</v>
      </c>
      <c r="AF123" s="199"/>
      <c r="AG123" s="199"/>
      <c r="AH123" s="126"/>
      <c r="AI123" s="126" t="s">
        <v>6</v>
      </c>
      <c r="AJ123" s="198"/>
      <c r="AK123" s="199"/>
      <c r="AL123" s="199"/>
      <c r="AM123" s="199"/>
      <c r="AN123" s="199"/>
      <c r="AO123" s="199"/>
      <c r="AP123" s="199"/>
      <c r="AQ123" s="199"/>
      <c r="AR123" s="199"/>
      <c r="AS123" s="199"/>
      <c r="AT123" s="199"/>
      <c r="AU123" s="199"/>
      <c r="AV123" s="199"/>
      <c r="AW123" s="155">
        <f t="shared" si="7"/>
        <v>41</v>
      </c>
    </row>
    <row r="124" spans="1:49" s="236" customFormat="1" ht="39.6">
      <c r="A124" s="40">
        <f t="shared" si="3"/>
        <v>118</v>
      </c>
      <c r="B124" s="199"/>
      <c r="C124" s="199"/>
      <c r="D124" s="199"/>
      <c r="E124" s="199"/>
      <c r="F124" s="199"/>
      <c r="G124" s="199"/>
      <c r="H124" s="199"/>
      <c r="I124" s="199"/>
      <c r="J124" s="412" t="s">
        <v>3471</v>
      </c>
      <c r="K124" s="232" t="s">
        <v>117</v>
      </c>
      <c r="L124" s="204" t="s">
        <v>1112</v>
      </c>
      <c r="M124" s="351" t="s">
        <v>4540</v>
      </c>
      <c r="N124" s="126" t="s">
        <v>504</v>
      </c>
      <c r="O124" s="126"/>
      <c r="P124" s="126"/>
      <c r="Q124" s="40" t="s">
        <v>6</v>
      </c>
      <c r="R124" s="126" t="s">
        <v>6</v>
      </c>
      <c r="S124" s="126" t="s">
        <v>6</v>
      </c>
      <c r="T124" s="40" t="s">
        <v>6</v>
      </c>
      <c r="U124" s="218" t="s">
        <v>1051</v>
      </c>
      <c r="V124" s="210"/>
      <c r="W124" s="232" t="s">
        <v>133</v>
      </c>
      <c r="X124" s="199"/>
      <c r="Y124" s="199"/>
      <c r="Z124" s="126"/>
      <c r="AA124" s="126" t="s">
        <v>6</v>
      </c>
      <c r="AB124" s="198"/>
      <c r="AC124" s="199"/>
      <c r="AD124" s="199"/>
      <c r="AE124" s="232" t="s">
        <v>133</v>
      </c>
      <c r="AF124" s="199"/>
      <c r="AG124" s="199"/>
      <c r="AH124" s="126"/>
      <c r="AI124" s="126" t="s">
        <v>6</v>
      </c>
      <c r="AJ124" s="198"/>
      <c r="AK124" s="199"/>
      <c r="AL124" s="199"/>
      <c r="AM124" s="199"/>
      <c r="AN124" s="199"/>
      <c r="AO124" s="199"/>
      <c r="AP124" s="199"/>
      <c r="AQ124" s="199"/>
      <c r="AR124" s="199"/>
      <c r="AS124" s="199"/>
      <c r="AT124" s="199"/>
      <c r="AU124" s="199"/>
      <c r="AV124" s="199"/>
      <c r="AW124" s="155">
        <f t="shared" si="7"/>
        <v>41</v>
      </c>
    </row>
    <row r="125" spans="1:49" s="236" customFormat="1" ht="39.6">
      <c r="A125" s="40">
        <f t="shared" si="3"/>
        <v>119</v>
      </c>
      <c r="B125" s="199"/>
      <c r="C125" s="199"/>
      <c r="D125" s="199"/>
      <c r="E125" s="199"/>
      <c r="F125" s="199"/>
      <c r="G125" s="199"/>
      <c r="H125" s="199"/>
      <c r="I125" s="199"/>
      <c r="J125" s="412" t="s">
        <v>3472</v>
      </c>
      <c r="K125" s="232" t="s">
        <v>117</v>
      </c>
      <c r="L125" s="204" t="s">
        <v>1113</v>
      </c>
      <c r="M125" s="351" t="s">
        <v>4540</v>
      </c>
      <c r="N125" s="126" t="s">
        <v>504</v>
      </c>
      <c r="O125" s="126"/>
      <c r="P125" s="126"/>
      <c r="Q125" s="40" t="s">
        <v>6</v>
      </c>
      <c r="R125" s="126" t="s">
        <v>6</v>
      </c>
      <c r="S125" s="126" t="s">
        <v>6</v>
      </c>
      <c r="T125" s="40" t="s">
        <v>6</v>
      </c>
      <c r="U125" s="218" t="s">
        <v>1051</v>
      </c>
      <c r="V125" s="210"/>
      <c r="W125" s="232" t="s">
        <v>133</v>
      </c>
      <c r="X125" s="199"/>
      <c r="Y125" s="199"/>
      <c r="Z125" s="126"/>
      <c r="AA125" s="126" t="s">
        <v>6</v>
      </c>
      <c r="AB125" s="198"/>
      <c r="AC125" s="199"/>
      <c r="AD125" s="199"/>
      <c r="AE125" s="232" t="s">
        <v>133</v>
      </c>
      <c r="AF125" s="199"/>
      <c r="AG125" s="199"/>
      <c r="AH125" s="126"/>
      <c r="AI125" s="126" t="s">
        <v>6</v>
      </c>
      <c r="AJ125" s="198"/>
      <c r="AK125" s="199"/>
      <c r="AL125" s="199"/>
      <c r="AM125" s="199"/>
      <c r="AN125" s="199"/>
      <c r="AO125" s="199"/>
      <c r="AP125" s="199"/>
      <c r="AQ125" s="199"/>
      <c r="AR125" s="199"/>
      <c r="AS125" s="199"/>
      <c r="AT125" s="199"/>
      <c r="AU125" s="199"/>
      <c r="AV125" s="199"/>
      <c r="AW125" s="155">
        <f t="shared" ref="AW125:AW135" si="8">LEN(L125)</f>
        <v>41</v>
      </c>
    </row>
    <row r="126" spans="1:49" s="236" customFormat="1" ht="15">
      <c r="A126" s="40">
        <f t="shared" si="3"/>
        <v>120</v>
      </c>
      <c r="B126" s="199"/>
      <c r="C126" s="199"/>
      <c r="D126" s="199"/>
      <c r="E126" s="199"/>
      <c r="F126" s="199"/>
      <c r="G126" s="199"/>
      <c r="H126" s="199"/>
      <c r="I126" s="199"/>
      <c r="J126" s="412" t="s">
        <v>1115</v>
      </c>
      <c r="K126" s="232" t="s">
        <v>117</v>
      </c>
      <c r="L126" s="204" t="s">
        <v>1116</v>
      </c>
      <c r="M126" s="351"/>
      <c r="N126" s="126" t="s">
        <v>504</v>
      </c>
      <c r="O126" s="126"/>
      <c r="P126" s="126"/>
      <c r="Q126" s="126" t="s">
        <v>6</v>
      </c>
      <c r="R126" s="126" t="s">
        <v>6</v>
      </c>
      <c r="S126" s="126" t="s">
        <v>6</v>
      </c>
      <c r="T126" s="40" t="s">
        <v>6</v>
      </c>
      <c r="U126" s="215" t="s">
        <v>1081</v>
      </c>
      <c r="V126" s="204"/>
      <c r="W126" s="204" t="s">
        <v>125</v>
      </c>
      <c r="X126" s="199"/>
      <c r="Y126" s="199"/>
      <c r="Z126" s="199"/>
      <c r="AA126" s="126" t="s">
        <v>6</v>
      </c>
      <c r="AB126" s="198"/>
      <c r="AC126" s="199"/>
      <c r="AD126" s="201" t="s">
        <v>881</v>
      </c>
      <c r="AE126" s="204" t="s">
        <v>125</v>
      </c>
      <c r="AF126" s="199"/>
      <c r="AG126" s="199"/>
      <c r="AH126" s="199"/>
      <c r="AI126" s="126" t="s">
        <v>6</v>
      </c>
      <c r="AJ126" s="198"/>
      <c r="AK126" s="199"/>
      <c r="AL126" s="201" t="s">
        <v>881</v>
      </c>
      <c r="AM126" s="199"/>
      <c r="AN126" s="199"/>
      <c r="AO126" s="199"/>
      <c r="AP126" s="199"/>
      <c r="AQ126" s="199"/>
      <c r="AR126" s="199"/>
      <c r="AS126" s="199"/>
      <c r="AT126" s="199"/>
      <c r="AU126" s="199"/>
      <c r="AV126" s="199"/>
      <c r="AW126" s="155">
        <f t="shared" si="8"/>
        <v>38</v>
      </c>
    </row>
    <row r="127" spans="1:49" s="236" customFormat="1" ht="26.4">
      <c r="A127" s="40">
        <f t="shared" si="3"/>
        <v>121</v>
      </c>
      <c r="B127" s="199"/>
      <c r="C127" s="199"/>
      <c r="D127" s="199"/>
      <c r="E127" s="199"/>
      <c r="F127" s="199"/>
      <c r="G127" s="199"/>
      <c r="H127" s="199"/>
      <c r="I127" s="199"/>
      <c r="J127" s="412" t="s">
        <v>1118</v>
      </c>
      <c r="K127" s="232" t="s">
        <v>117</v>
      </c>
      <c r="L127" s="204" t="s">
        <v>1119</v>
      </c>
      <c r="M127" s="351"/>
      <c r="N127" s="126" t="s">
        <v>504</v>
      </c>
      <c r="O127" s="126"/>
      <c r="P127" s="126"/>
      <c r="Q127" s="126" t="s">
        <v>6</v>
      </c>
      <c r="R127" s="126" t="s">
        <v>6</v>
      </c>
      <c r="S127" s="126" t="s">
        <v>6</v>
      </c>
      <c r="T127" s="40" t="s">
        <v>6</v>
      </c>
      <c r="U127" s="218" t="s">
        <v>1120</v>
      </c>
      <c r="V127" s="204"/>
      <c r="W127" s="204" t="s">
        <v>125</v>
      </c>
      <c r="X127" s="199"/>
      <c r="Y127" s="199"/>
      <c r="Z127" s="199"/>
      <c r="AA127" s="126" t="s">
        <v>6</v>
      </c>
      <c r="AB127" s="198"/>
      <c r="AC127" s="199"/>
      <c r="AD127" s="201" t="s">
        <v>881</v>
      </c>
      <c r="AE127" s="204" t="s">
        <v>125</v>
      </c>
      <c r="AF127" s="199"/>
      <c r="AG127" s="199"/>
      <c r="AH127" s="199"/>
      <c r="AI127" s="126" t="s">
        <v>6</v>
      </c>
      <c r="AJ127" s="198"/>
      <c r="AK127" s="199"/>
      <c r="AL127" s="201" t="s">
        <v>881</v>
      </c>
      <c r="AM127" s="199"/>
      <c r="AN127" s="199"/>
      <c r="AO127" s="199"/>
      <c r="AP127" s="199"/>
      <c r="AQ127" s="199"/>
      <c r="AR127" s="199"/>
      <c r="AS127" s="199"/>
      <c r="AT127" s="199"/>
      <c r="AU127" s="199"/>
      <c r="AV127" s="199"/>
      <c r="AW127" s="155">
        <f t="shared" si="8"/>
        <v>45</v>
      </c>
    </row>
    <row r="128" spans="1:49" s="236" customFormat="1" ht="26.4">
      <c r="A128" s="40">
        <f t="shared" si="3"/>
        <v>122</v>
      </c>
      <c r="B128" s="199"/>
      <c r="C128" s="199"/>
      <c r="D128" s="199"/>
      <c r="E128" s="199"/>
      <c r="F128" s="199"/>
      <c r="G128" s="199"/>
      <c r="H128" s="199"/>
      <c r="I128" s="199"/>
      <c r="J128" s="412" t="s">
        <v>1122</v>
      </c>
      <c r="K128" s="232" t="s">
        <v>117</v>
      </c>
      <c r="L128" s="204" t="s">
        <v>1123</v>
      </c>
      <c r="M128" s="351"/>
      <c r="N128" s="126" t="s">
        <v>504</v>
      </c>
      <c r="O128" s="126"/>
      <c r="P128" s="126"/>
      <c r="Q128" s="126" t="s">
        <v>6</v>
      </c>
      <c r="R128" s="126" t="s">
        <v>6</v>
      </c>
      <c r="S128" s="126" t="s">
        <v>6</v>
      </c>
      <c r="T128" s="40" t="s">
        <v>6</v>
      </c>
      <c r="U128" s="218" t="s">
        <v>1120</v>
      </c>
      <c r="V128" s="204"/>
      <c r="W128" s="204" t="s">
        <v>125</v>
      </c>
      <c r="X128" s="199"/>
      <c r="Y128" s="199"/>
      <c r="Z128" s="199"/>
      <c r="AA128" s="126" t="s">
        <v>6</v>
      </c>
      <c r="AB128" s="198"/>
      <c r="AC128" s="199"/>
      <c r="AD128" s="201" t="s">
        <v>881</v>
      </c>
      <c r="AE128" s="204" t="s">
        <v>125</v>
      </c>
      <c r="AF128" s="199"/>
      <c r="AG128" s="199"/>
      <c r="AH128" s="199"/>
      <c r="AI128" s="126" t="s">
        <v>6</v>
      </c>
      <c r="AJ128" s="198"/>
      <c r="AK128" s="199"/>
      <c r="AL128" s="201" t="s">
        <v>881</v>
      </c>
      <c r="AM128" s="199"/>
      <c r="AN128" s="199"/>
      <c r="AO128" s="199"/>
      <c r="AP128" s="199"/>
      <c r="AQ128" s="199"/>
      <c r="AR128" s="199"/>
      <c r="AS128" s="199"/>
      <c r="AT128" s="199"/>
      <c r="AU128" s="199"/>
      <c r="AV128" s="199"/>
      <c r="AW128" s="155">
        <f t="shared" si="8"/>
        <v>45</v>
      </c>
    </row>
    <row r="129" spans="1:49" s="236" customFormat="1" ht="26.4">
      <c r="A129" s="40">
        <f t="shared" si="3"/>
        <v>123</v>
      </c>
      <c r="B129" s="199"/>
      <c r="C129" s="199"/>
      <c r="D129" s="199"/>
      <c r="E129" s="199"/>
      <c r="F129" s="199"/>
      <c r="G129" s="199"/>
      <c r="H129" s="199"/>
      <c r="I129" s="199"/>
      <c r="J129" s="412" t="s">
        <v>1125</v>
      </c>
      <c r="K129" s="232" t="s">
        <v>117</v>
      </c>
      <c r="L129" s="204" t="s">
        <v>1126</v>
      </c>
      <c r="M129" s="351"/>
      <c r="N129" s="126" t="s">
        <v>504</v>
      </c>
      <c r="O129" s="126"/>
      <c r="P129" s="126"/>
      <c r="Q129" s="126" t="s">
        <v>6</v>
      </c>
      <c r="R129" s="126" t="s">
        <v>6</v>
      </c>
      <c r="S129" s="126" t="s">
        <v>6</v>
      </c>
      <c r="T129" s="40" t="s">
        <v>6</v>
      </c>
      <c r="U129" s="218" t="s">
        <v>1120</v>
      </c>
      <c r="V129" s="204"/>
      <c r="W129" s="204" t="s">
        <v>125</v>
      </c>
      <c r="X129" s="199"/>
      <c r="Y129" s="199"/>
      <c r="Z129" s="199"/>
      <c r="AA129" s="126" t="s">
        <v>6</v>
      </c>
      <c r="AB129" s="198"/>
      <c r="AC129" s="199"/>
      <c r="AD129" s="201" t="s">
        <v>881</v>
      </c>
      <c r="AE129" s="204" t="s">
        <v>125</v>
      </c>
      <c r="AF129" s="199"/>
      <c r="AG129" s="199"/>
      <c r="AH129" s="199"/>
      <c r="AI129" s="126" t="s">
        <v>6</v>
      </c>
      <c r="AJ129" s="198"/>
      <c r="AK129" s="199"/>
      <c r="AL129" s="201" t="s">
        <v>881</v>
      </c>
      <c r="AM129" s="199"/>
      <c r="AN129" s="199"/>
      <c r="AO129" s="199"/>
      <c r="AP129" s="199"/>
      <c r="AQ129" s="199"/>
      <c r="AR129" s="199"/>
      <c r="AS129" s="199"/>
      <c r="AT129" s="199"/>
      <c r="AU129" s="199"/>
      <c r="AV129" s="199"/>
      <c r="AW129" s="155">
        <f t="shared" si="8"/>
        <v>45</v>
      </c>
    </row>
    <row r="130" spans="1:49" s="236" customFormat="1" ht="26.4">
      <c r="A130" s="40">
        <f t="shared" si="3"/>
        <v>124</v>
      </c>
      <c r="B130" s="199"/>
      <c r="C130" s="199"/>
      <c r="D130" s="199"/>
      <c r="E130" s="199"/>
      <c r="F130" s="199"/>
      <c r="G130" s="199"/>
      <c r="H130" s="199"/>
      <c r="I130" s="199"/>
      <c r="J130" s="412" t="s">
        <v>1128</v>
      </c>
      <c r="K130" s="232" t="s">
        <v>117</v>
      </c>
      <c r="L130" s="204" t="s">
        <v>1129</v>
      </c>
      <c r="M130" s="351"/>
      <c r="N130" s="126" t="s">
        <v>504</v>
      </c>
      <c r="O130" s="126"/>
      <c r="P130" s="126"/>
      <c r="Q130" s="126" t="s">
        <v>6</v>
      </c>
      <c r="R130" s="126" t="s">
        <v>6</v>
      </c>
      <c r="S130" s="126" t="s">
        <v>6</v>
      </c>
      <c r="T130" s="40" t="s">
        <v>6</v>
      </c>
      <c r="U130" s="218" t="s">
        <v>1114</v>
      </c>
      <c r="V130" s="204"/>
      <c r="W130" s="204" t="s">
        <v>125</v>
      </c>
      <c r="X130" s="199"/>
      <c r="Y130" s="199"/>
      <c r="Z130" s="199"/>
      <c r="AA130" s="126" t="s">
        <v>6</v>
      </c>
      <c r="AB130" s="198"/>
      <c r="AC130" s="199"/>
      <c r="AD130" s="201"/>
      <c r="AE130" s="204" t="s">
        <v>125</v>
      </c>
      <c r="AF130" s="199"/>
      <c r="AG130" s="199"/>
      <c r="AH130" s="199"/>
      <c r="AI130" s="126" t="s">
        <v>6</v>
      </c>
      <c r="AJ130" s="198"/>
      <c r="AK130" s="199"/>
      <c r="AL130" s="201"/>
      <c r="AM130" s="199"/>
      <c r="AN130" s="199"/>
      <c r="AO130" s="199"/>
      <c r="AP130" s="199"/>
      <c r="AQ130" s="199"/>
      <c r="AR130" s="199"/>
      <c r="AS130" s="199"/>
      <c r="AT130" s="199"/>
      <c r="AU130" s="199"/>
      <c r="AV130" s="199"/>
      <c r="AW130" s="155">
        <f t="shared" ref="AW130" si="9">LEN(L130)</f>
        <v>23</v>
      </c>
    </row>
    <row r="131" spans="1:49" s="236" customFormat="1" ht="15">
      <c r="A131" s="40">
        <f t="shared" si="3"/>
        <v>125</v>
      </c>
      <c r="B131" s="199"/>
      <c r="C131" s="199"/>
      <c r="D131" s="199"/>
      <c r="E131" s="199"/>
      <c r="F131" s="199"/>
      <c r="G131" s="199"/>
      <c r="H131" s="199"/>
      <c r="I131" s="199"/>
      <c r="J131" s="412" t="s">
        <v>1130</v>
      </c>
      <c r="K131" s="232" t="s">
        <v>117</v>
      </c>
      <c r="L131" s="204" t="s">
        <v>1131</v>
      </c>
      <c r="M131" s="351"/>
      <c r="N131" s="126" t="s">
        <v>504</v>
      </c>
      <c r="O131" s="126"/>
      <c r="P131" s="126"/>
      <c r="Q131" s="126" t="s">
        <v>6</v>
      </c>
      <c r="R131" s="126" t="s">
        <v>6</v>
      </c>
      <c r="S131" s="126" t="s">
        <v>6</v>
      </c>
      <c r="T131" s="40" t="s">
        <v>6</v>
      </c>
      <c r="U131" s="215" t="s">
        <v>1049</v>
      </c>
      <c r="V131" s="204"/>
      <c r="W131" s="204" t="s">
        <v>125</v>
      </c>
      <c r="X131" s="199"/>
      <c r="Y131" s="199"/>
      <c r="Z131" s="199"/>
      <c r="AA131" s="126" t="s">
        <v>6</v>
      </c>
      <c r="AB131" s="198"/>
      <c r="AC131" s="199"/>
      <c r="AD131" s="201"/>
      <c r="AE131" s="204" t="s">
        <v>125</v>
      </c>
      <c r="AF131" s="199"/>
      <c r="AG131" s="199"/>
      <c r="AH131" s="199"/>
      <c r="AI131" s="126" t="s">
        <v>6</v>
      </c>
      <c r="AJ131" s="198"/>
      <c r="AK131" s="199"/>
      <c r="AL131" s="201"/>
      <c r="AM131" s="199"/>
      <c r="AN131" s="199"/>
      <c r="AO131" s="199"/>
      <c r="AP131" s="199"/>
      <c r="AQ131" s="199"/>
      <c r="AR131" s="199"/>
      <c r="AS131" s="199"/>
      <c r="AT131" s="199"/>
      <c r="AU131" s="199"/>
      <c r="AV131" s="199"/>
      <c r="AW131" s="155">
        <f t="shared" si="8"/>
        <v>28</v>
      </c>
    </row>
    <row r="132" spans="1:49" s="236" customFormat="1" ht="39.6">
      <c r="A132" s="40">
        <f t="shared" si="3"/>
        <v>126</v>
      </c>
      <c r="B132" s="199"/>
      <c r="C132" s="199"/>
      <c r="D132" s="199"/>
      <c r="E132" s="199"/>
      <c r="F132" s="199"/>
      <c r="G132" s="199"/>
      <c r="H132" s="199"/>
      <c r="I132" s="199"/>
      <c r="J132" s="412" t="s">
        <v>1132</v>
      </c>
      <c r="K132" s="232" t="s">
        <v>117</v>
      </c>
      <c r="L132" s="204" t="s">
        <v>1133</v>
      </c>
      <c r="M132" s="351"/>
      <c r="N132" s="126" t="s">
        <v>504</v>
      </c>
      <c r="O132" s="126"/>
      <c r="P132" s="126"/>
      <c r="Q132" s="126" t="s">
        <v>6</v>
      </c>
      <c r="R132" s="126" t="s">
        <v>6</v>
      </c>
      <c r="S132" s="126" t="s">
        <v>6</v>
      </c>
      <c r="T132" s="40" t="s">
        <v>6</v>
      </c>
      <c r="U132" s="218" t="s">
        <v>1103</v>
      </c>
      <c r="V132" s="204"/>
      <c r="W132" s="204" t="s">
        <v>125</v>
      </c>
      <c r="X132" s="199"/>
      <c r="Y132" s="199"/>
      <c r="Z132" s="199"/>
      <c r="AA132" s="126" t="s">
        <v>6</v>
      </c>
      <c r="AB132" s="198"/>
      <c r="AC132" s="199"/>
      <c r="AD132" s="201"/>
      <c r="AE132" s="204" t="s">
        <v>125</v>
      </c>
      <c r="AF132" s="199"/>
      <c r="AG132" s="199"/>
      <c r="AH132" s="199"/>
      <c r="AI132" s="126" t="s">
        <v>6</v>
      </c>
      <c r="AJ132" s="198"/>
      <c r="AK132" s="199"/>
      <c r="AL132" s="201"/>
      <c r="AM132" s="199"/>
      <c r="AN132" s="199"/>
      <c r="AO132" s="199"/>
      <c r="AP132" s="199"/>
      <c r="AQ132" s="199"/>
      <c r="AR132" s="199"/>
      <c r="AS132" s="199"/>
      <c r="AT132" s="199"/>
      <c r="AU132" s="199"/>
      <c r="AV132" s="199"/>
      <c r="AW132" s="155">
        <f t="shared" si="8"/>
        <v>35</v>
      </c>
    </row>
    <row r="133" spans="1:49" s="236" customFormat="1" ht="39.6">
      <c r="A133" s="40">
        <f t="shared" si="3"/>
        <v>127</v>
      </c>
      <c r="B133" s="199"/>
      <c r="C133" s="199"/>
      <c r="D133" s="199"/>
      <c r="E133" s="199"/>
      <c r="F133" s="199"/>
      <c r="G133" s="199"/>
      <c r="H133" s="199"/>
      <c r="I133" s="199"/>
      <c r="J133" s="412" t="s">
        <v>1134</v>
      </c>
      <c r="K133" s="232" t="s">
        <v>117</v>
      </c>
      <c r="L133" s="204" t="s">
        <v>1135</v>
      </c>
      <c r="M133" s="351"/>
      <c r="N133" s="126" t="s">
        <v>504</v>
      </c>
      <c r="O133" s="126"/>
      <c r="P133" s="126"/>
      <c r="Q133" s="126" t="s">
        <v>6</v>
      </c>
      <c r="R133" s="126" t="s">
        <v>6</v>
      </c>
      <c r="S133" s="126" t="s">
        <v>6</v>
      </c>
      <c r="T133" s="40" t="s">
        <v>6</v>
      </c>
      <c r="U133" s="218" t="s">
        <v>1103</v>
      </c>
      <c r="V133" s="204"/>
      <c r="W133" s="204" t="s">
        <v>125</v>
      </c>
      <c r="X133" s="199"/>
      <c r="Y133" s="199"/>
      <c r="Z133" s="199"/>
      <c r="AA133" s="126" t="s">
        <v>6</v>
      </c>
      <c r="AB133" s="198"/>
      <c r="AC133" s="199"/>
      <c r="AD133" s="199"/>
      <c r="AE133" s="204" t="s">
        <v>125</v>
      </c>
      <c r="AF133" s="199"/>
      <c r="AG133" s="199"/>
      <c r="AH133" s="199"/>
      <c r="AI133" s="126" t="s">
        <v>6</v>
      </c>
      <c r="AJ133" s="198"/>
      <c r="AK133" s="199"/>
      <c r="AL133" s="199"/>
      <c r="AM133" s="199"/>
      <c r="AN133" s="199"/>
      <c r="AO133" s="199"/>
      <c r="AP133" s="199"/>
      <c r="AQ133" s="199"/>
      <c r="AR133" s="199"/>
      <c r="AS133" s="199"/>
      <c r="AT133" s="199"/>
      <c r="AU133" s="199"/>
      <c r="AV133" s="199"/>
      <c r="AW133" s="155">
        <f t="shared" si="8"/>
        <v>35</v>
      </c>
    </row>
    <row r="134" spans="1:49" s="236" customFormat="1" ht="39.6">
      <c r="A134" s="40">
        <f t="shared" si="3"/>
        <v>128</v>
      </c>
      <c r="B134" s="199"/>
      <c r="C134" s="199"/>
      <c r="D134" s="199"/>
      <c r="E134" s="199"/>
      <c r="F134" s="199"/>
      <c r="G134" s="199"/>
      <c r="H134" s="199"/>
      <c r="I134" s="199"/>
      <c r="J134" s="412" t="s">
        <v>1136</v>
      </c>
      <c r="K134" s="232" t="s">
        <v>117</v>
      </c>
      <c r="L134" s="204" t="s">
        <v>1137</v>
      </c>
      <c r="M134" s="351"/>
      <c r="N134" s="126" t="s">
        <v>504</v>
      </c>
      <c r="O134" s="126"/>
      <c r="P134" s="126"/>
      <c r="Q134" s="126" t="s">
        <v>6</v>
      </c>
      <c r="R134" s="126" t="s">
        <v>6</v>
      </c>
      <c r="S134" s="126" t="s">
        <v>6</v>
      </c>
      <c r="T134" s="40" t="s">
        <v>6</v>
      </c>
      <c r="U134" s="218" t="s">
        <v>1103</v>
      </c>
      <c r="V134" s="204"/>
      <c r="W134" s="204" t="s">
        <v>125</v>
      </c>
      <c r="X134" s="199"/>
      <c r="Y134" s="199"/>
      <c r="Z134" s="199"/>
      <c r="AA134" s="126" t="s">
        <v>6</v>
      </c>
      <c r="AB134" s="198"/>
      <c r="AC134" s="199"/>
      <c r="AD134" s="199"/>
      <c r="AE134" s="204" t="s">
        <v>125</v>
      </c>
      <c r="AF134" s="199"/>
      <c r="AG134" s="199"/>
      <c r="AH134" s="199"/>
      <c r="AI134" s="126" t="s">
        <v>6</v>
      </c>
      <c r="AJ134" s="198"/>
      <c r="AK134" s="199"/>
      <c r="AL134" s="199"/>
      <c r="AM134" s="199"/>
      <c r="AN134" s="199"/>
      <c r="AO134" s="199"/>
      <c r="AP134" s="199"/>
      <c r="AQ134" s="199"/>
      <c r="AR134" s="199"/>
      <c r="AS134" s="199"/>
      <c r="AT134" s="199"/>
      <c r="AU134" s="199"/>
      <c r="AV134" s="199"/>
      <c r="AW134" s="155">
        <f t="shared" si="8"/>
        <v>35</v>
      </c>
    </row>
    <row r="135" spans="1:49" s="236" customFormat="1" ht="15">
      <c r="A135" s="40">
        <f t="shared" ref="A135:A198" si="10">ROW() - 6</f>
        <v>129</v>
      </c>
      <c r="B135" s="199"/>
      <c r="C135" s="199"/>
      <c r="D135" s="199"/>
      <c r="E135" s="199"/>
      <c r="F135" s="199"/>
      <c r="G135" s="199"/>
      <c r="H135" s="199"/>
      <c r="I135" s="199"/>
      <c r="J135" s="412" t="s">
        <v>1138</v>
      </c>
      <c r="K135" s="232" t="s">
        <v>117</v>
      </c>
      <c r="L135" s="204" t="s">
        <v>1139</v>
      </c>
      <c r="M135" s="351"/>
      <c r="N135" s="126" t="s">
        <v>504</v>
      </c>
      <c r="O135" s="126"/>
      <c r="P135" s="126"/>
      <c r="Q135" s="126" t="s">
        <v>6</v>
      </c>
      <c r="R135" s="126" t="s">
        <v>6</v>
      </c>
      <c r="S135" s="126" t="s">
        <v>6</v>
      </c>
      <c r="T135" s="126" t="s">
        <v>6</v>
      </c>
      <c r="U135" s="204"/>
      <c r="V135" s="204"/>
      <c r="W135" s="204" t="s">
        <v>125</v>
      </c>
      <c r="X135" s="199"/>
      <c r="Y135" s="199"/>
      <c r="Z135" s="199"/>
      <c r="AA135" s="126" t="s">
        <v>6</v>
      </c>
      <c r="AB135" s="198"/>
      <c r="AC135" s="199"/>
      <c r="AD135" s="199"/>
      <c r="AE135" s="204" t="s">
        <v>125</v>
      </c>
      <c r="AF135" s="199"/>
      <c r="AG135" s="199"/>
      <c r="AH135" s="199"/>
      <c r="AI135" s="126" t="s">
        <v>6</v>
      </c>
      <c r="AJ135" s="198"/>
      <c r="AK135" s="199"/>
      <c r="AL135" s="199"/>
      <c r="AM135" s="199"/>
      <c r="AN135" s="199"/>
      <c r="AO135" s="199"/>
      <c r="AP135" s="199"/>
      <c r="AQ135" s="199"/>
      <c r="AR135" s="199"/>
      <c r="AS135" s="199"/>
      <c r="AT135" s="199"/>
      <c r="AU135" s="199"/>
      <c r="AV135" s="199"/>
      <c r="AW135" s="155">
        <f t="shared" si="8"/>
        <v>28</v>
      </c>
    </row>
    <row r="136" spans="1:49" s="236" customFormat="1" ht="15">
      <c r="A136" s="40">
        <f t="shared" si="10"/>
        <v>130</v>
      </c>
      <c r="B136" s="199"/>
      <c r="C136" s="199"/>
      <c r="D136" s="199"/>
      <c r="E136" s="199"/>
      <c r="F136" s="199"/>
      <c r="G136" s="199"/>
      <c r="H136" s="199"/>
      <c r="I136" s="199"/>
      <c r="J136" s="412" t="s">
        <v>1143</v>
      </c>
      <c r="K136" s="412" t="s">
        <v>103</v>
      </c>
      <c r="L136" s="204" t="s">
        <v>1144</v>
      </c>
      <c r="M136" s="351"/>
      <c r="N136" s="126" t="s">
        <v>504</v>
      </c>
      <c r="O136" s="126"/>
      <c r="P136" s="126"/>
      <c r="Q136" s="126" t="s">
        <v>6</v>
      </c>
      <c r="R136" s="126" t="s">
        <v>6</v>
      </c>
      <c r="S136" s="126" t="s">
        <v>6</v>
      </c>
      <c r="T136" s="40" t="s">
        <v>6</v>
      </c>
      <c r="U136" s="204" t="s">
        <v>1049</v>
      </c>
      <c r="V136" s="204"/>
      <c r="W136" s="412" t="s">
        <v>100</v>
      </c>
      <c r="X136" s="199"/>
      <c r="Y136" s="199"/>
      <c r="Z136" s="199"/>
      <c r="AA136" s="126" t="s">
        <v>6</v>
      </c>
      <c r="AB136" s="198"/>
      <c r="AC136" s="199"/>
      <c r="AD136" s="199"/>
      <c r="AE136" s="412" t="s">
        <v>100</v>
      </c>
      <c r="AF136" s="199"/>
      <c r="AG136" s="199"/>
      <c r="AH136" s="199"/>
      <c r="AI136" s="126" t="s">
        <v>6</v>
      </c>
      <c r="AJ136" s="198"/>
      <c r="AK136" s="199"/>
      <c r="AL136" s="199"/>
      <c r="AM136" s="199"/>
      <c r="AN136" s="199"/>
      <c r="AO136" s="199"/>
      <c r="AP136" s="199"/>
      <c r="AQ136" s="199"/>
      <c r="AR136" s="199"/>
      <c r="AS136" s="199"/>
      <c r="AT136" s="199"/>
      <c r="AU136" s="199"/>
      <c r="AV136" s="199"/>
      <c r="AW136" s="155">
        <f t="shared" ref="AW136:AW149" si="11">LEN(L136)</f>
        <v>20</v>
      </c>
    </row>
    <row r="137" spans="1:49" s="236" customFormat="1" ht="26.4">
      <c r="A137" s="40">
        <f t="shared" si="10"/>
        <v>131</v>
      </c>
      <c r="B137" s="199"/>
      <c r="C137" s="199"/>
      <c r="D137" s="199"/>
      <c r="E137" s="199"/>
      <c r="F137" s="199"/>
      <c r="G137" s="199"/>
      <c r="H137" s="199"/>
      <c r="I137" s="199"/>
      <c r="J137" s="412" t="s">
        <v>1145</v>
      </c>
      <c r="K137" s="412" t="s">
        <v>103</v>
      </c>
      <c r="L137" s="204" t="s">
        <v>1146</v>
      </c>
      <c r="M137" s="351"/>
      <c r="N137" s="126" t="s">
        <v>504</v>
      </c>
      <c r="O137" s="126"/>
      <c r="P137" s="126"/>
      <c r="Q137" s="126" t="s">
        <v>6</v>
      </c>
      <c r="R137" s="126" t="s">
        <v>6</v>
      </c>
      <c r="S137" s="126" t="s">
        <v>6</v>
      </c>
      <c r="T137" s="40" t="s">
        <v>6</v>
      </c>
      <c r="U137" s="218" t="s">
        <v>1120</v>
      </c>
      <c r="V137" s="204"/>
      <c r="W137" s="412" t="s">
        <v>100</v>
      </c>
      <c r="X137" s="199"/>
      <c r="Y137" s="199"/>
      <c r="Z137" s="199"/>
      <c r="AA137" s="126" t="s">
        <v>6</v>
      </c>
      <c r="AB137" s="198"/>
      <c r="AC137" s="199"/>
      <c r="AD137" s="199"/>
      <c r="AE137" s="412" t="s">
        <v>100</v>
      </c>
      <c r="AF137" s="199"/>
      <c r="AG137" s="199"/>
      <c r="AH137" s="199"/>
      <c r="AI137" s="126" t="s">
        <v>6</v>
      </c>
      <c r="AJ137" s="198"/>
      <c r="AK137" s="199"/>
      <c r="AL137" s="199"/>
      <c r="AM137" s="199"/>
      <c r="AN137" s="199"/>
      <c r="AO137" s="199"/>
      <c r="AP137" s="199"/>
      <c r="AQ137" s="199"/>
      <c r="AR137" s="199"/>
      <c r="AS137" s="199"/>
      <c r="AT137" s="199"/>
      <c r="AU137" s="199"/>
      <c r="AV137" s="199"/>
      <c r="AW137" s="155">
        <f t="shared" si="11"/>
        <v>27</v>
      </c>
    </row>
    <row r="138" spans="1:49" s="236" customFormat="1" ht="26.4">
      <c r="A138" s="40">
        <f t="shared" si="10"/>
        <v>132</v>
      </c>
      <c r="B138" s="199"/>
      <c r="C138" s="199"/>
      <c r="D138" s="199"/>
      <c r="E138" s="199"/>
      <c r="F138" s="199"/>
      <c r="G138" s="199"/>
      <c r="H138" s="199"/>
      <c r="I138" s="199"/>
      <c r="J138" s="412" t="s">
        <v>1147</v>
      </c>
      <c r="K138" s="412" t="s">
        <v>103</v>
      </c>
      <c r="L138" s="204" t="s">
        <v>1148</v>
      </c>
      <c r="M138" s="351"/>
      <c r="N138" s="126" t="s">
        <v>504</v>
      </c>
      <c r="O138" s="126"/>
      <c r="P138" s="126"/>
      <c r="Q138" s="126" t="s">
        <v>6</v>
      </c>
      <c r="R138" s="126" t="s">
        <v>6</v>
      </c>
      <c r="S138" s="126" t="s">
        <v>6</v>
      </c>
      <c r="T138" s="40" t="s">
        <v>6</v>
      </c>
      <c r="U138" s="218" t="s">
        <v>1120</v>
      </c>
      <c r="V138" s="204"/>
      <c r="W138" s="412" t="s">
        <v>100</v>
      </c>
      <c r="X138" s="199"/>
      <c r="Y138" s="199"/>
      <c r="Z138" s="199"/>
      <c r="AA138" s="126" t="s">
        <v>6</v>
      </c>
      <c r="AB138" s="198"/>
      <c r="AC138" s="199"/>
      <c r="AD138" s="199"/>
      <c r="AE138" s="412" t="s">
        <v>100</v>
      </c>
      <c r="AF138" s="199"/>
      <c r="AG138" s="199"/>
      <c r="AH138" s="199"/>
      <c r="AI138" s="126" t="s">
        <v>6</v>
      </c>
      <c r="AJ138" s="198"/>
      <c r="AK138" s="199"/>
      <c r="AL138" s="199"/>
      <c r="AM138" s="199"/>
      <c r="AN138" s="199"/>
      <c r="AO138" s="199"/>
      <c r="AP138" s="199"/>
      <c r="AQ138" s="199"/>
      <c r="AR138" s="199"/>
      <c r="AS138" s="199"/>
      <c r="AT138" s="199"/>
      <c r="AU138" s="199"/>
      <c r="AV138" s="199"/>
      <c r="AW138" s="155">
        <f t="shared" si="11"/>
        <v>27</v>
      </c>
    </row>
    <row r="139" spans="1:49" s="236" customFormat="1" ht="26.4">
      <c r="A139" s="40">
        <f t="shared" si="10"/>
        <v>133</v>
      </c>
      <c r="B139" s="199"/>
      <c r="C139" s="199"/>
      <c r="D139" s="199"/>
      <c r="E139" s="199"/>
      <c r="F139" s="199"/>
      <c r="G139" s="199"/>
      <c r="H139" s="199"/>
      <c r="I139" s="199"/>
      <c r="J139" s="412" t="s">
        <v>1149</v>
      </c>
      <c r="K139" s="412" t="s">
        <v>103</v>
      </c>
      <c r="L139" s="204" t="s">
        <v>1150</v>
      </c>
      <c r="M139" s="351"/>
      <c r="N139" s="126" t="s">
        <v>504</v>
      </c>
      <c r="O139" s="126"/>
      <c r="P139" s="126"/>
      <c r="Q139" s="126" t="s">
        <v>6</v>
      </c>
      <c r="R139" s="126" t="s">
        <v>6</v>
      </c>
      <c r="S139" s="126" t="s">
        <v>6</v>
      </c>
      <c r="T139" s="40" t="s">
        <v>6</v>
      </c>
      <c r="U139" s="218" t="s">
        <v>1120</v>
      </c>
      <c r="V139" s="204"/>
      <c r="W139" s="412" t="s">
        <v>100</v>
      </c>
      <c r="X139" s="199"/>
      <c r="Y139" s="199"/>
      <c r="Z139" s="199"/>
      <c r="AA139" s="126" t="s">
        <v>6</v>
      </c>
      <c r="AB139" s="198"/>
      <c r="AC139" s="199"/>
      <c r="AD139" s="199"/>
      <c r="AE139" s="412" t="s">
        <v>100</v>
      </c>
      <c r="AF139" s="199"/>
      <c r="AG139" s="199"/>
      <c r="AH139" s="199"/>
      <c r="AI139" s="126" t="s">
        <v>6</v>
      </c>
      <c r="AJ139" s="198"/>
      <c r="AK139" s="199"/>
      <c r="AL139" s="199"/>
      <c r="AM139" s="199"/>
      <c r="AN139" s="199"/>
      <c r="AO139" s="199"/>
      <c r="AP139" s="199"/>
      <c r="AQ139" s="199"/>
      <c r="AR139" s="199"/>
      <c r="AS139" s="199"/>
      <c r="AT139" s="199"/>
      <c r="AU139" s="199"/>
      <c r="AV139" s="199"/>
      <c r="AW139" s="155">
        <f t="shared" si="11"/>
        <v>27</v>
      </c>
    </row>
    <row r="140" spans="1:49" s="236" customFormat="1" ht="15">
      <c r="A140" s="40">
        <f t="shared" si="10"/>
        <v>134</v>
      </c>
      <c r="B140" s="199"/>
      <c r="C140" s="199"/>
      <c r="D140" s="199"/>
      <c r="E140" s="199"/>
      <c r="F140" s="199"/>
      <c r="G140" s="199"/>
      <c r="H140" s="199"/>
      <c r="I140" s="199"/>
      <c r="J140" s="412" t="s">
        <v>1151</v>
      </c>
      <c r="K140" s="412" t="s">
        <v>103</v>
      </c>
      <c r="L140" s="204" t="s">
        <v>1152</v>
      </c>
      <c r="M140" s="351"/>
      <c r="N140" s="126" t="s">
        <v>504</v>
      </c>
      <c r="O140" s="126"/>
      <c r="P140" s="126"/>
      <c r="Q140" s="126" t="s">
        <v>6</v>
      </c>
      <c r="R140" s="126" t="s">
        <v>6</v>
      </c>
      <c r="S140" s="126" t="s">
        <v>6</v>
      </c>
      <c r="T140" s="40" t="s">
        <v>6</v>
      </c>
      <c r="U140" s="204" t="s">
        <v>1049</v>
      </c>
      <c r="V140" s="204"/>
      <c r="W140" s="412" t="s">
        <v>100</v>
      </c>
      <c r="X140" s="199"/>
      <c r="Y140" s="199"/>
      <c r="Z140" s="199"/>
      <c r="AA140" s="126" t="s">
        <v>6</v>
      </c>
      <c r="AB140" s="198"/>
      <c r="AC140" s="199"/>
      <c r="AD140" s="199"/>
      <c r="AE140" s="412" t="s">
        <v>100</v>
      </c>
      <c r="AF140" s="199"/>
      <c r="AG140" s="199"/>
      <c r="AH140" s="199"/>
      <c r="AI140" s="126" t="s">
        <v>6</v>
      </c>
      <c r="AJ140" s="198"/>
      <c r="AK140" s="199"/>
      <c r="AL140" s="199"/>
      <c r="AM140" s="199"/>
      <c r="AN140" s="199"/>
      <c r="AO140" s="199"/>
      <c r="AP140" s="199"/>
      <c r="AQ140" s="199"/>
      <c r="AR140" s="199"/>
      <c r="AS140" s="199"/>
      <c r="AT140" s="199"/>
      <c r="AU140" s="199"/>
      <c r="AV140" s="199"/>
      <c r="AW140" s="155">
        <f t="shared" si="11"/>
        <v>20</v>
      </c>
    </row>
    <row r="141" spans="1:49" s="236" customFormat="1" ht="26.4">
      <c r="A141" s="40">
        <f t="shared" si="10"/>
        <v>135</v>
      </c>
      <c r="B141" s="199"/>
      <c r="C141" s="199"/>
      <c r="D141" s="199"/>
      <c r="E141" s="199"/>
      <c r="F141" s="199"/>
      <c r="G141" s="199"/>
      <c r="H141" s="199"/>
      <c r="I141" s="199"/>
      <c r="J141" s="412" t="s">
        <v>1153</v>
      </c>
      <c r="K141" s="412" t="s">
        <v>103</v>
      </c>
      <c r="L141" s="204" t="s">
        <v>1154</v>
      </c>
      <c r="M141" s="351"/>
      <c r="N141" s="126" t="s">
        <v>504</v>
      </c>
      <c r="O141" s="126"/>
      <c r="P141" s="126"/>
      <c r="Q141" s="126" t="s">
        <v>6</v>
      </c>
      <c r="R141" s="126" t="s">
        <v>6</v>
      </c>
      <c r="S141" s="126" t="s">
        <v>6</v>
      </c>
      <c r="T141" s="40" t="s">
        <v>6</v>
      </c>
      <c r="U141" s="218" t="s">
        <v>1120</v>
      </c>
      <c r="V141" s="204"/>
      <c r="W141" s="412" t="s">
        <v>100</v>
      </c>
      <c r="X141" s="199"/>
      <c r="Y141" s="199"/>
      <c r="Z141" s="199"/>
      <c r="AA141" s="126" t="s">
        <v>6</v>
      </c>
      <c r="AB141" s="198"/>
      <c r="AC141" s="199"/>
      <c r="AD141" s="199"/>
      <c r="AE141" s="412" t="s">
        <v>100</v>
      </c>
      <c r="AF141" s="199"/>
      <c r="AG141" s="199"/>
      <c r="AH141" s="199"/>
      <c r="AI141" s="126" t="s">
        <v>6</v>
      </c>
      <c r="AJ141" s="198"/>
      <c r="AK141" s="199"/>
      <c r="AL141" s="199"/>
      <c r="AM141" s="199"/>
      <c r="AN141" s="199"/>
      <c r="AO141" s="199"/>
      <c r="AP141" s="199"/>
      <c r="AQ141" s="199"/>
      <c r="AR141" s="199"/>
      <c r="AS141" s="199"/>
      <c r="AT141" s="199"/>
      <c r="AU141" s="199"/>
      <c r="AV141" s="199"/>
      <c r="AW141" s="155">
        <f t="shared" si="11"/>
        <v>27</v>
      </c>
    </row>
    <row r="142" spans="1:49" s="236" customFormat="1" ht="26.4">
      <c r="A142" s="40">
        <f t="shared" si="10"/>
        <v>136</v>
      </c>
      <c r="B142" s="199"/>
      <c r="C142" s="199"/>
      <c r="D142" s="199"/>
      <c r="E142" s="199"/>
      <c r="F142" s="199"/>
      <c r="G142" s="199"/>
      <c r="H142" s="199"/>
      <c r="I142" s="199"/>
      <c r="J142" s="412" t="s">
        <v>1155</v>
      </c>
      <c r="K142" s="412" t="s">
        <v>103</v>
      </c>
      <c r="L142" s="204" t="s">
        <v>1156</v>
      </c>
      <c r="M142" s="351"/>
      <c r="N142" s="126" t="s">
        <v>504</v>
      </c>
      <c r="O142" s="126"/>
      <c r="P142" s="126"/>
      <c r="Q142" s="126" t="s">
        <v>6</v>
      </c>
      <c r="R142" s="126" t="s">
        <v>6</v>
      </c>
      <c r="S142" s="126" t="s">
        <v>6</v>
      </c>
      <c r="T142" s="40" t="s">
        <v>6</v>
      </c>
      <c r="U142" s="218" t="s">
        <v>1120</v>
      </c>
      <c r="V142" s="204"/>
      <c r="W142" s="412" t="s">
        <v>100</v>
      </c>
      <c r="X142" s="199"/>
      <c r="Y142" s="199"/>
      <c r="Z142" s="199"/>
      <c r="AA142" s="126" t="s">
        <v>6</v>
      </c>
      <c r="AB142" s="198"/>
      <c r="AC142" s="199"/>
      <c r="AD142" s="199"/>
      <c r="AE142" s="412" t="s">
        <v>100</v>
      </c>
      <c r="AF142" s="199"/>
      <c r="AG142" s="199"/>
      <c r="AH142" s="199"/>
      <c r="AI142" s="126" t="s">
        <v>6</v>
      </c>
      <c r="AJ142" s="198"/>
      <c r="AK142" s="199"/>
      <c r="AL142" s="199"/>
      <c r="AM142" s="199"/>
      <c r="AN142" s="199"/>
      <c r="AO142" s="199"/>
      <c r="AP142" s="199"/>
      <c r="AQ142" s="199"/>
      <c r="AR142" s="199"/>
      <c r="AS142" s="199"/>
      <c r="AT142" s="199"/>
      <c r="AU142" s="199"/>
      <c r="AV142" s="199"/>
      <c r="AW142" s="155">
        <f t="shared" si="11"/>
        <v>27</v>
      </c>
    </row>
    <row r="143" spans="1:49" s="236" customFormat="1" ht="26.4">
      <c r="A143" s="40">
        <f t="shared" si="10"/>
        <v>137</v>
      </c>
      <c r="B143" s="199"/>
      <c r="C143" s="199"/>
      <c r="D143" s="199"/>
      <c r="E143" s="199"/>
      <c r="F143" s="199"/>
      <c r="G143" s="199"/>
      <c r="H143" s="199"/>
      <c r="I143" s="199"/>
      <c r="J143" s="412" t="s">
        <v>1157</v>
      </c>
      <c r="K143" s="412" t="s">
        <v>103</v>
      </c>
      <c r="L143" s="204" t="s">
        <v>1158</v>
      </c>
      <c r="M143" s="351"/>
      <c r="N143" s="126" t="s">
        <v>504</v>
      </c>
      <c r="O143" s="126"/>
      <c r="P143" s="126"/>
      <c r="Q143" s="126" t="s">
        <v>6</v>
      </c>
      <c r="R143" s="126" t="s">
        <v>6</v>
      </c>
      <c r="S143" s="126" t="s">
        <v>6</v>
      </c>
      <c r="T143" s="40" t="s">
        <v>6</v>
      </c>
      <c r="U143" s="218" t="s">
        <v>1120</v>
      </c>
      <c r="V143" s="204"/>
      <c r="W143" s="412" t="s">
        <v>100</v>
      </c>
      <c r="X143" s="199"/>
      <c r="Y143" s="199"/>
      <c r="Z143" s="199"/>
      <c r="AA143" s="126" t="s">
        <v>6</v>
      </c>
      <c r="AB143" s="198"/>
      <c r="AC143" s="199"/>
      <c r="AD143" s="199"/>
      <c r="AE143" s="412" t="s">
        <v>100</v>
      </c>
      <c r="AF143" s="199"/>
      <c r="AG143" s="199"/>
      <c r="AH143" s="199"/>
      <c r="AI143" s="126" t="s">
        <v>6</v>
      </c>
      <c r="AJ143" s="198"/>
      <c r="AK143" s="199"/>
      <c r="AL143" s="199"/>
      <c r="AM143" s="199"/>
      <c r="AN143" s="199"/>
      <c r="AO143" s="199"/>
      <c r="AP143" s="199"/>
      <c r="AQ143" s="199"/>
      <c r="AR143" s="199"/>
      <c r="AS143" s="199"/>
      <c r="AT143" s="199"/>
      <c r="AU143" s="199"/>
      <c r="AV143" s="199"/>
      <c r="AW143" s="155">
        <f t="shared" si="11"/>
        <v>27</v>
      </c>
    </row>
    <row r="144" spans="1:49" s="236" customFormat="1" ht="15">
      <c r="A144" s="40">
        <f t="shared" si="10"/>
        <v>138</v>
      </c>
      <c r="B144" s="199"/>
      <c r="C144" s="199"/>
      <c r="D144" s="199"/>
      <c r="E144" s="199"/>
      <c r="F144" s="199"/>
      <c r="G144" s="199"/>
      <c r="H144" s="199"/>
      <c r="I144" s="199"/>
      <c r="J144" s="412" t="s">
        <v>1159</v>
      </c>
      <c r="K144" s="412" t="s">
        <v>140</v>
      </c>
      <c r="L144" s="204" t="s">
        <v>1160</v>
      </c>
      <c r="M144" s="351"/>
      <c r="N144" s="126" t="s">
        <v>504</v>
      </c>
      <c r="O144" s="126"/>
      <c r="P144" s="126"/>
      <c r="Q144" s="126" t="s">
        <v>6</v>
      </c>
      <c r="R144" s="126" t="s">
        <v>6</v>
      </c>
      <c r="S144" s="126" t="s">
        <v>6</v>
      </c>
      <c r="T144" s="40" t="s">
        <v>6</v>
      </c>
      <c r="U144" s="204" t="s">
        <v>1049</v>
      </c>
      <c r="V144" s="204"/>
      <c r="W144" s="412" t="s">
        <v>137</v>
      </c>
      <c r="X144" s="199"/>
      <c r="Y144" s="199"/>
      <c r="Z144" s="199"/>
      <c r="AA144" s="126" t="s">
        <v>6</v>
      </c>
      <c r="AB144" s="198"/>
      <c r="AC144" s="199"/>
      <c r="AD144" s="199"/>
      <c r="AE144" s="412" t="s">
        <v>137</v>
      </c>
      <c r="AF144" s="199"/>
      <c r="AG144" s="199"/>
      <c r="AH144" s="199"/>
      <c r="AI144" s="126" t="s">
        <v>6</v>
      </c>
      <c r="AJ144" s="198"/>
      <c r="AK144" s="199"/>
      <c r="AL144" s="199"/>
      <c r="AM144" s="199"/>
      <c r="AN144" s="199"/>
      <c r="AO144" s="199"/>
      <c r="AP144" s="199"/>
      <c r="AQ144" s="199"/>
      <c r="AR144" s="199"/>
      <c r="AS144" s="199"/>
      <c r="AT144" s="199"/>
      <c r="AU144" s="199"/>
      <c r="AV144" s="199"/>
      <c r="AW144" s="155">
        <f t="shared" si="11"/>
        <v>24</v>
      </c>
    </row>
    <row r="145" spans="1:49" s="236" customFormat="1" ht="26.4">
      <c r="A145" s="40">
        <f t="shared" si="10"/>
        <v>139</v>
      </c>
      <c r="B145" s="199"/>
      <c r="C145" s="199"/>
      <c r="D145" s="199"/>
      <c r="E145" s="199"/>
      <c r="F145" s="199"/>
      <c r="G145" s="199"/>
      <c r="H145" s="199"/>
      <c r="I145" s="199"/>
      <c r="J145" s="412" t="s">
        <v>1161</v>
      </c>
      <c r="K145" s="412" t="s">
        <v>140</v>
      </c>
      <c r="L145" s="204" t="s">
        <v>1162</v>
      </c>
      <c r="M145" s="351"/>
      <c r="N145" s="126" t="s">
        <v>504</v>
      </c>
      <c r="O145" s="126"/>
      <c r="P145" s="126"/>
      <c r="Q145" s="126" t="s">
        <v>6</v>
      </c>
      <c r="R145" s="126" t="s">
        <v>6</v>
      </c>
      <c r="S145" s="126" t="s">
        <v>6</v>
      </c>
      <c r="T145" s="40" t="s">
        <v>6</v>
      </c>
      <c r="U145" s="218" t="s">
        <v>1120</v>
      </c>
      <c r="V145" s="204"/>
      <c r="W145" s="412" t="s">
        <v>137</v>
      </c>
      <c r="X145" s="199"/>
      <c r="Y145" s="199"/>
      <c r="Z145" s="199"/>
      <c r="AA145" s="126" t="s">
        <v>6</v>
      </c>
      <c r="AB145" s="198"/>
      <c r="AC145" s="199"/>
      <c r="AD145" s="199"/>
      <c r="AE145" s="412" t="s">
        <v>137</v>
      </c>
      <c r="AF145" s="199"/>
      <c r="AG145" s="199"/>
      <c r="AH145" s="199"/>
      <c r="AI145" s="126" t="s">
        <v>6</v>
      </c>
      <c r="AJ145" s="198"/>
      <c r="AK145" s="199"/>
      <c r="AL145" s="199"/>
      <c r="AM145" s="199"/>
      <c r="AN145" s="199"/>
      <c r="AO145" s="199"/>
      <c r="AP145" s="199"/>
      <c r="AQ145" s="199"/>
      <c r="AR145" s="199"/>
      <c r="AS145" s="199"/>
      <c r="AT145" s="199"/>
      <c r="AU145" s="199"/>
      <c r="AV145" s="199"/>
      <c r="AW145" s="155">
        <f t="shared" si="11"/>
        <v>31</v>
      </c>
    </row>
    <row r="146" spans="1:49" s="236" customFormat="1" ht="26.4">
      <c r="A146" s="40">
        <f t="shared" si="10"/>
        <v>140</v>
      </c>
      <c r="B146" s="199"/>
      <c r="C146" s="199"/>
      <c r="D146" s="199"/>
      <c r="E146" s="199"/>
      <c r="F146" s="199"/>
      <c r="G146" s="199"/>
      <c r="H146" s="199"/>
      <c r="I146" s="199"/>
      <c r="J146" s="412" t="s">
        <v>1163</v>
      </c>
      <c r="K146" s="412" t="s">
        <v>140</v>
      </c>
      <c r="L146" s="204" t="s">
        <v>1164</v>
      </c>
      <c r="M146" s="351"/>
      <c r="N146" s="126" t="s">
        <v>504</v>
      </c>
      <c r="O146" s="126"/>
      <c r="P146" s="126"/>
      <c r="Q146" s="126" t="s">
        <v>6</v>
      </c>
      <c r="R146" s="126" t="s">
        <v>6</v>
      </c>
      <c r="S146" s="126" t="s">
        <v>6</v>
      </c>
      <c r="T146" s="40" t="s">
        <v>6</v>
      </c>
      <c r="U146" s="218" t="s">
        <v>1120</v>
      </c>
      <c r="V146" s="204"/>
      <c r="W146" s="412" t="s">
        <v>137</v>
      </c>
      <c r="X146" s="199"/>
      <c r="Y146" s="199"/>
      <c r="Z146" s="199"/>
      <c r="AA146" s="126" t="s">
        <v>6</v>
      </c>
      <c r="AB146" s="198"/>
      <c r="AC146" s="199"/>
      <c r="AD146" s="199"/>
      <c r="AE146" s="412" t="s">
        <v>137</v>
      </c>
      <c r="AF146" s="199"/>
      <c r="AG146" s="199"/>
      <c r="AH146" s="199"/>
      <c r="AI146" s="126" t="s">
        <v>6</v>
      </c>
      <c r="AJ146" s="198"/>
      <c r="AK146" s="199"/>
      <c r="AL146" s="199"/>
      <c r="AM146" s="199"/>
      <c r="AN146" s="199"/>
      <c r="AO146" s="199"/>
      <c r="AP146" s="199"/>
      <c r="AQ146" s="199"/>
      <c r="AR146" s="199"/>
      <c r="AS146" s="199"/>
      <c r="AT146" s="199"/>
      <c r="AU146" s="199"/>
      <c r="AV146" s="199"/>
      <c r="AW146" s="155">
        <f t="shared" si="11"/>
        <v>31</v>
      </c>
    </row>
    <row r="147" spans="1:49" s="236" customFormat="1" ht="26.4">
      <c r="A147" s="40">
        <f t="shared" si="10"/>
        <v>141</v>
      </c>
      <c r="B147" s="199"/>
      <c r="C147" s="199"/>
      <c r="D147" s="199"/>
      <c r="E147" s="199"/>
      <c r="F147" s="199"/>
      <c r="G147" s="199"/>
      <c r="H147" s="199"/>
      <c r="I147" s="199"/>
      <c r="J147" s="412" t="s">
        <v>1165</v>
      </c>
      <c r="K147" s="412" t="s">
        <v>140</v>
      </c>
      <c r="L147" s="204" t="s">
        <v>1166</v>
      </c>
      <c r="M147" s="351"/>
      <c r="N147" s="126" t="s">
        <v>504</v>
      </c>
      <c r="O147" s="126"/>
      <c r="P147" s="126"/>
      <c r="Q147" s="126" t="s">
        <v>6</v>
      </c>
      <c r="R147" s="126" t="s">
        <v>6</v>
      </c>
      <c r="S147" s="126" t="s">
        <v>6</v>
      </c>
      <c r="T147" s="40" t="s">
        <v>6</v>
      </c>
      <c r="U147" s="218" t="s">
        <v>1120</v>
      </c>
      <c r="V147" s="204"/>
      <c r="W147" s="412" t="s">
        <v>137</v>
      </c>
      <c r="X147" s="199"/>
      <c r="Y147" s="199"/>
      <c r="Z147" s="199"/>
      <c r="AA147" s="126" t="s">
        <v>6</v>
      </c>
      <c r="AB147" s="198"/>
      <c r="AC147" s="199"/>
      <c r="AD147" s="199"/>
      <c r="AE147" s="412" t="s">
        <v>137</v>
      </c>
      <c r="AF147" s="199"/>
      <c r="AG147" s="199"/>
      <c r="AH147" s="199"/>
      <c r="AI147" s="126" t="s">
        <v>6</v>
      </c>
      <c r="AJ147" s="198"/>
      <c r="AK147" s="199"/>
      <c r="AL147" s="199"/>
      <c r="AM147" s="199"/>
      <c r="AN147" s="199"/>
      <c r="AO147" s="199"/>
      <c r="AP147" s="199"/>
      <c r="AQ147" s="199"/>
      <c r="AR147" s="199"/>
      <c r="AS147" s="199"/>
      <c r="AT147" s="199"/>
      <c r="AU147" s="199"/>
      <c r="AV147" s="199"/>
      <c r="AW147" s="155">
        <f t="shared" si="11"/>
        <v>31</v>
      </c>
    </row>
    <row r="148" spans="1:49" s="236" customFormat="1" ht="15">
      <c r="A148" s="40">
        <f t="shared" si="10"/>
        <v>142</v>
      </c>
      <c r="B148" s="199"/>
      <c r="C148" s="199"/>
      <c r="D148" s="199"/>
      <c r="E148" s="199"/>
      <c r="F148" s="199"/>
      <c r="G148" s="199"/>
      <c r="H148" s="199"/>
      <c r="I148" s="199"/>
      <c r="J148" s="412" t="s">
        <v>1167</v>
      </c>
      <c r="K148" s="412" t="s">
        <v>140</v>
      </c>
      <c r="L148" s="204" t="s">
        <v>1168</v>
      </c>
      <c r="M148" s="351"/>
      <c r="N148" s="126" t="s">
        <v>504</v>
      </c>
      <c r="O148" s="126"/>
      <c r="P148" s="126"/>
      <c r="Q148" s="126" t="s">
        <v>6</v>
      </c>
      <c r="R148" s="126" t="s">
        <v>6</v>
      </c>
      <c r="S148" s="126" t="s">
        <v>6</v>
      </c>
      <c r="T148" s="40" t="s">
        <v>6</v>
      </c>
      <c r="U148" s="204" t="s">
        <v>1049</v>
      </c>
      <c r="V148" s="204"/>
      <c r="W148" s="412" t="s">
        <v>137</v>
      </c>
      <c r="X148" s="199"/>
      <c r="Y148" s="199"/>
      <c r="Z148" s="199"/>
      <c r="AA148" s="126" t="s">
        <v>6</v>
      </c>
      <c r="AB148" s="198"/>
      <c r="AC148" s="199"/>
      <c r="AD148" s="199"/>
      <c r="AE148" s="412" t="s">
        <v>137</v>
      </c>
      <c r="AF148" s="199"/>
      <c r="AG148" s="199"/>
      <c r="AH148" s="199"/>
      <c r="AI148" s="126" t="s">
        <v>6</v>
      </c>
      <c r="AJ148" s="198"/>
      <c r="AK148" s="199"/>
      <c r="AL148" s="199"/>
      <c r="AM148" s="199"/>
      <c r="AN148" s="199"/>
      <c r="AO148" s="199"/>
      <c r="AP148" s="199"/>
      <c r="AQ148" s="199"/>
      <c r="AR148" s="199"/>
      <c r="AS148" s="199"/>
      <c r="AT148" s="199"/>
      <c r="AU148" s="199"/>
      <c r="AV148" s="199"/>
      <c r="AW148" s="155">
        <f t="shared" si="11"/>
        <v>26</v>
      </c>
    </row>
    <row r="149" spans="1:49" s="236" customFormat="1" ht="39.6">
      <c r="A149" s="40">
        <f t="shared" si="10"/>
        <v>143</v>
      </c>
      <c r="B149" s="199"/>
      <c r="C149" s="199"/>
      <c r="D149" s="199"/>
      <c r="E149" s="199"/>
      <c r="F149" s="199"/>
      <c r="G149" s="199"/>
      <c r="H149" s="199"/>
      <c r="I149" s="199"/>
      <c r="J149" s="412" t="s">
        <v>1169</v>
      </c>
      <c r="K149" s="412" t="s">
        <v>140</v>
      </c>
      <c r="L149" s="204" t="s">
        <v>1170</v>
      </c>
      <c r="M149" s="351"/>
      <c r="N149" s="126" t="s">
        <v>504</v>
      </c>
      <c r="O149" s="126"/>
      <c r="P149" s="126"/>
      <c r="Q149" s="126" t="s">
        <v>6</v>
      </c>
      <c r="R149" s="126" t="s">
        <v>6</v>
      </c>
      <c r="S149" s="126" t="s">
        <v>6</v>
      </c>
      <c r="T149" s="40" t="s">
        <v>6</v>
      </c>
      <c r="U149" s="218" t="s">
        <v>1051</v>
      </c>
      <c r="V149" s="204"/>
      <c r="W149" s="412" t="s">
        <v>137</v>
      </c>
      <c r="X149" s="199"/>
      <c r="Y149" s="199"/>
      <c r="Z149" s="199"/>
      <c r="AA149" s="126" t="s">
        <v>6</v>
      </c>
      <c r="AB149" s="198"/>
      <c r="AC149" s="199"/>
      <c r="AD149" s="199"/>
      <c r="AE149" s="412" t="s">
        <v>137</v>
      </c>
      <c r="AF149" s="199"/>
      <c r="AG149" s="199"/>
      <c r="AH149" s="199"/>
      <c r="AI149" s="126" t="s">
        <v>6</v>
      </c>
      <c r="AJ149" s="198"/>
      <c r="AK149" s="199"/>
      <c r="AL149" s="199"/>
      <c r="AM149" s="199"/>
      <c r="AN149" s="199"/>
      <c r="AO149" s="199"/>
      <c r="AP149" s="199"/>
      <c r="AQ149" s="199"/>
      <c r="AR149" s="199"/>
      <c r="AS149" s="199"/>
      <c r="AT149" s="199"/>
      <c r="AU149" s="199"/>
      <c r="AV149" s="199"/>
      <c r="AW149" s="155">
        <f t="shared" si="11"/>
        <v>33</v>
      </c>
    </row>
    <row r="150" spans="1:49" s="236" customFormat="1" ht="39.6">
      <c r="A150" s="40">
        <f t="shared" si="10"/>
        <v>144</v>
      </c>
      <c r="B150" s="199"/>
      <c r="C150" s="199"/>
      <c r="D150" s="199"/>
      <c r="E150" s="199"/>
      <c r="F150" s="199"/>
      <c r="G150" s="199"/>
      <c r="H150" s="199"/>
      <c r="I150" s="199"/>
      <c r="J150" s="412" t="s">
        <v>1171</v>
      </c>
      <c r="K150" s="412" t="s">
        <v>140</v>
      </c>
      <c r="L150" s="204" t="s">
        <v>1172</v>
      </c>
      <c r="M150" s="351"/>
      <c r="N150" s="126" t="s">
        <v>504</v>
      </c>
      <c r="O150" s="126"/>
      <c r="P150" s="126"/>
      <c r="Q150" s="126" t="s">
        <v>6</v>
      </c>
      <c r="R150" s="126" t="s">
        <v>6</v>
      </c>
      <c r="S150" s="126" t="s">
        <v>6</v>
      </c>
      <c r="T150" s="40" t="s">
        <v>6</v>
      </c>
      <c r="U150" s="218" t="s">
        <v>1051</v>
      </c>
      <c r="V150" s="204"/>
      <c r="W150" s="412" t="s">
        <v>137</v>
      </c>
      <c r="X150" s="199"/>
      <c r="Y150" s="199"/>
      <c r="Z150" s="199"/>
      <c r="AA150" s="126" t="s">
        <v>6</v>
      </c>
      <c r="AB150" s="198"/>
      <c r="AC150" s="199"/>
      <c r="AD150" s="199"/>
      <c r="AE150" s="412" t="s">
        <v>137</v>
      </c>
      <c r="AF150" s="199"/>
      <c r="AG150" s="199"/>
      <c r="AH150" s="199"/>
      <c r="AI150" s="126" t="s">
        <v>6</v>
      </c>
      <c r="AJ150" s="198"/>
      <c r="AK150" s="199"/>
      <c r="AL150" s="199"/>
      <c r="AM150" s="199"/>
      <c r="AN150" s="199"/>
      <c r="AO150" s="199"/>
      <c r="AP150" s="199"/>
      <c r="AQ150" s="199"/>
      <c r="AR150" s="199"/>
      <c r="AS150" s="199"/>
      <c r="AT150" s="199"/>
      <c r="AU150" s="199"/>
      <c r="AV150" s="199"/>
      <c r="AW150" s="155">
        <f t="shared" ref="AW150:AW156" si="12">LEN(L150)</f>
        <v>33</v>
      </c>
    </row>
    <row r="151" spans="1:49" s="236" customFormat="1" ht="39.6">
      <c r="A151" s="40">
        <f t="shared" si="10"/>
        <v>145</v>
      </c>
      <c r="B151" s="199"/>
      <c r="C151" s="199"/>
      <c r="D151" s="199"/>
      <c r="E151" s="199"/>
      <c r="F151" s="199"/>
      <c r="G151" s="199"/>
      <c r="H151" s="199"/>
      <c r="I151" s="199"/>
      <c r="J151" s="412" t="s">
        <v>1173</v>
      </c>
      <c r="K151" s="412" t="s">
        <v>140</v>
      </c>
      <c r="L151" s="204" t="s">
        <v>1174</v>
      </c>
      <c r="M151" s="351"/>
      <c r="N151" s="126" t="s">
        <v>504</v>
      </c>
      <c r="O151" s="126"/>
      <c r="P151" s="126"/>
      <c r="Q151" s="126" t="s">
        <v>6</v>
      </c>
      <c r="R151" s="126" t="s">
        <v>6</v>
      </c>
      <c r="S151" s="126" t="s">
        <v>6</v>
      </c>
      <c r="T151" s="40" t="s">
        <v>6</v>
      </c>
      <c r="U151" s="218" t="s">
        <v>1051</v>
      </c>
      <c r="V151" s="204"/>
      <c r="W151" s="412" t="s">
        <v>137</v>
      </c>
      <c r="X151" s="199"/>
      <c r="Y151" s="199"/>
      <c r="Z151" s="199"/>
      <c r="AA151" s="126" t="s">
        <v>6</v>
      </c>
      <c r="AB151" s="198"/>
      <c r="AC151" s="199"/>
      <c r="AD151" s="199"/>
      <c r="AE151" s="412" t="s">
        <v>137</v>
      </c>
      <c r="AF151" s="199"/>
      <c r="AG151" s="199"/>
      <c r="AH151" s="199"/>
      <c r="AI151" s="126" t="s">
        <v>6</v>
      </c>
      <c r="AJ151" s="198"/>
      <c r="AK151" s="199"/>
      <c r="AL151" s="199"/>
      <c r="AM151" s="199"/>
      <c r="AN151" s="199"/>
      <c r="AO151" s="199"/>
      <c r="AP151" s="199"/>
      <c r="AQ151" s="199"/>
      <c r="AR151" s="199"/>
      <c r="AS151" s="199"/>
      <c r="AT151" s="199"/>
      <c r="AU151" s="199"/>
      <c r="AV151" s="199"/>
      <c r="AW151" s="155">
        <f t="shared" si="12"/>
        <v>33</v>
      </c>
    </row>
    <row r="152" spans="1:49" s="236" customFormat="1" ht="15">
      <c r="A152" s="40">
        <f t="shared" si="10"/>
        <v>146</v>
      </c>
      <c r="B152" s="199"/>
      <c r="C152" s="199"/>
      <c r="D152" s="199"/>
      <c r="E152" s="199"/>
      <c r="F152" s="199"/>
      <c r="G152" s="199"/>
      <c r="H152" s="199"/>
      <c r="I152" s="199"/>
      <c r="J152" s="412" t="s">
        <v>1175</v>
      </c>
      <c r="K152" s="412" t="s">
        <v>140</v>
      </c>
      <c r="L152" s="204" t="s">
        <v>1176</v>
      </c>
      <c r="M152" s="351"/>
      <c r="N152" s="126" t="s">
        <v>504</v>
      </c>
      <c r="O152" s="126"/>
      <c r="P152" s="126"/>
      <c r="Q152" s="126" t="s">
        <v>6</v>
      </c>
      <c r="R152" s="126" t="s">
        <v>6</v>
      </c>
      <c r="S152" s="126" t="s">
        <v>6</v>
      </c>
      <c r="T152" s="40" t="s">
        <v>6</v>
      </c>
      <c r="U152" s="204" t="s">
        <v>1049</v>
      </c>
      <c r="V152" s="204"/>
      <c r="W152" s="412" t="s">
        <v>137</v>
      </c>
      <c r="X152" s="199"/>
      <c r="Y152" s="199"/>
      <c r="Z152" s="199"/>
      <c r="AA152" s="126" t="s">
        <v>6</v>
      </c>
      <c r="AB152" s="198"/>
      <c r="AC152" s="199"/>
      <c r="AD152" s="199"/>
      <c r="AE152" s="412" t="s">
        <v>137</v>
      </c>
      <c r="AF152" s="199"/>
      <c r="AG152" s="199"/>
      <c r="AH152" s="199"/>
      <c r="AI152" s="126" t="s">
        <v>6</v>
      </c>
      <c r="AJ152" s="198"/>
      <c r="AK152" s="199"/>
      <c r="AL152" s="199"/>
      <c r="AM152" s="199"/>
      <c r="AN152" s="199"/>
      <c r="AO152" s="199"/>
      <c r="AP152" s="199"/>
      <c r="AQ152" s="199"/>
      <c r="AR152" s="199"/>
      <c r="AS152" s="199"/>
      <c r="AT152" s="199"/>
      <c r="AU152" s="199"/>
      <c r="AV152" s="199"/>
      <c r="AW152" s="155">
        <f t="shared" si="12"/>
        <v>27</v>
      </c>
    </row>
    <row r="153" spans="1:49" s="236" customFormat="1" ht="39.6">
      <c r="A153" s="40">
        <f t="shared" si="10"/>
        <v>147</v>
      </c>
      <c r="B153" s="199"/>
      <c r="C153" s="199"/>
      <c r="D153" s="199"/>
      <c r="E153" s="199"/>
      <c r="F153" s="199"/>
      <c r="G153" s="199"/>
      <c r="H153" s="199"/>
      <c r="I153" s="199"/>
      <c r="J153" s="412" t="s">
        <v>1177</v>
      </c>
      <c r="K153" s="412" t="s">
        <v>140</v>
      </c>
      <c r="L153" s="204" t="s">
        <v>1178</v>
      </c>
      <c r="M153" s="351"/>
      <c r="N153" s="126" t="s">
        <v>504</v>
      </c>
      <c r="O153" s="126"/>
      <c r="P153" s="126"/>
      <c r="Q153" s="126" t="s">
        <v>6</v>
      </c>
      <c r="R153" s="126" t="s">
        <v>6</v>
      </c>
      <c r="S153" s="126" t="s">
        <v>6</v>
      </c>
      <c r="T153" s="40" t="s">
        <v>6</v>
      </c>
      <c r="U153" s="218" t="s">
        <v>1051</v>
      </c>
      <c r="V153" s="204"/>
      <c r="W153" s="412" t="s">
        <v>137</v>
      </c>
      <c r="X153" s="199"/>
      <c r="Y153" s="199"/>
      <c r="Z153" s="199"/>
      <c r="AA153" s="126" t="s">
        <v>6</v>
      </c>
      <c r="AB153" s="198"/>
      <c r="AC153" s="199"/>
      <c r="AD153" s="199"/>
      <c r="AE153" s="412" t="s">
        <v>137</v>
      </c>
      <c r="AF153" s="199"/>
      <c r="AG153" s="199"/>
      <c r="AH153" s="199"/>
      <c r="AI153" s="126" t="s">
        <v>6</v>
      </c>
      <c r="AJ153" s="198"/>
      <c r="AK153" s="199"/>
      <c r="AL153" s="199"/>
      <c r="AM153" s="199"/>
      <c r="AN153" s="199"/>
      <c r="AO153" s="199"/>
      <c r="AP153" s="199"/>
      <c r="AQ153" s="199"/>
      <c r="AR153" s="199"/>
      <c r="AS153" s="199"/>
      <c r="AT153" s="199"/>
      <c r="AU153" s="199"/>
      <c r="AV153" s="199"/>
      <c r="AW153" s="155">
        <f t="shared" si="12"/>
        <v>34</v>
      </c>
    </row>
    <row r="154" spans="1:49" s="236" customFormat="1" ht="39.6">
      <c r="A154" s="40">
        <f t="shared" si="10"/>
        <v>148</v>
      </c>
      <c r="B154" s="199"/>
      <c r="C154" s="199"/>
      <c r="D154" s="199"/>
      <c r="E154" s="199"/>
      <c r="F154" s="199"/>
      <c r="G154" s="199"/>
      <c r="H154" s="199"/>
      <c r="I154" s="199"/>
      <c r="J154" s="412" t="s">
        <v>1179</v>
      </c>
      <c r="K154" s="412" t="s">
        <v>140</v>
      </c>
      <c r="L154" s="204" t="s">
        <v>1180</v>
      </c>
      <c r="M154" s="351"/>
      <c r="N154" s="126" t="s">
        <v>504</v>
      </c>
      <c r="O154" s="126"/>
      <c r="P154" s="126"/>
      <c r="Q154" s="126" t="s">
        <v>6</v>
      </c>
      <c r="R154" s="126" t="s">
        <v>6</v>
      </c>
      <c r="S154" s="126" t="s">
        <v>6</v>
      </c>
      <c r="T154" s="40" t="s">
        <v>6</v>
      </c>
      <c r="U154" s="218" t="s">
        <v>1051</v>
      </c>
      <c r="V154" s="204"/>
      <c r="W154" s="412" t="s">
        <v>137</v>
      </c>
      <c r="X154" s="199"/>
      <c r="Y154" s="199"/>
      <c r="Z154" s="199"/>
      <c r="AA154" s="126" t="s">
        <v>6</v>
      </c>
      <c r="AB154" s="198"/>
      <c r="AC154" s="199"/>
      <c r="AD154" s="199"/>
      <c r="AE154" s="412" t="s">
        <v>137</v>
      </c>
      <c r="AF154" s="199"/>
      <c r="AG154" s="199"/>
      <c r="AH154" s="199"/>
      <c r="AI154" s="126" t="s">
        <v>6</v>
      </c>
      <c r="AJ154" s="198"/>
      <c r="AK154" s="199"/>
      <c r="AL154" s="199"/>
      <c r="AM154" s="199"/>
      <c r="AN154" s="199"/>
      <c r="AO154" s="199"/>
      <c r="AP154" s="199"/>
      <c r="AQ154" s="199"/>
      <c r="AR154" s="199"/>
      <c r="AS154" s="199"/>
      <c r="AT154" s="199"/>
      <c r="AU154" s="199"/>
      <c r="AV154" s="199"/>
      <c r="AW154" s="155">
        <f t="shared" si="12"/>
        <v>34</v>
      </c>
    </row>
    <row r="155" spans="1:49" s="236" customFormat="1" ht="39.6">
      <c r="A155" s="40">
        <f t="shared" si="10"/>
        <v>149</v>
      </c>
      <c r="B155" s="199"/>
      <c r="C155" s="199"/>
      <c r="D155" s="199"/>
      <c r="E155" s="199"/>
      <c r="F155" s="199"/>
      <c r="G155" s="199"/>
      <c r="H155" s="199"/>
      <c r="I155" s="199"/>
      <c r="J155" s="412" t="s">
        <v>1181</v>
      </c>
      <c r="K155" s="412" t="s">
        <v>140</v>
      </c>
      <c r="L155" s="204" t="s">
        <v>1182</v>
      </c>
      <c r="M155" s="351"/>
      <c r="N155" s="126" t="s">
        <v>504</v>
      </c>
      <c r="O155" s="126"/>
      <c r="P155" s="126"/>
      <c r="Q155" s="126" t="s">
        <v>6</v>
      </c>
      <c r="R155" s="126" t="s">
        <v>6</v>
      </c>
      <c r="S155" s="126" t="s">
        <v>6</v>
      </c>
      <c r="T155" s="40" t="s">
        <v>6</v>
      </c>
      <c r="U155" s="218" t="s">
        <v>1051</v>
      </c>
      <c r="V155" s="204"/>
      <c r="W155" s="412" t="s">
        <v>137</v>
      </c>
      <c r="X155" s="199"/>
      <c r="Y155" s="199"/>
      <c r="Z155" s="199"/>
      <c r="AA155" s="126" t="s">
        <v>6</v>
      </c>
      <c r="AB155" s="198"/>
      <c r="AC155" s="199"/>
      <c r="AD155" s="199"/>
      <c r="AE155" s="412" t="s">
        <v>137</v>
      </c>
      <c r="AF155" s="199"/>
      <c r="AG155" s="199"/>
      <c r="AH155" s="199"/>
      <c r="AI155" s="126" t="s">
        <v>6</v>
      </c>
      <c r="AJ155" s="198"/>
      <c r="AK155" s="199"/>
      <c r="AL155" s="199"/>
      <c r="AM155" s="199"/>
      <c r="AN155" s="199"/>
      <c r="AO155" s="199"/>
      <c r="AP155" s="199"/>
      <c r="AQ155" s="199"/>
      <c r="AR155" s="199"/>
      <c r="AS155" s="199"/>
      <c r="AT155" s="199"/>
      <c r="AU155" s="199"/>
      <c r="AV155" s="199"/>
      <c r="AW155" s="155">
        <f t="shared" si="12"/>
        <v>34</v>
      </c>
    </row>
    <row r="156" spans="1:49" s="236" customFormat="1" ht="15">
      <c r="A156" s="40">
        <f t="shared" si="10"/>
        <v>150</v>
      </c>
      <c r="B156" s="199"/>
      <c r="C156" s="199"/>
      <c r="D156" s="199"/>
      <c r="E156" s="199"/>
      <c r="F156" s="199"/>
      <c r="G156" s="199"/>
      <c r="H156" s="199"/>
      <c r="I156" s="199"/>
      <c r="J156" s="412" t="s">
        <v>1183</v>
      </c>
      <c r="K156" s="412" t="s">
        <v>140</v>
      </c>
      <c r="L156" s="204" t="s">
        <v>1184</v>
      </c>
      <c r="M156" s="351"/>
      <c r="N156" s="126" t="s">
        <v>504</v>
      </c>
      <c r="O156" s="126"/>
      <c r="P156" s="126"/>
      <c r="Q156" s="126" t="s">
        <v>6</v>
      </c>
      <c r="R156" s="126" t="s">
        <v>6</v>
      </c>
      <c r="S156" s="126" t="s">
        <v>6</v>
      </c>
      <c r="T156" s="40" t="s">
        <v>6</v>
      </c>
      <c r="U156" s="204" t="s">
        <v>1049</v>
      </c>
      <c r="V156" s="204"/>
      <c r="W156" s="412" t="s">
        <v>137</v>
      </c>
      <c r="X156" s="199"/>
      <c r="Y156" s="199"/>
      <c r="Z156" s="199"/>
      <c r="AA156" s="126" t="s">
        <v>6</v>
      </c>
      <c r="AB156" s="198"/>
      <c r="AC156" s="199"/>
      <c r="AD156" s="199"/>
      <c r="AE156" s="412" t="s">
        <v>137</v>
      </c>
      <c r="AF156" s="199"/>
      <c r="AG156" s="199"/>
      <c r="AH156" s="199"/>
      <c r="AI156" s="126" t="s">
        <v>6</v>
      </c>
      <c r="AJ156" s="198"/>
      <c r="AK156" s="199"/>
      <c r="AL156" s="199"/>
      <c r="AM156" s="199"/>
      <c r="AN156" s="199"/>
      <c r="AO156" s="199"/>
      <c r="AP156" s="199"/>
      <c r="AQ156" s="199"/>
      <c r="AR156" s="199"/>
      <c r="AS156" s="199"/>
      <c r="AT156" s="199"/>
      <c r="AU156" s="199"/>
      <c r="AV156" s="199"/>
      <c r="AW156" s="155">
        <f t="shared" si="12"/>
        <v>23</v>
      </c>
    </row>
    <row r="157" spans="1:49" s="236" customFormat="1" ht="39.6">
      <c r="A157" s="40">
        <f t="shared" si="10"/>
        <v>151</v>
      </c>
      <c r="B157" s="199"/>
      <c r="C157" s="199"/>
      <c r="D157" s="199"/>
      <c r="E157" s="199"/>
      <c r="F157" s="199"/>
      <c r="G157" s="199"/>
      <c r="H157" s="199"/>
      <c r="I157" s="199"/>
      <c r="J157" s="412" t="s">
        <v>1185</v>
      </c>
      <c r="K157" s="412" t="s">
        <v>140</v>
      </c>
      <c r="L157" s="204" t="s">
        <v>1186</v>
      </c>
      <c r="M157" s="351"/>
      <c r="N157" s="126" t="s">
        <v>504</v>
      </c>
      <c r="O157" s="126"/>
      <c r="P157" s="126"/>
      <c r="Q157" s="126" t="s">
        <v>6</v>
      </c>
      <c r="R157" s="126" t="s">
        <v>6</v>
      </c>
      <c r="S157" s="126" t="s">
        <v>6</v>
      </c>
      <c r="T157" s="40" t="s">
        <v>6</v>
      </c>
      <c r="U157" s="218" t="s">
        <v>1051</v>
      </c>
      <c r="V157" s="204"/>
      <c r="W157" s="412" t="s">
        <v>137</v>
      </c>
      <c r="X157" s="199"/>
      <c r="Y157" s="199"/>
      <c r="Z157" s="199"/>
      <c r="AA157" s="126" t="s">
        <v>6</v>
      </c>
      <c r="AB157" s="198"/>
      <c r="AC157" s="199"/>
      <c r="AD157" s="199"/>
      <c r="AE157" s="412" t="s">
        <v>137</v>
      </c>
      <c r="AF157" s="199"/>
      <c r="AG157" s="199"/>
      <c r="AH157" s="199"/>
      <c r="AI157" s="126" t="s">
        <v>6</v>
      </c>
      <c r="AJ157" s="198"/>
      <c r="AK157" s="199"/>
      <c r="AL157" s="199"/>
      <c r="AM157" s="199"/>
      <c r="AN157" s="199"/>
      <c r="AO157" s="199"/>
      <c r="AP157" s="199"/>
      <c r="AQ157" s="199"/>
      <c r="AR157" s="199"/>
      <c r="AS157" s="199"/>
      <c r="AT157" s="199"/>
      <c r="AU157" s="199"/>
      <c r="AV157" s="199"/>
      <c r="AW157" s="155">
        <v>34</v>
      </c>
    </row>
    <row r="158" spans="1:49" s="236" customFormat="1" ht="39.6">
      <c r="A158" s="40">
        <f t="shared" si="10"/>
        <v>152</v>
      </c>
      <c r="B158" s="199"/>
      <c r="C158" s="199"/>
      <c r="D158" s="199"/>
      <c r="E158" s="199"/>
      <c r="F158" s="199"/>
      <c r="G158" s="199"/>
      <c r="H158" s="199"/>
      <c r="I158" s="199"/>
      <c r="J158" s="412" t="s">
        <v>1187</v>
      </c>
      <c r="K158" s="412" t="s">
        <v>140</v>
      </c>
      <c r="L158" s="204" t="s">
        <v>1188</v>
      </c>
      <c r="M158" s="351"/>
      <c r="N158" s="126" t="s">
        <v>504</v>
      </c>
      <c r="O158" s="126"/>
      <c r="P158" s="126"/>
      <c r="Q158" s="126" t="s">
        <v>6</v>
      </c>
      <c r="R158" s="126" t="s">
        <v>6</v>
      </c>
      <c r="S158" s="126" t="s">
        <v>6</v>
      </c>
      <c r="T158" s="40" t="s">
        <v>6</v>
      </c>
      <c r="U158" s="218" t="s">
        <v>1051</v>
      </c>
      <c r="V158" s="204"/>
      <c r="W158" s="412" t="s">
        <v>137</v>
      </c>
      <c r="X158" s="199"/>
      <c r="Y158" s="199"/>
      <c r="Z158" s="199"/>
      <c r="AA158" s="126" t="s">
        <v>6</v>
      </c>
      <c r="AB158" s="198"/>
      <c r="AC158" s="199"/>
      <c r="AD158" s="199"/>
      <c r="AE158" s="412" t="s">
        <v>137</v>
      </c>
      <c r="AF158" s="199"/>
      <c r="AG158" s="199"/>
      <c r="AH158" s="199"/>
      <c r="AI158" s="126" t="s">
        <v>6</v>
      </c>
      <c r="AJ158" s="198"/>
      <c r="AK158" s="199"/>
      <c r="AL158" s="199"/>
      <c r="AM158" s="199"/>
      <c r="AN158" s="199"/>
      <c r="AO158" s="199"/>
      <c r="AP158" s="199"/>
      <c r="AQ158" s="199"/>
      <c r="AR158" s="199"/>
      <c r="AS158" s="199"/>
      <c r="AT158" s="199"/>
      <c r="AU158" s="199"/>
      <c r="AV158" s="199"/>
      <c r="AW158" s="155">
        <v>34</v>
      </c>
    </row>
    <row r="159" spans="1:49" s="236" customFormat="1" ht="39.6">
      <c r="A159" s="40">
        <f t="shared" si="10"/>
        <v>153</v>
      </c>
      <c r="B159" s="199"/>
      <c r="C159" s="199"/>
      <c r="D159" s="199"/>
      <c r="E159" s="199"/>
      <c r="F159" s="199"/>
      <c r="G159" s="199"/>
      <c r="H159" s="199"/>
      <c r="I159" s="199"/>
      <c r="J159" s="412" t="s">
        <v>1189</v>
      </c>
      <c r="K159" s="412" t="s">
        <v>140</v>
      </c>
      <c r="L159" s="204" t="s">
        <v>1190</v>
      </c>
      <c r="M159" s="351"/>
      <c r="N159" s="126" t="s">
        <v>504</v>
      </c>
      <c r="O159" s="126"/>
      <c r="P159" s="126"/>
      <c r="Q159" s="126" t="s">
        <v>6</v>
      </c>
      <c r="R159" s="126" t="s">
        <v>6</v>
      </c>
      <c r="S159" s="126" t="s">
        <v>6</v>
      </c>
      <c r="T159" s="40" t="s">
        <v>6</v>
      </c>
      <c r="U159" s="218" t="s">
        <v>1051</v>
      </c>
      <c r="V159" s="204"/>
      <c r="W159" s="412" t="s">
        <v>137</v>
      </c>
      <c r="X159" s="199"/>
      <c r="Y159" s="199"/>
      <c r="Z159" s="199"/>
      <c r="AA159" s="126" t="s">
        <v>6</v>
      </c>
      <c r="AB159" s="198"/>
      <c r="AC159" s="199"/>
      <c r="AD159" s="199"/>
      <c r="AE159" s="412" t="s">
        <v>137</v>
      </c>
      <c r="AF159" s="199"/>
      <c r="AG159" s="199"/>
      <c r="AH159" s="199"/>
      <c r="AI159" s="126" t="s">
        <v>6</v>
      </c>
      <c r="AJ159" s="198"/>
      <c r="AK159" s="199"/>
      <c r="AL159" s="199"/>
      <c r="AM159" s="199"/>
      <c r="AN159" s="199"/>
      <c r="AO159" s="199"/>
      <c r="AP159" s="199"/>
      <c r="AQ159" s="199"/>
      <c r="AR159" s="199"/>
      <c r="AS159" s="199"/>
      <c r="AT159" s="199"/>
      <c r="AU159" s="199"/>
      <c r="AV159" s="199"/>
      <c r="AW159" s="155">
        <v>34</v>
      </c>
    </row>
    <row r="160" spans="1:49" s="236" customFormat="1" ht="15">
      <c r="A160" s="40">
        <f t="shared" si="10"/>
        <v>154</v>
      </c>
      <c r="B160" s="199"/>
      <c r="C160" s="199"/>
      <c r="D160" s="199"/>
      <c r="E160" s="199"/>
      <c r="F160" s="199"/>
      <c r="G160" s="199"/>
      <c r="H160" s="199"/>
      <c r="I160" s="199"/>
      <c r="J160" s="412" t="s">
        <v>1191</v>
      </c>
      <c r="K160" s="412" t="s">
        <v>140</v>
      </c>
      <c r="L160" s="204" t="s">
        <v>1192</v>
      </c>
      <c r="M160" s="351"/>
      <c r="N160" s="126" t="s">
        <v>504</v>
      </c>
      <c r="O160" s="126"/>
      <c r="P160" s="126"/>
      <c r="Q160" s="126" t="s">
        <v>6</v>
      </c>
      <c r="R160" s="126" t="s">
        <v>6</v>
      </c>
      <c r="S160" s="126" t="s">
        <v>6</v>
      </c>
      <c r="T160" s="40" t="s">
        <v>6</v>
      </c>
      <c r="U160" s="218" t="s">
        <v>1193</v>
      </c>
      <c r="V160" s="204"/>
      <c r="W160" s="412" t="s">
        <v>137</v>
      </c>
      <c r="X160" s="199"/>
      <c r="Y160" s="199"/>
      <c r="Z160" s="199"/>
      <c r="AA160" s="126" t="s">
        <v>6</v>
      </c>
      <c r="AB160" s="198"/>
      <c r="AC160" s="199"/>
      <c r="AD160" s="199"/>
      <c r="AE160" s="412" t="s">
        <v>137</v>
      </c>
      <c r="AF160" s="199"/>
      <c r="AG160" s="199"/>
      <c r="AH160" s="199"/>
      <c r="AI160" s="126" t="s">
        <v>6</v>
      </c>
      <c r="AJ160" s="198"/>
      <c r="AK160" s="199"/>
      <c r="AL160" s="199"/>
      <c r="AM160" s="199"/>
      <c r="AN160" s="199"/>
      <c r="AO160" s="199"/>
      <c r="AP160" s="199"/>
      <c r="AQ160" s="199"/>
      <c r="AR160" s="199"/>
      <c r="AS160" s="199"/>
      <c r="AT160" s="199"/>
      <c r="AU160" s="199"/>
      <c r="AV160" s="199"/>
      <c r="AW160" s="155">
        <v>34</v>
      </c>
    </row>
    <row r="161" spans="1:49" s="236" customFormat="1" ht="15">
      <c r="A161" s="40">
        <f t="shared" si="10"/>
        <v>155</v>
      </c>
      <c r="B161" s="199"/>
      <c r="C161" s="199"/>
      <c r="D161" s="199"/>
      <c r="E161" s="199"/>
      <c r="F161" s="199"/>
      <c r="G161" s="199"/>
      <c r="H161" s="199"/>
      <c r="I161" s="199"/>
      <c r="J161" s="412" t="s">
        <v>1194</v>
      </c>
      <c r="K161" s="412" t="s">
        <v>140</v>
      </c>
      <c r="L161" s="204" t="s">
        <v>1195</v>
      </c>
      <c r="M161" s="351"/>
      <c r="N161" s="126" t="s">
        <v>504</v>
      </c>
      <c r="O161" s="126"/>
      <c r="P161" s="126"/>
      <c r="Q161" s="126" t="s">
        <v>6</v>
      </c>
      <c r="R161" s="126" t="s">
        <v>6</v>
      </c>
      <c r="S161" s="126" t="s">
        <v>6</v>
      </c>
      <c r="T161" s="40" t="s">
        <v>6</v>
      </c>
      <c r="U161" s="218" t="s">
        <v>1193</v>
      </c>
      <c r="V161" s="204"/>
      <c r="W161" s="412" t="s">
        <v>137</v>
      </c>
      <c r="X161" s="199"/>
      <c r="Y161" s="199"/>
      <c r="Z161" s="199"/>
      <c r="AA161" s="126" t="s">
        <v>6</v>
      </c>
      <c r="AB161" s="198"/>
      <c r="AC161" s="199"/>
      <c r="AD161" s="199"/>
      <c r="AE161" s="412" t="s">
        <v>137</v>
      </c>
      <c r="AF161" s="199"/>
      <c r="AG161" s="199"/>
      <c r="AH161" s="199"/>
      <c r="AI161" s="126" t="s">
        <v>6</v>
      </c>
      <c r="AJ161" s="198"/>
      <c r="AK161" s="199"/>
      <c r="AL161" s="199"/>
      <c r="AM161" s="199"/>
      <c r="AN161" s="199"/>
      <c r="AO161" s="199"/>
      <c r="AP161" s="199"/>
      <c r="AQ161" s="199"/>
      <c r="AR161" s="199"/>
      <c r="AS161" s="199"/>
      <c r="AT161" s="199"/>
      <c r="AU161" s="199"/>
      <c r="AV161" s="199"/>
      <c r="AW161" s="155">
        <v>34</v>
      </c>
    </row>
    <row r="162" spans="1:49" s="236" customFormat="1" ht="15">
      <c r="A162" s="40">
        <f t="shared" si="10"/>
        <v>156</v>
      </c>
      <c r="B162" s="199"/>
      <c r="C162" s="199"/>
      <c r="D162" s="199"/>
      <c r="E162" s="199"/>
      <c r="F162" s="199"/>
      <c r="G162" s="199"/>
      <c r="H162" s="199"/>
      <c r="I162" s="199"/>
      <c r="J162" s="412" t="s">
        <v>1196</v>
      </c>
      <c r="K162" s="412" t="s">
        <v>140</v>
      </c>
      <c r="L162" s="204" t="s">
        <v>1197</v>
      </c>
      <c r="M162" s="351"/>
      <c r="N162" s="126" t="s">
        <v>504</v>
      </c>
      <c r="O162" s="126"/>
      <c r="P162" s="126"/>
      <c r="Q162" s="126" t="s">
        <v>6</v>
      </c>
      <c r="R162" s="126" t="s">
        <v>6</v>
      </c>
      <c r="S162" s="126" t="s">
        <v>6</v>
      </c>
      <c r="T162" s="40" t="s">
        <v>6</v>
      </c>
      <c r="U162" s="218" t="s">
        <v>1193</v>
      </c>
      <c r="V162" s="204"/>
      <c r="W162" s="412" t="s">
        <v>137</v>
      </c>
      <c r="X162" s="199"/>
      <c r="Y162" s="199"/>
      <c r="Z162" s="199"/>
      <c r="AA162" s="126" t="s">
        <v>6</v>
      </c>
      <c r="AB162" s="198"/>
      <c r="AC162" s="199"/>
      <c r="AD162" s="199"/>
      <c r="AE162" s="412" t="s">
        <v>137</v>
      </c>
      <c r="AF162" s="199"/>
      <c r="AG162" s="199"/>
      <c r="AH162" s="199"/>
      <c r="AI162" s="126" t="s">
        <v>6</v>
      </c>
      <c r="AJ162" s="198"/>
      <c r="AK162" s="199"/>
      <c r="AL162" s="199"/>
      <c r="AM162" s="199"/>
      <c r="AN162" s="199"/>
      <c r="AO162" s="199"/>
      <c r="AP162" s="199"/>
      <c r="AQ162" s="199"/>
      <c r="AR162" s="199"/>
      <c r="AS162" s="199"/>
      <c r="AT162" s="199"/>
      <c r="AU162" s="199"/>
      <c r="AV162" s="199"/>
      <c r="AW162" s="155">
        <v>34</v>
      </c>
    </row>
    <row r="163" spans="1:49" s="236" customFormat="1" ht="15">
      <c r="A163" s="40">
        <f t="shared" si="10"/>
        <v>157</v>
      </c>
      <c r="B163" s="199"/>
      <c r="C163" s="199"/>
      <c r="D163" s="199"/>
      <c r="E163" s="199"/>
      <c r="F163" s="199"/>
      <c r="G163" s="199"/>
      <c r="H163" s="199"/>
      <c r="I163" s="199"/>
      <c r="J163" s="412" t="s">
        <v>1198</v>
      </c>
      <c r="K163" s="412" t="s">
        <v>140</v>
      </c>
      <c r="L163" s="204" t="s">
        <v>1199</v>
      </c>
      <c r="M163" s="351"/>
      <c r="N163" s="126" t="s">
        <v>504</v>
      </c>
      <c r="O163" s="126"/>
      <c r="P163" s="126"/>
      <c r="Q163" s="126" t="s">
        <v>6</v>
      </c>
      <c r="R163" s="126" t="s">
        <v>6</v>
      </c>
      <c r="S163" s="126" t="s">
        <v>6</v>
      </c>
      <c r="T163" s="40" t="s">
        <v>6</v>
      </c>
      <c r="U163" s="218" t="s">
        <v>1193</v>
      </c>
      <c r="V163" s="204"/>
      <c r="W163" s="412" t="s">
        <v>137</v>
      </c>
      <c r="X163" s="199"/>
      <c r="Y163" s="199"/>
      <c r="Z163" s="199"/>
      <c r="AA163" s="126" t="s">
        <v>6</v>
      </c>
      <c r="AB163" s="198"/>
      <c r="AC163" s="199"/>
      <c r="AD163" s="199"/>
      <c r="AE163" s="412" t="s">
        <v>137</v>
      </c>
      <c r="AF163" s="199"/>
      <c r="AG163" s="199"/>
      <c r="AH163" s="199"/>
      <c r="AI163" s="126" t="s">
        <v>6</v>
      </c>
      <c r="AJ163" s="198"/>
      <c r="AK163" s="199"/>
      <c r="AL163" s="199"/>
      <c r="AM163" s="199"/>
      <c r="AN163" s="199"/>
      <c r="AO163" s="199"/>
      <c r="AP163" s="199"/>
      <c r="AQ163" s="199"/>
      <c r="AR163" s="199"/>
      <c r="AS163" s="199"/>
      <c r="AT163" s="199"/>
      <c r="AU163" s="199"/>
      <c r="AV163" s="199"/>
      <c r="AW163" s="155">
        <v>34</v>
      </c>
    </row>
    <row r="164" spans="1:49" s="236" customFormat="1" ht="15">
      <c r="A164" s="40">
        <f t="shared" si="10"/>
        <v>158</v>
      </c>
      <c r="B164" s="199"/>
      <c r="C164" s="199"/>
      <c r="D164" s="199"/>
      <c r="E164" s="199"/>
      <c r="F164" s="199"/>
      <c r="G164" s="199"/>
      <c r="H164" s="199"/>
      <c r="I164" s="199"/>
      <c r="J164" s="412" t="s">
        <v>1200</v>
      </c>
      <c r="K164" s="412" t="s">
        <v>140</v>
      </c>
      <c r="L164" s="204" t="s">
        <v>1201</v>
      </c>
      <c r="M164" s="351"/>
      <c r="N164" s="126" t="s">
        <v>504</v>
      </c>
      <c r="O164" s="126"/>
      <c r="P164" s="126"/>
      <c r="Q164" s="126" t="s">
        <v>6</v>
      </c>
      <c r="R164" s="126" t="s">
        <v>6</v>
      </c>
      <c r="S164" s="126" t="s">
        <v>6</v>
      </c>
      <c r="T164" s="40" t="s">
        <v>6</v>
      </c>
      <c r="U164" s="218" t="s">
        <v>1193</v>
      </c>
      <c r="V164" s="204"/>
      <c r="W164" s="412" t="s">
        <v>137</v>
      </c>
      <c r="X164" s="199"/>
      <c r="Y164" s="199"/>
      <c r="Z164" s="199"/>
      <c r="AA164" s="126" t="s">
        <v>6</v>
      </c>
      <c r="AB164" s="198"/>
      <c r="AC164" s="199"/>
      <c r="AD164" s="199"/>
      <c r="AE164" s="412" t="s">
        <v>137</v>
      </c>
      <c r="AF164" s="199"/>
      <c r="AG164" s="199"/>
      <c r="AH164" s="199"/>
      <c r="AI164" s="126" t="s">
        <v>6</v>
      </c>
      <c r="AJ164" s="198"/>
      <c r="AK164" s="199"/>
      <c r="AL164" s="199"/>
      <c r="AM164" s="199"/>
      <c r="AN164" s="199"/>
      <c r="AO164" s="199"/>
      <c r="AP164" s="199"/>
      <c r="AQ164" s="199"/>
      <c r="AR164" s="199"/>
      <c r="AS164" s="199"/>
      <c r="AT164" s="199"/>
      <c r="AU164" s="199"/>
      <c r="AV164" s="199"/>
      <c r="AW164" s="155">
        <v>34</v>
      </c>
    </row>
    <row r="165" spans="1:49" s="236" customFormat="1" ht="15">
      <c r="A165" s="40">
        <f t="shared" si="10"/>
        <v>159</v>
      </c>
      <c r="B165" s="199"/>
      <c r="C165" s="199"/>
      <c r="D165" s="199"/>
      <c r="E165" s="199"/>
      <c r="F165" s="199"/>
      <c r="G165" s="199"/>
      <c r="H165" s="199"/>
      <c r="I165" s="199"/>
      <c r="J165" s="412" t="s">
        <v>1202</v>
      </c>
      <c r="K165" s="412" t="s">
        <v>140</v>
      </c>
      <c r="L165" s="204" t="s">
        <v>1203</v>
      </c>
      <c r="M165" s="351"/>
      <c r="N165" s="126" t="s">
        <v>504</v>
      </c>
      <c r="O165" s="126"/>
      <c r="P165" s="126"/>
      <c r="Q165" s="126" t="s">
        <v>6</v>
      </c>
      <c r="R165" s="126" t="s">
        <v>6</v>
      </c>
      <c r="S165" s="126" t="s">
        <v>6</v>
      </c>
      <c r="T165" s="40" t="s">
        <v>6</v>
      </c>
      <c r="U165" s="218" t="s">
        <v>1193</v>
      </c>
      <c r="V165" s="204"/>
      <c r="W165" s="412" t="s">
        <v>137</v>
      </c>
      <c r="X165" s="199"/>
      <c r="Y165" s="199"/>
      <c r="Z165" s="199"/>
      <c r="AA165" s="126" t="s">
        <v>6</v>
      </c>
      <c r="AB165" s="198"/>
      <c r="AC165" s="199"/>
      <c r="AD165" s="199"/>
      <c r="AE165" s="412" t="s">
        <v>137</v>
      </c>
      <c r="AF165" s="199"/>
      <c r="AG165" s="199"/>
      <c r="AH165" s="199"/>
      <c r="AI165" s="126" t="s">
        <v>6</v>
      </c>
      <c r="AJ165" s="198"/>
      <c r="AK165" s="199"/>
      <c r="AL165" s="199"/>
      <c r="AM165" s="199"/>
      <c r="AN165" s="199"/>
      <c r="AO165" s="199"/>
      <c r="AP165" s="199"/>
      <c r="AQ165" s="199"/>
      <c r="AR165" s="199"/>
      <c r="AS165" s="199"/>
      <c r="AT165" s="199"/>
      <c r="AU165" s="199"/>
      <c r="AV165" s="199"/>
      <c r="AW165" s="155">
        <v>34</v>
      </c>
    </row>
    <row r="166" spans="1:49" s="236" customFormat="1" ht="15">
      <c r="A166" s="40">
        <f t="shared" si="10"/>
        <v>160</v>
      </c>
      <c r="B166" s="199"/>
      <c r="C166" s="199"/>
      <c r="D166" s="199"/>
      <c r="E166" s="199"/>
      <c r="F166" s="199"/>
      <c r="G166" s="199"/>
      <c r="H166" s="199"/>
      <c r="I166" s="199"/>
      <c r="J166" s="412" t="s">
        <v>1204</v>
      </c>
      <c r="K166" s="412" t="s">
        <v>140</v>
      </c>
      <c r="L166" s="204" t="s">
        <v>1205</v>
      </c>
      <c r="M166" s="351"/>
      <c r="N166" s="126" t="s">
        <v>504</v>
      </c>
      <c r="O166" s="126"/>
      <c r="P166" s="126"/>
      <c r="Q166" s="126" t="s">
        <v>6</v>
      </c>
      <c r="R166" s="126" t="s">
        <v>6</v>
      </c>
      <c r="S166" s="126" t="s">
        <v>6</v>
      </c>
      <c r="T166" s="40" t="s">
        <v>6</v>
      </c>
      <c r="U166" s="218" t="s">
        <v>1193</v>
      </c>
      <c r="V166" s="204"/>
      <c r="W166" s="412" t="s">
        <v>137</v>
      </c>
      <c r="X166" s="199"/>
      <c r="Y166" s="199"/>
      <c r="Z166" s="199"/>
      <c r="AA166" s="126" t="s">
        <v>6</v>
      </c>
      <c r="AB166" s="198"/>
      <c r="AC166" s="199"/>
      <c r="AD166" s="199"/>
      <c r="AE166" s="412" t="s">
        <v>137</v>
      </c>
      <c r="AF166" s="199"/>
      <c r="AG166" s="199"/>
      <c r="AH166" s="199"/>
      <c r="AI166" s="126" t="s">
        <v>6</v>
      </c>
      <c r="AJ166" s="198"/>
      <c r="AK166" s="199"/>
      <c r="AL166" s="199"/>
      <c r="AM166" s="199"/>
      <c r="AN166" s="199"/>
      <c r="AO166" s="199"/>
      <c r="AP166" s="199"/>
      <c r="AQ166" s="199"/>
      <c r="AR166" s="199"/>
      <c r="AS166" s="199"/>
      <c r="AT166" s="199"/>
      <c r="AU166" s="199"/>
      <c r="AV166" s="199"/>
      <c r="AW166" s="155">
        <v>34</v>
      </c>
    </row>
    <row r="167" spans="1:49" s="236" customFormat="1" ht="15">
      <c r="A167" s="40">
        <f t="shared" si="10"/>
        <v>161</v>
      </c>
      <c r="B167" s="199"/>
      <c r="C167" s="199"/>
      <c r="D167" s="199"/>
      <c r="E167" s="199"/>
      <c r="F167" s="199"/>
      <c r="G167" s="199"/>
      <c r="H167" s="199"/>
      <c r="I167" s="199"/>
      <c r="J167" s="412" t="s">
        <v>1206</v>
      </c>
      <c r="K167" s="412" t="s">
        <v>140</v>
      </c>
      <c r="L167" s="204" t="s">
        <v>1207</v>
      </c>
      <c r="M167" s="351"/>
      <c r="N167" s="126" t="s">
        <v>504</v>
      </c>
      <c r="O167" s="126"/>
      <c r="P167" s="126"/>
      <c r="Q167" s="126" t="s">
        <v>6</v>
      </c>
      <c r="R167" s="126" t="s">
        <v>6</v>
      </c>
      <c r="S167" s="126" t="s">
        <v>6</v>
      </c>
      <c r="T167" s="40" t="s">
        <v>6</v>
      </c>
      <c r="U167" s="218" t="s">
        <v>1193</v>
      </c>
      <c r="V167" s="204"/>
      <c r="W167" s="412" t="s">
        <v>137</v>
      </c>
      <c r="X167" s="199"/>
      <c r="Y167" s="199"/>
      <c r="Z167" s="199"/>
      <c r="AA167" s="126" t="s">
        <v>6</v>
      </c>
      <c r="AB167" s="198"/>
      <c r="AC167" s="199"/>
      <c r="AD167" s="199"/>
      <c r="AE167" s="412" t="s">
        <v>137</v>
      </c>
      <c r="AF167" s="199"/>
      <c r="AG167" s="199"/>
      <c r="AH167" s="199"/>
      <c r="AI167" s="126" t="s">
        <v>6</v>
      </c>
      <c r="AJ167" s="198"/>
      <c r="AK167" s="199"/>
      <c r="AL167" s="199"/>
      <c r="AM167" s="199"/>
      <c r="AN167" s="199"/>
      <c r="AO167" s="199"/>
      <c r="AP167" s="199"/>
      <c r="AQ167" s="199"/>
      <c r="AR167" s="199"/>
      <c r="AS167" s="199"/>
      <c r="AT167" s="199"/>
      <c r="AU167" s="199"/>
      <c r="AV167" s="199"/>
      <c r="AW167" s="155">
        <v>34</v>
      </c>
    </row>
    <row r="168" spans="1:49" s="236" customFormat="1" ht="15">
      <c r="A168" s="40">
        <f t="shared" si="10"/>
        <v>162</v>
      </c>
      <c r="B168" s="199"/>
      <c r="C168" s="199"/>
      <c r="D168" s="199"/>
      <c r="E168" s="199"/>
      <c r="F168" s="199"/>
      <c r="G168" s="199"/>
      <c r="H168" s="199"/>
      <c r="I168" s="199" t="s">
        <v>868</v>
      </c>
      <c r="J168" s="399" t="s">
        <v>1208</v>
      </c>
      <c r="K168" s="232" t="s">
        <v>65</v>
      </c>
      <c r="L168" s="204" t="s">
        <v>1209</v>
      </c>
      <c r="M168" s="351"/>
      <c r="N168" s="126" t="s">
        <v>504</v>
      </c>
      <c r="O168" s="126"/>
      <c r="P168" s="126"/>
      <c r="Q168" s="126" t="s">
        <v>6</v>
      </c>
      <c r="R168" s="126" t="s">
        <v>6</v>
      </c>
      <c r="S168" s="126" t="s">
        <v>6</v>
      </c>
      <c r="T168" s="40" t="s">
        <v>6</v>
      </c>
      <c r="U168" s="204"/>
      <c r="V168" s="232"/>
      <c r="W168" s="399" t="s">
        <v>65</v>
      </c>
      <c r="X168" s="199"/>
      <c r="Y168" s="199"/>
      <c r="Z168" s="126" t="s">
        <v>6</v>
      </c>
      <c r="AA168" s="126" t="s">
        <v>6</v>
      </c>
      <c r="AB168" s="198"/>
      <c r="AC168" s="199"/>
      <c r="AD168" s="199"/>
      <c r="AE168" s="399" t="s">
        <v>65</v>
      </c>
      <c r="AF168" s="199"/>
      <c r="AG168" s="199"/>
      <c r="AH168" s="126" t="s">
        <v>6</v>
      </c>
      <c r="AI168" s="126" t="s">
        <v>6</v>
      </c>
      <c r="AJ168" s="198"/>
      <c r="AK168" s="199"/>
      <c r="AL168" s="199"/>
      <c r="AM168" s="199"/>
      <c r="AN168" s="199"/>
      <c r="AO168" s="199"/>
      <c r="AP168" s="199"/>
      <c r="AQ168" s="199"/>
      <c r="AR168" s="199"/>
      <c r="AS168" s="199"/>
      <c r="AT168" s="199"/>
      <c r="AU168" s="199"/>
      <c r="AV168" s="199"/>
      <c r="AW168" s="155">
        <f t="shared" ref="AW168:AW183" si="13">LEN(L168)</f>
        <v>33</v>
      </c>
    </row>
    <row r="169" spans="1:49" s="236" customFormat="1" ht="15">
      <c r="A169" s="40">
        <f t="shared" si="10"/>
        <v>163</v>
      </c>
      <c r="B169" s="199"/>
      <c r="C169" s="199"/>
      <c r="D169" s="199"/>
      <c r="E169" s="199"/>
      <c r="F169" s="199"/>
      <c r="G169" s="199"/>
      <c r="H169" s="199"/>
      <c r="I169" s="199"/>
      <c r="J169" s="399" t="s">
        <v>1210</v>
      </c>
      <c r="K169" s="232" t="s">
        <v>117</v>
      </c>
      <c r="L169" s="204" t="s">
        <v>1211</v>
      </c>
      <c r="M169" s="351"/>
      <c r="N169" s="126" t="s">
        <v>504</v>
      </c>
      <c r="O169" s="126"/>
      <c r="P169" s="126"/>
      <c r="Q169" s="126" t="s">
        <v>6</v>
      </c>
      <c r="R169" s="126" t="s">
        <v>6</v>
      </c>
      <c r="S169" s="126" t="s">
        <v>6</v>
      </c>
      <c r="T169" s="40" t="s">
        <v>6</v>
      </c>
      <c r="U169" s="244" t="s">
        <v>1212</v>
      </c>
      <c r="V169" s="242"/>
      <c r="W169" s="204" t="s">
        <v>125</v>
      </c>
      <c r="X169" s="199"/>
      <c r="Y169" s="199"/>
      <c r="Z169" s="199"/>
      <c r="AA169" s="126" t="s">
        <v>6</v>
      </c>
      <c r="AB169" s="198"/>
      <c r="AC169" s="199"/>
      <c r="AD169" s="199"/>
      <c r="AE169" s="204" t="s">
        <v>125</v>
      </c>
      <c r="AF169" s="199"/>
      <c r="AG169" s="199"/>
      <c r="AH169" s="199"/>
      <c r="AI169" s="126" t="s">
        <v>6</v>
      </c>
      <c r="AJ169" s="198"/>
      <c r="AK169" s="199"/>
      <c r="AL169" s="199"/>
      <c r="AM169" s="199"/>
      <c r="AN169" s="199"/>
      <c r="AO169" s="199"/>
      <c r="AP169" s="199"/>
      <c r="AQ169" s="199"/>
      <c r="AR169" s="199"/>
      <c r="AS169" s="199"/>
      <c r="AT169" s="199"/>
      <c r="AU169" s="199"/>
      <c r="AV169" s="199"/>
      <c r="AW169" s="155">
        <f t="shared" si="13"/>
        <v>26</v>
      </c>
    </row>
    <row r="170" spans="1:49" s="236" customFormat="1" ht="15">
      <c r="A170" s="40">
        <f t="shared" si="10"/>
        <v>164</v>
      </c>
      <c r="B170" s="199"/>
      <c r="C170" s="199"/>
      <c r="D170" s="199"/>
      <c r="E170" s="199"/>
      <c r="F170" s="199"/>
      <c r="G170" s="199"/>
      <c r="H170" s="199"/>
      <c r="I170" s="199"/>
      <c r="J170" s="399" t="s">
        <v>1213</v>
      </c>
      <c r="K170" s="232" t="s">
        <v>117</v>
      </c>
      <c r="L170" s="204" t="s">
        <v>1214</v>
      </c>
      <c r="M170" s="351"/>
      <c r="N170" s="126" t="s">
        <v>504</v>
      </c>
      <c r="O170" s="126"/>
      <c r="P170" s="126"/>
      <c r="Q170" s="126" t="s">
        <v>6</v>
      </c>
      <c r="R170" s="126" t="s">
        <v>6</v>
      </c>
      <c r="S170" s="126" t="s">
        <v>6</v>
      </c>
      <c r="T170" s="40" t="s">
        <v>6</v>
      </c>
      <c r="U170" s="244" t="s">
        <v>1212</v>
      </c>
      <c r="V170" s="232"/>
      <c r="W170" s="204" t="s">
        <v>125</v>
      </c>
      <c r="X170" s="199"/>
      <c r="Y170" s="199"/>
      <c r="Z170" s="199"/>
      <c r="AA170" s="126" t="s">
        <v>6</v>
      </c>
      <c r="AB170" s="198"/>
      <c r="AC170" s="199"/>
      <c r="AD170" s="199"/>
      <c r="AE170" s="204" t="s">
        <v>125</v>
      </c>
      <c r="AF170" s="199"/>
      <c r="AG170" s="199"/>
      <c r="AH170" s="199"/>
      <c r="AI170" s="126" t="s">
        <v>6</v>
      </c>
      <c r="AJ170" s="198"/>
      <c r="AK170" s="199"/>
      <c r="AL170" s="199"/>
      <c r="AM170" s="199"/>
      <c r="AN170" s="199"/>
      <c r="AO170" s="199"/>
      <c r="AP170" s="199"/>
      <c r="AQ170" s="199"/>
      <c r="AR170" s="199"/>
      <c r="AS170" s="199"/>
      <c r="AT170" s="199"/>
      <c r="AU170" s="199"/>
      <c r="AV170" s="199"/>
      <c r="AW170" s="155">
        <f t="shared" si="13"/>
        <v>24</v>
      </c>
    </row>
    <row r="171" spans="1:49" s="236" customFormat="1" ht="15">
      <c r="A171" s="40">
        <f t="shared" si="10"/>
        <v>165</v>
      </c>
      <c r="B171" s="199"/>
      <c r="C171" s="199"/>
      <c r="D171" s="199"/>
      <c r="E171" s="199"/>
      <c r="F171" s="199"/>
      <c r="G171" s="199"/>
      <c r="H171" s="199"/>
      <c r="I171" s="199"/>
      <c r="J171" s="399" t="s">
        <v>1215</v>
      </c>
      <c r="K171" s="232" t="s">
        <v>117</v>
      </c>
      <c r="L171" s="204" t="s">
        <v>1216</v>
      </c>
      <c r="M171" s="351"/>
      <c r="N171" s="126" t="s">
        <v>504</v>
      </c>
      <c r="O171" s="126"/>
      <c r="P171" s="126"/>
      <c r="Q171" s="126" t="s">
        <v>6</v>
      </c>
      <c r="R171" s="126" t="s">
        <v>6</v>
      </c>
      <c r="S171" s="126" t="s">
        <v>6</v>
      </c>
      <c r="T171" s="40" t="s">
        <v>6</v>
      </c>
      <c r="U171" s="244" t="s">
        <v>1212</v>
      </c>
      <c r="V171" s="209"/>
      <c r="W171" s="204" t="s">
        <v>125</v>
      </c>
      <c r="X171" s="199"/>
      <c r="Y171" s="199"/>
      <c r="Z171" s="199"/>
      <c r="AA171" s="126" t="s">
        <v>6</v>
      </c>
      <c r="AB171" s="198"/>
      <c r="AC171" s="199"/>
      <c r="AD171" s="199" t="s">
        <v>915</v>
      </c>
      <c r="AE171" s="204" t="s">
        <v>125</v>
      </c>
      <c r="AF171" s="199"/>
      <c r="AG171" s="199"/>
      <c r="AH171" s="199"/>
      <c r="AI171" s="126" t="s">
        <v>6</v>
      </c>
      <c r="AJ171" s="198"/>
      <c r="AK171" s="199"/>
      <c r="AL171" s="199" t="s">
        <v>915</v>
      </c>
      <c r="AM171" s="198" t="s">
        <v>1217</v>
      </c>
      <c r="AN171" s="203" t="s">
        <v>908</v>
      </c>
      <c r="AO171" s="199"/>
      <c r="AP171" s="199"/>
      <c r="AQ171" s="199"/>
      <c r="AR171" s="199"/>
      <c r="AS171" s="199"/>
      <c r="AT171" s="199"/>
      <c r="AU171" s="199"/>
      <c r="AV171" s="199"/>
      <c r="AW171" s="155">
        <f t="shared" si="13"/>
        <v>23</v>
      </c>
    </row>
    <row r="172" spans="1:49" s="236" customFormat="1" ht="15">
      <c r="A172" s="40">
        <f t="shared" si="10"/>
        <v>166</v>
      </c>
      <c r="B172" s="199"/>
      <c r="C172" s="199"/>
      <c r="D172" s="199"/>
      <c r="E172" s="199"/>
      <c r="F172" s="199"/>
      <c r="G172" s="199"/>
      <c r="H172" s="199"/>
      <c r="I172" s="199"/>
      <c r="J172" s="399" t="s">
        <v>1218</v>
      </c>
      <c r="K172" s="232" t="s">
        <v>117</v>
      </c>
      <c r="L172" s="204" t="s">
        <v>1219</v>
      </c>
      <c r="M172" s="351"/>
      <c r="N172" s="126" t="s">
        <v>504</v>
      </c>
      <c r="O172" s="126"/>
      <c r="P172" s="126"/>
      <c r="Q172" s="126" t="s">
        <v>6</v>
      </c>
      <c r="R172" s="126" t="s">
        <v>6</v>
      </c>
      <c r="S172" s="126" t="s">
        <v>6</v>
      </c>
      <c r="T172" s="126" t="s">
        <v>6</v>
      </c>
      <c r="U172" s="208"/>
      <c r="V172" s="208"/>
      <c r="W172" s="204" t="s">
        <v>125</v>
      </c>
      <c r="X172" s="199"/>
      <c r="Y172" s="199"/>
      <c r="Z172" s="199"/>
      <c r="AA172" s="126" t="s">
        <v>6</v>
      </c>
      <c r="AB172" s="198"/>
      <c r="AC172" s="199"/>
      <c r="AD172" s="199"/>
      <c r="AE172" s="204" t="s">
        <v>125</v>
      </c>
      <c r="AF172" s="199"/>
      <c r="AG172" s="199"/>
      <c r="AH172" s="199"/>
      <c r="AI172" s="126" t="s">
        <v>6</v>
      </c>
      <c r="AJ172" s="198"/>
      <c r="AK172" s="199"/>
      <c r="AL172" s="199"/>
      <c r="AM172" s="199"/>
      <c r="AN172" s="199"/>
      <c r="AO172" s="199"/>
      <c r="AP172" s="199"/>
      <c r="AQ172" s="199"/>
      <c r="AR172" s="199"/>
      <c r="AS172" s="199"/>
      <c r="AT172" s="199"/>
      <c r="AU172" s="199"/>
      <c r="AV172" s="199"/>
      <c r="AW172" s="155">
        <f t="shared" si="13"/>
        <v>32</v>
      </c>
    </row>
    <row r="173" spans="1:49" s="236" customFormat="1" ht="15">
      <c r="A173" s="40">
        <f t="shared" si="10"/>
        <v>167</v>
      </c>
      <c r="B173" s="199"/>
      <c r="C173" s="199"/>
      <c r="D173" s="199"/>
      <c r="E173" s="199"/>
      <c r="F173" s="199"/>
      <c r="G173" s="199"/>
      <c r="H173" s="199"/>
      <c r="I173" s="199"/>
      <c r="J173" s="399" t="s">
        <v>1220</v>
      </c>
      <c r="K173" s="232" t="s">
        <v>117</v>
      </c>
      <c r="L173" s="204" t="s">
        <v>1221</v>
      </c>
      <c r="M173" s="351"/>
      <c r="N173" s="126" t="s">
        <v>504</v>
      </c>
      <c r="O173" s="126"/>
      <c r="P173" s="126"/>
      <c r="Q173" s="126" t="s">
        <v>6</v>
      </c>
      <c r="R173" s="126" t="s">
        <v>6</v>
      </c>
      <c r="S173" s="126" t="s">
        <v>6</v>
      </c>
      <c r="T173" s="126" t="s">
        <v>6</v>
      </c>
      <c r="U173" s="208"/>
      <c r="V173" s="208"/>
      <c r="W173" s="204" t="s">
        <v>125</v>
      </c>
      <c r="X173" s="199"/>
      <c r="Y173" s="199"/>
      <c r="Z173" s="199"/>
      <c r="AA173" s="126" t="s">
        <v>6</v>
      </c>
      <c r="AB173" s="198"/>
      <c r="AC173" s="199"/>
      <c r="AD173" s="199"/>
      <c r="AE173" s="204" t="s">
        <v>125</v>
      </c>
      <c r="AF173" s="199"/>
      <c r="AG173" s="199"/>
      <c r="AH173" s="199"/>
      <c r="AI173" s="126" t="s">
        <v>6</v>
      </c>
      <c r="AJ173" s="198"/>
      <c r="AK173" s="199"/>
      <c r="AL173" s="199"/>
      <c r="AM173" s="199"/>
      <c r="AN173" s="199"/>
      <c r="AO173" s="199"/>
      <c r="AP173" s="199"/>
      <c r="AQ173" s="199"/>
      <c r="AR173" s="199"/>
      <c r="AS173" s="199"/>
      <c r="AT173" s="199"/>
      <c r="AU173" s="199"/>
      <c r="AV173" s="199"/>
      <c r="AW173" s="155">
        <f t="shared" si="13"/>
        <v>37</v>
      </c>
    </row>
    <row r="174" spans="1:49" s="236" customFormat="1" ht="15">
      <c r="A174" s="40">
        <f t="shared" si="10"/>
        <v>168</v>
      </c>
      <c r="B174" s="199"/>
      <c r="C174" s="199"/>
      <c r="D174" s="199"/>
      <c r="E174" s="199"/>
      <c r="F174" s="199"/>
      <c r="G174" s="199"/>
      <c r="H174" s="199"/>
      <c r="I174" s="199"/>
      <c r="J174" s="399" t="s">
        <v>1222</v>
      </c>
      <c r="K174" s="232" t="s">
        <v>117</v>
      </c>
      <c r="L174" s="204" t="s">
        <v>1223</v>
      </c>
      <c r="M174" s="351"/>
      <c r="N174" s="126" t="s">
        <v>504</v>
      </c>
      <c r="O174" s="126"/>
      <c r="P174" s="126"/>
      <c r="Q174" s="126" t="s">
        <v>6</v>
      </c>
      <c r="R174" s="126" t="s">
        <v>6</v>
      </c>
      <c r="S174" s="126" t="s">
        <v>6</v>
      </c>
      <c r="T174" s="126" t="s">
        <v>6</v>
      </c>
      <c r="U174" s="204"/>
      <c r="V174" s="208"/>
      <c r="W174" s="204" t="s">
        <v>125</v>
      </c>
      <c r="X174" s="199"/>
      <c r="Y174" s="199"/>
      <c r="Z174" s="199"/>
      <c r="AA174" s="126" t="s">
        <v>6</v>
      </c>
      <c r="AB174" s="198"/>
      <c r="AC174" s="199"/>
      <c r="AD174" s="199"/>
      <c r="AE174" s="204" t="s">
        <v>125</v>
      </c>
      <c r="AF174" s="199"/>
      <c r="AG174" s="199"/>
      <c r="AH174" s="199"/>
      <c r="AI174" s="126" t="s">
        <v>6</v>
      </c>
      <c r="AJ174" s="198"/>
      <c r="AK174" s="199"/>
      <c r="AL174" s="199"/>
      <c r="AM174" s="199"/>
      <c r="AN174" s="199"/>
      <c r="AO174" s="199"/>
      <c r="AP174" s="199"/>
      <c r="AQ174" s="199"/>
      <c r="AR174" s="199"/>
      <c r="AS174" s="199"/>
      <c r="AT174" s="199"/>
      <c r="AU174" s="199"/>
      <c r="AV174" s="199"/>
      <c r="AW174" s="155">
        <f t="shared" si="13"/>
        <v>38</v>
      </c>
    </row>
    <row r="175" spans="1:49" s="236" customFormat="1" ht="39.6">
      <c r="A175" s="40">
        <f t="shared" si="10"/>
        <v>169</v>
      </c>
      <c r="B175" s="199"/>
      <c r="C175" s="199"/>
      <c r="D175" s="199"/>
      <c r="E175" s="199"/>
      <c r="F175" s="199"/>
      <c r="G175" s="199"/>
      <c r="H175" s="199"/>
      <c r="I175" s="199"/>
      <c r="J175" s="412" t="s">
        <v>1225</v>
      </c>
      <c r="K175" s="232" t="s">
        <v>117</v>
      </c>
      <c r="L175" s="204" t="s">
        <v>1226</v>
      </c>
      <c r="M175" s="351"/>
      <c r="N175" s="126" t="s">
        <v>504</v>
      </c>
      <c r="O175" s="126"/>
      <c r="P175" s="126"/>
      <c r="Q175" s="40" t="s">
        <v>6</v>
      </c>
      <c r="R175" s="126" t="s">
        <v>6</v>
      </c>
      <c r="S175" s="126" t="s">
        <v>6</v>
      </c>
      <c r="T175" s="126" t="s">
        <v>6</v>
      </c>
      <c r="U175" s="218" t="s">
        <v>1051</v>
      </c>
      <c r="V175" s="208"/>
      <c r="W175" s="204" t="s">
        <v>125</v>
      </c>
      <c r="X175" s="199"/>
      <c r="Y175" s="199"/>
      <c r="Z175" s="199"/>
      <c r="AA175" s="126" t="s">
        <v>6</v>
      </c>
      <c r="AB175" s="198"/>
      <c r="AC175" s="199"/>
      <c r="AD175" s="199"/>
      <c r="AE175" s="204" t="s">
        <v>125</v>
      </c>
      <c r="AF175" s="199"/>
      <c r="AG175" s="199"/>
      <c r="AH175" s="199"/>
      <c r="AI175" s="126" t="s">
        <v>6</v>
      </c>
      <c r="AJ175" s="198"/>
      <c r="AK175" s="199"/>
      <c r="AL175" s="199"/>
      <c r="AM175" s="199"/>
      <c r="AN175" s="199"/>
      <c r="AO175" s="199"/>
      <c r="AP175" s="199"/>
      <c r="AQ175" s="199"/>
      <c r="AR175" s="199"/>
      <c r="AS175" s="199"/>
      <c r="AT175" s="199"/>
      <c r="AU175" s="199"/>
      <c r="AV175" s="199"/>
      <c r="AW175" s="155">
        <f t="shared" si="13"/>
        <v>41</v>
      </c>
    </row>
    <row r="176" spans="1:49" s="236" customFormat="1" ht="39.6">
      <c r="A176" s="40">
        <f t="shared" si="10"/>
        <v>170</v>
      </c>
      <c r="B176" s="199"/>
      <c r="C176" s="199"/>
      <c r="D176" s="199"/>
      <c r="E176" s="199"/>
      <c r="F176" s="199"/>
      <c r="G176" s="199"/>
      <c r="H176" s="199"/>
      <c r="I176" s="199"/>
      <c r="J176" s="412" t="s">
        <v>1227</v>
      </c>
      <c r="K176" s="232" t="s">
        <v>117</v>
      </c>
      <c r="L176" s="204" t="s">
        <v>1228</v>
      </c>
      <c r="M176" s="351"/>
      <c r="N176" s="126" t="s">
        <v>504</v>
      </c>
      <c r="O176" s="126"/>
      <c r="P176" s="126"/>
      <c r="Q176" s="40" t="s">
        <v>6</v>
      </c>
      <c r="R176" s="126" t="s">
        <v>6</v>
      </c>
      <c r="S176" s="126" t="s">
        <v>6</v>
      </c>
      <c r="T176" s="126" t="s">
        <v>6</v>
      </c>
      <c r="U176" s="218" t="s">
        <v>1051</v>
      </c>
      <c r="V176" s="208"/>
      <c r="W176" s="204" t="s">
        <v>125</v>
      </c>
      <c r="X176" s="199"/>
      <c r="Y176" s="199"/>
      <c r="Z176" s="199"/>
      <c r="AA176" s="126" t="s">
        <v>6</v>
      </c>
      <c r="AB176" s="198"/>
      <c r="AC176" s="199"/>
      <c r="AD176" s="199"/>
      <c r="AE176" s="204" t="s">
        <v>125</v>
      </c>
      <c r="AF176" s="199"/>
      <c r="AG176" s="199"/>
      <c r="AH176" s="199"/>
      <c r="AI176" s="126" t="s">
        <v>6</v>
      </c>
      <c r="AJ176" s="198"/>
      <c r="AK176" s="199"/>
      <c r="AL176" s="199"/>
      <c r="AM176" s="199"/>
      <c r="AN176" s="199"/>
      <c r="AO176" s="199"/>
      <c r="AP176" s="199"/>
      <c r="AQ176" s="199"/>
      <c r="AR176" s="199"/>
      <c r="AS176" s="199"/>
      <c r="AT176" s="199"/>
      <c r="AU176" s="199"/>
      <c r="AV176" s="199"/>
      <c r="AW176" s="155">
        <f t="shared" si="13"/>
        <v>41</v>
      </c>
    </row>
    <row r="177" spans="1:49" s="236" customFormat="1" ht="39.6">
      <c r="A177" s="40">
        <f t="shared" si="10"/>
        <v>171</v>
      </c>
      <c r="B177" s="199"/>
      <c r="C177" s="199"/>
      <c r="D177" s="199"/>
      <c r="E177" s="199"/>
      <c r="F177" s="199"/>
      <c r="G177" s="199"/>
      <c r="H177" s="199"/>
      <c r="I177" s="199"/>
      <c r="J177" s="412" t="s">
        <v>1229</v>
      </c>
      <c r="K177" s="232" t="s">
        <v>117</v>
      </c>
      <c r="L177" s="204" t="s">
        <v>1230</v>
      </c>
      <c r="M177" s="351"/>
      <c r="N177" s="126" t="s">
        <v>504</v>
      </c>
      <c r="O177" s="126"/>
      <c r="P177" s="126"/>
      <c r="Q177" s="40" t="s">
        <v>6</v>
      </c>
      <c r="R177" s="126" t="s">
        <v>6</v>
      </c>
      <c r="S177" s="126" t="s">
        <v>6</v>
      </c>
      <c r="T177" s="126" t="s">
        <v>6</v>
      </c>
      <c r="U177" s="218" t="s">
        <v>1051</v>
      </c>
      <c r="V177" s="208"/>
      <c r="W177" s="204" t="s">
        <v>125</v>
      </c>
      <c r="X177" s="199"/>
      <c r="Y177" s="199"/>
      <c r="Z177" s="199"/>
      <c r="AA177" s="126" t="s">
        <v>6</v>
      </c>
      <c r="AB177" s="198"/>
      <c r="AC177" s="199"/>
      <c r="AD177" s="199"/>
      <c r="AE177" s="204" t="s">
        <v>125</v>
      </c>
      <c r="AF177" s="199"/>
      <c r="AG177" s="199"/>
      <c r="AH177" s="199"/>
      <c r="AI177" s="126" t="s">
        <v>6</v>
      </c>
      <c r="AJ177" s="198"/>
      <c r="AK177" s="199"/>
      <c r="AL177" s="199"/>
      <c r="AM177" s="199"/>
      <c r="AN177" s="199"/>
      <c r="AO177" s="199"/>
      <c r="AP177" s="199"/>
      <c r="AQ177" s="199"/>
      <c r="AR177" s="199"/>
      <c r="AS177" s="199"/>
      <c r="AT177" s="199"/>
      <c r="AU177" s="199"/>
      <c r="AV177" s="199"/>
      <c r="AW177" s="155">
        <f t="shared" si="13"/>
        <v>41</v>
      </c>
    </row>
    <row r="178" spans="1:49" s="236" customFormat="1" ht="15">
      <c r="A178" s="40">
        <f t="shared" si="10"/>
        <v>172</v>
      </c>
      <c r="B178" s="199"/>
      <c r="C178" s="199"/>
      <c r="D178" s="199"/>
      <c r="E178" s="199"/>
      <c r="F178" s="199"/>
      <c r="G178" s="199"/>
      <c r="H178" s="199"/>
      <c r="I178" s="199"/>
      <c r="J178" s="412" t="s">
        <v>1231</v>
      </c>
      <c r="K178" s="232" t="s">
        <v>117</v>
      </c>
      <c r="L178" s="204" t="s">
        <v>1232</v>
      </c>
      <c r="M178" s="351"/>
      <c r="N178" s="126" t="s">
        <v>504</v>
      </c>
      <c r="O178" s="126"/>
      <c r="P178" s="126"/>
      <c r="Q178" s="126" t="s">
        <v>6</v>
      </c>
      <c r="R178" s="126" t="s">
        <v>6</v>
      </c>
      <c r="S178" s="126" t="s">
        <v>6</v>
      </c>
      <c r="T178" s="126" t="s">
        <v>6</v>
      </c>
      <c r="U178" s="204" t="s">
        <v>1081</v>
      </c>
      <c r="V178" s="208"/>
      <c r="W178" s="204" t="s">
        <v>125</v>
      </c>
      <c r="X178" s="199"/>
      <c r="Y178" s="199"/>
      <c r="Z178" s="199"/>
      <c r="AA178" s="126" t="s">
        <v>6</v>
      </c>
      <c r="AB178" s="198"/>
      <c r="AC178" s="199"/>
      <c r="AD178" s="199"/>
      <c r="AE178" s="204" t="s">
        <v>125</v>
      </c>
      <c r="AF178" s="199"/>
      <c r="AG178" s="199"/>
      <c r="AH178" s="199"/>
      <c r="AI178" s="126" t="s">
        <v>6</v>
      </c>
      <c r="AJ178" s="198"/>
      <c r="AK178" s="199"/>
      <c r="AL178" s="199"/>
      <c r="AM178" s="199"/>
      <c r="AN178" s="199"/>
      <c r="AO178" s="199"/>
      <c r="AP178" s="199"/>
      <c r="AQ178" s="199"/>
      <c r="AR178" s="199"/>
      <c r="AS178" s="199"/>
      <c r="AT178" s="199"/>
      <c r="AU178" s="199"/>
      <c r="AV178" s="199"/>
      <c r="AW178" s="155">
        <f t="shared" si="13"/>
        <v>37</v>
      </c>
    </row>
    <row r="179" spans="1:49" s="236" customFormat="1" ht="39.6">
      <c r="A179" s="40">
        <f t="shared" si="10"/>
        <v>173</v>
      </c>
      <c r="B179" s="199"/>
      <c r="C179" s="199"/>
      <c r="D179" s="199"/>
      <c r="E179" s="199"/>
      <c r="F179" s="199"/>
      <c r="G179" s="199"/>
      <c r="H179" s="199"/>
      <c r="I179" s="199"/>
      <c r="J179" s="412" t="s">
        <v>1233</v>
      </c>
      <c r="K179" s="232" t="s">
        <v>117</v>
      </c>
      <c r="L179" s="204" t="s">
        <v>1234</v>
      </c>
      <c r="M179" s="351"/>
      <c r="N179" s="126" t="s">
        <v>504</v>
      </c>
      <c r="O179" s="126"/>
      <c r="P179" s="126"/>
      <c r="Q179" s="126" t="s">
        <v>6</v>
      </c>
      <c r="R179" s="126" t="s">
        <v>6</v>
      </c>
      <c r="S179" s="126" t="s">
        <v>6</v>
      </c>
      <c r="T179" s="126" t="s">
        <v>6</v>
      </c>
      <c r="U179" s="218" t="s">
        <v>1051</v>
      </c>
      <c r="V179" s="208"/>
      <c r="W179" s="204" t="s">
        <v>125</v>
      </c>
      <c r="X179" s="199"/>
      <c r="Y179" s="199"/>
      <c r="Z179" s="199"/>
      <c r="AA179" s="126" t="s">
        <v>6</v>
      </c>
      <c r="AB179" s="198"/>
      <c r="AC179" s="199"/>
      <c r="AD179" s="199"/>
      <c r="AE179" s="204" t="s">
        <v>125</v>
      </c>
      <c r="AF179" s="199"/>
      <c r="AG179" s="199"/>
      <c r="AH179" s="199"/>
      <c r="AI179" s="126" t="s">
        <v>6</v>
      </c>
      <c r="AJ179" s="198"/>
      <c r="AK179" s="199"/>
      <c r="AL179" s="199"/>
      <c r="AM179" s="199"/>
      <c r="AN179" s="199"/>
      <c r="AO179" s="199"/>
      <c r="AP179" s="199"/>
      <c r="AQ179" s="199"/>
      <c r="AR179" s="199"/>
      <c r="AS179" s="199"/>
      <c r="AT179" s="199"/>
      <c r="AU179" s="199"/>
      <c r="AV179" s="199"/>
      <c r="AW179" s="155">
        <f t="shared" si="13"/>
        <v>41</v>
      </c>
    </row>
    <row r="180" spans="1:49" s="236" customFormat="1" ht="39.6">
      <c r="A180" s="40">
        <f t="shared" si="10"/>
        <v>174</v>
      </c>
      <c r="B180" s="199"/>
      <c r="C180" s="199"/>
      <c r="D180" s="199"/>
      <c r="E180" s="199"/>
      <c r="F180" s="199"/>
      <c r="G180" s="199"/>
      <c r="H180" s="199"/>
      <c r="I180" s="199"/>
      <c r="J180" s="412" t="s">
        <v>1235</v>
      </c>
      <c r="K180" s="232" t="s">
        <v>117</v>
      </c>
      <c r="L180" s="204" t="s">
        <v>1236</v>
      </c>
      <c r="M180" s="351"/>
      <c r="N180" s="126" t="s">
        <v>504</v>
      </c>
      <c r="O180" s="126"/>
      <c r="P180" s="126"/>
      <c r="Q180" s="126" t="s">
        <v>6</v>
      </c>
      <c r="R180" s="126" t="s">
        <v>6</v>
      </c>
      <c r="S180" s="126" t="s">
        <v>6</v>
      </c>
      <c r="T180" s="126" t="s">
        <v>6</v>
      </c>
      <c r="U180" s="218" t="s">
        <v>1051</v>
      </c>
      <c r="V180" s="208"/>
      <c r="W180" s="204" t="s">
        <v>125</v>
      </c>
      <c r="X180" s="199"/>
      <c r="Y180" s="199"/>
      <c r="Z180" s="199"/>
      <c r="AA180" s="126" t="s">
        <v>6</v>
      </c>
      <c r="AB180" s="198"/>
      <c r="AC180" s="199"/>
      <c r="AD180" s="199"/>
      <c r="AE180" s="204" t="s">
        <v>125</v>
      </c>
      <c r="AF180" s="199"/>
      <c r="AG180" s="199"/>
      <c r="AH180" s="199"/>
      <c r="AI180" s="126" t="s">
        <v>6</v>
      </c>
      <c r="AJ180" s="198"/>
      <c r="AK180" s="199"/>
      <c r="AL180" s="199"/>
      <c r="AM180" s="199"/>
      <c r="AN180" s="199"/>
      <c r="AO180" s="199"/>
      <c r="AP180" s="199"/>
      <c r="AQ180" s="199"/>
      <c r="AR180" s="199"/>
      <c r="AS180" s="199"/>
      <c r="AT180" s="199"/>
      <c r="AU180" s="199"/>
      <c r="AV180" s="199"/>
      <c r="AW180" s="155">
        <f t="shared" si="13"/>
        <v>41</v>
      </c>
    </row>
    <row r="181" spans="1:49" s="236" customFormat="1" ht="39.6">
      <c r="A181" s="40">
        <f t="shared" si="10"/>
        <v>175</v>
      </c>
      <c r="B181" s="199"/>
      <c r="C181" s="199"/>
      <c r="D181" s="199"/>
      <c r="E181" s="199"/>
      <c r="F181" s="199"/>
      <c r="G181" s="199"/>
      <c r="H181" s="199"/>
      <c r="I181" s="199"/>
      <c r="J181" s="412" t="s">
        <v>1237</v>
      </c>
      <c r="K181" s="232" t="s">
        <v>117</v>
      </c>
      <c r="L181" s="204" t="s">
        <v>1238</v>
      </c>
      <c r="M181" s="351"/>
      <c r="N181" s="126" t="s">
        <v>504</v>
      </c>
      <c r="O181" s="126"/>
      <c r="P181" s="126"/>
      <c r="Q181" s="126" t="s">
        <v>6</v>
      </c>
      <c r="R181" s="126" t="s">
        <v>6</v>
      </c>
      <c r="S181" s="126" t="s">
        <v>6</v>
      </c>
      <c r="T181" s="126" t="s">
        <v>6</v>
      </c>
      <c r="U181" s="218" t="s">
        <v>1051</v>
      </c>
      <c r="V181" s="208"/>
      <c r="W181" s="204" t="s">
        <v>125</v>
      </c>
      <c r="X181" s="199"/>
      <c r="Y181" s="199"/>
      <c r="Z181" s="199"/>
      <c r="AA181" s="126" t="s">
        <v>6</v>
      </c>
      <c r="AB181" s="198"/>
      <c r="AC181" s="199"/>
      <c r="AD181" s="199"/>
      <c r="AE181" s="204" t="s">
        <v>125</v>
      </c>
      <c r="AF181" s="199"/>
      <c r="AG181" s="199"/>
      <c r="AH181" s="199"/>
      <c r="AI181" s="126" t="s">
        <v>6</v>
      </c>
      <c r="AJ181" s="198"/>
      <c r="AK181" s="199"/>
      <c r="AL181" s="199"/>
      <c r="AM181" s="199"/>
      <c r="AN181" s="199"/>
      <c r="AO181" s="199"/>
      <c r="AP181" s="199"/>
      <c r="AQ181" s="199"/>
      <c r="AR181" s="199"/>
      <c r="AS181" s="199"/>
      <c r="AT181" s="199"/>
      <c r="AU181" s="199"/>
      <c r="AV181" s="199"/>
      <c r="AW181" s="155">
        <f t="shared" si="13"/>
        <v>41</v>
      </c>
    </row>
    <row r="182" spans="1:49" s="236" customFormat="1" ht="15">
      <c r="A182" s="40">
        <f t="shared" si="10"/>
        <v>176</v>
      </c>
      <c r="B182" s="199"/>
      <c r="C182" s="199"/>
      <c r="D182" s="199"/>
      <c r="E182" s="199"/>
      <c r="F182" s="199"/>
      <c r="G182" s="199"/>
      <c r="H182" s="199"/>
      <c r="I182" s="199"/>
      <c r="J182" s="412" t="s">
        <v>1239</v>
      </c>
      <c r="K182" s="232" t="s">
        <v>117</v>
      </c>
      <c r="L182" s="204" t="s">
        <v>1240</v>
      </c>
      <c r="M182" s="351"/>
      <c r="N182" s="126" t="s">
        <v>504</v>
      </c>
      <c r="O182" s="126"/>
      <c r="P182" s="126"/>
      <c r="Q182" s="126" t="s">
        <v>6</v>
      </c>
      <c r="R182" s="126" t="s">
        <v>6</v>
      </c>
      <c r="S182" s="126" t="s">
        <v>6</v>
      </c>
      <c r="T182" s="126" t="s">
        <v>6</v>
      </c>
      <c r="U182" s="204" t="s">
        <v>1049</v>
      </c>
      <c r="V182" s="208"/>
      <c r="W182" s="204" t="s">
        <v>125</v>
      </c>
      <c r="X182" s="199"/>
      <c r="Y182" s="199"/>
      <c r="Z182" s="199"/>
      <c r="AA182" s="126" t="s">
        <v>6</v>
      </c>
      <c r="AB182" s="198"/>
      <c r="AC182" s="199"/>
      <c r="AD182" s="199"/>
      <c r="AE182" s="204" t="s">
        <v>125</v>
      </c>
      <c r="AF182" s="199"/>
      <c r="AG182" s="199"/>
      <c r="AH182" s="199"/>
      <c r="AI182" s="126" t="s">
        <v>6</v>
      </c>
      <c r="AJ182" s="198"/>
      <c r="AK182" s="199"/>
      <c r="AL182" s="199"/>
      <c r="AM182" s="199"/>
      <c r="AN182" s="199"/>
      <c r="AO182" s="199"/>
      <c r="AP182" s="199"/>
      <c r="AQ182" s="199"/>
      <c r="AR182" s="199"/>
      <c r="AS182" s="199"/>
      <c r="AT182" s="199"/>
      <c r="AU182" s="199"/>
      <c r="AV182" s="199"/>
      <c r="AW182" s="155">
        <f t="shared" si="13"/>
        <v>34</v>
      </c>
    </row>
    <row r="183" spans="1:49" s="236" customFormat="1" ht="39.6">
      <c r="A183" s="40">
        <f t="shared" si="10"/>
        <v>177</v>
      </c>
      <c r="B183" s="199"/>
      <c r="C183" s="199"/>
      <c r="D183" s="199"/>
      <c r="E183" s="199"/>
      <c r="F183" s="199"/>
      <c r="G183" s="199"/>
      <c r="H183" s="199"/>
      <c r="I183" s="199"/>
      <c r="J183" s="412" t="s">
        <v>1241</v>
      </c>
      <c r="K183" s="232" t="s">
        <v>117</v>
      </c>
      <c r="L183" s="204" t="s">
        <v>1242</v>
      </c>
      <c r="M183" s="351"/>
      <c r="N183" s="126" t="s">
        <v>504</v>
      </c>
      <c r="O183" s="126"/>
      <c r="P183" s="126"/>
      <c r="Q183" s="40" t="s">
        <v>6</v>
      </c>
      <c r="R183" s="126" t="s">
        <v>6</v>
      </c>
      <c r="S183" s="126" t="s">
        <v>6</v>
      </c>
      <c r="T183" s="126" t="s">
        <v>6</v>
      </c>
      <c r="U183" s="218" t="s">
        <v>1051</v>
      </c>
      <c r="V183" s="208"/>
      <c r="W183" s="204" t="s">
        <v>125</v>
      </c>
      <c r="X183" s="199"/>
      <c r="Y183" s="199"/>
      <c r="Z183" s="199"/>
      <c r="AA183" s="126" t="s">
        <v>6</v>
      </c>
      <c r="AB183" s="198"/>
      <c r="AC183" s="199"/>
      <c r="AD183" s="199"/>
      <c r="AE183" s="204" t="s">
        <v>125</v>
      </c>
      <c r="AF183" s="199"/>
      <c r="AG183" s="199"/>
      <c r="AH183" s="199"/>
      <c r="AI183" s="126" t="s">
        <v>6</v>
      </c>
      <c r="AJ183" s="198"/>
      <c r="AK183" s="199"/>
      <c r="AL183" s="199"/>
      <c r="AM183" s="199"/>
      <c r="AN183" s="199"/>
      <c r="AO183" s="199"/>
      <c r="AP183" s="199"/>
      <c r="AQ183" s="199"/>
      <c r="AR183" s="199"/>
      <c r="AS183" s="199"/>
      <c r="AT183" s="199"/>
      <c r="AU183" s="199"/>
      <c r="AV183" s="199"/>
      <c r="AW183" s="155">
        <f t="shared" si="13"/>
        <v>41</v>
      </c>
    </row>
    <row r="184" spans="1:49" s="236" customFormat="1" ht="39.6">
      <c r="A184" s="40">
        <f t="shared" si="10"/>
        <v>178</v>
      </c>
      <c r="B184" s="199"/>
      <c r="C184" s="199"/>
      <c r="D184" s="199"/>
      <c r="E184" s="199"/>
      <c r="F184" s="199"/>
      <c r="G184" s="199"/>
      <c r="H184" s="199"/>
      <c r="I184" s="199"/>
      <c r="J184" s="412" t="s">
        <v>1243</v>
      </c>
      <c r="K184" s="232" t="s">
        <v>117</v>
      </c>
      <c r="L184" s="204" t="s">
        <v>1244</v>
      </c>
      <c r="M184" s="351"/>
      <c r="N184" s="126" t="s">
        <v>504</v>
      </c>
      <c r="O184" s="126"/>
      <c r="P184" s="126"/>
      <c r="Q184" s="40" t="s">
        <v>6</v>
      </c>
      <c r="R184" s="126" t="s">
        <v>6</v>
      </c>
      <c r="S184" s="126" t="s">
        <v>6</v>
      </c>
      <c r="T184" s="126" t="s">
        <v>6</v>
      </c>
      <c r="U184" s="218" t="s">
        <v>1051</v>
      </c>
      <c r="V184" s="208"/>
      <c r="W184" s="204" t="s">
        <v>125</v>
      </c>
      <c r="X184" s="199"/>
      <c r="Y184" s="199"/>
      <c r="Z184" s="199"/>
      <c r="AA184" s="126" t="s">
        <v>6</v>
      </c>
      <c r="AB184" s="198"/>
      <c r="AC184" s="199"/>
      <c r="AD184" s="199"/>
      <c r="AE184" s="204" t="s">
        <v>125</v>
      </c>
      <c r="AF184" s="199"/>
      <c r="AG184" s="199"/>
      <c r="AH184" s="199"/>
      <c r="AI184" s="126" t="s">
        <v>6</v>
      </c>
      <c r="AJ184" s="198"/>
      <c r="AK184" s="199"/>
      <c r="AL184" s="199"/>
      <c r="AM184" s="199"/>
      <c r="AN184" s="199"/>
      <c r="AO184" s="199"/>
      <c r="AP184" s="199"/>
      <c r="AQ184" s="199"/>
      <c r="AR184" s="199"/>
      <c r="AS184" s="199"/>
      <c r="AT184" s="199"/>
      <c r="AU184" s="199"/>
      <c r="AV184" s="199"/>
      <c r="AW184" s="155">
        <f t="shared" ref="AW184:AW190" si="14">LEN(L184)</f>
        <v>41</v>
      </c>
    </row>
    <row r="185" spans="1:49" s="236" customFormat="1" ht="39.6">
      <c r="A185" s="40">
        <f t="shared" si="10"/>
        <v>179</v>
      </c>
      <c r="B185" s="199"/>
      <c r="C185" s="199"/>
      <c r="D185" s="199"/>
      <c r="E185" s="199"/>
      <c r="F185" s="199"/>
      <c r="G185" s="199"/>
      <c r="H185" s="199"/>
      <c r="I185" s="199"/>
      <c r="J185" s="412" t="s">
        <v>1245</v>
      </c>
      <c r="K185" s="232" t="s">
        <v>117</v>
      </c>
      <c r="L185" s="204" t="s">
        <v>1246</v>
      </c>
      <c r="M185" s="351"/>
      <c r="N185" s="126" t="s">
        <v>504</v>
      </c>
      <c r="O185" s="126"/>
      <c r="P185" s="126"/>
      <c r="Q185" s="40" t="s">
        <v>6</v>
      </c>
      <c r="R185" s="126" t="s">
        <v>6</v>
      </c>
      <c r="S185" s="126" t="s">
        <v>6</v>
      </c>
      <c r="T185" s="126" t="s">
        <v>6</v>
      </c>
      <c r="U185" s="218" t="s">
        <v>1051</v>
      </c>
      <c r="V185" s="208"/>
      <c r="W185" s="204" t="s">
        <v>125</v>
      </c>
      <c r="X185" s="199"/>
      <c r="Y185" s="199"/>
      <c r="Z185" s="199"/>
      <c r="AA185" s="126" t="s">
        <v>6</v>
      </c>
      <c r="AB185" s="198"/>
      <c r="AC185" s="199"/>
      <c r="AD185" s="199"/>
      <c r="AE185" s="204" t="s">
        <v>125</v>
      </c>
      <c r="AF185" s="199"/>
      <c r="AG185" s="199"/>
      <c r="AH185" s="199"/>
      <c r="AI185" s="126" t="s">
        <v>6</v>
      </c>
      <c r="AJ185" s="198"/>
      <c r="AK185" s="199"/>
      <c r="AL185" s="199"/>
      <c r="AM185" s="199"/>
      <c r="AN185" s="199"/>
      <c r="AO185" s="199"/>
      <c r="AP185" s="199"/>
      <c r="AQ185" s="199"/>
      <c r="AR185" s="199"/>
      <c r="AS185" s="199"/>
      <c r="AT185" s="199"/>
      <c r="AU185" s="199"/>
      <c r="AV185" s="199"/>
      <c r="AW185" s="155">
        <f t="shared" si="14"/>
        <v>41</v>
      </c>
    </row>
    <row r="186" spans="1:49" s="236" customFormat="1" ht="15">
      <c r="A186" s="40">
        <f t="shared" si="10"/>
        <v>180</v>
      </c>
      <c r="B186" s="199"/>
      <c r="C186" s="199"/>
      <c r="D186" s="199"/>
      <c r="E186" s="199"/>
      <c r="F186" s="199"/>
      <c r="G186" s="199"/>
      <c r="H186" s="199"/>
      <c r="I186" s="199"/>
      <c r="J186" s="412" t="s">
        <v>1247</v>
      </c>
      <c r="K186" s="232" t="s">
        <v>117</v>
      </c>
      <c r="L186" s="204" t="s">
        <v>1248</v>
      </c>
      <c r="M186" s="351"/>
      <c r="N186" s="126" t="s">
        <v>504</v>
      </c>
      <c r="O186" s="126"/>
      <c r="P186" s="126"/>
      <c r="Q186" s="126" t="s">
        <v>6</v>
      </c>
      <c r="R186" s="126" t="s">
        <v>6</v>
      </c>
      <c r="S186" s="126" t="s">
        <v>6</v>
      </c>
      <c r="T186" s="126" t="s">
        <v>6</v>
      </c>
      <c r="U186" s="204" t="s">
        <v>1049</v>
      </c>
      <c r="V186" s="208"/>
      <c r="W186" s="204" t="s">
        <v>125</v>
      </c>
      <c r="X186" s="199"/>
      <c r="Y186" s="199"/>
      <c r="Z186" s="199"/>
      <c r="AA186" s="126" t="s">
        <v>6</v>
      </c>
      <c r="AB186" s="198"/>
      <c r="AC186" s="199"/>
      <c r="AD186" s="199"/>
      <c r="AE186" s="204" t="s">
        <v>125</v>
      </c>
      <c r="AF186" s="199"/>
      <c r="AG186" s="199"/>
      <c r="AH186" s="199"/>
      <c r="AI186" s="126" t="s">
        <v>6</v>
      </c>
      <c r="AJ186" s="198"/>
      <c r="AK186" s="199"/>
      <c r="AL186" s="199"/>
      <c r="AM186" s="199"/>
      <c r="AN186" s="199"/>
      <c r="AO186" s="199"/>
      <c r="AP186" s="199"/>
      <c r="AQ186" s="199"/>
      <c r="AR186" s="199"/>
      <c r="AS186" s="199"/>
      <c r="AT186" s="199"/>
      <c r="AU186" s="199"/>
      <c r="AV186" s="199"/>
      <c r="AW186" s="155">
        <f t="shared" si="14"/>
        <v>34</v>
      </c>
    </row>
    <row r="187" spans="1:49" s="236" customFormat="1" ht="39.6">
      <c r="A187" s="40">
        <f t="shared" si="10"/>
        <v>181</v>
      </c>
      <c r="B187" s="199"/>
      <c r="C187" s="199"/>
      <c r="D187" s="199"/>
      <c r="E187" s="199"/>
      <c r="F187" s="199"/>
      <c r="G187" s="199"/>
      <c r="H187" s="199"/>
      <c r="I187" s="199"/>
      <c r="J187" s="412" t="s">
        <v>1249</v>
      </c>
      <c r="K187" s="232" t="s">
        <v>117</v>
      </c>
      <c r="L187" s="204" t="s">
        <v>1250</v>
      </c>
      <c r="M187" s="351"/>
      <c r="N187" s="126" t="s">
        <v>504</v>
      </c>
      <c r="O187" s="126"/>
      <c r="P187" s="126"/>
      <c r="Q187" s="40" t="s">
        <v>6</v>
      </c>
      <c r="R187" s="126" t="s">
        <v>6</v>
      </c>
      <c r="S187" s="126" t="s">
        <v>6</v>
      </c>
      <c r="T187" s="126" t="s">
        <v>6</v>
      </c>
      <c r="U187" s="218" t="s">
        <v>1051</v>
      </c>
      <c r="V187" s="208"/>
      <c r="W187" s="204" t="s">
        <v>125</v>
      </c>
      <c r="X187" s="199"/>
      <c r="Y187" s="199"/>
      <c r="Z187" s="199"/>
      <c r="AA187" s="126" t="s">
        <v>6</v>
      </c>
      <c r="AB187" s="198"/>
      <c r="AC187" s="199"/>
      <c r="AD187" s="199"/>
      <c r="AE187" s="204" t="s">
        <v>125</v>
      </c>
      <c r="AF187" s="199"/>
      <c r="AG187" s="199"/>
      <c r="AH187" s="199"/>
      <c r="AI187" s="126" t="s">
        <v>6</v>
      </c>
      <c r="AJ187" s="198"/>
      <c r="AK187" s="199"/>
      <c r="AL187" s="199"/>
      <c r="AM187" s="199"/>
      <c r="AN187" s="199"/>
      <c r="AO187" s="199"/>
      <c r="AP187" s="199"/>
      <c r="AQ187" s="199"/>
      <c r="AR187" s="199"/>
      <c r="AS187" s="199"/>
      <c r="AT187" s="199"/>
      <c r="AU187" s="199"/>
      <c r="AV187" s="199"/>
      <c r="AW187" s="155">
        <f t="shared" si="14"/>
        <v>41</v>
      </c>
    </row>
    <row r="188" spans="1:49" s="236" customFormat="1" ht="39.6">
      <c r="A188" s="40">
        <f t="shared" si="10"/>
        <v>182</v>
      </c>
      <c r="B188" s="199"/>
      <c r="C188" s="199"/>
      <c r="D188" s="199"/>
      <c r="E188" s="199"/>
      <c r="F188" s="199"/>
      <c r="G188" s="199"/>
      <c r="H188" s="199"/>
      <c r="I188" s="199"/>
      <c r="J188" s="412" t="s">
        <v>1251</v>
      </c>
      <c r="K188" s="232" t="s">
        <v>117</v>
      </c>
      <c r="L188" s="204" t="s">
        <v>1252</v>
      </c>
      <c r="M188" s="351"/>
      <c r="N188" s="126" t="s">
        <v>504</v>
      </c>
      <c r="O188" s="126"/>
      <c r="P188" s="126"/>
      <c r="Q188" s="40" t="s">
        <v>6</v>
      </c>
      <c r="R188" s="126" t="s">
        <v>6</v>
      </c>
      <c r="S188" s="126" t="s">
        <v>6</v>
      </c>
      <c r="T188" s="126" t="s">
        <v>6</v>
      </c>
      <c r="U188" s="218" t="s">
        <v>1051</v>
      </c>
      <c r="V188" s="208"/>
      <c r="W188" s="204" t="s">
        <v>125</v>
      </c>
      <c r="X188" s="199"/>
      <c r="Y188" s="199"/>
      <c r="Z188" s="199"/>
      <c r="AA188" s="126" t="s">
        <v>6</v>
      </c>
      <c r="AB188" s="198"/>
      <c r="AC188" s="199"/>
      <c r="AD188" s="199"/>
      <c r="AE188" s="204" t="s">
        <v>125</v>
      </c>
      <c r="AF188" s="199"/>
      <c r="AG188" s="199"/>
      <c r="AH188" s="199"/>
      <c r="AI188" s="126" t="s">
        <v>6</v>
      </c>
      <c r="AJ188" s="198"/>
      <c r="AK188" s="199"/>
      <c r="AL188" s="199"/>
      <c r="AM188" s="199"/>
      <c r="AN188" s="199"/>
      <c r="AO188" s="199"/>
      <c r="AP188" s="199"/>
      <c r="AQ188" s="199"/>
      <c r="AR188" s="199"/>
      <c r="AS188" s="199"/>
      <c r="AT188" s="199"/>
      <c r="AU188" s="199"/>
      <c r="AV188" s="199"/>
      <c r="AW188" s="155">
        <f t="shared" si="14"/>
        <v>41</v>
      </c>
    </row>
    <row r="189" spans="1:49" s="236" customFormat="1" ht="39.6">
      <c r="A189" s="40">
        <f t="shared" si="10"/>
        <v>183</v>
      </c>
      <c r="B189" s="199"/>
      <c r="C189" s="199"/>
      <c r="D189" s="199"/>
      <c r="E189" s="199"/>
      <c r="F189" s="199"/>
      <c r="G189" s="199"/>
      <c r="H189" s="199"/>
      <c r="I189" s="199"/>
      <c r="J189" s="412" t="s">
        <v>1253</v>
      </c>
      <c r="K189" s="232" t="s">
        <v>117</v>
      </c>
      <c r="L189" s="204" t="s">
        <v>1254</v>
      </c>
      <c r="M189" s="351"/>
      <c r="N189" s="126" t="s">
        <v>504</v>
      </c>
      <c r="O189" s="126"/>
      <c r="P189" s="126"/>
      <c r="Q189" s="40" t="s">
        <v>6</v>
      </c>
      <c r="R189" s="126" t="s">
        <v>6</v>
      </c>
      <c r="S189" s="126" t="s">
        <v>6</v>
      </c>
      <c r="T189" s="126" t="s">
        <v>6</v>
      </c>
      <c r="U189" s="218" t="s">
        <v>1051</v>
      </c>
      <c r="V189" s="208"/>
      <c r="W189" s="204" t="s">
        <v>125</v>
      </c>
      <c r="X189" s="199"/>
      <c r="Y189" s="199"/>
      <c r="Z189" s="199"/>
      <c r="AA189" s="126" t="s">
        <v>6</v>
      </c>
      <c r="AB189" s="198"/>
      <c r="AC189" s="199"/>
      <c r="AD189" s="199"/>
      <c r="AE189" s="204" t="s">
        <v>125</v>
      </c>
      <c r="AF189" s="199"/>
      <c r="AG189" s="199"/>
      <c r="AH189" s="199"/>
      <c r="AI189" s="126" t="s">
        <v>6</v>
      </c>
      <c r="AJ189" s="198"/>
      <c r="AK189" s="199"/>
      <c r="AL189" s="199"/>
      <c r="AM189" s="199"/>
      <c r="AN189" s="199"/>
      <c r="AO189" s="199"/>
      <c r="AP189" s="199"/>
      <c r="AQ189" s="199"/>
      <c r="AR189" s="199"/>
      <c r="AS189" s="199"/>
      <c r="AT189" s="199"/>
      <c r="AU189" s="199"/>
      <c r="AV189" s="199"/>
      <c r="AW189" s="155">
        <f t="shared" si="14"/>
        <v>41</v>
      </c>
    </row>
    <row r="190" spans="1:49" s="236" customFormat="1" ht="15">
      <c r="A190" s="40">
        <f t="shared" si="10"/>
        <v>184</v>
      </c>
      <c r="B190" s="199"/>
      <c r="C190" s="199"/>
      <c r="D190" s="199"/>
      <c r="E190" s="199"/>
      <c r="F190" s="199"/>
      <c r="G190" s="199"/>
      <c r="H190" s="199"/>
      <c r="I190" s="199"/>
      <c r="J190" s="412" t="s">
        <v>1255</v>
      </c>
      <c r="K190" s="232" t="s">
        <v>117</v>
      </c>
      <c r="L190" s="204" t="s">
        <v>1256</v>
      </c>
      <c r="M190" s="351"/>
      <c r="N190" s="126" t="s">
        <v>504</v>
      </c>
      <c r="O190" s="126"/>
      <c r="P190" s="126"/>
      <c r="Q190" s="126" t="s">
        <v>6</v>
      </c>
      <c r="R190" s="126" t="s">
        <v>6</v>
      </c>
      <c r="S190" s="126" t="s">
        <v>6</v>
      </c>
      <c r="T190" s="126" t="s">
        <v>6</v>
      </c>
      <c r="U190" s="204" t="s">
        <v>1257</v>
      </c>
      <c r="V190" s="232"/>
      <c r="W190" s="204" t="s">
        <v>125</v>
      </c>
      <c r="X190" s="199"/>
      <c r="Y190" s="199"/>
      <c r="Z190" s="199"/>
      <c r="AA190" s="126" t="s">
        <v>6</v>
      </c>
      <c r="AB190" s="198"/>
      <c r="AC190" s="199"/>
      <c r="AD190" s="199"/>
      <c r="AE190" s="204" t="s">
        <v>125</v>
      </c>
      <c r="AF190" s="199"/>
      <c r="AG190" s="199"/>
      <c r="AH190" s="199"/>
      <c r="AI190" s="126" t="s">
        <v>6</v>
      </c>
      <c r="AJ190" s="198"/>
      <c r="AK190" s="199"/>
      <c r="AL190" s="199"/>
      <c r="AM190" s="199"/>
      <c r="AN190" s="199"/>
      <c r="AO190" s="199"/>
      <c r="AP190" s="199"/>
      <c r="AQ190" s="199"/>
      <c r="AR190" s="199"/>
      <c r="AS190" s="199"/>
      <c r="AT190" s="199"/>
      <c r="AU190" s="199"/>
      <c r="AV190" s="199"/>
      <c r="AW190" s="155">
        <f t="shared" si="14"/>
        <v>23</v>
      </c>
    </row>
    <row r="191" spans="1:49" s="236" customFormat="1" ht="15">
      <c r="A191" s="40">
        <f t="shared" si="10"/>
        <v>185</v>
      </c>
      <c r="B191" s="199"/>
      <c r="C191" s="199"/>
      <c r="D191" s="199"/>
      <c r="E191" s="199"/>
      <c r="F191" s="199"/>
      <c r="G191" s="199"/>
      <c r="H191" s="199"/>
      <c r="I191" s="199"/>
      <c r="J191" s="412" t="s">
        <v>1258</v>
      </c>
      <c r="K191" s="412" t="s">
        <v>117</v>
      </c>
      <c r="L191" s="204" t="s">
        <v>1259</v>
      </c>
      <c r="M191" s="351"/>
      <c r="N191" s="126" t="s">
        <v>504</v>
      </c>
      <c r="O191" s="40"/>
      <c r="P191" s="40"/>
      <c r="Q191" s="416" t="s">
        <v>6</v>
      </c>
      <c r="R191" s="416" t="s">
        <v>6</v>
      </c>
      <c r="S191" s="416" t="s">
        <v>6</v>
      </c>
      <c r="T191" s="126" t="s">
        <v>6</v>
      </c>
      <c r="U191" s="202"/>
      <c r="V191" s="40"/>
      <c r="W191" s="412" t="s">
        <v>133</v>
      </c>
      <c r="X191" s="40"/>
      <c r="Y191" s="40"/>
      <c r="Z191" s="416" t="s">
        <v>6</v>
      </c>
      <c r="AA191" s="416" t="s">
        <v>6</v>
      </c>
      <c r="AB191" s="198"/>
      <c r="AC191" s="199"/>
      <c r="AD191" s="199"/>
      <c r="AE191" s="412" t="s">
        <v>133</v>
      </c>
      <c r="AF191" s="40"/>
      <c r="AG191" s="40"/>
      <c r="AH191" s="416" t="s">
        <v>6</v>
      </c>
      <c r="AI191" s="416" t="s">
        <v>6</v>
      </c>
      <c r="AJ191" s="198"/>
      <c r="AK191" s="199"/>
      <c r="AL191" s="199"/>
      <c r="AM191" s="199"/>
      <c r="AN191" s="199"/>
      <c r="AO191" s="199"/>
      <c r="AP191" s="199"/>
      <c r="AQ191" s="199"/>
      <c r="AR191" s="199"/>
      <c r="AS191" s="199"/>
      <c r="AT191" s="199"/>
      <c r="AU191" s="199"/>
      <c r="AV191" s="199"/>
      <c r="AW191" s="155">
        <f t="shared" ref="AW191:AW198" si="15">LEN(L191)</f>
        <v>29</v>
      </c>
    </row>
    <row r="192" spans="1:49" s="236" customFormat="1" ht="15">
      <c r="A192" s="40">
        <f t="shared" si="10"/>
        <v>186</v>
      </c>
      <c r="B192" s="199"/>
      <c r="C192" s="199"/>
      <c r="D192" s="199"/>
      <c r="E192" s="199"/>
      <c r="F192" s="199"/>
      <c r="G192" s="199"/>
      <c r="H192" s="199"/>
      <c r="I192" s="199"/>
      <c r="J192" s="412" t="s">
        <v>1260</v>
      </c>
      <c r="K192" s="412" t="s">
        <v>117</v>
      </c>
      <c r="L192" s="204" t="s">
        <v>1261</v>
      </c>
      <c r="M192" s="351"/>
      <c r="N192" s="126" t="s">
        <v>504</v>
      </c>
      <c r="O192" s="40"/>
      <c r="P192" s="40"/>
      <c r="Q192" s="416" t="s">
        <v>6</v>
      </c>
      <c r="R192" s="416" t="s">
        <v>6</v>
      </c>
      <c r="S192" s="416" t="s">
        <v>6</v>
      </c>
      <c r="T192" s="416" t="s">
        <v>6</v>
      </c>
      <c r="U192" s="204" t="s">
        <v>1049</v>
      </c>
      <c r="V192" s="40"/>
      <c r="W192" s="412" t="s">
        <v>133</v>
      </c>
      <c r="X192" s="40"/>
      <c r="Y192" s="40"/>
      <c r="Z192" s="416"/>
      <c r="AA192" s="416" t="s">
        <v>6</v>
      </c>
      <c r="AB192" s="198"/>
      <c r="AC192" s="199"/>
      <c r="AD192" s="199"/>
      <c r="AE192" s="412" t="s">
        <v>133</v>
      </c>
      <c r="AF192" s="40"/>
      <c r="AG192" s="40"/>
      <c r="AH192" s="416"/>
      <c r="AI192" s="416" t="s">
        <v>6</v>
      </c>
      <c r="AJ192" s="198"/>
      <c r="AK192" s="199"/>
      <c r="AL192" s="199"/>
      <c r="AM192" s="199"/>
      <c r="AN192" s="199"/>
      <c r="AO192" s="199"/>
      <c r="AP192" s="199"/>
      <c r="AQ192" s="199"/>
      <c r="AR192" s="199"/>
      <c r="AS192" s="199"/>
      <c r="AT192" s="199"/>
      <c r="AU192" s="199"/>
      <c r="AV192" s="199"/>
      <c r="AW192" s="155">
        <f t="shared" si="15"/>
        <v>31</v>
      </c>
    </row>
    <row r="193" spans="1:49" s="236" customFormat="1" ht="39.6">
      <c r="A193" s="40">
        <f t="shared" si="10"/>
        <v>187</v>
      </c>
      <c r="B193" s="199"/>
      <c r="C193" s="199"/>
      <c r="D193" s="199"/>
      <c r="E193" s="199"/>
      <c r="F193" s="199"/>
      <c r="G193" s="199"/>
      <c r="H193" s="199"/>
      <c r="I193" s="199"/>
      <c r="J193" s="412" t="s">
        <v>1262</v>
      </c>
      <c r="K193" s="412" t="s">
        <v>117</v>
      </c>
      <c r="L193" s="204" t="s">
        <v>1263</v>
      </c>
      <c r="M193" s="351"/>
      <c r="N193" s="126" t="s">
        <v>504</v>
      </c>
      <c r="O193" s="40"/>
      <c r="P193" s="40"/>
      <c r="Q193" s="416" t="s">
        <v>6</v>
      </c>
      <c r="R193" s="416" t="s">
        <v>6</v>
      </c>
      <c r="S193" s="416" t="s">
        <v>6</v>
      </c>
      <c r="T193" s="416" t="s">
        <v>6</v>
      </c>
      <c r="U193" s="218" t="s">
        <v>1051</v>
      </c>
      <c r="V193" s="40"/>
      <c r="W193" s="412" t="s">
        <v>133</v>
      </c>
      <c r="X193" s="40"/>
      <c r="Y193" s="40"/>
      <c r="Z193" s="416"/>
      <c r="AA193" s="416" t="s">
        <v>6</v>
      </c>
      <c r="AB193" s="198"/>
      <c r="AC193" s="199"/>
      <c r="AD193" s="199"/>
      <c r="AE193" s="412" t="s">
        <v>133</v>
      </c>
      <c r="AF193" s="40"/>
      <c r="AG193" s="40"/>
      <c r="AH193" s="416"/>
      <c r="AI193" s="416" t="s">
        <v>6</v>
      </c>
      <c r="AJ193" s="198"/>
      <c r="AK193" s="199"/>
      <c r="AL193" s="199"/>
      <c r="AM193" s="199"/>
      <c r="AN193" s="199"/>
      <c r="AO193" s="199"/>
      <c r="AP193" s="199"/>
      <c r="AQ193" s="199"/>
      <c r="AR193" s="199"/>
      <c r="AS193" s="199"/>
      <c r="AT193" s="199"/>
      <c r="AU193" s="199"/>
      <c r="AV193" s="199"/>
      <c r="AW193" s="155">
        <f t="shared" si="15"/>
        <v>38</v>
      </c>
    </row>
    <row r="194" spans="1:49" s="236" customFormat="1" ht="39.6">
      <c r="A194" s="40">
        <f t="shared" si="10"/>
        <v>188</v>
      </c>
      <c r="B194" s="199"/>
      <c r="C194" s="199"/>
      <c r="D194" s="199"/>
      <c r="E194" s="199"/>
      <c r="F194" s="199"/>
      <c r="G194" s="199"/>
      <c r="H194" s="199"/>
      <c r="I194" s="199"/>
      <c r="J194" s="412" t="s">
        <v>1264</v>
      </c>
      <c r="K194" s="412" t="s">
        <v>117</v>
      </c>
      <c r="L194" s="204" t="s">
        <v>1265</v>
      </c>
      <c r="M194" s="351"/>
      <c r="N194" s="126" t="s">
        <v>504</v>
      </c>
      <c r="O194" s="40"/>
      <c r="P194" s="40"/>
      <c r="Q194" s="416" t="s">
        <v>6</v>
      </c>
      <c r="R194" s="416" t="s">
        <v>6</v>
      </c>
      <c r="S194" s="416" t="s">
        <v>6</v>
      </c>
      <c r="T194" s="416" t="s">
        <v>6</v>
      </c>
      <c r="U194" s="218" t="s">
        <v>1051</v>
      </c>
      <c r="V194" s="40"/>
      <c r="W194" s="412" t="s">
        <v>133</v>
      </c>
      <c r="X194" s="40"/>
      <c r="Y194" s="40"/>
      <c r="Z194" s="416"/>
      <c r="AA194" s="416" t="s">
        <v>6</v>
      </c>
      <c r="AB194" s="198"/>
      <c r="AC194" s="199"/>
      <c r="AD194" s="199"/>
      <c r="AE194" s="412" t="s">
        <v>133</v>
      </c>
      <c r="AF194" s="40"/>
      <c r="AG194" s="40"/>
      <c r="AH194" s="416"/>
      <c r="AI194" s="416" t="s">
        <v>6</v>
      </c>
      <c r="AJ194" s="198"/>
      <c r="AK194" s="199"/>
      <c r="AL194" s="199"/>
      <c r="AM194" s="199"/>
      <c r="AN194" s="199"/>
      <c r="AO194" s="199"/>
      <c r="AP194" s="199"/>
      <c r="AQ194" s="199"/>
      <c r="AR194" s="199"/>
      <c r="AS194" s="199"/>
      <c r="AT194" s="199"/>
      <c r="AU194" s="199"/>
      <c r="AV194" s="199"/>
      <c r="AW194" s="155">
        <f t="shared" si="15"/>
        <v>38</v>
      </c>
    </row>
    <row r="195" spans="1:49" s="236" customFormat="1" ht="39.6">
      <c r="A195" s="40">
        <f t="shared" si="10"/>
        <v>189</v>
      </c>
      <c r="B195" s="199"/>
      <c r="C195" s="199"/>
      <c r="D195" s="199"/>
      <c r="E195" s="199"/>
      <c r="F195" s="199"/>
      <c r="G195" s="199"/>
      <c r="H195" s="199"/>
      <c r="I195" s="199"/>
      <c r="J195" s="412" t="s">
        <v>1266</v>
      </c>
      <c r="K195" s="412" t="s">
        <v>117</v>
      </c>
      <c r="L195" s="204" t="s">
        <v>1267</v>
      </c>
      <c r="M195" s="351"/>
      <c r="N195" s="126" t="s">
        <v>504</v>
      </c>
      <c r="O195" s="40"/>
      <c r="P195" s="40"/>
      <c r="Q195" s="416" t="s">
        <v>6</v>
      </c>
      <c r="R195" s="416" t="s">
        <v>6</v>
      </c>
      <c r="S195" s="416" t="s">
        <v>6</v>
      </c>
      <c r="T195" s="416" t="s">
        <v>6</v>
      </c>
      <c r="U195" s="218" t="s">
        <v>1051</v>
      </c>
      <c r="V195" s="40"/>
      <c r="W195" s="412" t="s">
        <v>133</v>
      </c>
      <c r="X195" s="40"/>
      <c r="Y195" s="40"/>
      <c r="Z195" s="416"/>
      <c r="AA195" s="416" t="s">
        <v>6</v>
      </c>
      <c r="AB195" s="198"/>
      <c r="AC195" s="199"/>
      <c r="AD195" s="199"/>
      <c r="AE195" s="412" t="s">
        <v>133</v>
      </c>
      <c r="AF195" s="40"/>
      <c r="AG195" s="40"/>
      <c r="AH195" s="416"/>
      <c r="AI195" s="416" t="s">
        <v>6</v>
      </c>
      <c r="AJ195" s="198"/>
      <c r="AK195" s="199"/>
      <c r="AL195" s="199"/>
      <c r="AM195" s="199"/>
      <c r="AN195" s="199"/>
      <c r="AO195" s="199"/>
      <c r="AP195" s="199"/>
      <c r="AQ195" s="199"/>
      <c r="AR195" s="199"/>
      <c r="AS195" s="199"/>
      <c r="AT195" s="199"/>
      <c r="AU195" s="199"/>
      <c r="AV195" s="199"/>
      <c r="AW195" s="155">
        <f t="shared" si="15"/>
        <v>38</v>
      </c>
    </row>
    <row r="196" spans="1:49" s="236" customFormat="1" ht="15">
      <c r="A196" s="40">
        <f t="shared" si="10"/>
        <v>190</v>
      </c>
      <c r="B196" s="199"/>
      <c r="C196" s="199"/>
      <c r="D196" s="199"/>
      <c r="E196" s="199"/>
      <c r="F196" s="199"/>
      <c r="G196" s="199"/>
      <c r="H196" s="199"/>
      <c r="I196" s="199"/>
      <c r="J196" s="412" t="s">
        <v>1268</v>
      </c>
      <c r="K196" s="232" t="s">
        <v>117</v>
      </c>
      <c r="L196" s="204" t="s">
        <v>1269</v>
      </c>
      <c r="M196" s="351"/>
      <c r="N196" s="126" t="s">
        <v>504</v>
      </c>
      <c r="O196" s="126"/>
      <c r="P196" s="126"/>
      <c r="Q196" s="126" t="s">
        <v>6</v>
      </c>
      <c r="R196" s="126" t="s">
        <v>6</v>
      </c>
      <c r="S196" s="126" t="s">
        <v>6</v>
      </c>
      <c r="T196" s="416" t="s">
        <v>6</v>
      </c>
      <c r="U196" s="204"/>
      <c r="V196" s="204"/>
      <c r="W196" s="204" t="s">
        <v>125</v>
      </c>
      <c r="X196" s="199"/>
      <c r="Y196" s="199"/>
      <c r="Z196" s="199"/>
      <c r="AA196" s="126" t="s">
        <v>6</v>
      </c>
      <c r="AB196" s="198"/>
      <c r="AC196" s="199"/>
      <c r="AD196" s="199"/>
      <c r="AE196" s="204" t="s">
        <v>125</v>
      </c>
      <c r="AF196" s="199"/>
      <c r="AG196" s="199"/>
      <c r="AH196" s="199"/>
      <c r="AI196" s="126" t="s">
        <v>6</v>
      </c>
      <c r="AJ196" s="198"/>
      <c r="AK196" s="199"/>
      <c r="AL196" s="199"/>
      <c r="AM196" s="199"/>
      <c r="AN196" s="199"/>
      <c r="AO196" s="199"/>
      <c r="AP196" s="199"/>
      <c r="AQ196" s="199"/>
      <c r="AR196" s="199"/>
      <c r="AS196" s="199"/>
      <c r="AT196" s="199"/>
      <c r="AU196" s="199"/>
      <c r="AV196" s="199"/>
      <c r="AW196" s="155">
        <f t="shared" si="15"/>
        <v>29</v>
      </c>
    </row>
    <row r="197" spans="1:49" s="236" customFormat="1" ht="15">
      <c r="A197" s="40">
        <f t="shared" si="10"/>
        <v>191</v>
      </c>
      <c r="B197" s="199"/>
      <c r="C197" s="199"/>
      <c r="D197" s="199"/>
      <c r="E197" s="199"/>
      <c r="F197" s="199"/>
      <c r="G197" s="199"/>
      <c r="H197" s="199"/>
      <c r="I197" s="199"/>
      <c r="J197" s="412" t="s">
        <v>1270</v>
      </c>
      <c r="K197" s="412" t="s">
        <v>128</v>
      </c>
      <c r="L197" s="204" t="s">
        <v>1271</v>
      </c>
      <c r="M197" s="351"/>
      <c r="N197" s="126" t="s">
        <v>504</v>
      </c>
      <c r="O197" s="126"/>
      <c r="P197" s="126"/>
      <c r="Q197" s="126" t="s">
        <v>6</v>
      </c>
      <c r="R197" s="126" t="s">
        <v>6</v>
      </c>
      <c r="S197" s="126" t="s">
        <v>6</v>
      </c>
      <c r="T197" s="416" t="s">
        <v>6</v>
      </c>
      <c r="U197" s="204" t="s">
        <v>1049</v>
      </c>
      <c r="V197" s="208"/>
      <c r="W197" s="412" t="s">
        <v>128</v>
      </c>
      <c r="X197" s="199"/>
      <c r="Y197" s="199"/>
      <c r="Z197" s="126" t="s">
        <v>6</v>
      </c>
      <c r="AA197" s="126" t="s">
        <v>6</v>
      </c>
      <c r="AB197" s="198"/>
      <c r="AC197" s="199"/>
      <c r="AD197" s="199"/>
      <c r="AE197" s="412" t="s">
        <v>128</v>
      </c>
      <c r="AF197" s="199"/>
      <c r="AG197" s="199"/>
      <c r="AH197" s="126" t="s">
        <v>6</v>
      </c>
      <c r="AI197" s="126" t="s">
        <v>6</v>
      </c>
      <c r="AJ197" s="198"/>
      <c r="AK197" s="199"/>
      <c r="AL197" s="199"/>
      <c r="AM197" s="199"/>
      <c r="AN197" s="199"/>
      <c r="AO197" s="199"/>
      <c r="AP197" s="199"/>
      <c r="AQ197" s="199"/>
      <c r="AR197" s="199"/>
      <c r="AS197" s="199"/>
      <c r="AT197" s="199"/>
      <c r="AU197" s="199"/>
      <c r="AV197" s="199"/>
      <c r="AW197" s="155">
        <f t="shared" si="15"/>
        <v>24</v>
      </c>
    </row>
    <row r="198" spans="1:49" s="236" customFormat="1" ht="15">
      <c r="A198" s="40">
        <f t="shared" si="10"/>
        <v>192</v>
      </c>
      <c r="B198" s="199"/>
      <c r="C198" s="199"/>
      <c r="D198" s="199"/>
      <c r="E198" s="199"/>
      <c r="F198" s="199"/>
      <c r="G198" s="199"/>
      <c r="H198" s="199"/>
      <c r="I198" s="199"/>
      <c r="J198" s="412" t="s">
        <v>1272</v>
      </c>
      <c r="K198" s="412" t="s">
        <v>128</v>
      </c>
      <c r="L198" s="204" t="s">
        <v>1273</v>
      </c>
      <c r="M198" s="351"/>
      <c r="N198" s="126" t="s">
        <v>504</v>
      </c>
      <c r="O198" s="126"/>
      <c r="P198" s="126"/>
      <c r="Q198" s="126" t="s">
        <v>6</v>
      </c>
      <c r="R198" s="126" t="s">
        <v>6</v>
      </c>
      <c r="S198" s="126" t="s">
        <v>6</v>
      </c>
      <c r="T198" s="416" t="s">
        <v>6</v>
      </c>
      <c r="U198" s="204" t="s">
        <v>1049</v>
      </c>
      <c r="V198" s="208"/>
      <c r="W198" s="412" t="s">
        <v>128</v>
      </c>
      <c r="X198" s="199"/>
      <c r="Y198" s="199"/>
      <c r="Z198" s="126" t="s">
        <v>6</v>
      </c>
      <c r="AA198" s="126" t="s">
        <v>6</v>
      </c>
      <c r="AB198" s="198"/>
      <c r="AC198" s="199"/>
      <c r="AD198" s="199"/>
      <c r="AE198" s="412" t="s">
        <v>128</v>
      </c>
      <c r="AF198" s="199"/>
      <c r="AG198" s="199"/>
      <c r="AH198" s="126" t="s">
        <v>6</v>
      </c>
      <c r="AI198" s="126" t="s">
        <v>6</v>
      </c>
      <c r="AJ198" s="198"/>
      <c r="AK198" s="199"/>
      <c r="AL198" s="199"/>
      <c r="AM198" s="199"/>
      <c r="AN198" s="199"/>
      <c r="AO198" s="199"/>
      <c r="AP198" s="199"/>
      <c r="AQ198" s="199"/>
      <c r="AR198" s="199"/>
      <c r="AS198" s="199"/>
      <c r="AT198" s="199"/>
      <c r="AU198" s="199"/>
      <c r="AV198" s="199"/>
      <c r="AW198" s="155">
        <f t="shared" si="15"/>
        <v>24</v>
      </c>
    </row>
    <row r="199" spans="1:49" s="236" customFormat="1" ht="26.4">
      <c r="A199" s="40">
        <f t="shared" ref="A199:A262" si="16">ROW() - 6</f>
        <v>193</v>
      </c>
      <c r="B199" s="199"/>
      <c r="C199" s="199"/>
      <c r="D199" s="199"/>
      <c r="E199" s="199"/>
      <c r="F199" s="199"/>
      <c r="G199" s="199"/>
      <c r="H199" s="199"/>
      <c r="I199" s="199"/>
      <c r="J199" s="412" t="s">
        <v>1274</v>
      </c>
      <c r="K199" s="412" t="s">
        <v>128</v>
      </c>
      <c r="L199" s="204" t="s">
        <v>1275</v>
      </c>
      <c r="M199" s="351"/>
      <c r="N199" s="126" t="s">
        <v>504</v>
      </c>
      <c r="O199" s="126"/>
      <c r="P199" s="126"/>
      <c r="Q199" s="126" t="s">
        <v>6</v>
      </c>
      <c r="R199" s="126" t="s">
        <v>6</v>
      </c>
      <c r="S199" s="126" t="s">
        <v>6</v>
      </c>
      <c r="T199" s="416" t="s">
        <v>6</v>
      </c>
      <c r="U199" s="218" t="s">
        <v>1114</v>
      </c>
      <c r="V199" s="208"/>
      <c r="W199" s="412" t="s">
        <v>128</v>
      </c>
      <c r="X199" s="199"/>
      <c r="Y199" s="199"/>
      <c r="Z199" s="126" t="s">
        <v>6</v>
      </c>
      <c r="AA199" s="126" t="s">
        <v>6</v>
      </c>
      <c r="AB199" s="198"/>
      <c r="AC199" s="199"/>
      <c r="AD199" s="199"/>
      <c r="AE199" s="412" t="s">
        <v>128</v>
      </c>
      <c r="AF199" s="199"/>
      <c r="AG199" s="199"/>
      <c r="AH199" s="126" t="s">
        <v>6</v>
      </c>
      <c r="AI199" s="126" t="s">
        <v>6</v>
      </c>
      <c r="AJ199" s="198"/>
      <c r="AK199" s="199"/>
      <c r="AL199" s="199"/>
      <c r="AM199" s="199"/>
      <c r="AN199" s="199"/>
      <c r="AO199" s="199"/>
      <c r="AP199" s="199"/>
      <c r="AQ199" s="199"/>
      <c r="AR199" s="199"/>
      <c r="AS199" s="199"/>
      <c r="AT199" s="199"/>
      <c r="AU199" s="199"/>
      <c r="AV199" s="199"/>
      <c r="AW199" s="155">
        <f t="shared" ref="AW199:AW204" si="17">LEN(L199)</f>
        <v>31</v>
      </c>
    </row>
    <row r="200" spans="1:49" s="236" customFormat="1" ht="26.4">
      <c r="A200" s="40">
        <f t="shared" si="16"/>
        <v>194</v>
      </c>
      <c r="B200" s="199"/>
      <c r="C200" s="199"/>
      <c r="D200" s="199"/>
      <c r="E200" s="199"/>
      <c r="F200" s="199"/>
      <c r="G200" s="199"/>
      <c r="H200" s="199"/>
      <c r="I200" s="199"/>
      <c r="J200" s="412" t="s">
        <v>1276</v>
      </c>
      <c r="K200" s="412" t="s">
        <v>128</v>
      </c>
      <c r="L200" s="204" t="s">
        <v>1277</v>
      </c>
      <c r="M200" s="351"/>
      <c r="N200" s="126" t="s">
        <v>504</v>
      </c>
      <c r="O200" s="126"/>
      <c r="P200" s="126"/>
      <c r="Q200" s="126" t="s">
        <v>6</v>
      </c>
      <c r="R200" s="126" t="s">
        <v>6</v>
      </c>
      <c r="S200" s="126" t="s">
        <v>6</v>
      </c>
      <c r="T200" s="416" t="s">
        <v>6</v>
      </c>
      <c r="U200" s="218" t="s">
        <v>1114</v>
      </c>
      <c r="V200" s="208"/>
      <c r="W200" s="412" t="s">
        <v>128</v>
      </c>
      <c r="X200" s="199"/>
      <c r="Y200" s="199"/>
      <c r="Z200" s="126" t="s">
        <v>6</v>
      </c>
      <c r="AA200" s="126" t="s">
        <v>6</v>
      </c>
      <c r="AB200" s="198"/>
      <c r="AC200" s="199"/>
      <c r="AD200" s="199"/>
      <c r="AE200" s="412" t="s">
        <v>128</v>
      </c>
      <c r="AF200" s="199"/>
      <c r="AG200" s="199"/>
      <c r="AH200" s="126" t="s">
        <v>6</v>
      </c>
      <c r="AI200" s="126" t="s">
        <v>6</v>
      </c>
      <c r="AJ200" s="198"/>
      <c r="AK200" s="199"/>
      <c r="AL200" s="199"/>
      <c r="AM200" s="199"/>
      <c r="AN200" s="199"/>
      <c r="AO200" s="199"/>
      <c r="AP200" s="199"/>
      <c r="AQ200" s="199"/>
      <c r="AR200" s="199"/>
      <c r="AS200" s="199"/>
      <c r="AT200" s="199"/>
      <c r="AU200" s="199"/>
      <c r="AV200" s="199"/>
      <c r="AW200" s="155">
        <f t="shared" si="17"/>
        <v>31</v>
      </c>
    </row>
    <row r="201" spans="1:49" s="236" customFormat="1" ht="26.4">
      <c r="A201" s="40">
        <f t="shared" si="16"/>
        <v>195</v>
      </c>
      <c r="B201" s="199"/>
      <c r="C201" s="199"/>
      <c r="D201" s="199"/>
      <c r="E201" s="199"/>
      <c r="F201" s="199"/>
      <c r="G201" s="199"/>
      <c r="H201" s="199"/>
      <c r="I201" s="199"/>
      <c r="J201" s="412" t="s">
        <v>1278</v>
      </c>
      <c r="K201" s="412" t="s">
        <v>128</v>
      </c>
      <c r="L201" s="204" t="s">
        <v>1279</v>
      </c>
      <c r="M201" s="351"/>
      <c r="N201" s="126" t="s">
        <v>504</v>
      </c>
      <c r="O201" s="126"/>
      <c r="P201" s="126"/>
      <c r="Q201" s="126" t="s">
        <v>6</v>
      </c>
      <c r="R201" s="126" t="s">
        <v>6</v>
      </c>
      <c r="S201" s="126" t="s">
        <v>6</v>
      </c>
      <c r="T201" s="416" t="s">
        <v>6</v>
      </c>
      <c r="U201" s="218" t="s">
        <v>1114</v>
      </c>
      <c r="V201" s="208"/>
      <c r="W201" s="412" t="s">
        <v>128</v>
      </c>
      <c r="X201" s="199"/>
      <c r="Y201" s="199"/>
      <c r="Z201" s="126" t="s">
        <v>6</v>
      </c>
      <c r="AA201" s="126" t="s">
        <v>6</v>
      </c>
      <c r="AB201" s="198"/>
      <c r="AC201" s="199"/>
      <c r="AD201" s="199"/>
      <c r="AE201" s="412" t="s">
        <v>128</v>
      </c>
      <c r="AF201" s="199"/>
      <c r="AG201" s="199"/>
      <c r="AH201" s="126" t="s">
        <v>6</v>
      </c>
      <c r="AI201" s="126" t="s">
        <v>6</v>
      </c>
      <c r="AJ201" s="198"/>
      <c r="AK201" s="199"/>
      <c r="AL201" s="199"/>
      <c r="AM201" s="199"/>
      <c r="AN201" s="199"/>
      <c r="AO201" s="199"/>
      <c r="AP201" s="199"/>
      <c r="AQ201" s="199"/>
      <c r="AR201" s="199"/>
      <c r="AS201" s="199"/>
      <c r="AT201" s="199"/>
      <c r="AU201" s="199"/>
      <c r="AV201" s="199"/>
      <c r="AW201" s="155">
        <f t="shared" si="17"/>
        <v>31</v>
      </c>
    </row>
    <row r="202" spans="1:49" s="236" customFormat="1" ht="26.4">
      <c r="A202" s="40">
        <f t="shared" si="16"/>
        <v>196</v>
      </c>
      <c r="B202" s="199"/>
      <c r="C202" s="199"/>
      <c r="D202" s="199"/>
      <c r="E202" s="199"/>
      <c r="F202" s="199"/>
      <c r="G202" s="199"/>
      <c r="H202" s="199"/>
      <c r="I202" s="199"/>
      <c r="J202" s="412" t="s">
        <v>1280</v>
      </c>
      <c r="K202" s="412" t="s">
        <v>128</v>
      </c>
      <c r="L202" s="204" t="s">
        <v>1281</v>
      </c>
      <c r="M202" s="351"/>
      <c r="N202" s="126" t="s">
        <v>504</v>
      </c>
      <c r="O202" s="126"/>
      <c r="P202" s="126"/>
      <c r="Q202" s="126" t="s">
        <v>6</v>
      </c>
      <c r="R202" s="126" t="s">
        <v>6</v>
      </c>
      <c r="S202" s="126" t="s">
        <v>6</v>
      </c>
      <c r="T202" s="416" t="s">
        <v>6</v>
      </c>
      <c r="U202" s="218" t="s">
        <v>1114</v>
      </c>
      <c r="V202" s="208"/>
      <c r="W202" s="412" t="s">
        <v>128</v>
      </c>
      <c r="X202" s="199"/>
      <c r="Y202" s="199"/>
      <c r="Z202" s="126" t="s">
        <v>6</v>
      </c>
      <c r="AA202" s="126" t="s">
        <v>6</v>
      </c>
      <c r="AB202" s="198"/>
      <c r="AC202" s="199"/>
      <c r="AD202" s="199"/>
      <c r="AE202" s="412" t="s">
        <v>128</v>
      </c>
      <c r="AF202" s="199"/>
      <c r="AG202" s="199"/>
      <c r="AH202" s="126" t="s">
        <v>6</v>
      </c>
      <c r="AI202" s="126" t="s">
        <v>6</v>
      </c>
      <c r="AJ202" s="198"/>
      <c r="AK202" s="199"/>
      <c r="AL202" s="199"/>
      <c r="AM202" s="199"/>
      <c r="AN202" s="199"/>
      <c r="AO202" s="199"/>
      <c r="AP202" s="199"/>
      <c r="AQ202" s="199"/>
      <c r="AR202" s="199"/>
      <c r="AS202" s="199"/>
      <c r="AT202" s="199"/>
      <c r="AU202" s="199"/>
      <c r="AV202" s="199"/>
      <c r="AW202" s="155">
        <f t="shared" si="17"/>
        <v>31</v>
      </c>
    </row>
    <row r="203" spans="1:49" s="236" customFormat="1" ht="26.4">
      <c r="A203" s="40">
        <f t="shared" si="16"/>
        <v>197</v>
      </c>
      <c r="B203" s="199"/>
      <c r="C203" s="199"/>
      <c r="D203" s="199"/>
      <c r="E203" s="199"/>
      <c r="F203" s="199"/>
      <c r="G203" s="199"/>
      <c r="H203" s="199"/>
      <c r="I203" s="199"/>
      <c r="J203" s="412" t="s">
        <v>1282</v>
      </c>
      <c r="K203" s="412" t="s">
        <v>128</v>
      </c>
      <c r="L203" s="204" t="s">
        <v>1283</v>
      </c>
      <c r="M203" s="351"/>
      <c r="N203" s="126" t="s">
        <v>504</v>
      </c>
      <c r="O203" s="126"/>
      <c r="P203" s="126"/>
      <c r="Q203" s="126" t="s">
        <v>6</v>
      </c>
      <c r="R203" s="126" t="s">
        <v>6</v>
      </c>
      <c r="S203" s="126" t="s">
        <v>6</v>
      </c>
      <c r="T203" s="416" t="s">
        <v>6</v>
      </c>
      <c r="U203" s="218" t="s">
        <v>1114</v>
      </c>
      <c r="V203" s="208"/>
      <c r="W203" s="412" t="s">
        <v>128</v>
      </c>
      <c r="X203" s="199"/>
      <c r="Y203" s="199"/>
      <c r="Z203" s="126" t="s">
        <v>6</v>
      </c>
      <c r="AA203" s="126" t="s">
        <v>6</v>
      </c>
      <c r="AB203" s="198"/>
      <c r="AC203" s="199"/>
      <c r="AD203" s="199"/>
      <c r="AE203" s="412" t="s">
        <v>128</v>
      </c>
      <c r="AF203" s="199"/>
      <c r="AG203" s="199"/>
      <c r="AH203" s="126" t="s">
        <v>6</v>
      </c>
      <c r="AI203" s="126" t="s">
        <v>6</v>
      </c>
      <c r="AJ203" s="198"/>
      <c r="AK203" s="199"/>
      <c r="AL203" s="199"/>
      <c r="AM203" s="199"/>
      <c r="AN203" s="199"/>
      <c r="AO203" s="199"/>
      <c r="AP203" s="199"/>
      <c r="AQ203" s="199"/>
      <c r="AR203" s="199"/>
      <c r="AS203" s="199"/>
      <c r="AT203" s="199"/>
      <c r="AU203" s="199"/>
      <c r="AV203" s="199"/>
      <c r="AW203" s="155">
        <f t="shared" si="17"/>
        <v>31</v>
      </c>
    </row>
    <row r="204" spans="1:49" s="236" customFormat="1" ht="26.4">
      <c r="A204" s="40">
        <f t="shared" si="16"/>
        <v>198</v>
      </c>
      <c r="B204" s="199"/>
      <c r="C204" s="199"/>
      <c r="D204" s="199"/>
      <c r="E204" s="199"/>
      <c r="F204" s="199"/>
      <c r="G204" s="199"/>
      <c r="H204" s="199"/>
      <c r="I204" s="199"/>
      <c r="J204" s="412" t="s">
        <v>1284</v>
      </c>
      <c r="K204" s="412" t="s">
        <v>128</v>
      </c>
      <c r="L204" s="204" t="s">
        <v>1285</v>
      </c>
      <c r="M204" s="351"/>
      <c r="N204" s="126" t="s">
        <v>504</v>
      </c>
      <c r="O204" s="126"/>
      <c r="P204" s="126"/>
      <c r="Q204" s="126" t="s">
        <v>6</v>
      </c>
      <c r="R204" s="126" t="s">
        <v>6</v>
      </c>
      <c r="S204" s="126" t="s">
        <v>6</v>
      </c>
      <c r="T204" s="416" t="s">
        <v>6</v>
      </c>
      <c r="U204" s="218" t="s">
        <v>1114</v>
      </c>
      <c r="V204" s="208"/>
      <c r="W204" s="412" t="s">
        <v>128</v>
      </c>
      <c r="X204" s="199"/>
      <c r="Y204" s="199"/>
      <c r="Z204" s="126" t="s">
        <v>6</v>
      </c>
      <c r="AA204" s="126" t="s">
        <v>6</v>
      </c>
      <c r="AB204" s="198"/>
      <c r="AC204" s="199"/>
      <c r="AD204" s="199"/>
      <c r="AE204" s="412" t="s">
        <v>128</v>
      </c>
      <c r="AF204" s="199"/>
      <c r="AG204" s="199"/>
      <c r="AH204" s="126" t="s">
        <v>6</v>
      </c>
      <c r="AI204" s="126" t="s">
        <v>6</v>
      </c>
      <c r="AJ204" s="198"/>
      <c r="AK204" s="199"/>
      <c r="AL204" s="199"/>
      <c r="AM204" s="199"/>
      <c r="AN204" s="199"/>
      <c r="AO204" s="199"/>
      <c r="AP204" s="199"/>
      <c r="AQ204" s="199"/>
      <c r="AR204" s="199"/>
      <c r="AS204" s="199"/>
      <c r="AT204" s="199"/>
      <c r="AU204" s="199"/>
      <c r="AV204" s="199"/>
      <c r="AW204" s="155">
        <f t="shared" si="17"/>
        <v>31</v>
      </c>
    </row>
    <row r="205" spans="1:49" s="236" customFormat="1" ht="15">
      <c r="A205" s="40">
        <f t="shared" si="16"/>
        <v>199</v>
      </c>
      <c r="B205" s="199"/>
      <c r="C205" s="199"/>
      <c r="D205" s="199"/>
      <c r="E205" s="199"/>
      <c r="F205" s="199"/>
      <c r="G205" s="199"/>
      <c r="H205" s="199"/>
      <c r="I205" s="199"/>
      <c r="J205" s="412" t="s">
        <v>1286</v>
      </c>
      <c r="K205" s="412" t="s">
        <v>140</v>
      </c>
      <c r="L205" s="204" t="s">
        <v>1287</v>
      </c>
      <c r="M205" s="351"/>
      <c r="N205" s="126" t="s">
        <v>504</v>
      </c>
      <c r="O205" s="126"/>
      <c r="P205" s="126"/>
      <c r="Q205" s="126" t="s">
        <v>6</v>
      </c>
      <c r="R205" s="126" t="s">
        <v>6</v>
      </c>
      <c r="S205" s="126" t="s">
        <v>6</v>
      </c>
      <c r="T205" s="416" t="s">
        <v>6</v>
      </c>
      <c r="U205" s="208"/>
      <c r="V205" s="208"/>
      <c r="W205" s="412" t="s">
        <v>140</v>
      </c>
      <c r="X205" s="199"/>
      <c r="Y205" s="199"/>
      <c r="Z205" s="126" t="s">
        <v>6</v>
      </c>
      <c r="AA205" s="126" t="s">
        <v>6</v>
      </c>
      <c r="AB205" s="198"/>
      <c r="AC205" s="199"/>
      <c r="AD205" s="199"/>
      <c r="AE205" s="412" t="s">
        <v>140</v>
      </c>
      <c r="AF205" s="199"/>
      <c r="AG205" s="199"/>
      <c r="AH205" s="126" t="s">
        <v>6</v>
      </c>
      <c r="AI205" s="126" t="s">
        <v>6</v>
      </c>
      <c r="AJ205" s="198"/>
      <c r="AK205" s="199"/>
      <c r="AL205" s="199"/>
      <c r="AM205" s="199"/>
      <c r="AN205" s="199"/>
      <c r="AO205" s="199"/>
      <c r="AP205" s="199"/>
      <c r="AQ205" s="199"/>
      <c r="AR205" s="199"/>
      <c r="AS205" s="199"/>
      <c r="AT205" s="199"/>
      <c r="AU205" s="199"/>
      <c r="AV205" s="199"/>
      <c r="AW205" s="155">
        <f t="shared" ref="AW205:AW215" si="18">LEN(L205)</f>
        <v>18</v>
      </c>
    </row>
    <row r="206" spans="1:49" s="236" customFormat="1" ht="15">
      <c r="A206" s="40">
        <f t="shared" si="16"/>
        <v>200</v>
      </c>
      <c r="B206" s="199"/>
      <c r="C206" s="199"/>
      <c r="D206" s="199"/>
      <c r="E206" s="199"/>
      <c r="F206" s="199"/>
      <c r="G206" s="199"/>
      <c r="H206" s="199"/>
      <c r="I206" s="199"/>
      <c r="J206" s="412" t="s">
        <v>1288</v>
      </c>
      <c r="K206" s="412" t="s">
        <v>140</v>
      </c>
      <c r="L206" s="204" t="s">
        <v>1289</v>
      </c>
      <c r="M206" s="351"/>
      <c r="N206" s="126" t="s">
        <v>504</v>
      </c>
      <c r="O206" s="126"/>
      <c r="P206" s="126"/>
      <c r="Q206" s="126" t="s">
        <v>6</v>
      </c>
      <c r="R206" s="126" t="s">
        <v>6</v>
      </c>
      <c r="S206" s="126" t="s">
        <v>6</v>
      </c>
      <c r="T206" s="416" t="s">
        <v>6</v>
      </c>
      <c r="U206" s="208"/>
      <c r="V206" s="208"/>
      <c r="W206" s="412" t="s">
        <v>140</v>
      </c>
      <c r="X206" s="199"/>
      <c r="Y206" s="199"/>
      <c r="Z206" s="126" t="s">
        <v>6</v>
      </c>
      <c r="AA206" s="126" t="s">
        <v>6</v>
      </c>
      <c r="AB206" s="198"/>
      <c r="AC206" s="199"/>
      <c r="AD206" s="199"/>
      <c r="AE206" s="412" t="s">
        <v>140</v>
      </c>
      <c r="AF206" s="199"/>
      <c r="AG206" s="199"/>
      <c r="AH206" s="126" t="s">
        <v>6</v>
      </c>
      <c r="AI206" s="126" t="s">
        <v>6</v>
      </c>
      <c r="AJ206" s="198"/>
      <c r="AK206" s="199"/>
      <c r="AL206" s="199"/>
      <c r="AM206" s="199"/>
      <c r="AN206" s="199"/>
      <c r="AO206" s="199"/>
      <c r="AP206" s="199"/>
      <c r="AQ206" s="199"/>
      <c r="AR206" s="199"/>
      <c r="AS206" s="199"/>
      <c r="AT206" s="199"/>
      <c r="AU206" s="199"/>
      <c r="AV206" s="199"/>
      <c r="AW206" s="155">
        <f t="shared" si="18"/>
        <v>19</v>
      </c>
    </row>
    <row r="207" spans="1:49" s="236" customFormat="1" ht="15">
      <c r="A207" s="40">
        <f t="shared" si="16"/>
        <v>201</v>
      </c>
      <c r="B207" s="199"/>
      <c r="C207" s="199"/>
      <c r="D207" s="199"/>
      <c r="E207" s="199"/>
      <c r="F207" s="199"/>
      <c r="G207" s="199"/>
      <c r="H207" s="199"/>
      <c r="I207" s="199"/>
      <c r="J207" s="412" t="s">
        <v>1290</v>
      </c>
      <c r="K207" s="412" t="s">
        <v>140</v>
      </c>
      <c r="L207" s="204" t="s">
        <v>1291</v>
      </c>
      <c r="M207" s="351"/>
      <c r="N207" s="126" t="s">
        <v>504</v>
      </c>
      <c r="O207" s="126"/>
      <c r="P207" s="126"/>
      <c r="Q207" s="126" t="s">
        <v>6</v>
      </c>
      <c r="R207" s="126" t="s">
        <v>6</v>
      </c>
      <c r="S207" s="126" t="s">
        <v>6</v>
      </c>
      <c r="T207" s="416" t="s">
        <v>6</v>
      </c>
      <c r="U207" s="247" t="s">
        <v>802</v>
      </c>
      <c r="V207" s="208"/>
      <c r="W207" s="412" t="s">
        <v>140</v>
      </c>
      <c r="X207" s="199"/>
      <c r="Y207" s="199"/>
      <c r="Z207" s="126" t="s">
        <v>6</v>
      </c>
      <c r="AA207" s="126" t="s">
        <v>6</v>
      </c>
      <c r="AB207" s="198"/>
      <c r="AC207" s="199"/>
      <c r="AD207" s="199"/>
      <c r="AE207" s="412" t="s">
        <v>140</v>
      </c>
      <c r="AF207" s="199"/>
      <c r="AG207" s="199"/>
      <c r="AH207" s="126" t="s">
        <v>6</v>
      </c>
      <c r="AI207" s="126" t="s">
        <v>6</v>
      </c>
      <c r="AJ207" s="198"/>
      <c r="AK207" s="199"/>
      <c r="AL207" s="199"/>
      <c r="AM207" s="199"/>
      <c r="AN207" s="199"/>
      <c r="AO207" s="199"/>
      <c r="AP207" s="199"/>
      <c r="AQ207" s="199"/>
      <c r="AR207" s="199"/>
      <c r="AS207" s="199"/>
      <c r="AT207" s="199"/>
      <c r="AU207" s="199"/>
      <c r="AV207" s="199"/>
      <c r="AW207" s="155">
        <f t="shared" si="18"/>
        <v>31</v>
      </c>
    </row>
    <row r="208" spans="1:49" s="236" customFormat="1" ht="15">
      <c r="A208" s="40">
        <f t="shared" si="16"/>
        <v>202</v>
      </c>
      <c r="B208" s="199"/>
      <c r="C208" s="199"/>
      <c r="D208" s="199"/>
      <c r="E208" s="199"/>
      <c r="F208" s="199"/>
      <c r="G208" s="199"/>
      <c r="H208" s="199"/>
      <c r="I208" s="199"/>
      <c r="J208" s="412" t="s">
        <v>1292</v>
      </c>
      <c r="K208" s="412" t="s">
        <v>128</v>
      </c>
      <c r="L208" s="204" t="s">
        <v>1293</v>
      </c>
      <c r="M208" s="351"/>
      <c r="N208" s="126" t="s">
        <v>504</v>
      </c>
      <c r="O208" s="126"/>
      <c r="P208" s="126"/>
      <c r="Q208" s="126"/>
      <c r="R208" s="126" t="s">
        <v>6</v>
      </c>
      <c r="S208" s="126" t="s">
        <v>6</v>
      </c>
      <c r="T208" s="126" t="s">
        <v>6</v>
      </c>
      <c r="U208" s="208"/>
      <c r="V208" s="209"/>
      <c r="W208" s="412" t="s">
        <v>128</v>
      </c>
      <c r="X208" s="199"/>
      <c r="Y208" s="199"/>
      <c r="Z208" s="126" t="s">
        <v>6</v>
      </c>
      <c r="AA208" s="126" t="s">
        <v>6</v>
      </c>
      <c r="AB208" s="198"/>
      <c r="AC208" s="199"/>
      <c r="AD208" s="199"/>
      <c r="AE208" s="412" t="s">
        <v>128</v>
      </c>
      <c r="AF208" s="199"/>
      <c r="AG208" s="199"/>
      <c r="AH208" s="126" t="s">
        <v>6</v>
      </c>
      <c r="AI208" s="126" t="s">
        <v>6</v>
      </c>
      <c r="AJ208" s="198"/>
      <c r="AK208" s="199"/>
      <c r="AL208" s="199"/>
      <c r="AM208" s="199"/>
      <c r="AN208" s="199"/>
      <c r="AO208" s="199"/>
      <c r="AP208" s="199"/>
      <c r="AQ208" s="199"/>
      <c r="AR208" s="199"/>
      <c r="AS208" s="199"/>
      <c r="AT208" s="199"/>
      <c r="AU208" s="199"/>
      <c r="AV208" s="199"/>
      <c r="AW208" s="155">
        <f t="shared" si="18"/>
        <v>22</v>
      </c>
    </row>
    <row r="209" spans="1:49" s="236" customFormat="1" ht="26.4">
      <c r="A209" s="40">
        <f t="shared" si="16"/>
        <v>203</v>
      </c>
      <c r="B209" s="199"/>
      <c r="C209" s="199"/>
      <c r="D209" s="199"/>
      <c r="E209" s="199"/>
      <c r="F209" s="199"/>
      <c r="G209" s="199"/>
      <c r="H209" s="199"/>
      <c r="I209" s="199"/>
      <c r="J209" s="412" t="s">
        <v>1294</v>
      </c>
      <c r="K209" s="412" t="s">
        <v>128</v>
      </c>
      <c r="L209" s="204" t="s">
        <v>1295</v>
      </c>
      <c r="M209" s="351"/>
      <c r="N209" s="126" t="s">
        <v>504</v>
      </c>
      <c r="O209" s="126"/>
      <c r="P209" s="126"/>
      <c r="Q209" s="126"/>
      <c r="R209" s="126" t="s">
        <v>6</v>
      </c>
      <c r="S209" s="126" t="s">
        <v>6</v>
      </c>
      <c r="T209" s="126" t="s">
        <v>6</v>
      </c>
      <c r="U209" s="218" t="s">
        <v>1114</v>
      </c>
      <c r="V209" s="209"/>
      <c r="W209" s="412" t="s">
        <v>128</v>
      </c>
      <c r="X209" s="199"/>
      <c r="Y209" s="199"/>
      <c r="Z209" s="126" t="s">
        <v>6</v>
      </c>
      <c r="AA209" s="126" t="s">
        <v>6</v>
      </c>
      <c r="AB209" s="198"/>
      <c r="AC209" s="199"/>
      <c r="AD209" s="199"/>
      <c r="AE209" s="412" t="s">
        <v>128</v>
      </c>
      <c r="AF209" s="199"/>
      <c r="AG209" s="199"/>
      <c r="AH209" s="126" t="s">
        <v>6</v>
      </c>
      <c r="AI209" s="126" t="s">
        <v>6</v>
      </c>
      <c r="AJ209" s="198"/>
      <c r="AK209" s="199"/>
      <c r="AL209" s="199"/>
      <c r="AM209" s="199"/>
      <c r="AN209" s="199"/>
      <c r="AO209" s="199"/>
      <c r="AP209" s="199"/>
      <c r="AQ209" s="199"/>
      <c r="AR209" s="199"/>
      <c r="AS209" s="199"/>
      <c r="AT209" s="199"/>
      <c r="AU209" s="199"/>
      <c r="AV209" s="199"/>
      <c r="AW209" s="155">
        <f t="shared" si="18"/>
        <v>29</v>
      </c>
    </row>
    <row r="210" spans="1:49" s="236" customFormat="1" ht="26.4">
      <c r="A210" s="40">
        <f t="shared" si="16"/>
        <v>204</v>
      </c>
      <c r="B210" s="199"/>
      <c r="C210" s="199"/>
      <c r="D210" s="199"/>
      <c r="E210" s="199"/>
      <c r="F210" s="199"/>
      <c r="G210" s="199"/>
      <c r="H210" s="199"/>
      <c r="I210" s="199"/>
      <c r="J210" s="412" t="s">
        <v>1296</v>
      </c>
      <c r="K210" s="412" t="s">
        <v>128</v>
      </c>
      <c r="L210" s="204" t="s">
        <v>1297</v>
      </c>
      <c r="M210" s="351"/>
      <c r="N210" s="126" t="s">
        <v>504</v>
      </c>
      <c r="O210" s="126"/>
      <c r="P210" s="126"/>
      <c r="Q210" s="126"/>
      <c r="R210" s="126" t="s">
        <v>6</v>
      </c>
      <c r="S210" s="126" t="s">
        <v>6</v>
      </c>
      <c r="T210" s="126" t="s">
        <v>6</v>
      </c>
      <c r="U210" s="218" t="s">
        <v>1114</v>
      </c>
      <c r="V210" s="209"/>
      <c r="W210" s="412" t="s">
        <v>128</v>
      </c>
      <c r="X210" s="199"/>
      <c r="Y210" s="199"/>
      <c r="Z210" s="126" t="s">
        <v>6</v>
      </c>
      <c r="AA210" s="126" t="s">
        <v>6</v>
      </c>
      <c r="AB210" s="198"/>
      <c r="AC210" s="199"/>
      <c r="AD210" s="199"/>
      <c r="AE210" s="412" t="s">
        <v>128</v>
      </c>
      <c r="AF210" s="199"/>
      <c r="AG210" s="199"/>
      <c r="AH210" s="126" t="s">
        <v>6</v>
      </c>
      <c r="AI210" s="126" t="s">
        <v>6</v>
      </c>
      <c r="AJ210" s="198"/>
      <c r="AK210" s="199"/>
      <c r="AL210" s="199"/>
      <c r="AM210" s="199"/>
      <c r="AN210" s="199"/>
      <c r="AO210" s="199"/>
      <c r="AP210" s="199"/>
      <c r="AQ210" s="199"/>
      <c r="AR210" s="199"/>
      <c r="AS210" s="199"/>
      <c r="AT210" s="199"/>
      <c r="AU210" s="199"/>
      <c r="AV210" s="199"/>
      <c r="AW210" s="155">
        <f t="shared" si="18"/>
        <v>29</v>
      </c>
    </row>
    <row r="211" spans="1:49" s="236" customFormat="1" ht="26.4">
      <c r="A211" s="40">
        <f t="shared" si="16"/>
        <v>205</v>
      </c>
      <c r="B211" s="199"/>
      <c r="C211" s="199"/>
      <c r="D211" s="199"/>
      <c r="E211" s="199"/>
      <c r="F211" s="199"/>
      <c r="G211" s="199"/>
      <c r="H211" s="199"/>
      <c r="I211" s="199"/>
      <c r="J211" s="412" t="s">
        <v>1298</v>
      </c>
      <c r="K211" s="412" t="s">
        <v>128</v>
      </c>
      <c r="L211" s="204" t="s">
        <v>1299</v>
      </c>
      <c r="M211" s="351"/>
      <c r="N211" s="126" t="s">
        <v>504</v>
      </c>
      <c r="O211" s="126"/>
      <c r="P211" s="126"/>
      <c r="Q211" s="126"/>
      <c r="R211" s="126" t="s">
        <v>6</v>
      </c>
      <c r="S211" s="126" t="s">
        <v>6</v>
      </c>
      <c r="T211" s="126" t="s">
        <v>6</v>
      </c>
      <c r="U211" s="218" t="s">
        <v>1114</v>
      </c>
      <c r="V211" s="209"/>
      <c r="W211" s="412" t="s">
        <v>128</v>
      </c>
      <c r="X211" s="199"/>
      <c r="Y211" s="199"/>
      <c r="Z211" s="126" t="s">
        <v>6</v>
      </c>
      <c r="AA211" s="126" t="s">
        <v>6</v>
      </c>
      <c r="AB211" s="198"/>
      <c r="AC211" s="199"/>
      <c r="AD211" s="199"/>
      <c r="AE211" s="412" t="s">
        <v>128</v>
      </c>
      <c r="AF211" s="199"/>
      <c r="AG211" s="199"/>
      <c r="AH211" s="126" t="s">
        <v>6</v>
      </c>
      <c r="AI211" s="126" t="s">
        <v>6</v>
      </c>
      <c r="AJ211" s="198"/>
      <c r="AK211" s="199"/>
      <c r="AL211" s="199"/>
      <c r="AM211" s="199"/>
      <c r="AN211" s="199"/>
      <c r="AO211" s="199"/>
      <c r="AP211" s="199"/>
      <c r="AQ211" s="199"/>
      <c r="AR211" s="199"/>
      <c r="AS211" s="199"/>
      <c r="AT211" s="199"/>
      <c r="AU211" s="199"/>
      <c r="AV211" s="199"/>
      <c r="AW211" s="155">
        <f t="shared" si="18"/>
        <v>29</v>
      </c>
    </row>
    <row r="212" spans="1:49" s="236" customFormat="1" ht="15">
      <c r="A212" s="40">
        <f t="shared" si="16"/>
        <v>206</v>
      </c>
      <c r="B212" s="199"/>
      <c r="C212" s="199"/>
      <c r="D212" s="199"/>
      <c r="E212" s="199"/>
      <c r="F212" s="199"/>
      <c r="G212" s="199"/>
      <c r="H212" s="199"/>
      <c r="I212" s="199"/>
      <c r="J212" s="412" t="s">
        <v>1301</v>
      </c>
      <c r="K212" s="412" t="s">
        <v>75</v>
      </c>
      <c r="L212" s="204" t="s">
        <v>1302</v>
      </c>
      <c r="M212" s="351"/>
      <c r="N212" s="126" t="s">
        <v>504</v>
      </c>
      <c r="O212" s="126"/>
      <c r="P212" s="126"/>
      <c r="Q212" s="126" t="s">
        <v>6</v>
      </c>
      <c r="R212" s="126" t="s">
        <v>6</v>
      </c>
      <c r="S212" s="126" t="s">
        <v>6</v>
      </c>
      <c r="T212" s="126" t="s">
        <v>6</v>
      </c>
      <c r="U212" s="412" t="s">
        <v>1303</v>
      </c>
      <c r="V212" s="412"/>
      <c r="W212" s="412" t="s">
        <v>75</v>
      </c>
      <c r="X212" s="199"/>
      <c r="Y212" s="199"/>
      <c r="Z212" s="126" t="s">
        <v>6</v>
      </c>
      <c r="AA212" s="126" t="s">
        <v>6</v>
      </c>
      <c r="AB212" s="198"/>
      <c r="AC212" s="199"/>
      <c r="AD212" s="199"/>
      <c r="AE212" s="412" t="s">
        <v>75</v>
      </c>
      <c r="AF212" s="199"/>
      <c r="AG212" s="199"/>
      <c r="AH212" s="126" t="s">
        <v>6</v>
      </c>
      <c r="AI212" s="126" t="s">
        <v>6</v>
      </c>
      <c r="AJ212" s="198"/>
      <c r="AK212" s="199"/>
      <c r="AL212" s="199"/>
      <c r="AM212" s="198" t="s">
        <v>1300</v>
      </c>
      <c r="AN212" s="199"/>
      <c r="AO212" s="199"/>
      <c r="AP212" s="199"/>
      <c r="AQ212" s="199"/>
      <c r="AR212" s="199"/>
      <c r="AS212" s="199"/>
      <c r="AT212" s="199"/>
      <c r="AU212" s="199"/>
      <c r="AV212" s="199"/>
      <c r="AW212" s="155">
        <f t="shared" si="18"/>
        <v>30</v>
      </c>
    </row>
    <row r="213" spans="1:49" s="236" customFormat="1" ht="15">
      <c r="A213" s="40">
        <f t="shared" si="16"/>
        <v>207</v>
      </c>
      <c r="B213" s="199"/>
      <c r="C213" s="199"/>
      <c r="D213" s="199"/>
      <c r="E213" s="199"/>
      <c r="F213" s="199"/>
      <c r="G213" s="199"/>
      <c r="H213" s="199"/>
      <c r="I213" s="199"/>
      <c r="J213" s="412" t="s">
        <v>1304</v>
      </c>
      <c r="K213" s="412" t="s">
        <v>140</v>
      </c>
      <c r="L213" s="204" t="s">
        <v>1305</v>
      </c>
      <c r="M213" s="351"/>
      <c r="N213" s="126" t="s">
        <v>504</v>
      </c>
      <c r="O213" s="126"/>
      <c r="P213" s="126"/>
      <c r="Q213" s="126" t="s">
        <v>6</v>
      </c>
      <c r="R213" s="126" t="s">
        <v>6</v>
      </c>
      <c r="S213" s="126" t="s">
        <v>6</v>
      </c>
      <c r="T213" s="416" t="s">
        <v>6</v>
      </c>
      <c r="U213" s="412" t="s">
        <v>1303</v>
      </c>
      <c r="V213" s="412"/>
      <c r="W213" s="412" t="s">
        <v>140</v>
      </c>
      <c r="X213" s="199"/>
      <c r="Y213" s="199"/>
      <c r="Z213" s="126" t="s">
        <v>6</v>
      </c>
      <c r="AA213" s="126" t="s">
        <v>6</v>
      </c>
      <c r="AB213" s="198"/>
      <c r="AC213" s="199"/>
      <c r="AD213" s="199"/>
      <c r="AE213" s="412" t="s">
        <v>140</v>
      </c>
      <c r="AF213" s="199"/>
      <c r="AG213" s="199"/>
      <c r="AH213" s="126" t="s">
        <v>6</v>
      </c>
      <c r="AI213" s="126" t="s">
        <v>6</v>
      </c>
      <c r="AJ213" s="198"/>
      <c r="AK213" s="199"/>
      <c r="AL213" s="199"/>
      <c r="AM213" s="199"/>
      <c r="AN213" s="199"/>
      <c r="AO213" s="199"/>
      <c r="AP213" s="199"/>
      <c r="AQ213" s="199"/>
      <c r="AR213" s="199"/>
      <c r="AS213" s="199"/>
      <c r="AT213" s="199"/>
      <c r="AU213" s="199"/>
      <c r="AV213" s="199"/>
      <c r="AW213" s="155">
        <f t="shared" si="18"/>
        <v>19</v>
      </c>
    </row>
    <row r="214" spans="1:49" s="236" customFormat="1" ht="15">
      <c r="A214" s="40">
        <f t="shared" si="16"/>
        <v>208</v>
      </c>
      <c r="B214" s="199"/>
      <c r="C214" s="199"/>
      <c r="D214" s="199"/>
      <c r="E214" s="199"/>
      <c r="F214" s="199"/>
      <c r="G214" s="199"/>
      <c r="H214" s="199"/>
      <c r="I214" s="199"/>
      <c r="J214" s="412" t="s">
        <v>1306</v>
      </c>
      <c r="K214" s="412" t="s">
        <v>140</v>
      </c>
      <c r="L214" s="204" t="s">
        <v>1307</v>
      </c>
      <c r="M214" s="351"/>
      <c r="N214" s="126" t="s">
        <v>504</v>
      </c>
      <c r="O214" s="126"/>
      <c r="P214" s="126"/>
      <c r="Q214" s="126" t="s">
        <v>6</v>
      </c>
      <c r="R214" s="126" t="s">
        <v>6</v>
      </c>
      <c r="S214" s="126" t="s">
        <v>6</v>
      </c>
      <c r="T214" s="416" t="s">
        <v>6</v>
      </c>
      <c r="U214" s="412" t="s">
        <v>1303</v>
      </c>
      <c r="V214" s="412"/>
      <c r="W214" s="412" t="s">
        <v>140</v>
      </c>
      <c r="X214" s="199"/>
      <c r="Y214" s="199"/>
      <c r="Z214" s="126" t="s">
        <v>6</v>
      </c>
      <c r="AA214" s="126" t="s">
        <v>6</v>
      </c>
      <c r="AB214" s="198"/>
      <c r="AC214" s="199"/>
      <c r="AD214" s="199"/>
      <c r="AE214" s="412" t="s">
        <v>140</v>
      </c>
      <c r="AF214" s="199"/>
      <c r="AG214" s="199"/>
      <c r="AH214" s="126" t="s">
        <v>6</v>
      </c>
      <c r="AI214" s="126" t="s">
        <v>6</v>
      </c>
      <c r="AJ214" s="198"/>
      <c r="AK214" s="199"/>
      <c r="AL214" s="199"/>
      <c r="AM214" s="199"/>
      <c r="AN214" s="199"/>
      <c r="AO214" s="199"/>
      <c r="AP214" s="199"/>
      <c r="AQ214" s="199"/>
      <c r="AR214" s="199"/>
      <c r="AS214" s="199"/>
      <c r="AT214" s="199"/>
      <c r="AU214" s="199"/>
      <c r="AV214" s="199"/>
      <c r="AW214" s="155">
        <f t="shared" si="18"/>
        <v>22</v>
      </c>
    </row>
    <row r="215" spans="1:49" s="236" customFormat="1" ht="15">
      <c r="A215" s="40">
        <f t="shared" si="16"/>
        <v>209</v>
      </c>
      <c r="B215" s="199"/>
      <c r="C215" s="199"/>
      <c r="D215" s="199"/>
      <c r="E215" s="199"/>
      <c r="F215" s="199"/>
      <c r="G215" s="199"/>
      <c r="H215" s="199"/>
      <c r="I215" s="199"/>
      <c r="J215" s="412" t="s">
        <v>1308</v>
      </c>
      <c r="K215" s="412" t="s">
        <v>140</v>
      </c>
      <c r="L215" s="204" t="s">
        <v>1309</v>
      </c>
      <c r="M215" s="351"/>
      <c r="N215" s="126" t="s">
        <v>504</v>
      </c>
      <c r="O215" s="126"/>
      <c r="P215" s="126"/>
      <c r="Q215" s="126" t="s">
        <v>6</v>
      </c>
      <c r="R215" s="126" t="s">
        <v>6</v>
      </c>
      <c r="S215" s="126" t="s">
        <v>6</v>
      </c>
      <c r="T215" s="416" t="s">
        <v>6</v>
      </c>
      <c r="U215" s="412" t="s">
        <v>1303</v>
      </c>
      <c r="V215" s="412"/>
      <c r="W215" s="412" t="s">
        <v>140</v>
      </c>
      <c r="X215" s="199"/>
      <c r="Y215" s="199"/>
      <c r="Z215" s="126" t="s">
        <v>6</v>
      </c>
      <c r="AA215" s="126" t="s">
        <v>6</v>
      </c>
      <c r="AB215" s="198"/>
      <c r="AC215" s="199"/>
      <c r="AD215" s="199"/>
      <c r="AE215" s="412" t="s">
        <v>140</v>
      </c>
      <c r="AF215" s="199"/>
      <c r="AG215" s="199"/>
      <c r="AH215" s="126" t="s">
        <v>6</v>
      </c>
      <c r="AI215" s="126" t="s">
        <v>6</v>
      </c>
      <c r="AJ215" s="198"/>
      <c r="AK215" s="199"/>
      <c r="AL215" s="199"/>
      <c r="AM215" s="199"/>
      <c r="AN215" s="199"/>
      <c r="AO215" s="199"/>
      <c r="AP215" s="199"/>
      <c r="AQ215" s="199"/>
      <c r="AR215" s="199"/>
      <c r="AS215" s="199"/>
      <c r="AT215" s="199"/>
      <c r="AU215" s="199"/>
      <c r="AV215" s="199"/>
      <c r="AW215" s="155">
        <f t="shared" si="18"/>
        <v>23</v>
      </c>
    </row>
    <row r="216" spans="1:49" s="236" customFormat="1" ht="15">
      <c r="A216" s="40">
        <f t="shared" si="16"/>
        <v>210</v>
      </c>
      <c r="B216" s="199"/>
      <c r="C216" s="199"/>
      <c r="D216" s="199"/>
      <c r="E216" s="199"/>
      <c r="F216" s="199"/>
      <c r="G216" s="199"/>
      <c r="H216" s="199"/>
      <c r="I216" s="199"/>
      <c r="J216" s="412" t="s">
        <v>1312</v>
      </c>
      <c r="K216" s="232" t="s">
        <v>117</v>
      </c>
      <c r="L216" s="204" t="s">
        <v>1313</v>
      </c>
      <c r="M216" s="351"/>
      <c r="N216" s="126" t="s">
        <v>504</v>
      </c>
      <c r="O216" s="126"/>
      <c r="P216" s="126"/>
      <c r="Q216" s="126" t="s">
        <v>6</v>
      </c>
      <c r="R216" s="126" t="s">
        <v>6</v>
      </c>
      <c r="S216" s="126" t="s">
        <v>6</v>
      </c>
      <c r="T216" s="40" t="s">
        <v>6</v>
      </c>
      <c r="U216" s="204"/>
      <c r="V216" s="232"/>
      <c r="W216" s="412" t="s">
        <v>90</v>
      </c>
      <c r="X216" s="199"/>
      <c r="Y216" s="199"/>
      <c r="Z216" s="199"/>
      <c r="AA216" s="126" t="s">
        <v>6</v>
      </c>
      <c r="AB216" s="198"/>
      <c r="AC216" s="199"/>
      <c r="AD216" s="199"/>
      <c r="AE216" s="412" t="s">
        <v>90</v>
      </c>
      <c r="AF216" s="199"/>
      <c r="AG216" s="199"/>
      <c r="AH216" s="199"/>
      <c r="AI216" s="126" t="s">
        <v>6</v>
      </c>
      <c r="AJ216" s="198"/>
      <c r="AK216" s="199"/>
      <c r="AL216" s="199"/>
      <c r="AM216" s="199"/>
      <c r="AN216" s="199"/>
      <c r="AO216" s="199"/>
      <c r="AP216" s="199"/>
      <c r="AQ216" s="199"/>
      <c r="AR216" s="199"/>
      <c r="AS216" s="199"/>
      <c r="AT216" s="199"/>
      <c r="AU216" s="199"/>
      <c r="AV216" s="199"/>
      <c r="AW216" s="155">
        <f t="shared" ref="AW216:AW227" si="19">LEN(L216)</f>
        <v>39</v>
      </c>
    </row>
    <row r="217" spans="1:49" s="236" customFormat="1" ht="15">
      <c r="A217" s="40">
        <f t="shared" si="16"/>
        <v>211</v>
      </c>
      <c r="B217" s="199"/>
      <c r="C217" s="199"/>
      <c r="D217" s="199"/>
      <c r="E217" s="199"/>
      <c r="F217" s="199"/>
      <c r="G217" s="199"/>
      <c r="H217" s="199"/>
      <c r="I217" s="199"/>
      <c r="J217" s="248" t="s">
        <v>1314</v>
      </c>
      <c r="K217" s="232" t="s">
        <v>117</v>
      </c>
      <c r="L217" s="244" t="s">
        <v>1315</v>
      </c>
      <c r="M217" s="351"/>
      <c r="N217" s="126" t="s">
        <v>504</v>
      </c>
      <c r="O217" s="126"/>
      <c r="P217" s="126"/>
      <c r="Q217" s="40" t="s">
        <v>6</v>
      </c>
      <c r="R217" s="40" t="s">
        <v>6</v>
      </c>
      <c r="S217" s="40" t="s">
        <v>6</v>
      </c>
      <c r="T217" s="40" t="s">
        <v>6</v>
      </c>
      <c r="U217" s="204" t="s">
        <v>1316</v>
      </c>
      <c r="V217" s="232"/>
      <c r="W217" s="412" t="s">
        <v>90</v>
      </c>
      <c r="X217" s="199"/>
      <c r="Y217" s="199"/>
      <c r="Z217" s="199"/>
      <c r="AA217" s="40" t="s">
        <v>6</v>
      </c>
      <c r="AB217" s="198"/>
      <c r="AC217" s="199"/>
      <c r="AD217" s="199"/>
      <c r="AE217" s="412" t="s">
        <v>90</v>
      </c>
      <c r="AF217" s="199"/>
      <c r="AG217" s="199"/>
      <c r="AH217" s="199"/>
      <c r="AI217" s="40" t="s">
        <v>6</v>
      </c>
      <c r="AJ217" s="198"/>
      <c r="AK217" s="199"/>
      <c r="AL217" s="199"/>
      <c r="AM217" s="199"/>
      <c r="AN217" s="199"/>
      <c r="AO217" s="199"/>
      <c r="AP217" s="199"/>
      <c r="AQ217" s="199"/>
      <c r="AR217" s="199"/>
      <c r="AS217" s="199"/>
      <c r="AT217" s="199"/>
      <c r="AU217" s="199"/>
      <c r="AV217" s="199"/>
      <c r="AW217" s="155">
        <f t="shared" si="19"/>
        <v>42</v>
      </c>
    </row>
    <row r="218" spans="1:49" s="236" customFormat="1" ht="15">
      <c r="A218" s="40">
        <f t="shared" si="16"/>
        <v>212</v>
      </c>
      <c r="B218" s="199"/>
      <c r="C218" s="199"/>
      <c r="D218" s="199"/>
      <c r="E218" s="199"/>
      <c r="F218" s="199"/>
      <c r="G218" s="199"/>
      <c r="H218" s="199"/>
      <c r="I218" s="199"/>
      <c r="J218" s="248" t="s">
        <v>1317</v>
      </c>
      <c r="K218" s="232" t="s">
        <v>117</v>
      </c>
      <c r="L218" s="244" t="s">
        <v>1318</v>
      </c>
      <c r="M218" s="351"/>
      <c r="N218" s="126" t="s">
        <v>504</v>
      </c>
      <c r="O218" s="126"/>
      <c r="P218" s="126"/>
      <c r="Q218" s="40" t="s">
        <v>6</v>
      </c>
      <c r="R218" s="40" t="s">
        <v>6</v>
      </c>
      <c r="S218" s="40" t="s">
        <v>6</v>
      </c>
      <c r="T218" s="40" t="s">
        <v>6</v>
      </c>
      <c r="U218" s="204" t="s">
        <v>1316</v>
      </c>
      <c r="V218" s="232"/>
      <c r="W218" s="412" t="s">
        <v>90</v>
      </c>
      <c r="X218" s="199"/>
      <c r="Y218" s="199"/>
      <c r="Z218" s="199"/>
      <c r="AA218" s="40" t="s">
        <v>6</v>
      </c>
      <c r="AB218" s="198"/>
      <c r="AC218" s="199"/>
      <c r="AD218" s="199"/>
      <c r="AE218" s="412" t="s">
        <v>90</v>
      </c>
      <c r="AF218" s="199"/>
      <c r="AG218" s="199"/>
      <c r="AH218" s="199"/>
      <c r="AI218" s="40" t="s">
        <v>6</v>
      </c>
      <c r="AJ218" s="198"/>
      <c r="AK218" s="199"/>
      <c r="AL218" s="199"/>
      <c r="AM218" s="199"/>
      <c r="AN218" s="199"/>
      <c r="AO218" s="199"/>
      <c r="AP218" s="199"/>
      <c r="AQ218" s="199"/>
      <c r="AR218" s="199"/>
      <c r="AS218" s="199"/>
      <c r="AT218" s="199"/>
      <c r="AU218" s="199"/>
      <c r="AV218" s="199"/>
      <c r="AW218" s="155">
        <f t="shared" si="19"/>
        <v>42</v>
      </c>
    </row>
    <row r="219" spans="1:49" s="236" customFormat="1" ht="15">
      <c r="A219" s="40">
        <f t="shared" si="16"/>
        <v>213</v>
      </c>
      <c r="B219" s="199"/>
      <c r="C219" s="199"/>
      <c r="D219" s="199"/>
      <c r="E219" s="199"/>
      <c r="F219" s="199"/>
      <c r="G219" s="199"/>
      <c r="H219" s="199"/>
      <c r="I219" s="199"/>
      <c r="J219" s="412" t="s">
        <v>1319</v>
      </c>
      <c r="K219" s="232" t="s">
        <v>117</v>
      </c>
      <c r="L219" s="204" t="s">
        <v>1320</v>
      </c>
      <c r="M219" s="351"/>
      <c r="N219" s="126" t="s">
        <v>504</v>
      </c>
      <c r="O219" s="126"/>
      <c r="P219" s="126"/>
      <c r="Q219" s="126" t="s">
        <v>6</v>
      </c>
      <c r="R219" s="126" t="s">
        <v>6</v>
      </c>
      <c r="S219" s="126" t="s">
        <v>6</v>
      </c>
      <c r="T219" s="40" t="s">
        <v>6</v>
      </c>
      <c r="U219" s="204"/>
      <c r="V219" s="232"/>
      <c r="W219" s="412" t="s">
        <v>90</v>
      </c>
      <c r="X219" s="199"/>
      <c r="Y219" s="199"/>
      <c r="Z219" s="199"/>
      <c r="AA219" s="126" t="s">
        <v>6</v>
      </c>
      <c r="AB219" s="198"/>
      <c r="AC219" s="199"/>
      <c r="AD219" s="199"/>
      <c r="AE219" s="412" t="s">
        <v>90</v>
      </c>
      <c r="AF219" s="199"/>
      <c r="AG219" s="199"/>
      <c r="AH219" s="199"/>
      <c r="AI219" s="126" t="s">
        <v>6</v>
      </c>
      <c r="AJ219" s="198"/>
      <c r="AK219" s="199"/>
      <c r="AL219" s="199"/>
      <c r="AM219" s="199"/>
      <c r="AN219" s="199"/>
      <c r="AO219" s="199"/>
      <c r="AP219" s="199"/>
      <c r="AQ219" s="199"/>
      <c r="AR219" s="199"/>
      <c r="AS219" s="199"/>
      <c r="AT219" s="199"/>
      <c r="AU219" s="199"/>
      <c r="AV219" s="199"/>
      <c r="AW219" s="155">
        <f t="shared" si="19"/>
        <v>39</v>
      </c>
    </row>
    <row r="220" spans="1:49" s="236" customFormat="1" ht="15">
      <c r="A220" s="40">
        <f t="shared" si="16"/>
        <v>214</v>
      </c>
      <c r="B220" s="199"/>
      <c r="C220" s="199"/>
      <c r="D220" s="199"/>
      <c r="E220" s="199"/>
      <c r="F220" s="199"/>
      <c r="G220" s="199"/>
      <c r="H220" s="199"/>
      <c r="I220" s="199"/>
      <c r="J220" s="412" t="s">
        <v>1321</v>
      </c>
      <c r="K220" s="232" t="s">
        <v>117</v>
      </c>
      <c r="L220" s="204" t="s">
        <v>1322</v>
      </c>
      <c r="M220" s="351"/>
      <c r="N220" s="126" t="s">
        <v>504</v>
      </c>
      <c r="O220" s="126"/>
      <c r="P220" s="126"/>
      <c r="Q220" s="40" t="s">
        <v>6</v>
      </c>
      <c r="R220" s="40" t="s">
        <v>6</v>
      </c>
      <c r="S220" s="40" t="s">
        <v>6</v>
      </c>
      <c r="T220" s="40" t="s">
        <v>6</v>
      </c>
      <c r="U220" s="204" t="s">
        <v>1316</v>
      </c>
      <c r="V220" s="232"/>
      <c r="W220" s="412" t="s">
        <v>90</v>
      </c>
      <c r="X220" s="199"/>
      <c r="Y220" s="199"/>
      <c r="Z220" s="199"/>
      <c r="AA220" s="40" t="s">
        <v>6</v>
      </c>
      <c r="AB220" s="198"/>
      <c r="AC220" s="199"/>
      <c r="AD220" s="199"/>
      <c r="AE220" s="412" t="s">
        <v>90</v>
      </c>
      <c r="AF220" s="199"/>
      <c r="AG220" s="199"/>
      <c r="AH220" s="199"/>
      <c r="AI220" s="40" t="s">
        <v>6</v>
      </c>
      <c r="AJ220" s="198"/>
      <c r="AK220" s="199"/>
      <c r="AL220" s="199"/>
      <c r="AM220" s="199"/>
      <c r="AN220" s="199"/>
      <c r="AO220" s="199"/>
      <c r="AP220" s="199"/>
      <c r="AQ220" s="199"/>
      <c r="AR220" s="199"/>
      <c r="AS220" s="199"/>
      <c r="AT220" s="199"/>
      <c r="AU220" s="199"/>
      <c r="AV220" s="199"/>
      <c r="AW220" s="155">
        <f t="shared" si="19"/>
        <v>42</v>
      </c>
    </row>
    <row r="221" spans="1:49" s="236" customFormat="1" ht="15">
      <c r="A221" s="40">
        <f t="shared" si="16"/>
        <v>215</v>
      </c>
      <c r="B221" s="199"/>
      <c r="C221" s="199"/>
      <c r="D221" s="199"/>
      <c r="E221" s="199"/>
      <c r="F221" s="199"/>
      <c r="G221" s="199"/>
      <c r="H221" s="199"/>
      <c r="I221" s="199"/>
      <c r="J221" s="412" t="s">
        <v>1323</v>
      </c>
      <c r="K221" s="232" t="s">
        <v>117</v>
      </c>
      <c r="L221" s="204" t="s">
        <v>1324</v>
      </c>
      <c r="M221" s="351"/>
      <c r="N221" s="126" t="s">
        <v>504</v>
      </c>
      <c r="O221" s="126"/>
      <c r="P221" s="126"/>
      <c r="Q221" s="40" t="s">
        <v>6</v>
      </c>
      <c r="R221" s="40" t="s">
        <v>6</v>
      </c>
      <c r="S221" s="40" t="s">
        <v>6</v>
      </c>
      <c r="T221" s="40" t="s">
        <v>6</v>
      </c>
      <c r="U221" s="204" t="s">
        <v>1316</v>
      </c>
      <c r="V221" s="232"/>
      <c r="W221" s="412" t="s">
        <v>90</v>
      </c>
      <c r="X221" s="199"/>
      <c r="Y221" s="199"/>
      <c r="Z221" s="199"/>
      <c r="AA221" s="40" t="s">
        <v>6</v>
      </c>
      <c r="AB221" s="198"/>
      <c r="AC221" s="199"/>
      <c r="AD221" s="199"/>
      <c r="AE221" s="412" t="s">
        <v>90</v>
      </c>
      <c r="AF221" s="199"/>
      <c r="AG221" s="199"/>
      <c r="AH221" s="199"/>
      <c r="AI221" s="40" t="s">
        <v>6</v>
      </c>
      <c r="AJ221" s="198"/>
      <c r="AK221" s="199"/>
      <c r="AL221" s="199"/>
      <c r="AM221" s="199"/>
      <c r="AN221" s="199"/>
      <c r="AO221" s="199"/>
      <c r="AP221" s="199"/>
      <c r="AQ221" s="199"/>
      <c r="AR221" s="199"/>
      <c r="AS221" s="199"/>
      <c r="AT221" s="199"/>
      <c r="AU221" s="199"/>
      <c r="AV221" s="199"/>
      <c r="AW221" s="155">
        <f t="shared" si="19"/>
        <v>42</v>
      </c>
    </row>
    <row r="222" spans="1:49" s="236" customFormat="1" ht="15">
      <c r="A222" s="40">
        <f t="shared" si="16"/>
        <v>216</v>
      </c>
      <c r="B222" s="199"/>
      <c r="C222" s="199"/>
      <c r="D222" s="199"/>
      <c r="E222" s="199"/>
      <c r="F222" s="199"/>
      <c r="G222" s="199"/>
      <c r="H222" s="199"/>
      <c r="I222" s="199"/>
      <c r="J222" s="412" t="s">
        <v>1325</v>
      </c>
      <c r="K222" s="232" t="s">
        <v>117</v>
      </c>
      <c r="L222" s="204" t="s">
        <v>1326</v>
      </c>
      <c r="M222" s="351"/>
      <c r="N222" s="126" t="s">
        <v>504</v>
      </c>
      <c r="O222" s="126"/>
      <c r="P222" s="126"/>
      <c r="Q222" s="126" t="s">
        <v>6</v>
      </c>
      <c r="R222" s="126" t="s">
        <v>6</v>
      </c>
      <c r="S222" s="126" t="s">
        <v>6</v>
      </c>
      <c r="T222" s="40" t="s">
        <v>6</v>
      </c>
      <c r="U222" s="204"/>
      <c r="V222" s="232"/>
      <c r="W222" s="412" t="s">
        <v>90</v>
      </c>
      <c r="X222" s="199"/>
      <c r="Y222" s="199"/>
      <c r="Z222" s="199"/>
      <c r="AA222" s="126" t="s">
        <v>6</v>
      </c>
      <c r="AB222" s="198"/>
      <c r="AC222" s="199"/>
      <c r="AD222" s="199"/>
      <c r="AE222" s="412" t="s">
        <v>90</v>
      </c>
      <c r="AF222" s="199"/>
      <c r="AG222" s="199"/>
      <c r="AH222" s="199"/>
      <c r="AI222" s="126" t="s">
        <v>6</v>
      </c>
      <c r="AJ222" s="198"/>
      <c r="AK222" s="199"/>
      <c r="AL222" s="199"/>
      <c r="AM222" s="199"/>
      <c r="AN222" s="199"/>
      <c r="AO222" s="199"/>
      <c r="AP222" s="199"/>
      <c r="AQ222" s="199"/>
      <c r="AR222" s="199"/>
      <c r="AS222" s="199"/>
      <c r="AT222" s="199"/>
      <c r="AU222" s="199"/>
      <c r="AV222" s="199"/>
      <c r="AW222" s="155">
        <f t="shared" si="19"/>
        <v>39</v>
      </c>
    </row>
    <row r="223" spans="1:49" s="236" customFormat="1" ht="15">
      <c r="A223" s="40">
        <f t="shared" si="16"/>
        <v>217</v>
      </c>
      <c r="B223" s="199"/>
      <c r="C223" s="199"/>
      <c r="D223" s="199"/>
      <c r="E223" s="199"/>
      <c r="F223" s="199"/>
      <c r="G223" s="199"/>
      <c r="H223" s="199"/>
      <c r="I223" s="199"/>
      <c r="J223" s="248" t="s">
        <v>1327</v>
      </c>
      <c r="K223" s="232" t="s">
        <v>117</v>
      </c>
      <c r="L223" s="244" t="s">
        <v>1328</v>
      </c>
      <c r="M223" s="351"/>
      <c r="N223" s="126" t="s">
        <v>504</v>
      </c>
      <c r="O223" s="126"/>
      <c r="P223" s="126"/>
      <c r="Q223" s="40" t="s">
        <v>6</v>
      </c>
      <c r="R223" s="40" t="s">
        <v>6</v>
      </c>
      <c r="S223" s="40" t="s">
        <v>6</v>
      </c>
      <c r="T223" s="40" t="s">
        <v>6</v>
      </c>
      <c r="U223" s="204" t="s">
        <v>1316</v>
      </c>
      <c r="V223" s="232"/>
      <c r="W223" s="412" t="s">
        <v>90</v>
      </c>
      <c r="X223" s="199"/>
      <c r="Y223" s="199"/>
      <c r="Z223" s="199"/>
      <c r="AA223" s="40" t="s">
        <v>6</v>
      </c>
      <c r="AB223" s="198"/>
      <c r="AC223" s="199"/>
      <c r="AD223" s="199"/>
      <c r="AE223" s="412" t="s">
        <v>90</v>
      </c>
      <c r="AF223" s="199"/>
      <c r="AG223" s="199"/>
      <c r="AH223" s="199"/>
      <c r="AI223" s="40" t="s">
        <v>6</v>
      </c>
      <c r="AJ223" s="198"/>
      <c r="AK223" s="199"/>
      <c r="AL223" s="199"/>
      <c r="AM223" s="199"/>
      <c r="AN223" s="199"/>
      <c r="AO223" s="199"/>
      <c r="AP223" s="199"/>
      <c r="AQ223" s="199"/>
      <c r="AR223" s="199"/>
      <c r="AS223" s="199"/>
      <c r="AT223" s="199"/>
      <c r="AU223" s="199"/>
      <c r="AV223" s="199"/>
      <c r="AW223" s="155">
        <f t="shared" si="19"/>
        <v>42</v>
      </c>
    </row>
    <row r="224" spans="1:49" s="236" customFormat="1" ht="15">
      <c r="A224" s="40">
        <f t="shared" si="16"/>
        <v>218</v>
      </c>
      <c r="B224" s="199"/>
      <c r="C224" s="199"/>
      <c r="D224" s="199"/>
      <c r="E224" s="199"/>
      <c r="F224" s="199"/>
      <c r="G224" s="199"/>
      <c r="H224" s="199"/>
      <c r="I224" s="199"/>
      <c r="J224" s="248" t="s">
        <v>1329</v>
      </c>
      <c r="K224" s="232" t="s">
        <v>117</v>
      </c>
      <c r="L224" s="244" t="s">
        <v>1330</v>
      </c>
      <c r="M224" s="351"/>
      <c r="N224" s="126" t="s">
        <v>504</v>
      </c>
      <c r="O224" s="126"/>
      <c r="P224" s="126"/>
      <c r="Q224" s="40" t="s">
        <v>6</v>
      </c>
      <c r="R224" s="40" t="s">
        <v>6</v>
      </c>
      <c r="S224" s="40" t="s">
        <v>6</v>
      </c>
      <c r="T224" s="40" t="s">
        <v>6</v>
      </c>
      <c r="U224" s="204" t="s">
        <v>1316</v>
      </c>
      <c r="V224" s="232"/>
      <c r="W224" s="412" t="s">
        <v>90</v>
      </c>
      <c r="X224" s="199"/>
      <c r="Y224" s="199"/>
      <c r="Z224" s="199"/>
      <c r="AA224" s="40" t="s">
        <v>6</v>
      </c>
      <c r="AB224" s="198"/>
      <c r="AC224" s="199"/>
      <c r="AD224" s="199"/>
      <c r="AE224" s="412" t="s">
        <v>90</v>
      </c>
      <c r="AF224" s="199"/>
      <c r="AG224" s="199"/>
      <c r="AH224" s="199"/>
      <c r="AI224" s="40" t="s">
        <v>6</v>
      </c>
      <c r="AJ224" s="198"/>
      <c r="AK224" s="199"/>
      <c r="AL224" s="199"/>
      <c r="AM224" s="199"/>
      <c r="AN224" s="199"/>
      <c r="AO224" s="199"/>
      <c r="AP224" s="199"/>
      <c r="AQ224" s="199"/>
      <c r="AR224" s="199"/>
      <c r="AS224" s="199"/>
      <c r="AT224" s="199"/>
      <c r="AU224" s="199"/>
      <c r="AV224" s="199"/>
      <c r="AW224" s="155">
        <f t="shared" si="19"/>
        <v>42</v>
      </c>
    </row>
    <row r="225" spans="1:49" s="236" customFormat="1" ht="15">
      <c r="A225" s="40">
        <f t="shared" si="16"/>
        <v>219</v>
      </c>
      <c r="B225" s="199"/>
      <c r="C225" s="199"/>
      <c r="D225" s="199"/>
      <c r="E225" s="199"/>
      <c r="F225" s="199"/>
      <c r="G225" s="199"/>
      <c r="H225" s="199"/>
      <c r="I225" s="199"/>
      <c r="J225" s="412" t="s">
        <v>1331</v>
      </c>
      <c r="K225" s="232" t="s">
        <v>117</v>
      </c>
      <c r="L225" s="204" t="s">
        <v>1332</v>
      </c>
      <c r="M225" s="351"/>
      <c r="N225" s="126" t="s">
        <v>504</v>
      </c>
      <c r="O225" s="126"/>
      <c r="P225" s="126"/>
      <c r="Q225" s="126" t="s">
        <v>6</v>
      </c>
      <c r="R225" s="126" t="s">
        <v>6</v>
      </c>
      <c r="S225" s="126" t="s">
        <v>6</v>
      </c>
      <c r="T225" s="40" t="s">
        <v>6</v>
      </c>
      <c r="U225" s="204"/>
      <c r="V225" s="232"/>
      <c r="W225" s="412" t="s">
        <v>90</v>
      </c>
      <c r="X225" s="199"/>
      <c r="Y225" s="199"/>
      <c r="Z225" s="199"/>
      <c r="AA225" s="126" t="s">
        <v>6</v>
      </c>
      <c r="AB225" s="198"/>
      <c r="AC225" s="199"/>
      <c r="AD225" s="199"/>
      <c r="AE225" s="412" t="s">
        <v>90</v>
      </c>
      <c r="AF225" s="199"/>
      <c r="AG225" s="199"/>
      <c r="AH225" s="199"/>
      <c r="AI225" s="126" t="s">
        <v>6</v>
      </c>
      <c r="AJ225" s="198"/>
      <c r="AK225" s="199"/>
      <c r="AL225" s="199"/>
      <c r="AM225" s="199"/>
      <c r="AN225" s="199"/>
      <c r="AO225" s="199"/>
      <c r="AP225" s="199"/>
      <c r="AQ225" s="199"/>
      <c r="AR225" s="199"/>
      <c r="AS225" s="199"/>
      <c r="AT225" s="199"/>
      <c r="AU225" s="199"/>
      <c r="AV225" s="199"/>
      <c r="AW225" s="155">
        <f t="shared" si="19"/>
        <v>38</v>
      </c>
    </row>
    <row r="226" spans="1:49" s="236" customFormat="1" ht="15">
      <c r="A226" s="40">
        <f t="shared" si="16"/>
        <v>220</v>
      </c>
      <c r="B226" s="199"/>
      <c r="C226" s="199"/>
      <c r="D226" s="199"/>
      <c r="E226" s="199"/>
      <c r="F226" s="199"/>
      <c r="G226" s="199"/>
      <c r="H226" s="199"/>
      <c r="I226" s="199"/>
      <c r="J226" s="248" t="s">
        <v>1333</v>
      </c>
      <c r="K226" s="232" t="s">
        <v>117</v>
      </c>
      <c r="L226" s="244" t="s">
        <v>1334</v>
      </c>
      <c r="M226" s="351"/>
      <c r="N226" s="126" t="s">
        <v>504</v>
      </c>
      <c r="O226" s="126"/>
      <c r="P226" s="126"/>
      <c r="Q226" s="40" t="s">
        <v>6</v>
      </c>
      <c r="R226" s="40" t="s">
        <v>6</v>
      </c>
      <c r="S226" s="40" t="s">
        <v>6</v>
      </c>
      <c r="T226" s="40" t="s">
        <v>6</v>
      </c>
      <c r="U226" s="204" t="s">
        <v>1316</v>
      </c>
      <c r="V226" s="232"/>
      <c r="W226" s="412" t="s">
        <v>90</v>
      </c>
      <c r="X226" s="199"/>
      <c r="Y226" s="199"/>
      <c r="Z226" s="199"/>
      <c r="AA226" s="40" t="s">
        <v>6</v>
      </c>
      <c r="AB226" s="198"/>
      <c r="AC226" s="199"/>
      <c r="AD226" s="199"/>
      <c r="AE226" s="412" t="s">
        <v>90</v>
      </c>
      <c r="AF226" s="199"/>
      <c r="AG226" s="199"/>
      <c r="AH226" s="199"/>
      <c r="AI226" s="40" t="s">
        <v>6</v>
      </c>
      <c r="AJ226" s="198"/>
      <c r="AK226" s="199"/>
      <c r="AL226" s="199"/>
      <c r="AM226" s="199"/>
      <c r="AN226" s="199"/>
      <c r="AO226" s="199"/>
      <c r="AP226" s="199"/>
      <c r="AQ226" s="199"/>
      <c r="AR226" s="199"/>
      <c r="AS226" s="199"/>
      <c r="AT226" s="199"/>
      <c r="AU226" s="199"/>
      <c r="AV226" s="199"/>
      <c r="AW226" s="155">
        <f t="shared" si="19"/>
        <v>41</v>
      </c>
    </row>
    <row r="227" spans="1:49" s="236" customFormat="1" ht="15">
      <c r="A227" s="40">
        <f t="shared" si="16"/>
        <v>221</v>
      </c>
      <c r="B227" s="199"/>
      <c r="C227" s="199"/>
      <c r="D227" s="199"/>
      <c r="E227" s="199"/>
      <c r="F227" s="199"/>
      <c r="G227" s="199"/>
      <c r="H227" s="199"/>
      <c r="I227" s="199"/>
      <c r="J227" s="248" t="s">
        <v>1335</v>
      </c>
      <c r="K227" s="232" t="s">
        <v>117</v>
      </c>
      <c r="L227" s="244" t="s">
        <v>1336</v>
      </c>
      <c r="M227" s="351"/>
      <c r="N227" s="126" t="s">
        <v>504</v>
      </c>
      <c r="O227" s="126"/>
      <c r="P227" s="126"/>
      <c r="Q227" s="40" t="s">
        <v>6</v>
      </c>
      <c r="R227" s="40" t="s">
        <v>6</v>
      </c>
      <c r="S227" s="40" t="s">
        <v>6</v>
      </c>
      <c r="T227" s="40" t="s">
        <v>6</v>
      </c>
      <c r="U227" s="204" t="s">
        <v>1316</v>
      </c>
      <c r="V227" s="232"/>
      <c r="W227" s="412" t="s">
        <v>90</v>
      </c>
      <c r="X227" s="199"/>
      <c r="Y227" s="199"/>
      <c r="Z227" s="199"/>
      <c r="AA227" s="40" t="s">
        <v>6</v>
      </c>
      <c r="AB227" s="198"/>
      <c r="AC227" s="199"/>
      <c r="AD227" s="199"/>
      <c r="AE227" s="412" t="s">
        <v>90</v>
      </c>
      <c r="AF227" s="199"/>
      <c r="AG227" s="199"/>
      <c r="AH227" s="199"/>
      <c r="AI227" s="40" t="s">
        <v>6</v>
      </c>
      <c r="AJ227" s="198"/>
      <c r="AK227" s="199"/>
      <c r="AL227" s="199"/>
      <c r="AM227" s="199"/>
      <c r="AN227" s="199"/>
      <c r="AO227" s="199"/>
      <c r="AP227" s="199"/>
      <c r="AQ227" s="199"/>
      <c r="AR227" s="199"/>
      <c r="AS227" s="199"/>
      <c r="AT227" s="199"/>
      <c r="AU227" s="199"/>
      <c r="AV227" s="199"/>
      <c r="AW227" s="155">
        <f t="shared" si="19"/>
        <v>41</v>
      </c>
    </row>
    <row r="228" spans="1:49" s="236" customFormat="1" ht="15">
      <c r="A228" s="40">
        <f t="shared" si="16"/>
        <v>222</v>
      </c>
      <c r="B228" s="199"/>
      <c r="C228" s="199"/>
      <c r="D228" s="199"/>
      <c r="E228" s="199"/>
      <c r="F228" s="199"/>
      <c r="G228" s="199"/>
      <c r="H228" s="199"/>
      <c r="I228" s="199"/>
      <c r="J228" s="412" t="s">
        <v>1337</v>
      </c>
      <c r="K228" s="232" t="s">
        <v>117</v>
      </c>
      <c r="L228" s="204" t="s">
        <v>1338</v>
      </c>
      <c r="M228" s="351"/>
      <c r="N228" s="126" t="s">
        <v>504</v>
      </c>
      <c r="O228" s="126"/>
      <c r="P228" s="126"/>
      <c r="Q228" s="126" t="s">
        <v>6</v>
      </c>
      <c r="R228" s="126" t="s">
        <v>6</v>
      </c>
      <c r="S228" s="126" t="s">
        <v>6</v>
      </c>
      <c r="T228" s="40" t="s">
        <v>6</v>
      </c>
      <c r="U228" s="204" t="s">
        <v>1339</v>
      </c>
      <c r="V228" s="232"/>
      <c r="W228" s="412" t="s">
        <v>90</v>
      </c>
      <c r="X228" s="199"/>
      <c r="Y228" s="199"/>
      <c r="Z228" s="199"/>
      <c r="AA228" s="126" t="s">
        <v>6</v>
      </c>
      <c r="AB228" s="198"/>
      <c r="AC228" s="199"/>
      <c r="AD228" s="199"/>
      <c r="AE228" s="412" t="s">
        <v>90</v>
      </c>
      <c r="AF228" s="199"/>
      <c r="AG228" s="199"/>
      <c r="AH228" s="199"/>
      <c r="AI228" s="126" t="s">
        <v>6</v>
      </c>
      <c r="AJ228" s="198"/>
      <c r="AK228" s="199"/>
      <c r="AL228" s="199"/>
      <c r="AM228" s="199"/>
      <c r="AN228" s="199"/>
      <c r="AO228" s="199"/>
      <c r="AP228" s="199"/>
      <c r="AQ228" s="199"/>
      <c r="AR228" s="199"/>
      <c r="AS228" s="199"/>
      <c r="AT228" s="199"/>
      <c r="AU228" s="199"/>
      <c r="AV228" s="199"/>
      <c r="AW228" s="155">
        <f t="shared" ref="AW228:AW235" si="20">LEN(L228)</f>
        <v>40</v>
      </c>
    </row>
    <row r="229" spans="1:49" s="236" customFormat="1" ht="15">
      <c r="A229" s="40">
        <f t="shared" si="16"/>
        <v>223</v>
      </c>
      <c r="B229" s="199"/>
      <c r="C229" s="199"/>
      <c r="D229" s="199"/>
      <c r="E229" s="199"/>
      <c r="F229" s="199"/>
      <c r="G229" s="199"/>
      <c r="H229" s="199"/>
      <c r="I229" s="199"/>
      <c r="J229" s="412" t="s">
        <v>1340</v>
      </c>
      <c r="K229" s="232" t="s">
        <v>117</v>
      </c>
      <c r="L229" s="204" t="s">
        <v>1341</v>
      </c>
      <c r="M229" s="351"/>
      <c r="N229" s="126" t="s">
        <v>504</v>
      </c>
      <c r="O229" s="126"/>
      <c r="P229" s="126"/>
      <c r="Q229" s="126" t="s">
        <v>6</v>
      </c>
      <c r="R229" s="126" t="s">
        <v>6</v>
      </c>
      <c r="S229" s="126" t="s">
        <v>6</v>
      </c>
      <c r="T229" s="40" t="s">
        <v>6</v>
      </c>
      <c r="U229" s="204" t="s">
        <v>802</v>
      </c>
      <c r="V229" s="232"/>
      <c r="W229" s="412" t="s">
        <v>90</v>
      </c>
      <c r="X229" s="199"/>
      <c r="Y229" s="199"/>
      <c r="Z229" s="199"/>
      <c r="AA229" s="126" t="s">
        <v>6</v>
      </c>
      <c r="AB229" s="198"/>
      <c r="AC229" s="199"/>
      <c r="AD229" s="199"/>
      <c r="AE229" s="412" t="s">
        <v>90</v>
      </c>
      <c r="AF229" s="199"/>
      <c r="AG229" s="199"/>
      <c r="AH229" s="199"/>
      <c r="AI229" s="126" t="s">
        <v>6</v>
      </c>
      <c r="AJ229" s="198"/>
      <c r="AK229" s="199"/>
      <c r="AL229" s="199"/>
      <c r="AM229" s="199"/>
      <c r="AN229" s="199"/>
      <c r="AO229" s="199"/>
      <c r="AP229" s="199"/>
      <c r="AQ229" s="199"/>
      <c r="AR229" s="199"/>
      <c r="AS229" s="199"/>
      <c r="AT229" s="199"/>
      <c r="AU229" s="199"/>
      <c r="AV229" s="199"/>
      <c r="AW229" s="155">
        <f t="shared" si="20"/>
        <v>41</v>
      </c>
    </row>
    <row r="230" spans="1:49" s="236" customFormat="1" ht="37.5" customHeight="1">
      <c r="A230" s="40">
        <f t="shared" si="16"/>
        <v>224</v>
      </c>
      <c r="B230" s="199"/>
      <c r="C230" s="199"/>
      <c r="D230" s="199"/>
      <c r="E230" s="199"/>
      <c r="F230" s="199"/>
      <c r="G230" s="199"/>
      <c r="H230" s="199"/>
      <c r="I230" s="199"/>
      <c r="J230" s="412" t="s">
        <v>1342</v>
      </c>
      <c r="K230" s="232" t="s">
        <v>117</v>
      </c>
      <c r="L230" s="204" t="s">
        <v>1343</v>
      </c>
      <c r="M230" s="351"/>
      <c r="N230" s="126" t="s">
        <v>504</v>
      </c>
      <c r="O230" s="126"/>
      <c r="P230" s="126"/>
      <c r="Q230" s="126" t="s">
        <v>6</v>
      </c>
      <c r="R230" s="126" t="s">
        <v>6</v>
      </c>
      <c r="S230" s="126" t="s">
        <v>6</v>
      </c>
      <c r="T230" s="40" t="s">
        <v>6</v>
      </c>
      <c r="U230" s="204" t="s">
        <v>1344</v>
      </c>
      <c r="V230" s="232"/>
      <c r="W230" s="412" t="s">
        <v>90</v>
      </c>
      <c r="X230" s="199"/>
      <c r="Y230" s="199"/>
      <c r="Z230" s="199"/>
      <c r="AA230" s="126" t="s">
        <v>6</v>
      </c>
      <c r="AB230" s="198"/>
      <c r="AC230" s="199"/>
      <c r="AD230" s="199"/>
      <c r="AE230" s="412" t="s">
        <v>90</v>
      </c>
      <c r="AF230" s="199"/>
      <c r="AG230" s="199"/>
      <c r="AH230" s="199"/>
      <c r="AI230" s="126" t="s">
        <v>6</v>
      </c>
      <c r="AJ230" s="198"/>
      <c r="AK230" s="199"/>
      <c r="AL230" s="199"/>
      <c r="AM230" s="199"/>
      <c r="AN230" s="199"/>
      <c r="AO230" s="199"/>
      <c r="AP230" s="199"/>
      <c r="AQ230" s="199"/>
      <c r="AR230" s="199"/>
      <c r="AS230" s="199"/>
      <c r="AT230" s="199"/>
      <c r="AU230" s="199"/>
      <c r="AV230" s="199"/>
      <c r="AW230" s="155">
        <f t="shared" si="20"/>
        <v>40</v>
      </c>
    </row>
    <row r="231" spans="1:49" s="236" customFormat="1" ht="15">
      <c r="A231" s="40">
        <f t="shared" si="16"/>
        <v>225</v>
      </c>
      <c r="B231" s="199"/>
      <c r="C231" s="199"/>
      <c r="D231" s="199"/>
      <c r="E231" s="199"/>
      <c r="F231" s="199"/>
      <c r="G231" s="199"/>
      <c r="H231" s="199"/>
      <c r="I231" s="199"/>
      <c r="J231" s="248" t="s">
        <v>1345</v>
      </c>
      <c r="K231" s="232" t="s">
        <v>117</v>
      </c>
      <c r="L231" s="244" t="s">
        <v>1346</v>
      </c>
      <c r="M231" s="351"/>
      <c r="N231" s="126" t="s">
        <v>504</v>
      </c>
      <c r="O231" s="126"/>
      <c r="P231" s="126"/>
      <c r="Q231" s="40" t="s">
        <v>6</v>
      </c>
      <c r="R231" s="40" t="s">
        <v>6</v>
      </c>
      <c r="S231" s="40" t="s">
        <v>6</v>
      </c>
      <c r="T231" s="40" t="s">
        <v>6</v>
      </c>
      <c r="U231" s="204" t="s">
        <v>1316</v>
      </c>
      <c r="V231" s="232"/>
      <c r="W231" s="412" t="s">
        <v>90</v>
      </c>
      <c r="X231" s="199"/>
      <c r="Y231" s="199"/>
      <c r="Z231" s="199"/>
      <c r="AA231" s="40" t="s">
        <v>6</v>
      </c>
      <c r="AB231" s="198"/>
      <c r="AC231" s="199"/>
      <c r="AD231" s="199"/>
      <c r="AE231" s="412" t="s">
        <v>90</v>
      </c>
      <c r="AF231" s="199"/>
      <c r="AG231" s="199"/>
      <c r="AH231" s="199"/>
      <c r="AI231" s="40" t="s">
        <v>6</v>
      </c>
      <c r="AJ231" s="198"/>
      <c r="AK231" s="199"/>
      <c r="AL231" s="199"/>
      <c r="AM231" s="199"/>
      <c r="AN231" s="199"/>
      <c r="AO231" s="199"/>
      <c r="AP231" s="199"/>
      <c r="AQ231" s="199"/>
      <c r="AR231" s="199"/>
      <c r="AS231" s="199"/>
      <c r="AT231" s="199"/>
      <c r="AU231" s="199"/>
      <c r="AV231" s="199"/>
      <c r="AW231" s="155">
        <f t="shared" si="20"/>
        <v>43</v>
      </c>
    </row>
    <row r="232" spans="1:49" s="236" customFormat="1" ht="15">
      <c r="A232" s="40">
        <f t="shared" si="16"/>
        <v>226</v>
      </c>
      <c r="B232" s="199"/>
      <c r="C232" s="199"/>
      <c r="D232" s="199"/>
      <c r="E232" s="199"/>
      <c r="F232" s="199"/>
      <c r="G232" s="199"/>
      <c r="H232" s="199"/>
      <c r="I232" s="199"/>
      <c r="J232" s="248" t="s">
        <v>1347</v>
      </c>
      <c r="K232" s="232" t="s">
        <v>117</v>
      </c>
      <c r="L232" s="244" t="s">
        <v>1348</v>
      </c>
      <c r="M232" s="351"/>
      <c r="N232" s="126" t="s">
        <v>504</v>
      </c>
      <c r="O232" s="126"/>
      <c r="P232" s="126"/>
      <c r="Q232" s="40" t="s">
        <v>6</v>
      </c>
      <c r="R232" s="40" t="s">
        <v>6</v>
      </c>
      <c r="S232" s="40" t="s">
        <v>6</v>
      </c>
      <c r="T232" s="40" t="s">
        <v>6</v>
      </c>
      <c r="U232" s="204" t="s">
        <v>1316</v>
      </c>
      <c r="V232" s="232"/>
      <c r="W232" s="412" t="s">
        <v>90</v>
      </c>
      <c r="X232" s="199"/>
      <c r="Y232" s="199"/>
      <c r="Z232" s="199"/>
      <c r="AA232" s="40" t="s">
        <v>6</v>
      </c>
      <c r="AB232" s="198"/>
      <c r="AC232" s="199"/>
      <c r="AD232" s="199"/>
      <c r="AE232" s="412" t="s">
        <v>90</v>
      </c>
      <c r="AF232" s="199"/>
      <c r="AG232" s="199"/>
      <c r="AH232" s="199"/>
      <c r="AI232" s="40" t="s">
        <v>6</v>
      </c>
      <c r="AJ232" s="198"/>
      <c r="AK232" s="199"/>
      <c r="AL232" s="199"/>
      <c r="AM232" s="199"/>
      <c r="AN232" s="199"/>
      <c r="AO232" s="199"/>
      <c r="AP232" s="199"/>
      <c r="AQ232" s="199"/>
      <c r="AR232" s="199"/>
      <c r="AS232" s="199"/>
      <c r="AT232" s="199"/>
      <c r="AU232" s="199"/>
      <c r="AV232" s="199"/>
      <c r="AW232" s="155">
        <f t="shared" si="20"/>
        <v>44</v>
      </c>
    </row>
    <row r="233" spans="1:49" s="236" customFormat="1" ht="15">
      <c r="A233" s="40">
        <f t="shared" si="16"/>
        <v>227</v>
      </c>
      <c r="B233" s="199"/>
      <c r="C233" s="199"/>
      <c r="D233" s="199"/>
      <c r="E233" s="199"/>
      <c r="F233" s="199"/>
      <c r="G233" s="199"/>
      <c r="H233" s="199"/>
      <c r="I233" s="199"/>
      <c r="J233" s="412" t="s">
        <v>1349</v>
      </c>
      <c r="K233" s="232" t="s">
        <v>117</v>
      </c>
      <c r="L233" s="204" t="s">
        <v>1350</v>
      </c>
      <c r="M233" s="351"/>
      <c r="N233" s="126" t="s">
        <v>504</v>
      </c>
      <c r="O233" s="126"/>
      <c r="P233" s="126"/>
      <c r="Q233" s="126" t="s">
        <v>6</v>
      </c>
      <c r="R233" s="126" t="s">
        <v>6</v>
      </c>
      <c r="S233" s="126" t="s">
        <v>6</v>
      </c>
      <c r="T233" s="40" t="s">
        <v>6</v>
      </c>
      <c r="U233" s="204"/>
      <c r="V233" s="232"/>
      <c r="W233" s="412" t="s">
        <v>90</v>
      </c>
      <c r="X233" s="199"/>
      <c r="Y233" s="199"/>
      <c r="Z233" s="199"/>
      <c r="AA233" s="126" t="s">
        <v>6</v>
      </c>
      <c r="AB233" s="198"/>
      <c r="AC233" s="199"/>
      <c r="AD233" s="199"/>
      <c r="AE233" s="412" t="s">
        <v>90</v>
      </c>
      <c r="AF233" s="199"/>
      <c r="AG233" s="199"/>
      <c r="AH233" s="199"/>
      <c r="AI233" s="126" t="s">
        <v>6</v>
      </c>
      <c r="AJ233" s="198"/>
      <c r="AK233" s="199"/>
      <c r="AL233" s="199"/>
      <c r="AM233" s="199"/>
      <c r="AN233" s="199"/>
      <c r="AO233" s="199"/>
      <c r="AP233" s="199"/>
      <c r="AQ233" s="199"/>
      <c r="AR233" s="199"/>
      <c r="AS233" s="199"/>
      <c r="AT233" s="199"/>
      <c r="AU233" s="199"/>
      <c r="AV233" s="199"/>
      <c r="AW233" s="155">
        <f t="shared" si="20"/>
        <v>40</v>
      </c>
    </row>
    <row r="234" spans="1:49" s="236" customFormat="1" ht="15">
      <c r="A234" s="40">
        <f t="shared" si="16"/>
        <v>228</v>
      </c>
      <c r="B234" s="199"/>
      <c r="C234" s="199"/>
      <c r="D234" s="199"/>
      <c r="E234" s="199"/>
      <c r="F234" s="199"/>
      <c r="G234" s="199"/>
      <c r="H234" s="199"/>
      <c r="I234" s="199"/>
      <c r="J234" s="412" t="s">
        <v>1351</v>
      </c>
      <c r="K234" s="232" t="s">
        <v>117</v>
      </c>
      <c r="L234" s="244" t="s">
        <v>1352</v>
      </c>
      <c r="M234" s="351"/>
      <c r="N234" s="126" t="s">
        <v>504</v>
      </c>
      <c r="O234" s="126"/>
      <c r="P234" s="126"/>
      <c r="Q234" s="126" t="s">
        <v>6</v>
      </c>
      <c r="R234" s="126" t="s">
        <v>6</v>
      </c>
      <c r="S234" s="126" t="s">
        <v>6</v>
      </c>
      <c r="T234" s="40" t="s">
        <v>6</v>
      </c>
      <c r="U234" s="204" t="s">
        <v>1316</v>
      </c>
      <c r="V234" s="232"/>
      <c r="W234" s="412" t="s">
        <v>90</v>
      </c>
      <c r="X234" s="199"/>
      <c r="Y234" s="199"/>
      <c r="Z234" s="199"/>
      <c r="AA234" s="126" t="s">
        <v>6</v>
      </c>
      <c r="AB234" s="198"/>
      <c r="AC234" s="199"/>
      <c r="AD234" s="199"/>
      <c r="AE234" s="412" t="s">
        <v>90</v>
      </c>
      <c r="AF234" s="199"/>
      <c r="AG234" s="199"/>
      <c r="AH234" s="199"/>
      <c r="AI234" s="126" t="s">
        <v>6</v>
      </c>
      <c r="AJ234" s="198"/>
      <c r="AK234" s="199"/>
      <c r="AL234" s="199"/>
      <c r="AM234" s="199"/>
      <c r="AN234" s="199"/>
      <c r="AO234" s="199"/>
      <c r="AP234" s="199"/>
      <c r="AQ234" s="199"/>
      <c r="AR234" s="199"/>
      <c r="AS234" s="199"/>
      <c r="AT234" s="199"/>
      <c r="AU234" s="199"/>
      <c r="AV234" s="199"/>
      <c r="AW234" s="155">
        <f t="shared" si="20"/>
        <v>40</v>
      </c>
    </row>
    <row r="235" spans="1:49" s="236" customFormat="1" ht="15">
      <c r="A235" s="40">
        <f t="shared" si="16"/>
        <v>229</v>
      </c>
      <c r="B235" s="199"/>
      <c r="C235" s="199"/>
      <c r="D235" s="199"/>
      <c r="E235" s="199"/>
      <c r="F235" s="199"/>
      <c r="G235" s="199"/>
      <c r="H235" s="199"/>
      <c r="I235" s="199"/>
      <c r="J235" s="412" t="s">
        <v>1353</v>
      </c>
      <c r="K235" s="232" t="s">
        <v>117</v>
      </c>
      <c r="L235" s="244" t="s">
        <v>1354</v>
      </c>
      <c r="M235" s="351"/>
      <c r="N235" s="126" t="s">
        <v>504</v>
      </c>
      <c r="O235" s="126"/>
      <c r="P235" s="126"/>
      <c r="Q235" s="126" t="s">
        <v>6</v>
      </c>
      <c r="R235" s="126" t="s">
        <v>6</v>
      </c>
      <c r="S235" s="126" t="s">
        <v>6</v>
      </c>
      <c r="T235" s="40" t="s">
        <v>6</v>
      </c>
      <c r="U235" s="204" t="s">
        <v>1316</v>
      </c>
      <c r="V235" s="232"/>
      <c r="W235" s="412" t="s">
        <v>90</v>
      </c>
      <c r="X235" s="199"/>
      <c r="Y235" s="199"/>
      <c r="Z235" s="199"/>
      <c r="AA235" s="126" t="s">
        <v>6</v>
      </c>
      <c r="AB235" s="198"/>
      <c r="AC235" s="199"/>
      <c r="AD235" s="199"/>
      <c r="AE235" s="412" t="s">
        <v>90</v>
      </c>
      <c r="AF235" s="199"/>
      <c r="AG235" s="199"/>
      <c r="AH235" s="199"/>
      <c r="AI235" s="126" t="s">
        <v>6</v>
      </c>
      <c r="AJ235" s="198"/>
      <c r="AK235" s="199"/>
      <c r="AL235" s="199"/>
      <c r="AM235" s="199"/>
      <c r="AN235" s="199"/>
      <c r="AO235" s="199"/>
      <c r="AP235" s="199"/>
      <c r="AQ235" s="199"/>
      <c r="AR235" s="199"/>
      <c r="AS235" s="199"/>
      <c r="AT235" s="199"/>
      <c r="AU235" s="199"/>
      <c r="AV235" s="199"/>
      <c r="AW235" s="155">
        <f t="shared" si="20"/>
        <v>40</v>
      </c>
    </row>
    <row r="236" spans="1:49" s="236" customFormat="1" ht="15">
      <c r="A236" s="40">
        <f t="shared" si="16"/>
        <v>230</v>
      </c>
      <c r="B236" s="199"/>
      <c r="C236" s="199"/>
      <c r="D236" s="199"/>
      <c r="E236" s="199"/>
      <c r="F236" s="199"/>
      <c r="G236" s="199"/>
      <c r="H236" s="199"/>
      <c r="I236" s="199"/>
      <c r="J236" s="412" t="s">
        <v>1355</v>
      </c>
      <c r="K236" s="232" t="s">
        <v>117</v>
      </c>
      <c r="L236" s="204" t="s">
        <v>1356</v>
      </c>
      <c r="M236" s="351"/>
      <c r="N236" s="126" t="s">
        <v>504</v>
      </c>
      <c r="O236" s="126"/>
      <c r="P236" s="126"/>
      <c r="Q236" s="126" t="s">
        <v>6</v>
      </c>
      <c r="R236" s="126" t="s">
        <v>6</v>
      </c>
      <c r="S236" s="126" t="s">
        <v>6</v>
      </c>
      <c r="T236" s="40" t="s">
        <v>6</v>
      </c>
      <c r="U236" s="204"/>
      <c r="V236" s="232"/>
      <c r="W236" s="412" t="s">
        <v>90</v>
      </c>
      <c r="X236" s="199"/>
      <c r="Y236" s="199"/>
      <c r="Z236" s="199"/>
      <c r="AA236" s="126" t="s">
        <v>6</v>
      </c>
      <c r="AB236" s="198"/>
      <c r="AC236" s="199"/>
      <c r="AD236" s="199"/>
      <c r="AE236" s="412" t="s">
        <v>90</v>
      </c>
      <c r="AF236" s="199"/>
      <c r="AG236" s="199"/>
      <c r="AH236" s="199"/>
      <c r="AI236" s="126" t="s">
        <v>6</v>
      </c>
      <c r="AJ236" s="198"/>
      <c r="AK236" s="199"/>
      <c r="AL236" s="199"/>
      <c r="AM236" s="199"/>
      <c r="AN236" s="199"/>
      <c r="AO236" s="199"/>
      <c r="AP236" s="199"/>
      <c r="AQ236" s="199"/>
      <c r="AR236" s="199"/>
      <c r="AS236" s="199"/>
      <c r="AT236" s="199"/>
      <c r="AU236" s="199"/>
      <c r="AV236" s="199"/>
      <c r="AW236" s="155">
        <f t="shared" ref="AW236:AW242" si="21">LEN(L236)</f>
        <v>40</v>
      </c>
    </row>
    <row r="237" spans="1:49" s="236" customFormat="1" ht="15">
      <c r="A237" s="40">
        <f t="shared" si="16"/>
        <v>231</v>
      </c>
      <c r="B237" s="199"/>
      <c r="C237" s="199"/>
      <c r="D237" s="199"/>
      <c r="E237" s="199"/>
      <c r="F237" s="199"/>
      <c r="G237" s="199"/>
      <c r="H237" s="199"/>
      <c r="I237" s="199"/>
      <c r="J237" s="248" t="s">
        <v>1357</v>
      </c>
      <c r="K237" s="232" t="s">
        <v>117</v>
      </c>
      <c r="L237" s="244" t="s">
        <v>1358</v>
      </c>
      <c r="M237" s="351"/>
      <c r="N237" s="126" t="s">
        <v>504</v>
      </c>
      <c r="O237" s="126"/>
      <c r="P237" s="126"/>
      <c r="Q237" s="126" t="s">
        <v>6</v>
      </c>
      <c r="R237" s="126" t="s">
        <v>6</v>
      </c>
      <c r="S237" s="126" t="s">
        <v>6</v>
      </c>
      <c r="T237" s="40" t="s">
        <v>6</v>
      </c>
      <c r="U237" s="204" t="s">
        <v>1316</v>
      </c>
      <c r="V237" s="232"/>
      <c r="W237" s="412" t="s">
        <v>90</v>
      </c>
      <c r="X237" s="199"/>
      <c r="Y237" s="199"/>
      <c r="Z237" s="199"/>
      <c r="AA237" s="126" t="s">
        <v>6</v>
      </c>
      <c r="AB237" s="198"/>
      <c r="AC237" s="199"/>
      <c r="AD237" s="199"/>
      <c r="AE237" s="412" t="s">
        <v>90</v>
      </c>
      <c r="AF237" s="199"/>
      <c r="AG237" s="199"/>
      <c r="AH237" s="199"/>
      <c r="AI237" s="126" t="s">
        <v>6</v>
      </c>
      <c r="AJ237" s="198"/>
      <c r="AK237" s="199"/>
      <c r="AL237" s="199"/>
      <c r="AM237" s="199"/>
      <c r="AN237" s="199"/>
      <c r="AO237" s="199"/>
      <c r="AP237" s="199"/>
      <c r="AQ237" s="199"/>
      <c r="AR237" s="199"/>
      <c r="AS237" s="199"/>
      <c r="AT237" s="199"/>
      <c r="AU237" s="199"/>
      <c r="AV237" s="199"/>
      <c r="AW237" s="155">
        <f t="shared" si="21"/>
        <v>40</v>
      </c>
    </row>
    <row r="238" spans="1:49" s="236" customFormat="1" ht="15">
      <c r="A238" s="40">
        <f t="shared" si="16"/>
        <v>232</v>
      </c>
      <c r="B238" s="199"/>
      <c r="C238" s="199"/>
      <c r="D238" s="199"/>
      <c r="E238" s="199"/>
      <c r="F238" s="199"/>
      <c r="G238" s="199"/>
      <c r="H238" s="199"/>
      <c r="I238" s="199"/>
      <c r="J238" s="248" t="s">
        <v>1359</v>
      </c>
      <c r="K238" s="232" t="s">
        <v>117</v>
      </c>
      <c r="L238" s="244" t="s">
        <v>1360</v>
      </c>
      <c r="M238" s="351"/>
      <c r="N238" s="126" t="s">
        <v>504</v>
      </c>
      <c r="O238" s="126"/>
      <c r="P238" s="126"/>
      <c r="Q238" s="126" t="s">
        <v>6</v>
      </c>
      <c r="R238" s="126" t="s">
        <v>6</v>
      </c>
      <c r="S238" s="126" t="s">
        <v>6</v>
      </c>
      <c r="T238" s="40" t="s">
        <v>6</v>
      </c>
      <c r="U238" s="204" t="s">
        <v>1316</v>
      </c>
      <c r="V238" s="232"/>
      <c r="W238" s="412" t="s">
        <v>90</v>
      </c>
      <c r="X238" s="199"/>
      <c r="Y238" s="199"/>
      <c r="Z238" s="199"/>
      <c r="AA238" s="126" t="s">
        <v>6</v>
      </c>
      <c r="AB238" s="198"/>
      <c r="AC238" s="199"/>
      <c r="AD238" s="199"/>
      <c r="AE238" s="412" t="s">
        <v>90</v>
      </c>
      <c r="AF238" s="199"/>
      <c r="AG238" s="199"/>
      <c r="AH238" s="199"/>
      <c r="AI238" s="126" t="s">
        <v>6</v>
      </c>
      <c r="AJ238" s="198"/>
      <c r="AK238" s="199"/>
      <c r="AL238" s="199"/>
      <c r="AM238" s="199"/>
      <c r="AN238" s="199"/>
      <c r="AO238" s="199"/>
      <c r="AP238" s="199"/>
      <c r="AQ238" s="199"/>
      <c r="AR238" s="199"/>
      <c r="AS238" s="199"/>
      <c r="AT238" s="199"/>
      <c r="AU238" s="199"/>
      <c r="AV238" s="199"/>
      <c r="AW238" s="155">
        <f t="shared" si="21"/>
        <v>40</v>
      </c>
    </row>
    <row r="239" spans="1:49" s="236" customFormat="1" ht="15">
      <c r="A239" s="40">
        <f t="shared" si="16"/>
        <v>233</v>
      </c>
      <c r="B239" s="199"/>
      <c r="C239" s="199"/>
      <c r="D239" s="199"/>
      <c r="E239" s="199"/>
      <c r="F239" s="199"/>
      <c r="G239" s="199"/>
      <c r="H239" s="199"/>
      <c r="I239" s="199"/>
      <c r="J239" s="412" t="s">
        <v>1361</v>
      </c>
      <c r="K239" s="232" t="s">
        <v>117</v>
      </c>
      <c r="L239" s="204" t="s">
        <v>1362</v>
      </c>
      <c r="M239" s="351"/>
      <c r="N239" s="126" t="s">
        <v>504</v>
      </c>
      <c r="O239" s="126"/>
      <c r="P239" s="126"/>
      <c r="Q239" s="126" t="s">
        <v>6</v>
      </c>
      <c r="R239" s="126" t="s">
        <v>6</v>
      </c>
      <c r="S239" s="126" t="s">
        <v>6</v>
      </c>
      <c r="T239" s="40" t="s">
        <v>6</v>
      </c>
      <c r="U239" s="204"/>
      <c r="V239" s="232"/>
      <c r="W239" s="412" t="s">
        <v>90</v>
      </c>
      <c r="X239" s="199"/>
      <c r="Y239" s="199"/>
      <c r="Z239" s="199"/>
      <c r="AA239" s="126" t="s">
        <v>6</v>
      </c>
      <c r="AB239" s="198"/>
      <c r="AC239" s="199"/>
      <c r="AD239" s="199"/>
      <c r="AE239" s="412" t="s">
        <v>90</v>
      </c>
      <c r="AF239" s="199"/>
      <c r="AG239" s="199"/>
      <c r="AH239" s="199"/>
      <c r="AI239" s="126" t="s">
        <v>6</v>
      </c>
      <c r="AJ239" s="198"/>
      <c r="AK239" s="199"/>
      <c r="AL239" s="199"/>
      <c r="AM239" s="199"/>
      <c r="AN239" s="199"/>
      <c r="AO239" s="199"/>
      <c r="AP239" s="199"/>
      <c r="AQ239" s="199"/>
      <c r="AR239" s="199"/>
      <c r="AS239" s="199"/>
      <c r="AT239" s="199"/>
      <c r="AU239" s="199"/>
      <c r="AV239" s="199"/>
      <c r="AW239" s="155">
        <f t="shared" si="21"/>
        <v>39</v>
      </c>
    </row>
    <row r="240" spans="1:49" s="236" customFormat="1" ht="15">
      <c r="A240" s="40">
        <f t="shared" si="16"/>
        <v>234</v>
      </c>
      <c r="B240" s="199"/>
      <c r="C240" s="199"/>
      <c r="D240" s="199"/>
      <c r="E240" s="199"/>
      <c r="F240" s="199"/>
      <c r="G240" s="199"/>
      <c r="H240" s="199"/>
      <c r="I240" s="199"/>
      <c r="J240" s="412" t="s">
        <v>1363</v>
      </c>
      <c r="K240" s="232" t="s">
        <v>117</v>
      </c>
      <c r="L240" s="244" t="s">
        <v>1364</v>
      </c>
      <c r="M240" s="351"/>
      <c r="N240" s="126" t="s">
        <v>504</v>
      </c>
      <c r="O240" s="126"/>
      <c r="P240" s="126"/>
      <c r="Q240" s="126" t="s">
        <v>6</v>
      </c>
      <c r="R240" s="126" t="s">
        <v>6</v>
      </c>
      <c r="S240" s="126" t="s">
        <v>6</v>
      </c>
      <c r="T240" s="40" t="s">
        <v>6</v>
      </c>
      <c r="U240" s="204" t="s">
        <v>1316</v>
      </c>
      <c r="V240" s="232"/>
      <c r="W240" s="412" t="s">
        <v>90</v>
      </c>
      <c r="X240" s="199"/>
      <c r="Y240" s="199"/>
      <c r="Z240" s="199"/>
      <c r="AA240" s="126" t="s">
        <v>6</v>
      </c>
      <c r="AB240" s="198"/>
      <c r="AC240" s="199"/>
      <c r="AD240" s="199"/>
      <c r="AE240" s="412" t="s">
        <v>90</v>
      </c>
      <c r="AF240" s="199"/>
      <c r="AG240" s="199"/>
      <c r="AH240" s="199"/>
      <c r="AI240" s="126" t="s">
        <v>6</v>
      </c>
      <c r="AJ240" s="198"/>
      <c r="AK240" s="199"/>
      <c r="AL240" s="199"/>
      <c r="AM240" s="199"/>
      <c r="AN240" s="199"/>
      <c r="AO240" s="199"/>
      <c r="AP240" s="199"/>
      <c r="AQ240" s="199"/>
      <c r="AR240" s="199"/>
      <c r="AS240" s="199"/>
      <c r="AT240" s="199"/>
      <c r="AU240" s="199"/>
      <c r="AV240" s="199"/>
      <c r="AW240" s="155">
        <f t="shared" si="21"/>
        <v>39</v>
      </c>
    </row>
    <row r="241" spans="1:49" s="236" customFormat="1" ht="15">
      <c r="A241" s="40">
        <f t="shared" si="16"/>
        <v>235</v>
      </c>
      <c r="B241" s="199"/>
      <c r="C241" s="199"/>
      <c r="D241" s="199"/>
      <c r="E241" s="199"/>
      <c r="F241" s="199"/>
      <c r="G241" s="199"/>
      <c r="H241" s="199"/>
      <c r="I241" s="199"/>
      <c r="J241" s="412" t="s">
        <v>1365</v>
      </c>
      <c r="K241" s="232" t="s">
        <v>117</v>
      </c>
      <c r="L241" s="244" t="s">
        <v>1366</v>
      </c>
      <c r="M241" s="351"/>
      <c r="N241" s="126" t="s">
        <v>504</v>
      </c>
      <c r="O241" s="126"/>
      <c r="P241" s="126"/>
      <c r="Q241" s="126" t="s">
        <v>6</v>
      </c>
      <c r="R241" s="126" t="s">
        <v>6</v>
      </c>
      <c r="S241" s="126" t="s">
        <v>6</v>
      </c>
      <c r="T241" s="40" t="s">
        <v>6</v>
      </c>
      <c r="U241" s="204" t="s">
        <v>1316</v>
      </c>
      <c r="V241" s="232"/>
      <c r="W241" s="412" t="s">
        <v>90</v>
      </c>
      <c r="X241" s="199"/>
      <c r="Y241" s="199"/>
      <c r="Z241" s="199"/>
      <c r="AA241" s="126" t="s">
        <v>6</v>
      </c>
      <c r="AB241" s="198"/>
      <c r="AC241" s="199"/>
      <c r="AD241" s="199"/>
      <c r="AE241" s="412" t="s">
        <v>90</v>
      </c>
      <c r="AF241" s="199"/>
      <c r="AG241" s="199"/>
      <c r="AH241" s="199"/>
      <c r="AI241" s="126" t="s">
        <v>6</v>
      </c>
      <c r="AJ241" s="198"/>
      <c r="AK241" s="199"/>
      <c r="AL241" s="199"/>
      <c r="AM241" s="199"/>
      <c r="AN241" s="199"/>
      <c r="AO241" s="199"/>
      <c r="AP241" s="199"/>
      <c r="AQ241" s="199"/>
      <c r="AR241" s="199"/>
      <c r="AS241" s="199"/>
      <c r="AT241" s="199"/>
      <c r="AU241" s="199"/>
      <c r="AV241" s="199"/>
      <c r="AW241" s="155">
        <f t="shared" si="21"/>
        <v>39</v>
      </c>
    </row>
    <row r="242" spans="1:49" s="236" customFormat="1" ht="15">
      <c r="A242" s="40">
        <f t="shared" si="16"/>
        <v>236</v>
      </c>
      <c r="B242" s="199"/>
      <c r="C242" s="199"/>
      <c r="D242" s="199"/>
      <c r="E242" s="199"/>
      <c r="F242" s="199"/>
      <c r="G242" s="199"/>
      <c r="H242" s="199"/>
      <c r="I242" s="199"/>
      <c r="J242" s="412" t="s">
        <v>1367</v>
      </c>
      <c r="K242" s="232" t="s">
        <v>117</v>
      </c>
      <c r="L242" s="204" t="s">
        <v>1368</v>
      </c>
      <c r="M242" s="351"/>
      <c r="N242" s="126" t="s">
        <v>504</v>
      </c>
      <c r="O242" s="126"/>
      <c r="P242" s="126"/>
      <c r="Q242" s="126" t="s">
        <v>6</v>
      </c>
      <c r="R242" s="126" t="s">
        <v>6</v>
      </c>
      <c r="S242" s="126" t="s">
        <v>6</v>
      </c>
      <c r="T242" s="40" t="s">
        <v>6</v>
      </c>
      <c r="U242" s="204"/>
      <c r="V242" s="232"/>
      <c r="W242" s="412" t="s">
        <v>90</v>
      </c>
      <c r="X242" s="199"/>
      <c r="Y242" s="199"/>
      <c r="Z242" s="199"/>
      <c r="AA242" s="126" t="s">
        <v>6</v>
      </c>
      <c r="AB242" s="198"/>
      <c r="AC242" s="199"/>
      <c r="AD242" s="199"/>
      <c r="AE242" s="412" t="s">
        <v>90</v>
      </c>
      <c r="AF242" s="199"/>
      <c r="AG242" s="199"/>
      <c r="AH242" s="199"/>
      <c r="AI242" s="126" t="s">
        <v>6</v>
      </c>
      <c r="AJ242" s="198"/>
      <c r="AK242" s="199"/>
      <c r="AL242" s="199"/>
      <c r="AM242" s="199"/>
      <c r="AN242" s="199"/>
      <c r="AO242" s="199"/>
      <c r="AP242" s="199"/>
      <c r="AQ242" s="199"/>
      <c r="AR242" s="199"/>
      <c r="AS242" s="199"/>
      <c r="AT242" s="199"/>
      <c r="AU242" s="199"/>
      <c r="AV242" s="199"/>
      <c r="AW242" s="155">
        <f t="shared" si="21"/>
        <v>42</v>
      </c>
    </row>
    <row r="243" spans="1:49" s="236" customFormat="1" ht="15">
      <c r="A243" s="40">
        <f t="shared" si="16"/>
        <v>237</v>
      </c>
      <c r="B243" s="199"/>
      <c r="C243" s="199"/>
      <c r="D243" s="199"/>
      <c r="E243" s="199"/>
      <c r="F243" s="199"/>
      <c r="G243" s="199"/>
      <c r="H243" s="199"/>
      <c r="I243" s="199"/>
      <c r="J243" s="234" t="s">
        <v>1369</v>
      </c>
      <c r="K243" s="204" t="s">
        <v>137</v>
      </c>
      <c r="L243" s="244" t="s">
        <v>1370</v>
      </c>
      <c r="M243" s="351"/>
      <c r="N243" s="40" t="s">
        <v>504</v>
      </c>
      <c r="O243" s="199"/>
      <c r="P243" s="199"/>
      <c r="Q243" s="40"/>
      <c r="R243" s="40"/>
      <c r="S243" s="40" t="s">
        <v>6</v>
      </c>
      <c r="T243" s="126" t="s">
        <v>6</v>
      </c>
      <c r="U243" s="200" t="s">
        <v>1371</v>
      </c>
      <c r="V243" s="204"/>
      <c r="W243" s="204" t="s">
        <v>137</v>
      </c>
      <c r="X243" s="199"/>
      <c r="Y243" s="199"/>
      <c r="Z243" s="40"/>
      <c r="AA243" s="40" t="s">
        <v>6</v>
      </c>
      <c r="AB243" s="198"/>
      <c r="AC243" s="199"/>
      <c r="AD243" s="199"/>
      <c r="AE243" s="204" t="s">
        <v>137</v>
      </c>
      <c r="AF243" s="199"/>
      <c r="AG243" s="199"/>
      <c r="AH243" s="199"/>
      <c r="AI243" s="40" t="s">
        <v>6</v>
      </c>
      <c r="AJ243" s="198"/>
      <c r="AK243" s="199"/>
      <c r="AL243" s="199"/>
      <c r="AM243" s="199"/>
      <c r="AN243" s="199"/>
      <c r="AO243" s="199"/>
      <c r="AP243" s="199"/>
      <c r="AQ243" s="199"/>
      <c r="AR243" s="199"/>
      <c r="AS243" s="199"/>
      <c r="AT243" s="199"/>
      <c r="AU243" s="199"/>
      <c r="AV243" s="199"/>
      <c r="AW243" s="155">
        <f t="shared" ref="AW243:AW244" si="22">LEN(L243)</f>
        <v>24</v>
      </c>
    </row>
    <row r="244" spans="1:49" s="236" customFormat="1" ht="15">
      <c r="A244" s="40">
        <f t="shared" si="16"/>
        <v>238</v>
      </c>
      <c r="B244" s="199"/>
      <c r="C244" s="199"/>
      <c r="D244" s="199"/>
      <c r="E244" s="199"/>
      <c r="F244" s="199"/>
      <c r="G244" s="199"/>
      <c r="H244" s="199"/>
      <c r="I244" s="199"/>
      <c r="J244" s="234" t="s">
        <v>1372</v>
      </c>
      <c r="K244" s="204" t="s">
        <v>137</v>
      </c>
      <c r="L244" s="244" t="s">
        <v>1373</v>
      </c>
      <c r="M244" s="351"/>
      <c r="N244" s="40" t="s">
        <v>504</v>
      </c>
      <c r="O244" s="199"/>
      <c r="P244" s="199"/>
      <c r="Q244" s="40"/>
      <c r="R244" s="40"/>
      <c r="S244" s="40" t="s">
        <v>6</v>
      </c>
      <c r="T244" s="126" t="s">
        <v>6</v>
      </c>
      <c r="U244" s="200" t="s">
        <v>1371</v>
      </c>
      <c r="V244" s="204"/>
      <c r="W244" s="204" t="s">
        <v>137</v>
      </c>
      <c r="X244" s="199"/>
      <c r="Y244" s="199"/>
      <c r="Z244" s="40"/>
      <c r="AA244" s="40" t="s">
        <v>6</v>
      </c>
      <c r="AB244" s="198"/>
      <c r="AC244" s="199"/>
      <c r="AD244" s="199"/>
      <c r="AE244" s="204" t="s">
        <v>137</v>
      </c>
      <c r="AF244" s="199"/>
      <c r="AG244" s="199"/>
      <c r="AH244" s="199"/>
      <c r="AI244" s="40" t="s">
        <v>6</v>
      </c>
      <c r="AJ244" s="198"/>
      <c r="AK244" s="199"/>
      <c r="AL244" s="199"/>
      <c r="AM244" s="199"/>
      <c r="AN244" s="199"/>
      <c r="AO244" s="199"/>
      <c r="AP244" s="199"/>
      <c r="AQ244" s="199"/>
      <c r="AR244" s="199"/>
      <c r="AS244" s="199"/>
      <c r="AT244" s="199"/>
      <c r="AU244" s="199"/>
      <c r="AV244" s="199"/>
      <c r="AW244" s="155">
        <f t="shared" si="22"/>
        <v>24</v>
      </c>
    </row>
    <row r="245" spans="1:49" s="236" customFormat="1" ht="15">
      <c r="A245" s="40">
        <f t="shared" si="16"/>
        <v>239</v>
      </c>
      <c r="B245" s="199"/>
      <c r="C245" s="199"/>
      <c r="D245" s="199"/>
      <c r="E245" s="199"/>
      <c r="F245" s="199"/>
      <c r="G245" s="199"/>
      <c r="H245" s="199"/>
      <c r="I245" s="199"/>
      <c r="J245" s="234" t="s">
        <v>1374</v>
      </c>
      <c r="K245" s="204" t="s">
        <v>137</v>
      </c>
      <c r="L245" s="244" t="s">
        <v>1375</v>
      </c>
      <c r="M245" s="351"/>
      <c r="N245" s="40" t="s">
        <v>504</v>
      </c>
      <c r="O245" s="199"/>
      <c r="P245" s="199"/>
      <c r="Q245" s="40"/>
      <c r="R245" s="40"/>
      <c r="S245" s="40" t="s">
        <v>6</v>
      </c>
      <c r="T245" s="126" t="s">
        <v>6</v>
      </c>
      <c r="U245" s="200" t="s">
        <v>1371</v>
      </c>
      <c r="V245" s="204"/>
      <c r="W245" s="204" t="s">
        <v>137</v>
      </c>
      <c r="X245" s="199"/>
      <c r="Y245" s="199"/>
      <c r="Z245" s="40"/>
      <c r="AA245" s="40" t="s">
        <v>6</v>
      </c>
      <c r="AB245" s="198"/>
      <c r="AC245" s="199"/>
      <c r="AD245" s="199"/>
      <c r="AE245" s="204" t="s">
        <v>137</v>
      </c>
      <c r="AF245" s="199"/>
      <c r="AG245" s="199"/>
      <c r="AH245" s="199"/>
      <c r="AI245" s="40" t="s">
        <v>6</v>
      </c>
      <c r="AJ245" s="198"/>
      <c r="AK245" s="199"/>
      <c r="AL245" s="199"/>
      <c r="AM245" s="199"/>
      <c r="AN245" s="199"/>
      <c r="AO245" s="199"/>
      <c r="AP245" s="199"/>
      <c r="AQ245" s="199"/>
      <c r="AR245" s="199"/>
      <c r="AS245" s="199"/>
      <c r="AT245" s="199"/>
      <c r="AU245" s="199"/>
      <c r="AV245" s="199"/>
      <c r="AW245" s="155">
        <f t="shared" ref="AW245:AW246" si="23">LEN(L245)</f>
        <v>23</v>
      </c>
    </row>
    <row r="246" spans="1:49" s="236" customFormat="1" ht="15">
      <c r="A246" s="40">
        <f t="shared" si="16"/>
        <v>240</v>
      </c>
      <c r="B246" s="199"/>
      <c r="C246" s="199"/>
      <c r="D246" s="199"/>
      <c r="E246" s="199"/>
      <c r="F246" s="199"/>
      <c r="G246" s="199"/>
      <c r="H246" s="199"/>
      <c r="I246" s="199"/>
      <c r="J246" s="234" t="s">
        <v>1376</v>
      </c>
      <c r="K246" s="204" t="s">
        <v>137</v>
      </c>
      <c r="L246" s="244" t="s">
        <v>1377</v>
      </c>
      <c r="M246" s="351"/>
      <c r="N246" s="40" t="s">
        <v>504</v>
      </c>
      <c r="O246" s="199"/>
      <c r="P246" s="199"/>
      <c r="Q246" s="40"/>
      <c r="R246" s="40"/>
      <c r="S246" s="40" t="s">
        <v>6</v>
      </c>
      <c r="T246" s="126" t="s">
        <v>6</v>
      </c>
      <c r="U246" s="200" t="s">
        <v>1371</v>
      </c>
      <c r="V246" s="204"/>
      <c r="W246" s="204" t="s">
        <v>137</v>
      </c>
      <c r="X246" s="199"/>
      <c r="Y246" s="199"/>
      <c r="Z246" s="40"/>
      <c r="AA246" s="40" t="s">
        <v>6</v>
      </c>
      <c r="AB246" s="198"/>
      <c r="AC246" s="199"/>
      <c r="AD246" s="199"/>
      <c r="AE246" s="204" t="s">
        <v>137</v>
      </c>
      <c r="AF246" s="199"/>
      <c r="AG246" s="199"/>
      <c r="AH246" s="199"/>
      <c r="AI246" s="40" t="s">
        <v>6</v>
      </c>
      <c r="AJ246" s="198"/>
      <c r="AK246" s="199"/>
      <c r="AL246" s="199"/>
      <c r="AM246" s="199"/>
      <c r="AN246" s="199"/>
      <c r="AO246" s="199"/>
      <c r="AP246" s="199"/>
      <c r="AQ246" s="199"/>
      <c r="AR246" s="199"/>
      <c r="AS246" s="199"/>
      <c r="AT246" s="199"/>
      <c r="AU246" s="199"/>
      <c r="AV246" s="199"/>
      <c r="AW246" s="155">
        <f t="shared" si="23"/>
        <v>23</v>
      </c>
    </row>
    <row r="247" spans="1:49" s="236" customFormat="1" ht="15">
      <c r="A247" s="40">
        <f t="shared" si="16"/>
        <v>241</v>
      </c>
      <c r="B247" s="199"/>
      <c r="C247" s="199"/>
      <c r="D247" s="199"/>
      <c r="E247" s="199"/>
      <c r="F247" s="199"/>
      <c r="G247" s="199"/>
      <c r="H247" s="199"/>
      <c r="I247" s="199"/>
      <c r="J247" s="218" t="s">
        <v>1378</v>
      </c>
      <c r="K247" s="232" t="s">
        <v>117</v>
      </c>
      <c r="L247" s="204" t="s">
        <v>1379</v>
      </c>
      <c r="M247" s="351"/>
      <c r="N247" s="126" t="s">
        <v>504</v>
      </c>
      <c r="O247" s="126"/>
      <c r="P247" s="126"/>
      <c r="Q247" s="126" t="s">
        <v>6</v>
      </c>
      <c r="R247" s="126" t="s">
        <v>6</v>
      </c>
      <c r="S247" s="126" t="s">
        <v>6</v>
      </c>
      <c r="T247" s="40" t="s">
        <v>6</v>
      </c>
      <c r="U247" s="204" t="s">
        <v>1049</v>
      </c>
      <c r="V247" s="204"/>
      <c r="W247" s="232" t="s">
        <v>125</v>
      </c>
      <c r="X247" s="199"/>
      <c r="Y247" s="199"/>
      <c r="Z247" s="199"/>
      <c r="AA247" s="126" t="s">
        <v>6</v>
      </c>
      <c r="AB247" s="198"/>
      <c r="AC247" s="199"/>
      <c r="AD247" s="199"/>
      <c r="AE247" s="232" t="s">
        <v>125</v>
      </c>
      <c r="AF247" s="199"/>
      <c r="AG247" s="199"/>
      <c r="AH247" s="199"/>
      <c r="AI247" s="126" t="s">
        <v>6</v>
      </c>
      <c r="AJ247" s="198"/>
      <c r="AK247" s="199"/>
      <c r="AL247" s="199"/>
      <c r="AM247" s="199"/>
      <c r="AN247" s="199"/>
      <c r="AO247" s="199"/>
      <c r="AP247" s="199"/>
      <c r="AQ247" s="199"/>
      <c r="AR247" s="199"/>
      <c r="AS247" s="199"/>
      <c r="AT247" s="199"/>
      <c r="AU247" s="199"/>
      <c r="AV247" s="199"/>
      <c r="AW247" s="155">
        <f t="shared" ref="AW247:AW252" si="24">LEN(L247)</f>
        <v>33</v>
      </c>
    </row>
    <row r="248" spans="1:49" s="236" customFormat="1" ht="39.6">
      <c r="A248" s="40">
        <f t="shared" si="16"/>
        <v>242</v>
      </c>
      <c r="B248" s="199"/>
      <c r="C248" s="199"/>
      <c r="D248" s="199"/>
      <c r="E248" s="199"/>
      <c r="F248" s="199"/>
      <c r="G248" s="199"/>
      <c r="H248" s="199"/>
      <c r="I248" s="199"/>
      <c r="J248" s="218" t="s">
        <v>1380</v>
      </c>
      <c r="K248" s="232" t="s">
        <v>117</v>
      </c>
      <c r="L248" s="204" t="s">
        <v>1381</v>
      </c>
      <c r="M248" s="351"/>
      <c r="N248" s="126" t="s">
        <v>504</v>
      </c>
      <c r="O248" s="126"/>
      <c r="P248" s="126"/>
      <c r="Q248" s="126" t="s">
        <v>6</v>
      </c>
      <c r="R248" s="126" t="s">
        <v>6</v>
      </c>
      <c r="S248" s="126" t="s">
        <v>6</v>
      </c>
      <c r="T248" s="40" t="s">
        <v>6</v>
      </c>
      <c r="U248" s="218" t="s">
        <v>1103</v>
      </c>
      <c r="V248" s="204"/>
      <c r="W248" s="232" t="s">
        <v>125</v>
      </c>
      <c r="X248" s="199"/>
      <c r="Y248" s="199"/>
      <c r="Z248" s="199"/>
      <c r="AA248" s="126" t="s">
        <v>6</v>
      </c>
      <c r="AB248" s="198"/>
      <c r="AC248" s="199"/>
      <c r="AD248" s="199"/>
      <c r="AE248" s="232" t="s">
        <v>125</v>
      </c>
      <c r="AF248" s="199"/>
      <c r="AG248" s="199"/>
      <c r="AH248" s="199"/>
      <c r="AI248" s="126" t="s">
        <v>6</v>
      </c>
      <c r="AJ248" s="198"/>
      <c r="AK248" s="199"/>
      <c r="AL248" s="199"/>
      <c r="AM248" s="199"/>
      <c r="AN248" s="199"/>
      <c r="AO248" s="199"/>
      <c r="AP248" s="199"/>
      <c r="AQ248" s="199"/>
      <c r="AR248" s="199"/>
      <c r="AS248" s="199"/>
      <c r="AT248" s="199"/>
      <c r="AU248" s="199"/>
      <c r="AV248" s="199"/>
      <c r="AW248" s="155">
        <f t="shared" si="24"/>
        <v>40</v>
      </c>
    </row>
    <row r="249" spans="1:49" s="236" customFormat="1" ht="39.6">
      <c r="A249" s="40">
        <f t="shared" si="16"/>
        <v>243</v>
      </c>
      <c r="B249" s="199"/>
      <c r="C249" s="199"/>
      <c r="D249" s="199"/>
      <c r="E249" s="199"/>
      <c r="F249" s="199"/>
      <c r="G249" s="199"/>
      <c r="H249" s="199"/>
      <c r="I249" s="199"/>
      <c r="J249" s="218" t="s">
        <v>1382</v>
      </c>
      <c r="K249" s="232" t="s">
        <v>117</v>
      </c>
      <c r="L249" s="204" t="s">
        <v>1383</v>
      </c>
      <c r="M249" s="351"/>
      <c r="N249" s="126" t="s">
        <v>504</v>
      </c>
      <c r="O249" s="126"/>
      <c r="P249" s="126"/>
      <c r="Q249" s="126" t="s">
        <v>6</v>
      </c>
      <c r="R249" s="126" t="s">
        <v>6</v>
      </c>
      <c r="S249" s="126" t="s">
        <v>6</v>
      </c>
      <c r="T249" s="40" t="s">
        <v>6</v>
      </c>
      <c r="U249" s="218" t="s">
        <v>1103</v>
      </c>
      <c r="V249" s="204"/>
      <c r="W249" s="232" t="s">
        <v>125</v>
      </c>
      <c r="X249" s="199"/>
      <c r="Y249" s="199"/>
      <c r="Z249" s="199"/>
      <c r="AA249" s="126" t="s">
        <v>6</v>
      </c>
      <c r="AB249" s="198"/>
      <c r="AC249" s="199"/>
      <c r="AD249" s="199"/>
      <c r="AE249" s="232" t="s">
        <v>125</v>
      </c>
      <c r="AF249" s="199"/>
      <c r="AG249" s="199"/>
      <c r="AH249" s="199"/>
      <c r="AI249" s="126" t="s">
        <v>6</v>
      </c>
      <c r="AJ249" s="198"/>
      <c r="AK249" s="199"/>
      <c r="AL249" s="199"/>
      <c r="AM249" s="199"/>
      <c r="AN249" s="199"/>
      <c r="AO249" s="199"/>
      <c r="AP249" s="199"/>
      <c r="AQ249" s="199"/>
      <c r="AR249" s="199"/>
      <c r="AS249" s="199"/>
      <c r="AT249" s="199"/>
      <c r="AU249" s="199"/>
      <c r="AV249" s="199"/>
      <c r="AW249" s="155">
        <f t="shared" si="24"/>
        <v>40</v>
      </c>
    </row>
    <row r="250" spans="1:49" s="236" customFormat="1" ht="39.6">
      <c r="A250" s="40">
        <f t="shared" si="16"/>
        <v>244</v>
      </c>
      <c r="B250" s="199"/>
      <c r="C250" s="199"/>
      <c r="D250" s="199"/>
      <c r="E250" s="199"/>
      <c r="F250" s="199"/>
      <c r="G250" s="199"/>
      <c r="H250" s="199"/>
      <c r="I250" s="199"/>
      <c r="J250" s="218" t="s">
        <v>1384</v>
      </c>
      <c r="K250" s="232" t="s">
        <v>117</v>
      </c>
      <c r="L250" s="204" t="s">
        <v>1385</v>
      </c>
      <c r="M250" s="351"/>
      <c r="N250" s="126" t="s">
        <v>504</v>
      </c>
      <c r="O250" s="126"/>
      <c r="P250" s="126"/>
      <c r="Q250" s="126" t="s">
        <v>6</v>
      </c>
      <c r="R250" s="126" t="s">
        <v>6</v>
      </c>
      <c r="S250" s="126" t="s">
        <v>6</v>
      </c>
      <c r="T250" s="40" t="s">
        <v>6</v>
      </c>
      <c r="U250" s="218" t="s">
        <v>1103</v>
      </c>
      <c r="V250" s="204"/>
      <c r="W250" s="232" t="s">
        <v>125</v>
      </c>
      <c r="X250" s="199"/>
      <c r="Y250" s="199"/>
      <c r="Z250" s="199"/>
      <c r="AA250" s="126" t="s">
        <v>6</v>
      </c>
      <c r="AB250" s="198"/>
      <c r="AC250" s="199"/>
      <c r="AD250" s="199"/>
      <c r="AE250" s="232" t="s">
        <v>125</v>
      </c>
      <c r="AF250" s="199"/>
      <c r="AG250" s="199"/>
      <c r="AH250" s="199"/>
      <c r="AI250" s="126" t="s">
        <v>6</v>
      </c>
      <c r="AJ250" s="198"/>
      <c r="AK250" s="199"/>
      <c r="AL250" s="199"/>
      <c r="AM250" s="199"/>
      <c r="AN250" s="199"/>
      <c r="AO250" s="199"/>
      <c r="AP250" s="199"/>
      <c r="AQ250" s="199"/>
      <c r="AR250" s="199"/>
      <c r="AS250" s="199"/>
      <c r="AT250" s="199"/>
      <c r="AU250" s="199"/>
      <c r="AV250" s="199"/>
      <c r="AW250" s="155">
        <f t="shared" si="24"/>
        <v>40</v>
      </c>
    </row>
    <row r="251" spans="1:49" s="236" customFormat="1" ht="15">
      <c r="A251" s="40">
        <f t="shared" si="16"/>
        <v>245</v>
      </c>
      <c r="B251" s="199"/>
      <c r="C251" s="199"/>
      <c r="D251" s="199"/>
      <c r="E251" s="199"/>
      <c r="F251" s="199"/>
      <c r="G251" s="199"/>
      <c r="H251" s="199"/>
      <c r="I251" s="199" t="s">
        <v>868</v>
      </c>
      <c r="J251" s="218" t="s">
        <v>1386</v>
      </c>
      <c r="K251" s="232" t="s">
        <v>117</v>
      </c>
      <c r="L251" s="204" t="s">
        <v>729</v>
      </c>
      <c r="M251" s="351"/>
      <c r="N251" s="126" t="s">
        <v>504</v>
      </c>
      <c r="O251" s="126"/>
      <c r="P251" s="126"/>
      <c r="Q251" s="126" t="s">
        <v>6</v>
      </c>
      <c r="R251" s="126" t="s">
        <v>6</v>
      </c>
      <c r="S251" s="126" t="s">
        <v>6</v>
      </c>
      <c r="T251" s="40" t="s">
        <v>6</v>
      </c>
      <c r="U251" s="204"/>
      <c r="V251" s="204"/>
      <c r="W251" s="232" t="s">
        <v>125</v>
      </c>
      <c r="X251" s="199"/>
      <c r="Y251" s="199"/>
      <c r="Z251" s="199"/>
      <c r="AA251" s="126" t="s">
        <v>6</v>
      </c>
      <c r="AB251" s="198"/>
      <c r="AC251" s="199"/>
      <c r="AD251" s="199"/>
      <c r="AE251" s="232" t="s">
        <v>125</v>
      </c>
      <c r="AF251" s="199"/>
      <c r="AG251" s="199"/>
      <c r="AH251" s="199"/>
      <c r="AI251" s="126" t="s">
        <v>6</v>
      </c>
      <c r="AJ251" s="198"/>
      <c r="AK251" s="199"/>
      <c r="AL251" s="199"/>
      <c r="AM251" s="199"/>
      <c r="AN251" s="199"/>
      <c r="AO251" s="199"/>
      <c r="AP251" s="199"/>
      <c r="AQ251" s="199"/>
      <c r="AR251" s="199"/>
      <c r="AS251" s="199"/>
      <c r="AT251" s="199"/>
      <c r="AU251" s="199"/>
      <c r="AV251" s="199"/>
      <c r="AW251" s="155">
        <f t="shared" si="24"/>
        <v>18</v>
      </c>
    </row>
    <row r="252" spans="1:49" s="236" customFormat="1" ht="15">
      <c r="A252" s="40">
        <f t="shared" si="16"/>
        <v>246</v>
      </c>
      <c r="B252" s="199"/>
      <c r="C252" s="199"/>
      <c r="D252" s="199"/>
      <c r="E252" s="199"/>
      <c r="F252" s="199"/>
      <c r="G252" s="199"/>
      <c r="H252" s="199"/>
      <c r="I252" s="199" t="s">
        <v>868</v>
      </c>
      <c r="J252" s="218" t="s">
        <v>1387</v>
      </c>
      <c r="K252" s="232" t="s">
        <v>117</v>
      </c>
      <c r="L252" s="204" t="s">
        <v>1388</v>
      </c>
      <c r="M252" s="351"/>
      <c r="N252" s="126" t="s">
        <v>504</v>
      </c>
      <c r="O252" s="126"/>
      <c r="P252" s="126"/>
      <c r="Q252" s="126" t="s">
        <v>6</v>
      </c>
      <c r="R252" s="126" t="s">
        <v>6</v>
      </c>
      <c r="S252" s="126" t="s">
        <v>6</v>
      </c>
      <c r="T252" s="40" t="s">
        <v>6</v>
      </c>
      <c r="U252" s="204" t="s">
        <v>802</v>
      </c>
      <c r="V252" s="204"/>
      <c r="W252" s="232" t="s">
        <v>125</v>
      </c>
      <c r="X252" s="199"/>
      <c r="Y252" s="199"/>
      <c r="Z252" s="199"/>
      <c r="AA252" s="126" t="s">
        <v>6</v>
      </c>
      <c r="AB252" s="198"/>
      <c r="AC252" s="199"/>
      <c r="AD252" s="199"/>
      <c r="AE252" s="232" t="s">
        <v>125</v>
      </c>
      <c r="AF252" s="199"/>
      <c r="AG252" s="199"/>
      <c r="AH252" s="199"/>
      <c r="AI252" s="126" t="s">
        <v>6</v>
      </c>
      <c r="AJ252" s="198"/>
      <c r="AK252" s="199"/>
      <c r="AL252" s="199"/>
      <c r="AM252" s="199"/>
      <c r="AN252" s="199"/>
      <c r="AO252" s="199"/>
      <c r="AP252" s="199"/>
      <c r="AQ252" s="199"/>
      <c r="AR252" s="199"/>
      <c r="AS252" s="199"/>
      <c r="AT252" s="199"/>
      <c r="AU252" s="199"/>
      <c r="AV252" s="199"/>
      <c r="AW252" s="155">
        <f t="shared" si="24"/>
        <v>25</v>
      </c>
    </row>
    <row r="253" spans="1:49" s="236" customFormat="1" ht="15">
      <c r="A253" s="40">
        <f t="shared" si="16"/>
        <v>247</v>
      </c>
      <c r="B253" s="199"/>
      <c r="C253" s="199"/>
      <c r="D253" s="199"/>
      <c r="E253" s="199"/>
      <c r="F253" s="199"/>
      <c r="G253" s="199"/>
      <c r="H253" s="199"/>
      <c r="I253" s="199"/>
      <c r="J253" s="218" t="s">
        <v>1390</v>
      </c>
      <c r="K253" s="204" t="s">
        <v>117</v>
      </c>
      <c r="L253" s="204" t="s">
        <v>732</v>
      </c>
      <c r="M253" s="351"/>
      <c r="N253" s="40" t="s">
        <v>504</v>
      </c>
      <c r="O253" s="199"/>
      <c r="P253" s="199"/>
      <c r="Q253" s="40" t="s">
        <v>6</v>
      </c>
      <c r="R253" s="40" t="s">
        <v>6</v>
      </c>
      <c r="S253" s="40" t="s">
        <v>6</v>
      </c>
      <c r="T253" s="40" t="s">
        <v>6</v>
      </c>
      <c r="U253" s="204" t="s">
        <v>733</v>
      </c>
      <c r="V253" s="204"/>
      <c r="W253" s="204"/>
      <c r="X253" s="199"/>
      <c r="Y253" s="199"/>
      <c r="Z253" s="40"/>
      <c r="AA253" s="40"/>
      <c r="AB253" s="218"/>
      <c r="AC253" s="199"/>
      <c r="AD253" s="218"/>
      <c r="AE253" s="204"/>
      <c r="AF253" s="199"/>
      <c r="AG253" s="199"/>
      <c r="AH253" s="199"/>
      <c r="AI253" s="40"/>
      <c r="AJ253" s="218"/>
      <c r="AK253" s="199"/>
      <c r="AL253" s="218"/>
      <c r="AM253" s="199"/>
      <c r="AN253" s="199"/>
      <c r="AO253" s="199"/>
      <c r="AP253" s="199"/>
      <c r="AQ253" s="199"/>
      <c r="AR253" s="199"/>
      <c r="AS253" s="199"/>
      <c r="AT253" s="199"/>
      <c r="AU253" s="199"/>
      <c r="AV253" s="199"/>
      <c r="AW253" s="155"/>
    </row>
    <row r="254" spans="1:49" s="236" customFormat="1" ht="15">
      <c r="A254" s="40">
        <f t="shared" si="16"/>
        <v>248</v>
      </c>
      <c r="B254" s="199"/>
      <c r="C254" s="199"/>
      <c r="D254" s="199"/>
      <c r="E254" s="199"/>
      <c r="F254" s="199"/>
      <c r="G254" s="199"/>
      <c r="H254" s="199"/>
      <c r="I254" s="199"/>
      <c r="J254" s="218" t="s">
        <v>1392</v>
      </c>
      <c r="K254" s="204" t="s">
        <v>117</v>
      </c>
      <c r="L254" s="204" t="s">
        <v>735</v>
      </c>
      <c r="M254" s="351"/>
      <c r="N254" s="126" t="s">
        <v>504</v>
      </c>
      <c r="O254" s="126"/>
      <c r="P254" s="126"/>
      <c r="Q254" s="40" t="s">
        <v>6</v>
      </c>
      <c r="R254" s="40" t="s">
        <v>6</v>
      </c>
      <c r="S254" s="40" t="s">
        <v>6</v>
      </c>
      <c r="T254" s="40" t="s">
        <v>6</v>
      </c>
      <c r="U254" s="204"/>
      <c r="V254" s="204"/>
      <c r="W254" s="204" t="s">
        <v>125</v>
      </c>
      <c r="X254" s="199"/>
      <c r="Y254" s="199"/>
      <c r="Z254" s="199"/>
      <c r="AA254" s="40" t="s">
        <v>6</v>
      </c>
      <c r="AB254" s="218"/>
      <c r="AC254" s="199"/>
      <c r="AD254" s="218"/>
      <c r="AE254" s="204" t="s">
        <v>125</v>
      </c>
      <c r="AF254" s="199"/>
      <c r="AG254" s="199"/>
      <c r="AH254" s="199"/>
      <c r="AI254" s="40" t="s">
        <v>6</v>
      </c>
      <c r="AJ254" s="218"/>
      <c r="AK254" s="199"/>
      <c r="AL254" s="218"/>
      <c r="AM254" s="199"/>
      <c r="AN254" s="199"/>
      <c r="AO254" s="199"/>
      <c r="AP254" s="199"/>
      <c r="AQ254" s="199"/>
      <c r="AR254" s="199"/>
      <c r="AS254" s="199"/>
      <c r="AT254" s="199"/>
      <c r="AU254" s="199"/>
      <c r="AV254" s="199"/>
      <c r="AW254" s="155">
        <f>LEN(L254)</f>
        <v>14</v>
      </c>
    </row>
    <row r="255" spans="1:49" s="236" customFormat="1" ht="15">
      <c r="A255" s="40">
        <f t="shared" si="16"/>
        <v>249</v>
      </c>
      <c r="B255" s="199"/>
      <c r="C255" s="199"/>
      <c r="D255" s="199"/>
      <c r="E255" s="199"/>
      <c r="F255" s="199"/>
      <c r="G255" s="199"/>
      <c r="H255" s="199"/>
      <c r="I255" s="199"/>
      <c r="J255" s="218" t="s">
        <v>1393</v>
      </c>
      <c r="K255" s="204" t="s">
        <v>117</v>
      </c>
      <c r="L255" s="204" t="s">
        <v>737</v>
      </c>
      <c r="M255" s="351"/>
      <c r="N255" s="126" t="s">
        <v>504</v>
      </c>
      <c r="O255" s="126"/>
      <c r="P255" s="126"/>
      <c r="Q255" s="40" t="s">
        <v>6</v>
      </c>
      <c r="R255" s="40" t="s">
        <v>6</v>
      </c>
      <c r="S255" s="40" t="s">
        <v>6</v>
      </c>
      <c r="T255" s="40" t="s">
        <v>6</v>
      </c>
      <c r="U255" s="204"/>
      <c r="V255" s="204"/>
      <c r="W255" s="204" t="s">
        <v>125</v>
      </c>
      <c r="X255" s="199"/>
      <c r="Y255" s="199"/>
      <c r="Z255" s="199"/>
      <c r="AA255" s="40" t="s">
        <v>6</v>
      </c>
      <c r="AB255" s="198"/>
      <c r="AC255" s="199"/>
      <c r="AD255" s="199"/>
      <c r="AE255" s="204" t="s">
        <v>125</v>
      </c>
      <c r="AF255" s="199"/>
      <c r="AG255" s="199"/>
      <c r="AH255" s="199"/>
      <c r="AI255" s="40" t="s">
        <v>6</v>
      </c>
      <c r="AJ255" s="198"/>
      <c r="AK255" s="199"/>
      <c r="AL255" s="199"/>
      <c r="AM255" s="199"/>
      <c r="AN255" s="199"/>
      <c r="AO255" s="199"/>
      <c r="AP255" s="199"/>
      <c r="AQ255" s="199"/>
      <c r="AR255" s="199"/>
      <c r="AS255" s="199"/>
      <c r="AT255" s="199"/>
      <c r="AU255" s="199"/>
      <c r="AV255" s="199"/>
      <c r="AW255" s="155">
        <f>LEN(L255)</f>
        <v>28</v>
      </c>
    </row>
    <row r="256" spans="1:49" s="20" customFormat="1" ht="26.4">
      <c r="A256" s="40">
        <f t="shared" si="16"/>
        <v>250</v>
      </c>
      <c r="B256" s="59"/>
      <c r="C256" s="59"/>
      <c r="D256" s="59"/>
      <c r="E256" s="59"/>
      <c r="F256" s="59"/>
      <c r="G256" s="59"/>
      <c r="H256" s="59"/>
      <c r="I256" s="59"/>
      <c r="J256" s="218" t="s">
        <v>1395</v>
      </c>
      <c r="K256" s="204" t="s">
        <v>117</v>
      </c>
      <c r="L256" s="204" t="s">
        <v>740</v>
      </c>
      <c r="M256" s="351"/>
      <c r="N256" s="40" t="s">
        <v>504</v>
      </c>
      <c r="O256" s="199"/>
      <c r="P256" s="199"/>
      <c r="Q256" s="40" t="s">
        <v>6</v>
      </c>
      <c r="R256" s="40" t="s">
        <v>6</v>
      </c>
      <c r="S256" s="40" t="s">
        <v>6</v>
      </c>
      <c r="T256" s="126" t="s">
        <v>6</v>
      </c>
      <c r="U256" s="204" t="s">
        <v>741</v>
      </c>
      <c r="V256" s="204"/>
      <c r="W256" s="204" t="s">
        <v>125</v>
      </c>
      <c r="X256" s="199"/>
      <c r="Y256" s="199"/>
      <c r="Z256" s="40" t="s">
        <v>6</v>
      </c>
      <c r="AA256" s="40" t="s">
        <v>6</v>
      </c>
      <c r="AB256" s="218"/>
      <c r="AC256" s="199"/>
      <c r="AD256" s="218" t="s">
        <v>709</v>
      </c>
      <c r="AE256" s="204" t="s">
        <v>125</v>
      </c>
      <c r="AF256" s="199"/>
      <c r="AG256" s="199"/>
      <c r="AH256" s="199"/>
      <c r="AI256" s="40" t="s">
        <v>6</v>
      </c>
      <c r="AJ256" s="218"/>
      <c r="AK256" s="199"/>
      <c r="AL256" s="218" t="s">
        <v>709</v>
      </c>
      <c r="AM256" s="199"/>
      <c r="AN256" s="199"/>
      <c r="AO256" s="199"/>
      <c r="AP256" s="199"/>
      <c r="AQ256" s="199"/>
      <c r="AR256" s="199"/>
      <c r="AS256" s="199"/>
      <c r="AT256" s="199"/>
      <c r="AU256" s="199"/>
      <c r="AV256" s="199"/>
      <c r="AW256" s="18"/>
    </row>
    <row r="257" spans="1:49" s="236" customFormat="1" ht="15">
      <c r="A257" s="40">
        <f t="shared" si="16"/>
        <v>251</v>
      </c>
      <c r="B257" s="199"/>
      <c r="C257" s="199"/>
      <c r="D257" s="199"/>
      <c r="E257" s="199"/>
      <c r="F257" s="199"/>
      <c r="G257" s="199"/>
      <c r="H257" s="199"/>
      <c r="I257" s="199" t="s">
        <v>868</v>
      </c>
      <c r="J257" s="218" t="s">
        <v>1396</v>
      </c>
      <c r="K257" s="232" t="s">
        <v>134</v>
      </c>
      <c r="L257" s="204" t="s">
        <v>1397</v>
      </c>
      <c r="M257" s="351"/>
      <c r="N257" s="126" t="s">
        <v>504</v>
      </c>
      <c r="O257" s="126"/>
      <c r="P257" s="126"/>
      <c r="Q257" s="40" t="s">
        <v>6</v>
      </c>
      <c r="R257" s="40" t="s">
        <v>6</v>
      </c>
      <c r="S257" s="40" t="s">
        <v>6</v>
      </c>
      <c r="T257" s="126" t="s">
        <v>6</v>
      </c>
      <c r="U257" s="204"/>
      <c r="V257" s="204"/>
      <c r="W257" s="232" t="s">
        <v>137</v>
      </c>
      <c r="X257" s="199"/>
      <c r="Y257" s="199"/>
      <c r="Z257" s="199"/>
      <c r="AA257" s="40" t="s">
        <v>6</v>
      </c>
      <c r="AB257" s="198"/>
      <c r="AC257" s="199"/>
      <c r="AD257" s="199"/>
      <c r="AE257" s="232" t="s">
        <v>137</v>
      </c>
      <c r="AF257" s="199"/>
      <c r="AG257" s="199"/>
      <c r="AH257" s="199"/>
      <c r="AI257" s="40" t="s">
        <v>6</v>
      </c>
      <c r="AJ257" s="198"/>
      <c r="AK257" s="199"/>
      <c r="AL257" s="199"/>
      <c r="AM257" s="199"/>
      <c r="AN257" s="199"/>
      <c r="AO257" s="199"/>
      <c r="AP257" s="199"/>
      <c r="AQ257" s="199"/>
      <c r="AR257" s="199"/>
      <c r="AS257" s="199"/>
      <c r="AT257" s="199"/>
      <c r="AU257" s="199"/>
      <c r="AV257" s="199"/>
      <c r="AW257" s="155">
        <f t="shared" ref="AW257:AW272" si="25">LEN(L257)</f>
        <v>30</v>
      </c>
    </row>
    <row r="258" spans="1:49" s="236" customFormat="1" ht="15">
      <c r="A258" s="40">
        <f t="shared" si="16"/>
        <v>252</v>
      </c>
      <c r="B258" s="199"/>
      <c r="C258" s="199"/>
      <c r="D258" s="199"/>
      <c r="E258" s="199"/>
      <c r="F258" s="199"/>
      <c r="G258" s="199"/>
      <c r="H258" s="199"/>
      <c r="I258" s="199" t="s">
        <v>868</v>
      </c>
      <c r="J258" s="218" t="s">
        <v>1398</v>
      </c>
      <c r="K258" s="232" t="s">
        <v>134</v>
      </c>
      <c r="L258" s="204" t="s">
        <v>744</v>
      </c>
      <c r="M258" s="351"/>
      <c r="N258" s="126" t="s">
        <v>504</v>
      </c>
      <c r="O258" s="126"/>
      <c r="P258" s="126"/>
      <c r="Q258" s="40" t="s">
        <v>6</v>
      </c>
      <c r="R258" s="40" t="s">
        <v>6</v>
      </c>
      <c r="S258" s="40" t="s">
        <v>6</v>
      </c>
      <c r="T258" s="126" t="s">
        <v>6</v>
      </c>
      <c r="U258" s="204"/>
      <c r="V258" s="204"/>
      <c r="W258" s="232" t="s">
        <v>137</v>
      </c>
      <c r="X258" s="199"/>
      <c r="Y258" s="199"/>
      <c r="Z258" s="199"/>
      <c r="AA258" s="40" t="s">
        <v>6</v>
      </c>
      <c r="AB258" s="198"/>
      <c r="AC258" s="199"/>
      <c r="AD258" s="199"/>
      <c r="AE258" s="232" t="s">
        <v>137</v>
      </c>
      <c r="AF258" s="199"/>
      <c r="AG258" s="199"/>
      <c r="AH258" s="199"/>
      <c r="AI258" s="40" t="s">
        <v>6</v>
      </c>
      <c r="AJ258" s="198"/>
      <c r="AK258" s="199"/>
      <c r="AL258" s="199"/>
      <c r="AM258" s="199"/>
      <c r="AN258" s="199"/>
      <c r="AO258" s="199"/>
      <c r="AP258" s="199"/>
      <c r="AQ258" s="199"/>
      <c r="AR258" s="199"/>
      <c r="AS258" s="199"/>
      <c r="AT258" s="199"/>
      <c r="AU258" s="199"/>
      <c r="AV258" s="199"/>
      <c r="AW258" s="155">
        <f t="shared" si="25"/>
        <v>17</v>
      </c>
    </row>
    <row r="259" spans="1:49" s="236" customFormat="1" ht="15">
      <c r="A259" s="40">
        <f t="shared" si="16"/>
        <v>253</v>
      </c>
      <c r="B259" s="199"/>
      <c r="C259" s="199"/>
      <c r="D259" s="199"/>
      <c r="E259" s="199"/>
      <c r="F259" s="199"/>
      <c r="G259" s="199"/>
      <c r="H259" s="199"/>
      <c r="I259" s="199" t="s">
        <v>868</v>
      </c>
      <c r="J259" s="218" t="s">
        <v>1399</v>
      </c>
      <c r="K259" s="232" t="s">
        <v>117</v>
      </c>
      <c r="L259" s="204" t="s">
        <v>759</v>
      </c>
      <c r="M259" s="351"/>
      <c r="N259" s="126" t="s">
        <v>504</v>
      </c>
      <c r="O259" s="126"/>
      <c r="P259" s="126"/>
      <c r="Q259" s="40" t="s">
        <v>6</v>
      </c>
      <c r="R259" s="40" t="s">
        <v>6</v>
      </c>
      <c r="S259" s="126" t="s">
        <v>6</v>
      </c>
      <c r="T259" s="126" t="s">
        <v>6</v>
      </c>
      <c r="U259" s="204"/>
      <c r="V259" s="204"/>
      <c r="W259" s="232" t="s">
        <v>125</v>
      </c>
      <c r="X259" s="199"/>
      <c r="Y259" s="199"/>
      <c r="Z259" s="199"/>
      <c r="AA259" s="126" t="s">
        <v>6</v>
      </c>
      <c r="AB259" s="198"/>
      <c r="AC259" s="199"/>
      <c r="AD259" s="199"/>
      <c r="AE259" s="232" t="s">
        <v>125</v>
      </c>
      <c r="AF259" s="199"/>
      <c r="AG259" s="199"/>
      <c r="AH259" s="199"/>
      <c r="AI259" s="126" t="s">
        <v>6</v>
      </c>
      <c r="AJ259" s="198"/>
      <c r="AK259" s="199"/>
      <c r="AL259" s="199"/>
      <c r="AM259" s="199"/>
      <c r="AN259" s="199"/>
      <c r="AO259" s="199"/>
      <c r="AP259" s="199"/>
      <c r="AQ259" s="199"/>
      <c r="AR259" s="199"/>
      <c r="AS259" s="199"/>
      <c r="AT259" s="199"/>
      <c r="AU259" s="199"/>
      <c r="AV259" s="199"/>
      <c r="AW259" s="155">
        <f t="shared" si="25"/>
        <v>33</v>
      </c>
    </row>
    <row r="260" spans="1:49" s="236" customFormat="1" ht="15">
      <c r="A260" s="40">
        <f t="shared" si="16"/>
        <v>254</v>
      </c>
      <c r="B260" s="199"/>
      <c r="C260" s="199"/>
      <c r="D260" s="199"/>
      <c r="E260" s="199"/>
      <c r="F260" s="199"/>
      <c r="G260" s="199"/>
      <c r="H260" s="199"/>
      <c r="I260" s="199" t="s">
        <v>868</v>
      </c>
      <c r="J260" s="218" t="s">
        <v>1400</v>
      </c>
      <c r="K260" s="232" t="s">
        <v>117</v>
      </c>
      <c r="L260" s="204" t="s">
        <v>763</v>
      </c>
      <c r="M260" s="351"/>
      <c r="N260" s="126" t="s">
        <v>504</v>
      </c>
      <c r="O260" s="126"/>
      <c r="P260" s="126"/>
      <c r="Q260" s="40" t="s">
        <v>6</v>
      </c>
      <c r="R260" s="40" t="s">
        <v>6</v>
      </c>
      <c r="S260" s="126" t="s">
        <v>6</v>
      </c>
      <c r="T260" s="40" t="s">
        <v>6</v>
      </c>
      <c r="U260" s="204"/>
      <c r="V260" s="204"/>
      <c r="W260" s="232" t="s">
        <v>125</v>
      </c>
      <c r="X260" s="211"/>
      <c r="Y260" s="211"/>
      <c r="Z260" s="211"/>
      <c r="AA260" s="126" t="s">
        <v>6</v>
      </c>
      <c r="AB260" s="198"/>
      <c r="AC260" s="199"/>
      <c r="AD260" s="199"/>
      <c r="AE260" s="232" t="s">
        <v>125</v>
      </c>
      <c r="AF260" s="211"/>
      <c r="AG260" s="211"/>
      <c r="AH260" s="211"/>
      <c r="AI260" s="126" t="s">
        <v>6</v>
      </c>
      <c r="AJ260" s="198"/>
      <c r="AK260" s="199"/>
      <c r="AL260" s="199"/>
      <c r="AM260" s="199"/>
      <c r="AN260" s="199"/>
      <c r="AO260" s="199"/>
      <c r="AP260" s="199"/>
      <c r="AQ260" s="199"/>
      <c r="AR260" s="199"/>
      <c r="AS260" s="199"/>
      <c r="AT260" s="199"/>
      <c r="AU260" s="199"/>
      <c r="AV260" s="199"/>
      <c r="AW260" s="155">
        <f t="shared" si="25"/>
        <v>24</v>
      </c>
    </row>
    <row r="261" spans="1:49" s="236" customFormat="1" ht="15">
      <c r="A261" s="40">
        <f t="shared" si="16"/>
        <v>255</v>
      </c>
      <c r="B261" s="199"/>
      <c r="C261" s="199"/>
      <c r="D261" s="199"/>
      <c r="E261" s="199"/>
      <c r="F261" s="199"/>
      <c r="G261" s="199"/>
      <c r="H261" s="199"/>
      <c r="I261" s="199" t="s">
        <v>868</v>
      </c>
      <c r="J261" s="218" t="s">
        <v>1401</v>
      </c>
      <c r="K261" s="232" t="s">
        <v>117</v>
      </c>
      <c r="L261" s="204" t="s">
        <v>1402</v>
      </c>
      <c r="M261" s="351"/>
      <c r="N261" s="126" t="s">
        <v>504</v>
      </c>
      <c r="O261" s="126"/>
      <c r="P261" s="126"/>
      <c r="Q261" s="40" t="s">
        <v>6</v>
      </c>
      <c r="R261" s="40" t="s">
        <v>6</v>
      </c>
      <c r="S261" s="126" t="s">
        <v>6</v>
      </c>
      <c r="T261" s="40" t="s">
        <v>6</v>
      </c>
      <c r="U261" s="204"/>
      <c r="V261" s="204"/>
      <c r="W261" s="232" t="s">
        <v>125</v>
      </c>
      <c r="X261" s="211"/>
      <c r="Y261" s="211"/>
      <c r="Z261" s="211"/>
      <c r="AA261" s="126" t="s">
        <v>6</v>
      </c>
      <c r="AB261" s="198"/>
      <c r="AC261" s="199"/>
      <c r="AD261" s="199"/>
      <c r="AE261" s="232" t="s">
        <v>125</v>
      </c>
      <c r="AF261" s="211"/>
      <c r="AG261" s="211"/>
      <c r="AH261" s="211"/>
      <c r="AI261" s="126" t="s">
        <v>6</v>
      </c>
      <c r="AJ261" s="198"/>
      <c r="AK261" s="199"/>
      <c r="AL261" s="199"/>
      <c r="AM261" s="199"/>
      <c r="AN261" s="199"/>
      <c r="AO261" s="199"/>
      <c r="AP261" s="199"/>
      <c r="AQ261" s="199"/>
      <c r="AR261" s="199"/>
      <c r="AS261" s="199"/>
      <c r="AT261" s="199"/>
      <c r="AU261" s="199"/>
      <c r="AV261" s="199"/>
      <c r="AW261" s="155">
        <f t="shared" si="25"/>
        <v>30</v>
      </c>
    </row>
    <row r="262" spans="1:49" s="236" customFormat="1" ht="15">
      <c r="A262" s="40">
        <f t="shared" si="16"/>
        <v>256</v>
      </c>
      <c r="B262" s="199"/>
      <c r="C262" s="199"/>
      <c r="D262" s="199"/>
      <c r="E262" s="199"/>
      <c r="F262" s="199"/>
      <c r="G262" s="199"/>
      <c r="H262" s="199"/>
      <c r="I262" s="199" t="s">
        <v>868</v>
      </c>
      <c r="J262" s="218" t="s">
        <v>1403</v>
      </c>
      <c r="K262" s="232" t="s">
        <v>117</v>
      </c>
      <c r="L262" s="204" t="s">
        <v>765</v>
      </c>
      <c r="M262" s="351"/>
      <c r="N262" s="126" t="s">
        <v>504</v>
      </c>
      <c r="O262" s="126"/>
      <c r="P262" s="126"/>
      <c r="Q262" s="40" t="s">
        <v>6</v>
      </c>
      <c r="R262" s="40" t="s">
        <v>6</v>
      </c>
      <c r="S262" s="126" t="s">
        <v>6</v>
      </c>
      <c r="T262" s="40" t="s">
        <v>6</v>
      </c>
      <c r="U262" s="200"/>
      <c r="V262" s="204"/>
      <c r="W262" s="232" t="s">
        <v>125</v>
      </c>
      <c r="X262" s="199"/>
      <c r="Y262" s="199"/>
      <c r="Z262" s="199"/>
      <c r="AA262" s="126" t="s">
        <v>6</v>
      </c>
      <c r="AB262" s="198"/>
      <c r="AC262" s="199"/>
      <c r="AD262" s="199"/>
      <c r="AE262" s="232" t="s">
        <v>125</v>
      </c>
      <c r="AF262" s="199"/>
      <c r="AG262" s="199"/>
      <c r="AH262" s="199"/>
      <c r="AI262" s="126" t="s">
        <v>6</v>
      </c>
      <c r="AJ262" s="198"/>
      <c r="AK262" s="199"/>
      <c r="AL262" s="199"/>
      <c r="AM262" s="199"/>
      <c r="AN262" s="199"/>
      <c r="AO262" s="199"/>
      <c r="AP262" s="199"/>
      <c r="AQ262" s="199"/>
      <c r="AR262" s="199"/>
      <c r="AS262" s="199"/>
      <c r="AT262" s="199"/>
      <c r="AU262" s="199"/>
      <c r="AV262" s="199"/>
      <c r="AW262" s="155">
        <f t="shared" si="25"/>
        <v>25</v>
      </c>
    </row>
    <row r="263" spans="1:49" s="236" customFormat="1" ht="15">
      <c r="A263" s="40">
        <f t="shared" ref="A263:A326" si="26">ROW() - 6</f>
        <v>257</v>
      </c>
      <c r="B263" s="199"/>
      <c r="C263" s="199"/>
      <c r="D263" s="199"/>
      <c r="E263" s="199"/>
      <c r="F263" s="199"/>
      <c r="G263" s="199"/>
      <c r="H263" s="199"/>
      <c r="I263" s="199" t="s">
        <v>868</v>
      </c>
      <c r="J263" s="218" t="s">
        <v>1404</v>
      </c>
      <c r="K263" s="232" t="s">
        <v>117</v>
      </c>
      <c r="L263" s="204" t="s">
        <v>767</v>
      </c>
      <c r="M263" s="351"/>
      <c r="N263" s="126" t="s">
        <v>504</v>
      </c>
      <c r="O263" s="126"/>
      <c r="P263" s="126"/>
      <c r="Q263" s="40" t="s">
        <v>6</v>
      </c>
      <c r="R263" s="40" t="s">
        <v>6</v>
      </c>
      <c r="S263" s="126" t="s">
        <v>6</v>
      </c>
      <c r="T263" s="40" t="s">
        <v>6</v>
      </c>
      <c r="U263" s="200"/>
      <c r="V263" s="204"/>
      <c r="W263" s="232" t="s">
        <v>125</v>
      </c>
      <c r="X263" s="199"/>
      <c r="Y263" s="199"/>
      <c r="Z263" s="199"/>
      <c r="AA263" s="126" t="s">
        <v>6</v>
      </c>
      <c r="AB263" s="198"/>
      <c r="AC263" s="199"/>
      <c r="AD263" s="199"/>
      <c r="AE263" s="232" t="s">
        <v>125</v>
      </c>
      <c r="AF263" s="199"/>
      <c r="AG263" s="199"/>
      <c r="AH263" s="199"/>
      <c r="AI263" s="126" t="s">
        <v>6</v>
      </c>
      <c r="AJ263" s="198"/>
      <c r="AK263" s="199"/>
      <c r="AL263" s="199"/>
      <c r="AM263" s="199"/>
      <c r="AN263" s="199"/>
      <c r="AO263" s="199"/>
      <c r="AP263" s="199"/>
      <c r="AQ263" s="199"/>
      <c r="AR263" s="199"/>
      <c r="AS263" s="199"/>
      <c r="AT263" s="199"/>
      <c r="AU263" s="199"/>
      <c r="AV263" s="199"/>
      <c r="AW263" s="155">
        <f t="shared" si="25"/>
        <v>25</v>
      </c>
    </row>
    <row r="264" spans="1:49" s="236" customFormat="1" ht="15">
      <c r="A264" s="40">
        <f t="shared" si="26"/>
        <v>258</v>
      </c>
      <c r="B264" s="199"/>
      <c r="C264" s="199"/>
      <c r="D264" s="199"/>
      <c r="E264" s="199"/>
      <c r="F264" s="199"/>
      <c r="G264" s="199"/>
      <c r="H264" s="199"/>
      <c r="I264" s="199"/>
      <c r="J264" s="218" t="s">
        <v>3338</v>
      </c>
      <c r="K264" s="232" t="s">
        <v>117</v>
      </c>
      <c r="L264" s="204" t="s">
        <v>3333</v>
      </c>
      <c r="M264" s="351"/>
      <c r="N264" s="126" t="s">
        <v>504</v>
      </c>
      <c r="O264" s="126"/>
      <c r="P264" s="126"/>
      <c r="Q264" s="40"/>
      <c r="R264" s="40" t="s">
        <v>6</v>
      </c>
      <c r="S264" s="126" t="s">
        <v>6</v>
      </c>
      <c r="T264" s="40" t="s">
        <v>6</v>
      </c>
      <c r="U264" s="200"/>
      <c r="V264" s="204"/>
      <c r="W264" s="204" t="s">
        <v>133</v>
      </c>
      <c r="X264" s="199"/>
      <c r="Y264" s="199"/>
      <c r="Z264" s="40" t="s">
        <v>6</v>
      </c>
      <c r="AA264" s="126" t="s">
        <v>6</v>
      </c>
      <c r="AB264" s="198"/>
      <c r="AC264" s="199"/>
      <c r="AD264" s="199"/>
      <c r="AE264" s="232" t="s">
        <v>125</v>
      </c>
      <c r="AF264" s="199"/>
      <c r="AG264" s="199"/>
      <c r="AH264" s="199"/>
      <c r="AI264" s="126" t="s">
        <v>6</v>
      </c>
      <c r="AJ264" s="198"/>
      <c r="AK264" s="199"/>
      <c r="AL264" s="199"/>
      <c r="AM264" s="199"/>
      <c r="AN264" s="199"/>
      <c r="AO264" s="199"/>
      <c r="AP264" s="199"/>
      <c r="AQ264" s="199"/>
      <c r="AR264" s="199"/>
      <c r="AS264" s="199"/>
      <c r="AT264" s="199"/>
      <c r="AU264" s="199"/>
      <c r="AV264" s="199"/>
      <c r="AW264" s="155">
        <f t="shared" si="25"/>
        <v>32</v>
      </c>
    </row>
    <row r="265" spans="1:49" s="236" customFormat="1" ht="15">
      <c r="A265" s="40">
        <f t="shared" si="26"/>
        <v>259</v>
      </c>
      <c r="B265" s="199"/>
      <c r="C265" s="199"/>
      <c r="D265" s="199"/>
      <c r="E265" s="199"/>
      <c r="F265" s="199"/>
      <c r="G265" s="199"/>
      <c r="H265" s="199"/>
      <c r="I265" s="199"/>
      <c r="J265" s="218" t="s">
        <v>3339</v>
      </c>
      <c r="K265" s="232" t="s">
        <v>117</v>
      </c>
      <c r="L265" s="204" t="s">
        <v>3335</v>
      </c>
      <c r="M265" s="351"/>
      <c r="N265" s="126" t="s">
        <v>504</v>
      </c>
      <c r="O265" s="126"/>
      <c r="P265" s="126"/>
      <c r="Q265" s="40"/>
      <c r="R265" s="40" t="s">
        <v>6</v>
      </c>
      <c r="S265" s="126" t="s">
        <v>6</v>
      </c>
      <c r="T265" s="40" t="s">
        <v>6</v>
      </c>
      <c r="U265" s="200"/>
      <c r="V265" s="204"/>
      <c r="W265" s="204" t="s">
        <v>133</v>
      </c>
      <c r="X265" s="199"/>
      <c r="Y265" s="199"/>
      <c r="Z265" s="40" t="s">
        <v>6</v>
      </c>
      <c r="AA265" s="126" t="s">
        <v>6</v>
      </c>
      <c r="AB265" s="198"/>
      <c r="AC265" s="199"/>
      <c r="AD265" s="199"/>
      <c r="AE265" s="232" t="s">
        <v>125</v>
      </c>
      <c r="AF265" s="199"/>
      <c r="AG265" s="199"/>
      <c r="AH265" s="199"/>
      <c r="AI265" s="126" t="s">
        <v>6</v>
      </c>
      <c r="AJ265" s="198"/>
      <c r="AK265" s="199"/>
      <c r="AL265" s="199"/>
      <c r="AM265" s="199"/>
      <c r="AN265" s="199"/>
      <c r="AO265" s="199"/>
      <c r="AP265" s="199"/>
      <c r="AQ265" s="199"/>
      <c r="AR265" s="199"/>
      <c r="AS265" s="199"/>
      <c r="AT265" s="199"/>
      <c r="AU265" s="199"/>
      <c r="AV265" s="199"/>
      <c r="AW265" s="155">
        <f t="shared" si="25"/>
        <v>32</v>
      </c>
    </row>
    <row r="266" spans="1:49" s="236" customFormat="1" ht="15">
      <c r="A266" s="40">
        <f t="shared" si="26"/>
        <v>260</v>
      </c>
      <c r="B266" s="199"/>
      <c r="C266" s="199"/>
      <c r="D266" s="199"/>
      <c r="E266" s="199"/>
      <c r="F266" s="199"/>
      <c r="G266" s="199"/>
      <c r="H266" s="199"/>
      <c r="I266" s="199"/>
      <c r="J266" s="218" t="s">
        <v>3340</v>
      </c>
      <c r="K266" s="232" t="s">
        <v>117</v>
      </c>
      <c r="L266" s="204" t="s">
        <v>3337</v>
      </c>
      <c r="M266" s="351"/>
      <c r="N266" s="126" t="s">
        <v>504</v>
      </c>
      <c r="O266" s="126"/>
      <c r="P266" s="126"/>
      <c r="Q266" s="40"/>
      <c r="R266" s="40" t="s">
        <v>6</v>
      </c>
      <c r="S266" s="126" t="s">
        <v>6</v>
      </c>
      <c r="T266" s="40" t="s">
        <v>6</v>
      </c>
      <c r="U266" s="200"/>
      <c r="V266" s="204"/>
      <c r="W266" s="204" t="s">
        <v>133</v>
      </c>
      <c r="X266" s="199"/>
      <c r="Y266" s="199"/>
      <c r="Z266" s="40" t="s">
        <v>6</v>
      </c>
      <c r="AA266" s="126" t="s">
        <v>6</v>
      </c>
      <c r="AB266" s="198"/>
      <c r="AC266" s="199"/>
      <c r="AD266" s="199"/>
      <c r="AE266" s="232" t="s">
        <v>125</v>
      </c>
      <c r="AF266" s="199"/>
      <c r="AG266" s="199"/>
      <c r="AH266" s="199"/>
      <c r="AI266" s="126" t="s">
        <v>6</v>
      </c>
      <c r="AJ266" s="198"/>
      <c r="AK266" s="199"/>
      <c r="AL266" s="199"/>
      <c r="AM266" s="199"/>
      <c r="AN266" s="199"/>
      <c r="AO266" s="199"/>
      <c r="AP266" s="199"/>
      <c r="AQ266" s="199"/>
      <c r="AR266" s="199"/>
      <c r="AS266" s="199"/>
      <c r="AT266" s="199"/>
      <c r="AU266" s="199"/>
      <c r="AV266" s="199"/>
      <c r="AW266" s="155">
        <f t="shared" si="25"/>
        <v>32</v>
      </c>
    </row>
    <row r="267" spans="1:49" s="236" customFormat="1" ht="26.4">
      <c r="A267" s="40">
        <f t="shared" si="26"/>
        <v>261</v>
      </c>
      <c r="B267" s="199"/>
      <c r="C267" s="199"/>
      <c r="D267" s="199"/>
      <c r="E267" s="199"/>
      <c r="F267" s="199"/>
      <c r="G267" s="199"/>
      <c r="H267" s="199"/>
      <c r="I267" s="199"/>
      <c r="J267" s="218" t="s">
        <v>1405</v>
      </c>
      <c r="K267" s="204" t="s">
        <v>117</v>
      </c>
      <c r="L267" s="204" t="s">
        <v>1406</v>
      </c>
      <c r="M267" s="351"/>
      <c r="N267" s="40" t="s">
        <v>504</v>
      </c>
      <c r="O267" s="199"/>
      <c r="P267" s="199"/>
      <c r="Q267" s="40" t="s">
        <v>6</v>
      </c>
      <c r="R267" s="40" t="s">
        <v>6</v>
      </c>
      <c r="S267" s="40" t="s">
        <v>6</v>
      </c>
      <c r="T267" s="40" t="s">
        <v>6</v>
      </c>
      <c r="U267" s="204"/>
      <c r="V267" s="204"/>
      <c r="W267" s="204" t="s">
        <v>125</v>
      </c>
      <c r="X267" s="199"/>
      <c r="Y267" s="199"/>
      <c r="Z267" s="199"/>
      <c r="AA267" s="40" t="s">
        <v>6</v>
      </c>
      <c r="AB267" s="218"/>
      <c r="AC267" s="199"/>
      <c r="AD267" s="218" t="s">
        <v>709</v>
      </c>
      <c r="AE267" s="204" t="s">
        <v>125</v>
      </c>
      <c r="AF267" s="199"/>
      <c r="AG267" s="199"/>
      <c r="AH267" s="199"/>
      <c r="AI267" s="40" t="s">
        <v>6</v>
      </c>
      <c r="AJ267" s="218"/>
      <c r="AK267" s="199"/>
      <c r="AL267" s="218" t="s">
        <v>709</v>
      </c>
      <c r="AM267" s="199"/>
      <c r="AN267" s="199"/>
      <c r="AO267" s="199"/>
      <c r="AP267" s="199"/>
      <c r="AQ267" s="199"/>
      <c r="AR267" s="199"/>
      <c r="AS267" s="199"/>
      <c r="AT267" s="199"/>
      <c r="AU267" s="199"/>
      <c r="AV267" s="199"/>
      <c r="AW267" s="155">
        <f t="shared" si="25"/>
        <v>18</v>
      </c>
    </row>
    <row r="268" spans="1:49" s="236" customFormat="1" ht="15">
      <c r="A268" s="40">
        <f t="shared" si="26"/>
        <v>262</v>
      </c>
      <c r="B268" s="199"/>
      <c r="C268" s="199"/>
      <c r="D268" s="199"/>
      <c r="E268" s="199"/>
      <c r="F268" s="199"/>
      <c r="G268" s="199"/>
      <c r="H268" s="199"/>
      <c r="I268" s="199" t="s">
        <v>868</v>
      </c>
      <c r="J268" s="249" t="s">
        <v>1407</v>
      </c>
      <c r="K268" s="250" t="s">
        <v>117</v>
      </c>
      <c r="L268" s="251" t="s">
        <v>1408</v>
      </c>
      <c r="M268" s="351"/>
      <c r="N268" s="126" t="s">
        <v>504</v>
      </c>
      <c r="O268" s="126"/>
      <c r="P268" s="126"/>
      <c r="Q268" s="40" t="s">
        <v>6</v>
      </c>
      <c r="R268" s="40" t="s">
        <v>6</v>
      </c>
      <c r="S268" s="126" t="s">
        <v>6</v>
      </c>
      <c r="T268" s="40" t="s">
        <v>6</v>
      </c>
      <c r="U268" s="200" t="s">
        <v>1049</v>
      </c>
      <c r="V268" s="353"/>
      <c r="W268" s="232" t="s">
        <v>125</v>
      </c>
      <c r="X268" s="199"/>
      <c r="Y268" s="199"/>
      <c r="Z268" s="199"/>
      <c r="AA268" s="126" t="s">
        <v>6</v>
      </c>
      <c r="AB268" s="198"/>
      <c r="AC268" s="199"/>
      <c r="AD268" s="199"/>
      <c r="AE268" s="232" t="s">
        <v>125</v>
      </c>
      <c r="AF268" s="199"/>
      <c r="AG268" s="199"/>
      <c r="AH268" s="199"/>
      <c r="AI268" s="126" t="s">
        <v>6</v>
      </c>
      <c r="AJ268" s="198"/>
      <c r="AK268" s="199"/>
      <c r="AL268" s="199"/>
      <c r="AM268" s="199"/>
      <c r="AN268" s="199"/>
      <c r="AO268" s="199"/>
      <c r="AP268" s="199"/>
      <c r="AQ268" s="199"/>
      <c r="AR268" s="199"/>
      <c r="AS268" s="199"/>
      <c r="AT268" s="199"/>
      <c r="AU268" s="199"/>
      <c r="AV268" s="199"/>
      <c r="AW268" s="155">
        <f t="shared" si="25"/>
        <v>38</v>
      </c>
    </row>
    <row r="269" spans="1:49" s="236" customFormat="1" ht="39.6">
      <c r="A269" s="40">
        <f t="shared" si="26"/>
        <v>263</v>
      </c>
      <c r="B269" s="199"/>
      <c r="C269" s="199"/>
      <c r="D269" s="199"/>
      <c r="E269" s="199"/>
      <c r="F269" s="199"/>
      <c r="G269" s="199"/>
      <c r="H269" s="199"/>
      <c r="I269" s="199" t="s">
        <v>868</v>
      </c>
      <c r="J269" s="249" t="s">
        <v>1410</v>
      </c>
      <c r="K269" s="250" t="s">
        <v>117</v>
      </c>
      <c r="L269" s="251" t="s">
        <v>1411</v>
      </c>
      <c r="M269" s="351"/>
      <c r="N269" s="126" t="s">
        <v>504</v>
      </c>
      <c r="O269" s="126"/>
      <c r="P269" s="126"/>
      <c r="Q269" s="40" t="s">
        <v>6</v>
      </c>
      <c r="R269" s="40" t="s">
        <v>6</v>
      </c>
      <c r="S269" s="126" t="s">
        <v>6</v>
      </c>
      <c r="T269" s="40" t="s">
        <v>6</v>
      </c>
      <c r="U269" s="218" t="s">
        <v>1103</v>
      </c>
      <c r="V269" s="353"/>
      <c r="W269" s="232" t="s">
        <v>125</v>
      </c>
      <c r="X269" s="199"/>
      <c r="Y269" s="199"/>
      <c r="Z269" s="199"/>
      <c r="AA269" s="126" t="s">
        <v>6</v>
      </c>
      <c r="AB269" s="198"/>
      <c r="AC269" s="199"/>
      <c r="AD269" s="199"/>
      <c r="AE269" s="232" t="s">
        <v>125</v>
      </c>
      <c r="AF269" s="199"/>
      <c r="AG269" s="199"/>
      <c r="AH269" s="199"/>
      <c r="AI269" s="126" t="s">
        <v>6</v>
      </c>
      <c r="AJ269" s="198"/>
      <c r="AK269" s="199"/>
      <c r="AL269" s="199"/>
      <c r="AM269" s="199"/>
      <c r="AN269" s="199"/>
      <c r="AO269" s="199"/>
      <c r="AP269" s="199"/>
      <c r="AQ269" s="199"/>
      <c r="AR269" s="199"/>
      <c r="AS269" s="199"/>
      <c r="AT269" s="199"/>
      <c r="AU269" s="199"/>
      <c r="AV269" s="199"/>
      <c r="AW269" s="155">
        <f t="shared" si="25"/>
        <v>42</v>
      </c>
    </row>
    <row r="270" spans="1:49" s="236" customFormat="1" ht="39.6">
      <c r="A270" s="40">
        <f t="shared" si="26"/>
        <v>264</v>
      </c>
      <c r="B270" s="199"/>
      <c r="C270" s="199"/>
      <c r="D270" s="199"/>
      <c r="E270" s="199"/>
      <c r="F270" s="199"/>
      <c r="G270" s="199"/>
      <c r="H270" s="199"/>
      <c r="I270" s="199" t="s">
        <v>868</v>
      </c>
      <c r="J270" s="249" t="s">
        <v>1412</v>
      </c>
      <c r="K270" s="250" t="s">
        <v>117</v>
      </c>
      <c r="L270" s="251" t="s">
        <v>1413</v>
      </c>
      <c r="M270" s="351"/>
      <c r="N270" s="126" t="s">
        <v>504</v>
      </c>
      <c r="O270" s="126"/>
      <c r="P270" s="126"/>
      <c r="Q270" s="40" t="s">
        <v>6</v>
      </c>
      <c r="R270" s="40" t="s">
        <v>6</v>
      </c>
      <c r="S270" s="126" t="s">
        <v>6</v>
      </c>
      <c r="T270" s="40" t="s">
        <v>6</v>
      </c>
      <c r="U270" s="218" t="s">
        <v>1103</v>
      </c>
      <c r="V270" s="353"/>
      <c r="W270" s="232" t="s">
        <v>125</v>
      </c>
      <c r="X270" s="199"/>
      <c r="Y270" s="199"/>
      <c r="Z270" s="199"/>
      <c r="AA270" s="126" t="s">
        <v>6</v>
      </c>
      <c r="AB270" s="198"/>
      <c r="AC270" s="199"/>
      <c r="AD270" s="199"/>
      <c r="AE270" s="232" t="s">
        <v>125</v>
      </c>
      <c r="AF270" s="199"/>
      <c r="AG270" s="199"/>
      <c r="AH270" s="199"/>
      <c r="AI270" s="126" t="s">
        <v>6</v>
      </c>
      <c r="AJ270" s="198"/>
      <c r="AK270" s="199"/>
      <c r="AL270" s="199"/>
      <c r="AM270" s="199"/>
      <c r="AN270" s="199"/>
      <c r="AO270" s="199"/>
      <c r="AP270" s="199"/>
      <c r="AQ270" s="199"/>
      <c r="AR270" s="199"/>
      <c r="AS270" s="199"/>
      <c r="AT270" s="199"/>
      <c r="AU270" s="199"/>
      <c r="AV270" s="199"/>
      <c r="AW270" s="155">
        <f t="shared" si="25"/>
        <v>42</v>
      </c>
    </row>
    <row r="271" spans="1:49" s="236" customFormat="1" ht="39.6">
      <c r="A271" s="40">
        <f t="shared" si="26"/>
        <v>265</v>
      </c>
      <c r="B271" s="199"/>
      <c r="C271" s="199"/>
      <c r="D271" s="199"/>
      <c r="E271" s="199"/>
      <c r="F271" s="199"/>
      <c r="G271" s="199"/>
      <c r="H271" s="199"/>
      <c r="I271" s="199" t="s">
        <v>868</v>
      </c>
      <c r="J271" s="249" t="s">
        <v>1414</v>
      </c>
      <c r="K271" s="250" t="s">
        <v>117</v>
      </c>
      <c r="L271" s="251" t="s">
        <v>1415</v>
      </c>
      <c r="M271" s="351"/>
      <c r="N271" s="126" t="s">
        <v>504</v>
      </c>
      <c r="O271" s="126"/>
      <c r="P271" s="126"/>
      <c r="Q271" s="40" t="s">
        <v>6</v>
      </c>
      <c r="R271" s="40" t="s">
        <v>6</v>
      </c>
      <c r="S271" s="126" t="s">
        <v>6</v>
      </c>
      <c r="T271" s="40" t="s">
        <v>6</v>
      </c>
      <c r="U271" s="218" t="s">
        <v>1103</v>
      </c>
      <c r="V271" s="353"/>
      <c r="W271" s="232" t="s">
        <v>125</v>
      </c>
      <c r="X271" s="199"/>
      <c r="Y271" s="199"/>
      <c r="Z271" s="199"/>
      <c r="AA271" s="126" t="s">
        <v>6</v>
      </c>
      <c r="AB271" s="198"/>
      <c r="AC271" s="199"/>
      <c r="AD271" s="199"/>
      <c r="AE271" s="232" t="s">
        <v>125</v>
      </c>
      <c r="AF271" s="199"/>
      <c r="AG271" s="199"/>
      <c r="AH271" s="199"/>
      <c r="AI271" s="126" t="s">
        <v>6</v>
      </c>
      <c r="AJ271" s="198"/>
      <c r="AK271" s="199"/>
      <c r="AL271" s="199"/>
      <c r="AM271" s="199"/>
      <c r="AN271" s="199"/>
      <c r="AO271" s="199"/>
      <c r="AP271" s="199"/>
      <c r="AQ271" s="199"/>
      <c r="AR271" s="199"/>
      <c r="AS271" s="199"/>
      <c r="AT271" s="199"/>
      <c r="AU271" s="199"/>
      <c r="AV271" s="199"/>
      <c r="AW271" s="155">
        <f t="shared" si="25"/>
        <v>42</v>
      </c>
    </row>
    <row r="272" spans="1:49" s="236" customFormat="1" ht="15">
      <c r="A272" s="40">
        <f t="shared" si="26"/>
        <v>266</v>
      </c>
      <c r="B272" s="199"/>
      <c r="C272" s="199"/>
      <c r="D272" s="199"/>
      <c r="E272" s="199"/>
      <c r="F272" s="199"/>
      <c r="G272" s="199"/>
      <c r="H272" s="199"/>
      <c r="I272" s="199"/>
      <c r="J272" s="218" t="s">
        <v>1416</v>
      </c>
      <c r="K272" s="412" t="s">
        <v>128</v>
      </c>
      <c r="L272" s="204" t="s">
        <v>703</v>
      </c>
      <c r="M272" s="351"/>
      <c r="N272" s="126" t="s">
        <v>504</v>
      </c>
      <c r="O272" s="126"/>
      <c r="P272" s="126"/>
      <c r="Q272" s="40" t="s">
        <v>6</v>
      </c>
      <c r="R272" s="40" t="s">
        <v>6</v>
      </c>
      <c r="S272" s="126" t="s">
        <v>6</v>
      </c>
      <c r="T272" s="40" t="s">
        <v>6</v>
      </c>
      <c r="U272" s="204"/>
      <c r="V272" s="204"/>
      <c r="W272" s="232" t="s">
        <v>125</v>
      </c>
      <c r="X272" s="199"/>
      <c r="Y272" s="199"/>
      <c r="Z272" s="199"/>
      <c r="AA272" s="126" t="s">
        <v>6</v>
      </c>
      <c r="AB272" s="198"/>
      <c r="AC272" s="199"/>
      <c r="AD272" s="199"/>
      <c r="AE272" s="232" t="s">
        <v>125</v>
      </c>
      <c r="AF272" s="199"/>
      <c r="AG272" s="199"/>
      <c r="AH272" s="199"/>
      <c r="AI272" s="126" t="s">
        <v>6</v>
      </c>
      <c r="AJ272" s="198"/>
      <c r="AK272" s="199"/>
      <c r="AL272" s="199"/>
      <c r="AM272" s="199"/>
      <c r="AN272" s="199"/>
      <c r="AO272" s="199"/>
      <c r="AP272" s="199"/>
      <c r="AQ272" s="199"/>
      <c r="AR272" s="199"/>
      <c r="AS272" s="199"/>
      <c r="AT272" s="199"/>
      <c r="AU272" s="199"/>
      <c r="AV272" s="199"/>
      <c r="AW272" s="155">
        <f t="shared" si="25"/>
        <v>19</v>
      </c>
    </row>
    <row r="273" spans="1:87" s="236" customFormat="1" ht="15">
      <c r="A273" s="40">
        <f t="shared" si="26"/>
        <v>267</v>
      </c>
      <c r="B273" s="199"/>
      <c r="C273" s="199"/>
      <c r="D273" s="199"/>
      <c r="E273" s="199"/>
      <c r="F273" s="199"/>
      <c r="G273" s="199"/>
      <c r="H273" s="199"/>
      <c r="I273" s="199"/>
      <c r="J273" s="412" t="s">
        <v>1417</v>
      </c>
      <c r="K273" s="412" t="s">
        <v>117</v>
      </c>
      <c r="L273" s="232" t="s">
        <v>695</v>
      </c>
      <c r="M273" s="351"/>
      <c r="N273" s="126" t="s">
        <v>504</v>
      </c>
      <c r="O273" s="126"/>
      <c r="P273" s="126"/>
      <c r="Q273" s="126"/>
      <c r="R273" s="40" t="s">
        <v>6</v>
      </c>
      <c r="S273" s="126" t="s">
        <v>6</v>
      </c>
      <c r="T273" s="40" t="s">
        <v>6</v>
      </c>
      <c r="U273" s="204"/>
      <c r="V273" s="232"/>
      <c r="W273" s="232" t="s">
        <v>125</v>
      </c>
      <c r="X273" s="199"/>
      <c r="Y273" s="199"/>
      <c r="Z273" s="199"/>
      <c r="AA273" s="126" t="s">
        <v>6</v>
      </c>
      <c r="AB273" s="198"/>
      <c r="AC273" s="199"/>
      <c r="AD273" s="199"/>
      <c r="AE273" s="232" t="s">
        <v>125</v>
      </c>
      <c r="AF273" s="199"/>
      <c r="AG273" s="199"/>
      <c r="AH273" s="199"/>
      <c r="AI273" s="126" t="s">
        <v>6</v>
      </c>
      <c r="AJ273" s="198"/>
      <c r="AK273" s="199"/>
      <c r="AL273" s="199"/>
      <c r="AM273" s="199"/>
      <c r="AN273" s="199"/>
      <c r="AO273" s="199"/>
      <c r="AP273" s="199"/>
      <c r="AQ273" s="199"/>
      <c r="AR273" s="199"/>
      <c r="AS273" s="199"/>
      <c r="AT273" s="199"/>
      <c r="AU273" s="199"/>
      <c r="AV273" s="199"/>
      <c r="AW273" s="155">
        <f t="shared" ref="AW273:AW709" si="27">LEN(L273)</f>
        <v>23</v>
      </c>
    </row>
    <row r="274" spans="1:87" s="236" customFormat="1" ht="15">
      <c r="A274" s="40">
        <f t="shared" si="26"/>
        <v>268</v>
      </c>
      <c r="B274" s="199"/>
      <c r="C274" s="199"/>
      <c r="D274" s="199"/>
      <c r="E274" s="199"/>
      <c r="F274" s="199"/>
      <c r="G274" s="199"/>
      <c r="H274" s="199"/>
      <c r="I274" s="199"/>
      <c r="J274" s="412" t="s">
        <v>1418</v>
      </c>
      <c r="K274" s="412" t="s">
        <v>128</v>
      </c>
      <c r="L274" s="232" t="s">
        <v>693</v>
      </c>
      <c r="M274" s="351"/>
      <c r="N274" s="126" t="s">
        <v>504</v>
      </c>
      <c r="O274" s="126"/>
      <c r="P274" s="126"/>
      <c r="Q274" s="126"/>
      <c r="R274" s="40" t="s">
        <v>6</v>
      </c>
      <c r="S274" s="126" t="s">
        <v>6</v>
      </c>
      <c r="T274" s="40" t="s">
        <v>6</v>
      </c>
      <c r="U274" s="204"/>
      <c r="V274" s="232"/>
      <c r="W274" s="232" t="s">
        <v>125</v>
      </c>
      <c r="X274" s="199"/>
      <c r="Y274" s="199"/>
      <c r="Z274" s="199"/>
      <c r="AA274" s="126" t="s">
        <v>6</v>
      </c>
      <c r="AB274" s="198"/>
      <c r="AC274" s="199"/>
      <c r="AD274" s="199"/>
      <c r="AE274" s="232" t="s">
        <v>125</v>
      </c>
      <c r="AF274" s="199"/>
      <c r="AG274" s="199"/>
      <c r="AH274" s="199"/>
      <c r="AI274" s="126" t="s">
        <v>6</v>
      </c>
      <c r="AJ274" s="198"/>
      <c r="AK274" s="199"/>
      <c r="AL274" s="199"/>
      <c r="AM274" s="199"/>
      <c r="AN274" s="199"/>
      <c r="AO274" s="199"/>
      <c r="AP274" s="199"/>
      <c r="AQ274" s="199"/>
      <c r="AR274" s="199"/>
      <c r="AS274" s="199"/>
      <c r="AT274" s="199"/>
      <c r="AU274" s="199"/>
      <c r="AV274" s="199"/>
      <c r="AW274" s="155">
        <f t="shared" si="27"/>
        <v>23</v>
      </c>
    </row>
    <row r="275" spans="1:87" s="236" customFormat="1" ht="15">
      <c r="A275" s="40">
        <f t="shared" si="26"/>
        <v>269</v>
      </c>
      <c r="B275" s="199"/>
      <c r="C275" s="199"/>
      <c r="D275" s="199"/>
      <c r="E275" s="199"/>
      <c r="F275" s="199"/>
      <c r="G275" s="199"/>
      <c r="H275" s="199"/>
      <c r="I275" s="199"/>
      <c r="J275" s="412" t="s">
        <v>1419</v>
      </c>
      <c r="K275" s="412" t="s">
        <v>117</v>
      </c>
      <c r="L275" s="232" t="s">
        <v>697</v>
      </c>
      <c r="M275" s="351"/>
      <c r="N275" s="126" t="s">
        <v>504</v>
      </c>
      <c r="O275" s="126"/>
      <c r="P275" s="126"/>
      <c r="Q275" s="126"/>
      <c r="R275" s="40" t="s">
        <v>6</v>
      </c>
      <c r="S275" s="126" t="s">
        <v>6</v>
      </c>
      <c r="T275" s="40" t="s">
        <v>6</v>
      </c>
      <c r="U275" s="204"/>
      <c r="V275" s="232"/>
      <c r="W275" s="232" t="s">
        <v>125</v>
      </c>
      <c r="X275" s="199"/>
      <c r="Y275" s="199"/>
      <c r="Z275" s="199"/>
      <c r="AA275" s="126" t="s">
        <v>6</v>
      </c>
      <c r="AB275" s="198"/>
      <c r="AC275" s="199"/>
      <c r="AD275" s="199"/>
      <c r="AE275" s="232" t="s">
        <v>125</v>
      </c>
      <c r="AF275" s="199"/>
      <c r="AG275" s="199"/>
      <c r="AH275" s="199"/>
      <c r="AI275" s="126" t="s">
        <v>6</v>
      </c>
      <c r="AJ275" s="198"/>
      <c r="AK275" s="199"/>
      <c r="AL275" s="199"/>
      <c r="AM275" s="199"/>
      <c r="AN275" s="199"/>
      <c r="AO275" s="199"/>
      <c r="AP275" s="199"/>
      <c r="AQ275" s="199"/>
      <c r="AR275" s="199"/>
      <c r="AS275" s="199"/>
      <c r="AT275" s="199"/>
      <c r="AU275" s="199"/>
      <c r="AV275" s="199"/>
      <c r="AW275" s="155">
        <f>LEN(L275)</f>
        <v>28</v>
      </c>
    </row>
    <row r="276" spans="1:87" s="236" customFormat="1" ht="15">
      <c r="A276" s="40">
        <f t="shared" si="26"/>
        <v>270</v>
      </c>
      <c r="B276" s="199"/>
      <c r="C276" s="199"/>
      <c r="D276" s="199"/>
      <c r="E276" s="199"/>
      <c r="F276" s="199"/>
      <c r="G276" s="199"/>
      <c r="H276" s="199"/>
      <c r="I276" s="199"/>
      <c r="J276" s="412" t="s">
        <v>1420</v>
      </c>
      <c r="K276" s="412" t="s">
        <v>117</v>
      </c>
      <c r="L276" s="232" t="s">
        <v>699</v>
      </c>
      <c r="M276" s="351"/>
      <c r="N276" s="126" t="s">
        <v>504</v>
      </c>
      <c r="O276" s="126"/>
      <c r="P276" s="126"/>
      <c r="Q276" s="126"/>
      <c r="R276" s="40" t="s">
        <v>6</v>
      </c>
      <c r="S276" s="126" t="s">
        <v>6</v>
      </c>
      <c r="T276" s="40" t="s">
        <v>6</v>
      </c>
      <c r="U276" s="204"/>
      <c r="V276" s="232"/>
      <c r="W276" s="232" t="s">
        <v>125</v>
      </c>
      <c r="X276" s="199"/>
      <c r="Y276" s="199"/>
      <c r="Z276" s="199"/>
      <c r="AA276" s="126" t="s">
        <v>6</v>
      </c>
      <c r="AB276" s="198"/>
      <c r="AC276" s="199"/>
      <c r="AD276" s="199"/>
      <c r="AE276" s="232" t="s">
        <v>125</v>
      </c>
      <c r="AF276" s="199"/>
      <c r="AG276" s="199"/>
      <c r="AH276" s="199"/>
      <c r="AI276" s="126" t="s">
        <v>6</v>
      </c>
      <c r="AJ276" s="198"/>
      <c r="AK276" s="199"/>
      <c r="AL276" s="199"/>
      <c r="AM276" s="199"/>
      <c r="AN276" s="199"/>
      <c r="AO276" s="199"/>
      <c r="AP276" s="199"/>
      <c r="AQ276" s="199"/>
      <c r="AR276" s="199"/>
      <c r="AS276" s="199"/>
      <c r="AT276" s="199"/>
      <c r="AU276" s="199"/>
      <c r="AV276" s="199"/>
      <c r="AW276" s="155">
        <f>LEN(L276)</f>
        <v>32</v>
      </c>
    </row>
    <row r="277" spans="1:87" s="14" customFormat="1" ht="15">
      <c r="A277" s="40">
        <f t="shared" si="26"/>
        <v>271</v>
      </c>
      <c r="B277" s="38"/>
      <c r="C277" s="42"/>
      <c r="D277" s="232"/>
      <c r="E277" s="232"/>
      <c r="F277" s="233"/>
      <c r="G277" s="233"/>
      <c r="H277" s="416"/>
      <c r="I277" s="40"/>
      <c r="J277" s="412" t="s">
        <v>1421</v>
      </c>
      <c r="K277" s="412" t="s">
        <v>128</v>
      </c>
      <c r="L277" s="204" t="s">
        <v>1422</v>
      </c>
      <c r="M277" s="351"/>
      <c r="N277" s="126" t="s">
        <v>504</v>
      </c>
      <c r="O277" s="40"/>
      <c r="P277" s="40"/>
      <c r="Q277" s="416" t="s">
        <v>6</v>
      </c>
      <c r="R277" s="416" t="s">
        <v>6</v>
      </c>
      <c r="S277" s="416" t="s">
        <v>6</v>
      </c>
      <c r="T277" s="40" t="s">
        <v>6</v>
      </c>
      <c r="U277" s="244" t="s">
        <v>1423</v>
      </c>
      <c r="V277" s="40"/>
      <c r="W277" s="412" t="s">
        <v>128</v>
      </c>
      <c r="X277" s="415"/>
      <c r="Y277" s="415"/>
      <c r="Z277" s="416"/>
      <c r="AA277" s="416" t="s">
        <v>6</v>
      </c>
      <c r="AB277" s="415"/>
      <c r="AC277" s="415"/>
      <c r="AD277" s="415"/>
      <c r="AE277" s="412" t="s">
        <v>128</v>
      </c>
      <c r="AF277" s="415"/>
      <c r="AG277" s="415"/>
      <c r="AH277" s="416"/>
      <c r="AI277" s="416" t="s">
        <v>6</v>
      </c>
      <c r="AJ277" s="415"/>
      <c r="AK277" s="415"/>
      <c r="AL277" s="415"/>
      <c r="AM277" s="198"/>
      <c r="AN277" s="224"/>
      <c r="AO277" s="40"/>
      <c r="AP277" s="40"/>
      <c r="AQ277" s="40"/>
      <c r="AR277" s="40"/>
      <c r="AS277" s="40"/>
      <c r="AT277" s="40"/>
      <c r="AU277" s="40"/>
      <c r="AV277" s="40"/>
      <c r="AW277" s="155">
        <f t="shared" si="27"/>
        <v>22</v>
      </c>
    </row>
    <row r="278" spans="1:87" s="236" customFormat="1" ht="15">
      <c r="A278" s="40">
        <f t="shared" si="26"/>
        <v>272</v>
      </c>
      <c r="B278" s="199"/>
      <c r="C278" s="199"/>
      <c r="D278" s="199"/>
      <c r="E278" s="199"/>
      <c r="F278" s="199"/>
      <c r="G278" s="199"/>
      <c r="H278" s="199"/>
      <c r="I278" s="199"/>
      <c r="J278" s="218" t="s">
        <v>1425</v>
      </c>
      <c r="K278" s="204" t="s">
        <v>140</v>
      </c>
      <c r="L278" s="204" t="s">
        <v>749</v>
      </c>
      <c r="M278" s="351"/>
      <c r="N278" s="126" t="s">
        <v>504</v>
      </c>
      <c r="O278" s="126"/>
      <c r="P278" s="126"/>
      <c r="Q278" s="40" t="s">
        <v>6</v>
      </c>
      <c r="R278" s="40" t="s">
        <v>6</v>
      </c>
      <c r="S278" s="40" t="s">
        <v>6</v>
      </c>
      <c r="T278" s="40" t="s">
        <v>6</v>
      </c>
      <c r="U278" s="204"/>
      <c r="V278" s="204"/>
      <c r="W278" s="204" t="s">
        <v>140</v>
      </c>
      <c r="X278" s="199"/>
      <c r="Y278" s="199"/>
      <c r="Z278" s="199"/>
      <c r="AA278" s="40" t="s">
        <v>6</v>
      </c>
      <c r="AB278" s="198"/>
      <c r="AC278" s="199"/>
      <c r="AD278" s="199"/>
      <c r="AE278" s="204" t="s">
        <v>125</v>
      </c>
      <c r="AF278" s="199"/>
      <c r="AG278" s="199"/>
      <c r="AH278" s="199"/>
      <c r="AI278" s="40" t="s">
        <v>6</v>
      </c>
      <c r="AJ278" s="198"/>
      <c r="AK278" s="199"/>
      <c r="AL278" s="199"/>
      <c r="AM278" s="199"/>
      <c r="AN278" s="199"/>
      <c r="AO278" s="199"/>
      <c r="AP278" s="199"/>
      <c r="AQ278" s="199"/>
      <c r="AR278" s="199"/>
      <c r="AS278" s="199"/>
      <c r="AT278" s="199"/>
      <c r="AU278" s="199"/>
      <c r="AV278" s="199"/>
      <c r="AW278" s="155">
        <f>LEN(L278)</f>
        <v>28</v>
      </c>
    </row>
    <row r="279" spans="1:87" s="236" customFormat="1" ht="26.4">
      <c r="A279" s="40">
        <f t="shared" si="26"/>
        <v>273</v>
      </c>
      <c r="B279" s="199"/>
      <c r="C279" s="199"/>
      <c r="D279" s="199"/>
      <c r="E279" s="199"/>
      <c r="F279" s="199"/>
      <c r="G279" s="199"/>
      <c r="H279" s="199"/>
      <c r="I279" s="199"/>
      <c r="J279" s="234" t="s">
        <v>1426</v>
      </c>
      <c r="K279" s="204" t="s">
        <v>140</v>
      </c>
      <c r="L279" s="204" t="s">
        <v>749</v>
      </c>
      <c r="M279" s="351"/>
      <c r="N279" s="40" t="s">
        <v>504</v>
      </c>
      <c r="O279" s="199"/>
      <c r="P279" s="199"/>
      <c r="Q279" s="40"/>
      <c r="R279" s="40"/>
      <c r="S279" s="40" t="s">
        <v>6</v>
      </c>
      <c r="T279" s="126" t="s">
        <v>6</v>
      </c>
      <c r="U279" s="244" t="s">
        <v>752</v>
      </c>
      <c r="V279" s="204"/>
      <c r="W279" s="204" t="s">
        <v>140</v>
      </c>
      <c r="X279" s="199"/>
      <c r="Y279" s="199"/>
      <c r="Z279" s="40" t="s">
        <v>6</v>
      </c>
      <c r="AA279" s="40" t="s">
        <v>6</v>
      </c>
      <c r="AB279" s="218"/>
      <c r="AC279" s="199"/>
      <c r="AD279" s="218" t="s">
        <v>709</v>
      </c>
      <c r="AE279" s="204" t="s">
        <v>137</v>
      </c>
      <c r="AF279" s="199"/>
      <c r="AG279" s="199"/>
      <c r="AH279" s="199"/>
      <c r="AI279" s="40" t="s">
        <v>6</v>
      </c>
      <c r="AJ279" s="218"/>
      <c r="AK279" s="199"/>
      <c r="AL279" s="218" t="s">
        <v>709</v>
      </c>
      <c r="AM279" s="199"/>
      <c r="AN279" s="199"/>
      <c r="AO279" s="199"/>
      <c r="AP279" s="199"/>
      <c r="AQ279" s="199"/>
      <c r="AR279" s="199"/>
      <c r="AS279" s="199"/>
      <c r="AT279" s="199"/>
      <c r="AU279" s="199"/>
      <c r="AV279" s="199"/>
      <c r="AW279" s="155">
        <f>LEN(L279)</f>
        <v>28</v>
      </c>
    </row>
    <row r="280" spans="1:87" s="236" customFormat="1" ht="39.6">
      <c r="A280" s="40">
        <f t="shared" si="26"/>
        <v>274</v>
      </c>
      <c r="B280" s="199"/>
      <c r="C280" s="199"/>
      <c r="D280" s="199"/>
      <c r="E280" s="199"/>
      <c r="F280" s="199"/>
      <c r="G280" s="199"/>
      <c r="H280" s="199"/>
      <c r="I280" s="199"/>
      <c r="J280" s="215" t="s">
        <v>1428</v>
      </c>
      <c r="K280" s="204" t="s">
        <v>117</v>
      </c>
      <c r="L280" s="204" t="s">
        <v>725</v>
      </c>
      <c r="M280" s="351"/>
      <c r="N280" s="40" t="s">
        <v>504</v>
      </c>
      <c r="O280" s="199"/>
      <c r="P280" s="199"/>
      <c r="Q280" s="40" t="s">
        <v>6</v>
      </c>
      <c r="R280" s="40" t="s">
        <v>6</v>
      </c>
      <c r="S280" s="40" t="s">
        <v>6</v>
      </c>
      <c r="T280" s="126" t="s">
        <v>6</v>
      </c>
      <c r="U280" s="204"/>
      <c r="V280" s="204"/>
      <c r="W280" s="204" t="s">
        <v>125</v>
      </c>
      <c r="X280" s="199"/>
      <c r="Y280" s="199"/>
      <c r="Z280" s="126"/>
      <c r="AA280" s="40" t="s">
        <v>6</v>
      </c>
      <c r="AB280" s="218"/>
      <c r="AC280" s="199"/>
      <c r="AD280" s="218" t="s">
        <v>726</v>
      </c>
      <c r="AE280" s="204" t="s">
        <v>125</v>
      </c>
      <c r="AF280" s="199"/>
      <c r="AG280" s="199"/>
      <c r="AH280" s="126"/>
      <c r="AI280" s="40" t="s">
        <v>6</v>
      </c>
      <c r="AJ280" s="218"/>
      <c r="AK280" s="199"/>
      <c r="AL280" s="218" t="s">
        <v>726</v>
      </c>
      <c r="AM280" s="199"/>
      <c r="AN280" s="199"/>
      <c r="AO280" s="199"/>
      <c r="AP280" s="199"/>
      <c r="AQ280" s="199"/>
      <c r="AR280" s="199"/>
      <c r="AS280" s="199"/>
      <c r="AT280" s="199"/>
      <c r="AU280" s="199"/>
      <c r="AV280" s="199"/>
      <c r="AW280" s="155">
        <f t="shared" ref="AW280:AW282" si="28">LEN(L280)</f>
        <v>37</v>
      </c>
    </row>
    <row r="281" spans="1:87" s="236" customFormat="1" ht="39.6">
      <c r="A281" s="40">
        <f t="shared" si="26"/>
        <v>275</v>
      </c>
      <c r="B281" s="199"/>
      <c r="C281" s="199"/>
      <c r="D281" s="199"/>
      <c r="E281" s="199"/>
      <c r="F281" s="199"/>
      <c r="G281" s="199"/>
      <c r="H281" s="199"/>
      <c r="I281" s="199"/>
      <c r="J281" s="215" t="s">
        <v>1429</v>
      </c>
      <c r="K281" s="204" t="s">
        <v>117</v>
      </c>
      <c r="L281" s="204" t="s">
        <v>1430</v>
      </c>
      <c r="M281" s="351"/>
      <c r="N281" s="40" t="s">
        <v>504</v>
      </c>
      <c r="O281" s="199"/>
      <c r="P281" s="199"/>
      <c r="Q281" s="40" t="s">
        <v>6</v>
      </c>
      <c r="R281" s="40" t="s">
        <v>6</v>
      </c>
      <c r="S281" s="40" t="s">
        <v>6</v>
      </c>
      <c r="T281" s="126" t="s">
        <v>6</v>
      </c>
      <c r="U281" s="244" t="s">
        <v>1431</v>
      </c>
      <c r="V281" s="204"/>
      <c r="W281" s="204" t="s">
        <v>125</v>
      </c>
      <c r="X281" s="199"/>
      <c r="Y281" s="199"/>
      <c r="Z281" s="126"/>
      <c r="AA281" s="40" t="s">
        <v>6</v>
      </c>
      <c r="AB281" s="218"/>
      <c r="AC281" s="199"/>
      <c r="AD281" s="218" t="s">
        <v>726</v>
      </c>
      <c r="AE281" s="204" t="s">
        <v>125</v>
      </c>
      <c r="AF281" s="199"/>
      <c r="AG281" s="199"/>
      <c r="AH281" s="126"/>
      <c r="AI281" s="40" t="s">
        <v>6</v>
      </c>
      <c r="AJ281" s="218"/>
      <c r="AK281" s="199"/>
      <c r="AL281" s="218" t="s">
        <v>726</v>
      </c>
      <c r="AM281" s="199"/>
      <c r="AN281" s="199"/>
      <c r="AO281" s="199"/>
      <c r="AP281" s="199"/>
      <c r="AQ281" s="199"/>
      <c r="AR281" s="199"/>
      <c r="AS281" s="199"/>
      <c r="AT281" s="199"/>
      <c r="AU281" s="199"/>
      <c r="AV281" s="199"/>
      <c r="AW281" s="155">
        <f>LEN(L281)</f>
        <v>39</v>
      </c>
    </row>
    <row r="282" spans="1:87" s="236" customFormat="1" ht="39.6">
      <c r="A282" s="40">
        <f t="shared" si="26"/>
        <v>276</v>
      </c>
      <c r="B282" s="199"/>
      <c r="C282" s="199"/>
      <c r="D282" s="199"/>
      <c r="E282" s="199"/>
      <c r="F282" s="199"/>
      <c r="G282" s="199"/>
      <c r="H282" s="199"/>
      <c r="I282" s="199"/>
      <c r="J282" s="215" t="s">
        <v>1432</v>
      </c>
      <c r="K282" s="204" t="s">
        <v>117</v>
      </c>
      <c r="L282" s="204" t="s">
        <v>1433</v>
      </c>
      <c r="M282" s="351"/>
      <c r="N282" s="40" t="s">
        <v>504</v>
      </c>
      <c r="O282" s="199"/>
      <c r="P282" s="199"/>
      <c r="Q282" s="40" t="s">
        <v>6</v>
      </c>
      <c r="R282" s="40" t="s">
        <v>6</v>
      </c>
      <c r="S282" s="40" t="s">
        <v>6</v>
      </c>
      <c r="T282" s="126" t="s">
        <v>6</v>
      </c>
      <c r="U282" s="244" t="s">
        <v>1431</v>
      </c>
      <c r="V282" s="204"/>
      <c r="W282" s="204" t="s">
        <v>125</v>
      </c>
      <c r="X282" s="199"/>
      <c r="Y282" s="199"/>
      <c r="Z282" s="126"/>
      <c r="AA282" s="40" t="s">
        <v>6</v>
      </c>
      <c r="AB282" s="218"/>
      <c r="AC282" s="199"/>
      <c r="AD282" s="218" t="s">
        <v>726</v>
      </c>
      <c r="AE282" s="204" t="s">
        <v>125</v>
      </c>
      <c r="AF282" s="199"/>
      <c r="AG282" s="199"/>
      <c r="AH282" s="126"/>
      <c r="AI282" s="40" t="s">
        <v>6</v>
      </c>
      <c r="AJ282" s="218"/>
      <c r="AK282" s="199"/>
      <c r="AL282" s="218" t="s">
        <v>726</v>
      </c>
      <c r="AM282" s="199"/>
      <c r="AN282" s="199"/>
      <c r="AO282" s="199"/>
      <c r="AP282" s="199"/>
      <c r="AQ282" s="199"/>
      <c r="AR282" s="199"/>
      <c r="AS282" s="199"/>
      <c r="AT282" s="199"/>
      <c r="AU282" s="199"/>
      <c r="AV282" s="199"/>
      <c r="AW282" s="155">
        <f t="shared" si="28"/>
        <v>41</v>
      </c>
    </row>
    <row r="283" spans="1:87" s="236" customFormat="1" ht="26.4">
      <c r="A283" s="40">
        <f t="shared" si="26"/>
        <v>277</v>
      </c>
      <c r="B283" s="199"/>
      <c r="C283" s="199"/>
      <c r="D283" s="199"/>
      <c r="E283" s="199"/>
      <c r="F283" s="199"/>
      <c r="G283" s="199"/>
      <c r="H283" s="199"/>
      <c r="I283" s="199"/>
      <c r="J283" s="218" t="s">
        <v>915</v>
      </c>
      <c r="K283" s="232" t="s">
        <v>125</v>
      </c>
      <c r="L283" s="204" t="s">
        <v>1434</v>
      </c>
      <c r="M283" s="351"/>
      <c r="N283" s="126" t="s">
        <v>504</v>
      </c>
      <c r="O283" s="126"/>
      <c r="P283" s="126"/>
      <c r="Q283" s="40"/>
      <c r="R283" s="40"/>
      <c r="S283" s="40" t="s">
        <v>6</v>
      </c>
      <c r="T283" s="40" t="s">
        <v>6</v>
      </c>
      <c r="U283" s="218" t="s">
        <v>1435</v>
      </c>
      <c r="V283" s="218"/>
      <c r="W283" s="204" t="s">
        <v>125</v>
      </c>
      <c r="X283" s="199"/>
      <c r="Y283" s="199"/>
      <c r="Z283" s="199"/>
      <c r="AA283" s="40" t="s">
        <v>6</v>
      </c>
      <c r="AB283" s="198"/>
      <c r="AC283" s="199"/>
      <c r="AD283" s="199"/>
      <c r="AE283" s="204" t="s">
        <v>125</v>
      </c>
      <c r="AF283" s="199"/>
      <c r="AG283" s="199"/>
      <c r="AH283" s="199"/>
      <c r="AI283" s="40" t="s">
        <v>6</v>
      </c>
      <c r="AJ283" s="198"/>
      <c r="AK283" s="199"/>
      <c r="AL283" s="199"/>
      <c r="AM283" s="199" t="s">
        <v>1436</v>
      </c>
      <c r="AN283" s="200" t="e">
        <f>"Agrupamento itens "&amp;#REF!&amp;", "&amp;#REF!&amp;", "&amp;#REF!&amp;", "&amp;#REF!&amp;" a "&amp;#REF!&amp;", "&amp;#REF!&amp;" a "&amp;#REF!&amp;", "&amp;#REF!&amp;" a "&amp;#REF!&amp;", "&amp;#REF!&amp;", "&amp;#REF!&amp;", "&amp;#REF!&amp;" a "&amp;#REF!&amp;", "&amp;#REF!&amp;", "&amp;#REF!&amp;", "&amp;#REF!&amp;" a "&amp;#REF!&amp;", "&amp;#REF!&amp;", "&amp;#REF!&amp;", "&amp;#REF!&amp;" a "&amp;#REF!</f>
        <v>#REF!</v>
      </c>
      <c r="AO283" s="199"/>
      <c r="AP283" s="199"/>
      <c r="AQ283" s="199"/>
      <c r="AR283" s="199"/>
      <c r="AS283" s="199"/>
      <c r="AT283" s="199"/>
      <c r="AU283" s="199"/>
      <c r="AV283" s="199"/>
      <c r="AW283" s="155">
        <f t="shared" si="27"/>
        <v>28</v>
      </c>
    </row>
    <row r="284" spans="1:87" s="236" customFormat="1" ht="15">
      <c r="A284" s="40">
        <f t="shared" si="26"/>
        <v>278</v>
      </c>
      <c r="B284" s="199"/>
      <c r="C284" s="199"/>
      <c r="D284" s="199"/>
      <c r="E284" s="199"/>
      <c r="F284" s="199"/>
      <c r="G284" s="199"/>
      <c r="H284" s="199"/>
      <c r="I284" s="199"/>
      <c r="J284" s="218" t="s">
        <v>1075</v>
      </c>
      <c r="K284" s="232" t="s">
        <v>125</v>
      </c>
      <c r="L284" s="204" t="s">
        <v>1437</v>
      </c>
      <c r="M284" s="351"/>
      <c r="N284" s="126" t="s">
        <v>504</v>
      </c>
      <c r="O284" s="126"/>
      <c r="P284" s="126"/>
      <c r="Q284" s="40"/>
      <c r="R284" s="40"/>
      <c r="S284" s="40" t="s">
        <v>6</v>
      </c>
      <c r="T284" s="40" t="s">
        <v>6</v>
      </c>
      <c r="U284" s="218" t="s">
        <v>1438</v>
      </c>
      <c r="V284" s="218"/>
      <c r="W284" s="204" t="s">
        <v>125</v>
      </c>
      <c r="X284" s="199"/>
      <c r="Y284" s="199"/>
      <c r="Z284" s="199"/>
      <c r="AA284" s="40" t="s">
        <v>6</v>
      </c>
      <c r="AB284" s="198"/>
      <c r="AC284" s="199"/>
      <c r="AD284" s="199"/>
      <c r="AE284" s="204" t="s">
        <v>125</v>
      </c>
      <c r="AF284" s="199"/>
      <c r="AG284" s="199"/>
      <c r="AH284" s="199"/>
      <c r="AI284" s="40" t="s">
        <v>6</v>
      </c>
      <c r="AJ284" s="198"/>
      <c r="AK284" s="199"/>
      <c r="AL284" s="199"/>
      <c r="AM284" s="198" t="s">
        <v>1070</v>
      </c>
      <c r="AN284" s="200" t="e">
        <f>"Agrupamento itens "&amp;#REF!&amp;", "&amp;#REF!&amp;", "&amp;#REF!&amp;", "&amp;#REF!&amp;" a "&amp;#REF!&amp;", "&amp;#REF!&amp;", "&amp;#REF!&amp;", "&amp;#REF!&amp;", "&amp;#REF!&amp;", "&amp;#REF!&amp;", "&amp;#REF!</f>
        <v>#REF!</v>
      </c>
      <c r="AO284" s="199"/>
      <c r="AP284" s="199"/>
      <c r="AQ284" s="199"/>
      <c r="AR284" s="199"/>
      <c r="AS284" s="199"/>
      <c r="AT284" s="199"/>
      <c r="AU284" s="199"/>
      <c r="AV284" s="199"/>
      <c r="AW284" s="155">
        <f t="shared" si="27"/>
        <v>31</v>
      </c>
    </row>
    <row r="285" spans="1:87" s="236" customFormat="1" ht="26.4">
      <c r="A285" s="40">
        <f t="shared" si="26"/>
        <v>279</v>
      </c>
      <c r="B285" s="199"/>
      <c r="C285" s="199"/>
      <c r="D285" s="199"/>
      <c r="E285" s="199"/>
      <c r="F285" s="199"/>
      <c r="G285" s="199"/>
      <c r="H285" s="199"/>
      <c r="I285" s="199"/>
      <c r="J285" s="218" t="s">
        <v>881</v>
      </c>
      <c r="K285" s="232" t="s">
        <v>125</v>
      </c>
      <c r="L285" s="204" t="s">
        <v>798</v>
      </c>
      <c r="M285" s="351"/>
      <c r="N285" s="126" t="s">
        <v>504</v>
      </c>
      <c r="O285" s="126"/>
      <c r="P285" s="126"/>
      <c r="Q285" s="40"/>
      <c r="R285" s="40"/>
      <c r="S285" s="40" t="s">
        <v>6</v>
      </c>
      <c r="T285" s="40" t="s">
        <v>6</v>
      </c>
      <c r="U285" s="218" t="s">
        <v>1435</v>
      </c>
      <c r="V285" s="218"/>
      <c r="W285" s="204" t="s">
        <v>125</v>
      </c>
      <c r="X285" s="199"/>
      <c r="Y285" s="199"/>
      <c r="Z285" s="199"/>
      <c r="AA285" s="40" t="s">
        <v>6</v>
      </c>
      <c r="AB285" s="198"/>
      <c r="AC285" s="199"/>
      <c r="AD285" s="199"/>
      <c r="AE285" s="204" t="s">
        <v>125</v>
      </c>
      <c r="AF285" s="199"/>
      <c r="AG285" s="199"/>
      <c r="AH285" s="199"/>
      <c r="AI285" s="40" t="s">
        <v>6</v>
      </c>
      <c r="AJ285" s="198"/>
      <c r="AK285" s="199"/>
      <c r="AL285" s="199"/>
      <c r="AM285" s="199" t="s">
        <v>1439</v>
      </c>
      <c r="AN285" s="200" t="e">
        <f>"Agrupamento itens "&amp;#REF!&amp;", "&amp;#REF!&amp;", "&amp;#REF!&amp;", "&amp;#REF!&amp;" a "&amp;#REF!&amp;", "&amp;#REF!&amp;", "&amp;#REF!&amp;" a "&amp;#REF!&amp;", "&amp;#REF!&amp;" a "&amp;#REF!</f>
        <v>#REF!</v>
      </c>
      <c r="AO285" s="199"/>
      <c r="AP285" s="199"/>
      <c r="AQ285" s="199"/>
      <c r="AR285" s="199"/>
      <c r="AS285" s="199"/>
      <c r="AT285" s="199"/>
      <c r="AU285" s="199"/>
      <c r="AV285" s="199"/>
      <c r="AW285" s="155">
        <f t="shared" si="27"/>
        <v>29</v>
      </c>
    </row>
    <row r="286" spans="1:87" s="12" customFormat="1" ht="15">
      <c r="A286" s="40">
        <f t="shared" si="26"/>
        <v>280</v>
      </c>
      <c r="B286" s="38"/>
      <c r="C286" s="42"/>
      <c r="D286" s="19"/>
      <c r="E286" s="19"/>
      <c r="F286" s="19"/>
      <c r="G286" s="19"/>
      <c r="H286" s="13"/>
      <c r="I286" s="13"/>
      <c r="J286" s="218" t="s">
        <v>1440</v>
      </c>
      <c r="K286" s="412" t="s">
        <v>117</v>
      </c>
      <c r="L286" s="204" t="s">
        <v>801</v>
      </c>
      <c r="M286" s="351"/>
      <c r="N286" s="416" t="s">
        <v>504</v>
      </c>
      <c r="O286" s="126"/>
      <c r="P286" s="126"/>
      <c r="Q286" s="416" t="s">
        <v>6</v>
      </c>
      <c r="R286" s="416" t="s">
        <v>6</v>
      </c>
      <c r="S286" s="40" t="s">
        <v>6</v>
      </c>
      <c r="T286" s="416" t="s">
        <v>6</v>
      </c>
      <c r="U286" s="200" t="s">
        <v>802</v>
      </c>
      <c r="V286" s="206"/>
      <c r="W286" s="412" t="s">
        <v>125</v>
      </c>
      <c r="X286" s="59"/>
      <c r="Y286" s="59"/>
      <c r="Z286" s="59"/>
      <c r="AA286" s="40" t="s">
        <v>6</v>
      </c>
      <c r="AB286" s="413"/>
      <c r="AC286" s="415"/>
      <c r="AD286" s="415"/>
      <c r="AE286" s="412" t="s">
        <v>125</v>
      </c>
      <c r="AF286" s="59"/>
      <c r="AG286" s="59"/>
      <c r="AH286" s="59"/>
      <c r="AI286" s="40" t="s">
        <v>6</v>
      </c>
      <c r="AJ286" s="413"/>
      <c r="AK286" s="415"/>
      <c r="AL286" s="415"/>
      <c r="AM286" s="43"/>
      <c r="AN286" s="44"/>
      <c r="AO286" s="13"/>
      <c r="AP286" s="13"/>
      <c r="AQ286" s="13"/>
      <c r="AR286" s="13"/>
      <c r="AS286" s="13"/>
      <c r="AT286" s="13"/>
      <c r="AU286" s="13"/>
      <c r="AV286" s="13"/>
      <c r="AW286" s="18">
        <f>LEN(L286)</f>
        <v>21</v>
      </c>
      <c r="AX286" s="16"/>
      <c r="AY286" s="17"/>
    </row>
    <row r="287" spans="1:87" s="18" customFormat="1" ht="15">
      <c r="A287" s="40">
        <f t="shared" si="26"/>
        <v>281</v>
      </c>
      <c r="B287" s="38"/>
      <c r="C287" s="42"/>
      <c r="D287" s="38"/>
      <c r="E287" s="46"/>
      <c r="F287" s="46"/>
      <c r="G287" s="46"/>
      <c r="H287" s="13"/>
      <c r="I287" s="40"/>
      <c r="J287" s="218" t="s">
        <v>1441</v>
      </c>
      <c r="K287" s="412" t="s">
        <v>117</v>
      </c>
      <c r="L287" s="204" t="s">
        <v>804</v>
      </c>
      <c r="M287" s="351"/>
      <c r="N287" s="416" t="s">
        <v>504</v>
      </c>
      <c r="O287" s="126"/>
      <c r="P287" s="126"/>
      <c r="Q287" s="416" t="s">
        <v>6</v>
      </c>
      <c r="R287" s="416" t="s">
        <v>6</v>
      </c>
      <c r="S287" s="40" t="s">
        <v>6</v>
      </c>
      <c r="T287" s="416" t="s">
        <v>6</v>
      </c>
      <c r="U287" s="200" t="s">
        <v>802</v>
      </c>
      <c r="V287" s="206"/>
      <c r="W287" s="232" t="s">
        <v>133</v>
      </c>
      <c r="X287" s="59"/>
      <c r="Y287" s="59"/>
      <c r="Z287" s="59"/>
      <c r="AA287" s="40" t="s">
        <v>6</v>
      </c>
      <c r="AB287" s="413"/>
      <c r="AC287" s="413"/>
      <c r="AD287" s="413"/>
      <c r="AE287" s="412" t="s">
        <v>125</v>
      </c>
      <c r="AF287" s="59"/>
      <c r="AG287" s="59"/>
      <c r="AH287" s="59"/>
      <c r="AI287" s="40" t="s">
        <v>6</v>
      </c>
      <c r="AJ287" s="413"/>
      <c r="AK287" s="413"/>
      <c r="AL287" s="413"/>
      <c r="AM287" s="43"/>
      <c r="AN287" s="19"/>
      <c r="AO287" s="15"/>
      <c r="AP287" s="15"/>
      <c r="AQ287" s="15"/>
      <c r="AR287" s="15"/>
      <c r="AS287" s="15"/>
      <c r="AT287" s="15"/>
      <c r="AU287" s="15"/>
      <c r="AV287" s="13"/>
      <c r="AW287" s="18">
        <f>LEN(L287)</f>
        <v>25</v>
      </c>
      <c r="AX287" s="12"/>
      <c r="AY287" s="12"/>
      <c r="AZ287" s="12"/>
      <c r="BA287" s="12"/>
      <c r="BB287" s="12"/>
      <c r="BC287" s="12"/>
      <c r="BD287" s="12"/>
      <c r="BE287" s="12"/>
      <c r="BF287" s="12"/>
      <c r="BG287" s="12"/>
      <c r="BH287" s="12"/>
      <c r="BI287" s="12"/>
      <c r="BJ287" s="12"/>
      <c r="BK287" s="12"/>
      <c r="BL287" s="12"/>
      <c r="BM287" s="12"/>
      <c r="BN287" s="12"/>
      <c r="BO287" s="12"/>
      <c r="BP287" s="12"/>
      <c r="BQ287" s="12"/>
      <c r="BR287" s="12"/>
      <c r="BS287" s="12"/>
      <c r="BT287" s="12"/>
      <c r="BU287" s="12"/>
      <c r="BV287" s="12"/>
      <c r="BW287" s="12"/>
      <c r="BX287" s="12"/>
      <c r="BY287" s="12"/>
      <c r="BZ287" s="12"/>
      <c r="CA287" s="12"/>
      <c r="CB287" s="12"/>
      <c r="CC287" s="12"/>
      <c r="CD287" s="12"/>
      <c r="CE287" s="12"/>
      <c r="CF287" s="12"/>
      <c r="CG287" s="12"/>
      <c r="CH287" s="12"/>
      <c r="CI287" s="12"/>
    </row>
    <row r="288" spans="1:87" s="236" customFormat="1" ht="15">
      <c r="A288" s="40">
        <f t="shared" si="26"/>
        <v>282</v>
      </c>
      <c r="B288" s="199"/>
      <c r="C288" s="199"/>
      <c r="D288" s="199"/>
      <c r="E288" s="199"/>
      <c r="F288" s="199"/>
      <c r="G288" s="199"/>
      <c r="H288" s="199"/>
      <c r="I288" s="199"/>
      <c r="J288" s="218" t="s">
        <v>3365</v>
      </c>
      <c r="K288" s="204" t="s">
        <v>117</v>
      </c>
      <c r="L288" s="204" t="s">
        <v>732</v>
      </c>
      <c r="M288" s="351"/>
      <c r="N288" s="40" t="s">
        <v>504</v>
      </c>
      <c r="O288" s="199"/>
      <c r="P288" s="199"/>
      <c r="Q288" s="40" t="s">
        <v>6</v>
      </c>
      <c r="R288" s="40" t="s">
        <v>6</v>
      </c>
      <c r="S288" s="40" t="s">
        <v>6</v>
      </c>
      <c r="T288" s="40" t="s">
        <v>6</v>
      </c>
      <c r="U288" s="204" t="s">
        <v>733</v>
      </c>
      <c r="V288" s="204"/>
      <c r="W288" s="204"/>
      <c r="X288" s="199"/>
      <c r="Y288" s="199"/>
      <c r="Z288" s="40"/>
      <c r="AA288" s="40"/>
      <c r="AB288" s="218"/>
      <c r="AC288" s="199"/>
      <c r="AD288" s="218"/>
      <c r="AE288" s="204"/>
      <c r="AF288" s="199"/>
      <c r="AG288" s="199"/>
      <c r="AH288" s="199"/>
      <c r="AI288" s="40"/>
      <c r="AJ288" s="218"/>
      <c r="AK288" s="199"/>
      <c r="AL288" s="218"/>
      <c r="AM288" s="199"/>
      <c r="AN288" s="199"/>
      <c r="AO288" s="199"/>
      <c r="AP288" s="199"/>
      <c r="AQ288" s="199"/>
      <c r="AR288" s="199"/>
      <c r="AS288" s="199"/>
      <c r="AT288" s="199"/>
      <c r="AU288" s="199"/>
      <c r="AV288" s="199"/>
      <c r="AW288" s="155">
        <f t="shared" ref="AW288" si="29">LEN(L288)</f>
        <v>29</v>
      </c>
    </row>
    <row r="289" spans="1:87" s="20" customFormat="1" ht="15">
      <c r="A289" s="40">
        <f t="shared" si="26"/>
        <v>283</v>
      </c>
      <c r="B289" s="59"/>
      <c r="C289" s="59"/>
      <c r="D289" s="59"/>
      <c r="E289" s="59"/>
      <c r="F289" s="59"/>
      <c r="G289" s="59"/>
      <c r="H289" s="59"/>
      <c r="I289" s="59"/>
      <c r="J289" s="218" t="s">
        <v>1442</v>
      </c>
      <c r="K289" s="232" t="s">
        <v>134</v>
      </c>
      <c r="L289" s="204" t="s">
        <v>744</v>
      </c>
      <c r="M289" s="351"/>
      <c r="N289" s="416" t="s">
        <v>504</v>
      </c>
      <c r="O289" s="126"/>
      <c r="P289" s="126"/>
      <c r="Q289" s="40" t="s">
        <v>6</v>
      </c>
      <c r="R289" s="40" t="s">
        <v>6</v>
      </c>
      <c r="S289" s="40" t="s">
        <v>6</v>
      </c>
      <c r="T289" s="416" t="s">
        <v>6</v>
      </c>
      <c r="U289" s="200" t="s">
        <v>802</v>
      </c>
      <c r="V289" s="206"/>
      <c r="W289" s="232" t="s">
        <v>137</v>
      </c>
      <c r="X289" s="59"/>
      <c r="Y289" s="59"/>
      <c r="Z289" s="59"/>
      <c r="AA289" s="40" t="s">
        <v>6</v>
      </c>
      <c r="AB289" s="15"/>
      <c r="AC289" s="59"/>
      <c r="AD289" s="59"/>
      <c r="AE289" s="232" t="s">
        <v>137</v>
      </c>
      <c r="AF289" s="59"/>
      <c r="AG289" s="59"/>
      <c r="AH289" s="59"/>
      <c r="AI289" s="40" t="s">
        <v>6</v>
      </c>
      <c r="AJ289" s="15"/>
      <c r="AK289" s="59"/>
      <c r="AL289" s="59"/>
      <c r="AM289" s="59"/>
      <c r="AN289" s="59"/>
      <c r="AO289" s="59"/>
      <c r="AP289" s="59"/>
      <c r="AQ289" s="59"/>
      <c r="AR289" s="59"/>
      <c r="AS289" s="59"/>
      <c r="AT289" s="59"/>
      <c r="AU289" s="59"/>
      <c r="AV289" s="59"/>
      <c r="AW289" s="18">
        <f>LEN(L289)</f>
        <v>17</v>
      </c>
    </row>
    <row r="290" spans="1:87" s="20" customFormat="1" ht="15">
      <c r="A290" s="40">
        <f t="shared" si="26"/>
        <v>284</v>
      </c>
      <c r="B290" s="59"/>
      <c r="C290" s="59"/>
      <c r="D290" s="59"/>
      <c r="E290" s="59"/>
      <c r="F290" s="59"/>
      <c r="G290" s="59"/>
      <c r="H290" s="59"/>
      <c r="I290" s="59"/>
      <c r="J290" s="218" t="s">
        <v>3366</v>
      </c>
      <c r="K290" s="232" t="s">
        <v>117</v>
      </c>
      <c r="L290" s="204" t="s">
        <v>3362</v>
      </c>
      <c r="M290" s="351"/>
      <c r="N290" s="40" t="s">
        <v>504</v>
      </c>
      <c r="O290" s="126"/>
      <c r="P290" s="126"/>
      <c r="Q290" s="40" t="s">
        <v>6</v>
      </c>
      <c r="R290" s="40" t="s">
        <v>6</v>
      </c>
      <c r="S290" s="40" t="s">
        <v>6</v>
      </c>
      <c r="T290" s="40" t="s">
        <v>6</v>
      </c>
      <c r="U290" s="200" t="s">
        <v>747</v>
      </c>
      <c r="V290" s="206"/>
      <c r="W290" s="204"/>
      <c r="X290" s="59"/>
      <c r="Y290" s="59"/>
      <c r="Z290" s="40"/>
      <c r="AA290" s="40"/>
      <c r="AB290" s="15"/>
      <c r="AC290" s="59"/>
      <c r="AD290" s="59"/>
      <c r="AE290" s="232"/>
      <c r="AF290" s="59"/>
      <c r="AG290" s="59"/>
      <c r="AH290" s="59"/>
      <c r="AI290" s="40"/>
      <c r="AJ290" s="15"/>
      <c r="AK290" s="59"/>
      <c r="AL290" s="59"/>
      <c r="AM290" s="59"/>
      <c r="AN290" s="59"/>
      <c r="AO290" s="59"/>
      <c r="AP290" s="59"/>
      <c r="AQ290" s="59"/>
      <c r="AR290" s="59"/>
      <c r="AS290" s="59"/>
      <c r="AT290" s="59"/>
      <c r="AU290" s="59"/>
      <c r="AV290" s="59"/>
      <c r="AW290" s="18"/>
    </row>
    <row r="291" spans="1:87" s="20" customFormat="1" ht="15">
      <c r="A291" s="40">
        <f t="shared" si="26"/>
        <v>285</v>
      </c>
      <c r="B291" s="59"/>
      <c r="C291" s="59"/>
      <c r="D291" s="59"/>
      <c r="E291" s="59"/>
      <c r="F291" s="59"/>
      <c r="G291" s="59"/>
      <c r="H291" s="59"/>
      <c r="I291" s="59"/>
      <c r="J291" s="218" t="s">
        <v>1443</v>
      </c>
      <c r="K291" s="204" t="s">
        <v>117</v>
      </c>
      <c r="L291" s="204" t="s">
        <v>737</v>
      </c>
      <c r="M291" s="351"/>
      <c r="N291" s="416" t="s">
        <v>504</v>
      </c>
      <c r="O291" s="126"/>
      <c r="P291" s="126"/>
      <c r="Q291" s="40" t="s">
        <v>6</v>
      </c>
      <c r="R291" s="40" t="s">
        <v>6</v>
      </c>
      <c r="S291" s="40" t="s">
        <v>6</v>
      </c>
      <c r="T291" s="416" t="s">
        <v>6</v>
      </c>
      <c r="U291" s="200" t="s">
        <v>802</v>
      </c>
      <c r="V291" s="206"/>
      <c r="W291" s="232" t="s">
        <v>133</v>
      </c>
      <c r="X291" s="59"/>
      <c r="Y291" s="59"/>
      <c r="Z291" s="59"/>
      <c r="AA291" s="40" t="s">
        <v>6</v>
      </c>
      <c r="AB291" s="15"/>
      <c r="AC291" s="59"/>
      <c r="AD291" s="59"/>
      <c r="AE291" s="204" t="s">
        <v>125</v>
      </c>
      <c r="AF291" s="59"/>
      <c r="AG291" s="59"/>
      <c r="AH291" s="59"/>
      <c r="AI291" s="40" t="s">
        <v>6</v>
      </c>
      <c r="AJ291" s="15"/>
      <c r="AK291" s="59"/>
      <c r="AL291" s="59"/>
      <c r="AM291" s="59"/>
      <c r="AN291" s="59"/>
      <c r="AO291" s="59"/>
      <c r="AP291" s="59"/>
      <c r="AQ291" s="59"/>
      <c r="AR291" s="59"/>
      <c r="AS291" s="59"/>
      <c r="AT291" s="59"/>
      <c r="AU291" s="59"/>
      <c r="AV291" s="59"/>
      <c r="AW291" s="18">
        <f>LEN(L291)</f>
        <v>28</v>
      </c>
    </row>
    <row r="292" spans="1:87" s="20" customFormat="1" ht="15">
      <c r="A292" s="40">
        <f t="shared" si="26"/>
        <v>286</v>
      </c>
      <c r="B292" s="59"/>
      <c r="C292" s="59"/>
      <c r="D292" s="59"/>
      <c r="E292" s="59"/>
      <c r="F292" s="59"/>
      <c r="G292" s="59"/>
      <c r="H292" s="59"/>
      <c r="I292" s="59"/>
      <c r="J292" s="218" t="s">
        <v>1444</v>
      </c>
      <c r="K292" s="204" t="s">
        <v>117</v>
      </c>
      <c r="L292" s="204" t="s">
        <v>735</v>
      </c>
      <c r="M292" s="351"/>
      <c r="N292" s="126" t="s">
        <v>504</v>
      </c>
      <c r="O292" s="126"/>
      <c r="P292" s="126"/>
      <c r="Q292" s="40" t="s">
        <v>6</v>
      </c>
      <c r="R292" s="40" t="s">
        <v>6</v>
      </c>
      <c r="S292" s="40" t="s">
        <v>6</v>
      </c>
      <c r="T292" s="40" t="s">
        <v>6</v>
      </c>
      <c r="U292" s="200" t="s">
        <v>802</v>
      </c>
      <c r="V292" s="206"/>
      <c r="W292" s="232" t="s">
        <v>133</v>
      </c>
      <c r="X292" s="59"/>
      <c r="Y292" s="59"/>
      <c r="Z292" s="59"/>
      <c r="AA292" s="40" t="s">
        <v>6</v>
      </c>
      <c r="AB292" s="218"/>
      <c r="AC292" s="59"/>
      <c r="AD292" s="218"/>
      <c r="AE292" s="204" t="s">
        <v>125</v>
      </c>
      <c r="AF292" s="59"/>
      <c r="AG292" s="59"/>
      <c r="AH292" s="59"/>
      <c r="AI292" s="40" t="s">
        <v>6</v>
      </c>
      <c r="AJ292" s="218"/>
      <c r="AK292" s="59"/>
      <c r="AL292" s="218"/>
      <c r="AM292" s="59"/>
      <c r="AN292" s="59"/>
      <c r="AO292" s="59"/>
      <c r="AP292" s="59"/>
      <c r="AQ292" s="59"/>
      <c r="AR292" s="59"/>
      <c r="AS292" s="59"/>
      <c r="AT292" s="59"/>
      <c r="AU292" s="59"/>
      <c r="AV292" s="59"/>
      <c r="AW292" s="18">
        <v>14</v>
      </c>
    </row>
    <row r="293" spans="1:87" s="20" customFormat="1" ht="26.4">
      <c r="A293" s="40">
        <f t="shared" si="26"/>
        <v>287</v>
      </c>
      <c r="B293" s="59"/>
      <c r="C293" s="59"/>
      <c r="D293" s="59"/>
      <c r="E293" s="59"/>
      <c r="F293" s="59"/>
      <c r="G293" s="59"/>
      <c r="H293" s="59"/>
      <c r="I293" s="59"/>
      <c r="J293" s="218" t="s">
        <v>808</v>
      </c>
      <c r="K293" s="204" t="s">
        <v>117</v>
      </c>
      <c r="L293" s="204" t="s">
        <v>740</v>
      </c>
      <c r="M293" s="351"/>
      <c r="N293" s="40" t="s">
        <v>504</v>
      </c>
      <c r="O293" s="199"/>
      <c r="P293" s="199"/>
      <c r="Q293" s="40" t="s">
        <v>6</v>
      </c>
      <c r="R293" s="40" t="s">
        <v>6</v>
      </c>
      <c r="S293" s="40" t="s">
        <v>6</v>
      </c>
      <c r="T293" s="126" t="s">
        <v>6</v>
      </c>
      <c r="U293" s="204" t="s">
        <v>1445</v>
      </c>
      <c r="V293" s="204"/>
      <c r="W293" s="204" t="s">
        <v>125</v>
      </c>
      <c r="X293" s="199"/>
      <c r="Y293" s="199"/>
      <c r="Z293" s="40" t="s">
        <v>6</v>
      </c>
      <c r="AA293" s="40" t="s">
        <v>6</v>
      </c>
      <c r="AB293" s="218"/>
      <c r="AC293" s="199"/>
      <c r="AD293" s="218" t="s">
        <v>709</v>
      </c>
      <c r="AE293" s="204" t="s">
        <v>125</v>
      </c>
      <c r="AF293" s="199"/>
      <c r="AG293" s="199"/>
      <c r="AH293" s="199"/>
      <c r="AI293" s="40" t="s">
        <v>6</v>
      </c>
      <c r="AJ293" s="218"/>
      <c r="AK293" s="199"/>
      <c r="AL293" s="218" t="s">
        <v>709</v>
      </c>
      <c r="AM293" s="199"/>
      <c r="AN293" s="199"/>
      <c r="AO293" s="199"/>
      <c r="AP293" s="199"/>
      <c r="AQ293" s="199"/>
      <c r="AR293" s="199"/>
      <c r="AS293" s="199"/>
      <c r="AT293" s="199"/>
      <c r="AU293" s="199"/>
      <c r="AV293" s="199"/>
      <c r="AW293" s="18"/>
    </row>
    <row r="294" spans="1:87" s="236" customFormat="1" ht="26.4">
      <c r="A294" s="40">
        <f t="shared" si="26"/>
        <v>288</v>
      </c>
      <c r="J294" s="218" t="s">
        <v>756</v>
      </c>
      <c r="K294" s="204" t="s">
        <v>140</v>
      </c>
      <c r="L294" s="204" t="s">
        <v>754</v>
      </c>
      <c r="M294" s="351"/>
      <c r="N294" s="40" t="s">
        <v>504</v>
      </c>
      <c r="O294" s="199"/>
      <c r="P294" s="199"/>
      <c r="Q294" s="40" t="s">
        <v>6</v>
      </c>
      <c r="R294" s="40" t="s">
        <v>6</v>
      </c>
      <c r="S294" s="40" t="s">
        <v>6</v>
      </c>
      <c r="T294" s="126" t="s">
        <v>6</v>
      </c>
      <c r="U294" s="200" t="s">
        <v>757</v>
      </c>
      <c r="V294" s="204"/>
      <c r="W294" s="204" t="s">
        <v>140</v>
      </c>
      <c r="X294" s="199"/>
      <c r="Y294" s="199"/>
      <c r="Z294" s="40" t="s">
        <v>6</v>
      </c>
      <c r="AA294" s="40" t="s">
        <v>6</v>
      </c>
      <c r="AB294" s="218"/>
      <c r="AC294" s="199"/>
      <c r="AD294" s="218" t="s">
        <v>709</v>
      </c>
      <c r="AE294" s="204" t="s">
        <v>137</v>
      </c>
      <c r="AF294" s="199"/>
      <c r="AG294" s="199"/>
      <c r="AH294" s="199"/>
      <c r="AI294" s="40" t="s">
        <v>6</v>
      </c>
      <c r="AJ294" s="218"/>
      <c r="AK294" s="199"/>
      <c r="AL294" s="218" t="s">
        <v>709</v>
      </c>
      <c r="AM294" s="199"/>
      <c r="AN294" s="199"/>
      <c r="AO294" s="199"/>
      <c r="AP294" s="199"/>
      <c r="AQ294" s="199"/>
      <c r="AR294" s="199"/>
      <c r="AS294" s="199"/>
      <c r="AT294" s="199"/>
      <c r="AU294" s="199"/>
      <c r="AV294" s="199"/>
      <c r="AW294" s="155">
        <f t="shared" si="27"/>
        <v>12</v>
      </c>
    </row>
    <row r="295" spans="1:87" s="236" customFormat="1" ht="15">
      <c r="A295" s="40">
        <f t="shared" si="26"/>
        <v>289</v>
      </c>
      <c r="J295" s="218" t="s">
        <v>3479</v>
      </c>
      <c r="K295" s="204" t="s">
        <v>117</v>
      </c>
      <c r="L295" s="204" t="s">
        <v>2484</v>
      </c>
      <c r="M295" s="351"/>
      <c r="N295" s="40" t="s">
        <v>504</v>
      </c>
      <c r="O295" s="199"/>
      <c r="P295" s="199"/>
      <c r="Q295" s="40" t="s">
        <v>6</v>
      </c>
      <c r="R295" s="40" t="s">
        <v>6</v>
      </c>
      <c r="S295" s="40" t="s">
        <v>6</v>
      </c>
      <c r="T295" s="126" t="s">
        <v>6</v>
      </c>
      <c r="U295" s="200" t="s">
        <v>1303</v>
      </c>
      <c r="V295" s="204"/>
      <c r="W295" s="204"/>
      <c r="X295" s="199"/>
      <c r="Y295" s="199"/>
      <c r="Z295" s="40"/>
      <c r="AA295" s="40"/>
      <c r="AB295" s="218"/>
      <c r="AC295" s="199"/>
      <c r="AD295" s="218"/>
      <c r="AE295" s="204"/>
      <c r="AF295" s="199"/>
      <c r="AG295" s="199"/>
      <c r="AH295" s="199"/>
      <c r="AI295" s="40"/>
      <c r="AJ295" s="218"/>
      <c r="AK295" s="199"/>
      <c r="AL295" s="218"/>
      <c r="AM295" s="199"/>
      <c r="AN295" s="199"/>
      <c r="AO295" s="199"/>
      <c r="AP295" s="199"/>
      <c r="AQ295" s="199"/>
      <c r="AR295" s="199"/>
      <c r="AS295" s="199"/>
      <c r="AT295" s="199"/>
      <c r="AU295" s="199"/>
      <c r="AV295" s="199"/>
      <c r="AW295" s="155"/>
    </row>
    <row r="296" spans="1:87" s="236" customFormat="1" ht="26.4">
      <c r="A296" s="40">
        <f t="shared" si="26"/>
        <v>290</v>
      </c>
      <c r="J296" s="218" t="s">
        <v>3490</v>
      </c>
      <c r="K296" s="204" t="s">
        <v>128</v>
      </c>
      <c r="L296" s="204" t="s">
        <v>1699</v>
      </c>
      <c r="M296" s="351"/>
      <c r="N296" s="40" t="s">
        <v>504</v>
      </c>
      <c r="O296" s="199"/>
      <c r="P296" s="199"/>
      <c r="Q296" s="40" t="s">
        <v>6</v>
      </c>
      <c r="R296" s="40"/>
      <c r="S296" s="40" t="s">
        <v>6</v>
      </c>
      <c r="T296" s="126" t="s">
        <v>6</v>
      </c>
      <c r="U296" s="204" t="s">
        <v>3493</v>
      </c>
      <c r="V296" s="204"/>
      <c r="W296" s="204"/>
      <c r="X296" s="199"/>
      <c r="Y296" s="199"/>
      <c r="Z296" s="40"/>
      <c r="AA296" s="40"/>
      <c r="AB296" s="218"/>
      <c r="AC296" s="199"/>
      <c r="AD296" s="218"/>
      <c r="AE296" s="204"/>
      <c r="AF296" s="199"/>
      <c r="AG296" s="199"/>
      <c r="AH296" s="199"/>
      <c r="AI296" s="40"/>
      <c r="AJ296" s="218"/>
      <c r="AK296" s="199"/>
      <c r="AL296" s="218"/>
      <c r="AM296" s="199"/>
      <c r="AN296" s="199"/>
      <c r="AO296" s="199"/>
      <c r="AP296" s="199"/>
      <c r="AQ296" s="199"/>
      <c r="AR296" s="199"/>
      <c r="AS296" s="199"/>
      <c r="AT296" s="199"/>
      <c r="AU296" s="199"/>
      <c r="AV296" s="199"/>
      <c r="AW296" s="155"/>
    </row>
    <row r="297" spans="1:87" s="236" customFormat="1" ht="26.4">
      <c r="A297" s="40">
        <f t="shared" si="26"/>
        <v>291</v>
      </c>
      <c r="J297" s="218" t="s">
        <v>3491</v>
      </c>
      <c r="K297" s="204" t="s">
        <v>128</v>
      </c>
      <c r="L297" s="204" t="s">
        <v>1699</v>
      </c>
      <c r="M297" s="351"/>
      <c r="N297" s="40" t="s">
        <v>504</v>
      </c>
      <c r="O297" s="199"/>
      <c r="P297" s="199"/>
      <c r="Q297" s="40" t="s">
        <v>6</v>
      </c>
      <c r="R297" s="40"/>
      <c r="S297" s="40" t="s">
        <v>6</v>
      </c>
      <c r="T297" s="126" t="s">
        <v>6</v>
      </c>
      <c r="U297" s="204" t="s">
        <v>3493</v>
      </c>
      <c r="V297" s="204"/>
      <c r="W297" s="204"/>
      <c r="X297" s="199"/>
      <c r="Y297" s="199"/>
      <c r="Z297" s="40"/>
      <c r="AA297" s="40"/>
      <c r="AB297" s="218"/>
      <c r="AC297" s="199"/>
      <c r="AD297" s="218"/>
      <c r="AE297" s="204"/>
      <c r="AF297" s="199"/>
      <c r="AG297" s="199"/>
      <c r="AH297" s="199"/>
      <c r="AI297" s="40"/>
      <c r="AJ297" s="218"/>
      <c r="AK297" s="199"/>
      <c r="AL297" s="218"/>
      <c r="AM297" s="199"/>
      <c r="AN297" s="199"/>
      <c r="AO297" s="199"/>
      <c r="AP297" s="199"/>
      <c r="AQ297" s="199"/>
      <c r="AR297" s="199"/>
      <c r="AS297" s="199"/>
      <c r="AT297" s="199"/>
      <c r="AU297" s="199"/>
      <c r="AV297" s="199"/>
      <c r="AW297" s="155"/>
    </row>
    <row r="298" spans="1:87" s="236" customFormat="1" ht="26.4">
      <c r="A298" s="40">
        <f t="shared" si="26"/>
        <v>292</v>
      </c>
      <c r="J298" s="218" t="s">
        <v>3492</v>
      </c>
      <c r="K298" s="204" t="s">
        <v>128</v>
      </c>
      <c r="L298" s="204" t="s">
        <v>1699</v>
      </c>
      <c r="M298" s="351"/>
      <c r="N298" s="40" t="s">
        <v>504</v>
      </c>
      <c r="O298" s="199"/>
      <c r="P298" s="199"/>
      <c r="Q298" s="40" t="s">
        <v>6</v>
      </c>
      <c r="R298" s="40"/>
      <c r="S298" s="40" t="s">
        <v>6</v>
      </c>
      <c r="T298" s="126" t="s">
        <v>6</v>
      </c>
      <c r="U298" s="204" t="s">
        <v>3493</v>
      </c>
      <c r="V298" s="204"/>
      <c r="W298" s="204"/>
      <c r="X298" s="199"/>
      <c r="Y298" s="199"/>
      <c r="Z298" s="40"/>
      <c r="AA298" s="40"/>
      <c r="AB298" s="218"/>
      <c r="AC298" s="199"/>
      <c r="AD298" s="218"/>
      <c r="AE298" s="204"/>
      <c r="AF298" s="199"/>
      <c r="AG298" s="199"/>
      <c r="AH298" s="199"/>
      <c r="AI298" s="40"/>
      <c r="AJ298" s="218"/>
      <c r="AK298" s="199"/>
      <c r="AL298" s="218"/>
      <c r="AM298" s="199"/>
      <c r="AN298" s="199"/>
      <c r="AO298" s="199"/>
      <c r="AP298" s="199"/>
      <c r="AQ298" s="199"/>
      <c r="AR298" s="199"/>
      <c r="AS298" s="199"/>
      <c r="AT298" s="199"/>
      <c r="AU298" s="199"/>
      <c r="AV298" s="199"/>
      <c r="AW298" s="155"/>
    </row>
    <row r="299" spans="1:87" s="236" customFormat="1" ht="52.8">
      <c r="A299" s="40">
        <f t="shared" si="26"/>
        <v>293</v>
      </c>
      <c r="J299" s="412" t="s">
        <v>3503</v>
      </c>
      <c r="K299" s="232" t="s">
        <v>117</v>
      </c>
      <c r="L299" s="204" t="s">
        <v>3502</v>
      </c>
      <c r="M299" s="351"/>
      <c r="N299" s="126" t="s">
        <v>504</v>
      </c>
      <c r="O299" s="126"/>
      <c r="P299" s="126"/>
      <c r="Q299" s="126" t="s">
        <v>6</v>
      </c>
      <c r="R299" s="126" t="s">
        <v>6</v>
      </c>
      <c r="S299" s="126" t="s">
        <v>6</v>
      </c>
      <c r="T299" s="126" t="s">
        <v>6</v>
      </c>
      <c r="U299" s="200" t="s">
        <v>3504</v>
      </c>
      <c r="V299" s="204"/>
      <c r="W299" s="204"/>
      <c r="X299" s="199"/>
      <c r="Y299" s="199"/>
      <c r="Z299" s="40"/>
      <c r="AA299" s="40"/>
      <c r="AB299" s="218"/>
      <c r="AC299" s="199"/>
      <c r="AD299" s="218"/>
      <c r="AE299" s="204"/>
      <c r="AF299" s="199"/>
      <c r="AG299" s="199"/>
      <c r="AH299" s="199"/>
      <c r="AI299" s="40"/>
      <c r="AJ299" s="218"/>
      <c r="AK299" s="199"/>
      <c r="AL299" s="218"/>
      <c r="AM299" s="199"/>
      <c r="AN299" s="199"/>
      <c r="AO299" s="199"/>
      <c r="AP299" s="199"/>
      <c r="AQ299" s="199"/>
      <c r="AR299" s="199"/>
      <c r="AS299" s="199"/>
      <c r="AT299" s="199"/>
      <c r="AU299" s="199"/>
      <c r="AV299" s="199"/>
      <c r="AW299" s="155"/>
    </row>
    <row r="300" spans="1:87" s="155" customFormat="1" ht="15">
      <c r="A300" s="40">
        <f t="shared" si="26"/>
        <v>294</v>
      </c>
      <c r="B300" s="232"/>
      <c r="C300" s="41"/>
      <c r="D300" s="232"/>
      <c r="E300" s="232"/>
      <c r="F300" s="232"/>
      <c r="G300" s="232"/>
      <c r="H300" s="40"/>
      <c r="I300" s="40" t="s">
        <v>868</v>
      </c>
      <c r="J300" s="412" t="s">
        <v>4064</v>
      </c>
      <c r="K300" s="204" t="s">
        <v>117</v>
      </c>
      <c r="L300" s="204" t="s">
        <v>4065</v>
      </c>
      <c r="M300" s="351"/>
      <c r="N300" s="40" t="s">
        <v>504</v>
      </c>
      <c r="O300" s="416"/>
      <c r="P300" s="416"/>
      <c r="Q300" s="40" t="s">
        <v>6</v>
      </c>
      <c r="R300" s="40" t="s">
        <v>6</v>
      </c>
      <c r="S300" s="40" t="s">
        <v>6</v>
      </c>
      <c r="T300" s="40"/>
      <c r="U300" s="204" t="s">
        <v>4066</v>
      </c>
      <c r="V300" s="204"/>
      <c r="W300" s="204" t="s">
        <v>133</v>
      </c>
      <c r="X300" s="416"/>
      <c r="Y300" s="416"/>
      <c r="Z300" s="126" t="s">
        <v>6</v>
      </c>
      <c r="AA300" s="126" t="s">
        <v>6</v>
      </c>
      <c r="AB300" s="415"/>
      <c r="AC300" s="415"/>
      <c r="AD300" s="415"/>
      <c r="AE300" s="204" t="s">
        <v>133</v>
      </c>
      <c r="AF300" s="416"/>
      <c r="AG300" s="416"/>
      <c r="AH300" s="126" t="s">
        <v>6</v>
      </c>
      <c r="AI300" s="126" t="s">
        <v>6</v>
      </c>
      <c r="AJ300" s="415"/>
      <c r="AK300" s="415"/>
      <c r="AL300" s="415"/>
      <c r="AM300" s="198"/>
      <c r="AN300" s="232"/>
      <c r="AO300" s="198"/>
      <c r="AP300" s="198"/>
      <c r="AQ300" s="198"/>
      <c r="AR300" s="198"/>
      <c r="AS300" s="198"/>
      <c r="AT300" s="198"/>
      <c r="AU300" s="40"/>
      <c r="AV300" s="198"/>
      <c r="AX300" s="14"/>
      <c r="AY300" s="14"/>
      <c r="AZ300" s="14"/>
      <c r="BA300" s="14"/>
      <c r="BB300" s="14"/>
      <c r="BC300" s="14"/>
      <c r="BD300" s="14"/>
      <c r="BE300" s="14"/>
      <c r="BF300" s="14"/>
      <c r="BG300" s="14"/>
      <c r="BH300" s="14"/>
      <c r="BI300" s="14"/>
      <c r="BJ300" s="14"/>
      <c r="BK300" s="14"/>
      <c r="BL300" s="14"/>
      <c r="BM300" s="14"/>
      <c r="BN300" s="14"/>
      <c r="BO300" s="14"/>
      <c r="BP300" s="14"/>
      <c r="BQ300" s="14"/>
      <c r="BR300" s="14"/>
      <c r="BS300" s="14"/>
      <c r="BT300" s="14"/>
      <c r="BU300" s="14"/>
      <c r="BV300" s="14"/>
      <c r="BW300" s="14"/>
      <c r="BX300" s="14"/>
      <c r="BY300" s="14"/>
      <c r="BZ300" s="14"/>
      <c r="CA300" s="14"/>
      <c r="CB300" s="14"/>
      <c r="CC300" s="14"/>
      <c r="CD300" s="14"/>
      <c r="CE300" s="14"/>
      <c r="CF300" s="14"/>
      <c r="CG300" s="14"/>
      <c r="CH300" s="14"/>
      <c r="CI300" s="14"/>
    </row>
    <row r="301" spans="1:87" s="155" customFormat="1" ht="15">
      <c r="A301" s="40">
        <f t="shared" si="26"/>
        <v>295</v>
      </c>
      <c r="B301" s="232"/>
      <c r="C301" s="41"/>
      <c r="D301" s="232"/>
      <c r="E301" s="232"/>
      <c r="F301" s="232"/>
      <c r="G301" s="232"/>
      <c r="H301" s="40"/>
      <c r="I301" s="40" t="s">
        <v>868</v>
      </c>
      <c r="J301" s="412" t="s">
        <v>4067</v>
      </c>
      <c r="K301" s="204" t="s">
        <v>132</v>
      </c>
      <c r="L301" s="204" t="s">
        <v>4068</v>
      </c>
      <c r="M301" s="351" t="s">
        <v>3602</v>
      </c>
      <c r="N301" s="40" t="s">
        <v>504</v>
      </c>
      <c r="O301" s="416"/>
      <c r="P301" s="416"/>
      <c r="Q301" s="40" t="s">
        <v>6</v>
      </c>
      <c r="R301" s="40" t="s">
        <v>6</v>
      </c>
      <c r="S301" s="40" t="s">
        <v>6</v>
      </c>
      <c r="T301" s="40"/>
      <c r="U301" s="204"/>
      <c r="V301" s="204"/>
      <c r="W301" s="204" t="s">
        <v>133</v>
      </c>
      <c r="X301" s="416"/>
      <c r="Y301" s="416"/>
      <c r="Z301" s="126" t="s">
        <v>6</v>
      </c>
      <c r="AA301" s="126" t="s">
        <v>6</v>
      </c>
      <c r="AB301" s="415"/>
      <c r="AC301" s="415"/>
      <c r="AD301" s="415"/>
      <c r="AE301" s="204" t="s">
        <v>133</v>
      </c>
      <c r="AF301" s="416"/>
      <c r="AG301" s="416"/>
      <c r="AH301" s="126" t="s">
        <v>6</v>
      </c>
      <c r="AI301" s="126" t="s">
        <v>6</v>
      </c>
      <c r="AJ301" s="415"/>
      <c r="AK301" s="415"/>
      <c r="AL301" s="415"/>
      <c r="AM301" s="198"/>
      <c r="AN301" s="232"/>
      <c r="AO301" s="198"/>
      <c r="AP301" s="198"/>
      <c r="AQ301" s="198"/>
      <c r="AR301" s="198"/>
      <c r="AS301" s="198"/>
      <c r="AT301" s="198"/>
      <c r="AU301" s="40"/>
      <c r="AV301" s="198"/>
      <c r="AX301" s="14"/>
      <c r="AY301" s="14"/>
      <c r="AZ301" s="14"/>
      <c r="BA301" s="14"/>
      <c r="BB301" s="14"/>
      <c r="BC301" s="14"/>
      <c r="BD301" s="14"/>
      <c r="BE301" s="14"/>
      <c r="BF301" s="14"/>
      <c r="BG301" s="14"/>
      <c r="BH301" s="14"/>
      <c r="BI301" s="14"/>
      <c r="BJ301" s="14"/>
      <c r="BK301" s="14"/>
      <c r="BL301" s="14"/>
      <c r="BM301" s="14"/>
      <c r="BN301" s="14"/>
      <c r="BO301" s="14"/>
      <c r="BP301" s="14"/>
      <c r="BQ301" s="14"/>
      <c r="BR301" s="14"/>
      <c r="BS301" s="14"/>
      <c r="BT301" s="14"/>
      <c r="BU301" s="14"/>
      <c r="BV301" s="14"/>
      <c r="BW301" s="14"/>
      <c r="BX301" s="14"/>
      <c r="BY301" s="14"/>
      <c r="BZ301" s="14"/>
      <c r="CA301" s="14"/>
      <c r="CB301" s="14"/>
      <c r="CC301" s="14"/>
      <c r="CD301" s="14"/>
      <c r="CE301" s="14"/>
      <c r="CF301" s="14"/>
      <c r="CG301" s="14"/>
      <c r="CH301" s="14"/>
      <c r="CI301" s="14"/>
    </row>
    <row r="302" spans="1:87" s="14" customFormat="1" ht="15">
      <c r="A302" s="40">
        <f t="shared" si="26"/>
        <v>296</v>
      </c>
      <c r="B302" s="232"/>
      <c r="C302" s="41"/>
      <c r="D302" s="232"/>
      <c r="E302" s="232"/>
      <c r="F302" s="232"/>
      <c r="G302" s="232"/>
      <c r="H302" s="40"/>
      <c r="I302" s="40" t="s">
        <v>868</v>
      </c>
      <c r="J302" s="412" t="s">
        <v>4069</v>
      </c>
      <c r="K302" s="204" t="s">
        <v>122</v>
      </c>
      <c r="L302" s="204" t="s">
        <v>4070</v>
      </c>
      <c r="M302" s="351" t="s">
        <v>4071</v>
      </c>
      <c r="N302" s="40" t="s">
        <v>873</v>
      </c>
      <c r="O302" s="40"/>
      <c r="P302" s="40"/>
      <c r="Q302" s="40"/>
      <c r="R302" s="40" t="s">
        <v>6</v>
      </c>
      <c r="S302" s="40" t="s">
        <v>6</v>
      </c>
      <c r="T302" s="40"/>
      <c r="U302" s="218" t="s">
        <v>4066</v>
      </c>
      <c r="V302" s="204"/>
      <c r="W302" s="204" t="s">
        <v>125</v>
      </c>
      <c r="X302" s="199"/>
      <c r="Y302" s="199"/>
      <c r="Z302" s="199"/>
      <c r="AA302" s="126" t="s">
        <v>6</v>
      </c>
      <c r="AB302" s="415"/>
      <c r="AC302" s="415"/>
      <c r="AD302" s="415"/>
      <c r="AE302" s="204" t="s">
        <v>125</v>
      </c>
      <c r="AF302" s="199"/>
      <c r="AG302" s="199"/>
      <c r="AH302" s="199"/>
      <c r="AI302" s="126" t="s">
        <v>6</v>
      </c>
      <c r="AJ302" s="415"/>
      <c r="AK302" s="415"/>
      <c r="AL302" s="415"/>
      <c r="AM302" s="198" t="s">
        <v>875</v>
      </c>
      <c r="AN302" s="200"/>
      <c r="AO302" s="40"/>
      <c r="AP302" s="40"/>
      <c r="AQ302" s="40"/>
      <c r="AR302" s="40"/>
      <c r="AS302" s="40"/>
      <c r="AT302" s="40"/>
      <c r="AU302" s="198"/>
      <c r="AV302" s="198"/>
      <c r="AW302" s="155"/>
    </row>
    <row r="303" spans="1:87" s="14" customFormat="1" ht="15">
      <c r="A303" s="40">
        <f t="shared" si="26"/>
        <v>297</v>
      </c>
      <c r="B303" s="232"/>
      <c r="C303" s="41"/>
      <c r="D303" s="232"/>
      <c r="E303" s="232"/>
      <c r="F303" s="232"/>
      <c r="G303" s="232"/>
      <c r="H303" s="40"/>
      <c r="I303" s="40" t="s">
        <v>868</v>
      </c>
      <c r="J303" s="412" t="s">
        <v>4072</v>
      </c>
      <c r="K303" s="204" t="s">
        <v>122</v>
      </c>
      <c r="L303" s="204" t="s">
        <v>4073</v>
      </c>
      <c r="M303" s="351" t="s">
        <v>4071</v>
      </c>
      <c r="N303" s="40" t="s">
        <v>873</v>
      </c>
      <c r="O303" s="40"/>
      <c r="P303" s="40"/>
      <c r="Q303" s="40"/>
      <c r="R303" s="40" t="s">
        <v>6</v>
      </c>
      <c r="S303" s="40" t="s">
        <v>6</v>
      </c>
      <c r="T303" s="40"/>
      <c r="U303" s="218" t="s">
        <v>4066</v>
      </c>
      <c r="V303" s="204"/>
      <c r="W303" s="204" t="s">
        <v>125</v>
      </c>
      <c r="X303" s="199"/>
      <c r="Y303" s="199"/>
      <c r="Z303" s="199"/>
      <c r="AA303" s="126" t="s">
        <v>6</v>
      </c>
      <c r="AB303" s="415"/>
      <c r="AC303" s="415"/>
      <c r="AD303" s="415"/>
      <c r="AE303" s="204" t="s">
        <v>125</v>
      </c>
      <c r="AF303" s="199"/>
      <c r="AG303" s="199"/>
      <c r="AH303" s="199"/>
      <c r="AI303" s="126" t="s">
        <v>6</v>
      </c>
      <c r="AJ303" s="415"/>
      <c r="AK303" s="415"/>
      <c r="AL303" s="415"/>
      <c r="AM303" s="198" t="s">
        <v>875</v>
      </c>
      <c r="AN303" s="200"/>
      <c r="AO303" s="40"/>
      <c r="AP303" s="40"/>
      <c r="AQ303" s="40"/>
      <c r="AR303" s="40"/>
      <c r="AS303" s="40"/>
      <c r="AT303" s="40"/>
      <c r="AU303" s="198"/>
      <c r="AV303" s="198"/>
      <c r="AW303" s="155"/>
    </row>
    <row r="304" spans="1:87" s="14" customFormat="1" ht="26.4">
      <c r="A304" s="40">
        <f t="shared" si="26"/>
        <v>298</v>
      </c>
      <c r="B304" s="232"/>
      <c r="C304" s="41"/>
      <c r="D304" s="232"/>
      <c r="E304" s="232"/>
      <c r="F304" s="232"/>
      <c r="G304" s="232"/>
      <c r="H304" s="40"/>
      <c r="I304" s="40" t="s">
        <v>868</v>
      </c>
      <c r="J304" s="412" t="s">
        <v>4074</v>
      </c>
      <c r="K304" s="204" t="s">
        <v>122</v>
      </c>
      <c r="L304" s="204" t="s">
        <v>4075</v>
      </c>
      <c r="M304" s="351" t="s">
        <v>4071</v>
      </c>
      <c r="N304" s="40" t="s">
        <v>873</v>
      </c>
      <c r="O304" s="40"/>
      <c r="P304" s="40"/>
      <c r="Q304" s="40"/>
      <c r="R304" s="40" t="s">
        <v>6</v>
      </c>
      <c r="S304" s="40" t="s">
        <v>6</v>
      </c>
      <c r="T304" s="40"/>
      <c r="U304" s="218" t="s">
        <v>4066</v>
      </c>
      <c r="V304" s="204"/>
      <c r="W304" s="204" t="s">
        <v>125</v>
      </c>
      <c r="X304" s="199"/>
      <c r="Y304" s="199"/>
      <c r="Z304" s="199"/>
      <c r="AA304" s="126" t="s">
        <v>6</v>
      </c>
      <c r="AB304" s="415"/>
      <c r="AC304" s="415"/>
      <c r="AD304" s="415"/>
      <c r="AE304" s="204" t="s">
        <v>125</v>
      </c>
      <c r="AF304" s="199"/>
      <c r="AG304" s="199"/>
      <c r="AH304" s="199"/>
      <c r="AI304" s="126" t="s">
        <v>6</v>
      </c>
      <c r="AJ304" s="415"/>
      <c r="AK304" s="415"/>
      <c r="AL304" s="415"/>
      <c r="AM304" s="198" t="s">
        <v>875</v>
      </c>
      <c r="AN304" s="200"/>
      <c r="AO304" s="40"/>
      <c r="AP304" s="40"/>
      <c r="AQ304" s="40"/>
      <c r="AR304" s="40"/>
      <c r="AS304" s="40"/>
      <c r="AT304" s="40"/>
      <c r="AU304" s="198"/>
      <c r="AV304" s="198"/>
      <c r="AW304" s="155"/>
    </row>
    <row r="305" spans="1:51" s="14" customFormat="1" ht="15">
      <c r="A305" s="40">
        <f t="shared" si="26"/>
        <v>299</v>
      </c>
      <c r="B305" s="38"/>
      <c r="C305" s="41"/>
      <c r="D305" s="232"/>
      <c r="E305" s="232"/>
      <c r="F305" s="232"/>
      <c r="G305" s="232"/>
      <c r="H305" s="40"/>
      <c r="I305" s="40" t="s">
        <v>868</v>
      </c>
      <c r="J305" s="412" t="s">
        <v>4076</v>
      </c>
      <c r="K305" s="204" t="s">
        <v>122</v>
      </c>
      <c r="L305" s="204" t="s">
        <v>4077</v>
      </c>
      <c r="M305" s="351" t="s">
        <v>4071</v>
      </c>
      <c r="N305" s="40" t="s">
        <v>873</v>
      </c>
      <c r="O305" s="40"/>
      <c r="P305" s="40"/>
      <c r="Q305" s="40" t="s">
        <v>6</v>
      </c>
      <c r="R305" s="40" t="s">
        <v>6</v>
      </c>
      <c r="S305" s="40" t="s">
        <v>6</v>
      </c>
      <c r="T305" s="40"/>
      <c r="U305" s="204" t="s">
        <v>4078</v>
      </c>
      <c r="V305" s="204"/>
      <c r="W305" s="204" t="s">
        <v>123</v>
      </c>
      <c r="X305" s="199"/>
      <c r="Y305" s="199"/>
      <c r="Z305" s="126" t="s">
        <v>6</v>
      </c>
      <c r="AA305" s="126" t="s">
        <v>6</v>
      </c>
      <c r="AB305" s="415"/>
      <c r="AC305" s="415"/>
      <c r="AD305" s="235" t="s">
        <v>881</v>
      </c>
      <c r="AE305" s="204" t="s">
        <v>123</v>
      </c>
      <c r="AF305" s="199"/>
      <c r="AG305" s="199"/>
      <c r="AH305" s="126" t="s">
        <v>6</v>
      </c>
      <c r="AI305" s="126" t="s">
        <v>6</v>
      </c>
      <c r="AJ305" s="415"/>
      <c r="AK305" s="415"/>
      <c r="AL305" s="235" t="s">
        <v>881</v>
      </c>
      <c r="AM305" s="198" t="s">
        <v>875</v>
      </c>
      <c r="AN305" s="232"/>
      <c r="AO305" s="198"/>
      <c r="AP305" s="198"/>
      <c r="AQ305" s="198"/>
      <c r="AR305" s="198"/>
      <c r="AS305" s="198"/>
      <c r="AT305" s="198"/>
      <c r="AU305" s="198"/>
      <c r="AV305" s="40"/>
      <c r="AW305" s="155"/>
    </row>
    <row r="306" spans="1:51" s="14" customFormat="1" ht="26.4">
      <c r="A306" s="40">
        <f t="shared" si="26"/>
        <v>300</v>
      </c>
      <c r="B306" s="38"/>
      <c r="C306" s="41"/>
      <c r="D306" s="232"/>
      <c r="E306" s="232"/>
      <c r="F306" s="232"/>
      <c r="G306" s="232"/>
      <c r="H306" s="40"/>
      <c r="I306" s="40" t="s">
        <v>868</v>
      </c>
      <c r="J306" s="412" t="s">
        <v>4079</v>
      </c>
      <c r="K306" s="204" t="s">
        <v>122</v>
      </c>
      <c r="L306" s="204" t="s">
        <v>4080</v>
      </c>
      <c r="M306" s="351" t="s">
        <v>4071</v>
      </c>
      <c r="N306" s="40" t="s">
        <v>873</v>
      </c>
      <c r="O306" s="40"/>
      <c r="P306" s="40"/>
      <c r="Q306" s="40"/>
      <c r="R306" s="40" t="s">
        <v>6</v>
      </c>
      <c r="S306" s="40" t="s">
        <v>6</v>
      </c>
      <c r="T306" s="40"/>
      <c r="U306" s="218" t="s">
        <v>4066</v>
      </c>
      <c r="V306" s="204"/>
      <c r="W306" s="204" t="s">
        <v>125</v>
      </c>
      <c r="X306" s="199"/>
      <c r="Y306" s="199"/>
      <c r="Z306" s="199"/>
      <c r="AA306" s="126" t="s">
        <v>6</v>
      </c>
      <c r="AB306" s="415"/>
      <c r="AC306" s="415"/>
      <c r="AD306" s="415"/>
      <c r="AE306" s="204" t="s">
        <v>125</v>
      </c>
      <c r="AF306" s="199"/>
      <c r="AG306" s="199"/>
      <c r="AH306" s="199"/>
      <c r="AI306" s="126" t="s">
        <v>6</v>
      </c>
      <c r="AJ306" s="415"/>
      <c r="AK306" s="415"/>
      <c r="AL306" s="415"/>
      <c r="AM306" s="198" t="s">
        <v>883</v>
      </c>
      <c r="AN306" s="200"/>
      <c r="AO306" s="198"/>
      <c r="AP306" s="198"/>
      <c r="AQ306" s="198"/>
      <c r="AR306" s="198"/>
      <c r="AS306" s="198"/>
      <c r="AT306" s="198"/>
      <c r="AU306" s="198"/>
      <c r="AV306" s="232"/>
      <c r="AW306" s="155"/>
    </row>
    <row r="307" spans="1:51" s="236" customFormat="1" ht="26.4">
      <c r="A307" s="40">
        <f t="shared" si="26"/>
        <v>301</v>
      </c>
      <c r="B307" s="38"/>
      <c r="C307" s="41"/>
      <c r="D307" s="38"/>
      <c r="E307" s="46"/>
      <c r="F307" s="46"/>
      <c r="G307" s="46"/>
      <c r="H307" s="40"/>
      <c r="I307" s="40" t="s">
        <v>868</v>
      </c>
      <c r="J307" s="412" t="s">
        <v>4081</v>
      </c>
      <c r="K307" s="204" t="s">
        <v>122</v>
      </c>
      <c r="L307" s="204" t="s">
        <v>4082</v>
      </c>
      <c r="M307" s="351" t="s">
        <v>4071</v>
      </c>
      <c r="N307" s="40" t="s">
        <v>873</v>
      </c>
      <c r="O307" s="40"/>
      <c r="P307" s="40"/>
      <c r="Q307" s="40"/>
      <c r="R307" s="40" t="s">
        <v>6</v>
      </c>
      <c r="S307" s="40" t="s">
        <v>6</v>
      </c>
      <c r="T307" s="40"/>
      <c r="U307" s="218" t="s">
        <v>4066</v>
      </c>
      <c r="V307" s="204"/>
      <c r="W307" s="204" t="s">
        <v>125</v>
      </c>
      <c r="X307" s="199"/>
      <c r="Y307" s="199"/>
      <c r="Z307" s="199"/>
      <c r="AA307" s="126" t="s">
        <v>6</v>
      </c>
      <c r="AB307" s="415"/>
      <c r="AC307" s="415"/>
      <c r="AD307" s="415"/>
      <c r="AE307" s="204" t="s">
        <v>125</v>
      </c>
      <c r="AF307" s="199"/>
      <c r="AG307" s="199"/>
      <c r="AH307" s="199"/>
      <c r="AI307" s="126" t="s">
        <v>6</v>
      </c>
      <c r="AJ307" s="415"/>
      <c r="AK307" s="415"/>
      <c r="AL307" s="415"/>
      <c r="AM307" s="198" t="s">
        <v>883</v>
      </c>
      <c r="AN307" s="200"/>
      <c r="AO307" s="40"/>
      <c r="AP307" s="40"/>
      <c r="AQ307" s="40"/>
      <c r="AR307" s="40"/>
      <c r="AS307" s="40"/>
      <c r="AT307" s="40"/>
      <c r="AU307" s="40"/>
      <c r="AV307" s="232"/>
      <c r="AW307" s="155"/>
    </row>
    <row r="308" spans="1:51" s="236" customFormat="1" ht="26.4">
      <c r="A308" s="40">
        <f t="shared" si="26"/>
        <v>302</v>
      </c>
      <c r="B308" s="38"/>
      <c r="C308" s="41"/>
      <c r="D308" s="38"/>
      <c r="E308" s="46"/>
      <c r="F308" s="46"/>
      <c r="G308" s="46"/>
      <c r="H308" s="40"/>
      <c r="I308" s="40" t="s">
        <v>868</v>
      </c>
      <c r="J308" s="412" t="s">
        <v>4083</v>
      </c>
      <c r="K308" s="204" t="s">
        <v>122</v>
      </c>
      <c r="L308" s="204" t="s">
        <v>4084</v>
      </c>
      <c r="M308" s="351" t="s">
        <v>4071</v>
      </c>
      <c r="N308" s="40" t="s">
        <v>873</v>
      </c>
      <c r="O308" s="40"/>
      <c r="P308" s="40"/>
      <c r="Q308" s="40"/>
      <c r="R308" s="40" t="s">
        <v>6</v>
      </c>
      <c r="S308" s="40" t="s">
        <v>6</v>
      </c>
      <c r="T308" s="40"/>
      <c r="U308" s="218" t="s">
        <v>4066</v>
      </c>
      <c r="V308" s="204"/>
      <c r="W308" s="204" t="s">
        <v>125</v>
      </c>
      <c r="X308" s="199"/>
      <c r="Y308" s="199"/>
      <c r="Z308" s="199"/>
      <c r="AA308" s="126" t="s">
        <v>6</v>
      </c>
      <c r="AB308" s="415"/>
      <c r="AC308" s="415"/>
      <c r="AD308" s="415"/>
      <c r="AE308" s="204" t="s">
        <v>125</v>
      </c>
      <c r="AF308" s="199"/>
      <c r="AG308" s="199"/>
      <c r="AH308" s="199"/>
      <c r="AI308" s="126" t="s">
        <v>6</v>
      </c>
      <c r="AJ308" s="415"/>
      <c r="AK308" s="415"/>
      <c r="AL308" s="415"/>
      <c r="AM308" s="198" t="s">
        <v>883</v>
      </c>
      <c r="AN308" s="200"/>
      <c r="AO308" s="40"/>
      <c r="AP308" s="40"/>
      <c r="AQ308" s="40"/>
      <c r="AR308" s="40"/>
      <c r="AS308" s="40"/>
      <c r="AT308" s="40"/>
      <c r="AU308" s="40"/>
      <c r="AV308" s="232"/>
      <c r="AW308" s="155"/>
    </row>
    <row r="309" spans="1:51" s="236" customFormat="1" ht="15">
      <c r="A309" s="40">
        <f t="shared" si="26"/>
        <v>303</v>
      </c>
      <c r="B309" s="38"/>
      <c r="C309" s="41"/>
      <c r="D309" s="38"/>
      <c r="E309" s="46"/>
      <c r="F309" s="46"/>
      <c r="G309" s="46"/>
      <c r="H309" s="40"/>
      <c r="I309" s="40" t="s">
        <v>868</v>
      </c>
      <c r="J309" s="412" t="s">
        <v>4085</v>
      </c>
      <c r="K309" s="204" t="s">
        <v>122</v>
      </c>
      <c r="L309" s="204" t="s">
        <v>4086</v>
      </c>
      <c r="M309" s="351" t="s">
        <v>4071</v>
      </c>
      <c r="N309" s="40" t="s">
        <v>873</v>
      </c>
      <c r="O309" s="40"/>
      <c r="P309" s="40"/>
      <c r="Q309" s="40" t="s">
        <v>6</v>
      </c>
      <c r="R309" s="40" t="s">
        <v>6</v>
      </c>
      <c r="S309" s="40" t="s">
        <v>6</v>
      </c>
      <c r="T309" s="40"/>
      <c r="U309" s="204" t="s">
        <v>4087</v>
      </c>
      <c r="V309" s="204"/>
      <c r="W309" s="204" t="s">
        <v>123</v>
      </c>
      <c r="X309" s="199"/>
      <c r="Y309" s="199"/>
      <c r="Z309" s="126" t="s">
        <v>6</v>
      </c>
      <c r="AA309" s="126" t="s">
        <v>6</v>
      </c>
      <c r="AB309" s="415"/>
      <c r="AC309" s="415"/>
      <c r="AD309" s="201" t="s">
        <v>881</v>
      </c>
      <c r="AE309" s="204" t="s">
        <v>123</v>
      </c>
      <c r="AF309" s="199"/>
      <c r="AG309" s="199"/>
      <c r="AH309" s="126" t="s">
        <v>6</v>
      </c>
      <c r="AI309" s="126" t="s">
        <v>6</v>
      </c>
      <c r="AJ309" s="415"/>
      <c r="AK309" s="415"/>
      <c r="AL309" s="201" t="s">
        <v>881</v>
      </c>
      <c r="AM309" s="198" t="s">
        <v>883</v>
      </c>
      <c r="AN309" s="232"/>
      <c r="AO309" s="198"/>
      <c r="AP309" s="198"/>
      <c r="AQ309" s="198"/>
      <c r="AR309" s="198"/>
      <c r="AS309" s="198"/>
      <c r="AT309" s="198"/>
      <c r="AU309" s="198"/>
      <c r="AV309" s="232"/>
      <c r="AW309" s="155"/>
    </row>
    <row r="310" spans="1:51" s="236" customFormat="1" ht="26.4">
      <c r="A310" s="40">
        <f t="shared" si="26"/>
        <v>304</v>
      </c>
      <c r="B310" s="38"/>
      <c r="C310" s="41"/>
      <c r="D310" s="38"/>
      <c r="E310" s="46"/>
      <c r="F310" s="46"/>
      <c r="G310" s="46"/>
      <c r="H310" s="40"/>
      <c r="I310" s="40"/>
      <c r="J310" s="412" t="s">
        <v>4088</v>
      </c>
      <c r="K310" s="204" t="s">
        <v>122</v>
      </c>
      <c r="L310" s="204" t="s">
        <v>4089</v>
      </c>
      <c r="M310" s="351" t="s">
        <v>4071</v>
      </c>
      <c r="N310" s="40" t="s">
        <v>873</v>
      </c>
      <c r="O310" s="40"/>
      <c r="P310" s="40"/>
      <c r="Q310" s="40"/>
      <c r="R310" s="40" t="s">
        <v>6</v>
      </c>
      <c r="S310" s="40" t="s">
        <v>6</v>
      </c>
      <c r="T310" s="40"/>
      <c r="U310" s="215" t="s">
        <v>4090</v>
      </c>
      <c r="V310" s="412"/>
      <c r="W310" s="204" t="s">
        <v>123</v>
      </c>
      <c r="X310" s="199"/>
      <c r="Y310" s="199"/>
      <c r="Z310" s="126" t="s">
        <v>6</v>
      </c>
      <c r="AA310" s="126"/>
      <c r="AB310" s="204" t="s">
        <v>887</v>
      </c>
      <c r="AC310" s="415"/>
      <c r="AD310" s="415"/>
      <c r="AE310" s="204" t="s">
        <v>123</v>
      </c>
      <c r="AF310" s="199"/>
      <c r="AG310" s="199"/>
      <c r="AH310" s="126"/>
      <c r="AI310" s="126"/>
      <c r="AJ310" s="204" t="s">
        <v>887</v>
      </c>
      <c r="AK310" s="415"/>
      <c r="AL310" s="415"/>
      <c r="AM310" s="198" t="s">
        <v>4091</v>
      </c>
      <c r="AN310" s="232"/>
      <c r="AO310" s="40"/>
      <c r="AP310" s="40"/>
      <c r="AQ310" s="40"/>
      <c r="AR310" s="40"/>
      <c r="AS310" s="40"/>
      <c r="AT310" s="40"/>
      <c r="AU310" s="40"/>
      <c r="AV310" s="232"/>
      <c r="AW310" s="155"/>
    </row>
    <row r="311" spans="1:51" s="14" customFormat="1" ht="39.6">
      <c r="A311" s="40">
        <f t="shared" si="26"/>
        <v>305</v>
      </c>
      <c r="B311" s="38"/>
      <c r="C311" s="41"/>
      <c r="D311" s="232"/>
      <c r="E311" s="232"/>
      <c r="F311" s="232"/>
      <c r="G311" s="232"/>
      <c r="H311" s="40"/>
      <c r="I311" s="40" t="s">
        <v>868</v>
      </c>
      <c r="J311" s="412" t="s">
        <v>892</v>
      </c>
      <c r="K311" s="204" t="s">
        <v>122</v>
      </c>
      <c r="L311" s="204" t="s">
        <v>4092</v>
      </c>
      <c r="M311" s="351" t="s">
        <v>4037</v>
      </c>
      <c r="N311" s="40" t="s">
        <v>873</v>
      </c>
      <c r="O311" s="40"/>
      <c r="P311" s="40"/>
      <c r="Q311" s="40"/>
      <c r="R311" s="40" t="s">
        <v>6</v>
      </c>
      <c r="S311" s="40" t="s">
        <v>6</v>
      </c>
      <c r="T311" s="40"/>
      <c r="U311" s="218"/>
      <c r="V311" s="215"/>
      <c r="W311" s="204" t="s">
        <v>125</v>
      </c>
      <c r="X311" s="199"/>
      <c r="Y311" s="199"/>
      <c r="Z311" s="199"/>
      <c r="AA311" s="126" t="s">
        <v>6</v>
      </c>
      <c r="AB311" s="415"/>
      <c r="AC311" s="415"/>
      <c r="AD311" s="412" t="s">
        <v>4093</v>
      </c>
      <c r="AE311" s="204" t="s">
        <v>125</v>
      </c>
      <c r="AF311" s="199"/>
      <c r="AG311" s="199"/>
      <c r="AH311" s="199"/>
      <c r="AI311" s="126" t="s">
        <v>6</v>
      </c>
      <c r="AJ311" s="415"/>
      <c r="AK311" s="415"/>
      <c r="AL311" s="412" t="s">
        <v>4093</v>
      </c>
      <c r="AM311" s="198" t="s">
        <v>891</v>
      </c>
      <c r="AN311" s="200"/>
      <c r="AO311" s="198"/>
      <c r="AP311" s="198"/>
      <c r="AQ311" s="198"/>
      <c r="AR311" s="198"/>
      <c r="AS311" s="198"/>
      <c r="AT311" s="198"/>
      <c r="AU311" s="198"/>
      <c r="AV311" s="198"/>
      <c r="AW311" s="155"/>
      <c r="AX311" s="237"/>
      <c r="AY311" s="238"/>
    </row>
    <row r="312" spans="1:51" s="236" customFormat="1" ht="39.6">
      <c r="A312" s="40">
        <f t="shared" si="26"/>
        <v>306</v>
      </c>
      <c r="B312" s="232"/>
      <c r="C312" s="41"/>
      <c r="D312" s="232"/>
      <c r="E312" s="232"/>
      <c r="F312" s="232"/>
      <c r="G312" s="232"/>
      <c r="H312" s="40"/>
      <c r="I312" s="40" t="s">
        <v>868</v>
      </c>
      <c r="J312" s="412" t="s">
        <v>4094</v>
      </c>
      <c r="K312" s="204" t="s">
        <v>122</v>
      </c>
      <c r="L312" s="204" t="s">
        <v>4095</v>
      </c>
      <c r="M312" s="351" t="s">
        <v>4037</v>
      </c>
      <c r="N312" s="40" t="s">
        <v>873</v>
      </c>
      <c r="O312" s="40"/>
      <c r="P312" s="40"/>
      <c r="Q312" s="40"/>
      <c r="R312" s="40" t="s">
        <v>6</v>
      </c>
      <c r="S312" s="40" t="s">
        <v>6</v>
      </c>
      <c r="T312" s="40"/>
      <c r="U312" s="218"/>
      <c r="V312" s="215"/>
      <c r="W312" s="204" t="s">
        <v>125</v>
      </c>
      <c r="X312" s="199"/>
      <c r="Y312" s="199"/>
      <c r="Z312" s="199"/>
      <c r="AA312" s="126" t="s">
        <v>6</v>
      </c>
      <c r="AB312" s="415"/>
      <c r="AC312" s="415"/>
      <c r="AD312" s="412" t="s">
        <v>4093</v>
      </c>
      <c r="AE312" s="204" t="s">
        <v>125</v>
      </c>
      <c r="AF312" s="199"/>
      <c r="AG312" s="199"/>
      <c r="AH312" s="199"/>
      <c r="AI312" s="126" t="s">
        <v>6</v>
      </c>
      <c r="AJ312" s="415"/>
      <c r="AK312" s="415"/>
      <c r="AL312" s="412" t="s">
        <v>4093</v>
      </c>
      <c r="AM312" s="198" t="s">
        <v>891</v>
      </c>
      <c r="AN312" s="200"/>
      <c r="AO312" s="198"/>
      <c r="AP312" s="198"/>
      <c r="AQ312" s="198"/>
      <c r="AR312" s="198"/>
      <c r="AS312" s="198"/>
      <c r="AT312" s="198"/>
      <c r="AU312" s="40"/>
      <c r="AV312" s="198"/>
      <c r="AW312" s="155"/>
    </row>
    <row r="313" spans="1:51" s="236" customFormat="1" ht="39.6">
      <c r="A313" s="40">
        <f t="shared" si="26"/>
        <v>307</v>
      </c>
      <c r="B313" s="232"/>
      <c r="C313" s="41"/>
      <c r="D313" s="232"/>
      <c r="E313" s="232"/>
      <c r="F313" s="232"/>
      <c r="G313" s="232"/>
      <c r="H313" s="40"/>
      <c r="I313" s="40" t="s">
        <v>868</v>
      </c>
      <c r="J313" s="412" t="s">
        <v>4096</v>
      </c>
      <c r="K313" s="204" t="s">
        <v>122</v>
      </c>
      <c r="L313" s="204" t="s">
        <v>4097</v>
      </c>
      <c r="M313" s="351" t="s">
        <v>4037</v>
      </c>
      <c r="N313" s="40" t="s">
        <v>873</v>
      </c>
      <c r="O313" s="40"/>
      <c r="P313" s="40"/>
      <c r="Q313" s="40"/>
      <c r="R313" s="40" t="s">
        <v>6</v>
      </c>
      <c r="S313" s="40" t="s">
        <v>6</v>
      </c>
      <c r="T313" s="40"/>
      <c r="U313" s="218"/>
      <c r="V313" s="215"/>
      <c r="W313" s="204" t="s">
        <v>125</v>
      </c>
      <c r="X313" s="199"/>
      <c r="Y313" s="199"/>
      <c r="Z313" s="199"/>
      <c r="AA313" s="126" t="s">
        <v>6</v>
      </c>
      <c r="AB313" s="415"/>
      <c r="AC313" s="415"/>
      <c r="AD313" s="412" t="s">
        <v>4093</v>
      </c>
      <c r="AE313" s="204" t="s">
        <v>125</v>
      </c>
      <c r="AF313" s="199"/>
      <c r="AG313" s="199"/>
      <c r="AH313" s="199"/>
      <c r="AI313" s="126" t="s">
        <v>6</v>
      </c>
      <c r="AJ313" s="415"/>
      <c r="AK313" s="415"/>
      <c r="AL313" s="412" t="s">
        <v>4093</v>
      </c>
      <c r="AM313" s="198" t="s">
        <v>891</v>
      </c>
      <c r="AN313" s="200"/>
      <c r="AO313" s="198"/>
      <c r="AP313" s="198"/>
      <c r="AQ313" s="198"/>
      <c r="AR313" s="198"/>
      <c r="AS313" s="198"/>
      <c r="AT313" s="198"/>
      <c r="AU313" s="198"/>
      <c r="AV313" s="198"/>
      <c r="AW313" s="155"/>
    </row>
    <row r="314" spans="1:51" s="236" customFormat="1" ht="39.6">
      <c r="A314" s="40">
        <f t="shared" si="26"/>
        <v>308</v>
      </c>
      <c r="B314" s="232"/>
      <c r="C314" s="48"/>
      <c r="D314" s="232"/>
      <c r="E314" s="232"/>
      <c r="F314" s="232"/>
      <c r="G314" s="232"/>
      <c r="H314" s="40"/>
      <c r="I314" s="40" t="s">
        <v>868</v>
      </c>
      <c r="J314" s="412" t="s">
        <v>4098</v>
      </c>
      <c r="K314" s="204" t="s">
        <v>122</v>
      </c>
      <c r="L314" s="204" t="s">
        <v>4099</v>
      </c>
      <c r="M314" s="351" t="s">
        <v>4037</v>
      </c>
      <c r="N314" s="40" t="s">
        <v>873</v>
      </c>
      <c r="O314" s="40"/>
      <c r="P314" s="40"/>
      <c r="Q314" s="40" t="s">
        <v>6</v>
      </c>
      <c r="R314" s="40" t="s">
        <v>6</v>
      </c>
      <c r="S314" s="40" t="s">
        <v>6</v>
      </c>
      <c r="T314" s="40"/>
      <c r="U314" s="215" t="s">
        <v>4100</v>
      </c>
      <c r="V314" s="215"/>
      <c r="W314" s="204" t="s">
        <v>123</v>
      </c>
      <c r="X314" s="199"/>
      <c r="Y314" s="199"/>
      <c r="Z314" s="126" t="s">
        <v>6</v>
      </c>
      <c r="AA314" s="126" t="s">
        <v>6</v>
      </c>
      <c r="AB314" s="215"/>
      <c r="AC314" s="415"/>
      <c r="AD314" s="415"/>
      <c r="AE314" s="204" t="s">
        <v>123</v>
      </c>
      <c r="AF314" s="199"/>
      <c r="AG314" s="199"/>
      <c r="AH314" s="126" t="s">
        <v>6</v>
      </c>
      <c r="AI314" s="126" t="s">
        <v>6</v>
      </c>
      <c r="AJ314" s="215" t="s">
        <v>4101</v>
      </c>
      <c r="AK314" s="415"/>
      <c r="AL314" s="415"/>
      <c r="AM314" s="198" t="s">
        <v>891</v>
      </c>
      <c r="AN314" s="202"/>
      <c r="AO314" s="40"/>
      <c r="AP314" s="40"/>
      <c r="AQ314" s="40"/>
      <c r="AR314" s="40"/>
      <c r="AS314" s="40"/>
      <c r="AT314" s="40"/>
      <c r="AU314" s="198"/>
      <c r="AV314" s="198"/>
      <c r="AW314" s="155"/>
    </row>
    <row r="315" spans="1:51" s="236" customFormat="1" ht="39.6">
      <c r="A315" s="40">
        <f t="shared" si="26"/>
        <v>309</v>
      </c>
      <c r="B315" s="38"/>
      <c r="C315" s="41"/>
      <c r="D315" s="232"/>
      <c r="E315" s="198"/>
      <c r="F315" s="198"/>
      <c r="G315" s="198"/>
      <c r="H315" s="40"/>
      <c r="I315" s="40" t="s">
        <v>868</v>
      </c>
      <c r="J315" s="412" t="s">
        <v>4102</v>
      </c>
      <c r="K315" s="204" t="s">
        <v>122</v>
      </c>
      <c r="L315" s="204" t="s">
        <v>4103</v>
      </c>
      <c r="M315" s="351" t="s">
        <v>4037</v>
      </c>
      <c r="N315" s="40" t="s">
        <v>873</v>
      </c>
      <c r="O315" s="40"/>
      <c r="P315" s="40"/>
      <c r="Q315" s="292" t="s">
        <v>6</v>
      </c>
      <c r="R315" s="40" t="s">
        <v>6</v>
      </c>
      <c r="S315" s="40" t="s">
        <v>6</v>
      </c>
      <c r="T315" s="292" t="s">
        <v>6</v>
      </c>
      <c r="U315" s="298" t="s">
        <v>1051</v>
      </c>
      <c r="V315" s="412"/>
      <c r="W315" s="204" t="s">
        <v>125</v>
      </c>
      <c r="X315" s="199"/>
      <c r="Y315" s="199"/>
      <c r="Z315" s="199"/>
      <c r="AA315" s="126" t="s">
        <v>6</v>
      </c>
      <c r="AB315" s="415"/>
      <c r="AC315" s="415"/>
      <c r="AD315" s="412" t="s">
        <v>4104</v>
      </c>
      <c r="AE315" s="204" t="s">
        <v>125</v>
      </c>
      <c r="AF315" s="199"/>
      <c r="AG315" s="199"/>
      <c r="AH315" s="199"/>
      <c r="AI315" s="126" t="s">
        <v>6</v>
      </c>
      <c r="AJ315" s="415"/>
      <c r="AK315" s="415"/>
      <c r="AL315" s="412" t="s">
        <v>4104</v>
      </c>
      <c r="AM315" s="198" t="s">
        <v>891</v>
      </c>
      <c r="AN315" s="40"/>
      <c r="AO315" s="198"/>
      <c r="AP315" s="198"/>
      <c r="AQ315" s="198"/>
      <c r="AR315" s="198"/>
      <c r="AS315" s="198"/>
      <c r="AT315" s="198"/>
      <c r="AU315" s="198"/>
      <c r="AV315" s="232"/>
      <c r="AW315" s="155"/>
    </row>
    <row r="316" spans="1:51" s="236" customFormat="1" ht="39.6">
      <c r="A316" s="40">
        <f t="shared" si="26"/>
        <v>310</v>
      </c>
      <c r="B316" s="38"/>
      <c r="C316" s="41"/>
      <c r="D316" s="232"/>
      <c r="E316" s="198"/>
      <c r="F316" s="198"/>
      <c r="G316" s="198"/>
      <c r="H316" s="40"/>
      <c r="I316" s="40" t="s">
        <v>868</v>
      </c>
      <c r="J316" s="412" t="s">
        <v>4105</v>
      </c>
      <c r="K316" s="204" t="s">
        <v>122</v>
      </c>
      <c r="L316" s="204" t="s">
        <v>4106</v>
      </c>
      <c r="M316" s="351" t="s">
        <v>4037</v>
      </c>
      <c r="N316" s="40" t="s">
        <v>873</v>
      </c>
      <c r="O316" s="40"/>
      <c r="P316" s="40"/>
      <c r="Q316" s="40"/>
      <c r="R316" s="40" t="s">
        <v>6</v>
      </c>
      <c r="S316" s="40" t="s">
        <v>6</v>
      </c>
      <c r="T316" s="40"/>
      <c r="U316" s="218"/>
      <c r="V316" s="412"/>
      <c r="W316" s="204" t="s">
        <v>125</v>
      </c>
      <c r="X316" s="199"/>
      <c r="Y316" s="199"/>
      <c r="Z316" s="199"/>
      <c r="AA316" s="126" t="s">
        <v>6</v>
      </c>
      <c r="AB316" s="415"/>
      <c r="AC316" s="415"/>
      <c r="AD316" s="412" t="s">
        <v>4104</v>
      </c>
      <c r="AE316" s="204" t="s">
        <v>125</v>
      </c>
      <c r="AF316" s="199"/>
      <c r="AG316" s="199"/>
      <c r="AH316" s="199"/>
      <c r="AI316" s="126" t="s">
        <v>6</v>
      </c>
      <c r="AJ316" s="415"/>
      <c r="AK316" s="415"/>
      <c r="AL316" s="412" t="s">
        <v>4104</v>
      </c>
      <c r="AM316" s="198" t="s">
        <v>891</v>
      </c>
      <c r="AN316" s="40"/>
      <c r="AO316" s="198"/>
      <c r="AP316" s="198"/>
      <c r="AQ316" s="198"/>
      <c r="AR316" s="198"/>
      <c r="AS316" s="198"/>
      <c r="AT316" s="198"/>
      <c r="AU316" s="198"/>
      <c r="AV316" s="232"/>
      <c r="AW316" s="155"/>
    </row>
    <row r="317" spans="1:51" s="236" customFormat="1" ht="39.6">
      <c r="A317" s="40">
        <f t="shared" si="26"/>
        <v>311</v>
      </c>
      <c r="B317" s="38"/>
      <c r="C317" s="41"/>
      <c r="D317" s="232"/>
      <c r="E317" s="198"/>
      <c r="F317" s="198"/>
      <c r="G317" s="198"/>
      <c r="H317" s="40"/>
      <c r="I317" s="40" t="s">
        <v>868</v>
      </c>
      <c r="J317" s="412" t="s">
        <v>4107</v>
      </c>
      <c r="K317" s="204" t="s">
        <v>122</v>
      </c>
      <c r="L317" s="204" t="s">
        <v>4108</v>
      </c>
      <c r="M317" s="351" t="s">
        <v>4037</v>
      </c>
      <c r="N317" s="40" t="s">
        <v>873</v>
      </c>
      <c r="O317" s="40"/>
      <c r="P317" s="40"/>
      <c r="Q317" s="292" t="s">
        <v>6</v>
      </c>
      <c r="R317" s="40" t="s">
        <v>6</v>
      </c>
      <c r="S317" s="40" t="s">
        <v>6</v>
      </c>
      <c r="T317" s="292" t="s">
        <v>6</v>
      </c>
      <c r="U317" s="298" t="s">
        <v>1051</v>
      </c>
      <c r="V317" s="412"/>
      <c r="W317" s="204" t="s">
        <v>125</v>
      </c>
      <c r="X317" s="199"/>
      <c r="Y317" s="199"/>
      <c r="Z317" s="199"/>
      <c r="AA317" s="126" t="s">
        <v>6</v>
      </c>
      <c r="AB317" s="415"/>
      <c r="AC317" s="415"/>
      <c r="AD317" s="412" t="s">
        <v>4104</v>
      </c>
      <c r="AE317" s="204" t="s">
        <v>125</v>
      </c>
      <c r="AF317" s="199"/>
      <c r="AG317" s="199"/>
      <c r="AH317" s="199"/>
      <c r="AI317" s="126" t="s">
        <v>6</v>
      </c>
      <c r="AJ317" s="415"/>
      <c r="AK317" s="415"/>
      <c r="AL317" s="412" t="s">
        <v>4104</v>
      </c>
      <c r="AM317" s="198" t="s">
        <v>891</v>
      </c>
      <c r="AN317" s="40"/>
      <c r="AO317" s="198"/>
      <c r="AP317" s="198"/>
      <c r="AQ317" s="198"/>
      <c r="AR317" s="198"/>
      <c r="AS317" s="198"/>
      <c r="AT317" s="198"/>
      <c r="AU317" s="198"/>
      <c r="AV317" s="232"/>
      <c r="AW317" s="155"/>
    </row>
    <row r="318" spans="1:51" s="236" customFormat="1" ht="39.6">
      <c r="A318" s="40">
        <f t="shared" si="26"/>
        <v>312</v>
      </c>
      <c r="B318" s="232"/>
      <c r="C318" s="41"/>
      <c r="D318" s="232"/>
      <c r="E318" s="232"/>
      <c r="F318" s="232"/>
      <c r="G318" s="232"/>
      <c r="H318" s="40"/>
      <c r="I318" s="40" t="s">
        <v>868</v>
      </c>
      <c r="J318" s="412" t="s">
        <v>4109</v>
      </c>
      <c r="K318" s="204" t="s">
        <v>122</v>
      </c>
      <c r="L318" s="204" t="s">
        <v>4110</v>
      </c>
      <c r="M318" s="351" t="s">
        <v>4037</v>
      </c>
      <c r="N318" s="40" t="s">
        <v>873</v>
      </c>
      <c r="O318" s="40"/>
      <c r="P318" s="40"/>
      <c r="Q318" s="40"/>
      <c r="R318" s="40" t="s">
        <v>6</v>
      </c>
      <c r="S318" s="40" t="s">
        <v>6</v>
      </c>
      <c r="T318" s="40"/>
      <c r="U318" s="218"/>
      <c r="V318" s="412"/>
      <c r="W318" s="204" t="s">
        <v>125</v>
      </c>
      <c r="X318" s="199"/>
      <c r="Y318" s="199"/>
      <c r="Z318" s="199"/>
      <c r="AA318" s="126" t="s">
        <v>6</v>
      </c>
      <c r="AB318" s="415"/>
      <c r="AC318" s="415"/>
      <c r="AD318" s="412" t="s">
        <v>4104</v>
      </c>
      <c r="AE318" s="204" t="s">
        <v>125</v>
      </c>
      <c r="AF318" s="199"/>
      <c r="AG318" s="199"/>
      <c r="AH318" s="199"/>
      <c r="AI318" s="126" t="s">
        <v>6</v>
      </c>
      <c r="AJ318" s="415"/>
      <c r="AK318" s="415"/>
      <c r="AL318" s="412" t="s">
        <v>4104</v>
      </c>
      <c r="AM318" s="198" t="s">
        <v>891</v>
      </c>
      <c r="AN318" s="40"/>
      <c r="AO318" s="198"/>
      <c r="AP318" s="198"/>
      <c r="AQ318" s="198"/>
      <c r="AR318" s="198"/>
      <c r="AS318" s="198"/>
      <c r="AT318" s="198"/>
      <c r="AU318" s="198"/>
      <c r="AV318" s="232"/>
      <c r="AW318" s="155"/>
    </row>
    <row r="319" spans="1:51" s="236" customFormat="1" ht="39.6">
      <c r="A319" s="40">
        <f t="shared" si="26"/>
        <v>313</v>
      </c>
      <c r="B319" s="38"/>
      <c r="C319" s="41"/>
      <c r="D319" s="232"/>
      <c r="E319" s="198"/>
      <c r="F319" s="198"/>
      <c r="G319" s="198"/>
      <c r="H319" s="40"/>
      <c r="I319" s="40" t="s">
        <v>868</v>
      </c>
      <c r="J319" s="412" t="s">
        <v>4111</v>
      </c>
      <c r="K319" s="204" t="s">
        <v>122</v>
      </c>
      <c r="L319" s="204" t="s">
        <v>4112</v>
      </c>
      <c r="M319" s="351" t="s">
        <v>4037</v>
      </c>
      <c r="N319" s="40" t="s">
        <v>873</v>
      </c>
      <c r="O319" s="40"/>
      <c r="P319" s="40"/>
      <c r="Q319" s="292" t="s">
        <v>6</v>
      </c>
      <c r="R319" s="40" t="s">
        <v>6</v>
      </c>
      <c r="S319" s="40" t="s">
        <v>6</v>
      </c>
      <c r="T319" s="292" t="s">
        <v>6</v>
      </c>
      <c r="U319" s="298" t="s">
        <v>1051</v>
      </c>
      <c r="V319" s="412"/>
      <c r="W319" s="204" t="s">
        <v>125</v>
      </c>
      <c r="X319" s="199"/>
      <c r="Y319" s="199"/>
      <c r="Z319" s="199"/>
      <c r="AA319" s="126" t="s">
        <v>6</v>
      </c>
      <c r="AB319" s="415"/>
      <c r="AC319" s="415"/>
      <c r="AD319" s="412" t="s">
        <v>4104</v>
      </c>
      <c r="AE319" s="204" t="s">
        <v>125</v>
      </c>
      <c r="AF319" s="199"/>
      <c r="AG319" s="199"/>
      <c r="AH319" s="199"/>
      <c r="AI319" s="126" t="s">
        <v>6</v>
      </c>
      <c r="AJ319" s="415"/>
      <c r="AK319" s="415"/>
      <c r="AL319" s="412" t="s">
        <v>4104</v>
      </c>
      <c r="AM319" s="198" t="s">
        <v>891</v>
      </c>
      <c r="AN319" s="40"/>
      <c r="AO319" s="198"/>
      <c r="AP319" s="198"/>
      <c r="AQ319" s="198"/>
      <c r="AR319" s="198"/>
      <c r="AS319" s="198"/>
      <c r="AT319" s="198"/>
      <c r="AU319" s="198"/>
      <c r="AV319" s="232"/>
      <c r="AW319" s="155"/>
    </row>
    <row r="320" spans="1:51" s="236" customFormat="1" ht="39.6">
      <c r="A320" s="40">
        <f t="shared" si="26"/>
        <v>314</v>
      </c>
      <c r="B320" s="232"/>
      <c r="C320" s="41"/>
      <c r="D320" s="232"/>
      <c r="E320" s="232"/>
      <c r="F320" s="232"/>
      <c r="G320" s="232"/>
      <c r="H320" s="40"/>
      <c r="I320" s="40" t="s">
        <v>868</v>
      </c>
      <c r="J320" s="412" t="s">
        <v>4113</v>
      </c>
      <c r="K320" s="204" t="s">
        <v>122</v>
      </c>
      <c r="L320" s="204" t="s">
        <v>4114</v>
      </c>
      <c r="M320" s="351" t="s">
        <v>4037</v>
      </c>
      <c r="N320" s="40" t="s">
        <v>873</v>
      </c>
      <c r="O320" s="40"/>
      <c r="P320" s="40"/>
      <c r="Q320" s="40"/>
      <c r="R320" s="40" t="s">
        <v>6</v>
      </c>
      <c r="S320" s="40" t="s">
        <v>6</v>
      </c>
      <c r="T320" s="40"/>
      <c r="U320" s="218"/>
      <c r="V320" s="412"/>
      <c r="W320" s="204" t="s">
        <v>125</v>
      </c>
      <c r="X320" s="199"/>
      <c r="Y320" s="199"/>
      <c r="Z320" s="199"/>
      <c r="AA320" s="126" t="s">
        <v>6</v>
      </c>
      <c r="AB320" s="350"/>
      <c r="AC320" s="415"/>
      <c r="AD320" s="412" t="s">
        <v>4104</v>
      </c>
      <c r="AE320" s="204" t="s">
        <v>125</v>
      </c>
      <c r="AF320" s="199"/>
      <c r="AG320" s="199"/>
      <c r="AH320" s="199"/>
      <c r="AI320" s="126" t="s">
        <v>6</v>
      </c>
      <c r="AJ320" s="350"/>
      <c r="AK320" s="415"/>
      <c r="AL320" s="412" t="s">
        <v>4104</v>
      </c>
      <c r="AM320" s="198" t="s">
        <v>891</v>
      </c>
      <c r="AN320" s="232"/>
      <c r="AO320" s="40"/>
      <c r="AP320" s="40"/>
      <c r="AQ320" s="40"/>
      <c r="AR320" s="40"/>
      <c r="AS320" s="40"/>
      <c r="AT320" s="40"/>
      <c r="AU320" s="198"/>
      <c r="AV320" s="198"/>
      <c r="AW320" s="155"/>
    </row>
    <row r="321" spans="1:49" s="236" customFormat="1" ht="39.6">
      <c r="A321" s="40">
        <f t="shared" si="26"/>
        <v>315</v>
      </c>
      <c r="B321" s="38"/>
      <c r="C321" s="41"/>
      <c r="D321" s="232"/>
      <c r="E321" s="198"/>
      <c r="F321" s="198"/>
      <c r="G321" s="198"/>
      <c r="H321" s="40"/>
      <c r="I321" s="40" t="s">
        <v>868</v>
      </c>
      <c r="J321" s="412" t="s">
        <v>4115</v>
      </c>
      <c r="K321" s="204" t="s">
        <v>122</v>
      </c>
      <c r="L321" s="204" t="s">
        <v>4116</v>
      </c>
      <c r="M321" s="351" t="s">
        <v>4037</v>
      </c>
      <c r="N321" s="40" t="s">
        <v>873</v>
      </c>
      <c r="O321" s="40"/>
      <c r="P321" s="40"/>
      <c r="Q321" s="40" t="s">
        <v>6</v>
      </c>
      <c r="R321" s="40" t="s">
        <v>6</v>
      </c>
      <c r="S321" s="40" t="s">
        <v>6</v>
      </c>
      <c r="T321" s="40"/>
      <c r="U321" s="218"/>
      <c r="V321" s="412"/>
      <c r="W321" s="204" t="s">
        <v>125</v>
      </c>
      <c r="X321" s="199"/>
      <c r="Y321" s="199"/>
      <c r="Z321" s="199"/>
      <c r="AA321" s="126" t="s">
        <v>6</v>
      </c>
      <c r="AB321" s="415"/>
      <c r="AC321" s="415"/>
      <c r="AD321" s="412" t="s">
        <v>4104</v>
      </c>
      <c r="AE321" s="204" t="s">
        <v>125</v>
      </c>
      <c r="AF321" s="199"/>
      <c r="AG321" s="199"/>
      <c r="AH321" s="199"/>
      <c r="AI321" s="126" t="s">
        <v>6</v>
      </c>
      <c r="AJ321" s="415"/>
      <c r="AK321" s="415"/>
      <c r="AL321" s="412" t="s">
        <v>4104</v>
      </c>
      <c r="AM321" s="198" t="s">
        <v>891</v>
      </c>
      <c r="AN321" s="40"/>
      <c r="AO321" s="198"/>
      <c r="AP321" s="198"/>
      <c r="AQ321" s="198"/>
      <c r="AR321" s="198"/>
      <c r="AS321" s="198"/>
      <c r="AT321" s="198"/>
      <c r="AU321" s="198"/>
      <c r="AV321" s="232"/>
      <c r="AW321" s="155"/>
    </row>
    <row r="322" spans="1:49" s="236" customFormat="1" ht="39.6">
      <c r="A322" s="40">
        <f t="shared" si="26"/>
        <v>316</v>
      </c>
      <c r="B322" s="232"/>
      <c r="C322" s="48"/>
      <c r="D322" s="232"/>
      <c r="E322" s="232"/>
      <c r="F322" s="232"/>
      <c r="G322" s="232"/>
      <c r="H322" s="40"/>
      <c r="I322" s="40" t="s">
        <v>868</v>
      </c>
      <c r="J322" s="412" t="s">
        <v>4117</v>
      </c>
      <c r="K322" s="204" t="s">
        <v>122</v>
      </c>
      <c r="L322" s="204" t="s">
        <v>4118</v>
      </c>
      <c r="M322" s="351" t="s">
        <v>4037</v>
      </c>
      <c r="N322" s="40" t="s">
        <v>873</v>
      </c>
      <c r="O322" s="40"/>
      <c r="P322" s="40"/>
      <c r="Q322" s="40" t="s">
        <v>6</v>
      </c>
      <c r="R322" s="40" t="s">
        <v>6</v>
      </c>
      <c r="S322" s="40" t="s">
        <v>6</v>
      </c>
      <c r="T322" s="40"/>
      <c r="U322" s="215"/>
      <c r="V322" s="215"/>
      <c r="W322" s="204" t="s">
        <v>123</v>
      </c>
      <c r="X322" s="199"/>
      <c r="Y322" s="199"/>
      <c r="Z322" s="126" t="s">
        <v>6</v>
      </c>
      <c r="AA322" s="126" t="s">
        <v>6</v>
      </c>
      <c r="AB322" s="215"/>
      <c r="AC322" s="415"/>
      <c r="AD322" s="415"/>
      <c r="AE322" s="204" t="s">
        <v>123</v>
      </c>
      <c r="AF322" s="199"/>
      <c r="AG322" s="199"/>
      <c r="AH322" s="126" t="s">
        <v>6</v>
      </c>
      <c r="AI322" s="126" t="s">
        <v>6</v>
      </c>
      <c r="AJ322" s="215" t="s">
        <v>4119</v>
      </c>
      <c r="AK322" s="415"/>
      <c r="AL322" s="415"/>
      <c r="AM322" s="198" t="s">
        <v>891</v>
      </c>
      <c r="AN322" s="202"/>
      <c r="AO322" s="40"/>
      <c r="AP322" s="40"/>
      <c r="AQ322" s="40"/>
      <c r="AR322" s="40"/>
      <c r="AS322" s="40"/>
      <c r="AT322" s="40"/>
      <c r="AU322" s="198"/>
      <c r="AV322" s="198"/>
      <c r="AW322" s="155"/>
    </row>
    <row r="323" spans="1:49" s="236" customFormat="1" ht="39.6">
      <c r="A323" s="40">
        <f t="shared" si="26"/>
        <v>317</v>
      </c>
      <c r="B323" s="232"/>
      <c r="C323" s="48"/>
      <c r="D323" s="232"/>
      <c r="E323" s="232"/>
      <c r="F323" s="232"/>
      <c r="G323" s="232"/>
      <c r="H323" s="40"/>
      <c r="I323" s="40" t="s">
        <v>868</v>
      </c>
      <c r="J323" s="412" t="s">
        <v>4120</v>
      </c>
      <c r="K323" s="204" t="s">
        <v>122</v>
      </c>
      <c r="L323" s="204" t="s">
        <v>4121</v>
      </c>
      <c r="M323" s="351" t="s">
        <v>4037</v>
      </c>
      <c r="N323" s="40" t="s">
        <v>873</v>
      </c>
      <c r="O323" s="40"/>
      <c r="P323" s="40"/>
      <c r="Q323" s="40" t="s">
        <v>6</v>
      </c>
      <c r="R323" s="40" t="s">
        <v>6</v>
      </c>
      <c r="S323" s="40" t="s">
        <v>6</v>
      </c>
      <c r="T323" s="40"/>
      <c r="U323" s="215"/>
      <c r="V323" s="215"/>
      <c r="W323" s="204" t="s">
        <v>123</v>
      </c>
      <c r="X323" s="199"/>
      <c r="Y323" s="199"/>
      <c r="Z323" s="126" t="s">
        <v>6</v>
      </c>
      <c r="AA323" s="126" t="s">
        <v>6</v>
      </c>
      <c r="AB323" s="215"/>
      <c r="AC323" s="415"/>
      <c r="AD323" s="415"/>
      <c r="AE323" s="204" t="s">
        <v>123</v>
      </c>
      <c r="AF323" s="199"/>
      <c r="AG323" s="199"/>
      <c r="AH323" s="126" t="s">
        <v>6</v>
      </c>
      <c r="AI323" s="126" t="s">
        <v>6</v>
      </c>
      <c r="AJ323" s="215" t="s">
        <v>4119</v>
      </c>
      <c r="AK323" s="415"/>
      <c r="AL323" s="415"/>
      <c r="AM323" s="198" t="s">
        <v>891</v>
      </c>
      <c r="AN323" s="202"/>
      <c r="AO323" s="40"/>
      <c r="AP323" s="40"/>
      <c r="AQ323" s="40"/>
      <c r="AR323" s="40"/>
      <c r="AS323" s="40"/>
      <c r="AT323" s="40"/>
      <c r="AU323" s="198"/>
      <c r="AV323" s="198"/>
      <c r="AW323" s="155"/>
    </row>
    <row r="324" spans="1:49" s="236" customFormat="1" ht="39.6">
      <c r="A324" s="40">
        <f t="shared" si="26"/>
        <v>318</v>
      </c>
      <c r="B324" s="232"/>
      <c r="C324" s="48"/>
      <c r="D324" s="232"/>
      <c r="E324" s="232"/>
      <c r="F324" s="232"/>
      <c r="G324" s="232"/>
      <c r="H324" s="40"/>
      <c r="I324" s="40" t="s">
        <v>868</v>
      </c>
      <c r="J324" s="412" t="s">
        <v>4122</v>
      </c>
      <c r="K324" s="204" t="s">
        <v>122</v>
      </c>
      <c r="L324" s="204" t="s">
        <v>4123</v>
      </c>
      <c r="M324" s="351" t="s">
        <v>4037</v>
      </c>
      <c r="N324" s="40" t="s">
        <v>873</v>
      </c>
      <c r="O324" s="40"/>
      <c r="P324" s="40"/>
      <c r="Q324" s="40" t="s">
        <v>6</v>
      </c>
      <c r="R324" s="40" t="s">
        <v>6</v>
      </c>
      <c r="S324" s="40" t="s">
        <v>6</v>
      </c>
      <c r="T324" s="40"/>
      <c r="U324" s="215"/>
      <c r="V324" s="215"/>
      <c r="W324" s="204" t="s">
        <v>123</v>
      </c>
      <c r="X324" s="199"/>
      <c r="Y324" s="199"/>
      <c r="Z324" s="126" t="s">
        <v>6</v>
      </c>
      <c r="AA324" s="126" t="s">
        <v>6</v>
      </c>
      <c r="AB324" s="215"/>
      <c r="AC324" s="415"/>
      <c r="AD324" s="415"/>
      <c r="AE324" s="204" t="s">
        <v>123</v>
      </c>
      <c r="AF324" s="199"/>
      <c r="AG324" s="199"/>
      <c r="AH324" s="126" t="s">
        <v>6</v>
      </c>
      <c r="AI324" s="126" t="s">
        <v>6</v>
      </c>
      <c r="AJ324" s="215" t="s">
        <v>4119</v>
      </c>
      <c r="AK324" s="415"/>
      <c r="AL324" s="415"/>
      <c r="AM324" s="198" t="s">
        <v>891</v>
      </c>
      <c r="AN324" s="202"/>
      <c r="AO324" s="40"/>
      <c r="AP324" s="40"/>
      <c r="AQ324" s="40"/>
      <c r="AR324" s="40"/>
      <c r="AS324" s="40"/>
      <c r="AT324" s="40"/>
      <c r="AU324" s="198"/>
      <c r="AV324" s="198"/>
      <c r="AW324" s="155"/>
    </row>
    <row r="325" spans="1:49" s="236" customFormat="1" ht="39.6">
      <c r="A325" s="40">
        <f t="shared" si="26"/>
        <v>319</v>
      </c>
      <c r="B325" s="232"/>
      <c r="C325" s="48"/>
      <c r="D325" s="232"/>
      <c r="E325" s="232"/>
      <c r="F325" s="232"/>
      <c r="G325" s="232"/>
      <c r="H325" s="40"/>
      <c r="I325" s="40" t="s">
        <v>868</v>
      </c>
      <c r="J325" s="412" t="s">
        <v>4124</v>
      </c>
      <c r="K325" s="204" t="s">
        <v>122</v>
      </c>
      <c r="L325" s="204" t="s">
        <v>4125</v>
      </c>
      <c r="M325" s="351" t="s">
        <v>4037</v>
      </c>
      <c r="N325" s="40" t="s">
        <v>873</v>
      </c>
      <c r="O325" s="40"/>
      <c r="P325" s="40"/>
      <c r="Q325" s="40" t="s">
        <v>6</v>
      </c>
      <c r="R325" s="40" t="s">
        <v>6</v>
      </c>
      <c r="S325" s="40" t="s">
        <v>6</v>
      </c>
      <c r="T325" s="40"/>
      <c r="U325" s="215"/>
      <c r="V325" s="215"/>
      <c r="W325" s="204" t="s">
        <v>123</v>
      </c>
      <c r="X325" s="199"/>
      <c r="Y325" s="199"/>
      <c r="Z325" s="126" t="s">
        <v>6</v>
      </c>
      <c r="AA325" s="126" t="s">
        <v>6</v>
      </c>
      <c r="AB325" s="215"/>
      <c r="AC325" s="415"/>
      <c r="AD325" s="415"/>
      <c r="AE325" s="204" t="s">
        <v>123</v>
      </c>
      <c r="AF325" s="199"/>
      <c r="AG325" s="199"/>
      <c r="AH325" s="126" t="s">
        <v>6</v>
      </c>
      <c r="AI325" s="126" t="s">
        <v>6</v>
      </c>
      <c r="AJ325" s="215" t="s">
        <v>4126</v>
      </c>
      <c r="AK325" s="415"/>
      <c r="AL325" s="415"/>
      <c r="AM325" s="198" t="s">
        <v>891</v>
      </c>
      <c r="AN325" s="202"/>
      <c r="AO325" s="40"/>
      <c r="AP325" s="40"/>
      <c r="AQ325" s="40"/>
      <c r="AR325" s="40"/>
      <c r="AS325" s="40"/>
      <c r="AT325" s="40"/>
      <c r="AU325" s="198"/>
      <c r="AV325" s="198"/>
      <c r="AW325" s="155"/>
    </row>
    <row r="326" spans="1:49" s="236" customFormat="1" ht="39.6">
      <c r="A326" s="40">
        <f t="shared" si="26"/>
        <v>320</v>
      </c>
      <c r="B326" s="232"/>
      <c r="C326" s="48"/>
      <c r="D326" s="232"/>
      <c r="E326" s="232"/>
      <c r="F326" s="232"/>
      <c r="G326" s="232"/>
      <c r="H326" s="40"/>
      <c r="I326" s="40" t="s">
        <v>868</v>
      </c>
      <c r="J326" s="412" t="s">
        <v>4127</v>
      </c>
      <c r="K326" s="204" t="s">
        <v>122</v>
      </c>
      <c r="L326" s="204" t="s">
        <v>4128</v>
      </c>
      <c r="M326" s="351" t="s">
        <v>4037</v>
      </c>
      <c r="N326" s="40" t="s">
        <v>873</v>
      </c>
      <c r="O326" s="40"/>
      <c r="P326" s="40"/>
      <c r="Q326" s="40" t="s">
        <v>6</v>
      </c>
      <c r="R326" s="40" t="s">
        <v>6</v>
      </c>
      <c r="S326" s="40" t="s">
        <v>6</v>
      </c>
      <c r="T326" s="40"/>
      <c r="U326" s="215"/>
      <c r="V326" s="215"/>
      <c r="W326" s="204" t="s">
        <v>123</v>
      </c>
      <c r="X326" s="199"/>
      <c r="Y326" s="199"/>
      <c r="Z326" s="126" t="s">
        <v>6</v>
      </c>
      <c r="AA326" s="126" t="s">
        <v>6</v>
      </c>
      <c r="AB326" s="215"/>
      <c r="AC326" s="415"/>
      <c r="AD326" s="415"/>
      <c r="AE326" s="204" t="s">
        <v>123</v>
      </c>
      <c r="AF326" s="199"/>
      <c r="AG326" s="199"/>
      <c r="AH326" s="126" t="s">
        <v>6</v>
      </c>
      <c r="AI326" s="126" t="s">
        <v>6</v>
      </c>
      <c r="AJ326" s="215" t="s">
        <v>4129</v>
      </c>
      <c r="AK326" s="415"/>
      <c r="AL326" s="415"/>
      <c r="AM326" s="198" t="s">
        <v>891</v>
      </c>
      <c r="AN326" s="202"/>
      <c r="AO326" s="40"/>
      <c r="AP326" s="40"/>
      <c r="AQ326" s="40"/>
      <c r="AR326" s="40"/>
      <c r="AS326" s="40"/>
      <c r="AT326" s="40"/>
      <c r="AU326" s="198"/>
      <c r="AV326" s="198"/>
      <c r="AW326" s="155"/>
    </row>
    <row r="327" spans="1:49" s="236" customFormat="1" ht="39.6">
      <c r="A327" s="40">
        <f t="shared" ref="A327:A390" si="30">ROW() - 6</f>
        <v>321</v>
      </c>
      <c r="B327" s="232"/>
      <c r="C327" s="48"/>
      <c r="D327" s="232"/>
      <c r="E327" s="232"/>
      <c r="F327" s="232"/>
      <c r="G327" s="232"/>
      <c r="H327" s="40"/>
      <c r="I327" s="40" t="s">
        <v>868</v>
      </c>
      <c r="J327" s="412" t="s">
        <v>4130</v>
      </c>
      <c r="K327" s="204" t="s">
        <v>122</v>
      </c>
      <c r="L327" s="204" t="s">
        <v>4131</v>
      </c>
      <c r="M327" s="351" t="s">
        <v>4037</v>
      </c>
      <c r="N327" s="40" t="s">
        <v>873</v>
      </c>
      <c r="O327" s="40"/>
      <c r="P327" s="40"/>
      <c r="Q327" s="40" t="s">
        <v>6</v>
      </c>
      <c r="R327" s="40" t="s">
        <v>6</v>
      </c>
      <c r="S327" s="40" t="s">
        <v>6</v>
      </c>
      <c r="T327" s="40"/>
      <c r="U327" s="215"/>
      <c r="V327" s="215"/>
      <c r="W327" s="204" t="s">
        <v>123</v>
      </c>
      <c r="X327" s="199"/>
      <c r="Y327" s="199"/>
      <c r="Z327" s="126" t="s">
        <v>6</v>
      </c>
      <c r="AA327" s="126" t="s">
        <v>6</v>
      </c>
      <c r="AB327" s="215"/>
      <c r="AC327" s="415"/>
      <c r="AD327" s="415"/>
      <c r="AE327" s="204" t="s">
        <v>123</v>
      </c>
      <c r="AF327" s="199"/>
      <c r="AG327" s="199"/>
      <c r="AH327" s="126" t="s">
        <v>6</v>
      </c>
      <c r="AI327" s="126" t="s">
        <v>6</v>
      </c>
      <c r="AJ327" s="215" t="s">
        <v>4132</v>
      </c>
      <c r="AK327" s="415"/>
      <c r="AL327" s="415"/>
      <c r="AM327" s="198" t="s">
        <v>891</v>
      </c>
      <c r="AN327" s="202"/>
      <c r="AO327" s="40"/>
      <c r="AP327" s="40"/>
      <c r="AQ327" s="40"/>
      <c r="AR327" s="40"/>
      <c r="AS327" s="40"/>
      <c r="AT327" s="40"/>
      <c r="AU327" s="198"/>
      <c r="AV327" s="198"/>
      <c r="AW327" s="155"/>
    </row>
    <row r="328" spans="1:49" s="236" customFormat="1" ht="26.4">
      <c r="A328" s="40">
        <f t="shared" si="30"/>
        <v>322</v>
      </c>
      <c r="B328" s="232"/>
      <c r="C328" s="41"/>
      <c r="D328" s="232"/>
      <c r="E328" s="232"/>
      <c r="F328" s="232"/>
      <c r="G328" s="232"/>
      <c r="H328" s="40"/>
      <c r="I328" s="40" t="s">
        <v>868</v>
      </c>
      <c r="J328" s="412" t="s">
        <v>4133</v>
      </c>
      <c r="K328" s="204" t="s">
        <v>132</v>
      </c>
      <c r="L328" s="457" t="s">
        <v>4134</v>
      </c>
      <c r="M328" s="351" t="s">
        <v>4033</v>
      </c>
      <c r="N328" s="40" t="s">
        <v>504</v>
      </c>
      <c r="O328" s="40"/>
      <c r="P328" s="40"/>
      <c r="Q328" s="40"/>
      <c r="R328" s="40" t="s">
        <v>6</v>
      </c>
      <c r="S328" s="40" t="s">
        <v>6</v>
      </c>
      <c r="T328" s="40"/>
      <c r="U328" s="218"/>
      <c r="V328" s="412"/>
      <c r="W328" s="204" t="s">
        <v>125</v>
      </c>
      <c r="X328" s="199"/>
      <c r="Y328" s="199"/>
      <c r="Z328" s="199"/>
      <c r="AA328" s="126" t="s">
        <v>6</v>
      </c>
      <c r="AB328" s="350"/>
      <c r="AC328" s="415"/>
      <c r="AD328" s="412" t="s">
        <v>906</v>
      </c>
      <c r="AE328" s="204" t="s">
        <v>125</v>
      </c>
      <c r="AF328" s="199"/>
      <c r="AG328" s="199"/>
      <c r="AH328" s="199"/>
      <c r="AI328" s="126" t="s">
        <v>6</v>
      </c>
      <c r="AJ328" s="350"/>
      <c r="AK328" s="415"/>
      <c r="AL328" s="412" t="s">
        <v>906</v>
      </c>
      <c r="AM328" s="198" t="s">
        <v>907</v>
      </c>
      <c r="AN328" s="203" t="s">
        <v>908</v>
      </c>
      <c r="AO328" s="40"/>
      <c r="AP328" s="40"/>
      <c r="AQ328" s="40"/>
      <c r="AR328" s="40"/>
      <c r="AS328" s="40"/>
      <c r="AT328" s="40"/>
      <c r="AU328" s="198"/>
      <c r="AV328" s="198"/>
      <c r="AW328" s="155"/>
    </row>
    <row r="329" spans="1:49" s="236" customFormat="1" ht="26.4">
      <c r="A329" s="40">
        <f t="shared" si="30"/>
        <v>323</v>
      </c>
      <c r="B329" s="38"/>
      <c r="C329" s="41"/>
      <c r="D329" s="232"/>
      <c r="E329" s="232"/>
      <c r="F329" s="232"/>
      <c r="G329" s="232"/>
      <c r="H329" s="40"/>
      <c r="I329" s="40" t="s">
        <v>868</v>
      </c>
      <c r="J329" s="412" t="s">
        <v>4135</v>
      </c>
      <c r="K329" s="204" t="s">
        <v>132</v>
      </c>
      <c r="L329" s="457" t="s">
        <v>4136</v>
      </c>
      <c r="M329" s="351" t="s">
        <v>4033</v>
      </c>
      <c r="N329" s="40" t="s">
        <v>504</v>
      </c>
      <c r="O329" s="40"/>
      <c r="P329" s="40"/>
      <c r="Q329" s="40"/>
      <c r="R329" s="40" t="s">
        <v>6</v>
      </c>
      <c r="S329" s="40" t="s">
        <v>6</v>
      </c>
      <c r="T329" s="40"/>
      <c r="U329" s="218"/>
      <c r="V329" s="412"/>
      <c r="W329" s="204" t="s">
        <v>125</v>
      </c>
      <c r="X329" s="199"/>
      <c r="Y329" s="199"/>
      <c r="Z329" s="199"/>
      <c r="AA329" s="126" t="s">
        <v>6</v>
      </c>
      <c r="AB329" s="415"/>
      <c r="AC329" s="415"/>
      <c r="AD329" s="412" t="s">
        <v>906</v>
      </c>
      <c r="AE329" s="204" t="s">
        <v>125</v>
      </c>
      <c r="AF329" s="199"/>
      <c r="AG329" s="199"/>
      <c r="AH329" s="199"/>
      <c r="AI329" s="126" t="s">
        <v>6</v>
      </c>
      <c r="AJ329" s="415"/>
      <c r="AK329" s="415"/>
      <c r="AL329" s="412" t="s">
        <v>906</v>
      </c>
      <c r="AM329" s="198" t="s">
        <v>907</v>
      </c>
      <c r="AN329" s="203" t="s">
        <v>908</v>
      </c>
      <c r="AO329" s="198"/>
      <c r="AP329" s="198"/>
      <c r="AQ329" s="198"/>
      <c r="AR329" s="198"/>
      <c r="AS329" s="198"/>
      <c r="AT329" s="198"/>
      <c r="AU329" s="198"/>
      <c r="AV329" s="40"/>
      <c r="AW329" s="155"/>
    </row>
    <row r="330" spans="1:49" s="236" customFormat="1" ht="26.4">
      <c r="A330" s="40">
        <f t="shared" si="30"/>
        <v>324</v>
      </c>
      <c r="B330" s="38"/>
      <c r="C330" s="41"/>
      <c r="D330" s="232"/>
      <c r="E330" s="232"/>
      <c r="F330" s="232"/>
      <c r="G330" s="232"/>
      <c r="H330" s="40"/>
      <c r="I330" s="40" t="s">
        <v>868</v>
      </c>
      <c r="J330" s="412" t="s">
        <v>4137</v>
      </c>
      <c r="K330" s="204" t="s">
        <v>132</v>
      </c>
      <c r="L330" s="457" t="s">
        <v>4138</v>
      </c>
      <c r="M330" s="351" t="s">
        <v>4033</v>
      </c>
      <c r="N330" s="40" t="s">
        <v>504</v>
      </c>
      <c r="O330" s="40"/>
      <c r="P330" s="40"/>
      <c r="Q330" s="40"/>
      <c r="R330" s="40" t="s">
        <v>6</v>
      </c>
      <c r="S330" s="40" t="s">
        <v>6</v>
      </c>
      <c r="T330" s="40"/>
      <c r="U330" s="218"/>
      <c r="V330" s="412"/>
      <c r="W330" s="204" t="s">
        <v>125</v>
      </c>
      <c r="X330" s="199"/>
      <c r="Y330" s="199"/>
      <c r="Z330" s="199"/>
      <c r="AA330" s="126" t="s">
        <v>6</v>
      </c>
      <c r="AB330" s="415"/>
      <c r="AC330" s="415"/>
      <c r="AD330" s="412" t="s">
        <v>906</v>
      </c>
      <c r="AE330" s="204" t="s">
        <v>125</v>
      </c>
      <c r="AF330" s="199"/>
      <c r="AG330" s="199"/>
      <c r="AH330" s="199"/>
      <c r="AI330" s="126" t="s">
        <v>6</v>
      </c>
      <c r="AJ330" s="415"/>
      <c r="AK330" s="415"/>
      <c r="AL330" s="412" t="s">
        <v>906</v>
      </c>
      <c r="AM330" s="198" t="s">
        <v>907</v>
      </c>
      <c r="AN330" s="203" t="s">
        <v>908</v>
      </c>
      <c r="AO330" s="198"/>
      <c r="AP330" s="198"/>
      <c r="AQ330" s="198"/>
      <c r="AR330" s="198"/>
      <c r="AS330" s="198"/>
      <c r="AT330" s="198"/>
      <c r="AU330" s="198"/>
      <c r="AV330" s="40"/>
      <c r="AW330" s="155"/>
    </row>
    <row r="331" spans="1:49" s="236" customFormat="1" ht="39.6">
      <c r="A331" s="40">
        <f t="shared" si="30"/>
        <v>325</v>
      </c>
      <c r="B331" s="38"/>
      <c r="C331" s="41"/>
      <c r="D331" s="232"/>
      <c r="E331" s="232"/>
      <c r="F331" s="232"/>
      <c r="G331" s="232"/>
      <c r="H331" s="40"/>
      <c r="I331" s="40" t="s">
        <v>868</v>
      </c>
      <c r="J331" s="412" t="s">
        <v>906</v>
      </c>
      <c r="K331" s="204" t="s">
        <v>132</v>
      </c>
      <c r="L331" s="240" t="s">
        <v>4139</v>
      </c>
      <c r="M331" s="351" t="s">
        <v>4033</v>
      </c>
      <c r="N331" s="40" t="s">
        <v>504</v>
      </c>
      <c r="O331" s="40"/>
      <c r="P331" s="40"/>
      <c r="Q331" s="40" t="s">
        <v>6</v>
      </c>
      <c r="R331" s="40" t="s">
        <v>6</v>
      </c>
      <c r="S331" s="40" t="s">
        <v>6</v>
      </c>
      <c r="T331" s="40"/>
      <c r="U331" s="215" t="s">
        <v>4140</v>
      </c>
      <c r="V331" s="215"/>
      <c r="W331" s="204" t="s">
        <v>133</v>
      </c>
      <c r="X331" s="199"/>
      <c r="Y331" s="199"/>
      <c r="Z331" s="126" t="s">
        <v>6</v>
      </c>
      <c r="AA331" s="126" t="s">
        <v>6</v>
      </c>
      <c r="AB331" s="215"/>
      <c r="AC331" s="415"/>
      <c r="AD331" s="235" t="s">
        <v>915</v>
      </c>
      <c r="AE331" s="204" t="s">
        <v>133</v>
      </c>
      <c r="AF331" s="199"/>
      <c r="AG331" s="199"/>
      <c r="AH331" s="126" t="s">
        <v>6</v>
      </c>
      <c r="AI331" s="126" t="s">
        <v>6</v>
      </c>
      <c r="AJ331" s="215" t="s">
        <v>4141</v>
      </c>
      <c r="AK331" s="415"/>
      <c r="AL331" s="235" t="s">
        <v>915</v>
      </c>
      <c r="AM331" s="198" t="s">
        <v>907</v>
      </c>
      <c r="AN331" s="203" t="s">
        <v>908</v>
      </c>
      <c r="AO331" s="198"/>
      <c r="AP331" s="198"/>
      <c r="AQ331" s="198"/>
      <c r="AR331" s="198"/>
      <c r="AS331" s="198"/>
      <c r="AT331" s="198"/>
      <c r="AU331" s="198"/>
      <c r="AV331" s="40"/>
      <c r="AW331" s="155"/>
    </row>
    <row r="332" spans="1:49" s="236" customFormat="1" ht="26.4">
      <c r="A332" s="40">
        <f t="shared" si="30"/>
        <v>326</v>
      </c>
      <c r="B332" s="38"/>
      <c r="C332" s="41"/>
      <c r="D332" s="232"/>
      <c r="E332" s="232"/>
      <c r="F332" s="232"/>
      <c r="G332" s="232"/>
      <c r="H332" s="40"/>
      <c r="I332" s="40" t="s">
        <v>868</v>
      </c>
      <c r="J332" s="412" t="s">
        <v>4142</v>
      </c>
      <c r="K332" s="204" t="s">
        <v>132</v>
      </c>
      <c r="L332" s="240" t="s">
        <v>4143</v>
      </c>
      <c r="M332" s="351" t="s">
        <v>4034</v>
      </c>
      <c r="N332" s="40" t="s">
        <v>504</v>
      </c>
      <c r="O332" s="40"/>
      <c r="P332" s="40"/>
      <c r="Q332" s="40" t="s">
        <v>6</v>
      </c>
      <c r="R332" s="40" t="s">
        <v>6</v>
      </c>
      <c r="S332" s="40" t="s">
        <v>6</v>
      </c>
      <c r="T332" s="40"/>
      <c r="U332" s="215" t="s">
        <v>4140</v>
      </c>
      <c r="V332" s="412"/>
      <c r="W332" s="204" t="s">
        <v>133</v>
      </c>
      <c r="X332" s="199"/>
      <c r="Y332" s="199"/>
      <c r="Z332" s="126" t="s">
        <v>6</v>
      </c>
      <c r="AA332" s="126" t="s">
        <v>6</v>
      </c>
      <c r="AB332" s="415"/>
      <c r="AC332" s="415"/>
      <c r="AD332" s="235" t="s">
        <v>915</v>
      </c>
      <c r="AE332" s="204" t="s">
        <v>133</v>
      </c>
      <c r="AF332" s="199"/>
      <c r="AG332" s="199"/>
      <c r="AH332" s="126" t="s">
        <v>6</v>
      </c>
      <c r="AI332" s="126" t="s">
        <v>6</v>
      </c>
      <c r="AJ332" s="415"/>
      <c r="AK332" s="415"/>
      <c r="AL332" s="235" t="s">
        <v>915</v>
      </c>
      <c r="AM332" s="198" t="s">
        <v>907</v>
      </c>
      <c r="AN332" s="203" t="s">
        <v>908</v>
      </c>
      <c r="AO332" s="198"/>
      <c r="AP332" s="198"/>
      <c r="AQ332" s="198"/>
      <c r="AR332" s="198"/>
      <c r="AS332" s="198"/>
      <c r="AT332" s="198"/>
      <c r="AU332" s="198"/>
      <c r="AV332" s="198"/>
      <c r="AW332" s="155"/>
    </row>
    <row r="333" spans="1:49" s="236" customFormat="1" ht="26.4">
      <c r="A333" s="40">
        <f t="shared" si="30"/>
        <v>327</v>
      </c>
      <c r="B333" s="38"/>
      <c r="C333" s="41"/>
      <c r="D333" s="38"/>
      <c r="E333" s="46"/>
      <c r="F333" s="46"/>
      <c r="G333" s="46"/>
      <c r="H333" s="40"/>
      <c r="I333" s="40" t="s">
        <v>868</v>
      </c>
      <c r="J333" s="412" t="s">
        <v>4144</v>
      </c>
      <c r="K333" s="204" t="s">
        <v>132</v>
      </c>
      <c r="L333" s="457" t="s">
        <v>4145</v>
      </c>
      <c r="M333" s="351" t="s">
        <v>4033</v>
      </c>
      <c r="N333" s="40" t="s">
        <v>504</v>
      </c>
      <c r="O333" s="40"/>
      <c r="P333" s="40"/>
      <c r="Q333" s="40"/>
      <c r="R333" s="40" t="s">
        <v>6</v>
      </c>
      <c r="S333" s="40" t="s">
        <v>6</v>
      </c>
      <c r="T333" s="40"/>
      <c r="U333" s="218"/>
      <c r="V333" s="412"/>
      <c r="W333" s="204" t="s">
        <v>125</v>
      </c>
      <c r="X333" s="199"/>
      <c r="Y333" s="199"/>
      <c r="Z333" s="199"/>
      <c r="AA333" s="126" t="s">
        <v>6</v>
      </c>
      <c r="AB333" s="415"/>
      <c r="AC333" s="415"/>
      <c r="AD333" s="412" t="s">
        <v>920</v>
      </c>
      <c r="AE333" s="204" t="s">
        <v>125</v>
      </c>
      <c r="AF333" s="199"/>
      <c r="AG333" s="199"/>
      <c r="AH333" s="199"/>
      <c r="AI333" s="126" t="s">
        <v>6</v>
      </c>
      <c r="AJ333" s="415"/>
      <c r="AK333" s="415"/>
      <c r="AL333" s="412" t="s">
        <v>920</v>
      </c>
      <c r="AM333" s="198" t="s">
        <v>907</v>
      </c>
      <c r="AN333" s="203" t="s">
        <v>908</v>
      </c>
      <c r="AO333" s="40"/>
      <c r="AP333" s="40"/>
      <c r="AQ333" s="40"/>
      <c r="AR333" s="40"/>
      <c r="AS333" s="40"/>
      <c r="AT333" s="40"/>
      <c r="AU333" s="40"/>
      <c r="AV333" s="232"/>
      <c r="AW333" s="155"/>
    </row>
    <row r="334" spans="1:49" s="236" customFormat="1" ht="26.4">
      <c r="A334" s="40">
        <f t="shared" si="30"/>
        <v>328</v>
      </c>
      <c r="B334" s="38"/>
      <c r="C334" s="41"/>
      <c r="D334" s="232"/>
      <c r="E334" s="198"/>
      <c r="F334" s="198"/>
      <c r="G334" s="198"/>
      <c r="H334" s="40"/>
      <c r="I334" s="40" t="s">
        <v>868</v>
      </c>
      <c r="J334" s="412" t="s">
        <v>4146</v>
      </c>
      <c r="K334" s="204" t="s">
        <v>132</v>
      </c>
      <c r="L334" s="458" t="s">
        <v>4147</v>
      </c>
      <c r="M334" s="351" t="s">
        <v>4033</v>
      </c>
      <c r="N334" s="40" t="s">
        <v>504</v>
      </c>
      <c r="O334" s="40"/>
      <c r="P334" s="40"/>
      <c r="Q334" s="40"/>
      <c r="R334" s="40" t="s">
        <v>6</v>
      </c>
      <c r="S334" s="40" t="s">
        <v>6</v>
      </c>
      <c r="T334" s="40"/>
      <c r="U334" s="218"/>
      <c r="V334" s="412"/>
      <c r="W334" s="204" t="s">
        <v>125</v>
      </c>
      <c r="X334" s="199"/>
      <c r="Y334" s="199"/>
      <c r="Z334" s="199"/>
      <c r="AA334" s="126" t="s">
        <v>6</v>
      </c>
      <c r="AB334" s="415"/>
      <c r="AC334" s="415"/>
      <c r="AD334" s="412" t="s">
        <v>920</v>
      </c>
      <c r="AE334" s="204" t="s">
        <v>125</v>
      </c>
      <c r="AF334" s="199"/>
      <c r="AG334" s="199"/>
      <c r="AH334" s="199"/>
      <c r="AI334" s="126" t="s">
        <v>6</v>
      </c>
      <c r="AJ334" s="415"/>
      <c r="AK334" s="415"/>
      <c r="AL334" s="412" t="s">
        <v>920</v>
      </c>
      <c r="AM334" s="198" t="s">
        <v>907</v>
      </c>
      <c r="AN334" s="203" t="s">
        <v>908</v>
      </c>
      <c r="AO334" s="198"/>
      <c r="AP334" s="198"/>
      <c r="AQ334" s="198"/>
      <c r="AR334" s="198"/>
      <c r="AS334" s="198"/>
      <c r="AT334" s="198"/>
      <c r="AU334" s="198"/>
      <c r="AV334" s="232"/>
      <c r="AW334" s="155"/>
    </row>
    <row r="335" spans="1:49" s="236" customFormat="1" ht="26.4">
      <c r="A335" s="40">
        <f t="shared" si="30"/>
        <v>329</v>
      </c>
      <c r="B335" s="232"/>
      <c r="C335" s="41"/>
      <c r="D335" s="232"/>
      <c r="E335" s="232"/>
      <c r="F335" s="232"/>
      <c r="G335" s="232"/>
      <c r="H335" s="40"/>
      <c r="I335" s="40" t="s">
        <v>868</v>
      </c>
      <c r="J335" s="412" t="s">
        <v>4148</v>
      </c>
      <c r="K335" s="204" t="s">
        <v>132</v>
      </c>
      <c r="L335" s="458" t="s">
        <v>4149</v>
      </c>
      <c r="M335" s="351" t="s">
        <v>4033</v>
      </c>
      <c r="N335" s="40" t="s">
        <v>504</v>
      </c>
      <c r="O335" s="40"/>
      <c r="P335" s="40"/>
      <c r="Q335" s="40"/>
      <c r="R335" s="40" t="s">
        <v>6</v>
      </c>
      <c r="S335" s="40" t="s">
        <v>6</v>
      </c>
      <c r="T335" s="40"/>
      <c r="U335" s="218"/>
      <c r="V335" s="412"/>
      <c r="W335" s="204" t="s">
        <v>125</v>
      </c>
      <c r="X335" s="199"/>
      <c r="Y335" s="199"/>
      <c r="Z335" s="199"/>
      <c r="AA335" s="126" t="s">
        <v>6</v>
      </c>
      <c r="AB335" s="415"/>
      <c r="AC335" s="415"/>
      <c r="AD335" s="412" t="s">
        <v>920</v>
      </c>
      <c r="AE335" s="204" t="s">
        <v>125</v>
      </c>
      <c r="AF335" s="199"/>
      <c r="AG335" s="199"/>
      <c r="AH335" s="199"/>
      <c r="AI335" s="126" t="s">
        <v>6</v>
      </c>
      <c r="AJ335" s="415"/>
      <c r="AK335" s="415"/>
      <c r="AL335" s="412" t="s">
        <v>920</v>
      </c>
      <c r="AM335" s="198" t="s">
        <v>907</v>
      </c>
      <c r="AN335" s="203" t="s">
        <v>908</v>
      </c>
      <c r="AO335" s="198"/>
      <c r="AP335" s="198"/>
      <c r="AQ335" s="198"/>
      <c r="AR335" s="198"/>
      <c r="AS335" s="198"/>
      <c r="AT335" s="198"/>
      <c r="AU335" s="198"/>
      <c r="AV335" s="232"/>
      <c r="AW335" s="155"/>
    </row>
    <row r="336" spans="1:49" s="236" customFormat="1" ht="39.6">
      <c r="A336" s="40">
        <f t="shared" si="30"/>
        <v>330</v>
      </c>
      <c r="B336" s="232"/>
      <c r="C336" s="41"/>
      <c r="D336" s="232"/>
      <c r="E336" s="232"/>
      <c r="F336" s="232"/>
      <c r="G336" s="232"/>
      <c r="H336" s="40"/>
      <c r="I336" s="40" t="s">
        <v>868</v>
      </c>
      <c r="J336" s="412" t="s">
        <v>920</v>
      </c>
      <c r="K336" s="204" t="s">
        <v>132</v>
      </c>
      <c r="L336" s="241" t="s">
        <v>4150</v>
      </c>
      <c r="M336" s="351" t="s">
        <v>4033</v>
      </c>
      <c r="N336" s="40" t="s">
        <v>504</v>
      </c>
      <c r="O336" s="40"/>
      <c r="P336" s="40"/>
      <c r="Q336" s="40" t="s">
        <v>6</v>
      </c>
      <c r="R336" s="40" t="s">
        <v>6</v>
      </c>
      <c r="S336" s="40" t="s">
        <v>6</v>
      </c>
      <c r="T336" s="40"/>
      <c r="U336" s="215" t="s">
        <v>4140</v>
      </c>
      <c r="V336" s="215"/>
      <c r="W336" s="204" t="s">
        <v>133</v>
      </c>
      <c r="X336" s="199"/>
      <c r="Y336" s="199"/>
      <c r="Z336" s="126" t="s">
        <v>6</v>
      </c>
      <c r="AA336" s="126" t="s">
        <v>6</v>
      </c>
      <c r="AB336" s="215"/>
      <c r="AC336" s="415"/>
      <c r="AD336" s="235" t="s">
        <v>915</v>
      </c>
      <c r="AE336" s="204" t="s">
        <v>133</v>
      </c>
      <c r="AF336" s="199"/>
      <c r="AG336" s="199"/>
      <c r="AH336" s="126" t="s">
        <v>6</v>
      </c>
      <c r="AI336" s="126" t="s">
        <v>6</v>
      </c>
      <c r="AJ336" s="215" t="s">
        <v>4151</v>
      </c>
      <c r="AK336" s="415"/>
      <c r="AL336" s="235" t="s">
        <v>915</v>
      </c>
      <c r="AM336" s="198" t="s">
        <v>907</v>
      </c>
      <c r="AN336" s="203" t="s">
        <v>908</v>
      </c>
      <c r="AO336" s="40"/>
      <c r="AP336" s="40"/>
      <c r="AQ336" s="40"/>
      <c r="AR336" s="40"/>
      <c r="AS336" s="40"/>
      <c r="AT336" s="40"/>
      <c r="AU336" s="198"/>
      <c r="AV336" s="198"/>
      <c r="AW336" s="155"/>
    </row>
    <row r="337" spans="1:49" s="236" customFormat="1" ht="26.4">
      <c r="A337" s="40">
        <f t="shared" si="30"/>
        <v>331</v>
      </c>
      <c r="B337" s="38"/>
      <c r="C337" s="41"/>
      <c r="D337" s="232"/>
      <c r="E337" s="232"/>
      <c r="F337" s="232"/>
      <c r="G337" s="232"/>
      <c r="H337" s="40"/>
      <c r="I337" s="40" t="s">
        <v>868</v>
      </c>
      <c r="J337" s="412" t="s">
        <v>4152</v>
      </c>
      <c r="K337" s="204" t="s">
        <v>132</v>
      </c>
      <c r="L337" s="241" t="s">
        <v>4153</v>
      </c>
      <c r="M337" s="351" t="s">
        <v>3836</v>
      </c>
      <c r="N337" s="40" t="s">
        <v>504</v>
      </c>
      <c r="O337" s="40"/>
      <c r="P337" s="40"/>
      <c r="Q337" s="40" t="s">
        <v>6</v>
      </c>
      <c r="R337" s="40" t="s">
        <v>6</v>
      </c>
      <c r="S337" s="40" t="s">
        <v>6</v>
      </c>
      <c r="T337" s="40"/>
      <c r="U337" s="215"/>
      <c r="V337" s="412"/>
      <c r="W337" s="204" t="s">
        <v>133</v>
      </c>
      <c r="X337" s="199"/>
      <c r="Y337" s="199"/>
      <c r="Z337" s="126" t="s">
        <v>6</v>
      </c>
      <c r="AA337" s="126" t="s">
        <v>6</v>
      </c>
      <c r="AB337" s="40"/>
      <c r="AC337" s="40"/>
      <c r="AD337" s="232" t="s">
        <v>915</v>
      </c>
      <c r="AE337" s="204" t="s">
        <v>133</v>
      </c>
      <c r="AF337" s="199"/>
      <c r="AG337" s="199"/>
      <c r="AH337" s="126" t="s">
        <v>6</v>
      </c>
      <c r="AI337" s="126" t="s">
        <v>6</v>
      </c>
      <c r="AJ337" s="40"/>
      <c r="AK337" s="40"/>
      <c r="AL337" s="232" t="s">
        <v>915</v>
      </c>
      <c r="AM337" s="198" t="s">
        <v>907</v>
      </c>
      <c r="AN337" s="203" t="s">
        <v>908</v>
      </c>
      <c r="AO337" s="198"/>
      <c r="AP337" s="198"/>
      <c r="AQ337" s="198"/>
      <c r="AR337" s="198"/>
      <c r="AS337" s="198"/>
      <c r="AT337" s="198"/>
      <c r="AU337" s="198"/>
      <c r="AV337" s="198"/>
      <c r="AW337" s="155"/>
    </row>
    <row r="338" spans="1:49" s="236" customFormat="1" ht="15">
      <c r="A338" s="40">
        <f t="shared" si="30"/>
        <v>332</v>
      </c>
      <c r="B338" s="38"/>
      <c r="C338" s="41"/>
      <c r="D338" s="232"/>
      <c r="E338" s="232"/>
      <c r="F338" s="232"/>
      <c r="G338" s="232"/>
      <c r="H338" s="40"/>
      <c r="I338" s="40" t="s">
        <v>868</v>
      </c>
      <c r="J338" s="412" t="s">
        <v>4154</v>
      </c>
      <c r="K338" s="204" t="s">
        <v>132</v>
      </c>
      <c r="L338" s="458" t="s">
        <v>4155</v>
      </c>
      <c r="M338" s="351" t="s">
        <v>3809</v>
      </c>
      <c r="N338" s="40" t="s">
        <v>504</v>
      </c>
      <c r="O338" s="40"/>
      <c r="P338" s="40"/>
      <c r="Q338" s="40" t="s">
        <v>6</v>
      </c>
      <c r="R338" s="40" t="s">
        <v>6</v>
      </c>
      <c r="S338" s="40" t="s">
        <v>6</v>
      </c>
      <c r="T338" s="40"/>
      <c r="U338" s="215"/>
      <c r="V338" s="412"/>
      <c r="W338" s="204" t="s">
        <v>133</v>
      </c>
      <c r="X338" s="199"/>
      <c r="Y338" s="199"/>
      <c r="Z338" s="126" t="s">
        <v>6</v>
      </c>
      <c r="AA338" s="126" t="s">
        <v>6</v>
      </c>
      <c r="AB338" s="40"/>
      <c r="AC338" s="40"/>
      <c r="AD338" s="232" t="s">
        <v>915</v>
      </c>
      <c r="AE338" s="204" t="s">
        <v>133</v>
      </c>
      <c r="AF338" s="199"/>
      <c r="AG338" s="199"/>
      <c r="AH338" s="126" t="s">
        <v>6</v>
      </c>
      <c r="AI338" s="126" t="s">
        <v>6</v>
      </c>
      <c r="AJ338" s="40"/>
      <c r="AK338" s="40"/>
      <c r="AL338" s="232" t="s">
        <v>915</v>
      </c>
      <c r="AM338" s="198" t="s">
        <v>907</v>
      </c>
      <c r="AN338" s="203" t="s">
        <v>908</v>
      </c>
      <c r="AO338" s="198"/>
      <c r="AP338" s="198"/>
      <c r="AQ338" s="198"/>
      <c r="AR338" s="198"/>
      <c r="AS338" s="198"/>
      <c r="AT338" s="198"/>
      <c r="AU338" s="198"/>
      <c r="AV338" s="232"/>
      <c r="AW338" s="155"/>
    </row>
    <row r="339" spans="1:49" s="236" customFormat="1" ht="15">
      <c r="A339" s="40">
        <f t="shared" si="30"/>
        <v>333</v>
      </c>
      <c r="B339" s="38"/>
      <c r="C339" s="41"/>
      <c r="D339" s="232"/>
      <c r="E339" s="232"/>
      <c r="F339" s="232"/>
      <c r="G339" s="232"/>
      <c r="H339" s="40"/>
      <c r="I339" s="40" t="s">
        <v>868</v>
      </c>
      <c r="J339" s="412" t="s">
        <v>4156</v>
      </c>
      <c r="K339" s="204" t="s">
        <v>132</v>
      </c>
      <c r="L339" s="458" t="s">
        <v>4157</v>
      </c>
      <c r="M339" s="351" t="s">
        <v>3809</v>
      </c>
      <c r="N339" s="40" t="s">
        <v>504</v>
      </c>
      <c r="O339" s="40"/>
      <c r="P339" s="40"/>
      <c r="Q339" s="40" t="s">
        <v>6</v>
      </c>
      <c r="R339" s="40" t="s">
        <v>6</v>
      </c>
      <c r="S339" s="40" t="s">
        <v>6</v>
      </c>
      <c r="T339" s="40"/>
      <c r="U339" s="215"/>
      <c r="V339" s="412"/>
      <c r="W339" s="204" t="s">
        <v>133</v>
      </c>
      <c r="X339" s="199"/>
      <c r="Y339" s="199"/>
      <c r="Z339" s="126" t="s">
        <v>6</v>
      </c>
      <c r="AA339" s="126" t="s">
        <v>6</v>
      </c>
      <c r="AB339" s="40"/>
      <c r="AC339" s="40"/>
      <c r="AD339" s="232" t="s">
        <v>915</v>
      </c>
      <c r="AE339" s="204" t="s">
        <v>133</v>
      </c>
      <c r="AF339" s="199"/>
      <c r="AG339" s="199"/>
      <c r="AH339" s="126" t="s">
        <v>6</v>
      </c>
      <c r="AI339" s="126" t="s">
        <v>6</v>
      </c>
      <c r="AJ339" s="40"/>
      <c r="AK339" s="40"/>
      <c r="AL339" s="232" t="s">
        <v>915</v>
      </c>
      <c r="AM339" s="198" t="s">
        <v>907</v>
      </c>
      <c r="AN339" s="203" t="s">
        <v>908</v>
      </c>
      <c r="AO339" s="198"/>
      <c r="AP339" s="198"/>
      <c r="AQ339" s="198"/>
      <c r="AR339" s="198"/>
      <c r="AS339" s="198"/>
      <c r="AT339" s="198"/>
      <c r="AU339" s="198"/>
      <c r="AV339" s="232"/>
      <c r="AW339" s="155"/>
    </row>
    <row r="340" spans="1:49" s="236" customFormat="1" ht="15">
      <c r="A340" s="40">
        <f t="shared" si="30"/>
        <v>334</v>
      </c>
      <c r="B340" s="38"/>
      <c r="C340" s="41"/>
      <c r="D340" s="232"/>
      <c r="E340" s="232"/>
      <c r="F340" s="232"/>
      <c r="G340" s="232"/>
      <c r="H340" s="40"/>
      <c r="I340" s="40" t="s">
        <v>868</v>
      </c>
      <c r="J340" s="412" t="s">
        <v>4158</v>
      </c>
      <c r="K340" s="204" t="s">
        <v>132</v>
      </c>
      <c r="L340" s="458" t="s">
        <v>4159</v>
      </c>
      <c r="M340" s="351" t="s">
        <v>3809</v>
      </c>
      <c r="N340" s="40" t="s">
        <v>504</v>
      </c>
      <c r="O340" s="40"/>
      <c r="P340" s="40"/>
      <c r="Q340" s="40" t="s">
        <v>6</v>
      </c>
      <c r="R340" s="40" t="s">
        <v>6</v>
      </c>
      <c r="S340" s="40" t="s">
        <v>6</v>
      </c>
      <c r="T340" s="40"/>
      <c r="U340" s="215"/>
      <c r="V340" s="412"/>
      <c r="W340" s="204" t="s">
        <v>133</v>
      </c>
      <c r="X340" s="199"/>
      <c r="Y340" s="199"/>
      <c r="Z340" s="126" t="s">
        <v>6</v>
      </c>
      <c r="AA340" s="126" t="s">
        <v>6</v>
      </c>
      <c r="AB340" s="40"/>
      <c r="AC340" s="40"/>
      <c r="AD340" s="232" t="s">
        <v>915</v>
      </c>
      <c r="AE340" s="204" t="s">
        <v>133</v>
      </c>
      <c r="AF340" s="199"/>
      <c r="AG340" s="199"/>
      <c r="AH340" s="126" t="s">
        <v>6</v>
      </c>
      <c r="AI340" s="126" t="s">
        <v>6</v>
      </c>
      <c r="AJ340" s="40"/>
      <c r="AK340" s="40"/>
      <c r="AL340" s="232" t="s">
        <v>915</v>
      </c>
      <c r="AM340" s="198" t="s">
        <v>907</v>
      </c>
      <c r="AN340" s="203" t="s">
        <v>908</v>
      </c>
      <c r="AO340" s="198"/>
      <c r="AP340" s="198"/>
      <c r="AQ340" s="198"/>
      <c r="AR340" s="198"/>
      <c r="AS340" s="198"/>
      <c r="AT340" s="198"/>
      <c r="AU340" s="198"/>
      <c r="AV340" s="232"/>
      <c r="AW340" s="155"/>
    </row>
    <row r="341" spans="1:49" s="236" customFormat="1" ht="15">
      <c r="A341" s="40">
        <f t="shared" si="30"/>
        <v>335</v>
      </c>
      <c r="B341" s="232"/>
      <c r="C341" s="41"/>
      <c r="D341" s="232"/>
      <c r="E341" s="232"/>
      <c r="F341" s="232"/>
      <c r="G341" s="232"/>
      <c r="H341" s="40"/>
      <c r="I341" s="40" t="s">
        <v>868</v>
      </c>
      <c r="J341" s="412" t="s">
        <v>4160</v>
      </c>
      <c r="K341" s="204" t="s">
        <v>132</v>
      </c>
      <c r="L341" s="458" t="s">
        <v>4161</v>
      </c>
      <c r="M341" s="351" t="s">
        <v>3809</v>
      </c>
      <c r="N341" s="40" t="s">
        <v>504</v>
      </c>
      <c r="O341" s="40"/>
      <c r="P341" s="40"/>
      <c r="Q341" s="40" t="s">
        <v>6</v>
      </c>
      <c r="R341" s="40" t="s">
        <v>6</v>
      </c>
      <c r="S341" s="40" t="s">
        <v>6</v>
      </c>
      <c r="T341" s="40"/>
      <c r="U341" s="215"/>
      <c r="V341" s="412"/>
      <c r="W341" s="204" t="s">
        <v>133</v>
      </c>
      <c r="X341" s="199"/>
      <c r="Y341" s="199"/>
      <c r="Z341" s="126" t="s">
        <v>6</v>
      </c>
      <c r="AA341" s="126" t="s">
        <v>6</v>
      </c>
      <c r="AB341" s="40"/>
      <c r="AC341" s="40"/>
      <c r="AD341" s="232" t="s">
        <v>915</v>
      </c>
      <c r="AE341" s="204" t="s">
        <v>133</v>
      </c>
      <c r="AF341" s="199"/>
      <c r="AG341" s="199"/>
      <c r="AH341" s="126" t="s">
        <v>6</v>
      </c>
      <c r="AI341" s="126" t="s">
        <v>6</v>
      </c>
      <c r="AJ341" s="40"/>
      <c r="AK341" s="40"/>
      <c r="AL341" s="232" t="s">
        <v>915</v>
      </c>
      <c r="AM341" s="198" t="s">
        <v>907</v>
      </c>
      <c r="AN341" s="203" t="s">
        <v>908</v>
      </c>
      <c r="AO341" s="198"/>
      <c r="AP341" s="198"/>
      <c r="AQ341" s="198"/>
      <c r="AR341" s="198"/>
      <c r="AS341" s="198"/>
      <c r="AT341" s="198"/>
      <c r="AU341" s="198"/>
      <c r="AV341" s="198"/>
      <c r="AW341" s="155"/>
    </row>
    <row r="342" spans="1:49" s="236" customFormat="1" ht="26.4">
      <c r="A342" s="40">
        <f t="shared" si="30"/>
        <v>336</v>
      </c>
      <c r="B342" s="232"/>
      <c r="C342" s="41"/>
      <c r="D342" s="232"/>
      <c r="E342" s="232"/>
      <c r="F342" s="232"/>
      <c r="G342" s="232"/>
      <c r="H342" s="40"/>
      <c r="I342" s="40" t="s">
        <v>868</v>
      </c>
      <c r="J342" s="412" t="s">
        <v>4162</v>
      </c>
      <c r="K342" s="204" t="s">
        <v>132</v>
      </c>
      <c r="L342" s="241" t="s">
        <v>4163</v>
      </c>
      <c r="M342" s="351" t="s">
        <v>4033</v>
      </c>
      <c r="N342" s="40" t="s">
        <v>504</v>
      </c>
      <c r="O342" s="40"/>
      <c r="P342" s="40"/>
      <c r="Q342" s="40" t="s">
        <v>6</v>
      </c>
      <c r="R342" s="40" t="s">
        <v>6</v>
      </c>
      <c r="S342" s="40" t="s">
        <v>6</v>
      </c>
      <c r="T342" s="40"/>
      <c r="U342" s="215"/>
      <c r="V342" s="412"/>
      <c r="W342" s="204" t="s">
        <v>133</v>
      </c>
      <c r="X342" s="199"/>
      <c r="Y342" s="199"/>
      <c r="Z342" s="126" t="s">
        <v>6</v>
      </c>
      <c r="AA342" s="126" t="s">
        <v>6</v>
      </c>
      <c r="AB342" s="40"/>
      <c r="AC342" s="40"/>
      <c r="AD342" s="232" t="s">
        <v>915</v>
      </c>
      <c r="AE342" s="204" t="s">
        <v>133</v>
      </c>
      <c r="AF342" s="199"/>
      <c r="AG342" s="199"/>
      <c r="AH342" s="126" t="s">
        <v>6</v>
      </c>
      <c r="AI342" s="126" t="s">
        <v>6</v>
      </c>
      <c r="AJ342" s="40"/>
      <c r="AK342" s="40"/>
      <c r="AL342" s="232" t="s">
        <v>915</v>
      </c>
      <c r="AM342" s="198" t="s">
        <v>907</v>
      </c>
      <c r="AN342" s="203" t="s">
        <v>908</v>
      </c>
      <c r="AO342" s="198"/>
      <c r="AP342" s="198"/>
      <c r="AQ342" s="198"/>
      <c r="AR342" s="198"/>
      <c r="AS342" s="198"/>
      <c r="AT342" s="198"/>
      <c r="AU342" s="198"/>
      <c r="AV342" s="198"/>
      <c r="AW342" s="155"/>
    </row>
    <row r="343" spans="1:49" s="236" customFormat="1" ht="39.6">
      <c r="A343" s="40">
        <f t="shared" si="30"/>
        <v>337</v>
      </c>
      <c r="B343" s="199"/>
      <c r="C343" s="199"/>
      <c r="D343" s="199"/>
      <c r="E343" s="199"/>
      <c r="F343" s="199"/>
      <c r="G343" s="199"/>
      <c r="H343" s="199"/>
      <c r="I343" s="40" t="s">
        <v>868</v>
      </c>
      <c r="J343" s="412" t="s">
        <v>4164</v>
      </c>
      <c r="K343" s="204" t="s">
        <v>132</v>
      </c>
      <c r="L343" s="458" t="s">
        <v>4165</v>
      </c>
      <c r="M343" s="351" t="s">
        <v>4033</v>
      </c>
      <c r="N343" s="40" t="s">
        <v>504</v>
      </c>
      <c r="O343" s="40"/>
      <c r="P343" s="40"/>
      <c r="Q343" s="40"/>
      <c r="R343" s="40" t="s">
        <v>6</v>
      </c>
      <c r="S343" s="40" t="s">
        <v>6</v>
      </c>
      <c r="T343" s="40"/>
      <c r="U343" s="218"/>
      <c r="V343" s="412"/>
      <c r="W343" s="204" t="s">
        <v>125</v>
      </c>
      <c r="X343" s="199"/>
      <c r="Y343" s="199"/>
      <c r="Z343" s="199"/>
      <c r="AA343" s="126" t="s">
        <v>6</v>
      </c>
      <c r="AB343" s="412" t="s">
        <v>937</v>
      </c>
      <c r="AC343" s="199"/>
      <c r="AD343" s="199"/>
      <c r="AE343" s="204" t="s">
        <v>125</v>
      </c>
      <c r="AF343" s="199"/>
      <c r="AG343" s="199"/>
      <c r="AH343" s="199"/>
      <c r="AI343" s="126" t="s">
        <v>6</v>
      </c>
      <c r="AJ343" s="412" t="s">
        <v>937</v>
      </c>
      <c r="AK343" s="199"/>
      <c r="AL343" s="199"/>
      <c r="AM343" s="198" t="s">
        <v>907</v>
      </c>
      <c r="AN343" s="203" t="s">
        <v>908</v>
      </c>
      <c r="AO343" s="199"/>
      <c r="AP343" s="199"/>
      <c r="AQ343" s="199"/>
      <c r="AR343" s="199"/>
      <c r="AS343" s="199"/>
      <c r="AT343" s="199"/>
      <c r="AU343" s="199"/>
      <c r="AV343" s="199"/>
      <c r="AW343" s="155"/>
    </row>
    <row r="344" spans="1:49" s="236" customFormat="1" ht="39.6">
      <c r="A344" s="40">
        <f t="shared" si="30"/>
        <v>338</v>
      </c>
      <c r="B344" s="199"/>
      <c r="C344" s="199"/>
      <c r="D344" s="199"/>
      <c r="E344" s="199"/>
      <c r="F344" s="199"/>
      <c r="G344" s="199"/>
      <c r="H344" s="199"/>
      <c r="I344" s="40" t="s">
        <v>868</v>
      </c>
      <c r="J344" s="412" t="s">
        <v>4166</v>
      </c>
      <c r="K344" s="204" t="s">
        <v>132</v>
      </c>
      <c r="L344" s="458" t="s">
        <v>4167</v>
      </c>
      <c r="M344" s="351" t="s">
        <v>4033</v>
      </c>
      <c r="N344" s="40" t="s">
        <v>504</v>
      </c>
      <c r="O344" s="40"/>
      <c r="P344" s="40"/>
      <c r="Q344" s="40"/>
      <c r="R344" s="40" t="s">
        <v>6</v>
      </c>
      <c r="S344" s="40" t="s">
        <v>6</v>
      </c>
      <c r="T344" s="40"/>
      <c r="U344" s="218"/>
      <c r="V344" s="412"/>
      <c r="W344" s="204" t="s">
        <v>125</v>
      </c>
      <c r="X344" s="199"/>
      <c r="Y344" s="199"/>
      <c r="Z344" s="199"/>
      <c r="AA344" s="126" t="s">
        <v>6</v>
      </c>
      <c r="AB344" s="412" t="s">
        <v>937</v>
      </c>
      <c r="AC344" s="199"/>
      <c r="AD344" s="199"/>
      <c r="AE344" s="204" t="s">
        <v>125</v>
      </c>
      <c r="AF344" s="199"/>
      <c r="AG344" s="199"/>
      <c r="AH344" s="199"/>
      <c r="AI344" s="126" t="s">
        <v>6</v>
      </c>
      <c r="AJ344" s="412" t="s">
        <v>937</v>
      </c>
      <c r="AK344" s="199"/>
      <c r="AL344" s="199"/>
      <c r="AM344" s="198" t="s">
        <v>907</v>
      </c>
      <c r="AN344" s="203" t="s">
        <v>908</v>
      </c>
      <c r="AO344" s="199"/>
      <c r="AP344" s="199"/>
      <c r="AQ344" s="199"/>
      <c r="AR344" s="199"/>
      <c r="AS344" s="199"/>
      <c r="AT344" s="199"/>
      <c r="AU344" s="199"/>
      <c r="AV344" s="199"/>
      <c r="AW344" s="155"/>
    </row>
    <row r="345" spans="1:49" s="236" customFormat="1" ht="39.6">
      <c r="A345" s="40">
        <f t="shared" si="30"/>
        <v>339</v>
      </c>
      <c r="B345" s="199"/>
      <c r="C345" s="199"/>
      <c r="D345" s="199"/>
      <c r="E345" s="199"/>
      <c r="F345" s="199"/>
      <c r="G345" s="199"/>
      <c r="H345" s="199"/>
      <c r="I345" s="40" t="s">
        <v>868</v>
      </c>
      <c r="J345" s="412" t="s">
        <v>4168</v>
      </c>
      <c r="K345" s="204" t="s">
        <v>132</v>
      </c>
      <c r="L345" s="458" t="s">
        <v>4169</v>
      </c>
      <c r="M345" s="351" t="s">
        <v>4033</v>
      </c>
      <c r="N345" s="40" t="s">
        <v>504</v>
      </c>
      <c r="O345" s="40"/>
      <c r="P345" s="40"/>
      <c r="Q345" s="40"/>
      <c r="R345" s="40" t="s">
        <v>6</v>
      </c>
      <c r="S345" s="40" t="s">
        <v>6</v>
      </c>
      <c r="T345" s="40"/>
      <c r="U345" s="218"/>
      <c r="V345" s="412"/>
      <c r="W345" s="204" t="s">
        <v>125</v>
      </c>
      <c r="X345" s="199"/>
      <c r="Y345" s="199"/>
      <c r="Z345" s="199"/>
      <c r="AA345" s="126" t="s">
        <v>6</v>
      </c>
      <c r="AB345" s="412" t="s">
        <v>937</v>
      </c>
      <c r="AC345" s="199"/>
      <c r="AD345" s="199"/>
      <c r="AE345" s="204" t="s">
        <v>125</v>
      </c>
      <c r="AF345" s="199"/>
      <c r="AG345" s="199"/>
      <c r="AH345" s="199"/>
      <c r="AI345" s="126" t="s">
        <v>6</v>
      </c>
      <c r="AJ345" s="412" t="s">
        <v>937</v>
      </c>
      <c r="AK345" s="199"/>
      <c r="AL345" s="199"/>
      <c r="AM345" s="198" t="s">
        <v>907</v>
      </c>
      <c r="AN345" s="203" t="s">
        <v>908</v>
      </c>
      <c r="AO345" s="199"/>
      <c r="AP345" s="199"/>
      <c r="AQ345" s="199"/>
      <c r="AR345" s="199"/>
      <c r="AS345" s="199"/>
      <c r="AT345" s="199"/>
      <c r="AU345" s="199"/>
      <c r="AV345" s="199"/>
      <c r="AW345" s="155"/>
    </row>
    <row r="346" spans="1:49" s="236" customFormat="1" ht="39.6">
      <c r="A346" s="40">
        <f t="shared" si="30"/>
        <v>340</v>
      </c>
      <c r="B346" s="199"/>
      <c r="C346" s="199"/>
      <c r="D346" s="199"/>
      <c r="E346" s="199"/>
      <c r="F346" s="199"/>
      <c r="G346" s="199"/>
      <c r="H346" s="199"/>
      <c r="I346" s="40" t="s">
        <v>868</v>
      </c>
      <c r="J346" s="412" t="s">
        <v>937</v>
      </c>
      <c r="K346" s="204" t="s">
        <v>132</v>
      </c>
      <c r="L346" s="241" t="s">
        <v>4170</v>
      </c>
      <c r="M346" s="351" t="s">
        <v>4033</v>
      </c>
      <c r="N346" s="40" t="s">
        <v>504</v>
      </c>
      <c r="O346" s="40"/>
      <c r="P346" s="40"/>
      <c r="Q346" s="40" t="s">
        <v>6</v>
      </c>
      <c r="R346" s="40" t="s">
        <v>6</v>
      </c>
      <c r="S346" s="40" t="s">
        <v>6</v>
      </c>
      <c r="T346" s="40"/>
      <c r="U346" s="215"/>
      <c r="V346" s="215"/>
      <c r="W346" s="204" t="s">
        <v>133</v>
      </c>
      <c r="X346" s="199"/>
      <c r="Y346" s="199"/>
      <c r="Z346" s="126" t="s">
        <v>6</v>
      </c>
      <c r="AA346" s="126" t="s">
        <v>6</v>
      </c>
      <c r="AB346" s="215"/>
      <c r="AC346" s="199"/>
      <c r="AD346" s="199" t="s">
        <v>915</v>
      </c>
      <c r="AE346" s="204" t="s">
        <v>133</v>
      </c>
      <c r="AF346" s="199"/>
      <c r="AG346" s="199"/>
      <c r="AH346" s="126" t="s">
        <v>6</v>
      </c>
      <c r="AI346" s="126" t="s">
        <v>6</v>
      </c>
      <c r="AJ346" s="215" t="s">
        <v>4171</v>
      </c>
      <c r="AK346" s="199"/>
      <c r="AL346" s="199" t="s">
        <v>915</v>
      </c>
      <c r="AM346" s="198" t="s">
        <v>907</v>
      </c>
      <c r="AN346" s="203" t="s">
        <v>908</v>
      </c>
      <c r="AO346" s="199"/>
      <c r="AP346" s="199"/>
      <c r="AQ346" s="199"/>
      <c r="AR346" s="199"/>
      <c r="AS346" s="199"/>
      <c r="AT346" s="199"/>
      <c r="AU346" s="199"/>
      <c r="AV346" s="199"/>
      <c r="AW346" s="155"/>
    </row>
    <row r="347" spans="1:49" s="236" customFormat="1" ht="26.4">
      <c r="A347" s="40">
        <f t="shared" si="30"/>
        <v>341</v>
      </c>
      <c r="B347" s="199"/>
      <c r="C347" s="199"/>
      <c r="D347" s="199"/>
      <c r="E347" s="199"/>
      <c r="F347" s="199"/>
      <c r="G347" s="199"/>
      <c r="H347" s="199"/>
      <c r="I347" s="40" t="s">
        <v>868</v>
      </c>
      <c r="J347" s="412" t="s">
        <v>4172</v>
      </c>
      <c r="K347" s="204" t="s">
        <v>132</v>
      </c>
      <c r="L347" s="241" t="s">
        <v>4173</v>
      </c>
      <c r="M347" s="351" t="s">
        <v>4034</v>
      </c>
      <c r="N347" s="40" t="s">
        <v>504</v>
      </c>
      <c r="O347" s="40"/>
      <c r="P347" s="40"/>
      <c r="Q347" s="40" t="s">
        <v>6</v>
      </c>
      <c r="R347" s="40" t="s">
        <v>6</v>
      </c>
      <c r="S347" s="40" t="s">
        <v>6</v>
      </c>
      <c r="T347" s="40"/>
      <c r="U347" s="215"/>
      <c r="V347" s="412"/>
      <c r="W347" s="204" t="s">
        <v>133</v>
      </c>
      <c r="X347" s="199"/>
      <c r="Y347" s="199"/>
      <c r="Z347" s="126" t="s">
        <v>6</v>
      </c>
      <c r="AA347" s="126" t="s">
        <v>6</v>
      </c>
      <c r="AB347" s="198"/>
      <c r="AC347" s="199"/>
      <c r="AD347" s="199" t="s">
        <v>915</v>
      </c>
      <c r="AE347" s="204" t="s">
        <v>133</v>
      </c>
      <c r="AF347" s="199"/>
      <c r="AG347" s="199"/>
      <c r="AH347" s="126" t="s">
        <v>6</v>
      </c>
      <c r="AI347" s="126" t="s">
        <v>6</v>
      </c>
      <c r="AJ347" s="198"/>
      <c r="AK347" s="199"/>
      <c r="AL347" s="199" t="s">
        <v>915</v>
      </c>
      <c r="AM347" s="198" t="s">
        <v>907</v>
      </c>
      <c r="AN347" s="203" t="s">
        <v>908</v>
      </c>
      <c r="AO347" s="199"/>
      <c r="AP347" s="199"/>
      <c r="AQ347" s="199"/>
      <c r="AR347" s="199"/>
      <c r="AS347" s="199"/>
      <c r="AT347" s="199"/>
      <c r="AU347" s="199"/>
      <c r="AV347" s="199"/>
      <c r="AW347" s="155"/>
    </row>
    <row r="348" spans="1:49" s="236" customFormat="1" ht="15">
      <c r="A348" s="40">
        <f t="shared" si="30"/>
        <v>342</v>
      </c>
      <c r="B348" s="199"/>
      <c r="C348" s="199"/>
      <c r="D348" s="199"/>
      <c r="E348" s="199"/>
      <c r="F348" s="199"/>
      <c r="G348" s="199"/>
      <c r="H348" s="199"/>
      <c r="I348" s="40" t="s">
        <v>868</v>
      </c>
      <c r="J348" s="412" t="s">
        <v>4174</v>
      </c>
      <c r="K348" s="204" t="s">
        <v>132</v>
      </c>
      <c r="L348" s="241" t="s">
        <v>4175</v>
      </c>
      <c r="M348" s="351" t="s">
        <v>4034</v>
      </c>
      <c r="N348" s="40" t="s">
        <v>504</v>
      </c>
      <c r="O348" s="40"/>
      <c r="P348" s="40"/>
      <c r="Q348" s="40" t="s">
        <v>6</v>
      </c>
      <c r="R348" s="40" t="s">
        <v>6</v>
      </c>
      <c r="S348" s="40" t="s">
        <v>6</v>
      </c>
      <c r="T348" s="40"/>
      <c r="U348" s="215"/>
      <c r="V348" s="412"/>
      <c r="W348" s="204" t="s">
        <v>133</v>
      </c>
      <c r="X348" s="199"/>
      <c r="Y348" s="199"/>
      <c r="Z348" s="126" t="s">
        <v>6</v>
      </c>
      <c r="AA348" s="126" t="s">
        <v>6</v>
      </c>
      <c r="AB348" s="198"/>
      <c r="AC348" s="199"/>
      <c r="AD348" s="199" t="s">
        <v>915</v>
      </c>
      <c r="AE348" s="204" t="s">
        <v>133</v>
      </c>
      <c r="AF348" s="199"/>
      <c r="AG348" s="199"/>
      <c r="AH348" s="126" t="s">
        <v>6</v>
      </c>
      <c r="AI348" s="126" t="s">
        <v>6</v>
      </c>
      <c r="AJ348" s="198"/>
      <c r="AK348" s="199"/>
      <c r="AL348" s="199" t="s">
        <v>915</v>
      </c>
      <c r="AM348" s="198" t="s">
        <v>907</v>
      </c>
      <c r="AN348" s="203" t="s">
        <v>908</v>
      </c>
      <c r="AO348" s="199"/>
      <c r="AP348" s="199"/>
      <c r="AQ348" s="199"/>
      <c r="AR348" s="199"/>
      <c r="AS348" s="199"/>
      <c r="AT348" s="199"/>
      <c r="AU348" s="199"/>
      <c r="AV348" s="199"/>
      <c r="AW348" s="155"/>
    </row>
    <row r="349" spans="1:49" s="236" customFormat="1" ht="15">
      <c r="A349" s="40">
        <f t="shared" si="30"/>
        <v>343</v>
      </c>
      <c r="B349" s="199"/>
      <c r="C349" s="199"/>
      <c r="D349" s="199"/>
      <c r="E349" s="199"/>
      <c r="F349" s="199"/>
      <c r="G349" s="199"/>
      <c r="H349" s="199"/>
      <c r="I349" s="40" t="s">
        <v>868</v>
      </c>
      <c r="J349" s="412" t="s">
        <v>4176</v>
      </c>
      <c r="K349" s="204" t="s">
        <v>132</v>
      </c>
      <c r="L349" s="241" t="s">
        <v>4177</v>
      </c>
      <c r="M349" s="351" t="s">
        <v>4034</v>
      </c>
      <c r="N349" s="40" t="s">
        <v>504</v>
      </c>
      <c r="O349" s="40"/>
      <c r="P349" s="40"/>
      <c r="Q349" s="40" t="s">
        <v>6</v>
      </c>
      <c r="R349" s="40" t="s">
        <v>6</v>
      </c>
      <c r="S349" s="40" t="s">
        <v>6</v>
      </c>
      <c r="T349" s="40"/>
      <c r="U349" s="215"/>
      <c r="V349" s="412"/>
      <c r="W349" s="204" t="s">
        <v>133</v>
      </c>
      <c r="X349" s="199"/>
      <c r="Y349" s="199"/>
      <c r="Z349" s="126" t="s">
        <v>6</v>
      </c>
      <c r="AA349" s="126" t="s">
        <v>6</v>
      </c>
      <c r="AB349" s="198"/>
      <c r="AC349" s="199"/>
      <c r="AD349" s="199" t="s">
        <v>915</v>
      </c>
      <c r="AE349" s="204" t="s">
        <v>133</v>
      </c>
      <c r="AF349" s="199"/>
      <c r="AG349" s="199"/>
      <c r="AH349" s="126" t="s">
        <v>6</v>
      </c>
      <c r="AI349" s="126" t="s">
        <v>6</v>
      </c>
      <c r="AJ349" s="198"/>
      <c r="AK349" s="199"/>
      <c r="AL349" s="199" t="s">
        <v>915</v>
      </c>
      <c r="AM349" s="198" t="s">
        <v>907</v>
      </c>
      <c r="AN349" s="203" t="s">
        <v>908</v>
      </c>
      <c r="AO349" s="199"/>
      <c r="AP349" s="199"/>
      <c r="AQ349" s="199"/>
      <c r="AR349" s="199"/>
      <c r="AS349" s="199"/>
      <c r="AT349" s="199"/>
      <c r="AU349" s="199"/>
      <c r="AV349" s="199"/>
      <c r="AW349" s="155"/>
    </row>
    <row r="350" spans="1:49" s="236" customFormat="1" ht="26.4">
      <c r="A350" s="40">
        <f t="shared" si="30"/>
        <v>344</v>
      </c>
      <c r="B350" s="199"/>
      <c r="C350" s="199"/>
      <c r="D350" s="199"/>
      <c r="E350" s="199"/>
      <c r="F350" s="199"/>
      <c r="G350" s="199"/>
      <c r="H350" s="199"/>
      <c r="I350" s="40" t="s">
        <v>868</v>
      </c>
      <c r="J350" s="412" t="s">
        <v>4178</v>
      </c>
      <c r="K350" s="204" t="s">
        <v>132</v>
      </c>
      <c r="L350" s="458" t="s">
        <v>4179</v>
      </c>
      <c r="M350" s="351" t="s">
        <v>4033</v>
      </c>
      <c r="N350" s="40" t="s">
        <v>504</v>
      </c>
      <c r="O350" s="40"/>
      <c r="P350" s="40"/>
      <c r="Q350" s="40"/>
      <c r="R350" s="40" t="s">
        <v>6</v>
      </c>
      <c r="S350" s="40" t="s">
        <v>6</v>
      </c>
      <c r="T350" s="40"/>
      <c r="U350" s="218"/>
      <c r="V350" s="412"/>
      <c r="W350" s="204" t="s">
        <v>125</v>
      </c>
      <c r="X350" s="199"/>
      <c r="Y350" s="199"/>
      <c r="Z350" s="199"/>
      <c r="AA350" s="126" t="s">
        <v>6</v>
      </c>
      <c r="AB350" s="198"/>
      <c r="AC350" s="199"/>
      <c r="AD350" s="412" t="s">
        <v>948</v>
      </c>
      <c r="AE350" s="204" t="s">
        <v>125</v>
      </c>
      <c r="AF350" s="199"/>
      <c r="AG350" s="199"/>
      <c r="AH350" s="199"/>
      <c r="AI350" s="126" t="s">
        <v>6</v>
      </c>
      <c r="AJ350" s="198"/>
      <c r="AK350" s="199"/>
      <c r="AL350" s="412" t="s">
        <v>948</v>
      </c>
      <c r="AM350" s="198" t="s">
        <v>907</v>
      </c>
      <c r="AN350" s="203" t="s">
        <v>908</v>
      </c>
      <c r="AO350" s="199"/>
      <c r="AP350" s="199"/>
      <c r="AQ350" s="199"/>
      <c r="AR350" s="199"/>
      <c r="AS350" s="199"/>
      <c r="AT350" s="199"/>
      <c r="AU350" s="199"/>
      <c r="AV350" s="199"/>
      <c r="AW350" s="155"/>
    </row>
    <row r="351" spans="1:49" s="236" customFormat="1" ht="26.4">
      <c r="A351" s="40">
        <f t="shared" si="30"/>
        <v>345</v>
      </c>
      <c r="B351" s="199"/>
      <c r="C351" s="199"/>
      <c r="D351" s="199"/>
      <c r="E351" s="199"/>
      <c r="F351" s="199"/>
      <c r="G351" s="199"/>
      <c r="H351" s="199"/>
      <c r="I351" s="40" t="s">
        <v>868</v>
      </c>
      <c r="J351" s="412" t="s">
        <v>4180</v>
      </c>
      <c r="K351" s="204" t="s">
        <v>132</v>
      </c>
      <c r="L351" s="458" t="s">
        <v>4181</v>
      </c>
      <c r="M351" s="351" t="s">
        <v>3836</v>
      </c>
      <c r="N351" s="40" t="s">
        <v>504</v>
      </c>
      <c r="O351" s="40"/>
      <c r="P351" s="40"/>
      <c r="Q351" s="40"/>
      <c r="R351" s="40" t="s">
        <v>6</v>
      </c>
      <c r="S351" s="40" t="s">
        <v>6</v>
      </c>
      <c r="T351" s="40"/>
      <c r="U351" s="218"/>
      <c r="V351" s="412"/>
      <c r="W351" s="204" t="s">
        <v>125</v>
      </c>
      <c r="X351" s="199"/>
      <c r="Y351" s="199"/>
      <c r="Z351" s="199"/>
      <c r="AA351" s="126" t="s">
        <v>6</v>
      </c>
      <c r="AB351" s="198"/>
      <c r="AC351" s="199"/>
      <c r="AD351" s="412" t="s">
        <v>948</v>
      </c>
      <c r="AE351" s="204" t="s">
        <v>125</v>
      </c>
      <c r="AF351" s="199"/>
      <c r="AG351" s="199"/>
      <c r="AH351" s="199"/>
      <c r="AI351" s="126" t="s">
        <v>6</v>
      </c>
      <c r="AJ351" s="198"/>
      <c r="AK351" s="199"/>
      <c r="AL351" s="412" t="s">
        <v>948</v>
      </c>
      <c r="AM351" s="198" t="s">
        <v>907</v>
      </c>
      <c r="AN351" s="203" t="s">
        <v>908</v>
      </c>
      <c r="AO351" s="199"/>
      <c r="AP351" s="199"/>
      <c r="AQ351" s="199"/>
      <c r="AR351" s="199"/>
      <c r="AS351" s="199"/>
      <c r="AT351" s="199"/>
      <c r="AU351" s="199"/>
      <c r="AV351" s="199"/>
      <c r="AW351" s="155"/>
    </row>
    <row r="352" spans="1:49" s="236" customFormat="1" ht="26.4">
      <c r="A352" s="40">
        <f t="shared" si="30"/>
        <v>346</v>
      </c>
      <c r="B352" s="199"/>
      <c r="C352" s="199"/>
      <c r="D352" s="199"/>
      <c r="E352" s="199"/>
      <c r="F352" s="199"/>
      <c r="G352" s="199"/>
      <c r="H352" s="199"/>
      <c r="I352" s="40" t="s">
        <v>868</v>
      </c>
      <c r="J352" s="412" t="s">
        <v>4182</v>
      </c>
      <c r="K352" s="204" t="s">
        <v>132</v>
      </c>
      <c r="L352" s="458" t="s">
        <v>4183</v>
      </c>
      <c r="M352" s="351" t="s">
        <v>3836</v>
      </c>
      <c r="N352" s="40" t="s">
        <v>504</v>
      </c>
      <c r="O352" s="40"/>
      <c r="P352" s="40"/>
      <c r="Q352" s="40"/>
      <c r="R352" s="40" t="s">
        <v>6</v>
      </c>
      <c r="S352" s="40" t="s">
        <v>6</v>
      </c>
      <c r="T352" s="40"/>
      <c r="U352" s="218"/>
      <c r="V352" s="412"/>
      <c r="W352" s="204" t="s">
        <v>125</v>
      </c>
      <c r="X352" s="199"/>
      <c r="Y352" s="199"/>
      <c r="Z352" s="199"/>
      <c r="AA352" s="126" t="s">
        <v>6</v>
      </c>
      <c r="AB352" s="198"/>
      <c r="AC352" s="199"/>
      <c r="AD352" s="412" t="s">
        <v>948</v>
      </c>
      <c r="AE352" s="204" t="s">
        <v>125</v>
      </c>
      <c r="AF352" s="199"/>
      <c r="AG352" s="199"/>
      <c r="AH352" s="199"/>
      <c r="AI352" s="126" t="s">
        <v>6</v>
      </c>
      <c r="AJ352" s="198"/>
      <c r="AK352" s="199"/>
      <c r="AL352" s="412" t="s">
        <v>948</v>
      </c>
      <c r="AM352" s="198" t="s">
        <v>907</v>
      </c>
      <c r="AN352" s="203" t="s">
        <v>908</v>
      </c>
      <c r="AO352" s="199"/>
      <c r="AP352" s="199"/>
      <c r="AQ352" s="199"/>
      <c r="AR352" s="199"/>
      <c r="AS352" s="199"/>
      <c r="AT352" s="199"/>
      <c r="AU352" s="199"/>
      <c r="AV352" s="199"/>
      <c r="AW352" s="155"/>
    </row>
    <row r="353" spans="1:49" s="236" customFormat="1" ht="39.6">
      <c r="A353" s="40">
        <f t="shared" si="30"/>
        <v>347</v>
      </c>
      <c r="B353" s="199"/>
      <c r="C353" s="199"/>
      <c r="D353" s="199"/>
      <c r="E353" s="199"/>
      <c r="F353" s="199"/>
      <c r="G353" s="199"/>
      <c r="H353" s="199"/>
      <c r="I353" s="40" t="s">
        <v>868</v>
      </c>
      <c r="J353" s="412" t="s">
        <v>948</v>
      </c>
      <c r="K353" s="204" t="s">
        <v>132</v>
      </c>
      <c r="L353" s="241" t="s">
        <v>4184</v>
      </c>
      <c r="M353" s="351" t="s">
        <v>3836</v>
      </c>
      <c r="N353" s="40" t="s">
        <v>504</v>
      </c>
      <c r="O353" s="40"/>
      <c r="P353" s="40"/>
      <c r="Q353" s="40" t="s">
        <v>6</v>
      </c>
      <c r="R353" s="40" t="s">
        <v>6</v>
      </c>
      <c r="S353" s="40" t="s">
        <v>6</v>
      </c>
      <c r="T353" s="40"/>
      <c r="U353" s="215"/>
      <c r="V353" s="215"/>
      <c r="W353" s="204" t="s">
        <v>133</v>
      </c>
      <c r="X353" s="199"/>
      <c r="Y353" s="199"/>
      <c r="Z353" s="126" t="s">
        <v>6</v>
      </c>
      <c r="AA353" s="126" t="s">
        <v>6</v>
      </c>
      <c r="AB353" s="215"/>
      <c r="AC353" s="199"/>
      <c r="AD353" s="199" t="s">
        <v>915</v>
      </c>
      <c r="AE353" s="204" t="s">
        <v>133</v>
      </c>
      <c r="AF353" s="199"/>
      <c r="AG353" s="199"/>
      <c r="AH353" s="126" t="s">
        <v>6</v>
      </c>
      <c r="AI353" s="126" t="s">
        <v>6</v>
      </c>
      <c r="AJ353" s="215" t="s">
        <v>4185</v>
      </c>
      <c r="AK353" s="199"/>
      <c r="AL353" s="199" t="s">
        <v>915</v>
      </c>
      <c r="AM353" s="198" t="s">
        <v>907</v>
      </c>
      <c r="AN353" s="203" t="s">
        <v>908</v>
      </c>
      <c r="AO353" s="199"/>
      <c r="AP353" s="199"/>
      <c r="AQ353" s="199"/>
      <c r="AR353" s="199"/>
      <c r="AS353" s="199"/>
      <c r="AT353" s="199"/>
      <c r="AU353" s="199"/>
      <c r="AV353" s="199"/>
      <c r="AW353" s="155"/>
    </row>
    <row r="354" spans="1:49" s="236" customFormat="1" ht="26.4">
      <c r="A354" s="40">
        <f t="shared" si="30"/>
        <v>348</v>
      </c>
      <c r="B354" s="199"/>
      <c r="C354" s="199"/>
      <c r="D354" s="199"/>
      <c r="E354" s="199"/>
      <c r="F354" s="199"/>
      <c r="G354" s="199"/>
      <c r="H354" s="199"/>
      <c r="I354" s="40" t="s">
        <v>868</v>
      </c>
      <c r="J354" s="412" t="s">
        <v>4186</v>
      </c>
      <c r="K354" s="204" t="s">
        <v>132</v>
      </c>
      <c r="L354" s="241" t="s">
        <v>4187</v>
      </c>
      <c r="M354" s="351" t="s">
        <v>3836</v>
      </c>
      <c r="N354" s="40" t="s">
        <v>504</v>
      </c>
      <c r="O354" s="40"/>
      <c r="P354" s="40"/>
      <c r="Q354" s="40" t="s">
        <v>6</v>
      </c>
      <c r="R354" s="40" t="s">
        <v>6</v>
      </c>
      <c r="S354" s="40" t="s">
        <v>6</v>
      </c>
      <c r="T354" s="40"/>
      <c r="U354" s="215"/>
      <c r="V354" s="412"/>
      <c r="W354" s="204" t="s">
        <v>133</v>
      </c>
      <c r="X354" s="199"/>
      <c r="Y354" s="199"/>
      <c r="Z354" s="126" t="s">
        <v>6</v>
      </c>
      <c r="AA354" s="126" t="s">
        <v>6</v>
      </c>
      <c r="AB354" s="198"/>
      <c r="AC354" s="199"/>
      <c r="AD354" s="199" t="s">
        <v>915</v>
      </c>
      <c r="AE354" s="204" t="s">
        <v>133</v>
      </c>
      <c r="AF354" s="199"/>
      <c r="AG354" s="199"/>
      <c r="AH354" s="126" t="s">
        <v>6</v>
      </c>
      <c r="AI354" s="126" t="s">
        <v>6</v>
      </c>
      <c r="AJ354" s="198"/>
      <c r="AK354" s="199"/>
      <c r="AL354" s="199" t="s">
        <v>915</v>
      </c>
      <c r="AM354" s="198" t="s">
        <v>907</v>
      </c>
      <c r="AN354" s="203" t="s">
        <v>908</v>
      </c>
      <c r="AO354" s="199"/>
      <c r="AP354" s="199"/>
      <c r="AQ354" s="199"/>
      <c r="AR354" s="199"/>
      <c r="AS354" s="199"/>
      <c r="AT354" s="199"/>
      <c r="AU354" s="199"/>
      <c r="AV354" s="199"/>
      <c r="AW354" s="155"/>
    </row>
    <row r="355" spans="1:49" s="236" customFormat="1" ht="15">
      <c r="A355" s="40">
        <f t="shared" si="30"/>
        <v>349</v>
      </c>
      <c r="B355" s="199"/>
      <c r="C355" s="199"/>
      <c r="D355" s="199"/>
      <c r="E355" s="199"/>
      <c r="F355" s="199"/>
      <c r="G355" s="199"/>
      <c r="H355" s="199"/>
      <c r="I355" s="40" t="s">
        <v>868</v>
      </c>
      <c r="J355" s="412" t="s">
        <v>4188</v>
      </c>
      <c r="K355" s="204" t="s">
        <v>132</v>
      </c>
      <c r="L355" s="458" t="s">
        <v>4189</v>
      </c>
      <c r="M355" s="351" t="s">
        <v>3809</v>
      </c>
      <c r="N355" s="40" t="s">
        <v>504</v>
      </c>
      <c r="O355" s="40"/>
      <c r="P355" s="40"/>
      <c r="Q355" s="40" t="s">
        <v>6</v>
      </c>
      <c r="R355" s="40" t="s">
        <v>6</v>
      </c>
      <c r="S355" s="40" t="s">
        <v>6</v>
      </c>
      <c r="T355" s="40"/>
      <c r="U355" s="215"/>
      <c r="V355" s="412"/>
      <c r="W355" s="204" t="s">
        <v>133</v>
      </c>
      <c r="X355" s="199"/>
      <c r="Y355" s="199"/>
      <c r="Z355" s="126" t="s">
        <v>6</v>
      </c>
      <c r="AA355" s="126" t="s">
        <v>6</v>
      </c>
      <c r="AB355" s="198"/>
      <c r="AC355" s="199"/>
      <c r="AD355" s="199" t="s">
        <v>915</v>
      </c>
      <c r="AE355" s="204" t="s">
        <v>133</v>
      </c>
      <c r="AF355" s="199"/>
      <c r="AG355" s="199"/>
      <c r="AH355" s="126" t="s">
        <v>6</v>
      </c>
      <c r="AI355" s="126" t="s">
        <v>6</v>
      </c>
      <c r="AJ355" s="198"/>
      <c r="AK355" s="199"/>
      <c r="AL355" s="199" t="s">
        <v>915</v>
      </c>
      <c r="AM355" s="198" t="s">
        <v>907</v>
      </c>
      <c r="AN355" s="203" t="s">
        <v>908</v>
      </c>
      <c r="AO355" s="199"/>
      <c r="AP355" s="199"/>
      <c r="AQ355" s="199"/>
      <c r="AR355" s="199"/>
      <c r="AS355" s="199"/>
      <c r="AT355" s="199"/>
      <c r="AU355" s="199"/>
      <c r="AV355" s="199"/>
      <c r="AW355" s="155"/>
    </row>
    <row r="356" spans="1:49" s="236" customFormat="1" ht="15">
      <c r="A356" s="40">
        <f t="shared" si="30"/>
        <v>350</v>
      </c>
      <c r="B356" s="199"/>
      <c r="C356" s="199"/>
      <c r="D356" s="199"/>
      <c r="E356" s="199"/>
      <c r="F356" s="199"/>
      <c r="G356" s="199"/>
      <c r="H356" s="199"/>
      <c r="I356" s="40" t="s">
        <v>868</v>
      </c>
      <c r="J356" s="412" t="s">
        <v>4190</v>
      </c>
      <c r="K356" s="204" t="s">
        <v>132</v>
      </c>
      <c r="L356" s="458" t="s">
        <v>4191</v>
      </c>
      <c r="M356" s="351" t="s">
        <v>3809</v>
      </c>
      <c r="N356" s="40" t="s">
        <v>504</v>
      </c>
      <c r="O356" s="40"/>
      <c r="P356" s="40"/>
      <c r="Q356" s="40" t="s">
        <v>6</v>
      </c>
      <c r="R356" s="40" t="s">
        <v>6</v>
      </c>
      <c r="S356" s="40" t="s">
        <v>6</v>
      </c>
      <c r="T356" s="40"/>
      <c r="U356" s="215"/>
      <c r="V356" s="412"/>
      <c r="W356" s="204" t="s">
        <v>133</v>
      </c>
      <c r="X356" s="199"/>
      <c r="Y356" s="199"/>
      <c r="Z356" s="126" t="s">
        <v>6</v>
      </c>
      <c r="AA356" s="126" t="s">
        <v>6</v>
      </c>
      <c r="AB356" s="198"/>
      <c r="AC356" s="199"/>
      <c r="AD356" s="199" t="s">
        <v>915</v>
      </c>
      <c r="AE356" s="204" t="s">
        <v>133</v>
      </c>
      <c r="AF356" s="199"/>
      <c r="AG356" s="199"/>
      <c r="AH356" s="126" t="s">
        <v>6</v>
      </c>
      <c r="AI356" s="126" t="s">
        <v>6</v>
      </c>
      <c r="AJ356" s="198"/>
      <c r="AK356" s="199"/>
      <c r="AL356" s="199" t="s">
        <v>915</v>
      </c>
      <c r="AM356" s="198" t="s">
        <v>907</v>
      </c>
      <c r="AN356" s="203" t="s">
        <v>908</v>
      </c>
      <c r="AO356" s="199"/>
      <c r="AP356" s="199"/>
      <c r="AQ356" s="199"/>
      <c r="AR356" s="199"/>
      <c r="AS356" s="199"/>
      <c r="AT356" s="199"/>
      <c r="AU356" s="199"/>
      <c r="AV356" s="199"/>
      <c r="AW356" s="155"/>
    </row>
    <row r="357" spans="1:49" s="236" customFormat="1" ht="15">
      <c r="A357" s="40">
        <f t="shared" si="30"/>
        <v>351</v>
      </c>
      <c r="B357" s="199"/>
      <c r="C357" s="199"/>
      <c r="D357" s="199"/>
      <c r="E357" s="199"/>
      <c r="F357" s="199"/>
      <c r="G357" s="199"/>
      <c r="H357" s="199"/>
      <c r="I357" s="40" t="s">
        <v>868</v>
      </c>
      <c r="J357" s="412" t="s">
        <v>4192</v>
      </c>
      <c r="K357" s="204" t="s">
        <v>132</v>
      </c>
      <c r="L357" s="458" t="s">
        <v>4193</v>
      </c>
      <c r="M357" s="351" t="s">
        <v>3809</v>
      </c>
      <c r="N357" s="40" t="s">
        <v>504</v>
      </c>
      <c r="O357" s="40"/>
      <c r="P357" s="40"/>
      <c r="Q357" s="40" t="s">
        <v>6</v>
      </c>
      <c r="R357" s="40" t="s">
        <v>6</v>
      </c>
      <c r="S357" s="40" t="s">
        <v>6</v>
      </c>
      <c r="T357" s="40"/>
      <c r="U357" s="215"/>
      <c r="V357" s="412"/>
      <c r="W357" s="204" t="s">
        <v>133</v>
      </c>
      <c r="X357" s="199"/>
      <c r="Y357" s="199"/>
      <c r="Z357" s="126" t="s">
        <v>6</v>
      </c>
      <c r="AA357" s="126" t="s">
        <v>6</v>
      </c>
      <c r="AB357" s="198"/>
      <c r="AC357" s="199"/>
      <c r="AD357" s="199" t="s">
        <v>915</v>
      </c>
      <c r="AE357" s="204" t="s">
        <v>133</v>
      </c>
      <c r="AF357" s="199"/>
      <c r="AG357" s="199"/>
      <c r="AH357" s="126" t="s">
        <v>6</v>
      </c>
      <c r="AI357" s="126" t="s">
        <v>6</v>
      </c>
      <c r="AJ357" s="198"/>
      <c r="AK357" s="199"/>
      <c r="AL357" s="199" t="s">
        <v>915</v>
      </c>
      <c r="AM357" s="198" t="s">
        <v>907</v>
      </c>
      <c r="AN357" s="203" t="s">
        <v>908</v>
      </c>
      <c r="AO357" s="199"/>
      <c r="AP357" s="199"/>
      <c r="AQ357" s="199"/>
      <c r="AR357" s="199"/>
      <c r="AS357" s="199"/>
      <c r="AT357" s="199"/>
      <c r="AU357" s="199"/>
      <c r="AV357" s="199"/>
      <c r="AW357" s="155"/>
    </row>
    <row r="358" spans="1:49" s="236" customFormat="1" ht="15">
      <c r="A358" s="40">
        <f t="shared" si="30"/>
        <v>352</v>
      </c>
      <c r="B358" s="199"/>
      <c r="C358" s="199"/>
      <c r="D358" s="199"/>
      <c r="E358" s="199"/>
      <c r="F358" s="199"/>
      <c r="G358" s="199"/>
      <c r="H358" s="199"/>
      <c r="I358" s="40" t="s">
        <v>868</v>
      </c>
      <c r="J358" s="412" t="s">
        <v>4194</v>
      </c>
      <c r="K358" s="204" t="s">
        <v>132</v>
      </c>
      <c r="L358" s="458" t="s">
        <v>4195</v>
      </c>
      <c r="M358" s="351" t="s">
        <v>3809</v>
      </c>
      <c r="N358" s="40" t="s">
        <v>504</v>
      </c>
      <c r="O358" s="40"/>
      <c r="P358" s="40"/>
      <c r="Q358" s="40" t="s">
        <v>6</v>
      </c>
      <c r="R358" s="40" t="s">
        <v>6</v>
      </c>
      <c r="S358" s="40" t="s">
        <v>6</v>
      </c>
      <c r="T358" s="40"/>
      <c r="U358" s="215"/>
      <c r="V358" s="412"/>
      <c r="W358" s="204" t="s">
        <v>133</v>
      </c>
      <c r="X358" s="199"/>
      <c r="Y358" s="199"/>
      <c r="Z358" s="126" t="s">
        <v>6</v>
      </c>
      <c r="AA358" s="126" t="s">
        <v>6</v>
      </c>
      <c r="AB358" s="198"/>
      <c r="AC358" s="199"/>
      <c r="AD358" s="199" t="s">
        <v>915</v>
      </c>
      <c r="AE358" s="204" t="s">
        <v>133</v>
      </c>
      <c r="AF358" s="199"/>
      <c r="AG358" s="199"/>
      <c r="AH358" s="126" t="s">
        <v>6</v>
      </c>
      <c r="AI358" s="126" t="s">
        <v>6</v>
      </c>
      <c r="AJ358" s="198"/>
      <c r="AK358" s="199"/>
      <c r="AL358" s="199" t="s">
        <v>915</v>
      </c>
      <c r="AM358" s="198" t="s">
        <v>907</v>
      </c>
      <c r="AN358" s="203" t="s">
        <v>908</v>
      </c>
      <c r="AO358" s="199"/>
      <c r="AP358" s="199"/>
      <c r="AQ358" s="199"/>
      <c r="AR358" s="199"/>
      <c r="AS358" s="199"/>
      <c r="AT358" s="199"/>
      <c r="AU358" s="199"/>
      <c r="AV358" s="199"/>
      <c r="AW358" s="155"/>
    </row>
    <row r="359" spans="1:49" s="236" customFormat="1" ht="26.4">
      <c r="A359" s="40">
        <f t="shared" si="30"/>
        <v>353</v>
      </c>
      <c r="B359" s="199"/>
      <c r="C359" s="199"/>
      <c r="D359" s="199"/>
      <c r="E359" s="199"/>
      <c r="F359" s="199"/>
      <c r="G359" s="199"/>
      <c r="H359" s="199"/>
      <c r="I359" s="40" t="s">
        <v>868</v>
      </c>
      <c r="J359" s="412" t="s">
        <v>4196</v>
      </c>
      <c r="K359" s="204" t="s">
        <v>132</v>
      </c>
      <c r="L359" s="458" t="s">
        <v>4197</v>
      </c>
      <c r="M359" s="351" t="s">
        <v>4033</v>
      </c>
      <c r="N359" s="40" t="s">
        <v>504</v>
      </c>
      <c r="O359" s="40"/>
      <c r="P359" s="40"/>
      <c r="Q359" s="40" t="s">
        <v>6</v>
      </c>
      <c r="R359" s="40" t="s">
        <v>6</v>
      </c>
      <c r="S359" s="40" t="s">
        <v>6</v>
      </c>
      <c r="T359" s="40"/>
      <c r="U359" s="215"/>
      <c r="V359" s="412"/>
      <c r="W359" s="204" t="s">
        <v>133</v>
      </c>
      <c r="X359" s="199"/>
      <c r="Y359" s="199"/>
      <c r="Z359" s="126" t="s">
        <v>6</v>
      </c>
      <c r="AA359" s="126" t="s">
        <v>6</v>
      </c>
      <c r="AB359" s="198"/>
      <c r="AC359" s="199"/>
      <c r="AD359" s="199" t="s">
        <v>915</v>
      </c>
      <c r="AE359" s="204" t="s">
        <v>133</v>
      </c>
      <c r="AF359" s="199"/>
      <c r="AG359" s="199"/>
      <c r="AH359" s="126" t="s">
        <v>6</v>
      </c>
      <c r="AI359" s="126" t="s">
        <v>6</v>
      </c>
      <c r="AJ359" s="198"/>
      <c r="AK359" s="199"/>
      <c r="AL359" s="199" t="s">
        <v>915</v>
      </c>
      <c r="AM359" s="198" t="s">
        <v>907</v>
      </c>
      <c r="AN359" s="203" t="s">
        <v>908</v>
      </c>
      <c r="AO359" s="199"/>
      <c r="AP359" s="199"/>
      <c r="AQ359" s="199"/>
      <c r="AR359" s="199"/>
      <c r="AS359" s="199"/>
      <c r="AT359" s="199"/>
      <c r="AU359" s="199"/>
      <c r="AV359" s="199"/>
      <c r="AW359" s="155"/>
    </row>
    <row r="360" spans="1:49" s="236" customFormat="1" ht="26.4">
      <c r="A360" s="40">
        <f t="shared" si="30"/>
        <v>354</v>
      </c>
      <c r="B360" s="199"/>
      <c r="C360" s="199"/>
      <c r="D360" s="199"/>
      <c r="E360" s="199"/>
      <c r="F360" s="199"/>
      <c r="G360" s="199"/>
      <c r="H360" s="199"/>
      <c r="I360" s="40" t="s">
        <v>868</v>
      </c>
      <c r="J360" s="412" t="s">
        <v>4198</v>
      </c>
      <c r="K360" s="204" t="s">
        <v>132</v>
      </c>
      <c r="L360" s="458" t="s">
        <v>4199</v>
      </c>
      <c r="M360" s="351" t="s">
        <v>4033</v>
      </c>
      <c r="N360" s="40" t="s">
        <v>504</v>
      </c>
      <c r="O360" s="40"/>
      <c r="P360" s="40"/>
      <c r="Q360" s="40"/>
      <c r="R360" s="40" t="s">
        <v>6</v>
      </c>
      <c r="S360" s="40" t="s">
        <v>6</v>
      </c>
      <c r="T360" s="40"/>
      <c r="U360" s="218"/>
      <c r="V360" s="412"/>
      <c r="W360" s="204" t="s">
        <v>125</v>
      </c>
      <c r="X360" s="199"/>
      <c r="Y360" s="199"/>
      <c r="Z360" s="199"/>
      <c r="AA360" s="126" t="s">
        <v>6</v>
      </c>
      <c r="AB360" s="198"/>
      <c r="AC360" s="199"/>
      <c r="AD360" s="412" t="s">
        <v>965</v>
      </c>
      <c r="AE360" s="204" t="s">
        <v>125</v>
      </c>
      <c r="AF360" s="199"/>
      <c r="AG360" s="199"/>
      <c r="AH360" s="199"/>
      <c r="AI360" s="126" t="s">
        <v>6</v>
      </c>
      <c r="AJ360" s="198"/>
      <c r="AK360" s="199"/>
      <c r="AL360" s="412" t="s">
        <v>965</v>
      </c>
      <c r="AM360" s="198" t="s">
        <v>907</v>
      </c>
      <c r="AN360" s="203" t="s">
        <v>908</v>
      </c>
      <c r="AO360" s="199"/>
      <c r="AP360" s="199"/>
      <c r="AQ360" s="199"/>
      <c r="AR360" s="199"/>
      <c r="AS360" s="199"/>
      <c r="AT360" s="199"/>
      <c r="AU360" s="199"/>
      <c r="AV360" s="199"/>
      <c r="AW360" s="155"/>
    </row>
    <row r="361" spans="1:49" s="236" customFormat="1" ht="26.4">
      <c r="A361" s="40">
        <f t="shared" si="30"/>
        <v>355</v>
      </c>
      <c r="B361" s="199"/>
      <c r="C361" s="199"/>
      <c r="D361" s="199"/>
      <c r="E361" s="199"/>
      <c r="F361" s="199"/>
      <c r="G361" s="199"/>
      <c r="H361" s="199"/>
      <c r="I361" s="40" t="s">
        <v>868</v>
      </c>
      <c r="J361" s="412" t="s">
        <v>4200</v>
      </c>
      <c r="K361" s="204" t="s">
        <v>132</v>
      </c>
      <c r="L361" s="458" t="s">
        <v>4201</v>
      </c>
      <c r="M361" s="351" t="s">
        <v>4033</v>
      </c>
      <c r="N361" s="40" t="s">
        <v>504</v>
      </c>
      <c r="O361" s="40"/>
      <c r="P361" s="40"/>
      <c r="Q361" s="40"/>
      <c r="R361" s="40" t="s">
        <v>6</v>
      </c>
      <c r="S361" s="40" t="s">
        <v>6</v>
      </c>
      <c r="T361" s="40"/>
      <c r="U361" s="218"/>
      <c r="V361" s="412"/>
      <c r="W361" s="204" t="s">
        <v>125</v>
      </c>
      <c r="X361" s="199"/>
      <c r="Y361" s="199"/>
      <c r="Z361" s="199"/>
      <c r="AA361" s="126" t="s">
        <v>6</v>
      </c>
      <c r="AB361" s="198"/>
      <c r="AC361" s="199"/>
      <c r="AD361" s="412" t="s">
        <v>965</v>
      </c>
      <c r="AE361" s="204" t="s">
        <v>125</v>
      </c>
      <c r="AF361" s="199"/>
      <c r="AG361" s="199"/>
      <c r="AH361" s="199"/>
      <c r="AI361" s="126" t="s">
        <v>6</v>
      </c>
      <c r="AJ361" s="198"/>
      <c r="AK361" s="199"/>
      <c r="AL361" s="412" t="s">
        <v>965</v>
      </c>
      <c r="AM361" s="198" t="s">
        <v>907</v>
      </c>
      <c r="AN361" s="203" t="s">
        <v>908</v>
      </c>
      <c r="AO361" s="199"/>
      <c r="AP361" s="199"/>
      <c r="AQ361" s="199"/>
      <c r="AR361" s="199"/>
      <c r="AS361" s="199"/>
      <c r="AT361" s="199"/>
      <c r="AU361" s="199"/>
      <c r="AV361" s="199"/>
      <c r="AW361" s="155"/>
    </row>
    <row r="362" spans="1:49" s="236" customFormat="1" ht="26.4">
      <c r="A362" s="40">
        <f t="shared" si="30"/>
        <v>356</v>
      </c>
      <c r="B362" s="199"/>
      <c r="C362" s="199"/>
      <c r="D362" s="199"/>
      <c r="E362" s="199"/>
      <c r="F362" s="199"/>
      <c r="G362" s="199"/>
      <c r="H362" s="199"/>
      <c r="I362" s="40" t="s">
        <v>868</v>
      </c>
      <c r="J362" s="412" t="s">
        <v>4202</v>
      </c>
      <c r="K362" s="204" t="s">
        <v>132</v>
      </c>
      <c r="L362" s="458" t="s">
        <v>4203</v>
      </c>
      <c r="M362" s="351" t="s">
        <v>4033</v>
      </c>
      <c r="N362" s="40" t="s">
        <v>504</v>
      </c>
      <c r="O362" s="40"/>
      <c r="P362" s="40"/>
      <c r="Q362" s="40"/>
      <c r="R362" s="40" t="s">
        <v>6</v>
      </c>
      <c r="S362" s="40" t="s">
        <v>6</v>
      </c>
      <c r="T362" s="40"/>
      <c r="U362" s="218"/>
      <c r="V362" s="412"/>
      <c r="W362" s="204" t="s">
        <v>125</v>
      </c>
      <c r="X362" s="199"/>
      <c r="Y362" s="199"/>
      <c r="Z362" s="199"/>
      <c r="AA362" s="126" t="s">
        <v>6</v>
      </c>
      <c r="AB362" s="198"/>
      <c r="AC362" s="199"/>
      <c r="AD362" s="412" t="s">
        <v>965</v>
      </c>
      <c r="AE362" s="204" t="s">
        <v>125</v>
      </c>
      <c r="AF362" s="199"/>
      <c r="AG362" s="199"/>
      <c r="AH362" s="199"/>
      <c r="AI362" s="126" t="s">
        <v>6</v>
      </c>
      <c r="AJ362" s="198"/>
      <c r="AK362" s="199"/>
      <c r="AL362" s="412" t="s">
        <v>965</v>
      </c>
      <c r="AM362" s="198" t="s">
        <v>907</v>
      </c>
      <c r="AN362" s="203" t="s">
        <v>908</v>
      </c>
      <c r="AO362" s="199"/>
      <c r="AP362" s="199"/>
      <c r="AQ362" s="199"/>
      <c r="AR362" s="199"/>
      <c r="AS362" s="199"/>
      <c r="AT362" s="199"/>
      <c r="AU362" s="199"/>
      <c r="AV362" s="199"/>
      <c r="AW362" s="155"/>
    </row>
    <row r="363" spans="1:49" s="236" customFormat="1" ht="39.6">
      <c r="A363" s="40">
        <f t="shared" si="30"/>
        <v>357</v>
      </c>
      <c r="B363" s="199"/>
      <c r="C363" s="199"/>
      <c r="D363" s="199"/>
      <c r="E363" s="199"/>
      <c r="F363" s="199"/>
      <c r="G363" s="199"/>
      <c r="H363" s="199"/>
      <c r="I363" s="40" t="s">
        <v>868</v>
      </c>
      <c r="J363" s="412" t="s">
        <v>965</v>
      </c>
      <c r="K363" s="204" t="s">
        <v>132</v>
      </c>
      <c r="L363" s="458" t="s">
        <v>4204</v>
      </c>
      <c r="M363" s="351" t="s">
        <v>4033</v>
      </c>
      <c r="N363" s="40" t="s">
        <v>504</v>
      </c>
      <c r="O363" s="40"/>
      <c r="P363" s="40"/>
      <c r="Q363" s="40" t="s">
        <v>6</v>
      </c>
      <c r="R363" s="40" t="s">
        <v>6</v>
      </c>
      <c r="S363" s="40" t="s">
        <v>6</v>
      </c>
      <c r="T363" s="40"/>
      <c r="U363" s="215"/>
      <c r="V363" s="215"/>
      <c r="W363" s="204" t="s">
        <v>133</v>
      </c>
      <c r="X363" s="199"/>
      <c r="Y363" s="199"/>
      <c r="Z363" s="126" t="s">
        <v>6</v>
      </c>
      <c r="AA363" s="126" t="s">
        <v>6</v>
      </c>
      <c r="AB363" s="215"/>
      <c r="AC363" s="199"/>
      <c r="AD363" s="199" t="s">
        <v>915</v>
      </c>
      <c r="AE363" s="204" t="s">
        <v>133</v>
      </c>
      <c r="AF363" s="199"/>
      <c r="AG363" s="199"/>
      <c r="AH363" s="126" t="s">
        <v>6</v>
      </c>
      <c r="AI363" s="126" t="s">
        <v>6</v>
      </c>
      <c r="AJ363" s="215" t="s">
        <v>4205</v>
      </c>
      <c r="AK363" s="199"/>
      <c r="AL363" s="199" t="s">
        <v>915</v>
      </c>
      <c r="AM363" s="198" t="s">
        <v>907</v>
      </c>
      <c r="AN363" s="203" t="s">
        <v>908</v>
      </c>
      <c r="AO363" s="199"/>
      <c r="AP363" s="199"/>
      <c r="AQ363" s="199"/>
      <c r="AR363" s="199"/>
      <c r="AS363" s="199"/>
      <c r="AT363" s="199"/>
      <c r="AU363" s="199"/>
      <c r="AV363" s="199"/>
      <c r="AW363" s="155"/>
    </row>
    <row r="364" spans="1:49" s="236" customFormat="1" ht="26.4">
      <c r="A364" s="40">
        <f t="shared" si="30"/>
        <v>358</v>
      </c>
      <c r="B364" s="199"/>
      <c r="C364" s="199"/>
      <c r="D364" s="199"/>
      <c r="E364" s="199"/>
      <c r="F364" s="199"/>
      <c r="G364" s="199"/>
      <c r="H364" s="199"/>
      <c r="I364" s="40" t="s">
        <v>868</v>
      </c>
      <c r="J364" s="412" t="s">
        <v>4206</v>
      </c>
      <c r="K364" s="204" t="s">
        <v>132</v>
      </c>
      <c r="L364" s="458" t="s">
        <v>4207</v>
      </c>
      <c r="M364" s="351" t="s">
        <v>4034</v>
      </c>
      <c r="N364" s="40" t="s">
        <v>504</v>
      </c>
      <c r="O364" s="40"/>
      <c r="P364" s="40"/>
      <c r="Q364" s="40" t="s">
        <v>6</v>
      </c>
      <c r="R364" s="40" t="s">
        <v>6</v>
      </c>
      <c r="S364" s="40" t="s">
        <v>6</v>
      </c>
      <c r="T364" s="40"/>
      <c r="U364" s="215"/>
      <c r="V364" s="412"/>
      <c r="W364" s="204" t="s">
        <v>133</v>
      </c>
      <c r="X364" s="199"/>
      <c r="Y364" s="199"/>
      <c r="Z364" s="126" t="s">
        <v>6</v>
      </c>
      <c r="AA364" s="126" t="s">
        <v>6</v>
      </c>
      <c r="AB364" s="198"/>
      <c r="AC364" s="199"/>
      <c r="AD364" s="199" t="s">
        <v>915</v>
      </c>
      <c r="AE364" s="204" t="s">
        <v>133</v>
      </c>
      <c r="AF364" s="199"/>
      <c r="AG364" s="199"/>
      <c r="AH364" s="126" t="s">
        <v>6</v>
      </c>
      <c r="AI364" s="126" t="s">
        <v>6</v>
      </c>
      <c r="AJ364" s="198"/>
      <c r="AK364" s="199"/>
      <c r="AL364" s="199" t="s">
        <v>915</v>
      </c>
      <c r="AM364" s="198" t="s">
        <v>907</v>
      </c>
      <c r="AN364" s="203" t="s">
        <v>908</v>
      </c>
      <c r="AO364" s="199"/>
      <c r="AP364" s="199"/>
      <c r="AQ364" s="199"/>
      <c r="AR364" s="199"/>
      <c r="AS364" s="199"/>
      <c r="AT364" s="199"/>
      <c r="AU364" s="199"/>
      <c r="AV364" s="199"/>
      <c r="AW364" s="155"/>
    </row>
    <row r="365" spans="1:49" s="236" customFormat="1" ht="26.4">
      <c r="A365" s="40">
        <f t="shared" si="30"/>
        <v>359</v>
      </c>
      <c r="B365" s="199"/>
      <c r="C365" s="199"/>
      <c r="D365" s="199"/>
      <c r="E365" s="199"/>
      <c r="F365" s="199"/>
      <c r="G365" s="199"/>
      <c r="H365" s="199"/>
      <c r="I365" s="40" t="s">
        <v>868</v>
      </c>
      <c r="J365" s="412" t="s">
        <v>4208</v>
      </c>
      <c r="K365" s="204" t="s">
        <v>132</v>
      </c>
      <c r="L365" s="458" t="s">
        <v>4209</v>
      </c>
      <c r="M365" s="351" t="s">
        <v>3836</v>
      </c>
      <c r="N365" s="40" t="s">
        <v>504</v>
      </c>
      <c r="O365" s="40"/>
      <c r="P365" s="40"/>
      <c r="Q365" s="40"/>
      <c r="R365" s="40" t="s">
        <v>6</v>
      </c>
      <c r="S365" s="40" t="s">
        <v>6</v>
      </c>
      <c r="T365" s="40"/>
      <c r="U365" s="218"/>
      <c r="V365" s="412"/>
      <c r="W365" s="204" t="s">
        <v>125</v>
      </c>
      <c r="X365" s="199"/>
      <c r="Y365" s="199"/>
      <c r="Z365" s="199"/>
      <c r="AA365" s="126" t="s">
        <v>6</v>
      </c>
      <c r="AB365" s="198"/>
      <c r="AC365" s="199"/>
      <c r="AD365" s="412" t="s">
        <v>976</v>
      </c>
      <c r="AE365" s="204" t="s">
        <v>125</v>
      </c>
      <c r="AF365" s="199"/>
      <c r="AG365" s="199"/>
      <c r="AH365" s="199"/>
      <c r="AI365" s="126" t="s">
        <v>6</v>
      </c>
      <c r="AJ365" s="198"/>
      <c r="AK365" s="199"/>
      <c r="AL365" s="412" t="s">
        <v>976</v>
      </c>
      <c r="AM365" s="198" t="s">
        <v>907</v>
      </c>
      <c r="AN365" s="203" t="s">
        <v>908</v>
      </c>
      <c r="AO365" s="199"/>
      <c r="AP365" s="199"/>
      <c r="AQ365" s="199"/>
      <c r="AR365" s="199"/>
      <c r="AS365" s="199"/>
      <c r="AT365" s="199"/>
      <c r="AU365" s="199"/>
      <c r="AV365" s="199"/>
      <c r="AW365" s="155"/>
    </row>
    <row r="366" spans="1:49" s="236" customFormat="1" ht="26.4">
      <c r="A366" s="40">
        <f t="shared" si="30"/>
        <v>360</v>
      </c>
      <c r="B366" s="199"/>
      <c r="C366" s="199"/>
      <c r="D366" s="199"/>
      <c r="E366" s="199"/>
      <c r="F366" s="199"/>
      <c r="G366" s="199"/>
      <c r="H366" s="199"/>
      <c r="I366" s="40" t="s">
        <v>868</v>
      </c>
      <c r="J366" s="412" t="s">
        <v>4210</v>
      </c>
      <c r="K366" s="204" t="s">
        <v>132</v>
      </c>
      <c r="L366" s="458" t="s">
        <v>4211</v>
      </c>
      <c r="M366" s="351" t="s">
        <v>3836</v>
      </c>
      <c r="N366" s="40" t="s">
        <v>504</v>
      </c>
      <c r="O366" s="40"/>
      <c r="P366" s="40"/>
      <c r="Q366" s="40"/>
      <c r="R366" s="40" t="s">
        <v>6</v>
      </c>
      <c r="S366" s="40" t="s">
        <v>6</v>
      </c>
      <c r="T366" s="40"/>
      <c r="U366" s="218"/>
      <c r="V366" s="412"/>
      <c r="W366" s="204" t="s">
        <v>125</v>
      </c>
      <c r="X366" s="199"/>
      <c r="Y366" s="199"/>
      <c r="Z366" s="199"/>
      <c r="AA366" s="126" t="s">
        <v>6</v>
      </c>
      <c r="AB366" s="198"/>
      <c r="AC366" s="199"/>
      <c r="AD366" s="412" t="s">
        <v>976</v>
      </c>
      <c r="AE366" s="204" t="s">
        <v>125</v>
      </c>
      <c r="AF366" s="199"/>
      <c r="AG366" s="199"/>
      <c r="AH366" s="199"/>
      <c r="AI366" s="126" t="s">
        <v>6</v>
      </c>
      <c r="AJ366" s="198"/>
      <c r="AK366" s="199"/>
      <c r="AL366" s="412" t="s">
        <v>976</v>
      </c>
      <c r="AM366" s="198" t="s">
        <v>907</v>
      </c>
      <c r="AN366" s="203" t="s">
        <v>908</v>
      </c>
      <c r="AO366" s="199"/>
      <c r="AP366" s="199"/>
      <c r="AQ366" s="199"/>
      <c r="AR366" s="199"/>
      <c r="AS366" s="199"/>
      <c r="AT366" s="199"/>
      <c r="AU366" s="199"/>
      <c r="AV366" s="199"/>
      <c r="AW366" s="155"/>
    </row>
    <row r="367" spans="1:49" s="236" customFormat="1" ht="26.4">
      <c r="A367" s="40">
        <f t="shared" si="30"/>
        <v>361</v>
      </c>
      <c r="B367" s="199"/>
      <c r="C367" s="199"/>
      <c r="D367" s="199"/>
      <c r="E367" s="199"/>
      <c r="F367" s="199"/>
      <c r="G367" s="199"/>
      <c r="H367" s="199"/>
      <c r="I367" s="40" t="s">
        <v>868</v>
      </c>
      <c r="J367" s="412" t="s">
        <v>4212</v>
      </c>
      <c r="K367" s="204" t="s">
        <v>132</v>
      </c>
      <c r="L367" s="458" t="s">
        <v>4213</v>
      </c>
      <c r="M367" s="351" t="s">
        <v>3836</v>
      </c>
      <c r="N367" s="40" t="s">
        <v>504</v>
      </c>
      <c r="O367" s="40"/>
      <c r="P367" s="40"/>
      <c r="Q367" s="40"/>
      <c r="R367" s="40" t="s">
        <v>6</v>
      </c>
      <c r="S367" s="40" t="s">
        <v>6</v>
      </c>
      <c r="T367" s="40"/>
      <c r="U367" s="218"/>
      <c r="V367" s="412"/>
      <c r="W367" s="204" t="s">
        <v>125</v>
      </c>
      <c r="X367" s="199"/>
      <c r="Y367" s="199"/>
      <c r="Z367" s="199"/>
      <c r="AA367" s="126" t="s">
        <v>6</v>
      </c>
      <c r="AB367" s="198"/>
      <c r="AC367" s="199"/>
      <c r="AD367" s="412" t="s">
        <v>976</v>
      </c>
      <c r="AE367" s="204" t="s">
        <v>125</v>
      </c>
      <c r="AF367" s="199"/>
      <c r="AG367" s="199"/>
      <c r="AH367" s="199"/>
      <c r="AI367" s="126" t="s">
        <v>6</v>
      </c>
      <c r="AJ367" s="198"/>
      <c r="AK367" s="199"/>
      <c r="AL367" s="412" t="s">
        <v>976</v>
      </c>
      <c r="AM367" s="198" t="s">
        <v>907</v>
      </c>
      <c r="AN367" s="203" t="s">
        <v>908</v>
      </c>
      <c r="AO367" s="199"/>
      <c r="AP367" s="199"/>
      <c r="AQ367" s="199"/>
      <c r="AR367" s="199"/>
      <c r="AS367" s="199"/>
      <c r="AT367" s="199"/>
      <c r="AU367" s="199"/>
      <c r="AV367" s="199"/>
      <c r="AW367" s="155"/>
    </row>
    <row r="368" spans="1:49" s="236" customFormat="1" ht="39.6">
      <c r="A368" s="40">
        <f t="shared" si="30"/>
        <v>362</v>
      </c>
      <c r="B368" s="199"/>
      <c r="C368" s="199"/>
      <c r="D368" s="199"/>
      <c r="E368" s="199"/>
      <c r="F368" s="199"/>
      <c r="G368" s="199"/>
      <c r="H368" s="199"/>
      <c r="I368" s="40" t="s">
        <v>868</v>
      </c>
      <c r="J368" s="412" t="s">
        <v>976</v>
      </c>
      <c r="K368" s="204" t="s">
        <v>132</v>
      </c>
      <c r="L368" s="458" t="s">
        <v>4214</v>
      </c>
      <c r="M368" s="351" t="s">
        <v>3836</v>
      </c>
      <c r="N368" s="40" t="s">
        <v>504</v>
      </c>
      <c r="O368" s="40"/>
      <c r="P368" s="40"/>
      <c r="Q368" s="40" t="s">
        <v>6</v>
      </c>
      <c r="R368" s="40" t="s">
        <v>6</v>
      </c>
      <c r="S368" s="40" t="s">
        <v>6</v>
      </c>
      <c r="T368" s="40"/>
      <c r="U368" s="215"/>
      <c r="V368" s="215"/>
      <c r="W368" s="204" t="s">
        <v>133</v>
      </c>
      <c r="X368" s="199"/>
      <c r="Y368" s="199"/>
      <c r="Z368" s="126" t="s">
        <v>6</v>
      </c>
      <c r="AA368" s="126" t="s">
        <v>6</v>
      </c>
      <c r="AB368" s="215"/>
      <c r="AC368" s="199"/>
      <c r="AD368" s="199" t="s">
        <v>915</v>
      </c>
      <c r="AE368" s="204" t="s">
        <v>133</v>
      </c>
      <c r="AF368" s="199"/>
      <c r="AG368" s="199"/>
      <c r="AH368" s="126" t="s">
        <v>6</v>
      </c>
      <c r="AI368" s="126" t="s">
        <v>6</v>
      </c>
      <c r="AJ368" s="215" t="s">
        <v>4215</v>
      </c>
      <c r="AK368" s="199"/>
      <c r="AL368" s="199" t="s">
        <v>915</v>
      </c>
      <c r="AM368" s="198" t="s">
        <v>907</v>
      </c>
      <c r="AN368" s="203" t="s">
        <v>908</v>
      </c>
      <c r="AO368" s="199"/>
      <c r="AP368" s="199"/>
      <c r="AQ368" s="199"/>
      <c r="AR368" s="199"/>
      <c r="AS368" s="199"/>
      <c r="AT368" s="199"/>
      <c r="AU368" s="199"/>
      <c r="AV368" s="199"/>
      <c r="AW368" s="155"/>
    </row>
    <row r="369" spans="1:49" s="236" customFormat="1" ht="26.4">
      <c r="A369" s="40">
        <f t="shared" si="30"/>
        <v>363</v>
      </c>
      <c r="B369" s="199"/>
      <c r="C369" s="199"/>
      <c r="D369" s="199"/>
      <c r="E369" s="199"/>
      <c r="F369" s="199"/>
      <c r="G369" s="199"/>
      <c r="H369" s="199"/>
      <c r="I369" s="40" t="s">
        <v>868</v>
      </c>
      <c r="J369" s="412" t="s">
        <v>4216</v>
      </c>
      <c r="K369" s="204" t="s">
        <v>132</v>
      </c>
      <c r="L369" s="458" t="s">
        <v>4217</v>
      </c>
      <c r="M369" s="351" t="s">
        <v>3836</v>
      </c>
      <c r="N369" s="40" t="s">
        <v>504</v>
      </c>
      <c r="O369" s="40"/>
      <c r="P369" s="40"/>
      <c r="Q369" s="40" t="s">
        <v>6</v>
      </c>
      <c r="R369" s="40" t="s">
        <v>6</v>
      </c>
      <c r="S369" s="40" t="s">
        <v>6</v>
      </c>
      <c r="T369" s="40"/>
      <c r="U369" s="215"/>
      <c r="V369" s="412"/>
      <c r="W369" s="204" t="s">
        <v>133</v>
      </c>
      <c r="X369" s="199"/>
      <c r="Y369" s="199"/>
      <c r="Z369" s="126" t="s">
        <v>6</v>
      </c>
      <c r="AA369" s="126" t="s">
        <v>6</v>
      </c>
      <c r="AB369" s="198"/>
      <c r="AC369" s="199"/>
      <c r="AD369" s="199" t="s">
        <v>915</v>
      </c>
      <c r="AE369" s="204" t="s">
        <v>133</v>
      </c>
      <c r="AF369" s="199"/>
      <c r="AG369" s="199"/>
      <c r="AH369" s="126" t="s">
        <v>6</v>
      </c>
      <c r="AI369" s="126" t="s">
        <v>6</v>
      </c>
      <c r="AJ369" s="198"/>
      <c r="AK369" s="199"/>
      <c r="AL369" s="199" t="s">
        <v>915</v>
      </c>
      <c r="AM369" s="198" t="s">
        <v>907</v>
      </c>
      <c r="AN369" s="203" t="s">
        <v>908</v>
      </c>
      <c r="AO369" s="199"/>
      <c r="AP369" s="199"/>
      <c r="AQ369" s="199"/>
      <c r="AR369" s="199"/>
      <c r="AS369" s="199"/>
      <c r="AT369" s="199"/>
      <c r="AU369" s="199"/>
      <c r="AV369" s="199"/>
      <c r="AW369" s="155"/>
    </row>
    <row r="370" spans="1:49" s="236" customFormat="1" ht="15">
      <c r="A370" s="40">
        <f t="shared" si="30"/>
        <v>364</v>
      </c>
      <c r="B370" s="199"/>
      <c r="C370" s="199"/>
      <c r="D370" s="199"/>
      <c r="E370" s="199"/>
      <c r="F370" s="199"/>
      <c r="G370" s="199"/>
      <c r="H370" s="199"/>
      <c r="I370" s="40" t="s">
        <v>868</v>
      </c>
      <c r="J370" s="412" t="s">
        <v>4218</v>
      </c>
      <c r="K370" s="204" t="s">
        <v>132</v>
      </c>
      <c r="L370" s="458" t="s">
        <v>4219</v>
      </c>
      <c r="M370" s="351" t="s">
        <v>3809</v>
      </c>
      <c r="N370" s="40" t="s">
        <v>504</v>
      </c>
      <c r="O370" s="40"/>
      <c r="P370" s="40"/>
      <c r="Q370" s="40" t="s">
        <v>6</v>
      </c>
      <c r="R370" s="40" t="s">
        <v>6</v>
      </c>
      <c r="S370" s="40" t="s">
        <v>6</v>
      </c>
      <c r="T370" s="40"/>
      <c r="U370" s="215"/>
      <c r="V370" s="412"/>
      <c r="W370" s="204" t="s">
        <v>133</v>
      </c>
      <c r="X370" s="199"/>
      <c r="Y370" s="199"/>
      <c r="Z370" s="126" t="s">
        <v>6</v>
      </c>
      <c r="AA370" s="126" t="s">
        <v>6</v>
      </c>
      <c r="AB370" s="198"/>
      <c r="AC370" s="199"/>
      <c r="AD370" s="199" t="s">
        <v>915</v>
      </c>
      <c r="AE370" s="204" t="s">
        <v>133</v>
      </c>
      <c r="AF370" s="199"/>
      <c r="AG370" s="199"/>
      <c r="AH370" s="126" t="s">
        <v>6</v>
      </c>
      <c r="AI370" s="126" t="s">
        <v>6</v>
      </c>
      <c r="AJ370" s="198"/>
      <c r="AK370" s="199"/>
      <c r="AL370" s="199" t="s">
        <v>915</v>
      </c>
      <c r="AM370" s="198" t="s">
        <v>907</v>
      </c>
      <c r="AN370" s="203" t="s">
        <v>908</v>
      </c>
      <c r="AO370" s="199"/>
      <c r="AP370" s="199"/>
      <c r="AQ370" s="199"/>
      <c r="AR370" s="199"/>
      <c r="AS370" s="199"/>
      <c r="AT370" s="199"/>
      <c r="AU370" s="199"/>
      <c r="AV370" s="199"/>
      <c r="AW370" s="155"/>
    </row>
    <row r="371" spans="1:49" s="236" customFormat="1" ht="15">
      <c r="A371" s="40">
        <f t="shared" si="30"/>
        <v>365</v>
      </c>
      <c r="B371" s="199"/>
      <c r="C371" s="199"/>
      <c r="D371" s="199"/>
      <c r="E371" s="199"/>
      <c r="F371" s="199"/>
      <c r="G371" s="199"/>
      <c r="H371" s="199"/>
      <c r="I371" s="40" t="s">
        <v>868</v>
      </c>
      <c r="J371" s="412" t="s">
        <v>4220</v>
      </c>
      <c r="K371" s="204" t="s">
        <v>132</v>
      </c>
      <c r="L371" s="458" t="s">
        <v>4221</v>
      </c>
      <c r="M371" s="351" t="s">
        <v>3809</v>
      </c>
      <c r="N371" s="40" t="s">
        <v>504</v>
      </c>
      <c r="O371" s="40"/>
      <c r="P371" s="40"/>
      <c r="Q371" s="40" t="s">
        <v>6</v>
      </c>
      <c r="R371" s="40" t="s">
        <v>6</v>
      </c>
      <c r="S371" s="40" t="s">
        <v>6</v>
      </c>
      <c r="T371" s="40"/>
      <c r="U371" s="215"/>
      <c r="V371" s="412"/>
      <c r="W371" s="204" t="s">
        <v>133</v>
      </c>
      <c r="X371" s="199"/>
      <c r="Y371" s="199"/>
      <c r="Z371" s="126" t="s">
        <v>6</v>
      </c>
      <c r="AA371" s="126" t="s">
        <v>6</v>
      </c>
      <c r="AB371" s="198"/>
      <c r="AC371" s="199"/>
      <c r="AD371" s="199" t="s">
        <v>915</v>
      </c>
      <c r="AE371" s="204" t="s">
        <v>133</v>
      </c>
      <c r="AF371" s="199"/>
      <c r="AG371" s="199"/>
      <c r="AH371" s="126" t="s">
        <v>6</v>
      </c>
      <c r="AI371" s="126" t="s">
        <v>6</v>
      </c>
      <c r="AJ371" s="198"/>
      <c r="AK371" s="199"/>
      <c r="AL371" s="199" t="s">
        <v>915</v>
      </c>
      <c r="AM371" s="198" t="s">
        <v>907</v>
      </c>
      <c r="AN371" s="203" t="s">
        <v>908</v>
      </c>
      <c r="AO371" s="199"/>
      <c r="AP371" s="199"/>
      <c r="AQ371" s="199"/>
      <c r="AR371" s="199"/>
      <c r="AS371" s="199"/>
      <c r="AT371" s="199"/>
      <c r="AU371" s="199"/>
      <c r="AV371" s="199"/>
      <c r="AW371" s="155"/>
    </row>
    <row r="372" spans="1:49" s="236" customFormat="1" ht="15">
      <c r="A372" s="40">
        <f t="shared" si="30"/>
        <v>366</v>
      </c>
      <c r="B372" s="199"/>
      <c r="C372" s="199"/>
      <c r="D372" s="199"/>
      <c r="E372" s="199"/>
      <c r="F372" s="199"/>
      <c r="G372" s="199"/>
      <c r="H372" s="199"/>
      <c r="I372" s="40" t="s">
        <v>868</v>
      </c>
      <c r="J372" s="412" t="s">
        <v>4222</v>
      </c>
      <c r="K372" s="204" t="s">
        <v>132</v>
      </c>
      <c r="L372" s="458" t="s">
        <v>4223</v>
      </c>
      <c r="M372" s="351" t="s">
        <v>3809</v>
      </c>
      <c r="N372" s="40" t="s">
        <v>504</v>
      </c>
      <c r="O372" s="40"/>
      <c r="P372" s="40"/>
      <c r="Q372" s="40" t="s">
        <v>6</v>
      </c>
      <c r="R372" s="40" t="s">
        <v>6</v>
      </c>
      <c r="S372" s="40" t="s">
        <v>6</v>
      </c>
      <c r="T372" s="40"/>
      <c r="U372" s="215"/>
      <c r="V372" s="412"/>
      <c r="W372" s="204" t="s">
        <v>133</v>
      </c>
      <c r="X372" s="199"/>
      <c r="Y372" s="199"/>
      <c r="Z372" s="126" t="s">
        <v>6</v>
      </c>
      <c r="AA372" s="126" t="s">
        <v>6</v>
      </c>
      <c r="AB372" s="198"/>
      <c r="AC372" s="199"/>
      <c r="AD372" s="199" t="s">
        <v>915</v>
      </c>
      <c r="AE372" s="204" t="s">
        <v>133</v>
      </c>
      <c r="AF372" s="199"/>
      <c r="AG372" s="199"/>
      <c r="AH372" s="126" t="s">
        <v>6</v>
      </c>
      <c r="AI372" s="126" t="s">
        <v>6</v>
      </c>
      <c r="AJ372" s="198"/>
      <c r="AK372" s="199"/>
      <c r="AL372" s="199" t="s">
        <v>915</v>
      </c>
      <c r="AM372" s="198" t="s">
        <v>907</v>
      </c>
      <c r="AN372" s="203" t="s">
        <v>908</v>
      </c>
      <c r="AO372" s="199"/>
      <c r="AP372" s="199"/>
      <c r="AQ372" s="199"/>
      <c r="AR372" s="199"/>
      <c r="AS372" s="199"/>
      <c r="AT372" s="199"/>
      <c r="AU372" s="199"/>
      <c r="AV372" s="199"/>
      <c r="AW372" s="155"/>
    </row>
    <row r="373" spans="1:49" s="236" customFormat="1" ht="15">
      <c r="A373" s="40">
        <f t="shared" si="30"/>
        <v>367</v>
      </c>
      <c r="B373" s="199"/>
      <c r="C373" s="199"/>
      <c r="D373" s="199"/>
      <c r="E373" s="199"/>
      <c r="F373" s="199"/>
      <c r="G373" s="199"/>
      <c r="H373" s="199"/>
      <c r="I373" s="40" t="s">
        <v>868</v>
      </c>
      <c r="J373" s="412" t="s">
        <v>4224</v>
      </c>
      <c r="K373" s="204" t="s">
        <v>132</v>
      </c>
      <c r="L373" s="458" t="s">
        <v>4225</v>
      </c>
      <c r="M373" s="351" t="s">
        <v>3809</v>
      </c>
      <c r="N373" s="40" t="s">
        <v>504</v>
      </c>
      <c r="O373" s="40"/>
      <c r="P373" s="40"/>
      <c r="Q373" s="40" t="s">
        <v>6</v>
      </c>
      <c r="R373" s="40" t="s">
        <v>6</v>
      </c>
      <c r="S373" s="40" t="s">
        <v>6</v>
      </c>
      <c r="T373" s="40"/>
      <c r="U373" s="215"/>
      <c r="V373" s="412"/>
      <c r="W373" s="204" t="s">
        <v>133</v>
      </c>
      <c r="X373" s="199"/>
      <c r="Y373" s="199"/>
      <c r="Z373" s="126" t="s">
        <v>6</v>
      </c>
      <c r="AA373" s="126" t="s">
        <v>6</v>
      </c>
      <c r="AB373" s="198"/>
      <c r="AC373" s="199"/>
      <c r="AD373" s="199" t="s">
        <v>915</v>
      </c>
      <c r="AE373" s="204" t="s">
        <v>133</v>
      </c>
      <c r="AF373" s="199"/>
      <c r="AG373" s="199"/>
      <c r="AH373" s="126" t="s">
        <v>6</v>
      </c>
      <c r="AI373" s="126" t="s">
        <v>6</v>
      </c>
      <c r="AJ373" s="198"/>
      <c r="AK373" s="199"/>
      <c r="AL373" s="199" t="s">
        <v>915</v>
      </c>
      <c r="AM373" s="198" t="s">
        <v>907</v>
      </c>
      <c r="AN373" s="203" t="s">
        <v>908</v>
      </c>
      <c r="AO373" s="199"/>
      <c r="AP373" s="199"/>
      <c r="AQ373" s="199"/>
      <c r="AR373" s="199"/>
      <c r="AS373" s="199"/>
      <c r="AT373" s="199"/>
      <c r="AU373" s="199"/>
      <c r="AV373" s="199"/>
      <c r="AW373" s="155"/>
    </row>
    <row r="374" spans="1:49" s="236" customFormat="1" ht="26.4">
      <c r="A374" s="40">
        <f t="shared" si="30"/>
        <v>368</v>
      </c>
      <c r="B374" s="199"/>
      <c r="C374" s="199"/>
      <c r="D374" s="199"/>
      <c r="E374" s="199"/>
      <c r="F374" s="199"/>
      <c r="G374" s="199"/>
      <c r="H374" s="199"/>
      <c r="I374" s="40" t="s">
        <v>868</v>
      </c>
      <c r="J374" s="412" t="s">
        <v>4226</v>
      </c>
      <c r="K374" s="204" t="s">
        <v>132</v>
      </c>
      <c r="L374" s="241" t="s">
        <v>4227</v>
      </c>
      <c r="M374" s="351" t="s">
        <v>4033</v>
      </c>
      <c r="N374" s="40" t="s">
        <v>504</v>
      </c>
      <c r="O374" s="40"/>
      <c r="P374" s="40"/>
      <c r="Q374" s="40" t="s">
        <v>6</v>
      </c>
      <c r="R374" s="40" t="s">
        <v>6</v>
      </c>
      <c r="S374" s="40" t="s">
        <v>6</v>
      </c>
      <c r="T374" s="40"/>
      <c r="U374" s="215"/>
      <c r="V374" s="412"/>
      <c r="W374" s="204" t="s">
        <v>133</v>
      </c>
      <c r="X374" s="199"/>
      <c r="Y374" s="199"/>
      <c r="Z374" s="126" t="s">
        <v>6</v>
      </c>
      <c r="AA374" s="126" t="s">
        <v>6</v>
      </c>
      <c r="AB374" s="198"/>
      <c r="AC374" s="199"/>
      <c r="AD374" s="199" t="s">
        <v>915</v>
      </c>
      <c r="AE374" s="204" t="s">
        <v>133</v>
      </c>
      <c r="AF374" s="199"/>
      <c r="AG374" s="199"/>
      <c r="AH374" s="126" t="s">
        <v>6</v>
      </c>
      <c r="AI374" s="126" t="s">
        <v>6</v>
      </c>
      <c r="AJ374" s="198"/>
      <c r="AK374" s="199"/>
      <c r="AL374" s="199" t="s">
        <v>915</v>
      </c>
      <c r="AM374" s="198" t="s">
        <v>907</v>
      </c>
      <c r="AN374" s="203" t="s">
        <v>908</v>
      </c>
      <c r="AO374" s="199"/>
      <c r="AP374" s="199"/>
      <c r="AQ374" s="199"/>
      <c r="AR374" s="199"/>
      <c r="AS374" s="199"/>
      <c r="AT374" s="199"/>
      <c r="AU374" s="199"/>
      <c r="AV374" s="199"/>
      <c r="AW374" s="155"/>
    </row>
    <row r="375" spans="1:49" s="236" customFormat="1" ht="15">
      <c r="A375" s="40">
        <f t="shared" si="30"/>
        <v>369</v>
      </c>
      <c r="B375" s="199"/>
      <c r="C375" s="199"/>
      <c r="D375" s="199"/>
      <c r="E375" s="199"/>
      <c r="F375" s="199"/>
      <c r="G375" s="199"/>
      <c r="H375" s="199"/>
      <c r="I375" s="40" t="s">
        <v>868</v>
      </c>
      <c r="J375" s="412" t="s">
        <v>4228</v>
      </c>
      <c r="K375" s="204" t="s">
        <v>132</v>
      </c>
      <c r="L375" s="240" t="s">
        <v>4229</v>
      </c>
      <c r="M375" s="351" t="s">
        <v>4033</v>
      </c>
      <c r="N375" s="40" t="s">
        <v>504</v>
      </c>
      <c r="O375" s="40"/>
      <c r="P375" s="40"/>
      <c r="Q375" s="40" t="s">
        <v>6</v>
      </c>
      <c r="R375" s="40" t="s">
        <v>6</v>
      </c>
      <c r="S375" s="40" t="s">
        <v>6</v>
      </c>
      <c r="T375" s="40"/>
      <c r="U375" s="215"/>
      <c r="V375" s="412"/>
      <c r="W375" s="204" t="s">
        <v>133</v>
      </c>
      <c r="X375" s="199"/>
      <c r="Y375" s="199"/>
      <c r="Z375" s="126" t="s">
        <v>6</v>
      </c>
      <c r="AA375" s="126" t="s">
        <v>6</v>
      </c>
      <c r="AB375" s="198"/>
      <c r="AC375" s="199"/>
      <c r="AD375" s="199" t="s">
        <v>915</v>
      </c>
      <c r="AE375" s="204" t="s">
        <v>133</v>
      </c>
      <c r="AF375" s="199"/>
      <c r="AG375" s="199"/>
      <c r="AH375" s="126" t="s">
        <v>6</v>
      </c>
      <c r="AI375" s="126" t="s">
        <v>6</v>
      </c>
      <c r="AJ375" s="198"/>
      <c r="AK375" s="199"/>
      <c r="AL375" s="199" t="s">
        <v>915</v>
      </c>
      <c r="AM375" s="198" t="s">
        <v>907</v>
      </c>
      <c r="AN375" s="203" t="s">
        <v>908</v>
      </c>
      <c r="AO375" s="199"/>
      <c r="AP375" s="199"/>
      <c r="AQ375" s="199"/>
      <c r="AR375" s="199"/>
      <c r="AS375" s="199"/>
      <c r="AT375" s="199"/>
      <c r="AU375" s="199"/>
      <c r="AV375" s="199"/>
      <c r="AW375" s="155"/>
    </row>
    <row r="376" spans="1:49" s="236" customFormat="1" ht="15">
      <c r="A376" s="40">
        <f t="shared" si="30"/>
        <v>370</v>
      </c>
      <c r="B376" s="199"/>
      <c r="C376" s="199"/>
      <c r="D376" s="199"/>
      <c r="E376" s="199"/>
      <c r="F376" s="199"/>
      <c r="G376" s="199"/>
      <c r="H376" s="199"/>
      <c r="I376" s="40" t="s">
        <v>868</v>
      </c>
      <c r="J376" s="412" t="s">
        <v>4230</v>
      </c>
      <c r="K376" s="204" t="s">
        <v>132</v>
      </c>
      <c r="L376" s="240" t="s">
        <v>4231</v>
      </c>
      <c r="M376" s="351" t="s">
        <v>4033</v>
      </c>
      <c r="N376" s="40" t="s">
        <v>504</v>
      </c>
      <c r="O376" s="40"/>
      <c r="P376" s="40"/>
      <c r="Q376" s="40" t="s">
        <v>6</v>
      </c>
      <c r="R376" s="40" t="s">
        <v>6</v>
      </c>
      <c r="S376" s="40" t="s">
        <v>6</v>
      </c>
      <c r="T376" s="40"/>
      <c r="U376" s="215"/>
      <c r="V376" s="412"/>
      <c r="W376" s="204" t="s">
        <v>133</v>
      </c>
      <c r="X376" s="199"/>
      <c r="Y376" s="199"/>
      <c r="Z376" s="126" t="s">
        <v>6</v>
      </c>
      <c r="AA376" s="126" t="s">
        <v>6</v>
      </c>
      <c r="AB376" s="198"/>
      <c r="AC376" s="199"/>
      <c r="AD376" s="199" t="s">
        <v>915</v>
      </c>
      <c r="AE376" s="204" t="s">
        <v>133</v>
      </c>
      <c r="AF376" s="199"/>
      <c r="AG376" s="199"/>
      <c r="AH376" s="126" t="s">
        <v>6</v>
      </c>
      <c r="AI376" s="126" t="s">
        <v>6</v>
      </c>
      <c r="AJ376" s="198"/>
      <c r="AK376" s="199"/>
      <c r="AL376" s="199" t="s">
        <v>915</v>
      </c>
      <c r="AM376" s="198" t="s">
        <v>907</v>
      </c>
      <c r="AN376" s="203" t="s">
        <v>908</v>
      </c>
      <c r="AO376" s="199"/>
      <c r="AP376" s="199"/>
      <c r="AQ376" s="199"/>
      <c r="AR376" s="199"/>
      <c r="AS376" s="199"/>
      <c r="AT376" s="199"/>
      <c r="AU376" s="199"/>
      <c r="AV376" s="199"/>
      <c r="AW376" s="155"/>
    </row>
    <row r="377" spans="1:49" s="236" customFormat="1" ht="15">
      <c r="A377" s="40">
        <f t="shared" si="30"/>
        <v>371</v>
      </c>
      <c r="B377" s="199"/>
      <c r="C377" s="199"/>
      <c r="D377" s="199"/>
      <c r="E377" s="199"/>
      <c r="F377" s="199"/>
      <c r="G377" s="199"/>
      <c r="H377" s="199"/>
      <c r="I377" s="40" t="s">
        <v>868</v>
      </c>
      <c r="J377" s="412" t="s">
        <v>4232</v>
      </c>
      <c r="K377" s="204" t="s">
        <v>122</v>
      </c>
      <c r="L377" s="240" t="s">
        <v>4233</v>
      </c>
      <c r="M377" s="351" t="s">
        <v>4034</v>
      </c>
      <c r="N377" s="40" t="s">
        <v>873</v>
      </c>
      <c r="O377" s="40"/>
      <c r="P377" s="40"/>
      <c r="Q377" s="40" t="s">
        <v>6</v>
      </c>
      <c r="R377" s="40" t="s">
        <v>6</v>
      </c>
      <c r="S377" s="40" t="s">
        <v>6</v>
      </c>
      <c r="T377" s="40"/>
      <c r="U377" s="215"/>
      <c r="V377" s="412"/>
      <c r="W377" s="204" t="s">
        <v>133</v>
      </c>
      <c r="X377" s="199"/>
      <c r="Y377" s="199"/>
      <c r="Z377" s="126" t="s">
        <v>6</v>
      </c>
      <c r="AA377" s="126" t="s">
        <v>6</v>
      </c>
      <c r="AB377" s="198"/>
      <c r="AC377" s="199"/>
      <c r="AD377" s="199" t="s">
        <v>915</v>
      </c>
      <c r="AE377" s="204" t="s">
        <v>133</v>
      </c>
      <c r="AF377" s="199"/>
      <c r="AG377" s="199"/>
      <c r="AH377" s="126" t="s">
        <v>6</v>
      </c>
      <c r="AI377" s="126" t="s">
        <v>6</v>
      </c>
      <c r="AJ377" s="198"/>
      <c r="AK377" s="199"/>
      <c r="AL377" s="199" t="s">
        <v>915</v>
      </c>
      <c r="AM377" s="198" t="s">
        <v>907</v>
      </c>
      <c r="AN377" s="203" t="s">
        <v>908</v>
      </c>
      <c r="AO377" s="199"/>
      <c r="AP377" s="199"/>
      <c r="AQ377" s="199"/>
      <c r="AR377" s="199"/>
      <c r="AS377" s="199"/>
      <c r="AT377" s="199"/>
      <c r="AU377" s="199"/>
      <c r="AV377" s="199"/>
      <c r="AW377" s="155"/>
    </row>
    <row r="378" spans="1:49" s="236" customFormat="1" ht="15">
      <c r="A378" s="40">
        <f t="shared" si="30"/>
        <v>372</v>
      </c>
      <c r="B378" s="199"/>
      <c r="C378" s="199"/>
      <c r="D378" s="199"/>
      <c r="E378" s="199"/>
      <c r="F378" s="199"/>
      <c r="G378" s="199"/>
      <c r="H378" s="199"/>
      <c r="I378" s="40" t="s">
        <v>868</v>
      </c>
      <c r="J378" s="412" t="s">
        <v>4234</v>
      </c>
      <c r="K378" s="204" t="s">
        <v>122</v>
      </c>
      <c r="L378" s="240" t="s">
        <v>4235</v>
      </c>
      <c r="M378" s="351" t="s">
        <v>4034</v>
      </c>
      <c r="N378" s="40" t="s">
        <v>873</v>
      </c>
      <c r="O378" s="40"/>
      <c r="P378" s="40"/>
      <c r="Q378" s="40" t="s">
        <v>6</v>
      </c>
      <c r="R378" s="40" t="s">
        <v>6</v>
      </c>
      <c r="S378" s="40" t="s">
        <v>6</v>
      </c>
      <c r="T378" s="40"/>
      <c r="U378" s="215"/>
      <c r="V378" s="412"/>
      <c r="W378" s="204" t="s">
        <v>133</v>
      </c>
      <c r="X378" s="199"/>
      <c r="Y378" s="199"/>
      <c r="Z378" s="126" t="s">
        <v>6</v>
      </c>
      <c r="AA378" s="126" t="s">
        <v>6</v>
      </c>
      <c r="AB378" s="198"/>
      <c r="AC378" s="199"/>
      <c r="AD378" s="199" t="s">
        <v>915</v>
      </c>
      <c r="AE378" s="204" t="s">
        <v>133</v>
      </c>
      <c r="AF378" s="199"/>
      <c r="AG378" s="199"/>
      <c r="AH378" s="126" t="s">
        <v>6</v>
      </c>
      <c r="AI378" s="126" t="s">
        <v>6</v>
      </c>
      <c r="AJ378" s="198"/>
      <c r="AK378" s="199"/>
      <c r="AL378" s="199" t="s">
        <v>915</v>
      </c>
      <c r="AM378" s="198" t="s">
        <v>907</v>
      </c>
      <c r="AN378" s="203" t="s">
        <v>908</v>
      </c>
      <c r="AO378" s="199"/>
      <c r="AP378" s="199"/>
      <c r="AQ378" s="199"/>
      <c r="AR378" s="199"/>
      <c r="AS378" s="199"/>
      <c r="AT378" s="199"/>
      <c r="AU378" s="199"/>
      <c r="AV378" s="199"/>
      <c r="AW378" s="155"/>
    </row>
    <row r="379" spans="1:49" s="236" customFormat="1" ht="15">
      <c r="A379" s="40">
        <f t="shared" si="30"/>
        <v>373</v>
      </c>
      <c r="B379" s="199"/>
      <c r="C379" s="199"/>
      <c r="D379" s="199"/>
      <c r="E379" s="199"/>
      <c r="F379" s="199"/>
      <c r="G379" s="199"/>
      <c r="H379" s="199"/>
      <c r="I379" s="40" t="s">
        <v>868</v>
      </c>
      <c r="J379" s="412" t="s">
        <v>4236</v>
      </c>
      <c r="K379" s="204" t="s">
        <v>132</v>
      </c>
      <c r="L379" s="241" t="s">
        <v>4237</v>
      </c>
      <c r="M379" s="351" t="s">
        <v>4238</v>
      </c>
      <c r="N379" s="40" t="s">
        <v>504</v>
      </c>
      <c r="O379" s="40"/>
      <c r="P379" s="40"/>
      <c r="Q379" s="40" t="s">
        <v>6</v>
      </c>
      <c r="R379" s="40" t="s">
        <v>6</v>
      </c>
      <c r="S379" s="40" t="s">
        <v>6</v>
      </c>
      <c r="T379" s="40"/>
      <c r="U379" s="215"/>
      <c r="V379" s="412"/>
      <c r="W379" s="204" t="s">
        <v>133</v>
      </c>
      <c r="X379" s="199"/>
      <c r="Y379" s="199"/>
      <c r="Z379" s="126" t="s">
        <v>6</v>
      </c>
      <c r="AA379" s="126" t="s">
        <v>6</v>
      </c>
      <c r="AB379" s="198"/>
      <c r="AC379" s="199"/>
      <c r="AD379" s="199" t="s">
        <v>915</v>
      </c>
      <c r="AE379" s="204" t="s">
        <v>133</v>
      </c>
      <c r="AF379" s="199"/>
      <c r="AG379" s="199"/>
      <c r="AH379" s="126" t="s">
        <v>6</v>
      </c>
      <c r="AI379" s="126" t="s">
        <v>6</v>
      </c>
      <c r="AJ379" s="198"/>
      <c r="AK379" s="199"/>
      <c r="AL379" s="199" t="s">
        <v>915</v>
      </c>
      <c r="AM379" s="198" t="s">
        <v>907</v>
      </c>
      <c r="AN379" s="203" t="s">
        <v>908</v>
      </c>
      <c r="AO379" s="199"/>
      <c r="AP379" s="199"/>
      <c r="AQ379" s="199"/>
      <c r="AR379" s="199"/>
      <c r="AS379" s="199"/>
      <c r="AT379" s="199"/>
      <c r="AU379" s="199"/>
      <c r="AV379" s="199"/>
      <c r="AW379" s="155"/>
    </row>
    <row r="380" spans="1:49" s="236" customFormat="1" ht="15">
      <c r="A380" s="40">
        <f t="shared" si="30"/>
        <v>374</v>
      </c>
      <c r="B380" s="199"/>
      <c r="C380" s="199"/>
      <c r="D380" s="199"/>
      <c r="E380" s="199"/>
      <c r="F380" s="199"/>
      <c r="G380" s="199"/>
      <c r="H380" s="199"/>
      <c r="I380" s="40" t="s">
        <v>868</v>
      </c>
      <c r="J380" s="412" t="s">
        <v>4239</v>
      </c>
      <c r="K380" s="204" t="s">
        <v>132</v>
      </c>
      <c r="L380" s="241" t="s">
        <v>4240</v>
      </c>
      <c r="M380" s="351" t="s">
        <v>4238</v>
      </c>
      <c r="N380" s="40" t="s">
        <v>504</v>
      </c>
      <c r="O380" s="40"/>
      <c r="P380" s="40"/>
      <c r="Q380" s="40" t="s">
        <v>6</v>
      </c>
      <c r="R380" s="40" t="s">
        <v>6</v>
      </c>
      <c r="S380" s="40" t="s">
        <v>6</v>
      </c>
      <c r="T380" s="40"/>
      <c r="U380" s="215"/>
      <c r="V380" s="412"/>
      <c r="W380" s="204" t="s">
        <v>133</v>
      </c>
      <c r="X380" s="199"/>
      <c r="Y380" s="199"/>
      <c r="Z380" s="126" t="s">
        <v>6</v>
      </c>
      <c r="AA380" s="126" t="s">
        <v>6</v>
      </c>
      <c r="AB380" s="198"/>
      <c r="AC380" s="199"/>
      <c r="AD380" s="199" t="s">
        <v>915</v>
      </c>
      <c r="AE380" s="204" t="s">
        <v>133</v>
      </c>
      <c r="AF380" s="199"/>
      <c r="AG380" s="199"/>
      <c r="AH380" s="126" t="s">
        <v>6</v>
      </c>
      <c r="AI380" s="126" t="s">
        <v>6</v>
      </c>
      <c r="AJ380" s="198"/>
      <c r="AK380" s="199"/>
      <c r="AL380" s="199" t="s">
        <v>915</v>
      </c>
      <c r="AM380" s="198" t="s">
        <v>907</v>
      </c>
      <c r="AN380" s="203" t="s">
        <v>908</v>
      </c>
      <c r="AO380" s="199"/>
      <c r="AP380" s="199"/>
      <c r="AQ380" s="199"/>
      <c r="AR380" s="199"/>
      <c r="AS380" s="199"/>
      <c r="AT380" s="199"/>
      <c r="AU380" s="199"/>
      <c r="AV380" s="199"/>
      <c r="AW380" s="155"/>
    </row>
    <row r="381" spans="1:49" s="236" customFormat="1" ht="15">
      <c r="A381" s="40">
        <f t="shared" si="30"/>
        <v>375</v>
      </c>
      <c r="B381" s="199"/>
      <c r="C381" s="199"/>
      <c r="D381" s="199"/>
      <c r="E381" s="199"/>
      <c r="F381" s="199"/>
      <c r="G381" s="199"/>
      <c r="H381" s="199"/>
      <c r="I381" s="40" t="s">
        <v>868</v>
      </c>
      <c r="J381" s="412" t="s">
        <v>4241</v>
      </c>
      <c r="K381" s="204" t="s">
        <v>132</v>
      </c>
      <c r="L381" s="204" t="s">
        <v>4242</v>
      </c>
      <c r="M381" s="351" t="s">
        <v>4243</v>
      </c>
      <c r="N381" s="40" t="s">
        <v>504</v>
      </c>
      <c r="O381" s="40"/>
      <c r="P381" s="40"/>
      <c r="Q381" s="40" t="s">
        <v>6</v>
      </c>
      <c r="R381" s="40" t="s">
        <v>6</v>
      </c>
      <c r="S381" s="40" t="s">
        <v>6</v>
      </c>
      <c r="T381" s="40"/>
      <c r="U381" s="215"/>
      <c r="V381" s="412"/>
      <c r="W381" s="204" t="s">
        <v>133</v>
      </c>
      <c r="X381" s="199"/>
      <c r="Y381" s="199"/>
      <c r="Z381" s="126" t="s">
        <v>6</v>
      </c>
      <c r="AA381" s="126" t="s">
        <v>6</v>
      </c>
      <c r="AB381" s="198"/>
      <c r="AC381" s="199"/>
      <c r="AD381" s="199" t="s">
        <v>915</v>
      </c>
      <c r="AE381" s="204" t="s">
        <v>133</v>
      </c>
      <c r="AF381" s="199"/>
      <c r="AG381" s="199"/>
      <c r="AH381" s="126" t="s">
        <v>6</v>
      </c>
      <c r="AI381" s="126" t="s">
        <v>6</v>
      </c>
      <c r="AJ381" s="198"/>
      <c r="AK381" s="199"/>
      <c r="AL381" s="199" t="s">
        <v>915</v>
      </c>
      <c r="AM381" s="198" t="s">
        <v>907</v>
      </c>
      <c r="AN381" s="203" t="s">
        <v>908</v>
      </c>
      <c r="AO381" s="199"/>
      <c r="AP381" s="199"/>
      <c r="AQ381" s="199"/>
      <c r="AR381" s="199"/>
      <c r="AS381" s="199"/>
      <c r="AT381" s="199"/>
      <c r="AU381" s="199"/>
      <c r="AV381" s="199"/>
      <c r="AW381" s="155"/>
    </row>
    <row r="382" spans="1:49" s="236" customFormat="1" ht="15">
      <c r="A382" s="40">
        <f t="shared" si="30"/>
        <v>376</v>
      </c>
      <c r="B382" s="199"/>
      <c r="C382" s="199"/>
      <c r="D382" s="199"/>
      <c r="E382" s="199"/>
      <c r="F382" s="199"/>
      <c r="G382" s="199"/>
      <c r="H382" s="199"/>
      <c r="I382" s="40" t="s">
        <v>868</v>
      </c>
      <c r="J382" s="412" t="s">
        <v>4244</v>
      </c>
      <c r="K382" s="204" t="s">
        <v>132</v>
      </c>
      <c r="L382" s="240" t="s">
        <v>4245</v>
      </c>
      <c r="M382" s="351" t="s">
        <v>4243</v>
      </c>
      <c r="N382" s="40" t="s">
        <v>504</v>
      </c>
      <c r="O382" s="40"/>
      <c r="P382" s="40"/>
      <c r="Q382" s="40" t="s">
        <v>6</v>
      </c>
      <c r="R382" s="40" t="s">
        <v>6</v>
      </c>
      <c r="S382" s="40" t="s">
        <v>6</v>
      </c>
      <c r="T382" s="40"/>
      <c r="U382" s="215"/>
      <c r="V382" s="412"/>
      <c r="W382" s="204" t="s">
        <v>133</v>
      </c>
      <c r="X382" s="199"/>
      <c r="Y382" s="199"/>
      <c r="Z382" s="126" t="s">
        <v>6</v>
      </c>
      <c r="AA382" s="126" t="s">
        <v>6</v>
      </c>
      <c r="AB382" s="198"/>
      <c r="AC382" s="199"/>
      <c r="AD382" s="199" t="s">
        <v>915</v>
      </c>
      <c r="AE382" s="204" t="s">
        <v>133</v>
      </c>
      <c r="AF382" s="199"/>
      <c r="AG382" s="199"/>
      <c r="AH382" s="126" t="s">
        <v>6</v>
      </c>
      <c r="AI382" s="126" t="s">
        <v>6</v>
      </c>
      <c r="AJ382" s="198"/>
      <c r="AK382" s="199"/>
      <c r="AL382" s="199" t="s">
        <v>915</v>
      </c>
      <c r="AM382" s="198" t="s">
        <v>907</v>
      </c>
      <c r="AN382" s="203" t="s">
        <v>908</v>
      </c>
      <c r="AO382" s="199"/>
      <c r="AP382" s="199"/>
      <c r="AQ382" s="199"/>
      <c r="AR382" s="199"/>
      <c r="AS382" s="199"/>
      <c r="AT382" s="199"/>
      <c r="AU382" s="199"/>
      <c r="AV382" s="199"/>
      <c r="AW382" s="155"/>
    </row>
    <row r="383" spans="1:49" s="236" customFormat="1" ht="15">
      <c r="A383" s="40">
        <f t="shared" si="30"/>
        <v>377</v>
      </c>
      <c r="B383" s="199"/>
      <c r="C383" s="199"/>
      <c r="D383" s="199"/>
      <c r="E383" s="199"/>
      <c r="F383" s="199"/>
      <c r="G383" s="199"/>
      <c r="H383" s="199"/>
      <c r="I383" s="40" t="s">
        <v>868</v>
      </c>
      <c r="J383" s="412" t="s">
        <v>4246</v>
      </c>
      <c r="K383" s="204" t="s">
        <v>122</v>
      </c>
      <c r="L383" s="240" t="s">
        <v>4247</v>
      </c>
      <c r="M383" s="351" t="s">
        <v>4034</v>
      </c>
      <c r="N383" s="40" t="s">
        <v>873</v>
      </c>
      <c r="O383" s="40"/>
      <c r="P383" s="40"/>
      <c r="Q383" s="40" t="s">
        <v>6</v>
      </c>
      <c r="R383" s="40" t="s">
        <v>6</v>
      </c>
      <c r="S383" s="40" t="s">
        <v>6</v>
      </c>
      <c r="T383" s="40"/>
      <c r="U383" s="215"/>
      <c r="V383" s="412"/>
      <c r="W383" s="204" t="s">
        <v>123</v>
      </c>
      <c r="X383" s="199"/>
      <c r="Y383" s="199"/>
      <c r="Z383" s="126" t="s">
        <v>6</v>
      </c>
      <c r="AA383" s="126" t="s">
        <v>6</v>
      </c>
      <c r="AB383" s="198"/>
      <c r="AC383" s="199"/>
      <c r="AD383" s="199" t="s">
        <v>915</v>
      </c>
      <c r="AE383" s="204" t="s">
        <v>123</v>
      </c>
      <c r="AF383" s="199"/>
      <c r="AG383" s="199"/>
      <c r="AH383" s="126" t="s">
        <v>6</v>
      </c>
      <c r="AI383" s="126" t="s">
        <v>6</v>
      </c>
      <c r="AJ383" s="198"/>
      <c r="AK383" s="199"/>
      <c r="AL383" s="199" t="s">
        <v>915</v>
      </c>
      <c r="AM383" s="198" t="s">
        <v>907</v>
      </c>
      <c r="AN383" s="203" t="s">
        <v>908</v>
      </c>
      <c r="AO383" s="199"/>
      <c r="AP383" s="199"/>
      <c r="AQ383" s="199"/>
      <c r="AR383" s="199"/>
      <c r="AS383" s="199"/>
      <c r="AT383" s="199"/>
      <c r="AU383" s="199"/>
      <c r="AV383" s="199"/>
      <c r="AW383" s="155"/>
    </row>
    <row r="384" spans="1:49" s="236" customFormat="1" ht="15">
      <c r="A384" s="40">
        <f t="shared" si="30"/>
        <v>378</v>
      </c>
      <c r="B384" s="199"/>
      <c r="C384" s="199"/>
      <c r="D384" s="199"/>
      <c r="E384" s="199"/>
      <c r="F384" s="199"/>
      <c r="G384" s="199"/>
      <c r="H384" s="199"/>
      <c r="I384" s="40" t="s">
        <v>868</v>
      </c>
      <c r="J384" s="412" t="s">
        <v>4248</v>
      </c>
      <c r="K384" s="204" t="s">
        <v>122</v>
      </c>
      <c r="L384" s="240" t="s">
        <v>4249</v>
      </c>
      <c r="M384" s="351" t="s">
        <v>4034</v>
      </c>
      <c r="N384" s="40" t="s">
        <v>873</v>
      </c>
      <c r="O384" s="40"/>
      <c r="P384" s="40"/>
      <c r="Q384" s="40" t="s">
        <v>6</v>
      </c>
      <c r="R384" s="40" t="s">
        <v>6</v>
      </c>
      <c r="S384" s="40" t="s">
        <v>6</v>
      </c>
      <c r="T384" s="40"/>
      <c r="U384" s="215"/>
      <c r="V384" s="412"/>
      <c r="W384" s="204" t="s">
        <v>123</v>
      </c>
      <c r="X384" s="199"/>
      <c r="Y384" s="199"/>
      <c r="Z384" s="126" t="s">
        <v>6</v>
      </c>
      <c r="AA384" s="126" t="s">
        <v>6</v>
      </c>
      <c r="AB384" s="198"/>
      <c r="AC384" s="199"/>
      <c r="AD384" s="199" t="s">
        <v>915</v>
      </c>
      <c r="AE384" s="204" t="s">
        <v>123</v>
      </c>
      <c r="AF384" s="199"/>
      <c r="AG384" s="199"/>
      <c r="AH384" s="126" t="s">
        <v>6</v>
      </c>
      <c r="AI384" s="126" t="s">
        <v>6</v>
      </c>
      <c r="AJ384" s="198"/>
      <c r="AK384" s="199"/>
      <c r="AL384" s="199" t="s">
        <v>915</v>
      </c>
      <c r="AM384" s="198" t="s">
        <v>907</v>
      </c>
      <c r="AN384" s="203" t="s">
        <v>908</v>
      </c>
      <c r="AO384" s="199"/>
      <c r="AP384" s="199"/>
      <c r="AQ384" s="199"/>
      <c r="AR384" s="199"/>
      <c r="AS384" s="199"/>
      <c r="AT384" s="199"/>
      <c r="AU384" s="199"/>
      <c r="AV384" s="199"/>
      <c r="AW384" s="155"/>
    </row>
    <row r="385" spans="1:49" s="236" customFormat="1" ht="15">
      <c r="A385" s="40">
        <f t="shared" si="30"/>
        <v>379</v>
      </c>
      <c r="B385" s="199"/>
      <c r="C385" s="199"/>
      <c r="D385" s="199"/>
      <c r="E385" s="199"/>
      <c r="F385" s="199"/>
      <c r="G385" s="199"/>
      <c r="H385" s="199"/>
      <c r="I385" s="40" t="s">
        <v>868</v>
      </c>
      <c r="J385" s="412" t="s">
        <v>4250</v>
      </c>
      <c r="K385" s="204" t="s">
        <v>132</v>
      </c>
      <c r="L385" s="241" t="s">
        <v>4251</v>
      </c>
      <c r="M385" s="351" t="s">
        <v>4243</v>
      </c>
      <c r="N385" s="40" t="s">
        <v>504</v>
      </c>
      <c r="O385" s="40"/>
      <c r="P385" s="40"/>
      <c r="Q385" s="40" t="s">
        <v>6</v>
      </c>
      <c r="R385" s="40" t="s">
        <v>6</v>
      </c>
      <c r="S385" s="40" t="s">
        <v>6</v>
      </c>
      <c r="T385" s="40"/>
      <c r="U385" s="215"/>
      <c r="V385" s="412"/>
      <c r="W385" s="204" t="s">
        <v>133</v>
      </c>
      <c r="X385" s="199"/>
      <c r="Y385" s="199"/>
      <c r="Z385" s="126" t="s">
        <v>6</v>
      </c>
      <c r="AA385" s="126" t="s">
        <v>6</v>
      </c>
      <c r="AB385" s="198"/>
      <c r="AC385" s="199"/>
      <c r="AD385" s="199" t="s">
        <v>915</v>
      </c>
      <c r="AE385" s="204" t="s">
        <v>133</v>
      </c>
      <c r="AF385" s="199"/>
      <c r="AG385" s="199"/>
      <c r="AH385" s="126" t="s">
        <v>6</v>
      </c>
      <c r="AI385" s="126" t="s">
        <v>6</v>
      </c>
      <c r="AJ385" s="198"/>
      <c r="AK385" s="199"/>
      <c r="AL385" s="199" t="s">
        <v>915</v>
      </c>
      <c r="AM385" s="198" t="s">
        <v>907</v>
      </c>
      <c r="AN385" s="203" t="s">
        <v>908</v>
      </c>
      <c r="AO385" s="199"/>
      <c r="AP385" s="199"/>
      <c r="AQ385" s="199"/>
      <c r="AR385" s="199"/>
      <c r="AS385" s="199"/>
      <c r="AT385" s="199"/>
      <c r="AU385" s="199"/>
      <c r="AV385" s="199"/>
      <c r="AW385" s="155"/>
    </row>
    <row r="386" spans="1:49" s="236" customFormat="1" ht="15">
      <c r="A386" s="40">
        <f t="shared" si="30"/>
        <v>380</v>
      </c>
      <c r="B386" s="199"/>
      <c r="C386" s="199"/>
      <c r="D386" s="199"/>
      <c r="E386" s="199"/>
      <c r="F386" s="199"/>
      <c r="G386" s="199"/>
      <c r="H386" s="199"/>
      <c r="I386" s="40" t="s">
        <v>868</v>
      </c>
      <c r="J386" s="412" t="s">
        <v>4252</v>
      </c>
      <c r="K386" s="204" t="s">
        <v>132</v>
      </c>
      <c r="L386" s="241" t="s">
        <v>4253</v>
      </c>
      <c r="M386" s="351" t="s">
        <v>3836</v>
      </c>
      <c r="N386" s="40" t="s">
        <v>504</v>
      </c>
      <c r="O386" s="40"/>
      <c r="P386" s="40"/>
      <c r="Q386" s="40" t="s">
        <v>6</v>
      </c>
      <c r="R386" s="40" t="s">
        <v>6</v>
      </c>
      <c r="S386" s="40" t="s">
        <v>6</v>
      </c>
      <c r="T386" s="40"/>
      <c r="U386" s="215"/>
      <c r="V386" s="412"/>
      <c r="W386" s="204" t="s">
        <v>133</v>
      </c>
      <c r="X386" s="199"/>
      <c r="Y386" s="199"/>
      <c r="Z386" s="126" t="s">
        <v>6</v>
      </c>
      <c r="AA386" s="126" t="s">
        <v>6</v>
      </c>
      <c r="AB386" s="198"/>
      <c r="AC386" s="199"/>
      <c r="AD386" s="199" t="s">
        <v>915</v>
      </c>
      <c r="AE386" s="204" t="s">
        <v>133</v>
      </c>
      <c r="AF386" s="199"/>
      <c r="AG386" s="199"/>
      <c r="AH386" s="126" t="s">
        <v>6</v>
      </c>
      <c r="AI386" s="126" t="s">
        <v>6</v>
      </c>
      <c r="AJ386" s="198"/>
      <c r="AK386" s="199"/>
      <c r="AL386" s="199" t="s">
        <v>915</v>
      </c>
      <c r="AM386" s="198" t="s">
        <v>907</v>
      </c>
      <c r="AN386" s="203" t="s">
        <v>908</v>
      </c>
      <c r="AO386" s="199"/>
      <c r="AP386" s="199"/>
      <c r="AQ386" s="199"/>
      <c r="AR386" s="199"/>
      <c r="AS386" s="199"/>
      <c r="AT386" s="199"/>
      <c r="AU386" s="199"/>
      <c r="AV386" s="199"/>
      <c r="AW386" s="155"/>
    </row>
    <row r="387" spans="1:49" s="236" customFormat="1" ht="26.4">
      <c r="A387" s="40">
        <f t="shared" si="30"/>
        <v>381</v>
      </c>
      <c r="B387" s="199"/>
      <c r="C387" s="199"/>
      <c r="D387" s="199"/>
      <c r="E387" s="199"/>
      <c r="F387" s="199"/>
      <c r="G387" s="199"/>
      <c r="H387" s="199"/>
      <c r="I387" s="40" t="s">
        <v>868</v>
      </c>
      <c r="J387" s="412" t="s">
        <v>4254</v>
      </c>
      <c r="K387" s="204" t="s">
        <v>132</v>
      </c>
      <c r="L387" s="204" t="s">
        <v>4255</v>
      </c>
      <c r="M387" s="351" t="s">
        <v>4033</v>
      </c>
      <c r="N387" s="40" t="s">
        <v>504</v>
      </c>
      <c r="O387" s="40"/>
      <c r="P387" s="40"/>
      <c r="Q387" s="40"/>
      <c r="R387" s="40" t="s">
        <v>6</v>
      </c>
      <c r="S387" s="40" t="s">
        <v>6</v>
      </c>
      <c r="T387" s="40"/>
      <c r="U387" s="218"/>
      <c r="V387" s="412"/>
      <c r="W387" s="204" t="s">
        <v>125</v>
      </c>
      <c r="X387" s="199"/>
      <c r="Y387" s="199"/>
      <c r="Z387" s="199"/>
      <c r="AA387" s="126" t="s">
        <v>6</v>
      </c>
      <c r="AB387" s="198"/>
      <c r="AC387" s="199"/>
      <c r="AD387" s="412" t="s">
        <v>993</v>
      </c>
      <c r="AE387" s="204" t="s">
        <v>125</v>
      </c>
      <c r="AF387" s="199"/>
      <c r="AG387" s="199"/>
      <c r="AH387" s="199"/>
      <c r="AI387" s="126" t="s">
        <v>6</v>
      </c>
      <c r="AJ387" s="198"/>
      <c r="AK387" s="199"/>
      <c r="AL387" s="412" t="s">
        <v>993</v>
      </c>
      <c r="AM387" s="198" t="s">
        <v>907</v>
      </c>
      <c r="AN387" s="203" t="s">
        <v>908</v>
      </c>
      <c r="AO387" s="199"/>
      <c r="AP387" s="199"/>
      <c r="AQ387" s="199"/>
      <c r="AR387" s="199"/>
      <c r="AS387" s="199"/>
      <c r="AT387" s="199"/>
      <c r="AU387" s="199"/>
      <c r="AV387" s="199"/>
      <c r="AW387" s="155"/>
    </row>
    <row r="388" spans="1:49" s="236" customFormat="1" ht="26.4">
      <c r="A388" s="40">
        <f t="shared" si="30"/>
        <v>382</v>
      </c>
      <c r="B388" s="199"/>
      <c r="C388" s="199"/>
      <c r="D388" s="199"/>
      <c r="E388" s="199"/>
      <c r="F388" s="199"/>
      <c r="G388" s="199"/>
      <c r="H388" s="199"/>
      <c r="I388" s="40" t="s">
        <v>868</v>
      </c>
      <c r="J388" s="412" t="s">
        <v>4256</v>
      </c>
      <c r="K388" s="204" t="s">
        <v>132</v>
      </c>
      <c r="L388" s="204" t="s">
        <v>4257</v>
      </c>
      <c r="M388" s="351" t="s">
        <v>4033</v>
      </c>
      <c r="N388" s="40" t="s">
        <v>504</v>
      </c>
      <c r="O388" s="40"/>
      <c r="P388" s="40"/>
      <c r="Q388" s="40"/>
      <c r="R388" s="40" t="s">
        <v>6</v>
      </c>
      <c r="S388" s="40" t="s">
        <v>6</v>
      </c>
      <c r="T388" s="40"/>
      <c r="U388" s="218"/>
      <c r="V388" s="412"/>
      <c r="W388" s="204" t="s">
        <v>125</v>
      </c>
      <c r="X388" s="199"/>
      <c r="Y388" s="199"/>
      <c r="Z388" s="199"/>
      <c r="AA388" s="126" t="s">
        <v>6</v>
      </c>
      <c r="AB388" s="198"/>
      <c r="AC388" s="199"/>
      <c r="AD388" s="412" t="s">
        <v>993</v>
      </c>
      <c r="AE388" s="204" t="s">
        <v>125</v>
      </c>
      <c r="AF388" s="199"/>
      <c r="AG388" s="199"/>
      <c r="AH388" s="199"/>
      <c r="AI388" s="126" t="s">
        <v>6</v>
      </c>
      <c r="AJ388" s="198"/>
      <c r="AK388" s="199"/>
      <c r="AL388" s="412" t="s">
        <v>993</v>
      </c>
      <c r="AM388" s="198" t="s">
        <v>907</v>
      </c>
      <c r="AN388" s="203" t="s">
        <v>908</v>
      </c>
      <c r="AO388" s="199"/>
      <c r="AP388" s="199"/>
      <c r="AQ388" s="199"/>
      <c r="AR388" s="199"/>
      <c r="AS388" s="199"/>
      <c r="AT388" s="199"/>
      <c r="AU388" s="199"/>
      <c r="AV388" s="199"/>
      <c r="AW388" s="155"/>
    </row>
    <row r="389" spans="1:49" s="236" customFormat="1" ht="26.4">
      <c r="A389" s="40">
        <f t="shared" si="30"/>
        <v>383</v>
      </c>
      <c r="B389" s="199"/>
      <c r="C389" s="199"/>
      <c r="D389" s="199"/>
      <c r="E389" s="199"/>
      <c r="F389" s="199"/>
      <c r="G389" s="199"/>
      <c r="H389" s="199"/>
      <c r="I389" s="40" t="s">
        <v>868</v>
      </c>
      <c r="J389" s="412" t="s">
        <v>4258</v>
      </c>
      <c r="K389" s="204" t="s">
        <v>132</v>
      </c>
      <c r="L389" s="204" t="s">
        <v>4259</v>
      </c>
      <c r="M389" s="351" t="s">
        <v>4033</v>
      </c>
      <c r="N389" s="40" t="s">
        <v>504</v>
      </c>
      <c r="O389" s="40"/>
      <c r="P389" s="40"/>
      <c r="Q389" s="40"/>
      <c r="R389" s="40" t="s">
        <v>6</v>
      </c>
      <c r="S389" s="40" t="s">
        <v>6</v>
      </c>
      <c r="T389" s="40"/>
      <c r="U389" s="218"/>
      <c r="V389" s="412"/>
      <c r="W389" s="204" t="s">
        <v>125</v>
      </c>
      <c r="X389" s="199"/>
      <c r="Y389" s="199"/>
      <c r="Z389" s="199"/>
      <c r="AA389" s="126" t="s">
        <v>6</v>
      </c>
      <c r="AB389" s="198"/>
      <c r="AC389" s="199"/>
      <c r="AD389" s="412" t="s">
        <v>993</v>
      </c>
      <c r="AE389" s="204" t="s">
        <v>125</v>
      </c>
      <c r="AF389" s="199"/>
      <c r="AG389" s="199"/>
      <c r="AH389" s="199"/>
      <c r="AI389" s="126" t="s">
        <v>6</v>
      </c>
      <c r="AJ389" s="198"/>
      <c r="AK389" s="199"/>
      <c r="AL389" s="412" t="s">
        <v>993</v>
      </c>
      <c r="AM389" s="198" t="s">
        <v>907</v>
      </c>
      <c r="AN389" s="203" t="s">
        <v>908</v>
      </c>
      <c r="AO389" s="199"/>
      <c r="AP389" s="199"/>
      <c r="AQ389" s="199"/>
      <c r="AR389" s="199"/>
      <c r="AS389" s="199"/>
      <c r="AT389" s="199"/>
      <c r="AU389" s="199"/>
      <c r="AV389" s="199"/>
      <c r="AW389" s="155"/>
    </row>
    <row r="390" spans="1:49" s="236" customFormat="1" ht="39.6">
      <c r="A390" s="40">
        <f t="shared" si="30"/>
        <v>384</v>
      </c>
      <c r="B390" s="199"/>
      <c r="C390" s="199"/>
      <c r="D390" s="199"/>
      <c r="E390" s="199"/>
      <c r="F390" s="199"/>
      <c r="G390" s="199"/>
      <c r="H390" s="199"/>
      <c r="I390" s="40" t="s">
        <v>868</v>
      </c>
      <c r="J390" s="412" t="s">
        <v>993</v>
      </c>
      <c r="K390" s="204" t="s">
        <v>132</v>
      </c>
      <c r="L390" s="204" t="s">
        <v>4260</v>
      </c>
      <c r="M390" s="351" t="s">
        <v>4033</v>
      </c>
      <c r="N390" s="40" t="s">
        <v>504</v>
      </c>
      <c r="O390" s="40"/>
      <c r="P390" s="40"/>
      <c r="Q390" s="40" t="s">
        <v>6</v>
      </c>
      <c r="R390" s="40" t="s">
        <v>6</v>
      </c>
      <c r="S390" s="40" t="s">
        <v>6</v>
      </c>
      <c r="T390" s="40"/>
      <c r="U390" s="215"/>
      <c r="V390" s="215"/>
      <c r="W390" s="204" t="s">
        <v>133</v>
      </c>
      <c r="X390" s="199"/>
      <c r="Y390" s="199"/>
      <c r="Z390" s="126" t="s">
        <v>6</v>
      </c>
      <c r="AA390" s="126" t="s">
        <v>6</v>
      </c>
      <c r="AB390" s="215"/>
      <c r="AC390" s="199"/>
      <c r="AD390" s="199" t="s">
        <v>915</v>
      </c>
      <c r="AE390" s="204" t="s">
        <v>133</v>
      </c>
      <c r="AF390" s="199"/>
      <c r="AG390" s="199"/>
      <c r="AH390" s="126" t="s">
        <v>6</v>
      </c>
      <c r="AI390" s="126" t="s">
        <v>6</v>
      </c>
      <c r="AJ390" s="215" t="s">
        <v>4261</v>
      </c>
      <c r="AK390" s="199"/>
      <c r="AL390" s="199" t="s">
        <v>915</v>
      </c>
      <c r="AM390" s="198" t="s">
        <v>907</v>
      </c>
      <c r="AN390" s="203" t="s">
        <v>908</v>
      </c>
      <c r="AO390" s="199"/>
      <c r="AP390" s="199"/>
      <c r="AQ390" s="199"/>
      <c r="AR390" s="199"/>
      <c r="AS390" s="199"/>
      <c r="AT390" s="199"/>
      <c r="AU390" s="199"/>
      <c r="AV390" s="199"/>
      <c r="AW390" s="155"/>
    </row>
    <row r="391" spans="1:49" s="236" customFormat="1" ht="26.4">
      <c r="A391" s="40">
        <f t="shared" ref="A391:A454" si="31">ROW() - 6</f>
        <v>385</v>
      </c>
      <c r="B391" s="199"/>
      <c r="C391" s="199"/>
      <c r="D391" s="199"/>
      <c r="E391" s="199"/>
      <c r="F391" s="199"/>
      <c r="G391" s="199"/>
      <c r="H391" s="199"/>
      <c r="I391" s="40" t="s">
        <v>868</v>
      </c>
      <c r="J391" s="412" t="s">
        <v>4262</v>
      </c>
      <c r="K391" s="204" t="s">
        <v>122</v>
      </c>
      <c r="L391" s="204" t="s">
        <v>4263</v>
      </c>
      <c r="M391" s="351" t="s">
        <v>4034</v>
      </c>
      <c r="N391" s="40" t="s">
        <v>873</v>
      </c>
      <c r="O391" s="40"/>
      <c r="P391" s="40"/>
      <c r="Q391" s="40" t="s">
        <v>6</v>
      </c>
      <c r="R391" s="40" t="s">
        <v>6</v>
      </c>
      <c r="S391" s="40" t="s">
        <v>6</v>
      </c>
      <c r="T391" s="40"/>
      <c r="U391" s="215"/>
      <c r="V391" s="412"/>
      <c r="W391" s="204" t="s">
        <v>123</v>
      </c>
      <c r="X391" s="199"/>
      <c r="Y391" s="199"/>
      <c r="Z391" s="126" t="s">
        <v>6</v>
      </c>
      <c r="AA391" s="126" t="s">
        <v>6</v>
      </c>
      <c r="AB391" s="198"/>
      <c r="AC391" s="199"/>
      <c r="AD391" s="199" t="s">
        <v>915</v>
      </c>
      <c r="AE391" s="204" t="s">
        <v>123</v>
      </c>
      <c r="AF391" s="199"/>
      <c r="AG391" s="199"/>
      <c r="AH391" s="126" t="s">
        <v>6</v>
      </c>
      <c r="AI391" s="126" t="s">
        <v>6</v>
      </c>
      <c r="AJ391" s="198"/>
      <c r="AK391" s="199"/>
      <c r="AL391" s="199" t="s">
        <v>915</v>
      </c>
      <c r="AM391" s="198" t="s">
        <v>907</v>
      </c>
      <c r="AN391" s="203" t="s">
        <v>908</v>
      </c>
      <c r="AO391" s="199"/>
      <c r="AP391" s="199"/>
      <c r="AQ391" s="199"/>
      <c r="AR391" s="199"/>
      <c r="AS391" s="199"/>
      <c r="AT391" s="199"/>
      <c r="AU391" s="199"/>
      <c r="AV391" s="199"/>
      <c r="AW391" s="155"/>
    </row>
    <row r="392" spans="1:49" s="236" customFormat="1" ht="26.4">
      <c r="A392" s="40">
        <f t="shared" si="31"/>
        <v>386</v>
      </c>
      <c r="B392" s="199"/>
      <c r="C392" s="199"/>
      <c r="D392" s="199"/>
      <c r="E392" s="199"/>
      <c r="F392" s="199"/>
      <c r="G392" s="199"/>
      <c r="H392" s="199"/>
      <c r="I392" s="40" t="s">
        <v>868</v>
      </c>
      <c r="J392" s="412" t="s">
        <v>4264</v>
      </c>
      <c r="K392" s="204" t="s">
        <v>132</v>
      </c>
      <c r="L392" s="458" t="s">
        <v>4265</v>
      </c>
      <c r="M392" s="351" t="s">
        <v>3836</v>
      </c>
      <c r="N392" s="40" t="s">
        <v>504</v>
      </c>
      <c r="O392" s="40"/>
      <c r="P392" s="40"/>
      <c r="Q392" s="40"/>
      <c r="R392" s="40" t="s">
        <v>6</v>
      </c>
      <c r="S392" s="40" t="s">
        <v>6</v>
      </c>
      <c r="T392" s="40"/>
      <c r="U392" s="218"/>
      <c r="V392" s="412"/>
      <c r="W392" s="204" t="s">
        <v>125</v>
      </c>
      <c r="X392" s="199"/>
      <c r="Y392" s="199"/>
      <c r="Z392" s="199"/>
      <c r="AA392" s="126" t="s">
        <v>6</v>
      </c>
      <c r="AB392" s="198"/>
      <c r="AC392" s="199"/>
      <c r="AD392" s="412" t="s">
        <v>1004</v>
      </c>
      <c r="AE392" s="204" t="s">
        <v>125</v>
      </c>
      <c r="AF392" s="199"/>
      <c r="AG392" s="199"/>
      <c r="AH392" s="199"/>
      <c r="AI392" s="126" t="s">
        <v>6</v>
      </c>
      <c r="AJ392" s="198"/>
      <c r="AK392" s="199"/>
      <c r="AL392" s="412" t="s">
        <v>1004</v>
      </c>
      <c r="AM392" s="198" t="s">
        <v>907</v>
      </c>
      <c r="AN392" s="203" t="s">
        <v>908</v>
      </c>
      <c r="AO392" s="199"/>
      <c r="AP392" s="199"/>
      <c r="AQ392" s="199"/>
      <c r="AR392" s="199"/>
      <c r="AS392" s="199"/>
      <c r="AT392" s="199"/>
      <c r="AU392" s="199"/>
      <c r="AV392" s="199"/>
      <c r="AW392" s="155"/>
    </row>
    <row r="393" spans="1:49" s="236" customFormat="1" ht="26.4">
      <c r="A393" s="40">
        <f t="shared" si="31"/>
        <v>387</v>
      </c>
      <c r="B393" s="199"/>
      <c r="C393" s="199"/>
      <c r="D393" s="199"/>
      <c r="E393" s="199"/>
      <c r="F393" s="199"/>
      <c r="G393" s="199"/>
      <c r="H393" s="199"/>
      <c r="I393" s="40" t="s">
        <v>868</v>
      </c>
      <c r="J393" s="412" t="s">
        <v>4266</v>
      </c>
      <c r="K393" s="204" t="s">
        <v>132</v>
      </c>
      <c r="L393" s="458" t="s">
        <v>4267</v>
      </c>
      <c r="M393" s="351" t="s">
        <v>3836</v>
      </c>
      <c r="N393" s="40" t="s">
        <v>504</v>
      </c>
      <c r="O393" s="40"/>
      <c r="P393" s="40"/>
      <c r="Q393" s="40"/>
      <c r="R393" s="40" t="s">
        <v>6</v>
      </c>
      <c r="S393" s="40" t="s">
        <v>6</v>
      </c>
      <c r="T393" s="40"/>
      <c r="U393" s="218"/>
      <c r="V393" s="412"/>
      <c r="W393" s="204" t="s">
        <v>125</v>
      </c>
      <c r="X393" s="199"/>
      <c r="Y393" s="199"/>
      <c r="Z393" s="199"/>
      <c r="AA393" s="126" t="s">
        <v>6</v>
      </c>
      <c r="AB393" s="198"/>
      <c r="AC393" s="199"/>
      <c r="AD393" s="412" t="s">
        <v>1004</v>
      </c>
      <c r="AE393" s="204" t="s">
        <v>125</v>
      </c>
      <c r="AF393" s="199"/>
      <c r="AG393" s="199"/>
      <c r="AH393" s="199"/>
      <c r="AI393" s="126" t="s">
        <v>6</v>
      </c>
      <c r="AJ393" s="198"/>
      <c r="AK393" s="199"/>
      <c r="AL393" s="412" t="s">
        <v>1004</v>
      </c>
      <c r="AM393" s="198" t="s">
        <v>907</v>
      </c>
      <c r="AN393" s="203" t="s">
        <v>908</v>
      </c>
      <c r="AO393" s="199"/>
      <c r="AP393" s="199"/>
      <c r="AQ393" s="199"/>
      <c r="AR393" s="199"/>
      <c r="AS393" s="199"/>
      <c r="AT393" s="199"/>
      <c r="AU393" s="199"/>
      <c r="AV393" s="199"/>
      <c r="AW393" s="155"/>
    </row>
    <row r="394" spans="1:49" s="236" customFormat="1" ht="26.4">
      <c r="A394" s="40">
        <f t="shared" si="31"/>
        <v>388</v>
      </c>
      <c r="B394" s="199"/>
      <c r="C394" s="199"/>
      <c r="D394" s="199"/>
      <c r="E394" s="199"/>
      <c r="F394" s="199"/>
      <c r="G394" s="199"/>
      <c r="H394" s="199"/>
      <c r="I394" s="40" t="s">
        <v>868</v>
      </c>
      <c r="J394" s="412" t="s">
        <v>4268</v>
      </c>
      <c r="K394" s="204" t="s">
        <v>132</v>
      </c>
      <c r="L394" s="458" t="s">
        <v>4269</v>
      </c>
      <c r="M394" s="351" t="s">
        <v>3836</v>
      </c>
      <c r="N394" s="40" t="s">
        <v>504</v>
      </c>
      <c r="O394" s="40"/>
      <c r="P394" s="40"/>
      <c r="Q394" s="40"/>
      <c r="R394" s="40" t="s">
        <v>6</v>
      </c>
      <c r="S394" s="40" t="s">
        <v>6</v>
      </c>
      <c r="T394" s="40"/>
      <c r="U394" s="218"/>
      <c r="V394" s="412"/>
      <c r="W394" s="204" t="s">
        <v>125</v>
      </c>
      <c r="X394" s="199"/>
      <c r="Y394" s="199"/>
      <c r="Z394" s="199"/>
      <c r="AA394" s="126" t="s">
        <v>6</v>
      </c>
      <c r="AB394" s="198"/>
      <c r="AC394" s="199"/>
      <c r="AD394" s="412" t="s">
        <v>1004</v>
      </c>
      <c r="AE394" s="204" t="s">
        <v>125</v>
      </c>
      <c r="AF394" s="199"/>
      <c r="AG394" s="199"/>
      <c r="AH394" s="199"/>
      <c r="AI394" s="126" t="s">
        <v>6</v>
      </c>
      <c r="AJ394" s="198"/>
      <c r="AK394" s="199"/>
      <c r="AL394" s="412" t="s">
        <v>1004</v>
      </c>
      <c r="AM394" s="198" t="s">
        <v>907</v>
      </c>
      <c r="AN394" s="203" t="s">
        <v>908</v>
      </c>
      <c r="AO394" s="199"/>
      <c r="AP394" s="199"/>
      <c r="AQ394" s="199"/>
      <c r="AR394" s="199"/>
      <c r="AS394" s="199"/>
      <c r="AT394" s="199"/>
      <c r="AU394" s="199"/>
      <c r="AV394" s="199"/>
      <c r="AW394" s="155"/>
    </row>
    <row r="395" spans="1:49" s="236" customFormat="1" ht="39.6">
      <c r="A395" s="40">
        <f t="shared" si="31"/>
        <v>389</v>
      </c>
      <c r="B395" s="199"/>
      <c r="C395" s="199"/>
      <c r="D395" s="199"/>
      <c r="E395" s="199"/>
      <c r="F395" s="199"/>
      <c r="G395" s="199"/>
      <c r="H395" s="199"/>
      <c r="I395" s="40" t="s">
        <v>868</v>
      </c>
      <c r="J395" s="412" t="s">
        <v>1004</v>
      </c>
      <c r="K395" s="204" t="s">
        <v>132</v>
      </c>
      <c r="L395" s="241" t="s">
        <v>4270</v>
      </c>
      <c r="M395" s="351" t="s">
        <v>3836</v>
      </c>
      <c r="N395" s="40" t="s">
        <v>504</v>
      </c>
      <c r="O395" s="40"/>
      <c r="P395" s="40"/>
      <c r="Q395" s="40" t="s">
        <v>6</v>
      </c>
      <c r="R395" s="40" t="s">
        <v>6</v>
      </c>
      <c r="S395" s="40" t="s">
        <v>6</v>
      </c>
      <c r="T395" s="40"/>
      <c r="U395" s="215"/>
      <c r="V395" s="215"/>
      <c r="W395" s="204" t="s">
        <v>133</v>
      </c>
      <c r="X395" s="199"/>
      <c r="Y395" s="199"/>
      <c r="Z395" s="126" t="s">
        <v>6</v>
      </c>
      <c r="AA395" s="126" t="s">
        <v>6</v>
      </c>
      <c r="AB395" s="215"/>
      <c r="AC395" s="199"/>
      <c r="AD395" s="199" t="s">
        <v>915</v>
      </c>
      <c r="AE395" s="204" t="s">
        <v>133</v>
      </c>
      <c r="AF395" s="199"/>
      <c r="AG395" s="199"/>
      <c r="AH395" s="126" t="s">
        <v>6</v>
      </c>
      <c r="AI395" s="126" t="s">
        <v>6</v>
      </c>
      <c r="AJ395" s="215" t="s">
        <v>4271</v>
      </c>
      <c r="AK395" s="199"/>
      <c r="AL395" s="199" t="s">
        <v>915</v>
      </c>
      <c r="AM395" s="198" t="s">
        <v>907</v>
      </c>
      <c r="AN395" s="203" t="s">
        <v>908</v>
      </c>
      <c r="AO395" s="199"/>
      <c r="AP395" s="199"/>
      <c r="AQ395" s="199"/>
      <c r="AR395" s="199"/>
      <c r="AS395" s="199"/>
      <c r="AT395" s="199"/>
      <c r="AU395" s="199"/>
      <c r="AV395" s="199"/>
      <c r="AW395" s="155"/>
    </row>
    <row r="396" spans="1:49" s="236" customFormat="1" ht="26.4">
      <c r="A396" s="40">
        <f t="shared" si="31"/>
        <v>390</v>
      </c>
      <c r="B396" s="199"/>
      <c r="C396" s="199"/>
      <c r="D396" s="199"/>
      <c r="E396" s="199"/>
      <c r="F396" s="199"/>
      <c r="G396" s="199"/>
      <c r="H396" s="199"/>
      <c r="I396" s="40" t="s">
        <v>868</v>
      </c>
      <c r="J396" s="412" t="s">
        <v>4272</v>
      </c>
      <c r="K396" s="204" t="s">
        <v>122</v>
      </c>
      <c r="L396" s="241" t="s">
        <v>4273</v>
      </c>
      <c r="M396" s="351" t="s">
        <v>3836</v>
      </c>
      <c r="N396" s="40" t="s">
        <v>873</v>
      </c>
      <c r="O396" s="40"/>
      <c r="P396" s="40"/>
      <c r="Q396" s="40" t="s">
        <v>6</v>
      </c>
      <c r="R396" s="40" t="s">
        <v>6</v>
      </c>
      <c r="S396" s="40" t="s">
        <v>6</v>
      </c>
      <c r="T396" s="40"/>
      <c r="U396" s="215"/>
      <c r="V396" s="412"/>
      <c r="W396" s="204" t="s">
        <v>123</v>
      </c>
      <c r="X396" s="199"/>
      <c r="Y396" s="199"/>
      <c r="Z396" s="126" t="s">
        <v>6</v>
      </c>
      <c r="AA396" s="126" t="s">
        <v>6</v>
      </c>
      <c r="AB396" s="198"/>
      <c r="AC396" s="199"/>
      <c r="AD396" s="199" t="s">
        <v>915</v>
      </c>
      <c r="AE396" s="204" t="s">
        <v>123</v>
      </c>
      <c r="AF396" s="199"/>
      <c r="AG396" s="199"/>
      <c r="AH396" s="126" t="s">
        <v>6</v>
      </c>
      <c r="AI396" s="126" t="s">
        <v>6</v>
      </c>
      <c r="AJ396" s="198"/>
      <c r="AK396" s="199"/>
      <c r="AL396" s="199" t="s">
        <v>915</v>
      </c>
      <c r="AM396" s="198" t="s">
        <v>907</v>
      </c>
      <c r="AN396" s="203" t="s">
        <v>908</v>
      </c>
      <c r="AO396" s="199"/>
      <c r="AP396" s="199"/>
      <c r="AQ396" s="199"/>
      <c r="AR396" s="199"/>
      <c r="AS396" s="199"/>
      <c r="AT396" s="199"/>
      <c r="AU396" s="199"/>
      <c r="AV396" s="199"/>
      <c r="AW396" s="155"/>
    </row>
    <row r="397" spans="1:49" s="236" customFormat="1" ht="26.4">
      <c r="A397" s="40">
        <f t="shared" si="31"/>
        <v>391</v>
      </c>
      <c r="B397" s="199"/>
      <c r="C397" s="199"/>
      <c r="D397" s="199"/>
      <c r="E397" s="199"/>
      <c r="F397" s="199"/>
      <c r="G397" s="199"/>
      <c r="H397" s="199"/>
      <c r="I397" s="40" t="s">
        <v>868</v>
      </c>
      <c r="J397" s="412" t="s">
        <v>4274</v>
      </c>
      <c r="K397" s="204" t="s">
        <v>132</v>
      </c>
      <c r="L397" s="241" t="s">
        <v>4275</v>
      </c>
      <c r="M397" s="351" t="s">
        <v>4033</v>
      </c>
      <c r="N397" s="40" t="s">
        <v>504</v>
      </c>
      <c r="O397" s="40"/>
      <c r="P397" s="40"/>
      <c r="Q397" s="40" t="s">
        <v>6</v>
      </c>
      <c r="R397" s="40" t="s">
        <v>6</v>
      </c>
      <c r="S397" s="40" t="s">
        <v>6</v>
      </c>
      <c r="T397" s="40"/>
      <c r="U397" s="215"/>
      <c r="V397" s="412"/>
      <c r="W397" s="204" t="s">
        <v>133</v>
      </c>
      <c r="X397" s="199"/>
      <c r="Y397" s="199"/>
      <c r="Z397" s="126" t="s">
        <v>6</v>
      </c>
      <c r="AA397" s="126" t="s">
        <v>6</v>
      </c>
      <c r="AB397" s="198"/>
      <c r="AC397" s="199"/>
      <c r="AD397" s="199" t="s">
        <v>915</v>
      </c>
      <c r="AE397" s="204" t="s">
        <v>133</v>
      </c>
      <c r="AF397" s="199"/>
      <c r="AG397" s="199"/>
      <c r="AH397" s="126" t="s">
        <v>6</v>
      </c>
      <c r="AI397" s="126" t="s">
        <v>6</v>
      </c>
      <c r="AJ397" s="198"/>
      <c r="AK397" s="199"/>
      <c r="AL397" s="199" t="s">
        <v>915</v>
      </c>
      <c r="AM397" s="198" t="s">
        <v>907</v>
      </c>
      <c r="AN397" s="203" t="s">
        <v>908</v>
      </c>
      <c r="AO397" s="199"/>
      <c r="AP397" s="199"/>
      <c r="AQ397" s="199"/>
      <c r="AR397" s="199"/>
      <c r="AS397" s="199"/>
      <c r="AT397" s="199"/>
      <c r="AU397" s="199"/>
      <c r="AV397" s="199"/>
      <c r="AW397" s="155"/>
    </row>
    <row r="398" spans="1:49" s="236" customFormat="1" ht="26.4">
      <c r="A398" s="40">
        <f t="shared" si="31"/>
        <v>392</v>
      </c>
      <c r="B398" s="199"/>
      <c r="C398" s="199"/>
      <c r="D398" s="199"/>
      <c r="E398" s="199"/>
      <c r="F398" s="199"/>
      <c r="G398" s="199"/>
      <c r="H398" s="199"/>
      <c r="I398" s="40" t="s">
        <v>868</v>
      </c>
      <c r="J398" s="412" t="s">
        <v>4276</v>
      </c>
      <c r="K398" s="204" t="s">
        <v>132</v>
      </c>
      <c r="L398" s="458" t="s">
        <v>4277</v>
      </c>
      <c r="M398" s="351" t="s">
        <v>4033</v>
      </c>
      <c r="N398" s="40" t="s">
        <v>504</v>
      </c>
      <c r="O398" s="40"/>
      <c r="P398" s="40"/>
      <c r="Q398" s="40"/>
      <c r="R398" s="40" t="s">
        <v>6</v>
      </c>
      <c r="S398" s="40" t="s">
        <v>6</v>
      </c>
      <c r="T398" s="40"/>
      <c r="U398" s="215" t="s">
        <v>4278</v>
      </c>
      <c r="V398" s="412"/>
      <c r="W398" s="204" t="s">
        <v>125</v>
      </c>
      <c r="X398" s="199"/>
      <c r="Y398" s="199"/>
      <c r="Z398" s="199"/>
      <c r="AA398" s="126" t="s">
        <v>6</v>
      </c>
      <c r="AB398" s="198"/>
      <c r="AC398" s="199"/>
      <c r="AD398" s="412" t="s">
        <v>1018</v>
      </c>
      <c r="AE398" s="204" t="s">
        <v>125</v>
      </c>
      <c r="AF398" s="199"/>
      <c r="AG398" s="199"/>
      <c r="AH398" s="199"/>
      <c r="AI398" s="126" t="s">
        <v>6</v>
      </c>
      <c r="AJ398" s="198"/>
      <c r="AK398" s="199"/>
      <c r="AL398" s="412" t="s">
        <v>1018</v>
      </c>
      <c r="AM398" s="198" t="s">
        <v>907</v>
      </c>
      <c r="AN398" s="203" t="s">
        <v>908</v>
      </c>
      <c r="AO398" s="199"/>
      <c r="AP398" s="199"/>
      <c r="AQ398" s="199"/>
      <c r="AR398" s="199"/>
      <c r="AS398" s="199"/>
      <c r="AT398" s="199"/>
      <c r="AU398" s="199"/>
      <c r="AV398" s="199"/>
      <c r="AW398" s="155"/>
    </row>
    <row r="399" spans="1:49" s="236" customFormat="1" ht="26.4">
      <c r="A399" s="40">
        <f t="shared" si="31"/>
        <v>393</v>
      </c>
      <c r="B399" s="199"/>
      <c r="C399" s="199"/>
      <c r="D399" s="199"/>
      <c r="E399" s="199"/>
      <c r="F399" s="199"/>
      <c r="G399" s="199"/>
      <c r="H399" s="199"/>
      <c r="I399" s="40" t="s">
        <v>868</v>
      </c>
      <c r="J399" s="412" t="s">
        <v>4279</v>
      </c>
      <c r="K399" s="204" t="s">
        <v>132</v>
      </c>
      <c r="L399" s="458" t="s">
        <v>4280</v>
      </c>
      <c r="M399" s="351" t="s">
        <v>4033</v>
      </c>
      <c r="N399" s="40" t="s">
        <v>504</v>
      </c>
      <c r="O399" s="40"/>
      <c r="P399" s="40"/>
      <c r="Q399" s="40"/>
      <c r="R399" s="40" t="s">
        <v>6</v>
      </c>
      <c r="S399" s="40" t="s">
        <v>6</v>
      </c>
      <c r="T399" s="40"/>
      <c r="U399" s="215" t="s">
        <v>4278</v>
      </c>
      <c r="V399" s="412"/>
      <c r="W399" s="204" t="s">
        <v>125</v>
      </c>
      <c r="X399" s="199"/>
      <c r="Y399" s="199"/>
      <c r="Z399" s="199"/>
      <c r="AA399" s="126" t="s">
        <v>6</v>
      </c>
      <c r="AB399" s="198"/>
      <c r="AC399" s="199"/>
      <c r="AD399" s="412" t="s">
        <v>1018</v>
      </c>
      <c r="AE399" s="204" t="s">
        <v>125</v>
      </c>
      <c r="AF399" s="199"/>
      <c r="AG399" s="199"/>
      <c r="AH399" s="199"/>
      <c r="AI399" s="126" t="s">
        <v>6</v>
      </c>
      <c r="AJ399" s="198"/>
      <c r="AK399" s="199"/>
      <c r="AL399" s="412" t="s">
        <v>1018</v>
      </c>
      <c r="AM399" s="198" t="s">
        <v>907</v>
      </c>
      <c r="AN399" s="203" t="s">
        <v>908</v>
      </c>
      <c r="AO399" s="199"/>
      <c r="AP399" s="199"/>
      <c r="AQ399" s="199"/>
      <c r="AR399" s="199"/>
      <c r="AS399" s="199"/>
      <c r="AT399" s="199"/>
      <c r="AU399" s="199"/>
      <c r="AV399" s="199"/>
      <c r="AW399" s="155"/>
    </row>
    <row r="400" spans="1:49" s="236" customFormat="1" ht="39.6">
      <c r="A400" s="40">
        <f t="shared" si="31"/>
        <v>394</v>
      </c>
      <c r="B400" s="199"/>
      <c r="C400" s="199"/>
      <c r="D400" s="199"/>
      <c r="E400" s="199"/>
      <c r="F400" s="199"/>
      <c r="G400" s="199"/>
      <c r="H400" s="199"/>
      <c r="I400" s="40" t="s">
        <v>868</v>
      </c>
      <c r="J400" s="412" t="s">
        <v>4281</v>
      </c>
      <c r="K400" s="204" t="s">
        <v>132</v>
      </c>
      <c r="L400" s="458" t="s">
        <v>4282</v>
      </c>
      <c r="M400" s="351" t="s">
        <v>4033</v>
      </c>
      <c r="N400" s="40" t="s">
        <v>504</v>
      </c>
      <c r="O400" s="40"/>
      <c r="P400" s="40"/>
      <c r="Q400" s="40"/>
      <c r="R400" s="40" t="s">
        <v>6</v>
      </c>
      <c r="S400" s="40" t="s">
        <v>6</v>
      </c>
      <c r="T400" s="40"/>
      <c r="U400" s="215" t="s">
        <v>4283</v>
      </c>
      <c r="V400" s="412"/>
      <c r="W400" s="204" t="s">
        <v>125</v>
      </c>
      <c r="X400" s="199"/>
      <c r="Y400" s="199"/>
      <c r="Z400" s="199"/>
      <c r="AA400" s="126" t="s">
        <v>6</v>
      </c>
      <c r="AB400" s="198"/>
      <c r="AC400" s="199"/>
      <c r="AD400" s="412" t="s">
        <v>1018</v>
      </c>
      <c r="AE400" s="204" t="s">
        <v>125</v>
      </c>
      <c r="AF400" s="199"/>
      <c r="AG400" s="199"/>
      <c r="AH400" s="199"/>
      <c r="AI400" s="126" t="s">
        <v>6</v>
      </c>
      <c r="AJ400" s="198"/>
      <c r="AK400" s="199"/>
      <c r="AL400" s="412" t="s">
        <v>1018</v>
      </c>
      <c r="AM400" s="198" t="s">
        <v>907</v>
      </c>
      <c r="AN400" s="203" t="s">
        <v>908</v>
      </c>
      <c r="AO400" s="199"/>
      <c r="AP400" s="199"/>
      <c r="AQ400" s="199"/>
      <c r="AR400" s="199"/>
      <c r="AS400" s="199"/>
      <c r="AT400" s="199"/>
      <c r="AU400" s="199"/>
      <c r="AV400" s="199"/>
      <c r="AW400" s="155"/>
    </row>
    <row r="401" spans="1:49" s="236" customFormat="1" ht="39.6">
      <c r="A401" s="40">
        <f t="shared" si="31"/>
        <v>395</v>
      </c>
      <c r="B401" s="199"/>
      <c r="C401" s="199"/>
      <c r="D401" s="199"/>
      <c r="E401" s="199"/>
      <c r="F401" s="199"/>
      <c r="G401" s="199"/>
      <c r="H401" s="199"/>
      <c r="I401" s="40" t="s">
        <v>868</v>
      </c>
      <c r="J401" s="412" t="s">
        <v>1018</v>
      </c>
      <c r="K401" s="204" t="s">
        <v>132</v>
      </c>
      <c r="L401" s="241" t="s">
        <v>4284</v>
      </c>
      <c r="M401" s="351" t="s">
        <v>4033</v>
      </c>
      <c r="N401" s="40" t="s">
        <v>504</v>
      </c>
      <c r="O401" s="40"/>
      <c r="P401" s="40"/>
      <c r="Q401" s="40" t="s">
        <v>6</v>
      </c>
      <c r="R401" s="40" t="s">
        <v>6</v>
      </c>
      <c r="S401" s="40" t="s">
        <v>6</v>
      </c>
      <c r="T401" s="40"/>
      <c r="U401" s="215" t="s">
        <v>4278</v>
      </c>
      <c r="V401" s="215"/>
      <c r="W401" s="204" t="s">
        <v>133</v>
      </c>
      <c r="X401" s="199"/>
      <c r="Y401" s="199"/>
      <c r="Z401" s="126" t="s">
        <v>6</v>
      </c>
      <c r="AA401" s="126" t="s">
        <v>6</v>
      </c>
      <c r="AB401" s="215"/>
      <c r="AC401" s="199"/>
      <c r="AD401" s="199" t="s">
        <v>915</v>
      </c>
      <c r="AE401" s="204" t="s">
        <v>133</v>
      </c>
      <c r="AF401" s="199"/>
      <c r="AG401" s="199"/>
      <c r="AH401" s="126" t="s">
        <v>6</v>
      </c>
      <c r="AI401" s="126" t="s">
        <v>6</v>
      </c>
      <c r="AJ401" s="215" t="s">
        <v>4285</v>
      </c>
      <c r="AK401" s="199"/>
      <c r="AL401" s="199" t="s">
        <v>915</v>
      </c>
      <c r="AM401" s="198" t="s">
        <v>907</v>
      </c>
      <c r="AN401" s="203" t="s">
        <v>908</v>
      </c>
      <c r="AO401" s="199"/>
      <c r="AP401" s="199"/>
      <c r="AQ401" s="199"/>
      <c r="AR401" s="199"/>
      <c r="AS401" s="199"/>
      <c r="AT401" s="199"/>
      <c r="AU401" s="199"/>
      <c r="AV401" s="199"/>
      <c r="AW401" s="155"/>
    </row>
    <row r="402" spans="1:49" s="236" customFormat="1" ht="26.4">
      <c r="A402" s="40">
        <f t="shared" si="31"/>
        <v>396</v>
      </c>
      <c r="B402" s="199"/>
      <c r="C402" s="199"/>
      <c r="D402" s="199"/>
      <c r="E402" s="199"/>
      <c r="F402" s="199"/>
      <c r="G402" s="199"/>
      <c r="H402" s="199"/>
      <c r="I402" s="40" t="s">
        <v>868</v>
      </c>
      <c r="J402" s="412" t="s">
        <v>4286</v>
      </c>
      <c r="K402" s="204" t="s">
        <v>132</v>
      </c>
      <c r="L402" s="241" t="s">
        <v>4287</v>
      </c>
      <c r="M402" s="351" t="s">
        <v>4034</v>
      </c>
      <c r="N402" s="40" t="s">
        <v>504</v>
      </c>
      <c r="O402" s="40"/>
      <c r="P402" s="40"/>
      <c r="Q402" s="40" t="s">
        <v>6</v>
      </c>
      <c r="R402" s="40" t="s">
        <v>6</v>
      </c>
      <c r="S402" s="40" t="s">
        <v>6</v>
      </c>
      <c r="T402" s="40"/>
      <c r="U402" s="215" t="s">
        <v>4278</v>
      </c>
      <c r="V402" s="412"/>
      <c r="W402" s="204" t="s">
        <v>133</v>
      </c>
      <c r="X402" s="199"/>
      <c r="Y402" s="199"/>
      <c r="Z402" s="126" t="s">
        <v>6</v>
      </c>
      <c r="AA402" s="126" t="s">
        <v>6</v>
      </c>
      <c r="AB402" s="198"/>
      <c r="AC402" s="199"/>
      <c r="AD402" s="199" t="s">
        <v>915</v>
      </c>
      <c r="AE402" s="204" t="s">
        <v>133</v>
      </c>
      <c r="AF402" s="199"/>
      <c r="AG402" s="199"/>
      <c r="AH402" s="126" t="s">
        <v>6</v>
      </c>
      <c r="AI402" s="126" t="s">
        <v>6</v>
      </c>
      <c r="AJ402" s="198"/>
      <c r="AK402" s="199"/>
      <c r="AL402" s="199" t="s">
        <v>915</v>
      </c>
      <c r="AM402" s="198" t="s">
        <v>907</v>
      </c>
      <c r="AN402" s="203" t="s">
        <v>908</v>
      </c>
      <c r="AO402" s="199"/>
      <c r="AP402" s="199"/>
      <c r="AQ402" s="199"/>
      <c r="AR402" s="199"/>
      <c r="AS402" s="199"/>
      <c r="AT402" s="199"/>
      <c r="AU402" s="199"/>
      <c r="AV402" s="199"/>
      <c r="AW402" s="155"/>
    </row>
    <row r="403" spans="1:49" s="236" customFormat="1" ht="26.4">
      <c r="A403" s="40">
        <f t="shared" si="31"/>
        <v>397</v>
      </c>
      <c r="B403" s="199"/>
      <c r="C403" s="199"/>
      <c r="D403" s="199"/>
      <c r="E403" s="199"/>
      <c r="F403" s="199"/>
      <c r="G403" s="199"/>
      <c r="H403" s="199"/>
      <c r="I403" s="40" t="s">
        <v>868</v>
      </c>
      <c r="J403" s="412" t="s">
        <v>4288</v>
      </c>
      <c r="K403" s="204" t="s">
        <v>132</v>
      </c>
      <c r="L403" s="458" t="s">
        <v>4289</v>
      </c>
      <c r="M403" s="351" t="s">
        <v>3836</v>
      </c>
      <c r="N403" s="40" t="s">
        <v>504</v>
      </c>
      <c r="O403" s="40"/>
      <c r="P403" s="40"/>
      <c r="Q403" s="40"/>
      <c r="R403" s="40" t="s">
        <v>6</v>
      </c>
      <c r="S403" s="40" t="s">
        <v>6</v>
      </c>
      <c r="T403" s="40"/>
      <c r="U403" s="218"/>
      <c r="V403" s="412"/>
      <c r="W403" s="204" t="s">
        <v>125</v>
      </c>
      <c r="X403" s="199"/>
      <c r="Y403" s="199"/>
      <c r="Z403" s="199"/>
      <c r="AA403" s="126" t="s">
        <v>6</v>
      </c>
      <c r="AB403" s="198"/>
      <c r="AC403" s="199"/>
      <c r="AD403" s="412" t="s">
        <v>1031</v>
      </c>
      <c r="AE403" s="204" t="s">
        <v>125</v>
      </c>
      <c r="AF403" s="199"/>
      <c r="AG403" s="199"/>
      <c r="AH403" s="199"/>
      <c r="AI403" s="126" t="s">
        <v>6</v>
      </c>
      <c r="AJ403" s="198"/>
      <c r="AK403" s="199"/>
      <c r="AL403" s="412" t="s">
        <v>1031</v>
      </c>
      <c r="AM403" s="198" t="s">
        <v>907</v>
      </c>
      <c r="AN403" s="203" t="s">
        <v>908</v>
      </c>
      <c r="AO403" s="199"/>
      <c r="AP403" s="199"/>
      <c r="AQ403" s="199"/>
      <c r="AR403" s="199"/>
      <c r="AS403" s="199"/>
      <c r="AT403" s="199"/>
      <c r="AU403" s="199"/>
      <c r="AV403" s="199"/>
      <c r="AW403" s="155"/>
    </row>
    <row r="404" spans="1:49" s="236" customFormat="1" ht="26.4">
      <c r="A404" s="40">
        <f t="shared" si="31"/>
        <v>398</v>
      </c>
      <c r="B404" s="199"/>
      <c r="C404" s="199"/>
      <c r="D404" s="199"/>
      <c r="E404" s="199"/>
      <c r="F404" s="199"/>
      <c r="G404" s="199"/>
      <c r="H404" s="199"/>
      <c r="I404" s="40" t="s">
        <v>868</v>
      </c>
      <c r="J404" s="412" t="s">
        <v>4290</v>
      </c>
      <c r="K404" s="204" t="s">
        <v>132</v>
      </c>
      <c r="L404" s="458" t="s">
        <v>4291</v>
      </c>
      <c r="M404" s="351" t="s">
        <v>3836</v>
      </c>
      <c r="N404" s="40" t="s">
        <v>504</v>
      </c>
      <c r="O404" s="40"/>
      <c r="P404" s="40"/>
      <c r="Q404" s="40"/>
      <c r="R404" s="40" t="s">
        <v>6</v>
      </c>
      <c r="S404" s="40" t="s">
        <v>6</v>
      </c>
      <c r="T404" s="40"/>
      <c r="U404" s="218"/>
      <c r="V404" s="412"/>
      <c r="W404" s="204" t="s">
        <v>125</v>
      </c>
      <c r="X404" s="199"/>
      <c r="Y404" s="199"/>
      <c r="Z404" s="199"/>
      <c r="AA404" s="126" t="s">
        <v>6</v>
      </c>
      <c r="AB404" s="198"/>
      <c r="AC404" s="199"/>
      <c r="AD404" s="412" t="s">
        <v>1031</v>
      </c>
      <c r="AE404" s="204" t="s">
        <v>125</v>
      </c>
      <c r="AF404" s="199"/>
      <c r="AG404" s="199"/>
      <c r="AH404" s="199"/>
      <c r="AI404" s="126" t="s">
        <v>6</v>
      </c>
      <c r="AJ404" s="198"/>
      <c r="AK404" s="199"/>
      <c r="AL404" s="412" t="s">
        <v>1031</v>
      </c>
      <c r="AM404" s="198" t="s">
        <v>907</v>
      </c>
      <c r="AN404" s="203" t="s">
        <v>908</v>
      </c>
      <c r="AO404" s="199"/>
      <c r="AP404" s="199"/>
      <c r="AQ404" s="199"/>
      <c r="AR404" s="199"/>
      <c r="AS404" s="199"/>
      <c r="AT404" s="199"/>
      <c r="AU404" s="199"/>
      <c r="AV404" s="199"/>
      <c r="AW404" s="155"/>
    </row>
    <row r="405" spans="1:49" s="236" customFormat="1" ht="26.4">
      <c r="A405" s="40">
        <f t="shared" si="31"/>
        <v>399</v>
      </c>
      <c r="B405" s="199"/>
      <c r="C405" s="199"/>
      <c r="D405" s="199"/>
      <c r="E405" s="199"/>
      <c r="F405" s="199"/>
      <c r="G405" s="199"/>
      <c r="H405" s="199"/>
      <c r="I405" s="40" t="s">
        <v>868</v>
      </c>
      <c r="J405" s="412" t="s">
        <v>4292</v>
      </c>
      <c r="K405" s="204" t="s">
        <v>132</v>
      </c>
      <c r="L405" s="458" t="s">
        <v>4293</v>
      </c>
      <c r="M405" s="351" t="s">
        <v>3836</v>
      </c>
      <c r="N405" s="40" t="s">
        <v>504</v>
      </c>
      <c r="O405" s="40"/>
      <c r="P405" s="40"/>
      <c r="Q405" s="40"/>
      <c r="R405" s="40" t="s">
        <v>6</v>
      </c>
      <c r="S405" s="40" t="s">
        <v>6</v>
      </c>
      <c r="T405" s="40"/>
      <c r="U405" s="218"/>
      <c r="V405" s="412"/>
      <c r="W405" s="204" t="s">
        <v>125</v>
      </c>
      <c r="X405" s="199"/>
      <c r="Y405" s="199"/>
      <c r="Z405" s="199"/>
      <c r="AA405" s="126" t="s">
        <v>6</v>
      </c>
      <c r="AB405" s="198"/>
      <c r="AC405" s="199"/>
      <c r="AD405" s="412" t="s">
        <v>1031</v>
      </c>
      <c r="AE405" s="204" t="s">
        <v>125</v>
      </c>
      <c r="AF405" s="199"/>
      <c r="AG405" s="199"/>
      <c r="AH405" s="199"/>
      <c r="AI405" s="126" t="s">
        <v>6</v>
      </c>
      <c r="AJ405" s="198"/>
      <c r="AK405" s="199"/>
      <c r="AL405" s="412" t="s">
        <v>1031</v>
      </c>
      <c r="AM405" s="198" t="s">
        <v>907</v>
      </c>
      <c r="AN405" s="203" t="s">
        <v>908</v>
      </c>
      <c r="AO405" s="199"/>
      <c r="AP405" s="199"/>
      <c r="AQ405" s="199"/>
      <c r="AR405" s="199"/>
      <c r="AS405" s="199"/>
      <c r="AT405" s="199"/>
      <c r="AU405" s="199"/>
      <c r="AV405" s="199"/>
      <c r="AW405" s="155"/>
    </row>
    <row r="406" spans="1:49" s="236" customFormat="1" ht="39.6">
      <c r="A406" s="40">
        <f t="shared" si="31"/>
        <v>400</v>
      </c>
      <c r="B406" s="199"/>
      <c r="C406" s="199"/>
      <c r="D406" s="199"/>
      <c r="E406" s="199"/>
      <c r="F406" s="199"/>
      <c r="G406" s="199"/>
      <c r="H406" s="199"/>
      <c r="I406" s="40" t="s">
        <v>868</v>
      </c>
      <c r="J406" s="412" t="s">
        <v>1031</v>
      </c>
      <c r="K406" s="204" t="s">
        <v>132</v>
      </c>
      <c r="L406" s="458" t="s">
        <v>4294</v>
      </c>
      <c r="M406" s="351" t="s">
        <v>3836</v>
      </c>
      <c r="N406" s="40" t="s">
        <v>504</v>
      </c>
      <c r="O406" s="40"/>
      <c r="P406" s="40"/>
      <c r="Q406" s="40" t="s">
        <v>6</v>
      </c>
      <c r="R406" s="40" t="s">
        <v>6</v>
      </c>
      <c r="S406" s="40" t="s">
        <v>6</v>
      </c>
      <c r="T406" s="40"/>
      <c r="U406" s="215"/>
      <c r="V406" s="215"/>
      <c r="W406" s="204" t="s">
        <v>133</v>
      </c>
      <c r="X406" s="199"/>
      <c r="Y406" s="199"/>
      <c r="Z406" s="126" t="s">
        <v>6</v>
      </c>
      <c r="AA406" s="126" t="s">
        <v>6</v>
      </c>
      <c r="AB406" s="215"/>
      <c r="AC406" s="199"/>
      <c r="AD406" s="199" t="s">
        <v>915</v>
      </c>
      <c r="AE406" s="204" t="s">
        <v>133</v>
      </c>
      <c r="AF406" s="199"/>
      <c r="AG406" s="199"/>
      <c r="AH406" s="126" t="s">
        <v>6</v>
      </c>
      <c r="AI406" s="126" t="s">
        <v>6</v>
      </c>
      <c r="AJ406" s="215" t="s">
        <v>4295</v>
      </c>
      <c r="AK406" s="199"/>
      <c r="AL406" s="199" t="s">
        <v>915</v>
      </c>
      <c r="AM406" s="198" t="s">
        <v>907</v>
      </c>
      <c r="AN406" s="203" t="s">
        <v>908</v>
      </c>
      <c r="AO406" s="199"/>
      <c r="AP406" s="199"/>
      <c r="AQ406" s="199"/>
      <c r="AR406" s="199"/>
      <c r="AS406" s="199"/>
      <c r="AT406" s="199"/>
      <c r="AU406" s="199"/>
      <c r="AV406" s="199"/>
      <c r="AW406" s="155"/>
    </row>
    <row r="407" spans="1:49" s="236" customFormat="1" ht="26.4">
      <c r="A407" s="40">
        <f t="shared" si="31"/>
        <v>401</v>
      </c>
      <c r="B407" s="199"/>
      <c r="C407" s="199"/>
      <c r="D407" s="199"/>
      <c r="E407" s="199"/>
      <c r="F407" s="199"/>
      <c r="G407" s="199"/>
      <c r="H407" s="199"/>
      <c r="I407" s="40" t="s">
        <v>868</v>
      </c>
      <c r="J407" s="412" t="s">
        <v>4296</v>
      </c>
      <c r="K407" s="204" t="s">
        <v>132</v>
      </c>
      <c r="L407" s="458" t="s">
        <v>4297</v>
      </c>
      <c r="M407" s="351" t="s">
        <v>3836</v>
      </c>
      <c r="N407" s="40" t="s">
        <v>504</v>
      </c>
      <c r="O407" s="40"/>
      <c r="P407" s="40"/>
      <c r="Q407" s="40" t="s">
        <v>6</v>
      </c>
      <c r="R407" s="40" t="s">
        <v>6</v>
      </c>
      <c r="S407" s="40" t="s">
        <v>6</v>
      </c>
      <c r="T407" s="40"/>
      <c r="U407" s="215"/>
      <c r="V407" s="412"/>
      <c r="W407" s="204" t="s">
        <v>133</v>
      </c>
      <c r="X407" s="199"/>
      <c r="Y407" s="199"/>
      <c r="Z407" s="126" t="s">
        <v>6</v>
      </c>
      <c r="AA407" s="126" t="s">
        <v>6</v>
      </c>
      <c r="AB407" s="198"/>
      <c r="AC407" s="199"/>
      <c r="AD407" s="199" t="s">
        <v>915</v>
      </c>
      <c r="AE407" s="204" t="s">
        <v>133</v>
      </c>
      <c r="AF407" s="199"/>
      <c r="AG407" s="199"/>
      <c r="AH407" s="126" t="s">
        <v>6</v>
      </c>
      <c r="AI407" s="126" t="s">
        <v>6</v>
      </c>
      <c r="AJ407" s="198"/>
      <c r="AK407" s="199"/>
      <c r="AL407" s="199" t="s">
        <v>915</v>
      </c>
      <c r="AM407" s="198" t="s">
        <v>907</v>
      </c>
      <c r="AN407" s="203" t="s">
        <v>908</v>
      </c>
      <c r="AO407" s="199"/>
      <c r="AP407" s="199"/>
      <c r="AQ407" s="199"/>
      <c r="AR407" s="199"/>
      <c r="AS407" s="199"/>
      <c r="AT407" s="199"/>
      <c r="AU407" s="199"/>
      <c r="AV407" s="199"/>
      <c r="AW407" s="155"/>
    </row>
    <row r="408" spans="1:49" s="236" customFormat="1" ht="26.4">
      <c r="A408" s="40">
        <f t="shared" si="31"/>
        <v>402</v>
      </c>
      <c r="B408" s="199"/>
      <c r="C408" s="199"/>
      <c r="D408" s="199"/>
      <c r="E408" s="199"/>
      <c r="F408" s="199"/>
      <c r="G408" s="199"/>
      <c r="H408" s="199"/>
      <c r="I408" s="40" t="s">
        <v>868</v>
      </c>
      <c r="J408" s="412" t="s">
        <v>4298</v>
      </c>
      <c r="K408" s="204" t="s">
        <v>132</v>
      </c>
      <c r="L408" s="458" t="s">
        <v>4299</v>
      </c>
      <c r="M408" s="351" t="s">
        <v>4033</v>
      </c>
      <c r="N408" s="40" t="s">
        <v>504</v>
      </c>
      <c r="O408" s="40"/>
      <c r="P408" s="40"/>
      <c r="Q408" s="40" t="s">
        <v>6</v>
      </c>
      <c r="R408" s="40" t="s">
        <v>6</v>
      </c>
      <c r="S408" s="40" t="s">
        <v>6</v>
      </c>
      <c r="T408" s="40"/>
      <c r="U408" s="215"/>
      <c r="V408" s="412"/>
      <c r="W408" s="204" t="s">
        <v>133</v>
      </c>
      <c r="X408" s="199"/>
      <c r="Y408" s="199"/>
      <c r="Z408" s="126" t="s">
        <v>6</v>
      </c>
      <c r="AA408" s="126" t="s">
        <v>6</v>
      </c>
      <c r="AB408" s="198"/>
      <c r="AC408" s="199"/>
      <c r="AD408" s="199" t="s">
        <v>915</v>
      </c>
      <c r="AE408" s="204" t="s">
        <v>133</v>
      </c>
      <c r="AF408" s="199"/>
      <c r="AG408" s="199"/>
      <c r="AH408" s="126" t="s">
        <v>6</v>
      </c>
      <c r="AI408" s="126" t="s">
        <v>6</v>
      </c>
      <c r="AJ408" s="198"/>
      <c r="AK408" s="199"/>
      <c r="AL408" s="199" t="s">
        <v>915</v>
      </c>
      <c r="AM408" s="198" t="s">
        <v>907</v>
      </c>
      <c r="AN408" s="203" t="s">
        <v>908</v>
      </c>
      <c r="AO408" s="199"/>
      <c r="AP408" s="199"/>
      <c r="AQ408" s="199"/>
      <c r="AR408" s="199"/>
      <c r="AS408" s="199"/>
      <c r="AT408" s="199"/>
      <c r="AU408" s="199"/>
      <c r="AV408" s="199"/>
      <c r="AW408" s="155"/>
    </row>
    <row r="409" spans="1:49" s="236" customFormat="1" ht="15">
      <c r="A409" s="40">
        <f t="shared" si="31"/>
        <v>403</v>
      </c>
      <c r="B409" s="199"/>
      <c r="C409" s="199"/>
      <c r="D409" s="199"/>
      <c r="E409" s="199"/>
      <c r="F409" s="199"/>
      <c r="G409" s="199"/>
      <c r="H409" s="199"/>
      <c r="I409" s="40" t="s">
        <v>868</v>
      </c>
      <c r="J409" s="412" t="s">
        <v>4300</v>
      </c>
      <c r="K409" s="204" t="s">
        <v>132</v>
      </c>
      <c r="L409" s="351" t="s">
        <v>1042</v>
      </c>
      <c r="M409" s="351" t="s">
        <v>4301</v>
      </c>
      <c r="N409" s="40" t="s">
        <v>504</v>
      </c>
      <c r="O409" s="40"/>
      <c r="P409" s="40"/>
      <c r="Q409" s="40" t="s">
        <v>6</v>
      </c>
      <c r="R409" s="40" t="s">
        <v>6</v>
      </c>
      <c r="S409" s="40" t="s">
        <v>6</v>
      </c>
      <c r="T409" s="40"/>
      <c r="U409" s="215"/>
      <c r="V409" s="412"/>
      <c r="W409" s="204" t="s">
        <v>133</v>
      </c>
      <c r="X409" s="199"/>
      <c r="Y409" s="199"/>
      <c r="Z409" s="126" t="s">
        <v>6</v>
      </c>
      <c r="AA409" s="126" t="s">
        <v>6</v>
      </c>
      <c r="AB409" s="198"/>
      <c r="AC409" s="199"/>
      <c r="AD409" s="199"/>
      <c r="AE409" s="204" t="s">
        <v>133</v>
      </c>
      <c r="AF409" s="199"/>
      <c r="AG409" s="199"/>
      <c r="AH409" s="126" t="s">
        <v>6</v>
      </c>
      <c r="AI409" s="126" t="s">
        <v>6</v>
      </c>
      <c r="AJ409" s="198"/>
      <c r="AK409" s="199"/>
      <c r="AL409" s="199"/>
      <c r="AM409" s="199"/>
      <c r="AN409" s="199"/>
      <c r="AO409" s="199"/>
      <c r="AP409" s="199"/>
      <c r="AQ409" s="199"/>
      <c r="AR409" s="199"/>
      <c r="AS409" s="199"/>
      <c r="AT409" s="199"/>
      <c r="AU409" s="199"/>
      <c r="AV409" s="199"/>
      <c r="AW409" s="155"/>
    </row>
    <row r="410" spans="1:49" s="236" customFormat="1" ht="15">
      <c r="A410" s="40">
        <f t="shared" si="31"/>
        <v>404</v>
      </c>
      <c r="B410" s="199"/>
      <c r="C410" s="199"/>
      <c r="D410" s="199"/>
      <c r="E410" s="199"/>
      <c r="F410" s="199"/>
      <c r="G410" s="199"/>
      <c r="H410" s="199"/>
      <c r="I410" s="40" t="s">
        <v>868</v>
      </c>
      <c r="J410" s="412" t="s">
        <v>4302</v>
      </c>
      <c r="K410" s="204" t="s">
        <v>132</v>
      </c>
      <c r="L410" s="458" t="s">
        <v>4303</v>
      </c>
      <c r="M410" s="351" t="s">
        <v>4301</v>
      </c>
      <c r="N410" s="40" t="s">
        <v>504</v>
      </c>
      <c r="O410" s="40"/>
      <c r="P410" s="40"/>
      <c r="Q410" s="40" t="s">
        <v>6</v>
      </c>
      <c r="R410" s="40" t="s">
        <v>6</v>
      </c>
      <c r="S410" s="40" t="s">
        <v>6</v>
      </c>
      <c r="T410" s="40"/>
      <c r="U410" s="215" t="s">
        <v>4140</v>
      </c>
      <c r="V410" s="412"/>
      <c r="W410" s="204" t="s">
        <v>133</v>
      </c>
      <c r="X410" s="199"/>
      <c r="Y410" s="199"/>
      <c r="Z410" s="126" t="s">
        <v>6</v>
      </c>
      <c r="AA410" s="126" t="s">
        <v>6</v>
      </c>
      <c r="AB410" s="198"/>
      <c r="AC410" s="199"/>
      <c r="AD410" s="199"/>
      <c r="AE410" s="204" t="s">
        <v>133</v>
      </c>
      <c r="AF410" s="199"/>
      <c r="AG410" s="199"/>
      <c r="AH410" s="126" t="s">
        <v>6</v>
      </c>
      <c r="AI410" s="126" t="s">
        <v>6</v>
      </c>
      <c r="AJ410" s="198"/>
      <c r="AK410" s="199"/>
      <c r="AL410" s="199"/>
      <c r="AM410" s="199"/>
      <c r="AN410" s="199"/>
      <c r="AO410" s="199"/>
      <c r="AP410" s="199"/>
      <c r="AQ410" s="199"/>
      <c r="AR410" s="199"/>
      <c r="AS410" s="199"/>
      <c r="AT410" s="199"/>
      <c r="AU410" s="199"/>
      <c r="AV410" s="199"/>
      <c r="AW410" s="155"/>
    </row>
    <row r="411" spans="1:49" s="236" customFormat="1" ht="15">
      <c r="A411" s="40">
        <f t="shared" si="31"/>
        <v>405</v>
      </c>
      <c r="B411" s="199"/>
      <c r="C411" s="199"/>
      <c r="D411" s="199"/>
      <c r="E411" s="199"/>
      <c r="F411" s="199"/>
      <c r="G411" s="199"/>
      <c r="H411" s="199"/>
      <c r="I411" s="199"/>
      <c r="J411" s="412" t="s">
        <v>4304</v>
      </c>
      <c r="K411" s="204" t="s">
        <v>122</v>
      </c>
      <c r="L411" s="204" t="s">
        <v>4305</v>
      </c>
      <c r="M411" s="351" t="s">
        <v>4306</v>
      </c>
      <c r="N411" s="40" t="s">
        <v>873</v>
      </c>
      <c r="O411" s="40"/>
      <c r="P411" s="40"/>
      <c r="Q411" s="40" t="s">
        <v>6</v>
      </c>
      <c r="R411" s="40" t="s">
        <v>6</v>
      </c>
      <c r="S411" s="40" t="s">
        <v>6</v>
      </c>
      <c r="T411" s="40"/>
      <c r="U411" s="204"/>
      <c r="V411" s="242"/>
      <c r="W411" s="204" t="s">
        <v>123</v>
      </c>
      <c r="X411" s="199"/>
      <c r="Y411" s="199"/>
      <c r="Z411" s="126" t="s">
        <v>6</v>
      </c>
      <c r="AA411" s="126" t="s">
        <v>6</v>
      </c>
      <c r="AB411" s="198"/>
      <c r="AC411" s="199"/>
      <c r="AD411" s="199"/>
      <c r="AE411" s="204" t="s">
        <v>123</v>
      </c>
      <c r="AF411" s="199"/>
      <c r="AG411" s="199"/>
      <c r="AH411" s="126" t="s">
        <v>6</v>
      </c>
      <c r="AI411" s="126" t="s">
        <v>6</v>
      </c>
      <c r="AJ411" s="198"/>
      <c r="AK411" s="199"/>
      <c r="AL411" s="199"/>
      <c r="AM411" s="199"/>
      <c r="AN411" s="199"/>
      <c r="AO411" s="199"/>
      <c r="AP411" s="199"/>
      <c r="AQ411" s="199"/>
      <c r="AR411" s="199"/>
      <c r="AS411" s="199"/>
      <c r="AT411" s="199"/>
      <c r="AU411" s="199"/>
      <c r="AV411" s="199"/>
      <c r="AW411" s="155"/>
    </row>
    <row r="412" spans="1:49" s="236" customFormat="1" ht="15">
      <c r="A412" s="40">
        <f t="shared" si="31"/>
        <v>406</v>
      </c>
      <c r="B412" s="199"/>
      <c r="C412" s="199"/>
      <c r="D412" s="199"/>
      <c r="E412" s="199"/>
      <c r="F412" s="199"/>
      <c r="G412" s="199"/>
      <c r="H412" s="199"/>
      <c r="I412" s="199"/>
      <c r="J412" s="204" t="s">
        <v>4307</v>
      </c>
      <c r="K412" s="204" t="s">
        <v>132</v>
      </c>
      <c r="L412" s="204" t="s">
        <v>4308</v>
      </c>
      <c r="M412" s="351" t="s">
        <v>4309</v>
      </c>
      <c r="N412" s="40" t="s">
        <v>504</v>
      </c>
      <c r="O412" s="40"/>
      <c r="P412" s="40"/>
      <c r="Q412" s="40" t="s">
        <v>6</v>
      </c>
      <c r="R412" s="40" t="s">
        <v>6</v>
      </c>
      <c r="S412" s="40" t="s">
        <v>6</v>
      </c>
      <c r="T412" s="40"/>
      <c r="U412" s="215"/>
      <c r="V412" s="209"/>
      <c r="W412" s="204" t="s">
        <v>133</v>
      </c>
      <c r="X412" s="199"/>
      <c r="Y412" s="199"/>
      <c r="Z412" s="126" t="s">
        <v>6</v>
      </c>
      <c r="AA412" s="126" t="s">
        <v>6</v>
      </c>
      <c r="AB412" s="198"/>
      <c r="AC412" s="199"/>
      <c r="AD412" s="199" t="s">
        <v>881</v>
      </c>
      <c r="AE412" s="204" t="s">
        <v>133</v>
      </c>
      <c r="AF412" s="199"/>
      <c r="AG412" s="199"/>
      <c r="AH412" s="126" t="s">
        <v>6</v>
      </c>
      <c r="AI412" s="126" t="s">
        <v>6</v>
      </c>
      <c r="AJ412" s="198"/>
      <c r="AK412" s="199"/>
      <c r="AL412" s="199" t="s">
        <v>881</v>
      </c>
      <c r="AM412" s="198" t="s">
        <v>1045</v>
      </c>
      <c r="AN412" s="199"/>
      <c r="AO412" s="199"/>
      <c r="AP412" s="199"/>
      <c r="AQ412" s="199"/>
      <c r="AR412" s="199"/>
      <c r="AS412" s="199"/>
      <c r="AT412" s="199"/>
      <c r="AU412" s="199"/>
      <c r="AV412" s="199"/>
      <c r="AW412" s="155"/>
    </row>
    <row r="413" spans="1:49" s="246" customFormat="1" ht="15">
      <c r="A413" s="40">
        <f t="shared" si="31"/>
        <v>407</v>
      </c>
      <c r="B413" s="198"/>
      <c r="C413" s="198"/>
      <c r="D413" s="198"/>
      <c r="E413" s="198"/>
      <c r="F413" s="198"/>
      <c r="G413" s="198"/>
      <c r="H413" s="198"/>
      <c r="I413" s="198"/>
      <c r="J413" s="204" t="s">
        <v>4310</v>
      </c>
      <c r="K413" s="204" t="s">
        <v>132</v>
      </c>
      <c r="L413" s="204" t="s">
        <v>4311</v>
      </c>
      <c r="M413" s="351" t="s">
        <v>3919</v>
      </c>
      <c r="N413" s="40" t="s">
        <v>504</v>
      </c>
      <c r="O413" s="40"/>
      <c r="P413" s="40"/>
      <c r="Q413" s="40" t="s">
        <v>6</v>
      </c>
      <c r="R413" s="40" t="s">
        <v>6</v>
      </c>
      <c r="S413" s="40" t="s">
        <v>6</v>
      </c>
      <c r="T413" s="40"/>
      <c r="U413" s="215"/>
      <c r="V413" s="209"/>
      <c r="W413" s="204" t="s">
        <v>133</v>
      </c>
      <c r="X413" s="198"/>
      <c r="Y413" s="198"/>
      <c r="Z413" s="40" t="s">
        <v>6</v>
      </c>
      <c r="AA413" s="40" t="s">
        <v>6</v>
      </c>
      <c r="AB413" s="198"/>
      <c r="AC413" s="198"/>
      <c r="AD413" s="198"/>
      <c r="AE413" s="204" t="s">
        <v>133</v>
      </c>
      <c r="AF413" s="198"/>
      <c r="AG413" s="198"/>
      <c r="AH413" s="40" t="s">
        <v>6</v>
      </c>
      <c r="AI413" s="40" t="s">
        <v>6</v>
      </c>
      <c r="AJ413" s="198"/>
      <c r="AK413" s="198"/>
      <c r="AL413" s="198"/>
      <c r="AM413" s="198"/>
      <c r="AN413" s="203"/>
      <c r="AO413" s="198"/>
      <c r="AP413" s="198"/>
      <c r="AQ413" s="198"/>
      <c r="AR413" s="198"/>
      <c r="AS413" s="198"/>
      <c r="AT413" s="198"/>
      <c r="AU413" s="198"/>
      <c r="AV413" s="198"/>
      <c r="AW413" s="155"/>
    </row>
    <row r="414" spans="1:49" s="236" customFormat="1" ht="26.4">
      <c r="A414" s="40">
        <f t="shared" si="31"/>
        <v>408</v>
      </c>
      <c r="B414" s="199"/>
      <c r="C414" s="199"/>
      <c r="D414" s="199"/>
      <c r="E414" s="199"/>
      <c r="F414" s="199"/>
      <c r="G414" s="199"/>
      <c r="H414" s="199"/>
      <c r="I414" s="199"/>
      <c r="J414" s="412" t="s">
        <v>4312</v>
      </c>
      <c r="K414" s="232" t="s">
        <v>117</v>
      </c>
      <c r="L414" s="204" t="s">
        <v>4313</v>
      </c>
      <c r="M414" s="351"/>
      <c r="N414" s="40" t="s">
        <v>504</v>
      </c>
      <c r="O414" s="40"/>
      <c r="P414" s="40"/>
      <c r="Q414" s="40"/>
      <c r="R414" s="40" t="s">
        <v>6</v>
      </c>
      <c r="S414" s="40" t="s">
        <v>6</v>
      </c>
      <c r="T414" s="40"/>
      <c r="U414" s="218" t="s">
        <v>4066</v>
      </c>
      <c r="V414" s="204"/>
      <c r="W414" s="204" t="s">
        <v>125</v>
      </c>
      <c r="X414" s="40"/>
      <c r="Y414" s="40"/>
      <c r="Z414" s="40"/>
      <c r="AA414" s="126" t="s">
        <v>6</v>
      </c>
      <c r="AB414" s="198"/>
      <c r="AC414" s="199"/>
      <c r="AD414" s="412" t="s">
        <v>4314</v>
      </c>
      <c r="AE414" s="204" t="s">
        <v>125</v>
      </c>
      <c r="AF414" s="40"/>
      <c r="AG414" s="40"/>
      <c r="AH414" s="40"/>
      <c r="AI414" s="126" t="s">
        <v>6</v>
      </c>
      <c r="AJ414" s="198"/>
      <c r="AK414" s="199"/>
      <c r="AL414" s="412" t="s">
        <v>4314</v>
      </c>
      <c r="AM414" s="199"/>
      <c r="AN414" s="202"/>
      <c r="AO414" s="199"/>
      <c r="AP414" s="199"/>
      <c r="AQ414" s="199"/>
      <c r="AR414" s="199"/>
      <c r="AS414" s="199"/>
      <c r="AT414" s="199"/>
      <c r="AU414" s="199"/>
      <c r="AV414" s="199"/>
      <c r="AW414" s="155"/>
    </row>
    <row r="415" spans="1:49" s="236" customFormat="1" ht="26.4">
      <c r="A415" s="40">
        <f t="shared" si="31"/>
        <v>409</v>
      </c>
      <c r="B415" s="199"/>
      <c r="C415" s="199"/>
      <c r="D415" s="199"/>
      <c r="E415" s="199"/>
      <c r="F415" s="199"/>
      <c r="G415" s="199"/>
      <c r="H415" s="199"/>
      <c r="I415" s="199"/>
      <c r="J415" s="412" t="s">
        <v>4315</v>
      </c>
      <c r="K415" s="232" t="s">
        <v>117</v>
      </c>
      <c r="L415" s="204" t="s">
        <v>4316</v>
      </c>
      <c r="M415" s="351"/>
      <c r="N415" s="40" t="s">
        <v>504</v>
      </c>
      <c r="O415" s="40"/>
      <c r="P415" s="40"/>
      <c r="Q415" s="40"/>
      <c r="R415" s="40" t="s">
        <v>6</v>
      </c>
      <c r="S415" s="40" t="s">
        <v>6</v>
      </c>
      <c r="T415" s="40"/>
      <c r="U415" s="218" t="s">
        <v>4066</v>
      </c>
      <c r="V415" s="204"/>
      <c r="W415" s="204" t="s">
        <v>125</v>
      </c>
      <c r="X415" s="40"/>
      <c r="Y415" s="40"/>
      <c r="Z415" s="40"/>
      <c r="AA415" s="126" t="s">
        <v>6</v>
      </c>
      <c r="AB415" s="198"/>
      <c r="AC415" s="199"/>
      <c r="AD415" s="412" t="s">
        <v>4314</v>
      </c>
      <c r="AE415" s="204" t="s">
        <v>125</v>
      </c>
      <c r="AF415" s="40"/>
      <c r="AG415" s="40"/>
      <c r="AH415" s="40"/>
      <c r="AI415" s="126" t="s">
        <v>6</v>
      </c>
      <c r="AJ415" s="198"/>
      <c r="AK415" s="199"/>
      <c r="AL415" s="412" t="s">
        <v>4314</v>
      </c>
      <c r="AM415" s="199"/>
      <c r="AN415" s="202"/>
      <c r="AO415" s="199"/>
      <c r="AP415" s="199"/>
      <c r="AQ415" s="199"/>
      <c r="AR415" s="199"/>
      <c r="AS415" s="199"/>
      <c r="AT415" s="199"/>
      <c r="AU415" s="199"/>
      <c r="AV415" s="199"/>
      <c r="AW415" s="155"/>
    </row>
    <row r="416" spans="1:49" s="236" customFormat="1" ht="26.4">
      <c r="A416" s="40">
        <f t="shared" si="31"/>
        <v>410</v>
      </c>
      <c r="B416" s="199"/>
      <c r="C416" s="199"/>
      <c r="D416" s="199"/>
      <c r="E416" s="199"/>
      <c r="F416" s="199"/>
      <c r="G416" s="199"/>
      <c r="H416" s="199"/>
      <c r="I416" s="199"/>
      <c r="J416" s="412" t="s">
        <v>4317</v>
      </c>
      <c r="K416" s="232" t="s">
        <v>117</v>
      </c>
      <c r="L416" s="204" t="s">
        <v>4318</v>
      </c>
      <c r="M416" s="351"/>
      <c r="N416" s="40" t="s">
        <v>504</v>
      </c>
      <c r="O416" s="40"/>
      <c r="P416" s="40"/>
      <c r="Q416" s="40"/>
      <c r="R416" s="40" t="s">
        <v>6</v>
      </c>
      <c r="S416" s="40" t="s">
        <v>6</v>
      </c>
      <c r="T416" s="40"/>
      <c r="U416" s="218" t="s">
        <v>4066</v>
      </c>
      <c r="V416" s="204"/>
      <c r="W416" s="204" t="s">
        <v>125</v>
      </c>
      <c r="X416" s="40"/>
      <c r="Y416" s="40"/>
      <c r="Z416" s="40"/>
      <c r="AA416" s="126" t="s">
        <v>6</v>
      </c>
      <c r="AB416" s="198"/>
      <c r="AC416" s="199"/>
      <c r="AD416" s="412" t="s">
        <v>4314</v>
      </c>
      <c r="AE416" s="204" t="s">
        <v>125</v>
      </c>
      <c r="AF416" s="40"/>
      <c r="AG416" s="40"/>
      <c r="AH416" s="40"/>
      <c r="AI416" s="126" t="s">
        <v>6</v>
      </c>
      <c r="AJ416" s="198"/>
      <c r="AK416" s="199"/>
      <c r="AL416" s="412" t="s">
        <v>4314</v>
      </c>
      <c r="AM416" s="199"/>
      <c r="AN416" s="202"/>
      <c r="AO416" s="199"/>
      <c r="AP416" s="199"/>
      <c r="AQ416" s="199"/>
      <c r="AR416" s="199"/>
      <c r="AS416" s="199"/>
      <c r="AT416" s="199"/>
      <c r="AU416" s="199"/>
      <c r="AV416" s="199"/>
      <c r="AW416" s="155"/>
    </row>
    <row r="417" spans="1:49" s="236" customFormat="1" ht="39.6">
      <c r="A417" s="40">
        <f t="shared" si="31"/>
        <v>411</v>
      </c>
      <c r="B417" s="199"/>
      <c r="C417" s="199"/>
      <c r="D417" s="199"/>
      <c r="E417" s="199"/>
      <c r="F417" s="199"/>
      <c r="G417" s="199"/>
      <c r="H417" s="199"/>
      <c r="I417" s="199"/>
      <c r="J417" s="412" t="s">
        <v>4319</v>
      </c>
      <c r="K417" s="232" t="s">
        <v>117</v>
      </c>
      <c r="L417" s="204" t="s">
        <v>4320</v>
      </c>
      <c r="M417" s="351"/>
      <c r="N417" s="40" t="s">
        <v>504</v>
      </c>
      <c r="O417" s="40"/>
      <c r="P417" s="40"/>
      <c r="Q417" s="40" t="s">
        <v>6</v>
      </c>
      <c r="R417" s="40" t="s">
        <v>6</v>
      </c>
      <c r="S417" s="40" t="s">
        <v>6</v>
      </c>
      <c r="T417" s="40"/>
      <c r="U417" s="204"/>
      <c r="V417" s="204"/>
      <c r="W417" s="232" t="s">
        <v>133</v>
      </c>
      <c r="X417" s="40"/>
      <c r="Y417" s="40"/>
      <c r="Z417" s="126" t="s">
        <v>6</v>
      </c>
      <c r="AA417" s="126" t="s">
        <v>6</v>
      </c>
      <c r="AB417" s="215"/>
      <c r="AC417" s="199"/>
      <c r="AD417" s="199"/>
      <c r="AE417" s="232" t="s">
        <v>133</v>
      </c>
      <c r="AF417" s="40"/>
      <c r="AG417" s="40"/>
      <c r="AH417" s="126" t="s">
        <v>6</v>
      </c>
      <c r="AI417" s="126" t="s">
        <v>6</v>
      </c>
      <c r="AJ417" s="215" t="s">
        <v>4321</v>
      </c>
      <c r="AK417" s="199"/>
      <c r="AL417" s="199"/>
      <c r="AM417" s="199"/>
      <c r="AN417" s="199"/>
      <c r="AO417" s="199"/>
      <c r="AP417" s="199"/>
      <c r="AQ417" s="199"/>
      <c r="AR417" s="199"/>
      <c r="AS417" s="199"/>
      <c r="AT417" s="199"/>
      <c r="AU417" s="199"/>
      <c r="AV417" s="199"/>
      <c r="AW417" s="155"/>
    </row>
    <row r="418" spans="1:49" s="236" customFormat="1" ht="26.4">
      <c r="A418" s="40">
        <f t="shared" si="31"/>
        <v>412</v>
      </c>
      <c r="B418" s="199"/>
      <c r="C418" s="199"/>
      <c r="D418" s="199"/>
      <c r="E418" s="199"/>
      <c r="F418" s="199"/>
      <c r="G418" s="199"/>
      <c r="H418" s="199"/>
      <c r="I418" s="199"/>
      <c r="J418" s="412" t="s">
        <v>4322</v>
      </c>
      <c r="K418" s="232" t="s">
        <v>117</v>
      </c>
      <c r="L418" s="204" t="s">
        <v>4323</v>
      </c>
      <c r="M418" s="351"/>
      <c r="N418" s="40" t="s">
        <v>504</v>
      </c>
      <c r="O418" s="40"/>
      <c r="P418" s="40"/>
      <c r="Q418" s="40"/>
      <c r="R418" s="40" t="s">
        <v>6</v>
      </c>
      <c r="S418" s="40" t="s">
        <v>6</v>
      </c>
      <c r="T418" s="40"/>
      <c r="U418" s="218" t="s">
        <v>4066</v>
      </c>
      <c r="V418" s="204"/>
      <c r="W418" s="204" t="s">
        <v>125</v>
      </c>
      <c r="X418" s="40"/>
      <c r="Y418" s="40"/>
      <c r="Z418" s="40"/>
      <c r="AA418" s="126" t="s">
        <v>6</v>
      </c>
      <c r="AB418" s="198"/>
      <c r="AC418" s="199"/>
      <c r="AD418" s="412" t="s">
        <v>4324</v>
      </c>
      <c r="AE418" s="204" t="s">
        <v>125</v>
      </c>
      <c r="AF418" s="40"/>
      <c r="AG418" s="40"/>
      <c r="AH418" s="40"/>
      <c r="AI418" s="126" t="s">
        <v>6</v>
      </c>
      <c r="AJ418" s="198"/>
      <c r="AK418" s="199"/>
      <c r="AL418" s="412" t="s">
        <v>4324</v>
      </c>
      <c r="AM418" s="199"/>
      <c r="AN418" s="202"/>
      <c r="AO418" s="199"/>
      <c r="AP418" s="199"/>
      <c r="AQ418" s="199"/>
      <c r="AR418" s="199"/>
      <c r="AS418" s="199"/>
      <c r="AT418" s="199"/>
      <c r="AU418" s="199"/>
      <c r="AV418" s="199"/>
      <c r="AW418" s="155"/>
    </row>
    <row r="419" spans="1:49" s="236" customFormat="1" ht="26.4">
      <c r="A419" s="40">
        <f t="shared" si="31"/>
        <v>413</v>
      </c>
      <c r="B419" s="199"/>
      <c r="C419" s="199"/>
      <c r="D419" s="199"/>
      <c r="E419" s="199"/>
      <c r="F419" s="199"/>
      <c r="G419" s="199"/>
      <c r="H419" s="199"/>
      <c r="I419" s="199"/>
      <c r="J419" s="412" t="s">
        <v>4325</v>
      </c>
      <c r="K419" s="232" t="s">
        <v>117</v>
      </c>
      <c r="L419" s="204" t="s">
        <v>4326</v>
      </c>
      <c r="M419" s="351"/>
      <c r="N419" s="40" t="s">
        <v>504</v>
      </c>
      <c r="O419" s="40"/>
      <c r="P419" s="40"/>
      <c r="Q419" s="40"/>
      <c r="R419" s="40" t="s">
        <v>6</v>
      </c>
      <c r="S419" s="40" t="s">
        <v>6</v>
      </c>
      <c r="T419" s="40"/>
      <c r="U419" s="218" t="s">
        <v>4066</v>
      </c>
      <c r="V419" s="204"/>
      <c r="W419" s="204" t="s">
        <v>125</v>
      </c>
      <c r="X419" s="40"/>
      <c r="Y419" s="40"/>
      <c r="Z419" s="40"/>
      <c r="AA419" s="126" t="s">
        <v>6</v>
      </c>
      <c r="AB419" s="198"/>
      <c r="AC419" s="199"/>
      <c r="AD419" s="412" t="s">
        <v>4324</v>
      </c>
      <c r="AE419" s="204" t="s">
        <v>125</v>
      </c>
      <c r="AF419" s="40"/>
      <c r="AG419" s="40"/>
      <c r="AH419" s="40"/>
      <c r="AI419" s="126" t="s">
        <v>6</v>
      </c>
      <c r="AJ419" s="198"/>
      <c r="AK419" s="199"/>
      <c r="AL419" s="412" t="s">
        <v>4324</v>
      </c>
      <c r="AM419" s="199"/>
      <c r="AN419" s="202"/>
      <c r="AO419" s="199"/>
      <c r="AP419" s="199"/>
      <c r="AQ419" s="199"/>
      <c r="AR419" s="199"/>
      <c r="AS419" s="199"/>
      <c r="AT419" s="199"/>
      <c r="AU419" s="199"/>
      <c r="AV419" s="199"/>
      <c r="AW419" s="155"/>
    </row>
    <row r="420" spans="1:49" s="236" customFormat="1" ht="26.4">
      <c r="A420" s="40">
        <f t="shared" si="31"/>
        <v>414</v>
      </c>
      <c r="B420" s="199"/>
      <c r="C420" s="199"/>
      <c r="D420" s="199"/>
      <c r="E420" s="199"/>
      <c r="F420" s="199"/>
      <c r="G420" s="199"/>
      <c r="H420" s="199"/>
      <c r="I420" s="199"/>
      <c r="J420" s="412" t="s">
        <v>4327</v>
      </c>
      <c r="K420" s="232" t="s">
        <v>117</v>
      </c>
      <c r="L420" s="204" t="s">
        <v>4328</v>
      </c>
      <c r="M420" s="351"/>
      <c r="N420" s="40" t="s">
        <v>504</v>
      </c>
      <c r="O420" s="40"/>
      <c r="P420" s="40"/>
      <c r="Q420" s="40"/>
      <c r="R420" s="40" t="s">
        <v>6</v>
      </c>
      <c r="S420" s="40" t="s">
        <v>6</v>
      </c>
      <c r="T420" s="40"/>
      <c r="U420" s="218" t="s">
        <v>4066</v>
      </c>
      <c r="V420" s="204"/>
      <c r="W420" s="204" t="s">
        <v>125</v>
      </c>
      <c r="X420" s="40"/>
      <c r="Y420" s="40"/>
      <c r="Z420" s="40"/>
      <c r="AA420" s="126" t="s">
        <v>6</v>
      </c>
      <c r="AB420" s="198"/>
      <c r="AC420" s="199"/>
      <c r="AD420" s="412" t="s">
        <v>4324</v>
      </c>
      <c r="AE420" s="204" t="s">
        <v>125</v>
      </c>
      <c r="AF420" s="40"/>
      <c r="AG420" s="40"/>
      <c r="AH420" s="40"/>
      <c r="AI420" s="126" t="s">
        <v>6</v>
      </c>
      <c r="AJ420" s="198"/>
      <c r="AK420" s="199"/>
      <c r="AL420" s="412" t="s">
        <v>4324</v>
      </c>
      <c r="AM420" s="199"/>
      <c r="AN420" s="202"/>
      <c r="AO420" s="199"/>
      <c r="AP420" s="199"/>
      <c r="AQ420" s="199"/>
      <c r="AR420" s="199"/>
      <c r="AS420" s="199"/>
      <c r="AT420" s="199"/>
      <c r="AU420" s="199"/>
      <c r="AV420" s="199"/>
      <c r="AW420" s="155"/>
    </row>
    <row r="421" spans="1:49" s="236" customFormat="1" ht="39.6">
      <c r="A421" s="40">
        <f t="shared" si="31"/>
        <v>415</v>
      </c>
      <c r="B421" s="199"/>
      <c r="C421" s="199"/>
      <c r="D421" s="199"/>
      <c r="E421" s="199"/>
      <c r="F421" s="199"/>
      <c r="G421" s="199"/>
      <c r="H421" s="199"/>
      <c r="I421" s="199"/>
      <c r="J421" s="412" t="s">
        <v>4329</v>
      </c>
      <c r="K421" s="232" t="s">
        <v>117</v>
      </c>
      <c r="L421" s="204" t="s">
        <v>4330</v>
      </c>
      <c r="M421" s="351"/>
      <c r="N421" s="40" t="s">
        <v>504</v>
      </c>
      <c r="O421" s="40"/>
      <c r="P421" s="40"/>
      <c r="Q421" s="40" t="s">
        <v>6</v>
      </c>
      <c r="R421" s="40" t="s">
        <v>6</v>
      </c>
      <c r="S421" s="40" t="s">
        <v>6</v>
      </c>
      <c r="T421" s="40"/>
      <c r="U421" s="204"/>
      <c r="V421" s="204"/>
      <c r="W421" s="232" t="s">
        <v>133</v>
      </c>
      <c r="X421" s="40"/>
      <c r="Y421" s="40"/>
      <c r="Z421" s="126" t="s">
        <v>6</v>
      </c>
      <c r="AA421" s="126" t="s">
        <v>6</v>
      </c>
      <c r="AB421" s="215"/>
      <c r="AC421" s="199"/>
      <c r="AD421" s="199"/>
      <c r="AE421" s="232" t="s">
        <v>133</v>
      </c>
      <c r="AF421" s="40"/>
      <c r="AG421" s="40"/>
      <c r="AH421" s="126" t="s">
        <v>6</v>
      </c>
      <c r="AI421" s="126" t="s">
        <v>6</v>
      </c>
      <c r="AJ421" s="215" t="s">
        <v>4331</v>
      </c>
      <c r="AK421" s="199"/>
      <c r="AL421" s="199"/>
      <c r="AM421" s="199"/>
      <c r="AN421" s="199"/>
      <c r="AO421" s="199"/>
      <c r="AP421" s="199"/>
      <c r="AQ421" s="199"/>
      <c r="AR421" s="199"/>
      <c r="AS421" s="199"/>
      <c r="AT421" s="199"/>
      <c r="AU421" s="199"/>
      <c r="AV421" s="199"/>
      <c r="AW421" s="155"/>
    </row>
    <row r="422" spans="1:49" s="236" customFormat="1" ht="26.4">
      <c r="A422" s="40">
        <f t="shared" si="31"/>
        <v>416</v>
      </c>
      <c r="B422" s="199"/>
      <c r="C422" s="199"/>
      <c r="D422" s="199"/>
      <c r="E422" s="199"/>
      <c r="F422" s="199"/>
      <c r="G422" s="199"/>
      <c r="H422" s="199"/>
      <c r="I422" s="199"/>
      <c r="J422" s="412" t="s">
        <v>4332</v>
      </c>
      <c r="K422" s="232" t="s">
        <v>117</v>
      </c>
      <c r="L422" s="204" t="s">
        <v>4333</v>
      </c>
      <c r="M422" s="351"/>
      <c r="N422" s="40" t="s">
        <v>504</v>
      </c>
      <c r="O422" s="40"/>
      <c r="P422" s="40"/>
      <c r="Q422" s="40"/>
      <c r="R422" s="40" t="s">
        <v>6</v>
      </c>
      <c r="S422" s="40" t="s">
        <v>6</v>
      </c>
      <c r="T422" s="40"/>
      <c r="U422" s="218" t="s">
        <v>4066</v>
      </c>
      <c r="V422" s="204"/>
      <c r="W422" s="204" t="s">
        <v>125</v>
      </c>
      <c r="X422" s="40"/>
      <c r="Y422" s="40"/>
      <c r="Z422" s="40"/>
      <c r="AA422" s="126" t="s">
        <v>6</v>
      </c>
      <c r="AB422" s="198"/>
      <c r="AC422" s="199"/>
      <c r="AD422" s="412" t="s">
        <v>4334</v>
      </c>
      <c r="AE422" s="204" t="s">
        <v>125</v>
      </c>
      <c r="AF422" s="40"/>
      <c r="AG422" s="40"/>
      <c r="AH422" s="40"/>
      <c r="AI422" s="126" t="s">
        <v>6</v>
      </c>
      <c r="AJ422" s="198"/>
      <c r="AK422" s="199"/>
      <c r="AL422" s="412" t="s">
        <v>4334</v>
      </c>
      <c r="AM422" s="199"/>
      <c r="AN422" s="202"/>
      <c r="AO422" s="199"/>
      <c r="AP422" s="199"/>
      <c r="AQ422" s="199"/>
      <c r="AR422" s="199"/>
      <c r="AS422" s="199"/>
      <c r="AT422" s="199"/>
      <c r="AU422" s="199"/>
      <c r="AV422" s="199"/>
      <c r="AW422" s="155"/>
    </row>
    <row r="423" spans="1:49" s="236" customFormat="1" ht="26.4">
      <c r="A423" s="40">
        <f t="shared" si="31"/>
        <v>417</v>
      </c>
      <c r="B423" s="199"/>
      <c r="C423" s="199"/>
      <c r="D423" s="199"/>
      <c r="E423" s="199"/>
      <c r="F423" s="199"/>
      <c r="G423" s="199"/>
      <c r="H423" s="199"/>
      <c r="I423" s="199"/>
      <c r="J423" s="412" t="s">
        <v>4335</v>
      </c>
      <c r="K423" s="232" t="s">
        <v>117</v>
      </c>
      <c r="L423" s="204" t="s">
        <v>4336</v>
      </c>
      <c r="M423" s="351"/>
      <c r="N423" s="40" t="s">
        <v>504</v>
      </c>
      <c r="O423" s="40"/>
      <c r="P423" s="40"/>
      <c r="Q423" s="40"/>
      <c r="R423" s="40" t="s">
        <v>6</v>
      </c>
      <c r="S423" s="40" t="s">
        <v>6</v>
      </c>
      <c r="T423" s="40"/>
      <c r="U423" s="218" t="s">
        <v>4066</v>
      </c>
      <c r="V423" s="204"/>
      <c r="W423" s="204" t="s">
        <v>125</v>
      </c>
      <c r="X423" s="40"/>
      <c r="Y423" s="40"/>
      <c r="Z423" s="40"/>
      <c r="AA423" s="126" t="s">
        <v>6</v>
      </c>
      <c r="AB423" s="198"/>
      <c r="AC423" s="199"/>
      <c r="AD423" s="412" t="s">
        <v>4334</v>
      </c>
      <c r="AE423" s="204" t="s">
        <v>125</v>
      </c>
      <c r="AF423" s="40"/>
      <c r="AG423" s="40"/>
      <c r="AH423" s="40"/>
      <c r="AI423" s="126" t="s">
        <v>6</v>
      </c>
      <c r="AJ423" s="198"/>
      <c r="AK423" s="199"/>
      <c r="AL423" s="412" t="s">
        <v>4334</v>
      </c>
      <c r="AM423" s="199"/>
      <c r="AN423" s="202"/>
      <c r="AO423" s="199"/>
      <c r="AP423" s="199"/>
      <c r="AQ423" s="199"/>
      <c r="AR423" s="199"/>
      <c r="AS423" s="199"/>
      <c r="AT423" s="199"/>
      <c r="AU423" s="199"/>
      <c r="AV423" s="199"/>
      <c r="AW423" s="155"/>
    </row>
    <row r="424" spans="1:49" s="236" customFormat="1" ht="26.4">
      <c r="A424" s="40">
        <f t="shared" si="31"/>
        <v>418</v>
      </c>
      <c r="B424" s="199"/>
      <c r="C424" s="199"/>
      <c r="D424" s="199"/>
      <c r="E424" s="199"/>
      <c r="F424" s="199"/>
      <c r="G424" s="199"/>
      <c r="H424" s="199"/>
      <c r="I424" s="199"/>
      <c r="J424" s="412" t="s">
        <v>4337</v>
      </c>
      <c r="K424" s="232" t="s">
        <v>117</v>
      </c>
      <c r="L424" s="204" t="s">
        <v>4338</v>
      </c>
      <c r="M424" s="351"/>
      <c r="N424" s="40" t="s">
        <v>504</v>
      </c>
      <c r="O424" s="40"/>
      <c r="P424" s="40"/>
      <c r="Q424" s="40"/>
      <c r="R424" s="40" t="s">
        <v>6</v>
      </c>
      <c r="S424" s="40" t="s">
        <v>6</v>
      </c>
      <c r="T424" s="40"/>
      <c r="U424" s="218" t="s">
        <v>4066</v>
      </c>
      <c r="V424" s="204"/>
      <c r="W424" s="204" t="s">
        <v>125</v>
      </c>
      <c r="X424" s="40"/>
      <c r="Y424" s="40"/>
      <c r="Z424" s="40"/>
      <c r="AA424" s="126" t="s">
        <v>6</v>
      </c>
      <c r="AB424" s="198"/>
      <c r="AC424" s="199"/>
      <c r="AD424" s="412" t="s">
        <v>4334</v>
      </c>
      <c r="AE424" s="204" t="s">
        <v>125</v>
      </c>
      <c r="AF424" s="40"/>
      <c r="AG424" s="40"/>
      <c r="AH424" s="40"/>
      <c r="AI424" s="126" t="s">
        <v>6</v>
      </c>
      <c r="AJ424" s="198"/>
      <c r="AK424" s="199"/>
      <c r="AL424" s="412" t="s">
        <v>4334</v>
      </c>
      <c r="AM424" s="199"/>
      <c r="AN424" s="202"/>
      <c r="AO424" s="199"/>
      <c r="AP424" s="199"/>
      <c r="AQ424" s="199"/>
      <c r="AR424" s="199"/>
      <c r="AS424" s="199"/>
      <c r="AT424" s="199"/>
      <c r="AU424" s="199"/>
      <c r="AV424" s="199"/>
      <c r="AW424" s="155"/>
    </row>
    <row r="425" spans="1:49" s="236" customFormat="1" ht="39.6">
      <c r="A425" s="40">
        <f t="shared" si="31"/>
        <v>419</v>
      </c>
      <c r="B425" s="199"/>
      <c r="C425" s="199"/>
      <c r="D425" s="199"/>
      <c r="E425" s="199"/>
      <c r="F425" s="199"/>
      <c r="G425" s="199"/>
      <c r="H425" s="199"/>
      <c r="I425" s="199"/>
      <c r="J425" s="412" t="s">
        <v>4339</v>
      </c>
      <c r="K425" s="232" t="s">
        <v>117</v>
      </c>
      <c r="L425" s="204" t="s">
        <v>4340</v>
      </c>
      <c r="M425" s="351"/>
      <c r="N425" s="40" t="s">
        <v>504</v>
      </c>
      <c r="O425" s="40"/>
      <c r="P425" s="40"/>
      <c r="Q425" s="40" t="s">
        <v>6</v>
      </c>
      <c r="R425" s="40" t="s">
        <v>6</v>
      </c>
      <c r="S425" s="40" t="s">
        <v>6</v>
      </c>
      <c r="T425" s="40"/>
      <c r="U425" s="204"/>
      <c r="V425" s="204"/>
      <c r="W425" s="232" t="s">
        <v>133</v>
      </c>
      <c r="X425" s="40"/>
      <c r="Y425" s="40"/>
      <c r="Z425" s="126" t="s">
        <v>6</v>
      </c>
      <c r="AA425" s="126" t="s">
        <v>6</v>
      </c>
      <c r="AB425" s="215"/>
      <c r="AC425" s="199"/>
      <c r="AD425" s="199"/>
      <c r="AE425" s="232" t="s">
        <v>133</v>
      </c>
      <c r="AF425" s="40"/>
      <c r="AG425" s="40"/>
      <c r="AH425" s="126" t="s">
        <v>6</v>
      </c>
      <c r="AI425" s="126" t="s">
        <v>6</v>
      </c>
      <c r="AJ425" s="215" t="s">
        <v>4341</v>
      </c>
      <c r="AK425" s="199"/>
      <c r="AL425" s="199"/>
      <c r="AM425" s="199"/>
      <c r="AN425" s="199"/>
      <c r="AO425" s="199"/>
      <c r="AP425" s="199"/>
      <c r="AQ425" s="199"/>
      <c r="AR425" s="199"/>
      <c r="AS425" s="199"/>
      <c r="AT425" s="199"/>
      <c r="AU425" s="199"/>
      <c r="AV425" s="199"/>
      <c r="AW425" s="155"/>
    </row>
    <row r="426" spans="1:49" s="236" customFormat="1" ht="26.4">
      <c r="A426" s="40">
        <f t="shared" si="31"/>
        <v>420</v>
      </c>
      <c r="B426" s="199"/>
      <c r="C426" s="199"/>
      <c r="D426" s="199"/>
      <c r="E426" s="199"/>
      <c r="F426" s="199"/>
      <c r="G426" s="199"/>
      <c r="H426" s="199"/>
      <c r="I426" s="199"/>
      <c r="J426" s="412" t="s">
        <v>4342</v>
      </c>
      <c r="K426" s="232" t="s">
        <v>117</v>
      </c>
      <c r="L426" s="204" t="s">
        <v>4343</v>
      </c>
      <c r="M426" s="351"/>
      <c r="N426" s="40" t="s">
        <v>504</v>
      </c>
      <c r="O426" s="40"/>
      <c r="P426" s="40"/>
      <c r="Q426" s="40"/>
      <c r="R426" s="40" t="s">
        <v>6</v>
      </c>
      <c r="S426" s="40" t="s">
        <v>6</v>
      </c>
      <c r="T426" s="40"/>
      <c r="U426" s="218" t="s">
        <v>4066</v>
      </c>
      <c r="V426" s="204"/>
      <c r="W426" s="204" t="s">
        <v>125</v>
      </c>
      <c r="X426" s="40"/>
      <c r="Y426" s="40"/>
      <c r="Z426" s="40"/>
      <c r="AA426" s="126" t="s">
        <v>6</v>
      </c>
      <c r="AB426" s="198"/>
      <c r="AC426" s="199"/>
      <c r="AD426" s="412" t="s">
        <v>4344</v>
      </c>
      <c r="AE426" s="204" t="s">
        <v>125</v>
      </c>
      <c r="AF426" s="40"/>
      <c r="AG426" s="40"/>
      <c r="AH426" s="40"/>
      <c r="AI426" s="126" t="s">
        <v>6</v>
      </c>
      <c r="AJ426" s="198"/>
      <c r="AK426" s="199"/>
      <c r="AL426" s="412" t="s">
        <v>4344</v>
      </c>
      <c r="AM426" s="199"/>
      <c r="AN426" s="202"/>
      <c r="AO426" s="199"/>
      <c r="AP426" s="199"/>
      <c r="AQ426" s="199"/>
      <c r="AR426" s="199"/>
      <c r="AS426" s="199"/>
      <c r="AT426" s="199"/>
      <c r="AU426" s="199"/>
      <c r="AV426" s="199"/>
      <c r="AW426" s="155"/>
    </row>
    <row r="427" spans="1:49" s="236" customFormat="1" ht="26.4">
      <c r="A427" s="40">
        <f t="shared" si="31"/>
        <v>421</v>
      </c>
      <c r="B427" s="199"/>
      <c r="C427" s="199"/>
      <c r="D427" s="199"/>
      <c r="E427" s="199"/>
      <c r="F427" s="199"/>
      <c r="G427" s="199"/>
      <c r="H427" s="199"/>
      <c r="I427" s="199"/>
      <c r="J427" s="412" t="s">
        <v>4345</v>
      </c>
      <c r="K427" s="232" t="s">
        <v>117</v>
      </c>
      <c r="L427" s="204" t="s">
        <v>4346</v>
      </c>
      <c r="M427" s="351"/>
      <c r="N427" s="40" t="s">
        <v>504</v>
      </c>
      <c r="O427" s="40"/>
      <c r="P427" s="40"/>
      <c r="Q427" s="40"/>
      <c r="R427" s="40" t="s">
        <v>6</v>
      </c>
      <c r="S427" s="40" t="s">
        <v>6</v>
      </c>
      <c r="T427" s="40"/>
      <c r="U427" s="218" t="s">
        <v>4066</v>
      </c>
      <c r="V427" s="204"/>
      <c r="W427" s="204" t="s">
        <v>125</v>
      </c>
      <c r="X427" s="40"/>
      <c r="Y427" s="40"/>
      <c r="Z427" s="40"/>
      <c r="AA427" s="126" t="s">
        <v>6</v>
      </c>
      <c r="AB427" s="198"/>
      <c r="AC427" s="199"/>
      <c r="AD427" s="412" t="s">
        <v>4344</v>
      </c>
      <c r="AE427" s="204" t="s">
        <v>125</v>
      </c>
      <c r="AF427" s="40"/>
      <c r="AG427" s="40"/>
      <c r="AH427" s="40"/>
      <c r="AI427" s="126" t="s">
        <v>6</v>
      </c>
      <c r="AJ427" s="198"/>
      <c r="AK427" s="199"/>
      <c r="AL427" s="412" t="s">
        <v>4344</v>
      </c>
      <c r="AM427" s="199"/>
      <c r="AN427" s="202"/>
      <c r="AO427" s="199"/>
      <c r="AP427" s="199"/>
      <c r="AQ427" s="199"/>
      <c r="AR427" s="199"/>
      <c r="AS427" s="199"/>
      <c r="AT427" s="199"/>
      <c r="AU427" s="199"/>
      <c r="AV427" s="199"/>
      <c r="AW427" s="155"/>
    </row>
    <row r="428" spans="1:49" s="236" customFormat="1" ht="26.4">
      <c r="A428" s="40">
        <f t="shared" si="31"/>
        <v>422</v>
      </c>
      <c r="B428" s="199"/>
      <c r="C428" s="199"/>
      <c r="D428" s="199"/>
      <c r="E428" s="199"/>
      <c r="F428" s="199"/>
      <c r="G428" s="199"/>
      <c r="H428" s="199"/>
      <c r="I428" s="199"/>
      <c r="J428" s="412" t="s">
        <v>4347</v>
      </c>
      <c r="K428" s="232" t="s">
        <v>117</v>
      </c>
      <c r="L428" s="204" t="s">
        <v>4348</v>
      </c>
      <c r="M428" s="351"/>
      <c r="N428" s="40" t="s">
        <v>504</v>
      </c>
      <c r="O428" s="40"/>
      <c r="P428" s="40"/>
      <c r="Q428" s="40"/>
      <c r="R428" s="40" t="s">
        <v>6</v>
      </c>
      <c r="S428" s="40" t="s">
        <v>6</v>
      </c>
      <c r="T428" s="40"/>
      <c r="U428" s="218" t="s">
        <v>4066</v>
      </c>
      <c r="V428" s="204"/>
      <c r="W428" s="204" t="s">
        <v>125</v>
      </c>
      <c r="X428" s="40"/>
      <c r="Y428" s="40"/>
      <c r="Z428" s="40"/>
      <c r="AA428" s="126" t="s">
        <v>6</v>
      </c>
      <c r="AB428" s="198"/>
      <c r="AC428" s="199"/>
      <c r="AD428" s="412" t="s">
        <v>4344</v>
      </c>
      <c r="AE428" s="204" t="s">
        <v>125</v>
      </c>
      <c r="AF428" s="40"/>
      <c r="AG428" s="40"/>
      <c r="AH428" s="40"/>
      <c r="AI428" s="126" t="s">
        <v>6</v>
      </c>
      <c r="AJ428" s="198"/>
      <c r="AK428" s="199"/>
      <c r="AL428" s="412" t="s">
        <v>4344</v>
      </c>
      <c r="AM428" s="199"/>
      <c r="AN428" s="202"/>
      <c r="AO428" s="199"/>
      <c r="AP428" s="199"/>
      <c r="AQ428" s="199"/>
      <c r="AR428" s="199"/>
      <c r="AS428" s="199"/>
      <c r="AT428" s="199"/>
      <c r="AU428" s="199"/>
      <c r="AV428" s="199"/>
      <c r="AW428" s="155"/>
    </row>
    <row r="429" spans="1:49" s="236" customFormat="1" ht="39.6">
      <c r="A429" s="40">
        <f t="shared" si="31"/>
        <v>423</v>
      </c>
      <c r="B429" s="199"/>
      <c r="C429" s="199"/>
      <c r="D429" s="199"/>
      <c r="E429" s="199"/>
      <c r="F429" s="199"/>
      <c r="G429" s="199"/>
      <c r="H429" s="199"/>
      <c r="I429" s="199"/>
      <c r="J429" s="412" t="s">
        <v>4349</v>
      </c>
      <c r="K429" s="232" t="s">
        <v>117</v>
      </c>
      <c r="L429" s="204" t="s">
        <v>4350</v>
      </c>
      <c r="M429" s="351"/>
      <c r="N429" s="40" t="s">
        <v>504</v>
      </c>
      <c r="O429" s="40"/>
      <c r="P429" s="40"/>
      <c r="Q429" s="40" t="s">
        <v>6</v>
      </c>
      <c r="R429" s="40" t="s">
        <v>6</v>
      </c>
      <c r="S429" s="40" t="s">
        <v>6</v>
      </c>
      <c r="T429" s="40"/>
      <c r="U429" s="204"/>
      <c r="V429" s="204"/>
      <c r="W429" s="232" t="s">
        <v>133</v>
      </c>
      <c r="X429" s="40"/>
      <c r="Y429" s="40"/>
      <c r="Z429" s="126" t="s">
        <v>6</v>
      </c>
      <c r="AA429" s="126" t="s">
        <v>6</v>
      </c>
      <c r="AB429" s="215"/>
      <c r="AC429" s="199"/>
      <c r="AD429" s="199"/>
      <c r="AE429" s="232" t="s">
        <v>133</v>
      </c>
      <c r="AF429" s="40"/>
      <c r="AG429" s="40"/>
      <c r="AH429" s="126" t="s">
        <v>6</v>
      </c>
      <c r="AI429" s="126" t="s">
        <v>6</v>
      </c>
      <c r="AJ429" s="215" t="s">
        <v>4351</v>
      </c>
      <c r="AK429" s="199"/>
      <c r="AL429" s="199"/>
      <c r="AM429" s="199"/>
      <c r="AN429" s="199"/>
      <c r="AO429" s="199"/>
      <c r="AP429" s="199"/>
      <c r="AQ429" s="199"/>
      <c r="AR429" s="199"/>
      <c r="AS429" s="199"/>
      <c r="AT429" s="199"/>
      <c r="AU429" s="199"/>
      <c r="AV429" s="199"/>
      <c r="AW429" s="155"/>
    </row>
    <row r="430" spans="1:49" s="236" customFormat="1" ht="26.4">
      <c r="A430" s="40">
        <f t="shared" si="31"/>
        <v>424</v>
      </c>
      <c r="B430" s="199"/>
      <c r="C430" s="199"/>
      <c r="D430" s="199"/>
      <c r="E430" s="199"/>
      <c r="F430" s="199"/>
      <c r="G430" s="199"/>
      <c r="H430" s="199"/>
      <c r="I430" s="199"/>
      <c r="J430" s="412" t="s">
        <v>4352</v>
      </c>
      <c r="K430" s="232" t="s">
        <v>117</v>
      </c>
      <c r="L430" s="204" t="s">
        <v>4353</v>
      </c>
      <c r="M430" s="351"/>
      <c r="N430" s="40" t="s">
        <v>504</v>
      </c>
      <c r="O430" s="40"/>
      <c r="P430" s="40"/>
      <c r="Q430" s="40"/>
      <c r="R430" s="40" t="s">
        <v>6</v>
      </c>
      <c r="S430" s="40" t="s">
        <v>6</v>
      </c>
      <c r="T430" s="40"/>
      <c r="U430" s="218" t="s">
        <v>4066</v>
      </c>
      <c r="V430" s="204"/>
      <c r="W430" s="204" t="s">
        <v>125</v>
      </c>
      <c r="X430" s="40"/>
      <c r="Y430" s="40"/>
      <c r="Z430" s="40"/>
      <c r="AA430" s="126" t="s">
        <v>6</v>
      </c>
      <c r="AB430" s="198"/>
      <c r="AC430" s="199"/>
      <c r="AD430" s="412" t="s">
        <v>4354</v>
      </c>
      <c r="AE430" s="204" t="s">
        <v>125</v>
      </c>
      <c r="AF430" s="40"/>
      <c r="AG430" s="40"/>
      <c r="AH430" s="40"/>
      <c r="AI430" s="126" t="s">
        <v>6</v>
      </c>
      <c r="AJ430" s="198"/>
      <c r="AK430" s="199"/>
      <c r="AL430" s="412" t="s">
        <v>4354</v>
      </c>
      <c r="AM430" s="199"/>
      <c r="AN430" s="202"/>
      <c r="AO430" s="199"/>
      <c r="AP430" s="199"/>
      <c r="AQ430" s="199"/>
      <c r="AR430" s="199"/>
      <c r="AS430" s="199"/>
      <c r="AT430" s="199"/>
      <c r="AU430" s="199"/>
      <c r="AV430" s="199"/>
      <c r="AW430" s="155"/>
    </row>
    <row r="431" spans="1:49" s="236" customFormat="1" ht="26.4">
      <c r="A431" s="40">
        <f t="shared" si="31"/>
        <v>425</v>
      </c>
      <c r="B431" s="199"/>
      <c r="C431" s="199"/>
      <c r="D431" s="199"/>
      <c r="E431" s="199"/>
      <c r="F431" s="199"/>
      <c r="G431" s="199"/>
      <c r="H431" s="199"/>
      <c r="I431" s="199"/>
      <c r="J431" s="412" t="s">
        <v>4355</v>
      </c>
      <c r="K431" s="232" t="s">
        <v>117</v>
      </c>
      <c r="L431" s="204" t="s">
        <v>4356</v>
      </c>
      <c r="M431" s="351"/>
      <c r="N431" s="40" t="s">
        <v>504</v>
      </c>
      <c r="O431" s="40"/>
      <c r="P431" s="40"/>
      <c r="Q431" s="40"/>
      <c r="R431" s="40" t="s">
        <v>6</v>
      </c>
      <c r="S431" s="40" t="s">
        <v>6</v>
      </c>
      <c r="T431" s="40"/>
      <c r="U431" s="218" t="s">
        <v>4066</v>
      </c>
      <c r="V431" s="204"/>
      <c r="W431" s="204" t="s">
        <v>125</v>
      </c>
      <c r="X431" s="40"/>
      <c r="Y431" s="40"/>
      <c r="Z431" s="40"/>
      <c r="AA431" s="126" t="s">
        <v>6</v>
      </c>
      <c r="AB431" s="198"/>
      <c r="AC431" s="199"/>
      <c r="AD431" s="412" t="s">
        <v>4354</v>
      </c>
      <c r="AE431" s="204" t="s">
        <v>125</v>
      </c>
      <c r="AF431" s="40"/>
      <c r="AG431" s="40"/>
      <c r="AH431" s="40"/>
      <c r="AI431" s="126" t="s">
        <v>6</v>
      </c>
      <c r="AJ431" s="198"/>
      <c r="AK431" s="199"/>
      <c r="AL431" s="412" t="s">
        <v>4354</v>
      </c>
      <c r="AM431" s="199"/>
      <c r="AN431" s="202"/>
      <c r="AO431" s="199"/>
      <c r="AP431" s="199"/>
      <c r="AQ431" s="199"/>
      <c r="AR431" s="199"/>
      <c r="AS431" s="199"/>
      <c r="AT431" s="199"/>
      <c r="AU431" s="199"/>
      <c r="AV431" s="199"/>
      <c r="AW431" s="155"/>
    </row>
    <row r="432" spans="1:49" s="236" customFormat="1" ht="26.4">
      <c r="A432" s="40">
        <f t="shared" si="31"/>
        <v>426</v>
      </c>
      <c r="B432" s="199"/>
      <c r="C432" s="199"/>
      <c r="D432" s="199"/>
      <c r="E432" s="199"/>
      <c r="F432" s="199"/>
      <c r="G432" s="199"/>
      <c r="H432" s="199"/>
      <c r="I432" s="199"/>
      <c r="J432" s="412" t="s">
        <v>4357</v>
      </c>
      <c r="K432" s="232" t="s">
        <v>117</v>
      </c>
      <c r="L432" s="204" t="s">
        <v>4358</v>
      </c>
      <c r="M432" s="351"/>
      <c r="N432" s="40" t="s">
        <v>504</v>
      </c>
      <c r="O432" s="40"/>
      <c r="P432" s="40"/>
      <c r="Q432" s="40"/>
      <c r="R432" s="40" t="s">
        <v>6</v>
      </c>
      <c r="S432" s="40" t="s">
        <v>6</v>
      </c>
      <c r="T432" s="40"/>
      <c r="U432" s="218" t="s">
        <v>4066</v>
      </c>
      <c r="V432" s="204"/>
      <c r="W432" s="204" t="s">
        <v>125</v>
      </c>
      <c r="X432" s="40"/>
      <c r="Y432" s="40"/>
      <c r="Z432" s="40"/>
      <c r="AA432" s="126" t="s">
        <v>6</v>
      </c>
      <c r="AB432" s="198"/>
      <c r="AC432" s="199"/>
      <c r="AD432" s="412" t="s">
        <v>4354</v>
      </c>
      <c r="AE432" s="204" t="s">
        <v>125</v>
      </c>
      <c r="AF432" s="40"/>
      <c r="AG432" s="40"/>
      <c r="AH432" s="40"/>
      <c r="AI432" s="126" t="s">
        <v>6</v>
      </c>
      <c r="AJ432" s="198"/>
      <c r="AK432" s="199"/>
      <c r="AL432" s="412" t="s">
        <v>4354</v>
      </c>
      <c r="AM432" s="199"/>
      <c r="AN432" s="202"/>
      <c r="AO432" s="199"/>
      <c r="AP432" s="199"/>
      <c r="AQ432" s="199"/>
      <c r="AR432" s="199"/>
      <c r="AS432" s="199"/>
      <c r="AT432" s="199"/>
      <c r="AU432" s="199"/>
      <c r="AV432" s="199"/>
      <c r="AW432" s="155"/>
    </row>
    <row r="433" spans="1:49" s="236" customFormat="1" ht="39.6">
      <c r="A433" s="40">
        <f t="shared" si="31"/>
        <v>427</v>
      </c>
      <c r="B433" s="199"/>
      <c r="C433" s="199"/>
      <c r="D433" s="199"/>
      <c r="E433" s="199"/>
      <c r="F433" s="199"/>
      <c r="G433" s="199"/>
      <c r="H433" s="199"/>
      <c r="I433" s="199"/>
      <c r="J433" s="412" t="s">
        <v>4359</v>
      </c>
      <c r="K433" s="232" t="s">
        <v>117</v>
      </c>
      <c r="L433" s="204" t="s">
        <v>4360</v>
      </c>
      <c r="M433" s="351"/>
      <c r="N433" s="40" t="s">
        <v>504</v>
      </c>
      <c r="O433" s="40"/>
      <c r="P433" s="40"/>
      <c r="Q433" s="40" t="s">
        <v>6</v>
      </c>
      <c r="R433" s="40" t="s">
        <v>6</v>
      </c>
      <c r="S433" s="40" t="s">
        <v>6</v>
      </c>
      <c r="T433" s="40"/>
      <c r="U433" s="204"/>
      <c r="V433" s="204"/>
      <c r="W433" s="232" t="s">
        <v>133</v>
      </c>
      <c r="X433" s="40"/>
      <c r="Y433" s="40"/>
      <c r="Z433" s="126" t="s">
        <v>6</v>
      </c>
      <c r="AA433" s="126" t="s">
        <v>6</v>
      </c>
      <c r="AB433" s="215"/>
      <c r="AC433" s="199"/>
      <c r="AD433" s="199"/>
      <c r="AE433" s="232" t="s">
        <v>133</v>
      </c>
      <c r="AF433" s="40"/>
      <c r="AG433" s="40"/>
      <c r="AH433" s="126" t="s">
        <v>6</v>
      </c>
      <c r="AI433" s="126" t="s">
        <v>6</v>
      </c>
      <c r="AJ433" s="215" t="s">
        <v>4361</v>
      </c>
      <c r="AK433" s="199"/>
      <c r="AL433" s="199"/>
      <c r="AM433" s="199"/>
      <c r="AN433" s="199"/>
      <c r="AO433" s="199"/>
      <c r="AP433" s="199"/>
      <c r="AQ433" s="199"/>
      <c r="AR433" s="199"/>
      <c r="AS433" s="199"/>
      <c r="AT433" s="199"/>
      <c r="AU433" s="199"/>
      <c r="AV433" s="199"/>
      <c r="AW433" s="155"/>
    </row>
    <row r="434" spans="1:49" s="236" customFormat="1" ht="26.4">
      <c r="A434" s="40">
        <f t="shared" si="31"/>
        <v>428</v>
      </c>
      <c r="B434" s="199"/>
      <c r="C434" s="199"/>
      <c r="D434" s="199"/>
      <c r="E434" s="199"/>
      <c r="F434" s="199"/>
      <c r="G434" s="199"/>
      <c r="H434" s="199"/>
      <c r="I434" s="199"/>
      <c r="J434" s="412" t="s">
        <v>4362</v>
      </c>
      <c r="K434" s="232" t="s">
        <v>117</v>
      </c>
      <c r="L434" s="204" t="s">
        <v>4363</v>
      </c>
      <c r="M434" s="351"/>
      <c r="N434" s="40" t="s">
        <v>504</v>
      </c>
      <c r="O434" s="40"/>
      <c r="P434" s="40"/>
      <c r="Q434" s="40"/>
      <c r="R434" s="40" t="s">
        <v>6</v>
      </c>
      <c r="S434" s="40" t="s">
        <v>6</v>
      </c>
      <c r="T434" s="40"/>
      <c r="U434" s="218" t="s">
        <v>4066</v>
      </c>
      <c r="V434" s="204"/>
      <c r="W434" s="204" t="s">
        <v>125</v>
      </c>
      <c r="X434" s="40"/>
      <c r="Y434" s="40"/>
      <c r="Z434" s="40"/>
      <c r="AA434" s="126" t="s">
        <v>6</v>
      </c>
      <c r="AB434" s="198"/>
      <c r="AC434" s="199"/>
      <c r="AD434" s="412" t="s">
        <v>4364</v>
      </c>
      <c r="AE434" s="204" t="s">
        <v>125</v>
      </c>
      <c r="AF434" s="40"/>
      <c r="AG434" s="40"/>
      <c r="AH434" s="40"/>
      <c r="AI434" s="126" t="s">
        <v>6</v>
      </c>
      <c r="AJ434" s="198"/>
      <c r="AK434" s="199"/>
      <c r="AL434" s="412" t="s">
        <v>4364</v>
      </c>
      <c r="AM434" s="199"/>
      <c r="AN434" s="199"/>
      <c r="AO434" s="199"/>
      <c r="AP434" s="199"/>
      <c r="AQ434" s="199"/>
      <c r="AR434" s="199"/>
      <c r="AS434" s="199"/>
      <c r="AT434" s="199"/>
      <c r="AU434" s="199"/>
      <c r="AV434" s="199"/>
      <c r="AW434" s="155"/>
    </row>
    <row r="435" spans="1:49" s="236" customFormat="1" ht="26.4">
      <c r="A435" s="40">
        <f t="shared" si="31"/>
        <v>429</v>
      </c>
      <c r="B435" s="199"/>
      <c r="C435" s="199"/>
      <c r="D435" s="199"/>
      <c r="E435" s="199"/>
      <c r="F435" s="199"/>
      <c r="G435" s="199"/>
      <c r="H435" s="199"/>
      <c r="I435" s="199"/>
      <c r="J435" s="412" t="s">
        <v>4365</v>
      </c>
      <c r="K435" s="232" t="s">
        <v>117</v>
      </c>
      <c r="L435" s="204" t="s">
        <v>4366</v>
      </c>
      <c r="M435" s="351"/>
      <c r="N435" s="40" t="s">
        <v>504</v>
      </c>
      <c r="O435" s="40"/>
      <c r="P435" s="40"/>
      <c r="Q435" s="40"/>
      <c r="R435" s="40" t="s">
        <v>6</v>
      </c>
      <c r="S435" s="40" t="s">
        <v>6</v>
      </c>
      <c r="T435" s="40"/>
      <c r="U435" s="218" t="s">
        <v>4066</v>
      </c>
      <c r="V435" s="204"/>
      <c r="W435" s="204" t="s">
        <v>125</v>
      </c>
      <c r="X435" s="40"/>
      <c r="Y435" s="40"/>
      <c r="Z435" s="40"/>
      <c r="AA435" s="126" t="s">
        <v>6</v>
      </c>
      <c r="AB435" s="198"/>
      <c r="AC435" s="199"/>
      <c r="AD435" s="412" t="s">
        <v>4364</v>
      </c>
      <c r="AE435" s="204" t="s">
        <v>125</v>
      </c>
      <c r="AF435" s="40"/>
      <c r="AG435" s="40"/>
      <c r="AH435" s="40"/>
      <c r="AI435" s="126" t="s">
        <v>6</v>
      </c>
      <c r="AJ435" s="198"/>
      <c r="AK435" s="199"/>
      <c r="AL435" s="412" t="s">
        <v>4364</v>
      </c>
      <c r="AM435" s="199"/>
      <c r="AN435" s="199"/>
      <c r="AO435" s="199"/>
      <c r="AP435" s="199"/>
      <c r="AQ435" s="199"/>
      <c r="AR435" s="199"/>
      <c r="AS435" s="199"/>
      <c r="AT435" s="199"/>
      <c r="AU435" s="199"/>
      <c r="AV435" s="199"/>
      <c r="AW435" s="155"/>
    </row>
    <row r="436" spans="1:49" s="236" customFormat="1" ht="26.4">
      <c r="A436" s="40">
        <f t="shared" si="31"/>
        <v>430</v>
      </c>
      <c r="B436" s="199"/>
      <c r="C436" s="199"/>
      <c r="D436" s="199"/>
      <c r="E436" s="199"/>
      <c r="F436" s="199"/>
      <c r="G436" s="199"/>
      <c r="H436" s="199"/>
      <c r="I436" s="199"/>
      <c r="J436" s="412" t="s">
        <v>4367</v>
      </c>
      <c r="K436" s="232" t="s">
        <v>117</v>
      </c>
      <c r="L436" s="204" t="s">
        <v>4368</v>
      </c>
      <c r="M436" s="351"/>
      <c r="N436" s="40" t="s">
        <v>504</v>
      </c>
      <c r="O436" s="40"/>
      <c r="P436" s="40"/>
      <c r="Q436" s="40"/>
      <c r="R436" s="40" t="s">
        <v>6</v>
      </c>
      <c r="S436" s="40" t="s">
        <v>6</v>
      </c>
      <c r="T436" s="40"/>
      <c r="U436" s="218" t="s">
        <v>4066</v>
      </c>
      <c r="V436" s="204"/>
      <c r="W436" s="204" t="s">
        <v>125</v>
      </c>
      <c r="X436" s="40"/>
      <c r="Y436" s="40"/>
      <c r="Z436" s="40"/>
      <c r="AA436" s="126" t="s">
        <v>6</v>
      </c>
      <c r="AB436" s="198"/>
      <c r="AC436" s="199"/>
      <c r="AD436" s="412" t="s">
        <v>4364</v>
      </c>
      <c r="AE436" s="204" t="s">
        <v>125</v>
      </c>
      <c r="AF436" s="40"/>
      <c r="AG436" s="40"/>
      <c r="AH436" s="40"/>
      <c r="AI436" s="126" t="s">
        <v>6</v>
      </c>
      <c r="AJ436" s="198"/>
      <c r="AK436" s="199"/>
      <c r="AL436" s="412" t="s">
        <v>4364</v>
      </c>
      <c r="AM436" s="199"/>
      <c r="AN436" s="199"/>
      <c r="AO436" s="199"/>
      <c r="AP436" s="199"/>
      <c r="AQ436" s="199"/>
      <c r="AR436" s="199"/>
      <c r="AS436" s="199"/>
      <c r="AT436" s="199"/>
      <c r="AU436" s="199"/>
      <c r="AV436" s="199"/>
      <c r="AW436" s="155"/>
    </row>
    <row r="437" spans="1:49" s="236" customFormat="1" ht="39.6">
      <c r="A437" s="40">
        <f t="shared" si="31"/>
        <v>431</v>
      </c>
      <c r="B437" s="199"/>
      <c r="C437" s="199"/>
      <c r="D437" s="199"/>
      <c r="E437" s="199"/>
      <c r="F437" s="199"/>
      <c r="G437" s="199"/>
      <c r="H437" s="199"/>
      <c r="I437" s="199"/>
      <c r="J437" s="412" t="s">
        <v>4369</v>
      </c>
      <c r="K437" s="232" t="s">
        <v>117</v>
      </c>
      <c r="L437" s="204" t="s">
        <v>4370</v>
      </c>
      <c r="M437" s="351"/>
      <c r="N437" s="40" t="s">
        <v>504</v>
      </c>
      <c r="O437" s="40"/>
      <c r="P437" s="40"/>
      <c r="Q437" s="40" t="s">
        <v>6</v>
      </c>
      <c r="R437" s="40" t="s">
        <v>6</v>
      </c>
      <c r="S437" s="40" t="s">
        <v>6</v>
      </c>
      <c r="T437" s="40"/>
      <c r="U437" s="204"/>
      <c r="V437" s="204"/>
      <c r="W437" s="232" t="s">
        <v>133</v>
      </c>
      <c r="X437" s="198"/>
      <c r="Y437" s="198"/>
      <c r="Z437" s="126" t="s">
        <v>6</v>
      </c>
      <c r="AA437" s="126" t="s">
        <v>6</v>
      </c>
      <c r="AB437" s="215"/>
      <c r="AC437" s="199"/>
      <c r="AD437" s="199" t="s">
        <v>4371</v>
      </c>
      <c r="AE437" s="232" t="s">
        <v>133</v>
      </c>
      <c r="AF437" s="198"/>
      <c r="AG437" s="198"/>
      <c r="AH437" s="126" t="s">
        <v>6</v>
      </c>
      <c r="AI437" s="126" t="s">
        <v>6</v>
      </c>
      <c r="AJ437" s="215" t="s">
        <v>4372</v>
      </c>
      <c r="AK437" s="199"/>
      <c r="AL437" s="199" t="s">
        <v>4371</v>
      </c>
      <c r="AM437" s="199"/>
      <c r="AN437" s="199"/>
      <c r="AO437" s="199"/>
      <c r="AP437" s="199"/>
      <c r="AQ437" s="199"/>
      <c r="AR437" s="199"/>
      <c r="AS437" s="199"/>
      <c r="AT437" s="199"/>
      <c r="AU437" s="199"/>
      <c r="AV437" s="199"/>
      <c r="AW437" s="155"/>
    </row>
    <row r="438" spans="1:49" s="236" customFormat="1" ht="26.4">
      <c r="A438" s="40">
        <f t="shared" si="31"/>
        <v>432</v>
      </c>
      <c r="B438" s="199"/>
      <c r="C438" s="199"/>
      <c r="D438" s="199"/>
      <c r="E438" s="199"/>
      <c r="F438" s="199"/>
      <c r="G438" s="199"/>
      <c r="H438" s="199"/>
      <c r="I438" s="199"/>
      <c r="J438" s="412" t="s">
        <v>4371</v>
      </c>
      <c r="K438" s="232" t="s">
        <v>117</v>
      </c>
      <c r="L438" s="204" t="s">
        <v>4373</v>
      </c>
      <c r="M438" s="351"/>
      <c r="N438" s="40" t="s">
        <v>504</v>
      </c>
      <c r="O438" s="40"/>
      <c r="P438" s="40"/>
      <c r="Q438" s="40" t="s">
        <v>6</v>
      </c>
      <c r="R438" s="40" t="s">
        <v>6</v>
      </c>
      <c r="S438" s="40" t="s">
        <v>6</v>
      </c>
      <c r="T438" s="40"/>
      <c r="U438" s="204" t="s">
        <v>4374</v>
      </c>
      <c r="V438" s="204"/>
      <c r="W438" s="232" t="s">
        <v>133</v>
      </c>
      <c r="X438" s="198"/>
      <c r="Y438" s="198"/>
      <c r="Z438" s="126" t="s">
        <v>6</v>
      </c>
      <c r="AA438" s="126" t="s">
        <v>6</v>
      </c>
      <c r="AB438" s="204"/>
      <c r="AC438" s="199"/>
      <c r="AD438" s="199"/>
      <c r="AE438" s="232" t="s">
        <v>133</v>
      </c>
      <c r="AF438" s="198"/>
      <c r="AG438" s="198"/>
      <c r="AH438" s="126"/>
      <c r="AI438" s="126"/>
      <c r="AJ438" s="204" t="s">
        <v>4375</v>
      </c>
      <c r="AK438" s="199"/>
      <c r="AL438" s="199"/>
      <c r="AM438" s="199" t="s">
        <v>1046</v>
      </c>
      <c r="AN438" s="199"/>
      <c r="AO438" s="199"/>
      <c r="AP438" s="199"/>
      <c r="AQ438" s="199"/>
      <c r="AR438" s="199"/>
      <c r="AS438" s="199"/>
      <c r="AT438" s="199"/>
      <c r="AU438" s="199"/>
      <c r="AV438" s="199"/>
      <c r="AW438" s="155"/>
    </row>
    <row r="439" spans="1:49" s="236" customFormat="1" ht="26.4">
      <c r="A439" s="40">
        <f t="shared" si="31"/>
        <v>433</v>
      </c>
      <c r="B439" s="199"/>
      <c r="C439" s="199"/>
      <c r="D439" s="199"/>
      <c r="E439" s="199"/>
      <c r="F439" s="199"/>
      <c r="G439" s="199"/>
      <c r="H439" s="199"/>
      <c r="I439" s="199"/>
      <c r="J439" s="412" t="s">
        <v>4376</v>
      </c>
      <c r="K439" s="232" t="s">
        <v>117</v>
      </c>
      <c r="L439" s="204" t="s">
        <v>4377</v>
      </c>
      <c r="M439" s="351" t="s">
        <v>4378</v>
      </c>
      <c r="N439" s="40" t="s">
        <v>504</v>
      </c>
      <c r="O439" s="40"/>
      <c r="P439" s="40"/>
      <c r="Q439" s="40"/>
      <c r="R439" s="40" t="s">
        <v>6</v>
      </c>
      <c r="S439" s="40" t="s">
        <v>6</v>
      </c>
      <c r="T439" s="40"/>
      <c r="U439" s="218" t="s">
        <v>4066</v>
      </c>
      <c r="V439" s="204"/>
      <c r="W439" s="204" t="s">
        <v>125</v>
      </c>
      <c r="X439" s="40"/>
      <c r="Y439" s="40"/>
      <c r="Z439" s="40"/>
      <c r="AA439" s="126" t="s">
        <v>6</v>
      </c>
      <c r="AB439" s="198"/>
      <c r="AC439" s="199"/>
      <c r="AD439" s="412" t="s">
        <v>4379</v>
      </c>
      <c r="AE439" s="204" t="s">
        <v>125</v>
      </c>
      <c r="AF439" s="40"/>
      <c r="AG439" s="40"/>
      <c r="AH439" s="40"/>
      <c r="AI439" s="126" t="s">
        <v>6</v>
      </c>
      <c r="AJ439" s="198"/>
      <c r="AK439" s="199"/>
      <c r="AL439" s="412" t="s">
        <v>4379</v>
      </c>
      <c r="AM439" s="199" t="s">
        <v>1046</v>
      </c>
      <c r="AN439" s="202"/>
      <c r="AO439" s="199"/>
      <c r="AP439" s="199"/>
      <c r="AQ439" s="199"/>
      <c r="AR439" s="199"/>
      <c r="AS439" s="199"/>
      <c r="AT439" s="199"/>
      <c r="AU439" s="199"/>
      <c r="AV439" s="199"/>
      <c r="AW439" s="155"/>
    </row>
    <row r="440" spans="1:49" s="236" customFormat="1" ht="26.4">
      <c r="A440" s="40">
        <f t="shared" si="31"/>
        <v>434</v>
      </c>
      <c r="B440" s="199"/>
      <c r="C440" s="199"/>
      <c r="D440" s="199"/>
      <c r="E440" s="199"/>
      <c r="F440" s="199"/>
      <c r="G440" s="199"/>
      <c r="H440" s="199"/>
      <c r="I440" s="199"/>
      <c r="J440" s="412" t="s">
        <v>4380</v>
      </c>
      <c r="K440" s="232" t="s">
        <v>117</v>
      </c>
      <c r="L440" s="204" t="s">
        <v>4381</v>
      </c>
      <c r="M440" s="351" t="s">
        <v>4378</v>
      </c>
      <c r="N440" s="40" t="s">
        <v>504</v>
      </c>
      <c r="O440" s="40"/>
      <c r="P440" s="40"/>
      <c r="Q440" s="40"/>
      <c r="R440" s="40" t="s">
        <v>6</v>
      </c>
      <c r="S440" s="40" t="s">
        <v>6</v>
      </c>
      <c r="T440" s="40"/>
      <c r="U440" s="218" t="s">
        <v>4066</v>
      </c>
      <c r="V440" s="204"/>
      <c r="W440" s="204" t="s">
        <v>125</v>
      </c>
      <c r="X440" s="40"/>
      <c r="Y440" s="40"/>
      <c r="Z440" s="40"/>
      <c r="AA440" s="126" t="s">
        <v>6</v>
      </c>
      <c r="AB440" s="198"/>
      <c r="AC440" s="199"/>
      <c r="AD440" s="412" t="s">
        <v>4379</v>
      </c>
      <c r="AE440" s="204" t="s">
        <v>125</v>
      </c>
      <c r="AF440" s="40"/>
      <c r="AG440" s="40"/>
      <c r="AH440" s="40"/>
      <c r="AI440" s="126" t="s">
        <v>6</v>
      </c>
      <c r="AJ440" s="198"/>
      <c r="AK440" s="199"/>
      <c r="AL440" s="412" t="s">
        <v>4379</v>
      </c>
      <c r="AM440" s="199" t="s">
        <v>1046</v>
      </c>
      <c r="AN440" s="202"/>
      <c r="AO440" s="199"/>
      <c r="AP440" s="199"/>
      <c r="AQ440" s="199"/>
      <c r="AR440" s="199"/>
      <c r="AS440" s="199"/>
      <c r="AT440" s="199"/>
      <c r="AU440" s="199"/>
      <c r="AV440" s="199"/>
      <c r="AW440" s="155"/>
    </row>
    <row r="441" spans="1:49" s="236" customFormat="1" ht="26.4">
      <c r="A441" s="40">
        <f t="shared" si="31"/>
        <v>435</v>
      </c>
      <c r="B441" s="199"/>
      <c r="C441" s="199"/>
      <c r="D441" s="199"/>
      <c r="E441" s="199"/>
      <c r="F441" s="199"/>
      <c r="G441" s="199"/>
      <c r="H441" s="199"/>
      <c r="I441" s="199"/>
      <c r="J441" s="412" t="s">
        <v>4382</v>
      </c>
      <c r="K441" s="232" t="s">
        <v>117</v>
      </c>
      <c r="L441" s="204" t="s">
        <v>4383</v>
      </c>
      <c r="M441" s="351" t="s">
        <v>4378</v>
      </c>
      <c r="N441" s="40" t="s">
        <v>504</v>
      </c>
      <c r="O441" s="40"/>
      <c r="P441" s="40"/>
      <c r="Q441" s="40"/>
      <c r="R441" s="40" t="s">
        <v>6</v>
      </c>
      <c r="S441" s="40" t="s">
        <v>6</v>
      </c>
      <c r="T441" s="40"/>
      <c r="U441" s="218" t="s">
        <v>4066</v>
      </c>
      <c r="V441" s="204"/>
      <c r="W441" s="204" t="s">
        <v>125</v>
      </c>
      <c r="X441" s="40"/>
      <c r="Y441" s="40"/>
      <c r="Z441" s="40"/>
      <c r="AA441" s="126" t="s">
        <v>6</v>
      </c>
      <c r="AB441" s="198"/>
      <c r="AC441" s="199"/>
      <c r="AD441" s="412" t="s">
        <v>4379</v>
      </c>
      <c r="AE441" s="204" t="s">
        <v>125</v>
      </c>
      <c r="AF441" s="40"/>
      <c r="AG441" s="40"/>
      <c r="AH441" s="40"/>
      <c r="AI441" s="126" t="s">
        <v>6</v>
      </c>
      <c r="AJ441" s="198"/>
      <c r="AK441" s="199"/>
      <c r="AL441" s="412" t="s">
        <v>4379</v>
      </c>
      <c r="AM441" s="199" t="s">
        <v>1046</v>
      </c>
      <c r="AN441" s="202"/>
      <c r="AO441" s="199"/>
      <c r="AP441" s="199"/>
      <c r="AQ441" s="199"/>
      <c r="AR441" s="199"/>
      <c r="AS441" s="199"/>
      <c r="AT441" s="199"/>
      <c r="AU441" s="199"/>
      <c r="AV441" s="199"/>
      <c r="AW441" s="155"/>
    </row>
    <row r="442" spans="1:49" s="236" customFormat="1" ht="26.4">
      <c r="A442" s="40">
        <f t="shared" si="31"/>
        <v>436</v>
      </c>
      <c r="B442" s="199"/>
      <c r="C442" s="199"/>
      <c r="D442" s="199"/>
      <c r="E442" s="199"/>
      <c r="F442" s="199"/>
      <c r="G442" s="199"/>
      <c r="H442" s="199"/>
      <c r="I442" s="199"/>
      <c r="J442" s="412" t="s">
        <v>4384</v>
      </c>
      <c r="K442" s="232" t="s">
        <v>117</v>
      </c>
      <c r="L442" s="204" t="s">
        <v>4385</v>
      </c>
      <c r="M442" s="351" t="s">
        <v>4378</v>
      </c>
      <c r="N442" s="40" t="s">
        <v>504</v>
      </c>
      <c r="O442" s="40"/>
      <c r="P442" s="40"/>
      <c r="Q442" s="40"/>
      <c r="R442" s="40" t="s">
        <v>6</v>
      </c>
      <c r="S442" s="40" t="s">
        <v>6</v>
      </c>
      <c r="T442" s="40"/>
      <c r="U442" s="218" t="s">
        <v>4066</v>
      </c>
      <c r="V442" s="204"/>
      <c r="W442" s="204" t="s">
        <v>125</v>
      </c>
      <c r="X442" s="40"/>
      <c r="Y442" s="40"/>
      <c r="Z442" s="40"/>
      <c r="AA442" s="126" t="s">
        <v>6</v>
      </c>
      <c r="AB442" s="198"/>
      <c r="AC442" s="199"/>
      <c r="AD442" s="412" t="s">
        <v>4386</v>
      </c>
      <c r="AE442" s="204" t="s">
        <v>125</v>
      </c>
      <c r="AF442" s="40"/>
      <c r="AG442" s="40"/>
      <c r="AH442" s="40"/>
      <c r="AI442" s="126" t="s">
        <v>6</v>
      </c>
      <c r="AJ442" s="198"/>
      <c r="AK442" s="199"/>
      <c r="AL442" s="412" t="s">
        <v>4386</v>
      </c>
      <c r="AM442" s="199" t="s">
        <v>1046</v>
      </c>
      <c r="AN442" s="202"/>
      <c r="AO442" s="199"/>
      <c r="AP442" s="199"/>
      <c r="AQ442" s="199"/>
      <c r="AR442" s="199"/>
      <c r="AS442" s="199"/>
      <c r="AT442" s="199"/>
      <c r="AU442" s="199"/>
      <c r="AV442" s="199"/>
      <c r="AW442" s="155"/>
    </row>
    <row r="443" spans="1:49" s="236" customFormat="1" ht="26.4">
      <c r="A443" s="40">
        <f t="shared" si="31"/>
        <v>437</v>
      </c>
      <c r="B443" s="199"/>
      <c r="C443" s="199"/>
      <c r="D443" s="199"/>
      <c r="E443" s="199"/>
      <c r="F443" s="199"/>
      <c r="G443" s="199"/>
      <c r="H443" s="199"/>
      <c r="I443" s="199"/>
      <c r="J443" s="412" t="s">
        <v>4387</v>
      </c>
      <c r="K443" s="232" t="s">
        <v>117</v>
      </c>
      <c r="L443" s="204" t="s">
        <v>4388</v>
      </c>
      <c r="M443" s="351" t="s">
        <v>4378</v>
      </c>
      <c r="N443" s="40" t="s">
        <v>504</v>
      </c>
      <c r="O443" s="40"/>
      <c r="P443" s="40"/>
      <c r="Q443" s="40"/>
      <c r="R443" s="40" t="s">
        <v>6</v>
      </c>
      <c r="S443" s="40" t="s">
        <v>6</v>
      </c>
      <c r="T443" s="40"/>
      <c r="U443" s="218" t="s">
        <v>4066</v>
      </c>
      <c r="V443" s="204"/>
      <c r="W443" s="204" t="s">
        <v>125</v>
      </c>
      <c r="X443" s="40"/>
      <c r="Y443" s="40"/>
      <c r="Z443" s="40"/>
      <c r="AA443" s="126" t="s">
        <v>6</v>
      </c>
      <c r="AB443" s="198"/>
      <c r="AC443" s="199"/>
      <c r="AD443" s="412" t="s">
        <v>4386</v>
      </c>
      <c r="AE443" s="204" t="s">
        <v>125</v>
      </c>
      <c r="AF443" s="40"/>
      <c r="AG443" s="40"/>
      <c r="AH443" s="40"/>
      <c r="AI443" s="126" t="s">
        <v>6</v>
      </c>
      <c r="AJ443" s="198"/>
      <c r="AK443" s="199"/>
      <c r="AL443" s="412" t="s">
        <v>4386</v>
      </c>
      <c r="AM443" s="199" t="s">
        <v>1046</v>
      </c>
      <c r="AN443" s="202"/>
      <c r="AO443" s="199"/>
      <c r="AP443" s="199"/>
      <c r="AQ443" s="199"/>
      <c r="AR443" s="199"/>
      <c r="AS443" s="199"/>
      <c r="AT443" s="199"/>
      <c r="AU443" s="199"/>
      <c r="AV443" s="199"/>
      <c r="AW443" s="155"/>
    </row>
    <row r="444" spans="1:49" s="236" customFormat="1" ht="26.4">
      <c r="A444" s="40">
        <f t="shared" si="31"/>
        <v>438</v>
      </c>
      <c r="B444" s="199"/>
      <c r="C444" s="199"/>
      <c r="D444" s="199"/>
      <c r="E444" s="199"/>
      <c r="F444" s="199"/>
      <c r="G444" s="199"/>
      <c r="H444" s="199"/>
      <c r="I444" s="199"/>
      <c r="J444" s="412" t="s">
        <v>4389</v>
      </c>
      <c r="K444" s="232" t="s">
        <v>117</v>
      </c>
      <c r="L444" s="204" t="s">
        <v>4390</v>
      </c>
      <c r="M444" s="351" t="s">
        <v>4378</v>
      </c>
      <c r="N444" s="40" t="s">
        <v>504</v>
      </c>
      <c r="O444" s="40"/>
      <c r="P444" s="40"/>
      <c r="Q444" s="40"/>
      <c r="R444" s="40" t="s">
        <v>6</v>
      </c>
      <c r="S444" s="40" t="s">
        <v>6</v>
      </c>
      <c r="T444" s="40"/>
      <c r="U444" s="218" t="s">
        <v>4066</v>
      </c>
      <c r="V444" s="204"/>
      <c r="W444" s="204" t="s">
        <v>125</v>
      </c>
      <c r="X444" s="40"/>
      <c r="Y444" s="40"/>
      <c r="Z444" s="40"/>
      <c r="AA444" s="126" t="s">
        <v>6</v>
      </c>
      <c r="AB444" s="198"/>
      <c r="AC444" s="199"/>
      <c r="AD444" s="412" t="s">
        <v>4386</v>
      </c>
      <c r="AE444" s="204" t="s">
        <v>125</v>
      </c>
      <c r="AF444" s="40"/>
      <c r="AG444" s="40"/>
      <c r="AH444" s="40"/>
      <c r="AI444" s="126" t="s">
        <v>6</v>
      </c>
      <c r="AJ444" s="198"/>
      <c r="AK444" s="199"/>
      <c r="AL444" s="412" t="s">
        <v>4386</v>
      </c>
      <c r="AM444" s="199" t="s">
        <v>1046</v>
      </c>
      <c r="AN444" s="202"/>
      <c r="AO444" s="199"/>
      <c r="AP444" s="199"/>
      <c r="AQ444" s="199"/>
      <c r="AR444" s="199"/>
      <c r="AS444" s="199"/>
      <c r="AT444" s="199"/>
      <c r="AU444" s="199"/>
      <c r="AV444" s="199"/>
      <c r="AW444" s="155"/>
    </row>
    <row r="445" spans="1:49" s="236" customFormat="1" ht="39.6">
      <c r="A445" s="40">
        <f t="shared" si="31"/>
        <v>439</v>
      </c>
      <c r="B445" s="199"/>
      <c r="C445" s="199"/>
      <c r="D445" s="199"/>
      <c r="E445" s="199"/>
      <c r="F445" s="199"/>
      <c r="G445" s="199"/>
      <c r="H445" s="199"/>
      <c r="I445" s="199"/>
      <c r="J445" s="412" t="s">
        <v>4391</v>
      </c>
      <c r="K445" s="232" t="s">
        <v>117</v>
      </c>
      <c r="L445" s="204" t="s">
        <v>4392</v>
      </c>
      <c r="M445" s="351" t="s">
        <v>4378</v>
      </c>
      <c r="N445" s="40" t="s">
        <v>504</v>
      </c>
      <c r="O445" s="40"/>
      <c r="P445" s="40"/>
      <c r="Q445" s="40" t="s">
        <v>6</v>
      </c>
      <c r="R445" s="40" t="s">
        <v>6</v>
      </c>
      <c r="S445" s="40" t="s">
        <v>6</v>
      </c>
      <c r="T445" s="40"/>
      <c r="U445" s="204"/>
      <c r="V445" s="204"/>
      <c r="W445" s="232" t="s">
        <v>133</v>
      </c>
      <c r="X445" s="40"/>
      <c r="Y445" s="40"/>
      <c r="Z445" s="126" t="s">
        <v>6</v>
      </c>
      <c r="AA445" s="126" t="s">
        <v>6</v>
      </c>
      <c r="AB445" s="215"/>
      <c r="AC445" s="199"/>
      <c r="AD445" s="201" t="s">
        <v>1047</v>
      </c>
      <c r="AE445" s="232" t="s">
        <v>133</v>
      </c>
      <c r="AF445" s="40"/>
      <c r="AG445" s="40"/>
      <c r="AH445" s="126" t="s">
        <v>6</v>
      </c>
      <c r="AI445" s="126" t="s">
        <v>6</v>
      </c>
      <c r="AJ445" s="215" t="s">
        <v>4393</v>
      </c>
      <c r="AK445" s="199"/>
      <c r="AL445" s="201" t="s">
        <v>1047</v>
      </c>
      <c r="AM445" s="199" t="s">
        <v>1046</v>
      </c>
      <c r="AN445" s="199"/>
      <c r="AO445" s="199"/>
      <c r="AP445" s="199"/>
      <c r="AQ445" s="199"/>
      <c r="AR445" s="199"/>
      <c r="AS445" s="199"/>
      <c r="AT445" s="199"/>
      <c r="AU445" s="199"/>
      <c r="AV445" s="199"/>
      <c r="AW445" s="155"/>
    </row>
    <row r="446" spans="1:49" s="236" customFormat="1" ht="39.6">
      <c r="A446" s="40">
        <f t="shared" si="31"/>
        <v>440</v>
      </c>
      <c r="B446" s="199"/>
      <c r="C446" s="199"/>
      <c r="D446" s="199"/>
      <c r="E446" s="199"/>
      <c r="F446" s="199"/>
      <c r="G446" s="199"/>
      <c r="H446" s="199"/>
      <c r="I446" s="199"/>
      <c r="J446" s="412" t="s">
        <v>4394</v>
      </c>
      <c r="K446" s="232" t="s">
        <v>117</v>
      </c>
      <c r="L446" s="204" t="s">
        <v>4395</v>
      </c>
      <c r="M446" s="351" t="s">
        <v>4378</v>
      </c>
      <c r="N446" s="40" t="s">
        <v>504</v>
      </c>
      <c r="O446" s="40"/>
      <c r="P446" s="40"/>
      <c r="Q446" s="40"/>
      <c r="R446" s="40" t="s">
        <v>6</v>
      </c>
      <c r="S446" s="40" t="s">
        <v>6</v>
      </c>
      <c r="T446" s="40"/>
      <c r="U446" s="218" t="s">
        <v>4066</v>
      </c>
      <c r="V446" s="204"/>
      <c r="W446" s="204" t="s">
        <v>125</v>
      </c>
      <c r="X446" s="40"/>
      <c r="Y446" s="40"/>
      <c r="Z446" s="40"/>
      <c r="AA446" s="126" t="s">
        <v>6</v>
      </c>
      <c r="AB446" s="198"/>
      <c r="AC446" s="199"/>
      <c r="AD446" s="412" t="s">
        <v>4396</v>
      </c>
      <c r="AE446" s="204" t="s">
        <v>125</v>
      </c>
      <c r="AF446" s="40"/>
      <c r="AG446" s="40"/>
      <c r="AH446" s="40"/>
      <c r="AI446" s="126" t="s">
        <v>6</v>
      </c>
      <c r="AJ446" s="198"/>
      <c r="AK446" s="199"/>
      <c r="AL446" s="412" t="s">
        <v>4396</v>
      </c>
      <c r="AM446" s="199" t="s">
        <v>1046</v>
      </c>
      <c r="AN446" s="202"/>
      <c r="AO446" s="199"/>
      <c r="AP446" s="199"/>
      <c r="AQ446" s="199"/>
      <c r="AR446" s="199"/>
      <c r="AS446" s="199"/>
      <c r="AT446" s="199"/>
      <c r="AU446" s="199"/>
      <c r="AV446" s="199"/>
      <c r="AW446" s="155"/>
    </row>
    <row r="447" spans="1:49" s="236" customFormat="1" ht="39.6">
      <c r="A447" s="40">
        <f t="shared" si="31"/>
        <v>441</v>
      </c>
      <c r="B447" s="199"/>
      <c r="C447" s="199"/>
      <c r="D447" s="199"/>
      <c r="E447" s="199"/>
      <c r="F447" s="199"/>
      <c r="G447" s="199"/>
      <c r="H447" s="199"/>
      <c r="I447" s="199"/>
      <c r="J447" s="412" t="s">
        <v>4397</v>
      </c>
      <c r="K447" s="232" t="s">
        <v>117</v>
      </c>
      <c r="L447" s="204" t="s">
        <v>4398</v>
      </c>
      <c r="M447" s="351" t="s">
        <v>4378</v>
      </c>
      <c r="N447" s="40" t="s">
        <v>504</v>
      </c>
      <c r="O447" s="40"/>
      <c r="P447" s="40"/>
      <c r="Q447" s="40"/>
      <c r="R447" s="40" t="s">
        <v>6</v>
      </c>
      <c r="S447" s="40" t="s">
        <v>6</v>
      </c>
      <c r="T447" s="40"/>
      <c r="U447" s="218" t="s">
        <v>4066</v>
      </c>
      <c r="V447" s="204"/>
      <c r="W447" s="204" t="s">
        <v>125</v>
      </c>
      <c r="X447" s="40"/>
      <c r="Y447" s="40"/>
      <c r="Z447" s="40"/>
      <c r="AA447" s="126" t="s">
        <v>6</v>
      </c>
      <c r="AB447" s="198"/>
      <c r="AC447" s="199"/>
      <c r="AD447" s="412" t="s">
        <v>4396</v>
      </c>
      <c r="AE447" s="204" t="s">
        <v>125</v>
      </c>
      <c r="AF447" s="40"/>
      <c r="AG447" s="40"/>
      <c r="AH447" s="40"/>
      <c r="AI447" s="126" t="s">
        <v>6</v>
      </c>
      <c r="AJ447" s="198"/>
      <c r="AK447" s="199"/>
      <c r="AL447" s="412" t="s">
        <v>4396</v>
      </c>
      <c r="AM447" s="199" t="s">
        <v>1046</v>
      </c>
      <c r="AN447" s="202"/>
      <c r="AO447" s="199"/>
      <c r="AP447" s="199"/>
      <c r="AQ447" s="199"/>
      <c r="AR447" s="199"/>
      <c r="AS447" s="199"/>
      <c r="AT447" s="199"/>
      <c r="AU447" s="199"/>
      <c r="AV447" s="199"/>
      <c r="AW447" s="155"/>
    </row>
    <row r="448" spans="1:49" s="236" customFormat="1" ht="39.6">
      <c r="A448" s="40">
        <f t="shared" si="31"/>
        <v>442</v>
      </c>
      <c r="B448" s="199"/>
      <c r="C448" s="199"/>
      <c r="D448" s="199"/>
      <c r="E448" s="199"/>
      <c r="F448" s="199"/>
      <c r="G448" s="199"/>
      <c r="H448" s="199"/>
      <c r="I448" s="199"/>
      <c r="J448" s="412" t="s">
        <v>4399</v>
      </c>
      <c r="K448" s="232" t="s">
        <v>117</v>
      </c>
      <c r="L448" s="204" t="s">
        <v>4400</v>
      </c>
      <c r="M448" s="351" t="s">
        <v>4378</v>
      </c>
      <c r="N448" s="40" t="s">
        <v>504</v>
      </c>
      <c r="O448" s="40"/>
      <c r="P448" s="40"/>
      <c r="Q448" s="40"/>
      <c r="R448" s="40" t="s">
        <v>6</v>
      </c>
      <c r="S448" s="40" t="s">
        <v>6</v>
      </c>
      <c r="T448" s="40"/>
      <c r="U448" s="218" t="s">
        <v>4066</v>
      </c>
      <c r="V448" s="204"/>
      <c r="W448" s="204" t="s">
        <v>125</v>
      </c>
      <c r="X448" s="198"/>
      <c r="Y448" s="40"/>
      <c r="Z448" s="40"/>
      <c r="AA448" s="126" t="s">
        <v>6</v>
      </c>
      <c r="AB448" s="198"/>
      <c r="AC448" s="199"/>
      <c r="AD448" s="412" t="s">
        <v>4396</v>
      </c>
      <c r="AE448" s="204" t="s">
        <v>125</v>
      </c>
      <c r="AF448" s="198"/>
      <c r="AG448" s="40"/>
      <c r="AH448" s="40"/>
      <c r="AI448" s="126" t="s">
        <v>6</v>
      </c>
      <c r="AJ448" s="198"/>
      <c r="AK448" s="199"/>
      <c r="AL448" s="412" t="s">
        <v>4396</v>
      </c>
      <c r="AM448" s="199" t="s">
        <v>1046</v>
      </c>
      <c r="AN448" s="202"/>
      <c r="AO448" s="199"/>
      <c r="AP448" s="199"/>
      <c r="AQ448" s="199"/>
      <c r="AR448" s="199"/>
      <c r="AS448" s="199"/>
      <c r="AT448" s="199"/>
      <c r="AU448" s="199"/>
      <c r="AV448" s="199"/>
      <c r="AW448" s="155"/>
    </row>
    <row r="449" spans="1:49" s="236" customFormat="1" ht="39.6">
      <c r="A449" s="40">
        <f t="shared" si="31"/>
        <v>443</v>
      </c>
      <c r="B449" s="199"/>
      <c r="C449" s="199"/>
      <c r="D449" s="199"/>
      <c r="E449" s="199"/>
      <c r="F449" s="199"/>
      <c r="G449" s="199"/>
      <c r="H449" s="199"/>
      <c r="I449" s="199" t="s">
        <v>868</v>
      </c>
      <c r="J449" s="412" t="s">
        <v>4401</v>
      </c>
      <c r="K449" s="232" t="s">
        <v>117</v>
      </c>
      <c r="L449" s="204" t="s">
        <v>4402</v>
      </c>
      <c r="M449" s="351" t="s">
        <v>4378</v>
      </c>
      <c r="N449" s="40" t="s">
        <v>504</v>
      </c>
      <c r="O449" s="40"/>
      <c r="P449" s="40"/>
      <c r="Q449" s="40" t="s">
        <v>6</v>
      </c>
      <c r="R449" s="40" t="s">
        <v>6</v>
      </c>
      <c r="S449" s="40" t="s">
        <v>6</v>
      </c>
      <c r="T449" s="40"/>
      <c r="U449" s="204"/>
      <c r="V449" s="204"/>
      <c r="W449" s="232" t="s">
        <v>133</v>
      </c>
      <c r="X449" s="198"/>
      <c r="Y449" s="40"/>
      <c r="Z449" s="126" t="s">
        <v>6</v>
      </c>
      <c r="AA449" s="126" t="s">
        <v>6</v>
      </c>
      <c r="AB449" s="215"/>
      <c r="AC449" s="199"/>
      <c r="AD449" s="201" t="s">
        <v>1047</v>
      </c>
      <c r="AE449" s="232" t="s">
        <v>133</v>
      </c>
      <c r="AF449" s="198"/>
      <c r="AG449" s="40"/>
      <c r="AH449" s="126" t="s">
        <v>6</v>
      </c>
      <c r="AI449" s="126" t="s">
        <v>6</v>
      </c>
      <c r="AJ449" s="215" t="s">
        <v>4403</v>
      </c>
      <c r="AK449" s="199"/>
      <c r="AL449" s="201" t="s">
        <v>1047</v>
      </c>
      <c r="AM449" s="199" t="s">
        <v>1046</v>
      </c>
      <c r="AN449" s="199"/>
      <c r="AO449" s="199"/>
      <c r="AP449" s="199"/>
      <c r="AQ449" s="199"/>
      <c r="AR449" s="199"/>
      <c r="AS449" s="199"/>
      <c r="AT449" s="199"/>
      <c r="AU449" s="199"/>
      <c r="AV449" s="199"/>
      <c r="AW449" s="155"/>
    </row>
    <row r="450" spans="1:49" s="236" customFormat="1" ht="39.6">
      <c r="A450" s="40">
        <f t="shared" si="31"/>
        <v>444</v>
      </c>
      <c r="B450" s="199"/>
      <c r="C450" s="199"/>
      <c r="D450" s="199"/>
      <c r="E450" s="199"/>
      <c r="F450" s="199"/>
      <c r="G450" s="199"/>
      <c r="H450" s="199"/>
      <c r="I450" s="199" t="s">
        <v>868</v>
      </c>
      <c r="J450" s="412" t="s">
        <v>4404</v>
      </c>
      <c r="K450" s="232" t="s">
        <v>117</v>
      </c>
      <c r="L450" s="204" t="s">
        <v>4405</v>
      </c>
      <c r="M450" s="351" t="s">
        <v>4378</v>
      </c>
      <c r="N450" s="40" t="s">
        <v>504</v>
      </c>
      <c r="O450" s="40"/>
      <c r="P450" s="40"/>
      <c r="Q450" s="40" t="s">
        <v>6</v>
      </c>
      <c r="R450" s="40" t="s">
        <v>6</v>
      </c>
      <c r="S450" s="40" t="s">
        <v>6</v>
      </c>
      <c r="T450" s="40"/>
      <c r="U450" s="204"/>
      <c r="V450" s="204"/>
      <c r="W450" s="232" t="s">
        <v>133</v>
      </c>
      <c r="X450" s="198"/>
      <c r="Y450" s="40"/>
      <c r="Z450" s="126" t="s">
        <v>6</v>
      </c>
      <c r="AA450" s="126" t="s">
        <v>6</v>
      </c>
      <c r="AB450" s="215"/>
      <c r="AC450" s="199"/>
      <c r="AD450" s="201" t="s">
        <v>1047</v>
      </c>
      <c r="AE450" s="232" t="s">
        <v>133</v>
      </c>
      <c r="AF450" s="198"/>
      <c r="AG450" s="40"/>
      <c r="AH450" s="126" t="s">
        <v>6</v>
      </c>
      <c r="AI450" s="126" t="s">
        <v>6</v>
      </c>
      <c r="AJ450" s="215" t="s">
        <v>4406</v>
      </c>
      <c r="AK450" s="199"/>
      <c r="AL450" s="201" t="s">
        <v>1047</v>
      </c>
      <c r="AM450" s="199" t="s">
        <v>1046</v>
      </c>
      <c r="AN450" s="199"/>
      <c r="AO450" s="199"/>
      <c r="AP450" s="199"/>
      <c r="AQ450" s="199"/>
      <c r="AR450" s="199"/>
      <c r="AS450" s="199"/>
      <c r="AT450" s="199"/>
      <c r="AU450" s="199"/>
      <c r="AV450" s="199"/>
      <c r="AW450" s="155"/>
    </row>
    <row r="451" spans="1:49" s="236" customFormat="1" ht="26.4">
      <c r="A451" s="40">
        <f t="shared" si="31"/>
        <v>445</v>
      </c>
      <c r="B451" s="199"/>
      <c r="C451" s="199"/>
      <c r="D451" s="199"/>
      <c r="E451" s="199"/>
      <c r="F451" s="199"/>
      <c r="G451" s="199"/>
      <c r="H451" s="199"/>
      <c r="I451" s="199"/>
      <c r="J451" s="412" t="s">
        <v>4407</v>
      </c>
      <c r="K451" s="232" t="s">
        <v>117</v>
      </c>
      <c r="L451" s="204" t="s">
        <v>4408</v>
      </c>
      <c r="M451" s="351" t="s">
        <v>4378</v>
      </c>
      <c r="N451" s="40" t="s">
        <v>504</v>
      </c>
      <c r="O451" s="40"/>
      <c r="P451" s="40"/>
      <c r="Q451" s="40"/>
      <c r="R451" s="40" t="s">
        <v>6</v>
      </c>
      <c r="S451" s="40" t="s">
        <v>6</v>
      </c>
      <c r="T451" s="40"/>
      <c r="U451" s="218" t="s">
        <v>4066</v>
      </c>
      <c r="V451" s="204"/>
      <c r="W451" s="204" t="s">
        <v>125</v>
      </c>
      <c r="X451" s="40"/>
      <c r="Y451" s="40"/>
      <c r="Z451" s="40"/>
      <c r="AA451" s="126" t="s">
        <v>6</v>
      </c>
      <c r="AB451" s="198"/>
      <c r="AC451" s="199"/>
      <c r="AD451" s="412" t="s">
        <v>4409</v>
      </c>
      <c r="AE451" s="204" t="s">
        <v>125</v>
      </c>
      <c r="AF451" s="40"/>
      <c r="AG451" s="40"/>
      <c r="AH451" s="40"/>
      <c r="AI451" s="126" t="s">
        <v>6</v>
      </c>
      <c r="AJ451" s="198"/>
      <c r="AK451" s="199"/>
      <c r="AL451" s="412" t="s">
        <v>4409</v>
      </c>
      <c r="AM451" s="199" t="s">
        <v>1046</v>
      </c>
      <c r="AN451" s="202"/>
      <c r="AO451" s="199"/>
      <c r="AP451" s="199"/>
      <c r="AQ451" s="199"/>
      <c r="AR451" s="199"/>
      <c r="AS451" s="199"/>
      <c r="AT451" s="199"/>
      <c r="AU451" s="199"/>
      <c r="AV451" s="199"/>
      <c r="AW451" s="155"/>
    </row>
    <row r="452" spans="1:49" s="236" customFormat="1" ht="26.4">
      <c r="A452" s="40">
        <f t="shared" si="31"/>
        <v>446</v>
      </c>
      <c r="B452" s="199"/>
      <c r="C452" s="199"/>
      <c r="D452" s="199"/>
      <c r="E452" s="199"/>
      <c r="F452" s="199"/>
      <c r="G452" s="199"/>
      <c r="H452" s="199"/>
      <c r="I452" s="199"/>
      <c r="J452" s="412" t="s">
        <v>4410</v>
      </c>
      <c r="K452" s="232" t="s">
        <v>117</v>
      </c>
      <c r="L452" s="204" t="s">
        <v>4411</v>
      </c>
      <c r="M452" s="351" t="s">
        <v>4378</v>
      </c>
      <c r="N452" s="40" t="s">
        <v>504</v>
      </c>
      <c r="O452" s="40"/>
      <c r="P452" s="40"/>
      <c r="Q452" s="40"/>
      <c r="R452" s="40" t="s">
        <v>6</v>
      </c>
      <c r="S452" s="40" t="s">
        <v>6</v>
      </c>
      <c r="T452" s="40"/>
      <c r="U452" s="218" t="s">
        <v>4066</v>
      </c>
      <c r="V452" s="204"/>
      <c r="W452" s="204" t="s">
        <v>125</v>
      </c>
      <c r="X452" s="40"/>
      <c r="Y452" s="40"/>
      <c r="Z452" s="40"/>
      <c r="AA452" s="126" t="s">
        <v>6</v>
      </c>
      <c r="AB452" s="198"/>
      <c r="AC452" s="199"/>
      <c r="AD452" s="412" t="s">
        <v>4409</v>
      </c>
      <c r="AE452" s="204" t="s">
        <v>125</v>
      </c>
      <c r="AF452" s="40"/>
      <c r="AG452" s="40"/>
      <c r="AH452" s="40"/>
      <c r="AI452" s="126" t="s">
        <v>6</v>
      </c>
      <c r="AJ452" s="198"/>
      <c r="AK452" s="199"/>
      <c r="AL452" s="412" t="s">
        <v>4409</v>
      </c>
      <c r="AM452" s="199" t="s">
        <v>1046</v>
      </c>
      <c r="AN452" s="202"/>
      <c r="AO452" s="199"/>
      <c r="AP452" s="199"/>
      <c r="AQ452" s="199"/>
      <c r="AR452" s="199"/>
      <c r="AS452" s="199"/>
      <c r="AT452" s="199"/>
      <c r="AU452" s="199"/>
      <c r="AV452" s="199"/>
      <c r="AW452" s="155"/>
    </row>
    <row r="453" spans="1:49" s="236" customFormat="1" ht="26.4">
      <c r="A453" s="40">
        <f t="shared" si="31"/>
        <v>447</v>
      </c>
      <c r="B453" s="199"/>
      <c r="C453" s="199"/>
      <c r="D453" s="199"/>
      <c r="E453" s="199"/>
      <c r="F453" s="199"/>
      <c r="G453" s="199"/>
      <c r="H453" s="199"/>
      <c r="I453" s="199"/>
      <c r="J453" s="412" t="s">
        <v>4412</v>
      </c>
      <c r="K453" s="232" t="s">
        <v>117</v>
      </c>
      <c r="L453" s="204" t="s">
        <v>4413</v>
      </c>
      <c r="M453" s="351" t="s">
        <v>4378</v>
      </c>
      <c r="N453" s="40" t="s">
        <v>504</v>
      </c>
      <c r="O453" s="40"/>
      <c r="P453" s="40"/>
      <c r="Q453" s="40"/>
      <c r="R453" s="40" t="s">
        <v>6</v>
      </c>
      <c r="S453" s="40" t="s">
        <v>6</v>
      </c>
      <c r="T453" s="40"/>
      <c r="U453" s="218" t="s">
        <v>4066</v>
      </c>
      <c r="V453" s="204"/>
      <c r="W453" s="204" t="s">
        <v>125</v>
      </c>
      <c r="X453" s="40"/>
      <c r="Y453" s="40"/>
      <c r="Z453" s="40"/>
      <c r="AA453" s="126" t="s">
        <v>6</v>
      </c>
      <c r="AB453" s="198"/>
      <c r="AC453" s="199"/>
      <c r="AD453" s="412" t="s">
        <v>4409</v>
      </c>
      <c r="AE453" s="204" t="s">
        <v>125</v>
      </c>
      <c r="AF453" s="40"/>
      <c r="AG453" s="40"/>
      <c r="AH453" s="40"/>
      <c r="AI453" s="126" t="s">
        <v>6</v>
      </c>
      <c r="AJ453" s="198"/>
      <c r="AK453" s="199"/>
      <c r="AL453" s="412" t="s">
        <v>4409</v>
      </c>
      <c r="AM453" s="199" t="s">
        <v>1046</v>
      </c>
      <c r="AN453" s="202"/>
      <c r="AO453" s="199"/>
      <c r="AP453" s="199"/>
      <c r="AQ453" s="199"/>
      <c r="AR453" s="199"/>
      <c r="AS453" s="199"/>
      <c r="AT453" s="199"/>
      <c r="AU453" s="199"/>
      <c r="AV453" s="199"/>
      <c r="AW453" s="155"/>
    </row>
    <row r="454" spans="1:49" s="236" customFormat="1" ht="39.6">
      <c r="A454" s="40">
        <f t="shared" si="31"/>
        <v>448</v>
      </c>
      <c r="B454" s="199"/>
      <c r="C454" s="199"/>
      <c r="D454" s="199"/>
      <c r="E454" s="199"/>
      <c r="F454" s="199"/>
      <c r="G454" s="199"/>
      <c r="H454" s="199"/>
      <c r="I454" s="199"/>
      <c r="J454" s="412" t="s">
        <v>4414</v>
      </c>
      <c r="K454" s="232" t="s">
        <v>117</v>
      </c>
      <c r="L454" s="204" t="s">
        <v>4415</v>
      </c>
      <c r="M454" s="351" t="s">
        <v>4378</v>
      </c>
      <c r="N454" s="40" t="s">
        <v>504</v>
      </c>
      <c r="O454" s="40"/>
      <c r="P454" s="40"/>
      <c r="Q454" s="40"/>
      <c r="R454" s="40" t="s">
        <v>6</v>
      </c>
      <c r="S454" s="40" t="s">
        <v>6</v>
      </c>
      <c r="T454" s="40"/>
      <c r="U454" s="204"/>
      <c r="V454" s="204"/>
      <c r="W454" s="232" t="s">
        <v>133</v>
      </c>
      <c r="X454" s="40"/>
      <c r="Y454" s="40"/>
      <c r="Z454" s="126" t="s">
        <v>6</v>
      </c>
      <c r="AA454" s="126" t="s">
        <v>6</v>
      </c>
      <c r="AB454" s="215"/>
      <c r="AC454" s="199"/>
      <c r="AD454" s="201" t="s">
        <v>1047</v>
      </c>
      <c r="AE454" s="232" t="s">
        <v>133</v>
      </c>
      <c r="AF454" s="40"/>
      <c r="AG454" s="40"/>
      <c r="AH454" s="126" t="s">
        <v>6</v>
      </c>
      <c r="AI454" s="126" t="s">
        <v>6</v>
      </c>
      <c r="AJ454" s="215" t="s">
        <v>4416</v>
      </c>
      <c r="AK454" s="199"/>
      <c r="AL454" s="201" t="s">
        <v>1047</v>
      </c>
      <c r="AM454" s="199" t="s">
        <v>1046</v>
      </c>
      <c r="AN454" s="199"/>
      <c r="AO454" s="199"/>
      <c r="AP454" s="199"/>
      <c r="AQ454" s="199"/>
      <c r="AR454" s="199"/>
      <c r="AS454" s="199"/>
      <c r="AT454" s="199"/>
      <c r="AU454" s="199"/>
      <c r="AV454" s="199"/>
      <c r="AW454" s="155"/>
    </row>
    <row r="455" spans="1:49" s="236" customFormat="1" ht="39.6">
      <c r="A455" s="40">
        <f t="shared" ref="A455:A518" si="32">ROW() - 6</f>
        <v>449</v>
      </c>
      <c r="B455" s="199"/>
      <c r="C455" s="199"/>
      <c r="D455" s="199"/>
      <c r="E455" s="199"/>
      <c r="F455" s="199"/>
      <c r="G455" s="199"/>
      <c r="H455" s="199"/>
      <c r="I455" s="199"/>
      <c r="J455" s="412" t="s">
        <v>4417</v>
      </c>
      <c r="K455" s="232" t="s">
        <v>117</v>
      </c>
      <c r="L455" s="204" t="s">
        <v>4418</v>
      </c>
      <c r="M455" s="351" t="s">
        <v>4378</v>
      </c>
      <c r="N455" s="40" t="s">
        <v>504</v>
      </c>
      <c r="O455" s="40"/>
      <c r="P455" s="40"/>
      <c r="Q455" s="40"/>
      <c r="R455" s="40" t="s">
        <v>6</v>
      </c>
      <c r="S455" s="40" t="s">
        <v>6</v>
      </c>
      <c r="T455" s="40"/>
      <c r="U455" s="218" t="s">
        <v>4066</v>
      </c>
      <c r="V455" s="204"/>
      <c r="W455" s="204" t="s">
        <v>125</v>
      </c>
      <c r="X455" s="40"/>
      <c r="Y455" s="40"/>
      <c r="Z455" s="40"/>
      <c r="AA455" s="126" t="s">
        <v>6</v>
      </c>
      <c r="AB455" s="198"/>
      <c r="AC455" s="199"/>
      <c r="AD455" s="412" t="s">
        <v>4419</v>
      </c>
      <c r="AE455" s="204" t="s">
        <v>125</v>
      </c>
      <c r="AF455" s="40"/>
      <c r="AG455" s="40"/>
      <c r="AH455" s="40"/>
      <c r="AI455" s="126" t="s">
        <v>6</v>
      </c>
      <c r="AJ455" s="198"/>
      <c r="AK455" s="199"/>
      <c r="AL455" s="412" t="s">
        <v>4419</v>
      </c>
      <c r="AM455" s="199" t="s">
        <v>1046</v>
      </c>
      <c r="AN455" s="202"/>
      <c r="AO455" s="199"/>
      <c r="AP455" s="199"/>
      <c r="AQ455" s="199"/>
      <c r="AR455" s="199"/>
      <c r="AS455" s="199"/>
      <c r="AT455" s="199"/>
      <c r="AU455" s="199"/>
      <c r="AV455" s="199"/>
      <c r="AW455" s="155"/>
    </row>
    <row r="456" spans="1:49" s="236" customFormat="1" ht="39.6">
      <c r="A456" s="40">
        <f t="shared" si="32"/>
        <v>450</v>
      </c>
      <c r="B456" s="199"/>
      <c r="C456" s="199"/>
      <c r="D456" s="199"/>
      <c r="E456" s="199"/>
      <c r="F456" s="199"/>
      <c r="G456" s="199"/>
      <c r="H456" s="199"/>
      <c r="I456" s="199"/>
      <c r="J456" s="412" t="s">
        <v>4420</v>
      </c>
      <c r="K456" s="232" t="s">
        <v>117</v>
      </c>
      <c r="L456" s="204" t="s">
        <v>4421</v>
      </c>
      <c r="M456" s="351" t="s">
        <v>4378</v>
      </c>
      <c r="N456" s="40" t="s">
        <v>504</v>
      </c>
      <c r="O456" s="40"/>
      <c r="P456" s="40"/>
      <c r="Q456" s="40"/>
      <c r="R456" s="40" t="s">
        <v>6</v>
      </c>
      <c r="S456" s="40" t="s">
        <v>6</v>
      </c>
      <c r="T456" s="40"/>
      <c r="U456" s="218" t="s">
        <v>4066</v>
      </c>
      <c r="V456" s="204"/>
      <c r="W456" s="204" t="s">
        <v>125</v>
      </c>
      <c r="X456" s="40"/>
      <c r="Y456" s="40"/>
      <c r="Z456" s="40"/>
      <c r="AA456" s="126" t="s">
        <v>6</v>
      </c>
      <c r="AB456" s="198"/>
      <c r="AC456" s="199"/>
      <c r="AD456" s="412" t="s">
        <v>4419</v>
      </c>
      <c r="AE456" s="204" t="s">
        <v>125</v>
      </c>
      <c r="AF456" s="40"/>
      <c r="AG456" s="40"/>
      <c r="AH456" s="40"/>
      <c r="AI456" s="126" t="s">
        <v>6</v>
      </c>
      <c r="AJ456" s="198"/>
      <c r="AK456" s="199"/>
      <c r="AL456" s="412" t="s">
        <v>4419</v>
      </c>
      <c r="AM456" s="199" t="s">
        <v>1046</v>
      </c>
      <c r="AN456" s="202"/>
      <c r="AO456" s="199"/>
      <c r="AP456" s="199"/>
      <c r="AQ456" s="199"/>
      <c r="AR456" s="199"/>
      <c r="AS456" s="199"/>
      <c r="AT456" s="199"/>
      <c r="AU456" s="199"/>
      <c r="AV456" s="199"/>
      <c r="AW456" s="155"/>
    </row>
    <row r="457" spans="1:49" s="236" customFormat="1" ht="39.6">
      <c r="A457" s="40">
        <f t="shared" si="32"/>
        <v>451</v>
      </c>
      <c r="B457" s="199"/>
      <c r="C457" s="199"/>
      <c r="D457" s="199"/>
      <c r="E457" s="199"/>
      <c r="F457" s="199"/>
      <c r="G457" s="199"/>
      <c r="H457" s="199"/>
      <c r="I457" s="199"/>
      <c r="J457" s="412" t="s">
        <v>4422</v>
      </c>
      <c r="K457" s="232" t="s">
        <v>117</v>
      </c>
      <c r="L457" s="204" t="s">
        <v>4423</v>
      </c>
      <c r="M457" s="351" t="s">
        <v>4378</v>
      </c>
      <c r="N457" s="40" t="s">
        <v>504</v>
      </c>
      <c r="O457" s="40"/>
      <c r="P457" s="40"/>
      <c r="Q457" s="40"/>
      <c r="R457" s="40" t="s">
        <v>6</v>
      </c>
      <c r="S457" s="40" t="s">
        <v>6</v>
      </c>
      <c r="T457" s="40"/>
      <c r="U457" s="218" t="s">
        <v>4066</v>
      </c>
      <c r="V457" s="204"/>
      <c r="W457" s="204" t="s">
        <v>125</v>
      </c>
      <c r="X457" s="40"/>
      <c r="Y457" s="40"/>
      <c r="Z457" s="40"/>
      <c r="AA457" s="126" t="s">
        <v>6</v>
      </c>
      <c r="AB457" s="198"/>
      <c r="AC457" s="199"/>
      <c r="AD457" s="412" t="s">
        <v>4419</v>
      </c>
      <c r="AE457" s="204" t="s">
        <v>125</v>
      </c>
      <c r="AF457" s="40"/>
      <c r="AG457" s="40"/>
      <c r="AH457" s="40"/>
      <c r="AI457" s="126" t="s">
        <v>6</v>
      </c>
      <c r="AJ457" s="198"/>
      <c r="AK457" s="199"/>
      <c r="AL457" s="412" t="s">
        <v>4419</v>
      </c>
      <c r="AM457" s="199" t="s">
        <v>1046</v>
      </c>
      <c r="AN457" s="202"/>
      <c r="AO457" s="199"/>
      <c r="AP457" s="199"/>
      <c r="AQ457" s="199"/>
      <c r="AR457" s="199"/>
      <c r="AS457" s="199"/>
      <c r="AT457" s="199"/>
      <c r="AU457" s="199"/>
      <c r="AV457" s="199"/>
      <c r="AW457" s="155"/>
    </row>
    <row r="458" spans="1:49" s="236" customFormat="1" ht="39.6">
      <c r="A458" s="40">
        <f t="shared" si="32"/>
        <v>452</v>
      </c>
      <c r="B458" s="199"/>
      <c r="C458" s="199"/>
      <c r="D458" s="199"/>
      <c r="E458" s="199"/>
      <c r="F458" s="199"/>
      <c r="G458" s="199"/>
      <c r="H458" s="199"/>
      <c r="I458" s="199" t="s">
        <v>868</v>
      </c>
      <c r="J458" s="412" t="s">
        <v>4424</v>
      </c>
      <c r="K458" s="232" t="s">
        <v>117</v>
      </c>
      <c r="L458" s="204" t="s">
        <v>4425</v>
      </c>
      <c r="M458" s="351" t="s">
        <v>4378</v>
      </c>
      <c r="N458" s="40" t="s">
        <v>504</v>
      </c>
      <c r="O458" s="40"/>
      <c r="P458" s="40"/>
      <c r="Q458" s="40"/>
      <c r="R458" s="40" t="s">
        <v>6</v>
      </c>
      <c r="S458" s="40" t="s">
        <v>6</v>
      </c>
      <c r="T458" s="40"/>
      <c r="U458" s="204"/>
      <c r="V458" s="204"/>
      <c r="W458" s="232" t="s">
        <v>133</v>
      </c>
      <c r="X458" s="40"/>
      <c r="Y458" s="40"/>
      <c r="Z458" s="126"/>
      <c r="AA458" s="126" t="s">
        <v>6</v>
      </c>
      <c r="AB458" s="215"/>
      <c r="AC458" s="199"/>
      <c r="AD458" s="201" t="s">
        <v>1047</v>
      </c>
      <c r="AE458" s="232" t="s">
        <v>133</v>
      </c>
      <c r="AF458" s="40"/>
      <c r="AG458" s="40"/>
      <c r="AH458" s="126" t="s">
        <v>6</v>
      </c>
      <c r="AI458" s="126" t="s">
        <v>6</v>
      </c>
      <c r="AJ458" s="215" t="s">
        <v>4426</v>
      </c>
      <c r="AK458" s="199"/>
      <c r="AL458" s="201" t="s">
        <v>1047</v>
      </c>
      <c r="AM458" s="199" t="s">
        <v>1046</v>
      </c>
      <c r="AN458" s="199"/>
      <c r="AO458" s="199"/>
      <c r="AP458" s="199"/>
      <c r="AQ458" s="199"/>
      <c r="AR458" s="199"/>
      <c r="AS458" s="199"/>
      <c r="AT458" s="199"/>
      <c r="AU458" s="199"/>
      <c r="AV458" s="199"/>
      <c r="AW458" s="155"/>
    </row>
    <row r="459" spans="1:49" s="236" customFormat="1" ht="39.6">
      <c r="A459" s="40">
        <f t="shared" si="32"/>
        <v>453</v>
      </c>
      <c r="B459" s="199"/>
      <c r="C459" s="199"/>
      <c r="D459" s="199"/>
      <c r="E459" s="199"/>
      <c r="F459" s="199"/>
      <c r="G459" s="199"/>
      <c r="H459" s="199"/>
      <c r="I459" s="199" t="s">
        <v>868</v>
      </c>
      <c r="J459" s="412" t="s">
        <v>4427</v>
      </c>
      <c r="K459" s="232" t="s">
        <v>117</v>
      </c>
      <c r="L459" s="204" t="s">
        <v>4428</v>
      </c>
      <c r="M459" s="351" t="s">
        <v>4378</v>
      </c>
      <c r="N459" s="40" t="s">
        <v>504</v>
      </c>
      <c r="O459" s="40"/>
      <c r="P459" s="40"/>
      <c r="Q459" s="40"/>
      <c r="R459" s="40" t="s">
        <v>6</v>
      </c>
      <c r="S459" s="40" t="s">
        <v>6</v>
      </c>
      <c r="T459" s="40"/>
      <c r="U459" s="204"/>
      <c r="V459" s="204"/>
      <c r="W459" s="232" t="s">
        <v>133</v>
      </c>
      <c r="X459" s="40"/>
      <c r="Y459" s="40"/>
      <c r="Z459" s="126"/>
      <c r="AA459" s="126" t="s">
        <v>6</v>
      </c>
      <c r="AB459" s="215"/>
      <c r="AC459" s="199"/>
      <c r="AD459" s="201" t="s">
        <v>1047</v>
      </c>
      <c r="AE459" s="232" t="s">
        <v>133</v>
      </c>
      <c r="AF459" s="40"/>
      <c r="AG459" s="40"/>
      <c r="AH459" s="126" t="s">
        <v>6</v>
      </c>
      <c r="AI459" s="126" t="s">
        <v>6</v>
      </c>
      <c r="AJ459" s="215" t="s">
        <v>4429</v>
      </c>
      <c r="AK459" s="199"/>
      <c r="AL459" s="201" t="s">
        <v>1047</v>
      </c>
      <c r="AM459" s="199" t="s">
        <v>1046</v>
      </c>
      <c r="AN459" s="199"/>
      <c r="AO459" s="199"/>
      <c r="AP459" s="199"/>
      <c r="AQ459" s="199"/>
      <c r="AR459" s="199"/>
      <c r="AS459" s="199"/>
      <c r="AT459" s="199"/>
      <c r="AU459" s="199"/>
      <c r="AV459" s="199"/>
      <c r="AW459" s="155"/>
    </row>
    <row r="460" spans="1:49" s="236" customFormat="1" ht="26.4">
      <c r="A460" s="40">
        <f t="shared" si="32"/>
        <v>454</v>
      </c>
      <c r="B460" s="199"/>
      <c r="C460" s="199"/>
      <c r="D460" s="199"/>
      <c r="E460" s="199"/>
      <c r="F460" s="199"/>
      <c r="G460" s="199"/>
      <c r="H460" s="199"/>
      <c r="I460" s="199"/>
      <c r="J460" s="412" t="s">
        <v>4430</v>
      </c>
      <c r="K460" s="232" t="s">
        <v>117</v>
      </c>
      <c r="L460" s="204" t="s">
        <v>4431</v>
      </c>
      <c r="M460" s="351" t="s">
        <v>4378</v>
      </c>
      <c r="N460" s="40" t="s">
        <v>504</v>
      </c>
      <c r="O460" s="40"/>
      <c r="P460" s="40"/>
      <c r="Q460" s="40"/>
      <c r="R460" s="40" t="s">
        <v>6</v>
      </c>
      <c r="S460" s="40" t="s">
        <v>6</v>
      </c>
      <c r="T460" s="40"/>
      <c r="U460" s="218" t="s">
        <v>4066</v>
      </c>
      <c r="V460" s="204"/>
      <c r="W460" s="204" t="s">
        <v>125</v>
      </c>
      <c r="X460" s="198"/>
      <c r="Y460" s="40"/>
      <c r="Z460" s="40"/>
      <c r="AA460" s="126" t="s">
        <v>6</v>
      </c>
      <c r="AB460" s="198"/>
      <c r="AC460" s="199"/>
      <c r="AD460" s="412" t="s">
        <v>4432</v>
      </c>
      <c r="AE460" s="204" t="s">
        <v>125</v>
      </c>
      <c r="AF460" s="198"/>
      <c r="AG460" s="40"/>
      <c r="AH460" s="40"/>
      <c r="AI460" s="126" t="s">
        <v>6</v>
      </c>
      <c r="AJ460" s="198"/>
      <c r="AK460" s="199"/>
      <c r="AL460" s="412" t="s">
        <v>4432</v>
      </c>
      <c r="AM460" s="199" t="s">
        <v>1046</v>
      </c>
      <c r="AN460" s="202"/>
      <c r="AO460" s="199"/>
      <c r="AP460" s="199"/>
      <c r="AQ460" s="199"/>
      <c r="AR460" s="199"/>
      <c r="AS460" s="199"/>
      <c r="AT460" s="199"/>
      <c r="AU460" s="199"/>
      <c r="AV460" s="199"/>
      <c r="AW460" s="155"/>
    </row>
    <row r="461" spans="1:49" s="236" customFormat="1" ht="26.4">
      <c r="A461" s="40">
        <f t="shared" si="32"/>
        <v>455</v>
      </c>
      <c r="B461" s="199"/>
      <c r="C461" s="199"/>
      <c r="D461" s="199"/>
      <c r="E461" s="199"/>
      <c r="F461" s="199"/>
      <c r="G461" s="199"/>
      <c r="H461" s="199"/>
      <c r="I461" s="199"/>
      <c r="J461" s="412" t="s">
        <v>4433</v>
      </c>
      <c r="K461" s="232" t="s">
        <v>117</v>
      </c>
      <c r="L461" s="204" t="s">
        <v>4434</v>
      </c>
      <c r="M461" s="351" t="s">
        <v>4378</v>
      </c>
      <c r="N461" s="40" t="s">
        <v>504</v>
      </c>
      <c r="O461" s="40"/>
      <c r="P461" s="40"/>
      <c r="Q461" s="40"/>
      <c r="R461" s="40" t="s">
        <v>6</v>
      </c>
      <c r="S461" s="40" t="s">
        <v>6</v>
      </c>
      <c r="T461" s="40"/>
      <c r="U461" s="218" t="s">
        <v>4066</v>
      </c>
      <c r="V461" s="204"/>
      <c r="W461" s="204" t="s">
        <v>125</v>
      </c>
      <c r="X461" s="198"/>
      <c r="Y461" s="198"/>
      <c r="Z461" s="40"/>
      <c r="AA461" s="126" t="s">
        <v>6</v>
      </c>
      <c r="AB461" s="198"/>
      <c r="AC461" s="199"/>
      <c r="AD461" s="412" t="s">
        <v>4432</v>
      </c>
      <c r="AE461" s="204" t="s">
        <v>125</v>
      </c>
      <c r="AF461" s="198"/>
      <c r="AG461" s="198"/>
      <c r="AH461" s="40"/>
      <c r="AI461" s="126" t="s">
        <v>6</v>
      </c>
      <c r="AJ461" s="198"/>
      <c r="AK461" s="199"/>
      <c r="AL461" s="412" t="s">
        <v>4432</v>
      </c>
      <c r="AM461" s="199" t="s">
        <v>1046</v>
      </c>
      <c r="AN461" s="202"/>
      <c r="AO461" s="199"/>
      <c r="AP461" s="199"/>
      <c r="AQ461" s="199"/>
      <c r="AR461" s="199"/>
      <c r="AS461" s="199"/>
      <c r="AT461" s="199"/>
      <c r="AU461" s="199"/>
      <c r="AV461" s="199"/>
      <c r="AW461" s="155"/>
    </row>
    <row r="462" spans="1:49" s="236" customFormat="1" ht="26.4">
      <c r="A462" s="40">
        <f t="shared" si="32"/>
        <v>456</v>
      </c>
      <c r="B462" s="199"/>
      <c r="C462" s="199"/>
      <c r="D462" s="199"/>
      <c r="E462" s="199"/>
      <c r="F462" s="199"/>
      <c r="G462" s="199"/>
      <c r="H462" s="199"/>
      <c r="I462" s="199"/>
      <c r="J462" s="412" t="s">
        <v>4435</v>
      </c>
      <c r="K462" s="232" t="s">
        <v>117</v>
      </c>
      <c r="L462" s="204" t="s">
        <v>4436</v>
      </c>
      <c r="M462" s="351" t="s">
        <v>4378</v>
      </c>
      <c r="N462" s="40" t="s">
        <v>504</v>
      </c>
      <c r="O462" s="40"/>
      <c r="P462" s="40"/>
      <c r="Q462" s="40"/>
      <c r="R462" s="40" t="s">
        <v>6</v>
      </c>
      <c r="S462" s="40" t="s">
        <v>6</v>
      </c>
      <c r="T462" s="40"/>
      <c r="U462" s="218" t="s">
        <v>4066</v>
      </c>
      <c r="V462" s="204"/>
      <c r="W462" s="204" t="s">
        <v>125</v>
      </c>
      <c r="X462" s="198"/>
      <c r="Y462" s="198"/>
      <c r="Z462" s="40"/>
      <c r="AA462" s="126" t="s">
        <v>6</v>
      </c>
      <c r="AB462" s="198"/>
      <c r="AC462" s="199"/>
      <c r="AD462" s="412" t="s">
        <v>4432</v>
      </c>
      <c r="AE462" s="204" t="s">
        <v>125</v>
      </c>
      <c r="AF462" s="198"/>
      <c r="AG462" s="198"/>
      <c r="AH462" s="40"/>
      <c r="AI462" s="126" t="s">
        <v>6</v>
      </c>
      <c r="AJ462" s="198"/>
      <c r="AK462" s="199"/>
      <c r="AL462" s="412" t="s">
        <v>4432</v>
      </c>
      <c r="AM462" s="199" t="s">
        <v>1046</v>
      </c>
      <c r="AN462" s="202"/>
      <c r="AO462" s="199"/>
      <c r="AP462" s="199"/>
      <c r="AQ462" s="199"/>
      <c r="AR462" s="199"/>
      <c r="AS462" s="199"/>
      <c r="AT462" s="199"/>
      <c r="AU462" s="199"/>
      <c r="AV462" s="199"/>
      <c r="AW462" s="155"/>
    </row>
    <row r="463" spans="1:49" s="236" customFormat="1" ht="39.6">
      <c r="A463" s="40">
        <f t="shared" si="32"/>
        <v>457</v>
      </c>
      <c r="B463" s="199"/>
      <c r="C463" s="199"/>
      <c r="D463" s="199"/>
      <c r="E463" s="199"/>
      <c r="F463" s="199"/>
      <c r="G463" s="199"/>
      <c r="H463" s="199"/>
      <c r="I463" s="199"/>
      <c r="J463" s="412" t="s">
        <v>4437</v>
      </c>
      <c r="K463" s="232" t="s">
        <v>117</v>
      </c>
      <c r="L463" s="204" t="s">
        <v>4438</v>
      </c>
      <c r="M463" s="351" t="s">
        <v>4378</v>
      </c>
      <c r="N463" s="40" t="s">
        <v>504</v>
      </c>
      <c r="O463" s="40"/>
      <c r="P463" s="40"/>
      <c r="Q463" s="40" t="s">
        <v>6</v>
      </c>
      <c r="R463" s="40" t="s">
        <v>6</v>
      </c>
      <c r="S463" s="40" t="s">
        <v>6</v>
      </c>
      <c r="T463" s="40"/>
      <c r="U463" s="204"/>
      <c r="V463" s="204"/>
      <c r="W463" s="232" t="s">
        <v>133</v>
      </c>
      <c r="X463" s="198"/>
      <c r="Y463" s="198"/>
      <c r="Z463" s="126"/>
      <c r="AA463" s="126" t="s">
        <v>6</v>
      </c>
      <c r="AB463" s="215"/>
      <c r="AC463" s="199"/>
      <c r="AD463" s="201" t="s">
        <v>1047</v>
      </c>
      <c r="AE463" s="232" t="s">
        <v>133</v>
      </c>
      <c r="AF463" s="198"/>
      <c r="AG463" s="198"/>
      <c r="AH463" s="126" t="s">
        <v>6</v>
      </c>
      <c r="AI463" s="126" t="s">
        <v>6</v>
      </c>
      <c r="AJ463" s="215" t="s">
        <v>4439</v>
      </c>
      <c r="AK463" s="199"/>
      <c r="AL463" s="201" t="s">
        <v>1047</v>
      </c>
      <c r="AM463" s="199" t="s">
        <v>1046</v>
      </c>
      <c r="AN463" s="199"/>
      <c r="AO463" s="199"/>
      <c r="AP463" s="199"/>
      <c r="AQ463" s="199"/>
      <c r="AR463" s="199"/>
      <c r="AS463" s="199"/>
      <c r="AT463" s="199"/>
      <c r="AU463" s="199"/>
      <c r="AV463" s="199"/>
      <c r="AW463" s="155"/>
    </row>
    <row r="464" spans="1:49" s="236" customFormat="1" ht="39.6">
      <c r="A464" s="40">
        <f t="shared" si="32"/>
        <v>458</v>
      </c>
      <c r="B464" s="199"/>
      <c r="C464" s="199"/>
      <c r="D464" s="199"/>
      <c r="E464" s="199"/>
      <c r="F464" s="199"/>
      <c r="G464" s="199"/>
      <c r="H464" s="199"/>
      <c r="I464" s="199"/>
      <c r="J464" s="412" t="s">
        <v>4440</v>
      </c>
      <c r="K464" s="232" t="s">
        <v>117</v>
      </c>
      <c r="L464" s="204" t="s">
        <v>4441</v>
      </c>
      <c r="M464" s="351" t="s">
        <v>4378</v>
      </c>
      <c r="N464" s="40" t="s">
        <v>504</v>
      </c>
      <c r="O464" s="40"/>
      <c r="P464" s="40"/>
      <c r="Q464" s="40" t="s">
        <v>6</v>
      </c>
      <c r="R464" s="40" t="s">
        <v>6</v>
      </c>
      <c r="S464" s="40" t="s">
        <v>6</v>
      </c>
      <c r="T464" s="40"/>
      <c r="U464" s="204"/>
      <c r="V464" s="204"/>
      <c r="W464" s="232" t="s">
        <v>133</v>
      </c>
      <c r="X464" s="40"/>
      <c r="Y464" s="40"/>
      <c r="Z464" s="126" t="s">
        <v>6</v>
      </c>
      <c r="AA464" s="126" t="s">
        <v>6</v>
      </c>
      <c r="AB464" s="215"/>
      <c r="AC464" s="199"/>
      <c r="AD464" s="201" t="s">
        <v>1047</v>
      </c>
      <c r="AE464" s="232" t="s">
        <v>133</v>
      </c>
      <c r="AF464" s="40"/>
      <c r="AG464" s="40"/>
      <c r="AH464" s="126" t="s">
        <v>6</v>
      </c>
      <c r="AI464" s="126" t="s">
        <v>6</v>
      </c>
      <c r="AJ464" s="215" t="s">
        <v>4442</v>
      </c>
      <c r="AK464" s="199"/>
      <c r="AL464" s="201" t="s">
        <v>1047</v>
      </c>
      <c r="AM464" s="199" t="s">
        <v>1056</v>
      </c>
      <c r="AN464" s="199"/>
      <c r="AO464" s="199"/>
      <c r="AP464" s="199"/>
      <c r="AQ464" s="199"/>
      <c r="AR464" s="199"/>
      <c r="AS464" s="199"/>
      <c r="AT464" s="199"/>
      <c r="AU464" s="199"/>
      <c r="AV464" s="199"/>
      <c r="AW464" s="155"/>
    </row>
    <row r="465" spans="1:87" s="236" customFormat="1" ht="26.4">
      <c r="A465" s="40">
        <f t="shared" si="32"/>
        <v>459</v>
      </c>
      <c r="B465" s="199"/>
      <c r="C465" s="199"/>
      <c r="D465" s="199"/>
      <c r="E465" s="199"/>
      <c r="F465" s="199"/>
      <c r="G465" s="199"/>
      <c r="H465" s="199"/>
      <c r="I465" s="199"/>
      <c r="J465" s="412" t="s">
        <v>4443</v>
      </c>
      <c r="K465" s="232" t="s">
        <v>117</v>
      </c>
      <c r="L465" s="204" t="s">
        <v>4444</v>
      </c>
      <c r="M465" s="351" t="s">
        <v>4378</v>
      </c>
      <c r="N465" s="40" t="s">
        <v>504</v>
      </c>
      <c r="O465" s="40"/>
      <c r="P465" s="40"/>
      <c r="Q465" s="40" t="s">
        <v>6</v>
      </c>
      <c r="R465" s="40" t="s">
        <v>6</v>
      </c>
      <c r="S465" s="40" t="s">
        <v>6</v>
      </c>
      <c r="T465" s="40"/>
      <c r="U465" s="204" t="s">
        <v>4374</v>
      </c>
      <c r="V465" s="204"/>
      <c r="W465" s="232" t="s">
        <v>133</v>
      </c>
      <c r="X465" s="199"/>
      <c r="Y465" s="199"/>
      <c r="Z465" s="40" t="s">
        <v>6</v>
      </c>
      <c r="AA465" s="40" t="s">
        <v>6</v>
      </c>
      <c r="AB465" s="204"/>
      <c r="AC465" s="199"/>
      <c r="AD465" s="199"/>
      <c r="AE465" s="232" t="s">
        <v>133</v>
      </c>
      <c r="AF465" s="199"/>
      <c r="AG465" s="199"/>
      <c r="AH465" s="126"/>
      <c r="AI465" s="126"/>
      <c r="AJ465" s="204" t="s">
        <v>4445</v>
      </c>
      <c r="AK465" s="199"/>
      <c r="AL465" s="199"/>
      <c r="AM465" s="199" t="s">
        <v>1046</v>
      </c>
      <c r="AN465" s="199"/>
      <c r="AO465" s="199"/>
      <c r="AP465" s="199"/>
      <c r="AQ465" s="199"/>
      <c r="AR465" s="199"/>
      <c r="AS465" s="199"/>
      <c r="AT465" s="199"/>
      <c r="AU465" s="199"/>
      <c r="AV465" s="199"/>
      <c r="AW465" s="155"/>
    </row>
    <row r="466" spans="1:87" s="14" customFormat="1" ht="15">
      <c r="A466" s="40">
        <f t="shared" si="32"/>
        <v>460</v>
      </c>
      <c r="B466" s="38"/>
      <c r="C466" s="42"/>
      <c r="D466" s="232"/>
      <c r="E466" s="232"/>
      <c r="F466" s="233"/>
      <c r="G466" s="233"/>
      <c r="H466" s="416"/>
      <c r="I466" s="40" t="s">
        <v>868</v>
      </c>
      <c r="J466" s="412" t="s">
        <v>4446</v>
      </c>
      <c r="K466" s="204" t="s">
        <v>132</v>
      </c>
      <c r="L466" s="204" t="s">
        <v>4447</v>
      </c>
      <c r="M466" s="351" t="s">
        <v>4378</v>
      </c>
      <c r="N466" s="40" t="s">
        <v>504</v>
      </c>
      <c r="O466" s="40"/>
      <c r="P466" s="40"/>
      <c r="Q466" s="40" t="s">
        <v>6</v>
      </c>
      <c r="R466" s="40" t="s">
        <v>6</v>
      </c>
      <c r="S466" s="40" t="s">
        <v>6</v>
      </c>
      <c r="T466" s="40"/>
      <c r="U466" s="204" t="s">
        <v>4448</v>
      </c>
      <c r="V466" s="204"/>
      <c r="W466" s="204" t="s">
        <v>133</v>
      </c>
      <c r="X466" s="199"/>
      <c r="Y466" s="199"/>
      <c r="Z466" s="126" t="s">
        <v>6</v>
      </c>
      <c r="AA466" s="126" t="s">
        <v>6</v>
      </c>
      <c r="AB466" s="40"/>
      <c r="AC466" s="40"/>
      <c r="AD466" s="40"/>
      <c r="AE466" s="204" t="s">
        <v>133</v>
      </c>
      <c r="AF466" s="199"/>
      <c r="AG466" s="199"/>
      <c r="AH466" s="126" t="s">
        <v>6</v>
      </c>
      <c r="AI466" s="126" t="s">
        <v>6</v>
      </c>
      <c r="AJ466" s="40"/>
      <c r="AK466" s="40"/>
      <c r="AL466" s="40"/>
      <c r="AM466" s="198"/>
      <c r="AN466" s="224"/>
      <c r="AO466" s="40"/>
      <c r="AP466" s="40"/>
      <c r="AQ466" s="40"/>
      <c r="AR466" s="40"/>
      <c r="AS466" s="40"/>
      <c r="AT466" s="40"/>
      <c r="AU466" s="40"/>
      <c r="AV466" s="40"/>
      <c r="AW466" s="155"/>
    </row>
    <row r="467" spans="1:87" s="14" customFormat="1" ht="15">
      <c r="A467" s="40">
        <f t="shared" si="32"/>
        <v>461</v>
      </c>
      <c r="B467" s="33"/>
      <c r="C467" s="34"/>
      <c r="D467" s="33"/>
      <c r="E467" s="33"/>
      <c r="F467" s="33"/>
      <c r="G467" s="33"/>
      <c r="H467" s="416"/>
      <c r="I467" s="416"/>
      <c r="J467" s="412" t="s">
        <v>4449</v>
      </c>
      <c r="K467" s="204" t="s">
        <v>132</v>
      </c>
      <c r="L467" s="204" t="s">
        <v>4450</v>
      </c>
      <c r="M467" s="351" t="s">
        <v>4378</v>
      </c>
      <c r="N467" s="40" t="s">
        <v>504</v>
      </c>
      <c r="O467" s="40"/>
      <c r="P467" s="40"/>
      <c r="Q467" s="40"/>
      <c r="R467" s="40" t="s">
        <v>6</v>
      </c>
      <c r="S467" s="40" t="s">
        <v>6</v>
      </c>
      <c r="T467" s="40"/>
      <c r="U467" s="218" t="s">
        <v>4066</v>
      </c>
      <c r="V467" s="204"/>
      <c r="W467" s="204" t="s">
        <v>125</v>
      </c>
      <c r="X467" s="199"/>
      <c r="Y467" s="199"/>
      <c r="Z467" s="199"/>
      <c r="AA467" s="126" t="s">
        <v>6</v>
      </c>
      <c r="AB467" s="416"/>
      <c r="AC467" s="416"/>
      <c r="AD467" s="416"/>
      <c r="AE467" s="204" t="s">
        <v>125</v>
      </c>
      <c r="AF467" s="199"/>
      <c r="AG467" s="199"/>
      <c r="AH467" s="199"/>
      <c r="AI467" s="126" t="s">
        <v>6</v>
      </c>
      <c r="AJ467" s="416"/>
      <c r="AK467" s="416"/>
      <c r="AL467" s="416"/>
      <c r="AM467" s="198"/>
      <c r="AN467" s="200"/>
      <c r="AO467" s="245"/>
      <c r="AP467" s="245"/>
      <c r="AQ467" s="245"/>
      <c r="AR467" s="245"/>
      <c r="AS467" s="245"/>
      <c r="AT467" s="245"/>
      <c r="AU467" s="40"/>
      <c r="AV467" s="416"/>
      <c r="AW467" s="155"/>
    </row>
    <row r="468" spans="1:87" s="14" customFormat="1" ht="15">
      <c r="A468" s="40">
        <f t="shared" si="32"/>
        <v>462</v>
      </c>
      <c r="B468" s="38"/>
      <c r="C468" s="34"/>
      <c r="D468" s="33"/>
      <c r="E468" s="39"/>
      <c r="F468" s="39"/>
      <c r="G468" s="39"/>
      <c r="H468" s="416"/>
      <c r="I468" s="40"/>
      <c r="J468" s="412" t="s">
        <v>4451</v>
      </c>
      <c r="K468" s="204" t="s">
        <v>132</v>
      </c>
      <c r="L468" s="204" t="s">
        <v>4452</v>
      </c>
      <c r="M468" s="351" t="s">
        <v>4378</v>
      </c>
      <c r="N468" s="40" t="s">
        <v>504</v>
      </c>
      <c r="O468" s="40"/>
      <c r="P468" s="40"/>
      <c r="Q468" s="40"/>
      <c r="R468" s="40" t="s">
        <v>6</v>
      </c>
      <c r="S468" s="40" t="s">
        <v>6</v>
      </c>
      <c r="T468" s="40"/>
      <c r="U468" s="218" t="s">
        <v>4066</v>
      </c>
      <c r="V468" s="204"/>
      <c r="W468" s="204" t="s">
        <v>125</v>
      </c>
      <c r="X468" s="199"/>
      <c r="Y468" s="199"/>
      <c r="Z468" s="199"/>
      <c r="AA468" s="126" t="s">
        <v>6</v>
      </c>
      <c r="AB468" s="416"/>
      <c r="AC468" s="416"/>
      <c r="AD468" s="233"/>
      <c r="AE468" s="204" t="s">
        <v>125</v>
      </c>
      <c r="AF468" s="199"/>
      <c r="AG468" s="199"/>
      <c r="AH468" s="199"/>
      <c r="AI468" s="126" t="s">
        <v>6</v>
      </c>
      <c r="AJ468" s="416"/>
      <c r="AK468" s="416"/>
      <c r="AL468" s="233"/>
      <c r="AM468" s="198"/>
      <c r="AN468" s="200"/>
      <c r="AO468" s="245"/>
      <c r="AP468" s="245"/>
      <c r="AQ468" s="245"/>
      <c r="AR468" s="245"/>
      <c r="AS468" s="245"/>
      <c r="AT468" s="245"/>
      <c r="AU468" s="40"/>
      <c r="AV468" s="40"/>
      <c r="AW468" s="155"/>
    </row>
    <row r="469" spans="1:87" s="14" customFormat="1" ht="15">
      <c r="A469" s="40">
        <f t="shared" si="32"/>
        <v>463</v>
      </c>
      <c r="B469" s="38"/>
      <c r="C469" s="41"/>
      <c r="D469" s="33"/>
      <c r="E469" s="39"/>
      <c r="F469" s="39"/>
      <c r="G469" s="39"/>
      <c r="H469" s="416"/>
      <c r="I469" s="40"/>
      <c r="J469" s="412" t="s">
        <v>4453</v>
      </c>
      <c r="K469" s="204" t="s">
        <v>132</v>
      </c>
      <c r="L469" s="204" t="s">
        <v>4454</v>
      </c>
      <c r="M469" s="351" t="s">
        <v>4378</v>
      </c>
      <c r="N469" s="40" t="s">
        <v>504</v>
      </c>
      <c r="O469" s="40"/>
      <c r="P469" s="40"/>
      <c r="Q469" s="40"/>
      <c r="R469" s="40" t="s">
        <v>6</v>
      </c>
      <c r="S469" s="40" t="s">
        <v>6</v>
      </c>
      <c r="T469" s="40"/>
      <c r="U469" s="218" t="s">
        <v>4066</v>
      </c>
      <c r="V469" s="204"/>
      <c r="W469" s="204" t="s">
        <v>125</v>
      </c>
      <c r="X469" s="199"/>
      <c r="Y469" s="199"/>
      <c r="Z469" s="199"/>
      <c r="AA469" s="126" t="s">
        <v>6</v>
      </c>
      <c r="AB469" s="416"/>
      <c r="AC469" s="416"/>
      <c r="AD469" s="416"/>
      <c r="AE469" s="204" t="s">
        <v>125</v>
      </c>
      <c r="AF469" s="199"/>
      <c r="AG469" s="199"/>
      <c r="AH469" s="199"/>
      <c r="AI469" s="126" t="s">
        <v>6</v>
      </c>
      <c r="AJ469" s="416"/>
      <c r="AK469" s="416"/>
      <c r="AL469" s="416"/>
      <c r="AM469" s="198"/>
      <c r="AN469" s="200"/>
      <c r="AO469" s="245"/>
      <c r="AP469" s="245"/>
      <c r="AQ469" s="245"/>
      <c r="AR469" s="245"/>
      <c r="AS469" s="245"/>
      <c r="AT469" s="245"/>
      <c r="AU469" s="40"/>
      <c r="AV469" s="40"/>
      <c r="AW469" s="155"/>
    </row>
    <row r="470" spans="1:87" s="14" customFormat="1" ht="15">
      <c r="A470" s="40">
        <f t="shared" si="32"/>
        <v>464</v>
      </c>
      <c r="B470" s="38"/>
      <c r="C470" s="42"/>
      <c r="D470" s="232"/>
      <c r="E470" s="232"/>
      <c r="F470" s="233"/>
      <c r="G470" s="233"/>
      <c r="H470" s="416"/>
      <c r="I470" s="40"/>
      <c r="J470" s="412" t="s">
        <v>4455</v>
      </c>
      <c r="K470" s="204" t="s">
        <v>132</v>
      </c>
      <c r="L470" s="204" t="s">
        <v>4456</v>
      </c>
      <c r="M470" s="351" t="s">
        <v>4378</v>
      </c>
      <c r="N470" s="40" t="s">
        <v>504</v>
      </c>
      <c r="O470" s="40"/>
      <c r="P470" s="40"/>
      <c r="Q470" s="40"/>
      <c r="R470" s="40" t="s">
        <v>6</v>
      </c>
      <c r="S470" s="40" t="s">
        <v>6</v>
      </c>
      <c r="T470" s="40"/>
      <c r="U470" s="204"/>
      <c r="V470" s="204"/>
      <c r="W470" s="204" t="s">
        <v>125</v>
      </c>
      <c r="X470" s="199"/>
      <c r="Y470" s="199"/>
      <c r="Z470" s="199"/>
      <c r="AA470" s="126" t="s">
        <v>6</v>
      </c>
      <c r="AB470" s="415"/>
      <c r="AC470" s="415"/>
      <c r="AD470" s="235" t="s">
        <v>1075</v>
      </c>
      <c r="AE470" s="204" t="s">
        <v>125</v>
      </c>
      <c r="AF470" s="199"/>
      <c r="AG470" s="199"/>
      <c r="AH470" s="199"/>
      <c r="AI470" s="126" t="s">
        <v>6</v>
      </c>
      <c r="AJ470" s="415"/>
      <c r="AK470" s="415"/>
      <c r="AL470" s="235" t="s">
        <v>1075</v>
      </c>
      <c r="AM470" s="198"/>
      <c r="AN470" s="224"/>
      <c r="AO470" s="40"/>
      <c r="AP470" s="40"/>
      <c r="AQ470" s="40"/>
      <c r="AR470" s="40"/>
      <c r="AS470" s="40"/>
      <c r="AT470" s="40"/>
      <c r="AU470" s="40"/>
      <c r="AV470" s="40"/>
      <c r="AW470" s="155"/>
    </row>
    <row r="471" spans="1:87" s="14" customFormat="1" ht="15">
      <c r="A471" s="40">
        <f t="shared" si="32"/>
        <v>465</v>
      </c>
      <c r="B471" s="232"/>
      <c r="C471" s="41"/>
      <c r="D471" s="232"/>
      <c r="E471" s="232"/>
      <c r="F471" s="232"/>
      <c r="G471" s="232"/>
      <c r="H471" s="40"/>
      <c r="I471" s="40"/>
      <c r="J471" s="412" t="s">
        <v>4457</v>
      </c>
      <c r="K471" s="204" t="s">
        <v>132</v>
      </c>
      <c r="L471" s="204" t="s">
        <v>4458</v>
      </c>
      <c r="M471" s="351" t="s">
        <v>4378</v>
      </c>
      <c r="N471" s="40" t="s">
        <v>504</v>
      </c>
      <c r="O471" s="40"/>
      <c r="P471" s="40"/>
      <c r="Q471" s="40"/>
      <c r="R471" s="40" t="s">
        <v>6</v>
      </c>
      <c r="S471" s="40" t="s">
        <v>6</v>
      </c>
      <c r="T471" s="40"/>
      <c r="U471" s="218" t="s">
        <v>4066</v>
      </c>
      <c r="V471" s="204"/>
      <c r="W471" s="204" t="s">
        <v>125</v>
      </c>
      <c r="X471" s="199"/>
      <c r="Y471" s="199"/>
      <c r="Z471" s="199"/>
      <c r="AA471" s="126" t="s">
        <v>6</v>
      </c>
      <c r="AB471" s="350"/>
      <c r="AC471" s="415"/>
      <c r="AD471" s="415"/>
      <c r="AE471" s="204" t="s">
        <v>125</v>
      </c>
      <c r="AF471" s="199"/>
      <c r="AG471" s="199"/>
      <c r="AH471" s="199"/>
      <c r="AI471" s="126" t="s">
        <v>6</v>
      </c>
      <c r="AJ471" s="350"/>
      <c r="AK471" s="415"/>
      <c r="AL471" s="415"/>
      <c r="AM471" s="198"/>
      <c r="AN471" s="200"/>
      <c r="AO471" s="198"/>
      <c r="AP471" s="198"/>
      <c r="AQ471" s="198"/>
      <c r="AR471" s="198"/>
      <c r="AS471" s="198"/>
      <c r="AT471" s="198"/>
      <c r="AU471" s="40"/>
      <c r="AV471" s="198"/>
      <c r="AW471" s="155"/>
      <c r="AX471" s="237"/>
      <c r="AY471" s="238"/>
    </row>
    <row r="472" spans="1:87" s="14" customFormat="1" ht="15">
      <c r="A472" s="40">
        <f t="shared" si="32"/>
        <v>466</v>
      </c>
      <c r="B472" s="38"/>
      <c r="C472" s="42"/>
      <c r="D472" s="232"/>
      <c r="E472" s="232"/>
      <c r="F472" s="232"/>
      <c r="G472" s="232"/>
      <c r="H472" s="40"/>
      <c r="I472" s="40"/>
      <c r="J472" s="412" t="s">
        <v>4459</v>
      </c>
      <c r="K472" s="204" t="s">
        <v>132</v>
      </c>
      <c r="L472" s="204" t="s">
        <v>4460</v>
      </c>
      <c r="M472" s="351" t="s">
        <v>4378</v>
      </c>
      <c r="N472" s="40" t="s">
        <v>504</v>
      </c>
      <c r="O472" s="40"/>
      <c r="P472" s="40"/>
      <c r="Q472" s="40"/>
      <c r="R472" s="40" t="s">
        <v>6</v>
      </c>
      <c r="S472" s="40" t="s">
        <v>6</v>
      </c>
      <c r="T472" s="40"/>
      <c r="U472" s="218" t="s">
        <v>4066</v>
      </c>
      <c r="V472" s="204"/>
      <c r="W472" s="204" t="s">
        <v>125</v>
      </c>
      <c r="X472" s="199"/>
      <c r="Y472" s="199"/>
      <c r="Z472" s="199"/>
      <c r="AA472" s="126" t="s">
        <v>6</v>
      </c>
      <c r="AB472" s="415"/>
      <c r="AC472" s="415"/>
      <c r="AD472" s="415"/>
      <c r="AE472" s="204" t="s">
        <v>125</v>
      </c>
      <c r="AF472" s="199"/>
      <c r="AG472" s="199"/>
      <c r="AH472" s="199"/>
      <c r="AI472" s="126" t="s">
        <v>6</v>
      </c>
      <c r="AJ472" s="415"/>
      <c r="AK472" s="415"/>
      <c r="AL472" s="415"/>
      <c r="AM472" s="198"/>
      <c r="AN472" s="200"/>
      <c r="AO472" s="40"/>
      <c r="AP472" s="40"/>
      <c r="AQ472" s="40"/>
      <c r="AR472" s="40"/>
      <c r="AS472" s="40"/>
      <c r="AT472" s="40"/>
      <c r="AU472" s="40"/>
      <c r="AV472" s="40"/>
      <c r="AW472" s="155"/>
      <c r="AX472" s="237"/>
      <c r="AY472" s="238"/>
    </row>
    <row r="473" spans="1:87" s="155" customFormat="1" ht="15">
      <c r="A473" s="40">
        <f t="shared" si="32"/>
        <v>467</v>
      </c>
      <c r="B473" s="38"/>
      <c r="C473" s="42"/>
      <c r="D473" s="38"/>
      <c r="E473" s="46"/>
      <c r="F473" s="46"/>
      <c r="G473" s="46"/>
      <c r="H473" s="40"/>
      <c r="I473" s="40"/>
      <c r="J473" s="412" t="s">
        <v>4461</v>
      </c>
      <c r="K473" s="204" t="s">
        <v>132</v>
      </c>
      <c r="L473" s="204" t="s">
        <v>4462</v>
      </c>
      <c r="M473" s="351" t="s">
        <v>4378</v>
      </c>
      <c r="N473" s="40" t="s">
        <v>504</v>
      </c>
      <c r="O473" s="40"/>
      <c r="P473" s="40"/>
      <c r="Q473" s="40"/>
      <c r="R473" s="40" t="s">
        <v>6</v>
      </c>
      <c r="S473" s="40" t="s">
        <v>6</v>
      </c>
      <c r="T473" s="40"/>
      <c r="U473" s="218" t="s">
        <v>4066</v>
      </c>
      <c r="V473" s="204"/>
      <c r="W473" s="204" t="s">
        <v>125</v>
      </c>
      <c r="X473" s="199"/>
      <c r="Y473" s="199"/>
      <c r="Z473" s="199"/>
      <c r="AA473" s="126" t="s">
        <v>6</v>
      </c>
      <c r="AB473" s="415"/>
      <c r="AC473" s="415"/>
      <c r="AD473" s="415"/>
      <c r="AE473" s="204" t="s">
        <v>125</v>
      </c>
      <c r="AF473" s="199"/>
      <c r="AG473" s="199"/>
      <c r="AH473" s="199"/>
      <c r="AI473" s="126" t="s">
        <v>6</v>
      </c>
      <c r="AJ473" s="415"/>
      <c r="AK473" s="415"/>
      <c r="AL473" s="415"/>
      <c r="AM473" s="198"/>
      <c r="AN473" s="200"/>
      <c r="AO473" s="198"/>
      <c r="AP473" s="198"/>
      <c r="AQ473" s="198"/>
      <c r="AR473" s="198"/>
      <c r="AS473" s="198"/>
      <c r="AT473" s="198"/>
      <c r="AU473" s="198"/>
      <c r="AV473" s="40"/>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row>
    <row r="474" spans="1:87" s="155" customFormat="1" ht="15">
      <c r="A474" s="40">
        <f t="shared" si="32"/>
        <v>468</v>
      </c>
      <c r="B474" s="38"/>
      <c r="C474" s="42"/>
      <c r="D474" s="38"/>
      <c r="E474" s="46"/>
      <c r="F474" s="46"/>
      <c r="G474" s="46"/>
      <c r="H474" s="40"/>
      <c r="I474" s="40"/>
      <c r="J474" s="412" t="s">
        <v>4463</v>
      </c>
      <c r="K474" s="204" t="s">
        <v>132</v>
      </c>
      <c r="L474" s="204" t="s">
        <v>4464</v>
      </c>
      <c r="M474" s="351" t="s">
        <v>4378</v>
      </c>
      <c r="N474" s="40" t="s">
        <v>504</v>
      </c>
      <c r="O474" s="40"/>
      <c r="P474" s="40"/>
      <c r="Q474" s="40"/>
      <c r="R474" s="40" t="s">
        <v>6</v>
      </c>
      <c r="S474" s="40" t="s">
        <v>6</v>
      </c>
      <c r="T474" s="40"/>
      <c r="U474" s="204"/>
      <c r="V474" s="204"/>
      <c r="W474" s="204" t="s">
        <v>125</v>
      </c>
      <c r="X474" s="199"/>
      <c r="Y474" s="199"/>
      <c r="Z474" s="199"/>
      <c r="AA474" s="126" t="s">
        <v>6</v>
      </c>
      <c r="AB474" s="415"/>
      <c r="AC474" s="415"/>
      <c r="AD474" s="235" t="s">
        <v>1075</v>
      </c>
      <c r="AE474" s="204" t="s">
        <v>125</v>
      </c>
      <c r="AF474" s="199"/>
      <c r="AG474" s="199"/>
      <c r="AH474" s="199"/>
      <c r="AI474" s="126" t="s">
        <v>6</v>
      </c>
      <c r="AJ474" s="415"/>
      <c r="AK474" s="415"/>
      <c r="AL474" s="235" t="s">
        <v>1075</v>
      </c>
      <c r="AM474" s="198"/>
      <c r="AN474" s="232"/>
      <c r="AO474" s="198"/>
      <c r="AP474" s="198"/>
      <c r="AQ474" s="198"/>
      <c r="AR474" s="198"/>
      <c r="AS474" s="198"/>
      <c r="AT474" s="198"/>
      <c r="AU474" s="198"/>
      <c r="AV474" s="40"/>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row>
    <row r="475" spans="1:87" s="14" customFormat="1" ht="15">
      <c r="A475" s="40">
        <f t="shared" si="32"/>
        <v>469</v>
      </c>
      <c r="B475" s="38"/>
      <c r="C475" s="42"/>
      <c r="D475" s="232"/>
      <c r="E475" s="232"/>
      <c r="F475" s="232"/>
      <c r="G475" s="232"/>
      <c r="H475" s="40"/>
      <c r="I475" s="40"/>
      <c r="J475" s="412" t="s">
        <v>4465</v>
      </c>
      <c r="K475" s="204" t="s">
        <v>132</v>
      </c>
      <c r="L475" s="204" t="s">
        <v>4466</v>
      </c>
      <c r="M475" s="351" t="s">
        <v>4378</v>
      </c>
      <c r="N475" s="40" t="s">
        <v>504</v>
      </c>
      <c r="O475" s="40"/>
      <c r="P475" s="40"/>
      <c r="Q475" s="40"/>
      <c r="R475" s="40" t="s">
        <v>6</v>
      </c>
      <c r="S475" s="40" t="s">
        <v>6</v>
      </c>
      <c r="T475" s="40"/>
      <c r="U475" s="218" t="s">
        <v>4066</v>
      </c>
      <c r="V475" s="204"/>
      <c r="W475" s="204" t="s">
        <v>125</v>
      </c>
      <c r="X475" s="199"/>
      <c r="Y475" s="199"/>
      <c r="Z475" s="199"/>
      <c r="AA475" s="126" t="s">
        <v>6</v>
      </c>
      <c r="AB475" s="40"/>
      <c r="AC475" s="40"/>
      <c r="AD475" s="40"/>
      <c r="AE475" s="204" t="s">
        <v>125</v>
      </c>
      <c r="AF475" s="199"/>
      <c r="AG475" s="199"/>
      <c r="AH475" s="199"/>
      <c r="AI475" s="126" t="s">
        <v>6</v>
      </c>
      <c r="AJ475" s="40"/>
      <c r="AK475" s="40"/>
      <c r="AL475" s="40"/>
      <c r="AM475" s="198"/>
      <c r="AN475" s="200"/>
      <c r="AO475" s="40"/>
      <c r="AP475" s="40"/>
      <c r="AQ475" s="40"/>
      <c r="AR475" s="40"/>
      <c r="AS475" s="40"/>
      <c r="AT475" s="40"/>
      <c r="AU475" s="40"/>
      <c r="AV475" s="40"/>
      <c r="AW475" s="155"/>
    </row>
    <row r="476" spans="1:87" s="14" customFormat="1" ht="15">
      <c r="A476" s="40">
        <f t="shared" si="32"/>
        <v>470</v>
      </c>
      <c r="B476" s="38"/>
      <c r="C476" s="42"/>
      <c r="D476" s="232"/>
      <c r="E476" s="232"/>
      <c r="F476" s="232"/>
      <c r="G476" s="232"/>
      <c r="H476" s="40"/>
      <c r="I476" s="40"/>
      <c r="J476" s="412" t="s">
        <v>4467</v>
      </c>
      <c r="K476" s="204" t="s">
        <v>132</v>
      </c>
      <c r="L476" s="204" t="s">
        <v>4468</v>
      </c>
      <c r="M476" s="351" t="s">
        <v>4378</v>
      </c>
      <c r="N476" s="40" t="s">
        <v>504</v>
      </c>
      <c r="O476" s="40"/>
      <c r="P476" s="40"/>
      <c r="Q476" s="40"/>
      <c r="R476" s="40" t="s">
        <v>6</v>
      </c>
      <c r="S476" s="40" t="s">
        <v>6</v>
      </c>
      <c r="T476" s="40"/>
      <c r="U476" s="218" t="s">
        <v>4066</v>
      </c>
      <c r="V476" s="204"/>
      <c r="W476" s="204" t="s">
        <v>125</v>
      </c>
      <c r="X476" s="199"/>
      <c r="Y476" s="199"/>
      <c r="Z476" s="199"/>
      <c r="AA476" s="126" t="s">
        <v>6</v>
      </c>
      <c r="AB476" s="416"/>
      <c r="AC476" s="416"/>
      <c r="AD476" s="416"/>
      <c r="AE476" s="204" t="s">
        <v>125</v>
      </c>
      <c r="AF476" s="199"/>
      <c r="AG476" s="199"/>
      <c r="AH476" s="199"/>
      <c r="AI476" s="126" t="s">
        <v>6</v>
      </c>
      <c r="AJ476" s="416"/>
      <c r="AK476" s="416"/>
      <c r="AL476" s="416"/>
      <c r="AM476" s="198"/>
      <c r="AN476" s="200"/>
      <c r="AO476" s="40"/>
      <c r="AP476" s="40"/>
      <c r="AQ476" s="40"/>
      <c r="AR476" s="40"/>
      <c r="AS476" s="40"/>
      <c r="AT476" s="40"/>
      <c r="AU476" s="40"/>
      <c r="AV476" s="40"/>
      <c r="AW476" s="155"/>
    </row>
    <row r="477" spans="1:87" s="14" customFormat="1" ht="15">
      <c r="A477" s="40">
        <f t="shared" si="32"/>
        <v>471</v>
      </c>
      <c r="B477" s="38"/>
      <c r="C477" s="42"/>
      <c r="D477" s="232"/>
      <c r="E477" s="232"/>
      <c r="F477" s="232"/>
      <c r="G477" s="232"/>
      <c r="H477" s="40"/>
      <c r="I477" s="40"/>
      <c r="J477" s="412" t="s">
        <v>4469</v>
      </c>
      <c r="K477" s="204" t="s">
        <v>132</v>
      </c>
      <c r="L477" s="204" t="s">
        <v>4470</v>
      </c>
      <c r="M477" s="351" t="s">
        <v>4378</v>
      </c>
      <c r="N477" s="40" t="s">
        <v>504</v>
      </c>
      <c r="O477" s="40"/>
      <c r="P477" s="40"/>
      <c r="Q477" s="40"/>
      <c r="R477" s="40" t="s">
        <v>6</v>
      </c>
      <c r="S477" s="40" t="s">
        <v>6</v>
      </c>
      <c r="T477" s="40"/>
      <c r="U477" s="218" t="s">
        <v>4066</v>
      </c>
      <c r="V477" s="204"/>
      <c r="W477" s="204" t="s">
        <v>125</v>
      </c>
      <c r="X477" s="199"/>
      <c r="Y477" s="199"/>
      <c r="Z477" s="199"/>
      <c r="AA477" s="126" t="s">
        <v>6</v>
      </c>
      <c r="AB477" s="416"/>
      <c r="AC477" s="416"/>
      <c r="AD477" s="416"/>
      <c r="AE477" s="204" t="s">
        <v>125</v>
      </c>
      <c r="AF477" s="199"/>
      <c r="AG477" s="199"/>
      <c r="AH477" s="199"/>
      <c r="AI477" s="126" t="s">
        <v>6</v>
      </c>
      <c r="AJ477" s="416"/>
      <c r="AK477" s="416"/>
      <c r="AL477" s="416"/>
      <c r="AM477" s="198"/>
      <c r="AN477" s="200"/>
      <c r="AO477" s="40"/>
      <c r="AP477" s="40"/>
      <c r="AQ477" s="40"/>
      <c r="AR477" s="40"/>
      <c r="AS477" s="40"/>
      <c r="AT477" s="40"/>
      <c r="AU477" s="40"/>
      <c r="AV477" s="40"/>
      <c r="AW477" s="155"/>
    </row>
    <row r="478" spans="1:87" s="155" customFormat="1" ht="15">
      <c r="A478" s="40">
        <f t="shared" si="32"/>
        <v>472</v>
      </c>
      <c r="B478" s="232"/>
      <c r="C478" s="41"/>
      <c r="D478" s="232"/>
      <c r="E478" s="232"/>
      <c r="F478" s="232"/>
      <c r="G478" s="232"/>
      <c r="H478" s="40"/>
      <c r="I478" s="40"/>
      <c r="J478" s="412" t="s">
        <v>4471</v>
      </c>
      <c r="K478" s="204" t="s">
        <v>132</v>
      </c>
      <c r="L478" s="204" t="s">
        <v>4472</v>
      </c>
      <c r="M478" s="351" t="s">
        <v>4378</v>
      </c>
      <c r="N478" s="40" t="s">
        <v>504</v>
      </c>
      <c r="O478" s="40"/>
      <c r="P478" s="40"/>
      <c r="Q478" s="40"/>
      <c r="R478" s="40" t="s">
        <v>6</v>
      </c>
      <c r="S478" s="40" t="s">
        <v>6</v>
      </c>
      <c r="T478" s="40"/>
      <c r="U478" s="204"/>
      <c r="V478" s="204"/>
      <c r="W478" s="204" t="s">
        <v>125</v>
      </c>
      <c r="X478" s="199"/>
      <c r="Y478" s="199"/>
      <c r="Z478" s="199"/>
      <c r="AA478" s="126" t="s">
        <v>6</v>
      </c>
      <c r="AB478" s="350"/>
      <c r="AC478" s="415"/>
      <c r="AD478" s="235" t="s">
        <v>1075</v>
      </c>
      <c r="AE478" s="204" t="s">
        <v>125</v>
      </c>
      <c r="AF478" s="199"/>
      <c r="AG478" s="199"/>
      <c r="AH478" s="199"/>
      <c r="AI478" s="126" t="s">
        <v>6</v>
      </c>
      <c r="AJ478" s="350"/>
      <c r="AK478" s="415"/>
      <c r="AL478" s="235" t="s">
        <v>1075</v>
      </c>
      <c r="AM478" s="198"/>
      <c r="AN478" s="40"/>
      <c r="AO478" s="198"/>
      <c r="AP478" s="198"/>
      <c r="AQ478" s="198"/>
      <c r="AR478" s="198"/>
      <c r="AS478" s="198"/>
      <c r="AT478" s="198"/>
      <c r="AU478" s="40"/>
      <c r="AV478" s="198"/>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row>
    <row r="479" spans="1:87" s="14" customFormat="1" ht="15">
      <c r="A479" s="40">
        <f t="shared" si="32"/>
        <v>473</v>
      </c>
      <c r="B479" s="38"/>
      <c r="C479" s="42"/>
      <c r="D479" s="232"/>
      <c r="E479" s="232"/>
      <c r="F479" s="232"/>
      <c r="G479" s="232"/>
      <c r="H479" s="40"/>
      <c r="I479" s="40"/>
      <c r="J479" s="412" t="s">
        <v>4473</v>
      </c>
      <c r="K479" s="204" t="s">
        <v>132</v>
      </c>
      <c r="L479" s="204" t="s">
        <v>4474</v>
      </c>
      <c r="M479" s="351" t="s">
        <v>4378</v>
      </c>
      <c r="N479" s="40" t="s">
        <v>504</v>
      </c>
      <c r="O479" s="40"/>
      <c r="P479" s="40"/>
      <c r="Q479" s="40"/>
      <c r="R479" s="40" t="s">
        <v>6</v>
      </c>
      <c r="S479" s="40" t="s">
        <v>6</v>
      </c>
      <c r="T479" s="40"/>
      <c r="U479" s="204"/>
      <c r="V479" s="204"/>
      <c r="W479" s="204" t="s">
        <v>125</v>
      </c>
      <c r="X479" s="199"/>
      <c r="Y479" s="199"/>
      <c r="Z479" s="199"/>
      <c r="AA479" s="126" t="s">
        <v>6</v>
      </c>
      <c r="AB479" s="415"/>
      <c r="AC479" s="415"/>
      <c r="AD479" s="235" t="s">
        <v>1075</v>
      </c>
      <c r="AE479" s="204" t="s">
        <v>125</v>
      </c>
      <c r="AF479" s="199"/>
      <c r="AG479" s="199"/>
      <c r="AH479" s="199"/>
      <c r="AI479" s="126" t="s">
        <v>6</v>
      </c>
      <c r="AJ479" s="415"/>
      <c r="AK479" s="415"/>
      <c r="AL479" s="235" t="s">
        <v>1075</v>
      </c>
      <c r="AM479" s="198"/>
      <c r="AN479" s="40"/>
      <c r="AO479" s="40"/>
      <c r="AP479" s="40"/>
      <c r="AQ479" s="40"/>
      <c r="AR479" s="40"/>
      <c r="AS479" s="40"/>
      <c r="AT479" s="40"/>
      <c r="AU479" s="40"/>
      <c r="AV479" s="40"/>
      <c r="AW479" s="155"/>
      <c r="AX479" s="237"/>
      <c r="AY479" s="238"/>
    </row>
    <row r="480" spans="1:87" s="14" customFormat="1" ht="15">
      <c r="A480" s="40">
        <f t="shared" si="32"/>
        <v>474</v>
      </c>
      <c r="B480" s="38"/>
      <c r="C480" s="42"/>
      <c r="D480" s="38"/>
      <c r="E480" s="46"/>
      <c r="F480" s="46"/>
      <c r="G480" s="46"/>
      <c r="H480" s="40"/>
      <c r="I480" s="40"/>
      <c r="J480" s="412" t="s">
        <v>4475</v>
      </c>
      <c r="K480" s="204" t="s">
        <v>132</v>
      </c>
      <c r="L480" s="204" t="s">
        <v>4476</v>
      </c>
      <c r="M480" s="351" t="s">
        <v>4378</v>
      </c>
      <c r="N480" s="40" t="s">
        <v>504</v>
      </c>
      <c r="O480" s="40"/>
      <c r="P480" s="40"/>
      <c r="Q480" s="40"/>
      <c r="R480" s="40" t="s">
        <v>6</v>
      </c>
      <c r="S480" s="40" t="s">
        <v>6</v>
      </c>
      <c r="T480" s="40"/>
      <c r="U480" s="204"/>
      <c r="V480" s="204"/>
      <c r="W480" s="204" t="s">
        <v>125</v>
      </c>
      <c r="X480" s="199"/>
      <c r="Y480" s="199"/>
      <c r="Z480" s="199"/>
      <c r="AA480" s="126" t="s">
        <v>6</v>
      </c>
      <c r="AB480" s="415"/>
      <c r="AC480" s="415"/>
      <c r="AD480" s="235" t="s">
        <v>1075</v>
      </c>
      <c r="AE480" s="204" t="s">
        <v>125</v>
      </c>
      <c r="AF480" s="199"/>
      <c r="AG480" s="199"/>
      <c r="AH480" s="199"/>
      <c r="AI480" s="126" t="s">
        <v>6</v>
      </c>
      <c r="AJ480" s="415"/>
      <c r="AK480" s="415"/>
      <c r="AL480" s="235" t="s">
        <v>1075</v>
      </c>
      <c r="AM480" s="198"/>
      <c r="AN480" s="459"/>
      <c r="AO480" s="198"/>
      <c r="AP480" s="198"/>
      <c r="AQ480" s="198"/>
      <c r="AR480" s="198"/>
      <c r="AS480" s="198"/>
      <c r="AT480" s="198"/>
      <c r="AU480" s="198"/>
      <c r="AV480" s="40"/>
      <c r="AW480" s="155"/>
    </row>
    <row r="481" spans="1:87" s="14" customFormat="1" ht="15">
      <c r="A481" s="40">
        <f t="shared" si="32"/>
        <v>475</v>
      </c>
      <c r="B481" s="38"/>
      <c r="C481" s="42"/>
      <c r="D481" s="38"/>
      <c r="E481" s="46"/>
      <c r="F481" s="46"/>
      <c r="G481" s="46"/>
      <c r="H481" s="40"/>
      <c r="I481" s="40"/>
      <c r="J481" s="412" t="s">
        <v>4477</v>
      </c>
      <c r="K481" s="204" t="s">
        <v>132</v>
      </c>
      <c r="L481" s="204" t="s">
        <v>4478</v>
      </c>
      <c r="M481" s="351" t="s">
        <v>4378</v>
      </c>
      <c r="N481" s="40" t="s">
        <v>504</v>
      </c>
      <c r="O481" s="40"/>
      <c r="P481" s="40"/>
      <c r="Q481" s="40"/>
      <c r="R481" s="40" t="s">
        <v>6</v>
      </c>
      <c r="S481" s="40" t="s">
        <v>6</v>
      </c>
      <c r="T481" s="40"/>
      <c r="U481" s="218" t="s">
        <v>4066</v>
      </c>
      <c r="V481" s="204"/>
      <c r="W481" s="204" t="s">
        <v>125</v>
      </c>
      <c r="X481" s="199"/>
      <c r="Y481" s="199"/>
      <c r="Z481" s="199"/>
      <c r="AA481" s="126" t="s">
        <v>6</v>
      </c>
      <c r="AB481" s="415"/>
      <c r="AC481" s="415"/>
      <c r="AD481" s="415"/>
      <c r="AE481" s="204" t="s">
        <v>125</v>
      </c>
      <c r="AF481" s="199"/>
      <c r="AG481" s="199"/>
      <c r="AH481" s="199"/>
      <c r="AI481" s="126" t="s">
        <v>6</v>
      </c>
      <c r="AJ481" s="415"/>
      <c r="AK481" s="415"/>
      <c r="AL481" s="415"/>
      <c r="AM481" s="198"/>
      <c r="AN481" s="200"/>
      <c r="AO481" s="198"/>
      <c r="AP481" s="198"/>
      <c r="AQ481" s="198"/>
      <c r="AR481" s="198"/>
      <c r="AS481" s="198"/>
      <c r="AT481" s="198"/>
      <c r="AU481" s="198"/>
      <c r="AV481" s="40"/>
      <c r="AW481" s="155"/>
    </row>
    <row r="482" spans="1:87" s="14" customFormat="1" ht="15">
      <c r="A482" s="40">
        <f t="shared" si="32"/>
        <v>476</v>
      </c>
      <c r="B482" s="232"/>
      <c r="C482" s="41"/>
      <c r="D482" s="232"/>
      <c r="E482" s="232"/>
      <c r="F482" s="232"/>
      <c r="G482" s="232"/>
      <c r="H482" s="40"/>
      <c r="I482" s="40"/>
      <c r="J482" s="412" t="s">
        <v>4479</v>
      </c>
      <c r="K482" s="204" t="s">
        <v>132</v>
      </c>
      <c r="L482" s="204" t="s">
        <v>4480</v>
      </c>
      <c r="M482" s="351" t="s">
        <v>4378</v>
      </c>
      <c r="N482" s="40" t="s">
        <v>504</v>
      </c>
      <c r="O482" s="40"/>
      <c r="P482" s="40"/>
      <c r="Q482" s="40"/>
      <c r="R482" s="40" t="s">
        <v>6</v>
      </c>
      <c r="S482" s="40" t="s">
        <v>6</v>
      </c>
      <c r="T482" s="40"/>
      <c r="U482" s="218" t="s">
        <v>4066</v>
      </c>
      <c r="V482" s="204"/>
      <c r="W482" s="204" t="s">
        <v>125</v>
      </c>
      <c r="X482" s="199"/>
      <c r="Y482" s="199"/>
      <c r="Z482" s="199"/>
      <c r="AA482" s="126" t="s">
        <v>6</v>
      </c>
      <c r="AB482" s="415"/>
      <c r="AC482" s="415"/>
      <c r="AD482" s="415"/>
      <c r="AE482" s="204" t="s">
        <v>125</v>
      </c>
      <c r="AF482" s="199"/>
      <c r="AG482" s="199"/>
      <c r="AH482" s="199"/>
      <c r="AI482" s="126" t="s">
        <v>6</v>
      </c>
      <c r="AJ482" s="415"/>
      <c r="AK482" s="415"/>
      <c r="AL482" s="415"/>
      <c r="AM482" s="198"/>
      <c r="AN482" s="200"/>
      <c r="AO482" s="198"/>
      <c r="AP482" s="198"/>
      <c r="AQ482" s="198"/>
      <c r="AR482" s="198"/>
      <c r="AS482" s="198"/>
      <c r="AT482" s="198"/>
      <c r="AU482" s="198"/>
      <c r="AV482" s="198"/>
      <c r="AW482" s="155"/>
      <c r="AX482" s="237"/>
      <c r="AY482" s="238"/>
    </row>
    <row r="483" spans="1:87" s="14" customFormat="1" ht="15">
      <c r="A483" s="40">
        <f t="shared" si="32"/>
        <v>477</v>
      </c>
      <c r="B483" s="232"/>
      <c r="C483" s="41"/>
      <c r="D483" s="232"/>
      <c r="E483" s="232"/>
      <c r="F483" s="232"/>
      <c r="G483" s="232"/>
      <c r="H483" s="40"/>
      <c r="I483" s="40"/>
      <c r="J483" s="412" t="s">
        <v>4481</v>
      </c>
      <c r="K483" s="204" t="s">
        <v>132</v>
      </c>
      <c r="L483" s="204" t="s">
        <v>4482</v>
      </c>
      <c r="M483" s="351" t="s">
        <v>4378</v>
      </c>
      <c r="N483" s="40" t="s">
        <v>504</v>
      </c>
      <c r="O483" s="40"/>
      <c r="P483" s="40"/>
      <c r="Q483" s="40"/>
      <c r="R483" s="40" t="s">
        <v>6</v>
      </c>
      <c r="S483" s="40" t="s">
        <v>6</v>
      </c>
      <c r="T483" s="40"/>
      <c r="U483" s="218" t="s">
        <v>4066</v>
      </c>
      <c r="V483" s="204"/>
      <c r="W483" s="204" t="s">
        <v>125</v>
      </c>
      <c r="X483" s="199"/>
      <c r="Y483" s="199"/>
      <c r="Z483" s="199"/>
      <c r="AA483" s="126" t="s">
        <v>6</v>
      </c>
      <c r="AB483" s="415"/>
      <c r="AC483" s="415"/>
      <c r="AD483" s="415"/>
      <c r="AE483" s="204" t="s">
        <v>125</v>
      </c>
      <c r="AF483" s="199"/>
      <c r="AG483" s="199"/>
      <c r="AH483" s="199"/>
      <c r="AI483" s="126" t="s">
        <v>6</v>
      </c>
      <c r="AJ483" s="415"/>
      <c r="AK483" s="415"/>
      <c r="AL483" s="415"/>
      <c r="AM483" s="198"/>
      <c r="AN483" s="200"/>
      <c r="AO483" s="198"/>
      <c r="AP483" s="198"/>
      <c r="AQ483" s="198"/>
      <c r="AR483" s="198"/>
      <c r="AS483" s="198"/>
      <c r="AT483" s="198"/>
      <c r="AU483" s="40"/>
      <c r="AV483" s="198"/>
      <c r="AW483" s="155"/>
    </row>
    <row r="484" spans="1:87" s="14" customFormat="1" ht="15">
      <c r="A484" s="40">
        <f t="shared" si="32"/>
        <v>478</v>
      </c>
      <c r="B484" s="232"/>
      <c r="C484" s="41"/>
      <c r="D484" s="232"/>
      <c r="E484" s="232"/>
      <c r="F484" s="232"/>
      <c r="G484" s="232"/>
      <c r="H484" s="40"/>
      <c r="I484" s="40"/>
      <c r="J484" s="412" t="s">
        <v>4483</v>
      </c>
      <c r="K484" s="204" t="s">
        <v>132</v>
      </c>
      <c r="L484" s="204" t="s">
        <v>4484</v>
      </c>
      <c r="M484" s="351" t="s">
        <v>4378</v>
      </c>
      <c r="N484" s="40" t="s">
        <v>504</v>
      </c>
      <c r="O484" s="40"/>
      <c r="P484" s="40"/>
      <c r="Q484" s="40"/>
      <c r="R484" s="40" t="s">
        <v>6</v>
      </c>
      <c r="S484" s="40" t="s">
        <v>6</v>
      </c>
      <c r="T484" s="40"/>
      <c r="U484" s="204"/>
      <c r="V484" s="204"/>
      <c r="W484" s="204" t="s">
        <v>125</v>
      </c>
      <c r="X484" s="199"/>
      <c r="Y484" s="199"/>
      <c r="Z484" s="199"/>
      <c r="AA484" s="126" t="s">
        <v>6</v>
      </c>
      <c r="AB484" s="415"/>
      <c r="AC484" s="415"/>
      <c r="AD484" s="235" t="s">
        <v>1075</v>
      </c>
      <c r="AE484" s="204" t="s">
        <v>125</v>
      </c>
      <c r="AF484" s="199"/>
      <c r="AG484" s="199"/>
      <c r="AH484" s="199"/>
      <c r="AI484" s="126" t="s">
        <v>6</v>
      </c>
      <c r="AJ484" s="415"/>
      <c r="AK484" s="415"/>
      <c r="AL484" s="235" t="s">
        <v>1075</v>
      </c>
      <c r="AM484" s="198"/>
      <c r="AN484" s="232"/>
      <c r="AO484" s="198"/>
      <c r="AP484" s="198"/>
      <c r="AQ484" s="198"/>
      <c r="AR484" s="198"/>
      <c r="AS484" s="198"/>
      <c r="AT484" s="198"/>
      <c r="AU484" s="40"/>
      <c r="AV484" s="198"/>
      <c r="AW484" s="155"/>
    </row>
    <row r="485" spans="1:87" s="155" customFormat="1" ht="39.6">
      <c r="A485" s="40">
        <f t="shared" si="32"/>
        <v>479</v>
      </c>
      <c r="B485" s="232"/>
      <c r="C485" s="41"/>
      <c r="D485" s="232"/>
      <c r="E485" s="232"/>
      <c r="F485" s="232"/>
      <c r="G485" s="232"/>
      <c r="H485" s="40"/>
      <c r="I485" s="40"/>
      <c r="J485" s="412" t="s">
        <v>4485</v>
      </c>
      <c r="K485" s="204" t="s">
        <v>132</v>
      </c>
      <c r="L485" s="204" t="s">
        <v>4486</v>
      </c>
      <c r="M485" s="351" t="s">
        <v>4378</v>
      </c>
      <c r="N485" s="40" t="s">
        <v>504</v>
      </c>
      <c r="O485" s="40"/>
      <c r="P485" s="40"/>
      <c r="Q485" s="40" t="s">
        <v>6</v>
      </c>
      <c r="R485" s="40" t="s">
        <v>6</v>
      </c>
      <c r="S485" s="40" t="s">
        <v>6</v>
      </c>
      <c r="T485" s="40"/>
      <c r="U485" s="215" t="s">
        <v>4487</v>
      </c>
      <c r="V485" s="215"/>
      <c r="W485" s="204" t="s">
        <v>133</v>
      </c>
      <c r="X485" s="199"/>
      <c r="Y485" s="199"/>
      <c r="Z485" s="126" t="s">
        <v>6</v>
      </c>
      <c r="AA485" s="126"/>
      <c r="AB485" s="204" t="s">
        <v>4488</v>
      </c>
      <c r="AC485" s="415"/>
      <c r="AD485" s="415"/>
      <c r="AE485" s="204" t="s">
        <v>133</v>
      </c>
      <c r="AF485" s="199"/>
      <c r="AG485" s="199"/>
      <c r="AH485" s="126" t="s">
        <v>6</v>
      </c>
      <c r="AI485" s="126"/>
      <c r="AJ485" s="204" t="s">
        <v>4488</v>
      </c>
      <c r="AK485" s="415"/>
      <c r="AL485" s="415"/>
      <c r="AM485" s="198"/>
      <c r="AN485" s="232"/>
      <c r="AO485" s="198"/>
      <c r="AP485" s="198"/>
      <c r="AQ485" s="198"/>
      <c r="AR485" s="198"/>
      <c r="AS485" s="198"/>
      <c r="AT485" s="198"/>
      <c r="AU485" s="198"/>
      <c r="AV485" s="198"/>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row>
    <row r="486" spans="1:87" s="236" customFormat="1" ht="15">
      <c r="A486" s="40">
        <f t="shared" si="32"/>
        <v>480</v>
      </c>
      <c r="B486" s="199"/>
      <c r="C486" s="199"/>
      <c r="D486" s="199"/>
      <c r="E486" s="199"/>
      <c r="F486" s="199"/>
      <c r="G486" s="199"/>
      <c r="H486" s="199"/>
      <c r="I486" s="199"/>
      <c r="J486" s="412" t="s">
        <v>4489</v>
      </c>
      <c r="K486" s="232" t="s">
        <v>117</v>
      </c>
      <c r="L486" s="204" t="s">
        <v>1076</v>
      </c>
      <c r="M486" s="351"/>
      <c r="N486" s="40" t="s">
        <v>504</v>
      </c>
      <c r="O486" s="40"/>
      <c r="P486" s="40"/>
      <c r="Q486" s="40"/>
      <c r="R486" s="40" t="s">
        <v>6</v>
      </c>
      <c r="S486" s="40" t="s">
        <v>6</v>
      </c>
      <c r="T486" s="40"/>
      <c r="U486" s="218" t="s">
        <v>4066</v>
      </c>
      <c r="V486" s="204"/>
      <c r="W486" s="204" t="s">
        <v>125</v>
      </c>
      <c r="X486" s="199"/>
      <c r="Y486" s="199"/>
      <c r="Z486" s="199"/>
      <c r="AA486" s="126" t="s">
        <v>6</v>
      </c>
      <c r="AB486" s="198"/>
      <c r="AC486" s="199"/>
      <c r="AD486" s="412" t="s">
        <v>1077</v>
      </c>
      <c r="AE486" s="204" t="s">
        <v>125</v>
      </c>
      <c r="AF486" s="199"/>
      <c r="AG486" s="199"/>
      <c r="AH486" s="199"/>
      <c r="AI486" s="126" t="s">
        <v>6</v>
      </c>
      <c r="AJ486" s="198"/>
      <c r="AK486" s="199"/>
      <c r="AL486" s="412" t="s">
        <v>1077</v>
      </c>
      <c r="AM486" s="198"/>
      <c r="AN486" s="199"/>
      <c r="AO486" s="199"/>
      <c r="AP486" s="199"/>
      <c r="AQ486" s="199"/>
      <c r="AR486" s="199"/>
      <c r="AS486" s="199"/>
      <c r="AT486" s="199"/>
      <c r="AU486" s="199"/>
      <c r="AV486" s="199"/>
      <c r="AW486" s="155"/>
    </row>
    <row r="487" spans="1:87" s="236" customFormat="1" ht="15">
      <c r="A487" s="40">
        <f t="shared" si="32"/>
        <v>481</v>
      </c>
      <c r="B487" s="199"/>
      <c r="C487" s="199"/>
      <c r="D487" s="199"/>
      <c r="E487" s="199"/>
      <c r="F487" s="199"/>
      <c r="G487" s="199"/>
      <c r="H487" s="199"/>
      <c r="I487" s="199"/>
      <c r="J487" s="412" t="s">
        <v>4490</v>
      </c>
      <c r="K487" s="232" t="s">
        <v>117</v>
      </c>
      <c r="L487" s="204" t="s">
        <v>1078</v>
      </c>
      <c r="M487" s="351"/>
      <c r="N487" s="40" t="s">
        <v>504</v>
      </c>
      <c r="O487" s="40"/>
      <c r="P487" s="40"/>
      <c r="Q487" s="40"/>
      <c r="R487" s="40" t="s">
        <v>6</v>
      </c>
      <c r="S487" s="40" t="s">
        <v>6</v>
      </c>
      <c r="T487" s="40"/>
      <c r="U487" s="218" t="s">
        <v>4066</v>
      </c>
      <c r="V487" s="204"/>
      <c r="W487" s="204" t="s">
        <v>125</v>
      </c>
      <c r="X487" s="199"/>
      <c r="Y487" s="199"/>
      <c r="Z487" s="199"/>
      <c r="AA487" s="126" t="s">
        <v>6</v>
      </c>
      <c r="AB487" s="198"/>
      <c r="AC487" s="199"/>
      <c r="AD487" s="412" t="s">
        <v>1077</v>
      </c>
      <c r="AE487" s="204" t="s">
        <v>125</v>
      </c>
      <c r="AF487" s="199"/>
      <c r="AG487" s="199"/>
      <c r="AH487" s="199"/>
      <c r="AI487" s="126" t="s">
        <v>6</v>
      </c>
      <c r="AJ487" s="198"/>
      <c r="AK487" s="199"/>
      <c r="AL487" s="412" t="s">
        <v>1077</v>
      </c>
      <c r="AM487" s="198"/>
      <c r="AN487" s="199"/>
      <c r="AO487" s="199"/>
      <c r="AP487" s="199"/>
      <c r="AQ487" s="199"/>
      <c r="AR487" s="199"/>
      <c r="AS487" s="199"/>
      <c r="AT487" s="199"/>
      <c r="AU487" s="199"/>
      <c r="AV487" s="199"/>
      <c r="AW487" s="155"/>
    </row>
    <row r="488" spans="1:87" s="236" customFormat="1" ht="15">
      <c r="A488" s="40">
        <f t="shared" si="32"/>
        <v>482</v>
      </c>
      <c r="B488" s="199"/>
      <c r="C488" s="199"/>
      <c r="D488" s="199"/>
      <c r="E488" s="199"/>
      <c r="F488" s="199"/>
      <c r="G488" s="199"/>
      <c r="H488" s="199"/>
      <c r="I488" s="199"/>
      <c r="J488" s="412" t="s">
        <v>4491</v>
      </c>
      <c r="K488" s="232" t="s">
        <v>117</v>
      </c>
      <c r="L488" s="204" t="s">
        <v>1079</v>
      </c>
      <c r="M488" s="351"/>
      <c r="N488" s="40" t="s">
        <v>504</v>
      </c>
      <c r="O488" s="40"/>
      <c r="P488" s="40"/>
      <c r="Q488" s="40"/>
      <c r="R488" s="40" t="s">
        <v>6</v>
      </c>
      <c r="S488" s="40" t="s">
        <v>6</v>
      </c>
      <c r="T488" s="40"/>
      <c r="U488" s="218" t="s">
        <v>4066</v>
      </c>
      <c r="V488" s="204"/>
      <c r="W488" s="204" t="s">
        <v>125</v>
      </c>
      <c r="X488" s="199"/>
      <c r="Y488" s="199"/>
      <c r="Z488" s="199"/>
      <c r="AA488" s="126" t="s">
        <v>6</v>
      </c>
      <c r="AB488" s="198"/>
      <c r="AC488" s="199"/>
      <c r="AD488" s="412" t="s">
        <v>1077</v>
      </c>
      <c r="AE488" s="204" t="s">
        <v>125</v>
      </c>
      <c r="AF488" s="199"/>
      <c r="AG488" s="199"/>
      <c r="AH488" s="199"/>
      <c r="AI488" s="126" t="s">
        <v>6</v>
      </c>
      <c r="AJ488" s="198"/>
      <c r="AK488" s="199"/>
      <c r="AL488" s="412" t="s">
        <v>1077</v>
      </c>
      <c r="AM488" s="198"/>
      <c r="AN488" s="199"/>
      <c r="AO488" s="199"/>
      <c r="AP488" s="199"/>
      <c r="AQ488" s="199"/>
      <c r="AR488" s="199"/>
      <c r="AS488" s="199"/>
      <c r="AT488" s="199"/>
      <c r="AU488" s="199"/>
      <c r="AV488" s="199"/>
      <c r="AW488" s="155"/>
    </row>
    <row r="489" spans="1:87" s="236" customFormat="1" ht="39.6">
      <c r="A489" s="40">
        <f t="shared" si="32"/>
        <v>483</v>
      </c>
      <c r="B489" s="199"/>
      <c r="C489" s="199"/>
      <c r="D489" s="199"/>
      <c r="E489" s="199"/>
      <c r="F489" s="199"/>
      <c r="G489" s="199"/>
      <c r="H489" s="199"/>
      <c r="I489" s="199"/>
      <c r="J489" s="412" t="s">
        <v>1077</v>
      </c>
      <c r="K489" s="232" t="s">
        <v>117</v>
      </c>
      <c r="L489" s="204" t="s">
        <v>1080</v>
      </c>
      <c r="M489" s="351"/>
      <c r="N489" s="40" t="s">
        <v>504</v>
      </c>
      <c r="O489" s="40"/>
      <c r="P489" s="40"/>
      <c r="Q489" s="40" t="s">
        <v>6</v>
      </c>
      <c r="R489" s="40" t="s">
        <v>6</v>
      </c>
      <c r="S489" s="40" t="s">
        <v>6</v>
      </c>
      <c r="T489" s="40"/>
      <c r="U489" s="204"/>
      <c r="V489" s="204"/>
      <c r="W489" s="232" t="s">
        <v>133</v>
      </c>
      <c r="X489" s="199"/>
      <c r="Y489" s="199"/>
      <c r="Z489" s="126" t="s">
        <v>6</v>
      </c>
      <c r="AA489" s="126" t="s">
        <v>6</v>
      </c>
      <c r="AB489" s="215"/>
      <c r="AC489" s="199"/>
      <c r="AD489" s="199"/>
      <c r="AE489" s="232" t="s">
        <v>133</v>
      </c>
      <c r="AF489" s="199"/>
      <c r="AG489" s="199"/>
      <c r="AH489" s="126" t="s">
        <v>6</v>
      </c>
      <c r="AI489" s="126" t="s">
        <v>6</v>
      </c>
      <c r="AJ489" s="215" t="s">
        <v>4492</v>
      </c>
      <c r="AK489" s="199"/>
      <c r="AL489" s="199"/>
      <c r="AM489" s="198"/>
      <c r="AN489" s="199"/>
      <c r="AO489" s="199"/>
      <c r="AP489" s="199"/>
      <c r="AQ489" s="199"/>
      <c r="AR489" s="199"/>
      <c r="AS489" s="199"/>
      <c r="AT489" s="199"/>
      <c r="AU489" s="199"/>
      <c r="AV489" s="199"/>
      <c r="AW489" s="155"/>
    </row>
    <row r="490" spans="1:87" s="236" customFormat="1" ht="15">
      <c r="A490" s="40">
        <f t="shared" si="32"/>
        <v>484</v>
      </c>
      <c r="B490" s="199"/>
      <c r="C490" s="199"/>
      <c r="D490" s="199"/>
      <c r="E490" s="199"/>
      <c r="F490" s="199"/>
      <c r="G490" s="199"/>
      <c r="H490" s="199"/>
      <c r="I490" s="199"/>
      <c r="J490" s="412" t="s">
        <v>4493</v>
      </c>
      <c r="K490" s="232" t="s">
        <v>117</v>
      </c>
      <c r="L490" s="204" t="s">
        <v>4494</v>
      </c>
      <c r="M490" s="351"/>
      <c r="N490" s="40" t="s">
        <v>504</v>
      </c>
      <c r="O490" s="40"/>
      <c r="P490" s="40"/>
      <c r="Q490" s="40"/>
      <c r="R490" s="40" t="s">
        <v>6</v>
      </c>
      <c r="S490" s="40" t="s">
        <v>6</v>
      </c>
      <c r="T490" s="40"/>
      <c r="U490" s="218" t="s">
        <v>4066</v>
      </c>
      <c r="V490" s="204"/>
      <c r="W490" s="204" t="s">
        <v>125</v>
      </c>
      <c r="X490" s="199"/>
      <c r="Y490" s="199"/>
      <c r="Z490" s="199"/>
      <c r="AA490" s="126" t="s">
        <v>6</v>
      </c>
      <c r="AB490" s="198"/>
      <c r="AC490" s="199"/>
      <c r="AD490" s="412" t="s">
        <v>4495</v>
      </c>
      <c r="AE490" s="204" t="s">
        <v>125</v>
      </c>
      <c r="AF490" s="199"/>
      <c r="AG490" s="199"/>
      <c r="AH490" s="199"/>
      <c r="AI490" s="126" t="s">
        <v>6</v>
      </c>
      <c r="AJ490" s="198"/>
      <c r="AK490" s="199"/>
      <c r="AL490" s="412" t="s">
        <v>4495</v>
      </c>
      <c r="AM490" s="198"/>
      <c r="AN490" s="199"/>
      <c r="AO490" s="199"/>
      <c r="AP490" s="199"/>
      <c r="AQ490" s="199"/>
      <c r="AR490" s="199"/>
      <c r="AS490" s="199"/>
      <c r="AT490" s="199"/>
      <c r="AU490" s="199"/>
      <c r="AV490" s="199"/>
      <c r="AW490" s="155"/>
    </row>
    <row r="491" spans="1:87" s="236" customFormat="1" ht="15">
      <c r="A491" s="40">
        <f t="shared" si="32"/>
        <v>485</v>
      </c>
      <c r="B491" s="199"/>
      <c r="C491" s="199"/>
      <c r="D491" s="199"/>
      <c r="E491" s="199"/>
      <c r="F491" s="199"/>
      <c r="G491" s="199"/>
      <c r="H491" s="199"/>
      <c r="I491" s="199"/>
      <c r="J491" s="412" t="s">
        <v>4496</v>
      </c>
      <c r="K491" s="232" t="s">
        <v>117</v>
      </c>
      <c r="L491" s="204" t="s">
        <v>4497</v>
      </c>
      <c r="M491" s="351"/>
      <c r="N491" s="40" t="s">
        <v>504</v>
      </c>
      <c r="O491" s="40"/>
      <c r="P491" s="40"/>
      <c r="Q491" s="40"/>
      <c r="R491" s="40" t="s">
        <v>6</v>
      </c>
      <c r="S491" s="40" t="s">
        <v>6</v>
      </c>
      <c r="T491" s="40"/>
      <c r="U491" s="218" t="s">
        <v>4066</v>
      </c>
      <c r="V491" s="204"/>
      <c r="W491" s="204" t="s">
        <v>125</v>
      </c>
      <c r="X491" s="199"/>
      <c r="Y491" s="199"/>
      <c r="Z491" s="199"/>
      <c r="AA491" s="126" t="s">
        <v>6</v>
      </c>
      <c r="AB491" s="198"/>
      <c r="AC491" s="199"/>
      <c r="AD491" s="412" t="s">
        <v>4495</v>
      </c>
      <c r="AE491" s="204" t="s">
        <v>125</v>
      </c>
      <c r="AF491" s="199"/>
      <c r="AG491" s="199"/>
      <c r="AH491" s="199"/>
      <c r="AI491" s="126" t="s">
        <v>6</v>
      </c>
      <c r="AJ491" s="198"/>
      <c r="AK491" s="199"/>
      <c r="AL491" s="412" t="s">
        <v>4495</v>
      </c>
      <c r="AM491" s="198"/>
      <c r="AN491" s="199"/>
      <c r="AO491" s="199"/>
      <c r="AP491" s="199"/>
      <c r="AQ491" s="199"/>
      <c r="AR491" s="199"/>
      <c r="AS491" s="199"/>
      <c r="AT491" s="199"/>
      <c r="AU491" s="199"/>
      <c r="AV491" s="199"/>
      <c r="AW491" s="155"/>
    </row>
    <row r="492" spans="1:87" s="236" customFormat="1" ht="15">
      <c r="A492" s="40">
        <f t="shared" si="32"/>
        <v>486</v>
      </c>
      <c r="B492" s="199"/>
      <c r="C492" s="199"/>
      <c r="D492" s="199"/>
      <c r="E492" s="199"/>
      <c r="F492" s="199"/>
      <c r="G492" s="199"/>
      <c r="H492" s="199"/>
      <c r="I492" s="199"/>
      <c r="J492" s="412" t="s">
        <v>4498</v>
      </c>
      <c r="K492" s="232" t="s">
        <v>117</v>
      </c>
      <c r="L492" s="204" t="s">
        <v>4499</v>
      </c>
      <c r="M492" s="351"/>
      <c r="N492" s="40" t="s">
        <v>504</v>
      </c>
      <c r="O492" s="40"/>
      <c r="P492" s="40"/>
      <c r="Q492" s="40"/>
      <c r="R492" s="40" t="s">
        <v>6</v>
      </c>
      <c r="S492" s="40" t="s">
        <v>6</v>
      </c>
      <c r="T492" s="40"/>
      <c r="U492" s="218" t="s">
        <v>4066</v>
      </c>
      <c r="V492" s="204"/>
      <c r="W492" s="204" t="s">
        <v>125</v>
      </c>
      <c r="X492" s="199"/>
      <c r="Y492" s="199"/>
      <c r="Z492" s="199"/>
      <c r="AA492" s="126" t="s">
        <v>6</v>
      </c>
      <c r="AB492" s="198"/>
      <c r="AC492" s="199"/>
      <c r="AD492" s="412" t="s">
        <v>4495</v>
      </c>
      <c r="AE492" s="204" t="s">
        <v>125</v>
      </c>
      <c r="AF492" s="199"/>
      <c r="AG492" s="199"/>
      <c r="AH492" s="199"/>
      <c r="AI492" s="126" t="s">
        <v>6</v>
      </c>
      <c r="AJ492" s="198"/>
      <c r="AK492" s="199"/>
      <c r="AL492" s="412" t="s">
        <v>4495</v>
      </c>
      <c r="AM492" s="198"/>
      <c r="AN492" s="199"/>
      <c r="AO492" s="199"/>
      <c r="AP492" s="199"/>
      <c r="AQ492" s="199"/>
      <c r="AR492" s="199"/>
      <c r="AS492" s="199"/>
      <c r="AT492" s="199"/>
      <c r="AU492" s="199"/>
      <c r="AV492" s="199"/>
      <c r="AW492" s="155"/>
    </row>
    <row r="493" spans="1:87" s="236" customFormat="1" ht="39.6">
      <c r="A493" s="40">
        <f t="shared" si="32"/>
        <v>487</v>
      </c>
      <c r="B493" s="199"/>
      <c r="C493" s="199"/>
      <c r="D493" s="199"/>
      <c r="E493" s="199"/>
      <c r="F493" s="199"/>
      <c r="G493" s="199"/>
      <c r="H493" s="199"/>
      <c r="I493" s="199"/>
      <c r="J493" s="412" t="s">
        <v>4495</v>
      </c>
      <c r="K493" s="232" t="s">
        <v>117</v>
      </c>
      <c r="L493" s="204" t="s">
        <v>4500</v>
      </c>
      <c r="M493" s="351"/>
      <c r="N493" s="40" t="s">
        <v>504</v>
      </c>
      <c r="O493" s="40"/>
      <c r="P493" s="40"/>
      <c r="Q493" s="40" t="s">
        <v>6</v>
      </c>
      <c r="R493" s="40" t="s">
        <v>6</v>
      </c>
      <c r="S493" s="40" t="s">
        <v>6</v>
      </c>
      <c r="T493" s="40"/>
      <c r="U493" s="204"/>
      <c r="V493" s="204"/>
      <c r="W493" s="232" t="s">
        <v>133</v>
      </c>
      <c r="X493" s="199"/>
      <c r="Y493" s="199"/>
      <c r="Z493" s="126" t="s">
        <v>6</v>
      </c>
      <c r="AA493" s="126" t="s">
        <v>6</v>
      </c>
      <c r="AB493" s="215"/>
      <c r="AC493" s="199"/>
      <c r="AD493" s="199"/>
      <c r="AE493" s="232" t="s">
        <v>133</v>
      </c>
      <c r="AF493" s="199"/>
      <c r="AG493" s="199"/>
      <c r="AH493" s="126" t="s">
        <v>6</v>
      </c>
      <c r="AI493" s="126" t="s">
        <v>6</v>
      </c>
      <c r="AJ493" s="215" t="s">
        <v>4501</v>
      </c>
      <c r="AK493" s="199"/>
      <c r="AL493" s="199"/>
      <c r="AM493" s="198"/>
      <c r="AN493" s="199"/>
      <c r="AO493" s="199"/>
      <c r="AP493" s="199"/>
      <c r="AQ493" s="199"/>
      <c r="AR493" s="199"/>
      <c r="AS493" s="199"/>
      <c r="AT493" s="199"/>
      <c r="AU493" s="199"/>
      <c r="AV493" s="199"/>
      <c r="AW493" s="155"/>
    </row>
    <row r="494" spans="1:87" s="236" customFormat="1" ht="15">
      <c r="A494" s="40">
        <f t="shared" si="32"/>
        <v>488</v>
      </c>
      <c r="B494" s="199"/>
      <c r="C494" s="199"/>
      <c r="D494" s="199"/>
      <c r="E494" s="199"/>
      <c r="F494" s="199"/>
      <c r="G494" s="199"/>
      <c r="H494" s="199"/>
      <c r="I494" s="199"/>
      <c r="J494" s="412" t="s">
        <v>4502</v>
      </c>
      <c r="K494" s="232" t="s">
        <v>117</v>
      </c>
      <c r="L494" s="204" t="s">
        <v>4503</v>
      </c>
      <c r="M494" s="351"/>
      <c r="N494" s="40" t="s">
        <v>504</v>
      </c>
      <c r="O494" s="40"/>
      <c r="P494" s="40"/>
      <c r="Q494" s="40"/>
      <c r="R494" s="40" t="s">
        <v>6</v>
      </c>
      <c r="S494" s="40" t="s">
        <v>6</v>
      </c>
      <c r="T494" s="40"/>
      <c r="U494" s="218" t="s">
        <v>4066</v>
      </c>
      <c r="V494" s="204"/>
      <c r="W494" s="204" t="s">
        <v>125</v>
      </c>
      <c r="X494" s="199"/>
      <c r="Y494" s="199"/>
      <c r="Z494" s="199"/>
      <c r="AA494" s="126" t="s">
        <v>6</v>
      </c>
      <c r="AB494" s="198"/>
      <c r="AC494" s="199"/>
      <c r="AD494" s="412" t="s">
        <v>4504</v>
      </c>
      <c r="AE494" s="204" t="s">
        <v>125</v>
      </c>
      <c r="AF494" s="199"/>
      <c r="AG494" s="199"/>
      <c r="AH494" s="199"/>
      <c r="AI494" s="126" t="s">
        <v>6</v>
      </c>
      <c r="AJ494" s="198"/>
      <c r="AK494" s="199"/>
      <c r="AL494" s="412" t="s">
        <v>4504</v>
      </c>
      <c r="AM494" s="198"/>
      <c r="AN494" s="199"/>
      <c r="AO494" s="199"/>
      <c r="AP494" s="199"/>
      <c r="AQ494" s="199"/>
      <c r="AR494" s="199"/>
      <c r="AS494" s="199"/>
      <c r="AT494" s="199"/>
      <c r="AU494" s="199"/>
      <c r="AV494" s="199"/>
      <c r="AW494" s="155"/>
    </row>
    <row r="495" spans="1:87" s="236" customFormat="1" ht="15">
      <c r="A495" s="40">
        <f t="shared" si="32"/>
        <v>489</v>
      </c>
      <c r="B495" s="199"/>
      <c r="C495" s="199"/>
      <c r="D495" s="199"/>
      <c r="E495" s="199"/>
      <c r="F495" s="199"/>
      <c r="G495" s="199"/>
      <c r="H495" s="199"/>
      <c r="I495" s="199"/>
      <c r="J495" s="412" t="s">
        <v>4505</v>
      </c>
      <c r="K495" s="232" t="s">
        <v>117</v>
      </c>
      <c r="L495" s="204" t="s">
        <v>4506</v>
      </c>
      <c r="M495" s="351"/>
      <c r="N495" s="40" t="s">
        <v>504</v>
      </c>
      <c r="O495" s="40"/>
      <c r="P495" s="40"/>
      <c r="Q495" s="40"/>
      <c r="R495" s="40" t="s">
        <v>6</v>
      </c>
      <c r="S495" s="40" t="s">
        <v>6</v>
      </c>
      <c r="T495" s="40"/>
      <c r="U495" s="218" t="s">
        <v>4066</v>
      </c>
      <c r="V495" s="204"/>
      <c r="W495" s="204" t="s">
        <v>125</v>
      </c>
      <c r="X495" s="199"/>
      <c r="Y495" s="199"/>
      <c r="Z495" s="199"/>
      <c r="AA495" s="126" t="s">
        <v>6</v>
      </c>
      <c r="AB495" s="198"/>
      <c r="AC495" s="199"/>
      <c r="AD495" s="412" t="s">
        <v>4504</v>
      </c>
      <c r="AE495" s="204" t="s">
        <v>125</v>
      </c>
      <c r="AF495" s="199"/>
      <c r="AG495" s="199"/>
      <c r="AH495" s="199"/>
      <c r="AI495" s="126" t="s">
        <v>6</v>
      </c>
      <c r="AJ495" s="198"/>
      <c r="AK495" s="199"/>
      <c r="AL495" s="412" t="s">
        <v>4504</v>
      </c>
      <c r="AM495" s="198"/>
      <c r="AN495" s="199"/>
      <c r="AO495" s="199"/>
      <c r="AP495" s="199"/>
      <c r="AQ495" s="199"/>
      <c r="AR495" s="199"/>
      <c r="AS495" s="199"/>
      <c r="AT495" s="199"/>
      <c r="AU495" s="199"/>
      <c r="AV495" s="199"/>
      <c r="AW495" s="155"/>
    </row>
    <row r="496" spans="1:87" s="236" customFormat="1" ht="15">
      <c r="A496" s="40">
        <f t="shared" si="32"/>
        <v>490</v>
      </c>
      <c r="B496" s="199"/>
      <c r="C496" s="199"/>
      <c r="D496" s="199"/>
      <c r="E496" s="199"/>
      <c r="F496" s="199"/>
      <c r="G496" s="199"/>
      <c r="H496" s="199"/>
      <c r="I496" s="199"/>
      <c r="J496" s="412" t="s">
        <v>4507</v>
      </c>
      <c r="K496" s="232" t="s">
        <v>117</v>
      </c>
      <c r="L496" s="204" t="s">
        <v>4508</v>
      </c>
      <c r="M496" s="351"/>
      <c r="N496" s="40" t="s">
        <v>504</v>
      </c>
      <c r="O496" s="40"/>
      <c r="P496" s="40"/>
      <c r="Q496" s="40"/>
      <c r="R496" s="40" t="s">
        <v>6</v>
      </c>
      <c r="S496" s="40" t="s">
        <v>6</v>
      </c>
      <c r="T496" s="40"/>
      <c r="U496" s="218" t="s">
        <v>4066</v>
      </c>
      <c r="V496" s="204"/>
      <c r="W496" s="204" t="s">
        <v>125</v>
      </c>
      <c r="X496" s="199"/>
      <c r="Y496" s="199"/>
      <c r="Z496" s="199"/>
      <c r="AA496" s="126" t="s">
        <v>6</v>
      </c>
      <c r="AB496" s="198"/>
      <c r="AC496" s="199"/>
      <c r="AD496" s="412" t="s">
        <v>4504</v>
      </c>
      <c r="AE496" s="204" t="s">
        <v>125</v>
      </c>
      <c r="AF496" s="199"/>
      <c r="AG496" s="199"/>
      <c r="AH496" s="199"/>
      <c r="AI496" s="126" t="s">
        <v>6</v>
      </c>
      <c r="AJ496" s="198"/>
      <c r="AK496" s="199"/>
      <c r="AL496" s="412" t="s">
        <v>4504</v>
      </c>
      <c r="AM496" s="198"/>
      <c r="AN496" s="199"/>
      <c r="AO496" s="199"/>
      <c r="AP496" s="199"/>
      <c r="AQ496" s="199"/>
      <c r="AR496" s="199"/>
      <c r="AS496" s="199"/>
      <c r="AT496" s="199"/>
      <c r="AU496" s="199"/>
      <c r="AV496" s="199"/>
      <c r="AW496" s="155"/>
    </row>
    <row r="497" spans="1:49" s="236" customFormat="1" ht="39.6">
      <c r="A497" s="40">
        <f t="shared" si="32"/>
        <v>491</v>
      </c>
      <c r="B497" s="199"/>
      <c r="C497" s="199"/>
      <c r="D497" s="199"/>
      <c r="E497" s="199"/>
      <c r="F497" s="199"/>
      <c r="G497" s="199"/>
      <c r="H497" s="199"/>
      <c r="I497" s="199"/>
      <c r="J497" s="412" t="s">
        <v>4504</v>
      </c>
      <c r="K497" s="232" t="s">
        <v>117</v>
      </c>
      <c r="L497" s="204" t="s">
        <v>4509</v>
      </c>
      <c r="M497" s="351"/>
      <c r="N497" s="40" t="s">
        <v>504</v>
      </c>
      <c r="O497" s="40"/>
      <c r="P497" s="40"/>
      <c r="Q497" s="40" t="s">
        <v>6</v>
      </c>
      <c r="R497" s="40" t="s">
        <v>6</v>
      </c>
      <c r="S497" s="40" t="s">
        <v>6</v>
      </c>
      <c r="T497" s="40"/>
      <c r="U497" s="204"/>
      <c r="V497" s="204"/>
      <c r="W497" s="232" t="s">
        <v>133</v>
      </c>
      <c r="X497" s="199"/>
      <c r="Y497" s="199"/>
      <c r="Z497" s="126" t="s">
        <v>6</v>
      </c>
      <c r="AA497" s="126" t="s">
        <v>6</v>
      </c>
      <c r="AB497" s="215"/>
      <c r="AC497" s="199"/>
      <c r="AD497" s="199"/>
      <c r="AE497" s="232" t="s">
        <v>133</v>
      </c>
      <c r="AF497" s="199"/>
      <c r="AG497" s="199"/>
      <c r="AH497" s="126" t="s">
        <v>6</v>
      </c>
      <c r="AI497" s="126" t="s">
        <v>6</v>
      </c>
      <c r="AJ497" s="215" t="s">
        <v>4510</v>
      </c>
      <c r="AK497" s="199"/>
      <c r="AL497" s="199"/>
      <c r="AM497" s="198"/>
      <c r="AN497" s="199"/>
      <c r="AO497" s="199"/>
      <c r="AP497" s="199"/>
      <c r="AQ497" s="199"/>
      <c r="AR497" s="199"/>
      <c r="AS497" s="199"/>
      <c r="AT497" s="199"/>
      <c r="AU497" s="199"/>
      <c r="AV497" s="199"/>
      <c r="AW497" s="155"/>
    </row>
    <row r="498" spans="1:49" s="236" customFormat="1" ht="26.4">
      <c r="A498" s="40">
        <f t="shared" si="32"/>
        <v>492</v>
      </c>
      <c r="B498" s="199"/>
      <c r="C498" s="199"/>
      <c r="D498" s="199"/>
      <c r="E498" s="199"/>
      <c r="F498" s="199"/>
      <c r="G498" s="199"/>
      <c r="H498" s="199"/>
      <c r="I498" s="199"/>
      <c r="J498" s="412" t="s">
        <v>4511</v>
      </c>
      <c r="K498" s="232" t="s">
        <v>117</v>
      </c>
      <c r="L498" s="204" t="s">
        <v>4512</v>
      </c>
      <c r="M498" s="351" t="s">
        <v>4513</v>
      </c>
      <c r="N498" s="40" t="s">
        <v>504</v>
      </c>
      <c r="O498" s="40"/>
      <c r="P498" s="40"/>
      <c r="Q498" s="40"/>
      <c r="R498" s="40" t="s">
        <v>6</v>
      </c>
      <c r="S498" s="40" t="s">
        <v>6</v>
      </c>
      <c r="T498" s="40"/>
      <c r="U498" s="218" t="s">
        <v>4066</v>
      </c>
      <c r="V498" s="204"/>
      <c r="W498" s="204" t="s">
        <v>125</v>
      </c>
      <c r="X498" s="199"/>
      <c r="Y498" s="199"/>
      <c r="Z498" s="199"/>
      <c r="AA498" s="126" t="s">
        <v>6</v>
      </c>
      <c r="AB498" s="198"/>
      <c r="AC498" s="199"/>
      <c r="AD498" s="412" t="s">
        <v>1085</v>
      </c>
      <c r="AE498" s="204" t="s">
        <v>125</v>
      </c>
      <c r="AF498" s="199"/>
      <c r="AG498" s="199"/>
      <c r="AH498" s="199"/>
      <c r="AI498" s="126" t="s">
        <v>6</v>
      </c>
      <c r="AJ498" s="198"/>
      <c r="AK498" s="199"/>
      <c r="AL498" s="412" t="s">
        <v>1085</v>
      </c>
      <c r="AM498" s="198" t="s">
        <v>1086</v>
      </c>
      <c r="AN498" s="202"/>
      <c r="AO498" s="199"/>
      <c r="AP498" s="199"/>
      <c r="AQ498" s="199"/>
      <c r="AR498" s="199"/>
      <c r="AS498" s="199"/>
      <c r="AT498" s="199"/>
      <c r="AU498" s="199"/>
      <c r="AV498" s="199"/>
      <c r="AW498" s="155"/>
    </row>
    <row r="499" spans="1:49" s="236" customFormat="1" ht="26.4">
      <c r="A499" s="40">
        <f t="shared" si="32"/>
        <v>493</v>
      </c>
      <c r="B499" s="199"/>
      <c r="C499" s="199"/>
      <c r="D499" s="199"/>
      <c r="E499" s="199"/>
      <c r="F499" s="199"/>
      <c r="G499" s="199"/>
      <c r="H499" s="199"/>
      <c r="I499" s="199"/>
      <c r="J499" s="412" t="s">
        <v>4514</v>
      </c>
      <c r="K499" s="232" t="s">
        <v>117</v>
      </c>
      <c r="L499" s="204" t="s">
        <v>4515</v>
      </c>
      <c r="M499" s="351" t="s">
        <v>4513</v>
      </c>
      <c r="N499" s="40" t="s">
        <v>504</v>
      </c>
      <c r="O499" s="40"/>
      <c r="P499" s="40"/>
      <c r="Q499" s="40"/>
      <c r="R499" s="40" t="s">
        <v>6</v>
      </c>
      <c r="S499" s="40" t="s">
        <v>6</v>
      </c>
      <c r="T499" s="40"/>
      <c r="U499" s="218" t="s">
        <v>4066</v>
      </c>
      <c r="V499" s="204"/>
      <c r="W499" s="204" t="s">
        <v>125</v>
      </c>
      <c r="X499" s="199"/>
      <c r="Y499" s="199"/>
      <c r="Z499" s="199"/>
      <c r="AA499" s="126" t="s">
        <v>6</v>
      </c>
      <c r="AB499" s="198"/>
      <c r="AC499" s="199"/>
      <c r="AD499" s="412" t="s">
        <v>1085</v>
      </c>
      <c r="AE499" s="204" t="s">
        <v>125</v>
      </c>
      <c r="AF499" s="199"/>
      <c r="AG499" s="199"/>
      <c r="AH499" s="199"/>
      <c r="AI499" s="126" t="s">
        <v>6</v>
      </c>
      <c r="AJ499" s="198"/>
      <c r="AK499" s="199"/>
      <c r="AL499" s="412" t="s">
        <v>1085</v>
      </c>
      <c r="AM499" s="198" t="s">
        <v>1086</v>
      </c>
      <c r="AN499" s="202"/>
      <c r="AO499" s="199"/>
      <c r="AP499" s="199"/>
      <c r="AQ499" s="199"/>
      <c r="AR499" s="199"/>
      <c r="AS499" s="199"/>
      <c r="AT499" s="199"/>
      <c r="AU499" s="199"/>
      <c r="AV499" s="199"/>
      <c r="AW499" s="155"/>
    </row>
    <row r="500" spans="1:49" s="236" customFormat="1" ht="26.4">
      <c r="A500" s="40">
        <f t="shared" si="32"/>
        <v>494</v>
      </c>
      <c r="B500" s="199"/>
      <c r="C500" s="199"/>
      <c r="D500" s="199"/>
      <c r="E500" s="199"/>
      <c r="F500" s="199"/>
      <c r="G500" s="199"/>
      <c r="H500" s="199"/>
      <c r="I500" s="199"/>
      <c r="J500" s="412" t="s">
        <v>4516</v>
      </c>
      <c r="K500" s="232" t="s">
        <v>117</v>
      </c>
      <c r="L500" s="204" t="s">
        <v>4517</v>
      </c>
      <c r="M500" s="351" t="s">
        <v>4513</v>
      </c>
      <c r="N500" s="40" t="s">
        <v>504</v>
      </c>
      <c r="O500" s="40"/>
      <c r="P500" s="40"/>
      <c r="Q500" s="40"/>
      <c r="R500" s="40" t="s">
        <v>6</v>
      </c>
      <c r="S500" s="40" t="s">
        <v>6</v>
      </c>
      <c r="T500" s="40"/>
      <c r="U500" s="218" t="s">
        <v>4066</v>
      </c>
      <c r="V500" s="204"/>
      <c r="W500" s="204" t="s">
        <v>125</v>
      </c>
      <c r="X500" s="199"/>
      <c r="Y500" s="199"/>
      <c r="Z500" s="199"/>
      <c r="AA500" s="126" t="s">
        <v>6</v>
      </c>
      <c r="AB500" s="198"/>
      <c r="AC500" s="199"/>
      <c r="AD500" s="412" t="s">
        <v>1085</v>
      </c>
      <c r="AE500" s="204" t="s">
        <v>125</v>
      </c>
      <c r="AF500" s="199"/>
      <c r="AG500" s="199"/>
      <c r="AH500" s="199"/>
      <c r="AI500" s="126" t="s">
        <v>6</v>
      </c>
      <c r="AJ500" s="198"/>
      <c r="AK500" s="199"/>
      <c r="AL500" s="412" t="s">
        <v>1085</v>
      </c>
      <c r="AM500" s="198" t="s">
        <v>1086</v>
      </c>
      <c r="AN500" s="202"/>
      <c r="AO500" s="199"/>
      <c r="AP500" s="199"/>
      <c r="AQ500" s="199"/>
      <c r="AR500" s="199"/>
      <c r="AS500" s="199"/>
      <c r="AT500" s="199"/>
      <c r="AU500" s="199"/>
      <c r="AV500" s="199"/>
      <c r="AW500" s="155"/>
    </row>
    <row r="501" spans="1:49" s="236" customFormat="1" ht="39.6">
      <c r="A501" s="40">
        <f t="shared" si="32"/>
        <v>495</v>
      </c>
      <c r="B501" s="199"/>
      <c r="C501" s="199"/>
      <c r="D501" s="199"/>
      <c r="E501" s="199"/>
      <c r="F501" s="199"/>
      <c r="G501" s="199"/>
      <c r="H501" s="199"/>
      <c r="I501" s="199" t="s">
        <v>868</v>
      </c>
      <c r="J501" s="412" t="s">
        <v>1085</v>
      </c>
      <c r="K501" s="232" t="s">
        <v>117</v>
      </c>
      <c r="L501" s="204" t="s">
        <v>4518</v>
      </c>
      <c r="M501" s="351" t="s">
        <v>4513</v>
      </c>
      <c r="N501" s="40" t="s">
        <v>504</v>
      </c>
      <c r="O501" s="40"/>
      <c r="P501" s="40"/>
      <c r="Q501" s="40" t="s">
        <v>6</v>
      </c>
      <c r="R501" s="40" t="s">
        <v>6</v>
      </c>
      <c r="S501" s="40" t="s">
        <v>6</v>
      </c>
      <c r="T501" s="40"/>
      <c r="U501" s="204"/>
      <c r="V501" s="204"/>
      <c r="W501" s="232" t="s">
        <v>133</v>
      </c>
      <c r="X501" s="199"/>
      <c r="Y501" s="199"/>
      <c r="Z501" s="126" t="s">
        <v>6</v>
      </c>
      <c r="AA501" s="126" t="s">
        <v>6</v>
      </c>
      <c r="AB501" s="215"/>
      <c r="AC501" s="199"/>
      <c r="AD501" s="199" t="s">
        <v>881</v>
      </c>
      <c r="AE501" s="232" t="s">
        <v>133</v>
      </c>
      <c r="AF501" s="199"/>
      <c r="AG501" s="199"/>
      <c r="AH501" s="126" t="s">
        <v>6</v>
      </c>
      <c r="AI501" s="126" t="s">
        <v>6</v>
      </c>
      <c r="AJ501" s="215" t="s">
        <v>4519</v>
      </c>
      <c r="AK501" s="199"/>
      <c r="AL501" s="199" t="s">
        <v>881</v>
      </c>
      <c r="AM501" s="198" t="s">
        <v>1086</v>
      </c>
      <c r="AN501" s="199"/>
      <c r="AO501" s="199"/>
      <c r="AP501" s="199"/>
      <c r="AQ501" s="199"/>
      <c r="AR501" s="199"/>
      <c r="AS501" s="199"/>
      <c r="AT501" s="199"/>
      <c r="AU501" s="199"/>
      <c r="AV501" s="199"/>
      <c r="AW501" s="155"/>
    </row>
    <row r="502" spans="1:49" s="236" customFormat="1" ht="15">
      <c r="A502" s="40">
        <f t="shared" si="32"/>
        <v>496</v>
      </c>
      <c r="B502" s="199"/>
      <c r="C502" s="199"/>
      <c r="D502" s="199"/>
      <c r="E502" s="199"/>
      <c r="F502" s="199"/>
      <c r="G502" s="199"/>
      <c r="H502" s="199"/>
      <c r="I502" s="199"/>
      <c r="J502" s="412" t="s">
        <v>4520</v>
      </c>
      <c r="K502" s="232" t="s">
        <v>117</v>
      </c>
      <c r="L502" s="204" t="s">
        <v>4521</v>
      </c>
      <c r="M502" s="351"/>
      <c r="N502" s="40" t="s">
        <v>504</v>
      </c>
      <c r="O502" s="40"/>
      <c r="P502" s="40"/>
      <c r="Q502" s="40" t="s">
        <v>6</v>
      </c>
      <c r="R502" s="40" t="s">
        <v>6</v>
      </c>
      <c r="S502" s="40" t="s">
        <v>6</v>
      </c>
      <c r="T502" s="460"/>
      <c r="U502" s="461" t="s">
        <v>4522</v>
      </c>
      <c r="V502" s="461"/>
      <c r="W502" s="232" t="s">
        <v>133</v>
      </c>
      <c r="X502" s="199"/>
      <c r="Y502" s="199"/>
      <c r="Z502" s="40" t="s">
        <v>6</v>
      </c>
      <c r="AA502" s="40" t="s">
        <v>6</v>
      </c>
      <c r="AB502" s="204" t="s">
        <v>1100</v>
      </c>
      <c r="AC502" s="199"/>
      <c r="AD502" s="199"/>
      <c r="AE502" s="232"/>
      <c r="AF502" s="199"/>
      <c r="AG502" s="199"/>
      <c r="AH502" s="126"/>
      <c r="AI502" s="126"/>
      <c r="AJ502" s="204" t="s">
        <v>1100</v>
      </c>
      <c r="AK502" s="199"/>
      <c r="AL502" s="199"/>
      <c r="AM502" s="198"/>
      <c r="AN502" s="199"/>
      <c r="AO502" s="199"/>
      <c r="AP502" s="199"/>
      <c r="AQ502" s="199"/>
      <c r="AR502" s="199"/>
      <c r="AS502" s="199"/>
      <c r="AT502" s="199"/>
      <c r="AU502" s="199"/>
      <c r="AV502" s="199"/>
      <c r="AW502" s="155"/>
    </row>
    <row r="503" spans="1:49" s="236" customFormat="1" ht="15">
      <c r="A503" s="40">
        <f t="shared" si="32"/>
        <v>497</v>
      </c>
      <c r="B503" s="199"/>
      <c r="C503" s="199"/>
      <c r="D503" s="199"/>
      <c r="E503" s="199"/>
      <c r="F503" s="199"/>
      <c r="G503" s="199"/>
      <c r="H503" s="199"/>
      <c r="I503" s="199"/>
      <c r="J503" s="412" t="s">
        <v>4523</v>
      </c>
      <c r="K503" s="232" t="s">
        <v>117</v>
      </c>
      <c r="L503" s="204" t="s">
        <v>4524</v>
      </c>
      <c r="M503" s="351"/>
      <c r="N503" s="40" t="s">
        <v>504</v>
      </c>
      <c r="O503" s="40"/>
      <c r="P503" s="40"/>
      <c r="Q503" s="40" t="s">
        <v>6</v>
      </c>
      <c r="R503" s="40" t="s">
        <v>6</v>
      </c>
      <c r="S503" s="40" t="s">
        <v>6</v>
      </c>
      <c r="T503" s="40"/>
      <c r="U503" s="215"/>
      <c r="V503" s="412"/>
      <c r="W503" s="232" t="s">
        <v>133</v>
      </c>
      <c r="X503" s="199"/>
      <c r="Y503" s="199"/>
      <c r="Z503" s="126" t="s">
        <v>6</v>
      </c>
      <c r="AA503" s="126" t="s">
        <v>6</v>
      </c>
      <c r="AB503" s="198"/>
      <c r="AC503" s="199"/>
      <c r="AD503" s="199"/>
      <c r="AE503" s="232" t="s">
        <v>133</v>
      </c>
      <c r="AF503" s="199"/>
      <c r="AG503" s="199"/>
      <c r="AH503" s="126" t="s">
        <v>6</v>
      </c>
      <c r="AI503" s="126" t="s">
        <v>6</v>
      </c>
      <c r="AJ503" s="198"/>
      <c r="AK503" s="199"/>
      <c r="AL503" s="199"/>
      <c r="AM503" s="199"/>
      <c r="AN503" s="199"/>
      <c r="AO503" s="199"/>
      <c r="AP503" s="199"/>
      <c r="AQ503" s="199"/>
      <c r="AR503" s="199"/>
      <c r="AS503" s="199"/>
      <c r="AT503" s="199"/>
      <c r="AU503" s="199"/>
      <c r="AV503" s="199"/>
      <c r="AW503" s="155"/>
    </row>
    <row r="504" spans="1:49" s="246" customFormat="1" ht="15">
      <c r="A504" s="40">
        <f t="shared" si="32"/>
        <v>498</v>
      </c>
      <c r="B504" s="198"/>
      <c r="C504" s="198"/>
      <c r="D504" s="198"/>
      <c r="E504" s="198"/>
      <c r="F504" s="198"/>
      <c r="G504" s="198"/>
      <c r="H504" s="198"/>
      <c r="I504" s="198"/>
      <c r="J504" s="232" t="s">
        <v>4525</v>
      </c>
      <c r="K504" s="204" t="s">
        <v>117</v>
      </c>
      <c r="L504" s="232" t="s">
        <v>4526</v>
      </c>
      <c r="M504" s="351"/>
      <c r="N504" s="40" t="s">
        <v>504</v>
      </c>
      <c r="O504" s="416"/>
      <c r="P504" s="416"/>
      <c r="Q504" s="416" t="s">
        <v>6</v>
      </c>
      <c r="R504" s="416" t="s">
        <v>6</v>
      </c>
      <c r="S504" s="416" t="s">
        <v>6</v>
      </c>
      <c r="T504" s="416"/>
      <c r="U504" s="215"/>
      <c r="V504" s="412"/>
      <c r="W504" s="232" t="s">
        <v>133</v>
      </c>
      <c r="X504" s="198"/>
      <c r="Y504" s="198"/>
      <c r="Z504" s="40" t="s">
        <v>6</v>
      </c>
      <c r="AA504" s="40" t="s">
        <v>6</v>
      </c>
      <c r="AB504" s="198"/>
      <c r="AC504" s="198"/>
      <c r="AD504" s="198"/>
      <c r="AE504" s="232" t="s">
        <v>133</v>
      </c>
      <c r="AF504" s="198"/>
      <c r="AG504" s="198"/>
      <c r="AH504" s="40" t="s">
        <v>6</v>
      </c>
      <c r="AI504" s="40" t="s">
        <v>6</v>
      </c>
      <c r="AJ504" s="198"/>
      <c r="AK504" s="198"/>
      <c r="AL504" s="198"/>
      <c r="AM504" s="198"/>
      <c r="AN504" s="198"/>
      <c r="AO504" s="198"/>
      <c r="AP504" s="198"/>
      <c r="AQ504" s="198"/>
      <c r="AR504" s="198"/>
      <c r="AS504" s="198"/>
      <c r="AT504" s="198"/>
      <c r="AU504" s="198"/>
      <c r="AV504" s="198"/>
      <c r="AW504" s="155"/>
    </row>
    <row r="505" spans="1:49" s="246" customFormat="1" ht="15">
      <c r="A505" s="40">
        <f t="shared" si="32"/>
        <v>499</v>
      </c>
      <c r="B505" s="198"/>
      <c r="C505" s="198"/>
      <c r="D505" s="198"/>
      <c r="E505" s="198"/>
      <c r="F505" s="198"/>
      <c r="G505" s="198"/>
      <c r="H505" s="198"/>
      <c r="I505" s="198"/>
      <c r="J505" s="232" t="s">
        <v>4527</v>
      </c>
      <c r="K505" s="204" t="s">
        <v>117</v>
      </c>
      <c r="L505" s="232" t="s">
        <v>4528</v>
      </c>
      <c r="M505" s="351"/>
      <c r="N505" s="40" t="s">
        <v>504</v>
      </c>
      <c r="O505" s="416"/>
      <c r="P505" s="416"/>
      <c r="Q505" s="416"/>
      <c r="R505" s="416" t="s">
        <v>6</v>
      </c>
      <c r="S505" s="416" t="s">
        <v>6</v>
      </c>
      <c r="T505" s="416"/>
      <c r="U505" s="218" t="s">
        <v>4066</v>
      </c>
      <c r="V505" s="412"/>
      <c r="W505" s="232" t="s">
        <v>133</v>
      </c>
      <c r="X505" s="198"/>
      <c r="Y505" s="198"/>
      <c r="Z505" s="40"/>
      <c r="AA505" s="40" t="s">
        <v>6</v>
      </c>
      <c r="AB505" s="198"/>
      <c r="AC505" s="198"/>
      <c r="AD505" s="198"/>
      <c r="AE505" s="232" t="s">
        <v>133</v>
      </c>
      <c r="AF505" s="198"/>
      <c r="AG505" s="198"/>
      <c r="AH505" s="40"/>
      <c r="AI505" s="40" t="s">
        <v>6</v>
      </c>
      <c r="AJ505" s="198"/>
      <c r="AK505" s="198"/>
      <c r="AL505" s="198"/>
      <c r="AM505" s="198"/>
      <c r="AN505" s="198"/>
      <c r="AO505" s="198"/>
      <c r="AP505" s="198"/>
      <c r="AQ505" s="198"/>
      <c r="AR505" s="198"/>
      <c r="AS505" s="198"/>
      <c r="AT505" s="198"/>
      <c r="AU505" s="198"/>
      <c r="AV505" s="198"/>
      <c r="AW505" s="155"/>
    </row>
    <row r="506" spans="1:49" s="246" customFormat="1" ht="15">
      <c r="A506" s="40">
        <f t="shared" si="32"/>
        <v>500</v>
      </c>
      <c r="B506" s="198"/>
      <c r="C506" s="198"/>
      <c r="D506" s="198"/>
      <c r="E506" s="198"/>
      <c r="F506" s="198"/>
      <c r="G506" s="198"/>
      <c r="H506" s="198"/>
      <c r="I506" s="198"/>
      <c r="J506" s="232" t="s">
        <v>4529</v>
      </c>
      <c r="K506" s="204" t="s">
        <v>117</v>
      </c>
      <c r="L506" s="232" t="s">
        <v>4530</v>
      </c>
      <c r="M506" s="351"/>
      <c r="N506" s="40" t="s">
        <v>504</v>
      </c>
      <c r="O506" s="416"/>
      <c r="P506" s="416"/>
      <c r="Q506" s="416"/>
      <c r="R506" s="416" t="s">
        <v>6</v>
      </c>
      <c r="S506" s="416" t="s">
        <v>6</v>
      </c>
      <c r="T506" s="416"/>
      <c r="U506" s="218" t="s">
        <v>4066</v>
      </c>
      <c r="V506" s="412"/>
      <c r="W506" s="232" t="s">
        <v>133</v>
      </c>
      <c r="X506" s="198"/>
      <c r="Y506" s="198"/>
      <c r="Z506" s="40"/>
      <c r="AA506" s="40" t="s">
        <v>6</v>
      </c>
      <c r="AB506" s="198"/>
      <c r="AC506" s="198"/>
      <c r="AD506" s="198"/>
      <c r="AE506" s="232" t="s">
        <v>133</v>
      </c>
      <c r="AF506" s="198"/>
      <c r="AG506" s="198"/>
      <c r="AH506" s="40"/>
      <c r="AI506" s="40" t="s">
        <v>6</v>
      </c>
      <c r="AJ506" s="198"/>
      <c r="AK506" s="198"/>
      <c r="AL506" s="198"/>
      <c r="AM506" s="198"/>
      <c r="AN506" s="198"/>
      <c r="AO506" s="198"/>
      <c r="AP506" s="198"/>
      <c r="AQ506" s="198"/>
      <c r="AR506" s="198"/>
      <c r="AS506" s="198"/>
      <c r="AT506" s="198"/>
      <c r="AU506" s="198"/>
      <c r="AV506" s="198"/>
      <c r="AW506" s="155"/>
    </row>
    <row r="507" spans="1:49" s="246" customFormat="1" ht="15">
      <c r="A507" s="40">
        <f t="shared" si="32"/>
        <v>501</v>
      </c>
      <c r="B507" s="198"/>
      <c r="C507" s="198"/>
      <c r="D507" s="198"/>
      <c r="E507" s="198"/>
      <c r="F507" s="198"/>
      <c r="G507" s="198"/>
      <c r="H507" s="198"/>
      <c r="I507" s="198"/>
      <c r="J507" s="232" t="s">
        <v>4531</v>
      </c>
      <c r="K507" s="204" t="s">
        <v>117</v>
      </c>
      <c r="L507" s="232" t="s">
        <v>4532</v>
      </c>
      <c r="M507" s="351"/>
      <c r="N507" s="40" t="s">
        <v>504</v>
      </c>
      <c r="O507" s="416"/>
      <c r="P507" s="416"/>
      <c r="Q507" s="416"/>
      <c r="R507" s="416" t="s">
        <v>6</v>
      </c>
      <c r="S507" s="416" t="s">
        <v>6</v>
      </c>
      <c r="T507" s="416"/>
      <c r="U507" s="218" t="s">
        <v>4066</v>
      </c>
      <c r="V507" s="412"/>
      <c r="W507" s="232" t="s">
        <v>133</v>
      </c>
      <c r="X507" s="198"/>
      <c r="Y507" s="198"/>
      <c r="Z507" s="40"/>
      <c r="AA507" s="40" t="s">
        <v>6</v>
      </c>
      <c r="AB507" s="198"/>
      <c r="AC507" s="198"/>
      <c r="AD507" s="198"/>
      <c r="AE507" s="232" t="s">
        <v>133</v>
      </c>
      <c r="AF507" s="198"/>
      <c r="AG507" s="198"/>
      <c r="AH507" s="40"/>
      <c r="AI507" s="40" t="s">
        <v>6</v>
      </c>
      <c r="AJ507" s="198"/>
      <c r="AK507" s="198"/>
      <c r="AL507" s="198"/>
      <c r="AM507" s="198"/>
      <c r="AN507" s="198"/>
      <c r="AO507" s="198"/>
      <c r="AP507" s="198"/>
      <c r="AQ507" s="198"/>
      <c r="AR507" s="198"/>
      <c r="AS507" s="198"/>
      <c r="AT507" s="198"/>
      <c r="AU507" s="198"/>
      <c r="AV507" s="198"/>
      <c r="AW507" s="155"/>
    </row>
    <row r="508" spans="1:49" s="246" customFormat="1" ht="15">
      <c r="A508" s="40">
        <f t="shared" si="32"/>
        <v>502</v>
      </c>
      <c r="B508" s="198"/>
      <c r="C508" s="198"/>
      <c r="D508" s="198"/>
      <c r="E508" s="198"/>
      <c r="F508" s="198"/>
      <c r="G508" s="198"/>
      <c r="H508" s="198"/>
      <c r="I508" s="198"/>
      <c r="J508" s="232" t="s">
        <v>4533</v>
      </c>
      <c r="K508" s="204" t="s">
        <v>117</v>
      </c>
      <c r="L508" s="232" t="s">
        <v>4534</v>
      </c>
      <c r="M508" s="351"/>
      <c r="N508" s="40" t="s">
        <v>504</v>
      </c>
      <c r="O508" s="416"/>
      <c r="P508" s="416"/>
      <c r="Q508" s="416"/>
      <c r="R508" s="416" t="s">
        <v>6</v>
      </c>
      <c r="S508" s="416" t="s">
        <v>6</v>
      </c>
      <c r="T508" s="416"/>
      <c r="U508" s="218" t="s">
        <v>4066</v>
      </c>
      <c r="V508" s="412"/>
      <c r="W508" s="232" t="s">
        <v>133</v>
      </c>
      <c r="X508" s="198"/>
      <c r="Y508" s="198"/>
      <c r="Z508" s="40"/>
      <c r="AA508" s="40" t="s">
        <v>6</v>
      </c>
      <c r="AB508" s="198"/>
      <c r="AC508" s="198"/>
      <c r="AD508" s="198"/>
      <c r="AE508" s="232" t="s">
        <v>133</v>
      </c>
      <c r="AF508" s="198"/>
      <c r="AG508" s="198"/>
      <c r="AH508" s="40"/>
      <c r="AI508" s="40" t="s">
        <v>6</v>
      </c>
      <c r="AJ508" s="198"/>
      <c r="AK508" s="198"/>
      <c r="AL508" s="198"/>
      <c r="AM508" s="198"/>
      <c r="AN508" s="198"/>
      <c r="AO508" s="198"/>
      <c r="AP508" s="198"/>
      <c r="AQ508" s="198"/>
      <c r="AR508" s="198"/>
      <c r="AS508" s="198"/>
      <c r="AT508" s="198"/>
      <c r="AU508" s="198"/>
      <c r="AV508" s="198"/>
      <c r="AW508" s="155"/>
    </row>
    <row r="509" spans="1:49" s="246" customFormat="1" ht="15">
      <c r="A509" s="40">
        <f t="shared" si="32"/>
        <v>503</v>
      </c>
      <c r="B509" s="198"/>
      <c r="C509" s="198"/>
      <c r="D509" s="198"/>
      <c r="E509" s="198"/>
      <c r="F509" s="198"/>
      <c r="G509" s="198"/>
      <c r="H509" s="198"/>
      <c r="I509" s="198"/>
      <c r="J509" s="232" t="s">
        <v>4535</v>
      </c>
      <c r="K509" s="204" t="s">
        <v>117</v>
      </c>
      <c r="L509" s="232" t="s">
        <v>4536</v>
      </c>
      <c r="M509" s="351"/>
      <c r="N509" s="40" t="s">
        <v>504</v>
      </c>
      <c r="O509" s="416"/>
      <c r="P509" s="416"/>
      <c r="Q509" s="416"/>
      <c r="R509" s="416" t="s">
        <v>6</v>
      </c>
      <c r="S509" s="416" t="s">
        <v>6</v>
      </c>
      <c r="T509" s="416"/>
      <c r="U509" s="218" t="s">
        <v>4066</v>
      </c>
      <c r="V509" s="412"/>
      <c r="W509" s="232" t="s">
        <v>133</v>
      </c>
      <c r="X509" s="198"/>
      <c r="Y509" s="198"/>
      <c r="Z509" s="40"/>
      <c r="AA509" s="40" t="s">
        <v>6</v>
      </c>
      <c r="AB509" s="198"/>
      <c r="AC509" s="198"/>
      <c r="AD509" s="198"/>
      <c r="AE509" s="232" t="s">
        <v>133</v>
      </c>
      <c r="AF509" s="198"/>
      <c r="AG509" s="198"/>
      <c r="AH509" s="40"/>
      <c r="AI509" s="40" t="s">
        <v>6</v>
      </c>
      <c r="AJ509" s="198"/>
      <c r="AK509" s="198"/>
      <c r="AL509" s="198"/>
      <c r="AM509" s="198"/>
      <c r="AN509" s="198"/>
      <c r="AO509" s="198"/>
      <c r="AP509" s="198"/>
      <c r="AQ509" s="198"/>
      <c r="AR509" s="198"/>
      <c r="AS509" s="198"/>
      <c r="AT509" s="198"/>
      <c r="AU509" s="198"/>
      <c r="AV509" s="198"/>
      <c r="AW509" s="155"/>
    </row>
    <row r="510" spans="1:49" s="246" customFormat="1" ht="15">
      <c r="A510" s="40">
        <f t="shared" si="32"/>
        <v>504</v>
      </c>
      <c r="B510" s="198"/>
      <c r="C510" s="198"/>
      <c r="D510" s="198"/>
      <c r="E510" s="198"/>
      <c r="F510" s="198"/>
      <c r="G510" s="198"/>
      <c r="H510" s="198"/>
      <c r="I510" s="198"/>
      <c r="J510" s="232" t="s">
        <v>4537</v>
      </c>
      <c r="K510" s="204" t="s">
        <v>117</v>
      </c>
      <c r="L510" s="232" t="s">
        <v>4538</v>
      </c>
      <c r="M510" s="351"/>
      <c r="N510" s="40" t="s">
        <v>504</v>
      </c>
      <c r="O510" s="416"/>
      <c r="P510" s="416"/>
      <c r="Q510" s="416"/>
      <c r="R510" s="416" t="s">
        <v>6</v>
      </c>
      <c r="S510" s="416" t="s">
        <v>6</v>
      </c>
      <c r="T510" s="416"/>
      <c r="U510" s="218" t="s">
        <v>4066</v>
      </c>
      <c r="V510" s="412"/>
      <c r="W510" s="232" t="s">
        <v>133</v>
      </c>
      <c r="X510" s="198"/>
      <c r="Y510" s="198"/>
      <c r="Z510" s="40"/>
      <c r="AA510" s="40" t="s">
        <v>6</v>
      </c>
      <c r="AB510" s="198"/>
      <c r="AC510" s="198"/>
      <c r="AD510" s="198"/>
      <c r="AE510" s="232" t="s">
        <v>133</v>
      </c>
      <c r="AF510" s="198"/>
      <c r="AG510" s="198"/>
      <c r="AH510" s="40"/>
      <c r="AI510" s="40" t="s">
        <v>6</v>
      </c>
      <c r="AJ510" s="198"/>
      <c r="AK510" s="198"/>
      <c r="AL510" s="198"/>
      <c r="AM510" s="198"/>
      <c r="AN510" s="198"/>
      <c r="AO510" s="198"/>
      <c r="AP510" s="198"/>
      <c r="AQ510" s="198"/>
      <c r="AR510" s="198"/>
      <c r="AS510" s="198"/>
      <c r="AT510" s="198"/>
      <c r="AU510" s="198"/>
      <c r="AV510" s="198"/>
      <c r="AW510" s="155"/>
    </row>
    <row r="511" spans="1:49" s="236" customFormat="1" ht="15">
      <c r="A511" s="40">
        <f t="shared" si="32"/>
        <v>505</v>
      </c>
      <c r="B511" s="199"/>
      <c r="C511" s="199"/>
      <c r="D511" s="199"/>
      <c r="E511" s="199"/>
      <c r="F511" s="199"/>
      <c r="G511" s="199"/>
      <c r="H511" s="199"/>
      <c r="I511" s="199"/>
      <c r="J511" s="412" t="s">
        <v>4539</v>
      </c>
      <c r="K511" s="232" t="s">
        <v>117</v>
      </c>
      <c r="L511" s="204" t="s">
        <v>1110</v>
      </c>
      <c r="M511" s="351" t="s">
        <v>4540</v>
      </c>
      <c r="N511" s="40" t="s">
        <v>504</v>
      </c>
      <c r="O511" s="40"/>
      <c r="P511" s="40"/>
      <c r="Q511" s="40" t="s">
        <v>6</v>
      </c>
      <c r="R511" s="40" t="s">
        <v>6</v>
      </c>
      <c r="S511" s="40" t="s">
        <v>6</v>
      </c>
      <c r="T511" s="40"/>
      <c r="U511" s="204"/>
      <c r="V511" s="210"/>
      <c r="W511" s="232" t="s">
        <v>133</v>
      </c>
      <c r="X511" s="199"/>
      <c r="Y511" s="199"/>
      <c r="Z511" s="126" t="s">
        <v>6</v>
      </c>
      <c r="AA511" s="126" t="s">
        <v>6</v>
      </c>
      <c r="AB511" s="198"/>
      <c r="AC511" s="199"/>
      <c r="AD511" s="199"/>
      <c r="AE511" s="232" t="s">
        <v>133</v>
      </c>
      <c r="AF511" s="199"/>
      <c r="AG511" s="199"/>
      <c r="AH511" s="126" t="s">
        <v>6</v>
      </c>
      <c r="AI511" s="126" t="s">
        <v>6</v>
      </c>
      <c r="AJ511" s="198"/>
      <c r="AK511" s="199"/>
      <c r="AL511" s="199"/>
      <c r="AM511" s="199"/>
      <c r="AN511" s="199"/>
      <c r="AO511" s="199"/>
      <c r="AP511" s="199"/>
      <c r="AQ511" s="199"/>
      <c r="AR511" s="199"/>
      <c r="AS511" s="199"/>
      <c r="AT511" s="199"/>
      <c r="AU511" s="199"/>
      <c r="AV511" s="199"/>
      <c r="AW511" s="155"/>
    </row>
    <row r="512" spans="1:49" s="236" customFormat="1" ht="15">
      <c r="A512" s="40">
        <f t="shared" si="32"/>
        <v>506</v>
      </c>
      <c r="B512" s="199"/>
      <c r="C512" s="199"/>
      <c r="D512" s="199"/>
      <c r="E512" s="199"/>
      <c r="F512" s="199"/>
      <c r="G512" s="199"/>
      <c r="H512" s="199"/>
      <c r="I512" s="199"/>
      <c r="J512" s="412" t="s">
        <v>4541</v>
      </c>
      <c r="K512" s="232" t="s">
        <v>117</v>
      </c>
      <c r="L512" s="204" t="s">
        <v>1111</v>
      </c>
      <c r="M512" s="351" t="s">
        <v>4540</v>
      </c>
      <c r="N512" s="40" t="s">
        <v>504</v>
      </c>
      <c r="O512" s="40"/>
      <c r="P512" s="40"/>
      <c r="Q512" s="40"/>
      <c r="R512" s="40" t="s">
        <v>6</v>
      </c>
      <c r="S512" s="40" t="s">
        <v>6</v>
      </c>
      <c r="T512" s="40"/>
      <c r="U512" s="218" t="s">
        <v>4066</v>
      </c>
      <c r="V512" s="210"/>
      <c r="W512" s="232" t="s">
        <v>133</v>
      </c>
      <c r="X512" s="199"/>
      <c r="Y512" s="199"/>
      <c r="Z512" s="126"/>
      <c r="AA512" s="126" t="s">
        <v>6</v>
      </c>
      <c r="AB512" s="198"/>
      <c r="AC512" s="199"/>
      <c r="AD512" s="199"/>
      <c r="AE512" s="232" t="s">
        <v>133</v>
      </c>
      <c r="AF512" s="199"/>
      <c r="AG512" s="199"/>
      <c r="AH512" s="126"/>
      <c r="AI512" s="126" t="s">
        <v>6</v>
      </c>
      <c r="AJ512" s="198"/>
      <c r="AK512" s="199"/>
      <c r="AL512" s="199"/>
      <c r="AM512" s="199"/>
      <c r="AN512" s="199"/>
      <c r="AO512" s="199"/>
      <c r="AP512" s="199"/>
      <c r="AQ512" s="199"/>
      <c r="AR512" s="199"/>
      <c r="AS512" s="199"/>
      <c r="AT512" s="199"/>
      <c r="AU512" s="199"/>
      <c r="AV512" s="199"/>
      <c r="AW512" s="155"/>
    </row>
    <row r="513" spans="1:49" s="236" customFormat="1" ht="15">
      <c r="A513" s="40">
        <f t="shared" si="32"/>
        <v>507</v>
      </c>
      <c r="B513" s="199"/>
      <c r="C513" s="199"/>
      <c r="D513" s="199"/>
      <c r="E513" s="199"/>
      <c r="F513" s="199"/>
      <c r="G513" s="199"/>
      <c r="H513" s="199"/>
      <c r="I513" s="199"/>
      <c r="J513" s="412" t="s">
        <v>4542</v>
      </c>
      <c r="K513" s="232" t="s">
        <v>117</v>
      </c>
      <c r="L513" s="204" t="s">
        <v>1112</v>
      </c>
      <c r="M513" s="351" t="s">
        <v>4540</v>
      </c>
      <c r="N513" s="40" t="s">
        <v>504</v>
      </c>
      <c r="O513" s="40"/>
      <c r="P513" s="40"/>
      <c r="Q513" s="40"/>
      <c r="R513" s="40" t="s">
        <v>6</v>
      </c>
      <c r="S513" s="40" t="s">
        <v>6</v>
      </c>
      <c r="T513" s="40"/>
      <c r="U513" s="218" t="s">
        <v>4066</v>
      </c>
      <c r="V513" s="210"/>
      <c r="W513" s="232" t="s">
        <v>133</v>
      </c>
      <c r="X513" s="199"/>
      <c r="Y513" s="199"/>
      <c r="Z513" s="126"/>
      <c r="AA513" s="126" t="s">
        <v>6</v>
      </c>
      <c r="AB513" s="198"/>
      <c r="AC513" s="199"/>
      <c r="AD513" s="199"/>
      <c r="AE513" s="232" t="s">
        <v>133</v>
      </c>
      <c r="AF513" s="199"/>
      <c r="AG513" s="199"/>
      <c r="AH513" s="126"/>
      <c r="AI513" s="126" t="s">
        <v>6</v>
      </c>
      <c r="AJ513" s="198"/>
      <c r="AK513" s="199"/>
      <c r="AL513" s="199"/>
      <c r="AM513" s="199"/>
      <c r="AN513" s="199"/>
      <c r="AO513" s="199"/>
      <c r="AP513" s="199"/>
      <c r="AQ513" s="199"/>
      <c r="AR513" s="199"/>
      <c r="AS513" s="199"/>
      <c r="AT513" s="199"/>
      <c r="AU513" s="199"/>
      <c r="AV513" s="199"/>
      <c r="AW513" s="155"/>
    </row>
    <row r="514" spans="1:49" s="236" customFormat="1" ht="15">
      <c r="A514" s="40">
        <f t="shared" si="32"/>
        <v>508</v>
      </c>
      <c r="B514" s="199"/>
      <c r="C514" s="199"/>
      <c r="D514" s="199"/>
      <c r="E514" s="199"/>
      <c r="F514" s="199"/>
      <c r="G514" s="199"/>
      <c r="H514" s="199"/>
      <c r="I514" s="199"/>
      <c r="J514" s="412" t="s">
        <v>4543</v>
      </c>
      <c r="K514" s="232" t="s">
        <v>117</v>
      </c>
      <c r="L514" s="204" t="s">
        <v>1113</v>
      </c>
      <c r="M514" s="351" t="s">
        <v>4540</v>
      </c>
      <c r="N514" s="40" t="s">
        <v>504</v>
      </c>
      <c r="O514" s="40"/>
      <c r="P514" s="40"/>
      <c r="Q514" s="40"/>
      <c r="R514" s="40" t="s">
        <v>6</v>
      </c>
      <c r="S514" s="40" t="s">
        <v>6</v>
      </c>
      <c r="T514" s="40"/>
      <c r="U514" s="218" t="s">
        <v>4066</v>
      </c>
      <c r="V514" s="210"/>
      <c r="W514" s="232" t="s">
        <v>133</v>
      </c>
      <c r="X514" s="199"/>
      <c r="Y514" s="199"/>
      <c r="Z514" s="126"/>
      <c r="AA514" s="126" t="s">
        <v>6</v>
      </c>
      <c r="AB514" s="198"/>
      <c r="AC514" s="199"/>
      <c r="AD514" s="199"/>
      <c r="AE514" s="232" t="s">
        <v>133</v>
      </c>
      <c r="AF514" s="199"/>
      <c r="AG514" s="199"/>
      <c r="AH514" s="126"/>
      <c r="AI514" s="126" t="s">
        <v>6</v>
      </c>
      <c r="AJ514" s="198"/>
      <c r="AK514" s="199"/>
      <c r="AL514" s="199"/>
      <c r="AM514" s="199"/>
      <c r="AN514" s="199"/>
      <c r="AO514" s="199"/>
      <c r="AP514" s="199"/>
      <c r="AQ514" s="199"/>
      <c r="AR514" s="199"/>
      <c r="AS514" s="199"/>
      <c r="AT514" s="199"/>
      <c r="AU514" s="199"/>
      <c r="AV514" s="199"/>
      <c r="AW514" s="155"/>
    </row>
    <row r="515" spans="1:49" s="236" customFormat="1" ht="26.4">
      <c r="A515" s="40">
        <f t="shared" si="32"/>
        <v>509</v>
      </c>
      <c r="B515" s="199"/>
      <c r="C515" s="199"/>
      <c r="D515" s="199"/>
      <c r="E515" s="199"/>
      <c r="F515" s="199"/>
      <c r="G515" s="199"/>
      <c r="H515" s="199"/>
      <c r="I515" s="199"/>
      <c r="J515" s="412" t="s">
        <v>4544</v>
      </c>
      <c r="K515" s="232" t="s">
        <v>117</v>
      </c>
      <c r="L515" s="204" t="s">
        <v>4545</v>
      </c>
      <c r="M515" s="351"/>
      <c r="N515" s="40" t="s">
        <v>504</v>
      </c>
      <c r="O515" s="40"/>
      <c r="P515" s="40"/>
      <c r="Q515" s="40"/>
      <c r="R515" s="40" t="s">
        <v>6</v>
      </c>
      <c r="S515" s="40" t="s">
        <v>6</v>
      </c>
      <c r="T515" s="40"/>
      <c r="U515" s="218" t="s">
        <v>1114</v>
      </c>
      <c r="V515" s="204"/>
      <c r="W515" s="204" t="s">
        <v>125</v>
      </c>
      <c r="X515" s="199"/>
      <c r="Y515" s="199"/>
      <c r="Z515" s="199"/>
      <c r="AA515" s="126" t="s">
        <v>6</v>
      </c>
      <c r="AB515" s="198"/>
      <c r="AC515" s="199"/>
      <c r="AD515" s="199"/>
      <c r="AE515" s="204" t="s">
        <v>125</v>
      </c>
      <c r="AF515" s="199"/>
      <c r="AG515" s="199"/>
      <c r="AH515" s="199"/>
      <c r="AI515" s="126" t="s">
        <v>6</v>
      </c>
      <c r="AJ515" s="198"/>
      <c r="AK515" s="199"/>
      <c r="AL515" s="199"/>
      <c r="AM515" s="199"/>
      <c r="AN515" s="202"/>
      <c r="AO515" s="199"/>
      <c r="AP515" s="199"/>
      <c r="AQ515" s="199"/>
      <c r="AR515" s="199"/>
      <c r="AS515" s="199"/>
      <c r="AT515" s="199"/>
      <c r="AU515" s="199"/>
      <c r="AV515" s="199"/>
      <c r="AW515" s="155"/>
    </row>
    <row r="516" spans="1:49" s="236" customFormat="1" ht="15">
      <c r="A516" s="40">
        <f t="shared" si="32"/>
        <v>510</v>
      </c>
      <c r="B516" s="199"/>
      <c r="C516" s="199"/>
      <c r="D516" s="199"/>
      <c r="E516" s="199"/>
      <c r="F516" s="199"/>
      <c r="G516" s="199"/>
      <c r="H516" s="199"/>
      <c r="I516" s="199"/>
      <c r="J516" s="412" t="s">
        <v>4546</v>
      </c>
      <c r="K516" s="232" t="s">
        <v>117</v>
      </c>
      <c r="L516" s="204" t="s">
        <v>4545</v>
      </c>
      <c r="M516" s="351"/>
      <c r="N516" s="40" t="s">
        <v>504</v>
      </c>
      <c r="O516" s="40"/>
      <c r="P516" s="40"/>
      <c r="Q516" s="40"/>
      <c r="R516" s="40" t="s">
        <v>6</v>
      </c>
      <c r="S516" s="40" t="s">
        <v>6</v>
      </c>
      <c r="T516" s="40"/>
      <c r="U516" s="218" t="s">
        <v>4066</v>
      </c>
      <c r="V516" s="204"/>
      <c r="W516" s="204" t="s">
        <v>125</v>
      </c>
      <c r="X516" s="199"/>
      <c r="Y516" s="199"/>
      <c r="Z516" s="199"/>
      <c r="AA516" s="126" t="s">
        <v>6</v>
      </c>
      <c r="AB516" s="198"/>
      <c r="AC516" s="199"/>
      <c r="AD516" s="199"/>
      <c r="AE516" s="204" t="s">
        <v>125</v>
      </c>
      <c r="AF516" s="199"/>
      <c r="AG516" s="199"/>
      <c r="AH516" s="199"/>
      <c r="AI516" s="126" t="s">
        <v>6</v>
      </c>
      <c r="AJ516" s="198"/>
      <c r="AK516" s="199"/>
      <c r="AL516" s="199"/>
      <c r="AM516" s="199"/>
      <c r="AN516" s="202"/>
      <c r="AO516" s="199"/>
      <c r="AP516" s="199"/>
      <c r="AQ516" s="199"/>
      <c r="AR516" s="199"/>
      <c r="AS516" s="199"/>
      <c r="AT516" s="199"/>
      <c r="AU516" s="199"/>
      <c r="AV516" s="199"/>
      <c r="AW516" s="155"/>
    </row>
    <row r="517" spans="1:49" s="236" customFormat="1" ht="26.4">
      <c r="A517" s="40">
        <f t="shared" si="32"/>
        <v>511</v>
      </c>
      <c r="B517" s="199"/>
      <c r="C517" s="199"/>
      <c r="D517" s="199"/>
      <c r="E517" s="199"/>
      <c r="F517" s="199"/>
      <c r="G517" s="199"/>
      <c r="H517" s="199"/>
      <c r="I517" s="199"/>
      <c r="J517" s="412" t="s">
        <v>4547</v>
      </c>
      <c r="K517" s="232" t="s">
        <v>117</v>
      </c>
      <c r="L517" s="204" t="s">
        <v>4548</v>
      </c>
      <c r="M517" s="351"/>
      <c r="N517" s="40" t="s">
        <v>504</v>
      </c>
      <c r="O517" s="40"/>
      <c r="P517" s="40"/>
      <c r="Q517" s="40"/>
      <c r="R517" s="40" t="s">
        <v>6</v>
      </c>
      <c r="S517" s="40" t="s">
        <v>6</v>
      </c>
      <c r="T517" s="40"/>
      <c r="U517" s="218" t="s">
        <v>1114</v>
      </c>
      <c r="V517" s="204"/>
      <c r="W517" s="204" t="s">
        <v>125</v>
      </c>
      <c r="X517" s="199"/>
      <c r="Y517" s="199"/>
      <c r="Z517" s="199"/>
      <c r="AA517" s="126" t="s">
        <v>6</v>
      </c>
      <c r="AB517" s="198"/>
      <c r="AC517" s="199"/>
      <c r="AD517" s="199"/>
      <c r="AE517" s="204" t="s">
        <v>125</v>
      </c>
      <c r="AF517" s="199"/>
      <c r="AG517" s="199"/>
      <c r="AH517" s="199"/>
      <c r="AI517" s="126" t="s">
        <v>6</v>
      </c>
      <c r="AJ517" s="198"/>
      <c r="AK517" s="199"/>
      <c r="AL517" s="199"/>
      <c r="AM517" s="199"/>
      <c r="AN517" s="202"/>
      <c r="AO517" s="199"/>
      <c r="AP517" s="199"/>
      <c r="AQ517" s="199"/>
      <c r="AR517" s="199"/>
      <c r="AS517" s="199"/>
      <c r="AT517" s="199"/>
      <c r="AU517" s="199"/>
      <c r="AV517" s="199"/>
      <c r="AW517" s="155"/>
    </row>
    <row r="518" spans="1:49" s="236" customFormat="1" ht="15">
      <c r="A518" s="40">
        <f t="shared" si="32"/>
        <v>512</v>
      </c>
      <c r="B518" s="199"/>
      <c r="C518" s="199"/>
      <c r="D518" s="199"/>
      <c r="E518" s="199"/>
      <c r="F518" s="199"/>
      <c r="G518" s="199"/>
      <c r="H518" s="199"/>
      <c r="I518" s="199"/>
      <c r="J518" s="412" t="s">
        <v>4549</v>
      </c>
      <c r="K518" s="232" t="s">
        <v>117</v>
      </c>
      <c r="L518" s="204" t="s">
        <v>4548</v>
      </c>
      <c r="M518" s="351"/>
      <c r="N518" s="40" t="s">
        <v>504</v>
      </c>
      <c r="O518" s="40"/>
      <c r="P518" s="40"/>
      <c r="Q518" s="40"/>
      <c r="R518" s="40" t="s">
        <v>6</v>
      </c>
      <c r="S518" s="40" t="s">
        <v>6</v>
      </c>
      <c r="T518" s="40"/>
      <c r="U518" s="218" t="s">
        <v>4066</v>
      </c>
      <c r="V518" s="204"/>
      <c r="W518" s="204" t="s">
        <v>125</v>
      </c>
      <c r="X518" s="199"/>
      <c r="Y518" s="199"/>
      <c r="Z518" s="199"/>
      <c r="AA518" s="126" t="s">
        <v>6</v>
      </c>
      <c r="AB518" s="198"/>
      <c r="AC518" s="199"/>
      <c r="AD518" s="199"/>
      <c r="AE518" s="204" t="s">
        <v>125</v>
      </c>
      <c r="AF518" s="199"/>
      <c r="AG518" s="199"/>
      <c r="AH518" s="199"/>
      <c r="AI518" s="126" t="s">
        <v>6</v>
      </c>
      <c r="AJ518" s="198"/>
      <c r="AK518" s="199"/>
      <c r="AL518" s="199"/>
      <c r="AM518" s="199"/>
      <c r="AN518" s="202"/>
      <c r="AO518" s="199"/>
      <c r="AP518" s="199"/>
      <c r="AQ518" s="199"/>
      <c r="AR518" s="199"/>
      <c r="AS518" s="199"/>
      <c r="AT518" s="199"/>
      <c r="AU518" s="199"/>
      <c r="AV518" s="199"/>
      <c r="AW518" s="155"/>
    </row>
    <row r="519" spans="1:49" s="236" customFormat="1" ht="26.4">
      <c r="A519" s="40">
        <f t="shared" ref="A519:A582" si="33">ROW() - 6</f>
        <v>513</v>
      </c>
      <c r="B519" s="199"/>
      <c r="C519" s="199"/>
      <c r="D519" s="199"/>
      <c r="E519" s="199"/>
      <c r="F519" s="199"/>
      <c r="G519" s="199"/>
      <c r="H519" s="199"/>
      <c r="I519" s="199"/>
      <c r="J519" s="412" t="s">
        <v>4550</v>
      </c>
      <c r="K519" s="232" t="s">
        <v>117</v>
      </c>
      <c r="L519" s="204" t="s">
        <v>4551</v>
      </c>
      <c r="M519" s="351"/>
      <c r="N519" s="40" t="s">
        <v>504</v>
      </c>
      <c r="O519" s="40"/>
      <c r="P519" s="40"/>
      <c r="Q519" s="40"/>
      <c r="R519" s="40" t="s">
        <v>6</v>
      </c>
      <c r="S519" s="40" t="s">
        <v>6</v>
      </c>
      <c r="T519" s="40"/>
      <c r="U519" s="218" t="s">
        <v>1114</v>
      </c>
      <c r="V519" s="204"/>
      <c r="W519" s="204" t="s">
        <v>125</v>
      </c>
      <c r="X519" s="199"/>
      <c r="Y519" s="199"/>
      <c r="Z519" s="199"/>
      <c r="AA519" s="126" t="s">
        <v>6</v>
      </c>
      <c r="AB519" s="198"/>
      <c r="AC519" s="199"/>
      <c r="AD519" s="199"/>
      <c r="AE519" s="204" t="s">
        <v>125</v>
      </c>
      <c r="AF519" s="199"/>
      <c r="AG519" s="199"/>
      <c r="AH519" s="199"/>
      <c r="AI519" s="126" t="s">
        <v>6</v>
      </c>
      <c r="AJ519" s="198"/>
      <c r="AK519" s="199"/>
      <c r="AL519" s="199"/>
      <c r="AM519" s="199"/>
      <c r="AN519" s="202"/>
      <c r="AO519" s="199"/>
      <c r="AP519" s="199"/>
      <c r="AQ519" s="199"/>
      <c r="AR519" s="199"/>
      <c r="AS519" s="199"/>
      <c r="AT519" s="199"/>
      <c r="AU519" s="199"/>
      <c r="AV519" s="199"/>
      <c r="AW519" s="155"/>
    </row>
    <row r="520" spans="1:49" s="236" customFormat="1" ht="15">
      <c r="A520" s="40">
        <f t="shared" si="33"/>
        <v>514</v>
      </c>
      <c r="B520" s="199"/>
      <c r="C520" s="199"/>
      <c r="D520" s="199"/>
      <c r="E520" s="199"/>
      <c r="F520" s="199"/>
      <c r="G520" s="199"/>
      <c r="H520" s="199"/>
      <c r="I520" s="199"/>
      <c r="J520" s="412" t="s">
        <v>4552</v>
      </c>
      <c r="K520" s="232" t="s">
        <v>117</v>
      </c>
      <c r="L520" s="204" t="s">
        <v>4551</v>
      </c>
      <c r="M520" s="351"/>
      <c r="N520" s="40" t="s">
        <v>504</v>
      </c>
      <c r="O520" s="40"/>
      <c r="P520" s="40"/>
      <c r="Q520" s="40"/>
      <c r="R520" s="40" t="s">
        <v>6</v>
      </c>
      <c r="S520" s="40" t="s">
        <v>6</v>
      </c>
      <c r="T520" s="40"/>
      <c r="U520" s="218" t="s">
        <v>4066</v>
      </c>
      <c r="V520" s="204"/>
      <c r="W520" s="204" t="s">
        <v>125</v>
      </c>
      <c r="X520" s="199"/>
      <c r="Y520" s="199"/>
      <c r="Z520" s="199"/>
      <c r="AA520" s="126" t="s">
        <v>6</v>
      </c>
      <c r="AB520" s="198"/>
      <c r="AC520" s="199"/>
      <c r="AD520" s="199"/>
      <c r="AE520" s="204" t="s">
        <v>125</v>
      </c>
      <c r="AF520" s="199"/>
      <c r="AG520" s="199"/>
      <c r="AH520" s="199"/>
      <c r="AI520" s="126" t="s">
        <v>6</v>
      </c>
      <c r="AJ520" s="198"/>
      <c r="AK520" s="199"/>
      <c r="AL520" s="199"/>
      <c r="AM520" s="199"/>
      <c r="AN520" s="202"/>
      <c r="AO520" s="199"/>
      <c r="AP520" s="199"/>
      <c r="AQ520" s="199"/>
      <c r="AR520" s="199"/>
      <c r="AS520" s="199"/>
      <c r="AT520" s="199"/>
      <c r="AU520" s="199"/>
      <c r="AV520" s="199"/>
      <c r="AW520" s="155"/>
    </row>
    <row r="521" spans="1:49" s="236" customFormat="1" ht="15">
      <c r="A521" s="40">
        <f t="shared" si="33"/>
        <v>515</v>
      </c>
      <c r="B521" s="199"/>
      <c r="C521" s="199"/>
      <c r="D521" s="199"/>
      <c r="E521" s="199"/>
      <c r="F521" s="199"/>
      <c r="G521" s="199"/>
      <c r="H521" s="199"/>
      <c r="I521" s="199"/>
      <c r="J521" s="412" t="s">
        <v>4553</v>
      </c>
      <c r="K521" s="232" t="s">
        <v>117</v>
      </c>
      <c r="L521" s="204" t="s">
        <v>4554</v>
      </c>
      <c r="M521" s="351"/>
      <c r="N521" s="40" t="s">
        <v>504</v>
      </c>
      <c r="O521" s="40"/>
      <c r="P521" s="40"/>
      <c r="Q521" s="40" t="s">
        <v>6</v>
      </c>
      <c r="R521" s="40" t="s">
        <v>6</v>
      </c>
      <c r="S521" s="40" t="s">
        <v>6</v>
      </c>
      <c r="T521" s="40"/>
      <c r="U521" s="215"/>
      <c r="V521" s="215"/>
      <c r="W521" s="204" t="s">
        <v>125</v>
      </c>
      <c r="X521" s="199"/>
      <c r="Y521" s="199"/>
      <c r="Z521" s="126"/>
      <c r="AA521" s="126" t="s">
        <v>6</v>
      </c>
      <c r="AB521" s="198"/>
      <c r="AC521" s="199"/>
      <c r="AD521" s="201" t="s">
        <v>881</v>
      </c>
      <c r="AE521" s="204" t="s">
        <v>125</v>
      </c>
      <c r="AF521" s="199"/>
      <c r="AG521" s="199"/>
      <c r="AH521" s="126"/>
      <c r="AI521" s="126" t="s">
        <v>6</v>
      </c>
      <c r="AJ521" s="198"/>
      <c r="AK521" s="199"/>
      <c r="AL521" s="201" t="s">
        <v>881</v>
      </c>
      <c r="AM521" s="199"/>
      <c r="AN521" s="199"/>
      <c r="AO521" s="199"/>
      <c r="AP521" s="199"/>
      <c r="AQ521" s="199"/>
      <c r="AR521" s="199"/>
      <c r="AS521" s="199"/>
      <c r="AT521" s="199"/>
      <c r="AU521" s="199"/>
      <c r="AV521" s="199"/>
      <c r="AW521" s="155"/>
    </row>
    <row r="522" spans="1:49" s="236" customFormat="1" ht="26.4">
      <c r="A522" s="40">
        <f t="shared" si="33"/>
        <v>516</v>
      </c>
      <c r="B522" s="199"/>
      <c r="C522" s="199"/>
      <c r="D522" s="199"/>
      <c r="E522" s="199"/>
      <c r="F522" s="199"/>
      <c r="G522" s="199"/>
      <c r="H522" s="199"/>
      <c r="I522" s="199"/>
      <c r="J522" s="412" t="s">
        <v>4555</v>
      </c>
      <c r="K522" s="232" t="s">
        <v>117</v>
      </c>
      <c r="L522" s="204" t="s">
        <v>4554</v>
      </c>
      <c r="M522" s="351"/>
      <c r="N522" s="40" t="s">
        <v>504</v>
      </c>
      <c r="O522" s="40"/>
      <c r="P522" s="40"/>
      <c r="Q522" s="40" t="s">
        <v>6</v>
      </c>
      <c r="R522" s="40" t="s">
        <v>6</v>
      </c>
      <c r="S522" s="40" t="s">
        <v>6</v>
      </c>
      <c r="T522" s="40"/>
      <c r="U522" s="215" t="s">
        <v>4556</v>
      </c>
      <c r="V522" s="215"/>
      <c r="W522" s="204" t="s">
        <v>125</v>
      </c>
      <c r="X522" s="199"/>
      <c r="Y522" s="199"/>
      <c r="Z522" s="126"/>
      <c r="AA522" s="126" t="s">
        <v>6</v>
      </c>
      <c r="AB522" s="198"/>
      <c r="AC522" s="199"/>
      <c r="AD522" s="201" t="s">
        <v>881</v>
      </c>
      <c r="AE522" s="204" t="s">
        <v>125</v>
      </c>
      <c r="AF522" s="199"/>
      <c r="AG522" s="199"/>
      <c r="AH522" s="126"/>
      <c r="AI522" s="126" t="s">
        <v>6</v>
      </c>
      <c r="AJ522" s="198"/>
      <c r="AK522" s="199"/>
      <c r="AL522" s="201" t="s">
        <v>881</v>
      </c>
      <c r="AM522" s="199"/>
      <c r="AN522" s="199"/>
      <c r="AO522" s="199"/>
      <c r="AP522" s="199"/>
      <c r="AQ522" s="199"/>
      <c r="AR522" s="199"/>
      <c r="AS522" s="199"/>
      <c r="AT522" s="199"/>
      <c r="AU522" s="199"/>
      <c r="AV522" s="199"/>
      <c r="AW522" s="155"/>
    </row>
    <row r="523" spans="1:49" s="236" customFormat="1" ht="15">
      <c r="A523" s="40">
        <f t="shared" si="33"/>
        <v>517</v>
      </c>
      <c r="B523" s="199"/>
      <c r="C523" s="199"/>
      <c r="D523" s="199"/>
      <c r="E523" s="199"/>
      <c r="F523" s="199"/>
      <c r="G523" s="199"/>
      <c r="H523" s="199"/>
      <c r="I523" s="199"/>
      <c r="J523" s="412" t="s">
        <v>4557</v>
      </c>
      <c r="K523" s="232" t="s">
        <v>117</v>
      </c>
      <c r="L523" s="204" t="s">
        <v>1117</v>
      </c>
      <c r="M523" s="351"/>
      <c r="N523" s="40" t="s">
        <v>504</v>
      </c>
      <c r="O523" s="40"/>
      <c r="P523" s="40"/>
      <c r="Q523" s="40" t="s">
        <v>6</v>
      </c>
      <c r="R523" s="40" t="s">
        <v>6</v>
      </c>
      <c r="S523" s="40" t="s">
        <v>6</v>
      </c>
      <c r="T523" s="40"/>
      <c r="U523" s="204"/>
      <c r="V523" s="204"/>
      <c r="W523" s="204" t="s">
        <v>125</v>
      </c>
      <c r="X523" s="199"/>
      <c r="Y523" s="199"/>
      <c r="Z523" s="199"/>
      <c r="AA523" s="126" t="s">
        <v>6</v>
      </c>
      <c r="AB523" s="198"/>
      <c r="AC523" s="199"/>
      <c r="AD523" s="201" t="s">
        <v>881</v>
      </c>
      <c r="AE523" s="204" t="s">
        <v>125</v>
      </c>
      <c r="AF523" s="199"/>
      <c r="AG523" s="199"/>
      <c r="AH523" s="199"/>
      <c r="AI523" s="126" t="s">
        <v>6</v>
      </c>
      <c r="AJ523" s="198"/>
      <c r="AK523" s="199"/>
      <c r="AL523" s="201" t="s">
        <v>881</v>
      </c>
      <c r="AM523" s="199"/>
      <c r="AN523" s="199"/>
      <c r="AO523" s="199"/>
      <c r="AP523" s="199"/>
      <c r="AQ523" s="199"/>
      <c r="AR523" s="199"/>
      <c r="AS523" s="199"/>
      <c r="AT523" s="199"/>
      <c r="AU523" s="199"/>
      <c r="AV523" s="199"/>
      <c r="AW523" s="155"/>
    </row>
    <row r="524" spans="1:49" s="236" customFormat="1" ht="15">
      <c r="A524" s="40">
        <f t="shared" si="33"/>
        <v>518</v>
      </c>
      <c r="B524" s="199"/>
      <c r="C524" s="199"/>
      <c r="D524" s="199"/>
      <c r="E524" s="199"/>
      <c r="F524" s="199"/>
      <c r="G524" s="199"/>
      <c r="H524" s="199"/>
      <c r="I524" s="199"/>
      <c r="J524" s="412" t="s">
        <v>4558</v>
      </c>
      <c r="K524" s="232" t="s">
        <v>117</v>
      </c>
      <c r="L524" s="204" t="s">
        <v>1121</v>
      </c>
      <c r="M524" s="351"/>
      <c r="N524" s="40" t="s">
        <v>504</v>
      </c>
      <c r="O524" s="40"/>
      <c r="P524" s="40"/>
      <c r="Q524" s="40" t="s">
        <v>6</v>
      </c>
      <c r="R524" s="40" t="s">
        <v>6</v>
      </c>
      <c r="S524" s="40" t="s">
        <v>6</v>
      </c>
      <c r="T524" s="40"/>
      <c r="U524" s="218" t="s">
        <v>4066</v>
      </c>
      <c r="V524" s="204"/>
      <c r="W524" s="204" t="s">
        <v>125</v>
      </c>
      <c r="X524" s="199"/>
      <c r="Y524" s="199"/>
      <c r="Z524" s="199"/>
      <c r="AA524" s="126" t="s">
        <v>6</v>
      </c>
      <c r="AB524" s="198"/>
      <c r="AC524" s="199"/>
      <c r="AD524" s="201" t="s">
        <v>881</v>
      </c>
      <c r="AE524" s="204" t="s">
        <v>125</v>
      </c>
      <c r="AF524" s="199"/>
      <c r="AG524" s="199"/>
      <c r="AH524" s="199"/>
      <c r="AI524" s="126" t="s">
        <v>6</v>
      </c>
      <c r="AJ524" s="198"/>
      <c r="AK524" s="199"/>
      <c r="AL524" s="201" t="s">
        <v>881</v>
      </c>
      <c r="AM524" s="199"/>
      <c r="AN524" s="199"/>
      <c r="AO524" s="199"/>
      <c r="AP524" s="199"/>
      <c r="AQ524" s="199"/>
      <c r="AR524" s="199"/>
      <c r="AS524" s="199"/>
      <c r="AT524" s="199"/>
      <c r="AU524" s="199"/>
      <c r="AV524" s="199"/>
      <c r="AW524" s="155"/>
    </row>
    <row r="525" spans="1:49" s="236" customFormat="1" ht="15">
      <c r="A525" s="40">
        <f t="shared" si="33"/>
        <v>519</v>
      </c>
      <c r="B525" s="199"/>
      <c r="C525" s="199"/>
      <c r="D525" s="199"/>
      <c r="E525" s="199"/>
      <c r="F525" s="199"/>
      <c r="G525" s="199"/>
      <c r="H525" s="199"/>
      <c r="I525" s="199"/>
      <c r="J525" s="412" t="s">
        <v>4559</v>
      </c>
      <c r="K525" s="232" t="s">
        <v>117</v>
      </c>
      <c r="L525" s="204" t="s">
        <v>1124</v>
      </c>
      <c r="M525" s="351"/>
      <c r="N525" s="40" t="s">
        <v>504</v>
      </c>
      <c r="O525" s="40"/>
      <c r="P525" s="40"/>
      <c r="Q525" s="40" t="s">
        <v>6</v>
      </c>
      <c r="R525" s="40" t="s">
        <v>6</v>
      </c>
      <c r="S525" s="40" t="s">
        <v>6</v>
      </c>
      <c r="T525" s="40"/>
      <c r="U525" s="218" t="s">
        <v>4066</v>
      </c>
      <c r="V525" s="204"/>
      <c r="W525" s="204" t="s">
        <v>125</v>
      </c>
      <c r="X525" s="199"/>
      <c r="Y525" s="199"/>
      <c r="Z525" s="199"/>
      <c r="AA525" s="126" t="s">
        <v>6</v>
      </c>
      <c r="AB525" s="198"/>
      <c r="AC525" s="199"/>
      <c r="AD525" s="201" t="s">
        <v>881</v>
      </c>
      <c r="AE525" s="204" t="s">
        <v>125</v>
      </c>
      <c r="AF525" s="199"/>
      <c r="AG525" s="199"/>
      <c r="AH525" s="199"/>
      <c r="AI525" s="126" t="s">
        <v>6</v>
      </c>
      <c r="AJ525" s="198"/>
      <c r="AK525" s="199"/>
      <c r="AL525" s="201" t="s">
        <v>881</v>
      </c>
      <c r="AM525" s="199"/>
      <c r="AN525" s="199"/>
      <c r="AO525" s="199"/>
      <c r="AP525" s="199"/>
      <c r="AQ525" s="199"/>
      <c r="AR525" s="199"/>
      <c r="AS525" s="199"/>
      <c r="AT525" s="199"/>
      <c r="AU525" s="199"/>
      <c r="AV525" s="199"/>
      <c r="AW525" s="155"/>
    </row>
    <row r="526" spans="1:49" s="236" customFormat="1" ht="15">
      <c r="A526" s="40">
        <f t="shared" si="33"/>
        <v>520</v>
      </c>
      <c r="B526" s="199"/>
      <c r="C526" s="199"/>
      <c r="D526" s="199"/>
      <c r="E526" s="199"/>
      <c r="F526" s="199"/>
      <c r="G526" s="199"/>
      <c r="H526" s="199"/>
      <c r="I526" s="199"/>
      <c r="J526" s="412" t="s">
        <v>4560</v>
      </c>
      <c r="K526" s="232" t="s">
        <v>117</v>
      </c>
      <c r="L526" s="204" t="s">
        <v>1127</v>
      </c>
      <c r="M526" s="351"/>
      <c r="N526" s="40" t="s">
        <v>504</v>
      </c>
      <c r="O526" s="40"/>
      <c r="P526" s="40"/>
      <c r="Q526" s="40" t="s">
        <v>6</v>
      </c>
      <c r="R526" s="40" t="s">
        <v>6</v>
      </c>
      <c r="S526" s="40" t="s">
        <v>6</v>
      </c>
      <c r="T526" s="40"/>
      <c r="U526" s="218" t="s">
        <v>4066</v>
      </c>
      <c r="V526" s="204"/>
      <c r="W526" s="204" t="s">
        <v>125</v>
      </c>
      <c r="X526" s="199"/>
      <c r="Y526" s="199"/>
      <c r="Z526" s="199"/>
      <c r="AA526" s="126" t="s">
        <v>6</v>
      </c>
      <c r="AB526" s="198"/>
      <c r="AC526" s="199"/>
      <c r="AD526" s="201" t="s">
        <v>881</v>
      </c>
      <c r="AE526" s="204" t="s">
        <v>125</v>
      </c>
      <c r="AF526" s="199"/>
      <c r="AG526" s="199"/>
      <c r="AH526" s="199"/>
      <c r="AI526" s="126" t="s">
        <v>6</v>
      </c>
      <c r="AJ526" s="198"/>
      <c r="AK526" s="199"/>
      <c r="AL526" s="201" t="s">
        <v>881</v>
      </c>
      <c r="AM526" s="199"/>
      <c r="AN526" s="199"/>
      <c r="AO526" s="199"/>
      <c r="AP526" s="199"/>
      <c r="AQ526" s="199"/>
      <c r="AR526" s="199"/>
      <c r="AS526" s="199"/>
      <c r="AT526" s="199"/>
      <c r="AU526" s="199"/>
      <c r="AV526" s="199"/>
      <c r="AW526" s="155"/>
    </row>
    <row r="527" spans="1:49" s="236" customFormat="1" ht="15">
      <c r="A527" s="40">
        <f t="shared" si="33"/>
        <v>521</v>
      </c>
      <c r="B527" s="199"/>
      <c r="C527" s="199"/>
      <c r="D527" s="199"/>
      <c r="E527" s="199"/>
      <c r="F527" s="199"/>
      <c r="G527" s="199"/>
      <c r="H527" s="199"/>
      <c r="I527" s="199"/>
      <c r="J527" s="412" t="s">
        <v>4561</v>
      </c>
      <c r="K527" s="232" t="s">
        <v>117</v>
      </c>
      <c r="L527" s="204" t="s">
        <v>4562</v>
      </c>
      <c r="M527" s="351"/>
      <c r="N527" s="40" t="s">
        <v>504</v>
      </c>
      <c r="O527" s="40"/>
      <c r="P527" s="40"/>
      <c r="Q527" s="40" t="s">
        <v>6</v>
      </c>
      <c r="R527" s="40" t="s">
        <v>6</v>
      </c>
      <c r="S527" s="40" t="s">
        <v>6</v>
      </c>
      <c r="T527" s="40"/>
      <c r="U527" s="204"/>
      <c r="V527" s="204"/>
      <c r="W527" s="204" t="s">
        <v>125</v>
      </c>
      <c r="X527" s="199"/>
      <c r="Y527" s="199"/>
      <c r="Z527" s="199"/>
      <c r="AA527" s="126" t="s">
        <v>6</v>
      </c>
      <c r="AB527" s="198"/>
      <c r="AC527" s="199"/>
      <c r="AD527" s="201"/>
      <c r="AE527" s="204" t="s">
        <v>125</v>
      </c>
      <c r="AF527" s="199"/>
      <c r="AG527" s="199"/>
      <c r="AH527" s="199"/>
      <c r="AI527" s="126" t="s">
        <v>6</v>
      </c>
      <c r="AJ527" s="198"/>
      <c r="AK527" s="199"/>
      <c r="AL527" s="201"/>
      <c r="AM527" s="199"/>
      <c r="AN527" s="199"/>
      <c r="AO527" s="199"/>
      <c r="AP527" s="199"/>
      <c r="AQ527" s="199"/>
      <c r="AR527" s="199"/>
      <c r="AS527" s="199"/>
      <c r="AT527" s="199"/>
      <c r="AU527" s="199"/>
      <c r="AV527" s="199"/>
      <c r="AW527" s="155"/>
    </row>
    <row r="528" spans="1:49" s="236" customFormat="1" ht="15">
      <c r="A528" s="40">
        <f t="shared" si="33"/>
        <v>522</v>
      </c>
      <c r="B528" s="199"/>
      <c r="C528" s="199"/>
      <c r="D528" s="199"/>
      <c r="E528" s="199"/>
      <c r="F528" s="199"/>
      <c r="G528" s="199"/>
      <c r="H528" s="199"/>
      <c r="I528" s="199"/>
      <c r="J528" s="412" t="s">
        <v>4563</v>
      </c>
      <c r="K528" s="232" t="s">
        <v>117</v>
      </c>
      <c r="L528" s="204" t="s">
        <v>1131</v>
      </c>
      <c r="M528" s="351"/>
      <c r="N528" s="40" t="s">
        <v>504</v>
      </c>
      <c r="O528" s="40"/>
      <c r="P528" s="40"/>
      <c r="Q528" s="40" t="s">
        <v>6</v>
      </c>
      <c r="R528" s="40" t="s">
        <v>6</v>
      </c>
      <c r="S528" s="40" t="s">
        <v>6</v>
      </c>
      <c r="T528" s="40"/>
      <c r="U528" s="204"/>
      <c r="V528" s="204"/>
      <c r="W528" s="204" t="s">
        <v>125</v>
      </c>
      <c r="X528" s="199"/>
      <c r="Y528" s="199"/>
      <c r="Z528" s="199"/>
      <c r="AA528" s="126" t="s">
        <v>6</v>
      </c>
      <c r="AB528" s="198"/>
      <c r="AC528" s="199"/>
      <c r="AD528" s="201"/>
      <c r="AE528" s="204" t="s">
        <v>125</v>
      </c>
      <c r="AF528" s="199"/>
      <c r="AG528" s="199"/>
      <c r="AH528" s="199"/>
      <c r="AI528" s="126" t="s">
        <v>6</v>
      </c>
      <c r="AJ528" s="198"/>
      <c r="AK528" s="199"/>
      <c r="AL528" s="201"/>
      <c r="AM528" s="199"/>
      <c r="AN528" s="199"/>
      <c r="AO528" s="199"/>
      <c r="AP528" s="199"/>
      <c r="AQ528" s="199"/>
      <c r="AR528" s="199"/>
      <c r="AS528" s="199"/>
      <c r="AT528" s="199"/>
      <c r="AU528" s="199"/>
      <c r="AV528" s="199"/>
      <c r="AW528" s="155"/>
    </row>
    <row r="529" spans="1:49" s="236" customFormat="1" ht="15">
      <c r="A529" s="40">
        <f t="shared" si="33"/>
        <v>523</v>
      </c>
      <c r="B529" s="199"/>
      <c r="C529" s="199"/>
      <c r="D529" s="199"/>
      <c r="E529" s="199"/>
      <c r="F529" s="199"/>
      <c r="G529" s="199"/>
      <c r="H529" s="199"/>
      <c r="I529" s="199"/>
      <c r="J529" s="412" t="s">
        <v>4564</v>
      </c>
      <c r="K529" s="232" t="s">
        <v>117</v>
      </c>
      <c r="L529" s="204" t="s">
        <v>1133</v>
      </c>
      <c r="M529" s="351"/>
      <c r="N529" s="40" t="s">
        <v>504</v>
      </c>
      <c r="O529" s="40"/>
      <c r="P529" s="40"/>
      <c r="Q529" s="40" t="s">
        <v>6</v>
      </c>
      <c r="R529" s="40" t="s">
        <v>6</v>
      </c>
      <c r="S529" s="40" t="s">
        <v>6</v>
      </c>
      <c r="T529" s="40"/>
      <c r="U529" s="218" t="s">
        <v>4066</v>
      </c>
      <c r="V529" s="204"/>
      <c r="W529" s="204" t="s">
        <v>125</v>
      </c>
      <c r="X529" s="199"/>
      <c r="Y529" s="199"/>
      <c r="Z529" s="199"/>
      <c r="AA529" s="126" t="s">
        <v>6</v>
      </c>
      <c r="AB529" s="198"/>
      <c r="AC529" s="199"/>
      <c r="AD529" s="201"/>
      <c r="AE529" s="204" t="s">
        <v>125</v>
      </c>
      <c r="AF529" s="199"/>
      <c r="AG529" s="199"/>
      <c r="AH529" s="199"/>
      <c r="AI529" s="126" t="s">
        <v>6</v>
      </c>
      <c r="AJ529" s="198"/>
      <c r="AK529" s="199"/>
      <c r="AL529" s="201"/>
      <c r="AM529" s="199"/>
      <c r="AN529" s="199"/>
      <c r="AO529" s="199"/>
      <c r="AP529" s="199"/>
      <c r="AQ529" s="199"/>
      <c r="AR529" s="199"/>
      <c r="AS529" s="199"/>
      <c r="AT529" s="199"/>
      <c r="AU529" s="199"/>
      <c r="AV529" s="199"/>
      <c r="AW529" s="155"/>
    </row>
    <row r="530" spans="1:49" s="236" customFormat="1" ht="15">
      <c r="A530" s="40">
        <f t="shared" si="33"/>
        <v>524</v>
      </c>
      <c r="B530" s="199"/>
      <c r="C530" s="199"/>
      <c r="D530" s="199"/>
      <c r="E530" s="199"/>
      <c r="F530" s="199"/>
      <c r="G530" s="199"/>
      <c r="H530" s="199"/>
      <c r="I530" s="199"/>
      <c r="J530" s="412" t="s">
        <v>4565</v>
      </c>
      <c r="K530" s="232" t="s">
        <v>117</v>
      </c>
      <c r="L530" s="204" t="s">
        <v>1135</v>
      </c>
      <c r="M530" s="351"/>
      <c r="N530" s="40" t="s">
        <v>504</v>
      </c>
      <c r="O530" s="40"/>
      <c r="P530" s="40"/>
      <c r="Q530" s="40" t="s">
        <v>6</v>
      </c>
      <c r="R530" s="40" t="s">
        <v>6</v>
      </c>
      <c r="S530" s="40" t="s">
        <v>6</v>
      </c>
      <c r="T530" s="40"/>
      <c r="U530" s="218" t="s">
        <v>4066</v>
      </c>
      <c r="V530" s="204"/>
      <c r="W530" s="204" t="s">
        <v>125</v>
      </c>
      <c r="X530" s="199"/>
      <c r="Y530" s="199"/>
      <c r="Z530" s="199"/>
      <c r="AA530" s="126" t="s">
        <v>6</v>
      </c>
      <c r="AB530" s="198"/>
      <c r="AC530" s="199"/>
      <c r="AD530" s="199"/>
      <c r="AE530" s="204" t="s">
        <v>125</v>
      </c>
      <c r="AF530" s="199"/>
      <c r="AG530" s="199"/>
      <c r="AH530" s="199"/>
      <c r="AI530" s="126" t="s">
        <v>6</v>
      </c>
      <c r="AJ530" s="198"/>
      <c r="AK530" s="199"/>
      <c r="AL530" s="199"/>
      <c r="AM530" s="199"/>
      <c r="AN530" s="199"/>
      <c r="AO530" s="199"/>
      <c r="AP530" s="199"/>
      <c r="AQ530" s="199"/>
      <c r="AR530" s="199"/>
      <c r="AS530" s="199"/>
      <c r="AT530" s="199"/>
      <c r="AU530" s="199"/>
      <c r="AV530" s="199"/>
      <c r="AW530" s="155"/>
    </row>
    <row r="531" spans="1:49" s="236" customFormat="1" ht="15">
      <c r="A531" s="40">
        <f t="shared" si="33"/>
        <v>525</v>
      </c>
      <c r="B531" s="199"/>
      <c r="C531" s="199"/>
      <c r="D531" s="199"/>
      <c r="E531" s="199"/>
      <c r="F531" s="199"/>
      <c r="G531" s="199"/>
      <c r="H531" s="199"/>
      <c r="I531" s="199"/>
      <c r="J531" s="412" t="s">
        <v>4566</v>
      </c>
      <c r="K531" s="232" t="s">
        <v>117</v>
      </c>
      <c r="L531" s="204" t="s">
        <v>1137</v>
      </c>
      <c r="M531" s="351"/>
      <c r="N531" s="40" t="s">
        <v>504</v>
      </c>
      <c r="O531" s="40"/>
      <c r="P531" s="40"/>
      <c r="Q531" s="40" t="s">
        <v>6</v>
      </c>
      <c r="R531" s="40" t="s">
        <v>6</v>
      </c>
      <c r="S531" s="40" t="s">
        <v>6</v>
      </c>
      <c r="T531" s="40"/>
      <c r="U531" s="218" t="s">
        <v>4066</v>
      </c>
      <c r="V531" s="204"/>
      <c r="W531" s="204" t="s">
        <v>125</v>
      </c>
      <c r="X531" s="199"/>
      <c r="Y531" s="199"/>
      <c r="Z531" s="199"/>
      <c r="AA531" s="126" t="s">
        <v>6</v>
      </c>
      <c r="AB531" s="198"/>
      <c r="AC531" s="199"/>
      <c r="AD531" s="199"/>
      <c r="AE531" s="204" t="s">
        <v>125</v>
      </c>
      <c r="AF531" s="199"/>
      <c r="AG531" s="199"/>
      <c r="AH531" s="199"/>
      <c r="AI531" s="126" t="s">
        <v>6</v>
      </c>
      <c r="AJ531" s="198"/>
      <c r="AK531" s="199"/>
      <c r="AL531" s="199"/>
      <c r="AM531" s="199"/>
      <c r="AN531" s="199"/>
      <c r="AO531" s="199"/>
      <c r="AP531" s="199"/>
      <c r="AQ531" s="199"/>
      <c r="AR531" s="199"/>
      <c r="AS531" s="199"/>
      <c r="AT531" s="199"/>
      <c r="AU531" s="199"/>
      <c r="AV531" s="199"/>
      <c r="AW531" s="155"/>
    </row>
    <row r="532" spans="1:49" s="236" customFormat="1" ht="15">
      <c r="A532" s="40">
        <f t="shared" si="33"/>
        <v>526</v>
      </c>
      <c r="B532" s="199"/>
      <c r="C532" s="199"/>
      <c r="D532" s="199"/>
      <c r="E532" s="199"/>
      <c r="F532" s="199"/>
      <c r="G532" s="199"/>
      <c r="H532" s="199"/>
      <c r="I532" s="199"/>
      <c r="J532" s="412" t="s">
        <v>4567</v>
      </c>
      <c r="K532" s="232" t="s">
        <v>117</v>
      </c>
      <c r="L532" s="204" t="s">
        <v>1139</v>
      </c>
      <c r="M532" s="351"/>
      <c r="N532" s="40" t="s">
        <v>504</v>
      </c>
      <c r="O532" s="40"/>
      <c r="P532" s="40"/>
      <c r="Q532" s="40" t="s">
        <v>6</v>
      </c>
      <c r="R532" s="40" t="s">
        <v>6</v>
      </c>
      <c r="S532" s="40" t="s">
        <v>6</v>
      </c>
      <c r="T532" s="40"/>
      <c r="U532" s="204"/>
      <c r="V532" s="204"/>
      <c r="W532" s="204" t="s">
        <v>125</v>
      </c>
      <c r="X532" s="199"/>
      <c r="Y532" s="199"/>
      <c r="Z532" s="199"/>
      <c r="AA532" s="126" t="s">
        <v>6</v>
      </c>
      <c r="AB532" s="198"/>
      <c r="AC532" s="199"/>
      <c r="AD532" s="199"/>
      <c r="AE532" s="204" t="s">
        <v>125</v>
      </c>
      <c r="AF532" s="199"/>
      <c r="AG532" s="199"/>
      <c r="AH532" s="199"/>
      <c r="AI532" s="126" t="s">
        <v>6</v>
      </c>
      <c r="AJ532" s="198"/>
      <c r="AK532" s="199"/>
      <c r="AL532" s="199"/>
      <c r="AM532" s="199"/>
      <c r="AN532" s="199"/>
      <c r="AO532" s="199"/>
      <c r="AP532" s="199"/>
      <c r="AQ532" s="199"/>
      <c r="AR532" s="199"/>
      <c r="AS532" s="199"/>
      <c r="AT532" s="199"/>
      <c r="AU532" s="199"/>
      <c r="AV532" s="199"/>
      <c r="AW532" s="155"/>
    </row>
    <row r="533" spans="1:49" s="236" customFormat="1" ht="15">
      <c r="A533" s="40">
        <f t="shared" si="33"/>
        <v>527</v>
      </c>
      <c r="B533" s="199"/>
      <c r="C533" s="199"/>
      <c r="D533" s="199"/>
      <c r="E533" s="199"/>
      <c r="F533" s="199"/>
      <c r="G533" s="199"/>
      <c r="H533" s="199"/>
      <c r="I533" s="199"/>
      <c r="J533" s="412" t="s">
        <v>4568</v>
      </c>
      <c r="K533" s="232" t="s">
        <v>117</v>
      </c>
      <c r="L533" s="204" t="s">
        <v>1140</v>
      </c>
      <c r="M533" s="351"/>
      <c r="N533" s="40" t="s">
        <v>504</v>
      </c>
      <c r="O533" s="40"/>
      <c r="P533" s="40"/>
      <c r="Q533" s="40" t="s">
        <v>6</v>
      </c>
      <c r="R533" s="40" t="s">
        <v>6</v>
      </c>
      <c r="S533" s="40" t="s">
        <v>6</v>
      </c>
      <c r="T533" s="40"/>
      <c r="U533" s="218" t="s">
        <v>4066</v>
      </c>
      <c r="V533" s="204"/>
      <c r="W533" s="204" t="s">
        <v>125</v>
      </c>
      <c r="X533" s="199"/>
      <c r="Y533" s="199"/>
      <c r="Z533" s="199"/>
      <c r="AA533" s="126" t="s">
        <v>6</v>
      </c>
      <c r="AB533" s="198"/>
      <c r="AC533" s="199"/>
      <c r="AD533" s="199"/>
      <c r="AE533" s="204" t="s">
        <v>125</v>
      </c>
      <c r="AF533" s="199"/>
      <c r="AG533" s="199"/>
      <c r="AH533" s="199"/>
      <c r="AI533" s="126" t="s">
        <v>6</v>
      </c>
      <c r="AJ533" s="198"/>
      <c r="AK533" s="199"/>
      <c r="AL533" s="199"/>
      <c r="AM533" s="199"/>
      <c r="AN533" s="199"/>
      <c r="AO533" s="199"/>
      <c r="AP533" s="199"/>
      <c r="AQ533" s="199"/>
      <c r="AR533" s="199"/>
      <c r="AS533" s="199"/>
      <c r="AT533" s="199"/>
      <c r="AU533" s="199"/>
      <c r="AV533" s="199"/>
      <c r="AW533" s="155"/>
    </row>
    <row r="534" spans="1:49" s="236" customFormat="1" ht="15">
      <c r="A534" s="40">
        <f t="shared" si="33"/>
        <v>528</v>
      </c>
      <c r="B534" s="199"/>
      <c r="C534" s="199"/>
      <c r="D534" s="199"/>
      <c r="E534" s="199"/>
      <c r="F534" s="199"/>
      <c r="G534" s="199"/>
      <c r="H534" s="199"/>
      <c r="I534" s="199"/>
      <c r="J534" s="412" t="s">
        <v>4569</v>
      </c>
      <c r="K534" s="232" t="s">
        <v>117</v>
      </c>
      <c r="L534" s="204" t="s">
        <v>1140</v>
      </c>
      <c r="M534" s="351"/>
      <c r="N534" s="40" t="s">
        <v>504</v>
      </c>
      <c r="O534" s="40"/>
      <c r="P534" s="40"/>
      <c r="Q534" s="40" t="s">
        <v>6</v>
      </c>
      <c r="R534" s="40" t="s">
        <v>6</v>
      </c>
      <c r="S534" s="40" t="s">
        <v>6</v>
      </c>
      <c r="T534" s="40"/>
      <c r="U534" s="218" t="s">
        <v>4066</v>
      </c>
      <c r="V534" s="204"/>
      <c r="W534" s="204" t="s">
        <v>125</v>
      </c>
      <c r="X534" s="199"/>
      <c r="Y534" s="199"/>
      <c r="Z534" s="199"/>
      <c r="AA534" s="126" t="s">
        <v>6</v>
      </c>
      <c r="AB534" s="198"/>
      <c r="AC534" s="199"/>
      <c r="AD534" s="199"/>
      <c r="AE534" s="204" t="s">
        <v>125</v>
      </c>
      <c r="AF534" s="199"/>
      <c r="AG534" s="199"/>
      <c r="AH534" s="199"/>
      <c r="AI534" s="126" t="s">
        <v>6</v>
      </c>
      <c r="AJ534" s="198"/>
      <c r="AK534" s="199"/>
      <c r="AL534" s="199"/>
      <c r="AM534" s="199"/>
      <c r="AN534" s="199"/>
      <c r="AO534" s="199"/>
      <c r="AP534" s="199"/>
      <c r="AQ534" s="199"/>
      <c r="AR534" s="199"/>
      <c r="AS534" s="199"/>
      <c r="AT534" s="199"/>
      <c r="AU534" s="199"/>
      <c r="AV534" s="199"/>
      <c r="AW534" s="155"/>
    </row>
    <row r="535" spans="1:49" s="236" customFormat="1" ht="15">
      <c r="A535" s="40">
        <f t="shared" si="33"/>
        <v>529</v>
      </c>
      <c r="B535" s="199"/>
      <c r="C535" s="199"/>
      <c r="D535" s="199"/>
      <c r="E535" s="199"/>
      <c r="F535" s="199"/>
      <c r="G535" s="199"/>
      <c r="H535" s="199"/>
      <c r="I535" s="199"/>
      <c r="J535" s="412" t="s">
        <v>4570</v>
      </c>
      <c r="K535" s="232" t="s">
        <v>117</v>
      </c>
      <c r="L535" s="204" t="s">
        <v>1141</v>
      </c>
      <c r="M535" s="351"/>
      <c r="N535" s="40" t="s">
        <v>504</v>
      </c>
      <c r="O535" s="40"/>
      <c r="P535" s="40"/>
      <c r="Q535" s="40" t="s">
        <v>6</v>
      </c>
      <c r="R535" s="40" t="s">
        <v>6</v>
      </c>
      <c r="S535" s="40" t="s">
        <v>6</v>
      </c>
      <c r="T535" s="40"/>
      <c r="U535" s="218" t="s">
        <v>4066</v>
      </c>
      <c r="V535" s="204"/>
      <c r="W535" s="204" t="s">
        <v>125</v>
      </c>
      <c r="X535" s="199"/>
      <c r="Y535" s="199"/>
      <c r="Z535" s="199"/>
      <c r="AA535" s="126" t="s">
        <v>6</v>
      </c>
      <c r="AB535" s="198"/>
      <c r="AC535" s="199"/>
      <c r="AD535" s="199"/>
      <c r="AE535" s="204" t="s">
        <v>125</v>
      </c>
      <c r="AF535" s="199"/>
      <c r="AG535" s="199"/>
      <c r="AH535" s="199"/>
      <c r="AI535" s="126" t="s">
        <v>6</v>
      </c>
      <c r="AJ535" s="198"/>
      <c r="AK535" s="199"/>
      <c r="AL535" s="199"/>
      <c r="AM535" s="199"/>
      <c r="AN535" s="199"/>
      <c r="AO535" s="199"/>
      <c r="AP535" s="199"/>
      <c r="AQ535" s="199"/>
      <c r="AR535" s="199"/>
      <c r="AS535" s="199"/>
      <c r="AT535" s="199"/>
      <c r="AU535" s="199"/>
      <c r="AV535" s="199"/>
      <c r="AW535" s="155"/>
    </row>
    <row r="536" spans="1:49" s="236" customFormat="1" ht="15">
      <c r="A536" s="40">
        <f t="shared" si="33"/>
        <v>530</v>
      </c>
      <c r="B536" s="199"/>
      <c r="C536" s="199"/>
      <c r="D536" s="199"/>
      <c r="E536" s="199"/>
      <c r="F536" s="199"/>
      <c r="G536" s="199"/>
      <c r="H536" s="199"/>
      <c r="I536" s="199"/>
      <c r="J536" s="412" t="s">
        <v>4571</v>
      </c>
      <c r="K536" s="232" t="s">
        <v>117</v>
      </c>
      <c r="L536" s="204" t="s">
        <v>1141</v>
      </c>
      <c r="M536" s="351"/>
      <c r="N536" s="40" t="s">
        <v>504</v>
      </c>
      <c r="O536" s="40"/>
      <c r="P536" s="40"/>
      <c r="Q536" s="40" t="s">
        <v>6</v>
      </c>
      <c r="R536" s="40" t="s">
        <v>6</v>
      </c>
      <c r="S536" s="40" t="s">
        <v>6</v>
      </c>
      <c r="T536" s="40"/>
      <c r="U536" s="218" t="s">
        <v>4066</v>
      </c>
      <c r="V536" s="204"/>
      <c r="W536" s="204" t="s">
        <v>125</v>
      </c>
      <c r="X536" s="199"/>
      <c r="Y536" s="199"/>
      <c r="Z536" s="199"/>
      <c r="AA536" s="126" t="s">
        <v>6</v>
      </c>
      <c r="AB536" s="198"/>
      <c r="AC536" s="199"/>
      <c r="AD536" s="199"/>
      <c r="AE536" s="204" t="s">
        <v>125</v>
      </c>
      <c r="AF536" s="199"/>
      <c r="AG536" s="199"/>
      <c r="AH536" s="199"/>
      <c r="AI536" s="126" t="s">
        <v>6</v>
      </c>
      <c r="AJ536" s="198"/>
      <c r="AK536" s="199"/>
      <c r="AL536" s="199"/>
      <c r="AM536" s="199"/>
      <c r="AN536" s="199"/>
      <c r="AO536" s="199"/>
      <c r="AP536" s="199"/>
      <c r="AQ536" s="199"/>
      <c r="AR536" s="199"/>
      <c r="AS536" s="199"/>
      <c r="AT536" s="199"/>
      <c r="AU536" s="199"/>
      <c r="AV536" s="199"/>
      <c r="AW536" s="155"/>
    </row>
    <row r="537" spans="1:49" s="236" customFormat="1" ht="15">
      <c r="A537" s="40">
        <f t="shared" si="33"/>
        <v>531</v>
      </c>
      <c r="B537" s="199"/>
      <c r="C537" s="199"/>
      <c r="D537" s="199"/>
      <c r="E537" s="199"/>
      <c r="F537" s="199"/>
      <c r="G537" s="199"/>
      <c r="H537" s="199"/>
      <c r="I537" s="199"/>
      <c r="J537" s="412" t="s">
        <v>4572</v>
      </c>
      <c r="K537" s="232" t="s">
        <v>117</v>
      </c>
      <c r="L537" s="204" t="s">
        <v>1142</v>
      </c>
      <c r="M537" s="351"/>
      <c r="N537" s="40" t="s">
        <v>504</v>
      </c>
      <c r="O537" s="40"/>
      <c r="P537" s="40"/>
      <c r="Q537" s="40" t="s">
        <v>6</v>
      </c>
      <c r="R537" s="40" t="s">
        <v>6</v>
      </c>
      <c r="S537" s="40" t="s">
        <v>6</v>
      </c>
      <c r="T537" s="40"/>
      <c r="U537" s="218" t="s">
        <v>4066</v>
      </c>
      <c r="V537" s="204"/>
      <c r="W537" s="204" t="s">
        <v>125</v>
      </c>
      <c r="X537" s="199"/>
      <c r="Y537" s="199"/>
      <c r="Z537" s="199"/>
      <c r="AA537" s="126" t="s">
        <v>6</v>
      </c>
      <c r="AB537" s="198"/>
      <c r="AC537" s="199"/>
      <c r="AD537" s="199"/>
      <c r="AE537" s="204" t="s">
        <v>125</v>
      </c>
      <c r="AF537" s="199"/>
      <c r="AG537" s="199"/>
      <c r="AH537" s="199"/>
      <c r="AI537" s="126" t="s">
        <v>6</v>
      </c>
      <c r="AJ537" s="198"/>
      <c r="AK537" s="199"/>
      <c r="AL537" s="199"/>
      <c r="AM537" s="199"/>
      <c r="AN537" s="199"/>
      <c r="AO537" s="199"/>
      <c r="AP537" s="199"/>
      <c r="AQ537" s="199"/>
      <c r="AR537" s="199"/>
      <c r="AS537" s="199"/>
      <c r="AT537" s="199"/>
      <c r="AU537" s="199"/>
      <c r="AV537" s="199"/>
      <c r="AW537" s="155"/>
    </row>
    <row r="538" spans="1:49" s="236" customFormat="1" ht="15">
      <c r="A538" s="40">
        <f t="shared" si="33"/>
        <v>532</v>
      </c>
      <c r="B538" s="199"/>
      <c r="C538" s="199"/>
      <c r="D538" s="199"/>
      <c r="E538" s="199"/>
      <c r="F538" s="199"/>
      <c r="G538" s="199"/>
      <c r="H538" s="199"/>
      <c r="I538" s="199"/>
      <c r="J538" s="412" t="s">
        <v>4573</v>
      </c>
      <c r="K538" s="232" t="s">
        <v>117</v>
      </c>
      <c r="L538" s="204" t="s">
        <v>1142</v>
      </c>
      <c r="M538" s="351"/>
      <c r="N538" s="40" t="s">
        <v>504</v>
      </c>
      <c r="O538" s="40"/>
      <c r="P538" s="40"/>
      <c r="Q538" s="40" t="s">
        <v>6</v>
      </c>
      <c r="R538" s="40" t="s">
        <v>6</v>
      </c>
      <c r="S538" s="40" t="s">
        <v>6</v>
      </c>
      <c r="T538" s="40"/>
      <c r="U538" s="218" t="s">
        <v>4066</v>
      </c>
      <c r="V538" s="204"/>
      <c r="W538" s="204" t="s">
        <v>125</v>
      </c>
      <c r="X538" s="199"/>
      <c r="Y538" s="199"/>
      <c r="Z538" s="199"/>
      <c r="AA538" s="126" t="s">
        <v>6</v>
      </c>
      <c r="AB538" s="198"/>
      <c r="AC538" s="199"/>
      <c r="AD538" s="199"/>
      <c r="AE538" s="204" t="s">
        <v>125</v>
      </c>
      <c r="AF538" s="199"/>
      <c r="AG538" s="199"/>
      <c r="AH538" s="199"/>
      <c r="AI538" s="126" t="s">
        <v>6</v>
      </c>
      <c r="AJ538" s="198"/>
      <c r="AK538" s="199"/>
      <c r="AL538" s="199"/>
      <c r="AM538" s="199"/>
      <c r="AN538" s="199"/>
      <c r="AO538" s="199"/>
      <c r="AP538" s="199"/>
      <c r="AQ538" s="199"/>
      <c r="AR538" s="199"/>
      <c r="AS538" s="199"/>
      <c r="AT538" s="199"/>
      <c r="AU538" s="199"/>
      <c r="AV538" s="199"/>
      <c r="AW538" s="155"/>
    </row>
    <row r="539" spans="1:49" s="236" customFormat="1" ht="15">
      <c r="A539" s="40">
        <f t="shared" si="33"/>
        <v>533</v>
      </c>
      <c r="B539" s="199"/>
      <c r="C539" s="199"/>
      <c r="D539" s="199"/>
      <c r="E539" s="199"/>
      <c r="F539" s="199"/>
      <c r="G539" s="199"/>
      <c r="H539" s="199"/>
      <c r="I539" s="199"/>
      <c r="J539" s="412" t="s">
        <v>4574</v>
      </c>
      <c r="K539" s="232" t="s">
        <v>117</v>
      </c>
      <c r="L539" s="232" t="s">
        <v>4575</v>
      </c>
      <c r="M539" s="351"/>
      <c r="N539" s="40" t="s">
        <v>504</v>
      </c>
      <c r="O539" s="40"/>
      <c r="P539" s="40"/>
      <c r="Q539" s="40"/>
      <c r="R539" s="40" t="s">
        <v>6</v>
      </c>
      <c r="S539" s="40" t="s">
        <v>6</v>
      </c>
      <c r="T539" s="67"/>
      <c r="U539" s="462" t="s">
        <v>4576</v>
      </c>
      <c r="V539" s="246"/>
      <c r="W539" s="232" t="s">
        <v>133</v>
      </c>
      <c r="X539" s="199"/>
      <c r="Y539" s="199"/>
      <c r="Z539" s="126" t="s">
        <v>6</v>
      </c>
      <c r="AA539" s="126"/>
      <c r="AB539" s="215"/>
      <c r="AC539" s="199"/>
      <c r="AD539" s="199"/>
      <c r="AE539" s="232" t="s">
        <v>133</v>
      </c>
      <c r="AF539" s="199"/>
      <c r="AG539" s="199"/>
      <c r="AH539" s="126" t="s">
        <v>6</v>
      </c>
      <c r="AI539" s="126"/>
      <c r="AJ539" s="215"/>
      <c r="AK539" s="199"/>
      <c r="AL539" s="199"/>
      <c r="AM539" s="199"/>
      <c r="AN539" s="199"/>
      <c r="AO539" s="199"/>
      <c r="AP539" s="199"/>
      <c r="AQ539" s="199"/>
      <c r="AR539" s="199"/>
      <c r="AS539" s="199"/>
      <c r="AT539" s="199"/>
      <c r="AU539" s="199"/>
      <c r="AV539" s="199"/>
      <c r="AW539" s="155"/>
    </row>
    <row r="540" spans="1:49" s="236" customFormat="1" ht="15">
      <c r="A540" s="40">
        <f t="shared" si="33"/>
        <v>534</v>
      </c>
      <c r="B540" s="199"/>
      <c r="C540" s="199"/>
      <c r="D540" s="199"/>
      <c r="E540" s="199"/>
      <c r="F540" s="199"/>
      <c r="G540" s="199"/>
      <c r="H540" s="199"/>
      <c r="I540" s="199"/>
      <c r="J540" s="412" t="s">
        <v>4577</v>
      </c>
      <c r="K540" s="412" t="s">
        <v>103</v>
      </c>
      <c r="L540" s="204" t="s">
        <v>1144</v>
      </c>
      <c r="M540" s="351"/>
      <c r="N540" s="40" t="s">
        <v>504</v>
      </c>
      <c r="O540" s="40"/>
      <c r="P540" s="40"/>
      <c r="Q540" s="40" t="s">
        <v>6</v>
      </c>
      <c r="R540" s="40" t="s">
        <v>6</v>
      </c>
      <c r="S540" s="40" t="s">
        <v>6</v>
      </c>
      <c r="T540" s="40"/>
      <c r="U540" s="204"/>
      <c r="V540" s="204"/>
      <c r="W540" s="412" t="s">
        <v>100</v>
      </c>
      <c r="X540" s="199"/>
      <c r="Y540" s="199"/>
      <c r="Z540" s="199"/>
      <c r="AA540" s="126" t="s">
        <v>6</v>
      </c>
      <c r="AB540" s="198"/>
      <c r="AC540" s="199"/>
      <c r="AD540" s="199"/>
      <c r="AE540" s="412" t="s">
        <v>100</v>
      </c>
      <c r="AF540" s="199"/>
      <c r="AG540" s="199"/>
      <c r="AH540" s="199"/>
      <c r="AI540" s="126" t="s">
        <v>6</v>
      </c>
      <c r="AJ540" s="198"/>
      <c r="AK540" s="199"/>
      <c r="AL540" s="199"/>
      <c r="AM540" s="199"/>
      <c r="AN540" s="199"/>
      <c r="AO540" s="199"/>
      <c r="AP540" s="199"/>
      <c r="AQ540" s="199"/>
      <c r="AR540" s="199"/>
      <c r="AS540" s="199"/>
      <c r="AT540" s="199"/>
      <c r="AU540" s="199"/>
      <c r="AV540" s="199"/>
      <c r="AW540" s="155"/>
    </row>
    <row r="541" spans="1:49" s="236" customFormat="1" ht="15">
      <c r="A541" s="40">
        <f t="shared" si="33"/>
        <v>535</v>
      </c>
      <c r="B541" s="199"/>
      <c r="C541" s="199"/>
      <c r="D541" s="199"/>
      <c r="E541" s="199"/>
      <c r="F541" s="199"/>
      <c r="G541" s="199"/>
      <c r="H541" s="199"/>
      <c r="I541" s="199"/>
      <c r="J541" s="412" t="s">
        <v>4578</v>
      </c>
      <c r="K541" s="412" t="s">
        <v>103</v>
      </c>
      <c r="L541" s="204" t="s">
        <v>1146</v>
      </c>
      <c r="M541" s="351"/>
      <c r="N541" s="40" t="s">
        <v>504</v>
      </c>
      <c r="O541" s="40"/>
      <c r="P541" s="40"/>
      <c r="Q541" s="40" t="s">
        <v>6</v>
      </c>
      <c r="R541" s="40" t="s">
        <v>6</v>
      </c>
      <c r="S541" s="40" t="s">
        <v>6</v>
      </c>
      <c r="T541" s="40"/>
      <c r="U541" s="218" t="s">
        <v>4066</v>
      </c>
      <c r="V541" s="204"/>
      <c r="W541" s="412" t="s">
        <v>100</v>
      </c>
      <c r="X541" s="199"/>
      <c r="Y541" s="199"/>
      <c r="Z541" s="199"/>
      <c r="AA541" s="126" t="s">
        <v>6</v>
      </c>
      <c r="AB541" s="198"/>
      <c r="AC541" s="199"/>
      <c r="AD541" s="199"/>
      <c r="AE541" s="412" t="s">
        <v>100</v>
      </c>
      <c r="AF541" s="199"/>
      <c r="AG541" s="199"/>
      <c r="AH541" s="199"/>
      <c r="AI541" s="126" t="s">
        <v>6</v>
      </c>
      <c r="AJ541" s="198"/>
      <c r="AK541" s="199"/>
      <c r="AL541" s="199"/>
      <c r="AM541" s="199"/>
      <c r="AN541" s="199"/>
      <c r="AO541" s="199"/>
      <c r="AP541" s="199"/>
      <c r="AQ541" s="199"/>
      <c r="AR541" s="199"/>
      <c r="AS541" s="199"/>
      <c r="AT541" s="199"/>
      <c r="AU541" s="199"/>
      <c r="AV541" s="199"/>
      <c r="AW541" s="155"/>
    </row>
    <row r="542" spans="1:49" s="236" customFormat="1" ht="15">
      <c r="A542" s="40">
        <f t="shared" si="33"/>
        <v>536</v>
      </c>
      <c r="B542" s="199"/>
      <c r="C542" s="199"/>
      <c r="D542" s="199"/>
      <c r="E542" s="199"/>
      <c r="F542" s="199"/>
      <c r="G542" s="199"/>
      <c r="H542" s="199"/>
      <c r="I542" s="199"/>
      <c r="J542" s="412" t="s">
        <v>4579</v>
      </c>
      <c r="K542" s="412" t="s">
        <v>103</v>
      </c>
      <c r="L542" s="204" t="s">
        <v>1148</v>
      </c>
      <c r="M542" s="351"/>
      <c r="N542" s="40" t="s">
        <v>504</v>
      </c>
      <c r="O542" s="40"/>
      <c r="P542" s="40"/>
      <c r="Q542" s="40" t="s">
        <v>6</v>
      </c>
      <c r="R542" s="40" t="s">
        <v>6</v>
      </c>
      <c r="S542" s="40" t="s">
        <v>6</v>
      </c>
      <c r="T542" s="40"/>
      <c r="U542" s="218" t="s">
        <v>4066</v>
      </c>
      <c r="V542" s="204"/>
      <c r="W542" s="412" t="s">
        <v>100</v>
      </c>
      <c r="X542" s="199"/>
      <c r="Y542" s="199"/>
      <c r="Z542" s="199"/>
      <c r="AA542" s="126" t="s">
        <v>6</v>
      </c>
      <c r="AB542" s="198"/>
      <c r="AC542" s="199"/>
      <c r="AD542" s="199"/>
      <c r="AE542" s="412" t="s">
        <v>100</v>
      </c>
      <c r="AF542" s="199"/>
      <c r="AG542" s="199"/>
      <c r="AH542" s="199"/>
      <c r="AI542" s="126" t="s">
        <v>6</v>
      </c>
      <c r="AJ542" s="198"/>
      <c r="AK542" s="199"/>
      <c r="AL542" s="199"/>
      <c r="AM542" s="199"/>
      <c r="AN542" s="199"/>
      <c r="AO542" s="199"/>
      <c r="AP542" s="199"/>
      <c r="AQ542" s="199"/>
      <c r="AR542" s="199"/>
      <c r="AS542" s="199"/>
      <c r="AT542" s="199"/>
      <c r="AU542" s="199"/>
      <c r="AV542" s="199"/>
      <c r="AW542" s="155"/>
    </row>
    <row r="543" spans="1:49" s="236" customFormat="1" ht="15">
      <c r="A543" s="40">
        <f t="shared" si="33"/>
        <v>537</v>
      </c>
      <c r="B543" s="199"/>
      <c r="C543" s="199"/>
      <c r="D543" s="199"/>
      <c r="E543" s="199"/>
      <c r="F543" s="199"/>
      <c r="G543" s="199"/>
      <c r="H543" s="199"/>
      <c r="I543" s="199"/>
      <c r="J543" s="412" t="s">
        <v>4580</v>
      </c>
      <c r="K543" s="412" t="s">
        <v>103</v>
      </c>
      <c r="L543" s="204" t="s">
        <v>1150</v>
      </c>
      <c r="M543" s="351"/>
      <c r="N543" s="40" t="s">
        <v>504</v>
      </c>
      <c r="O543" s="40"/>
      <c r="P543" s="40"/>
      <c r="Q543" s="40" t="s">
        <v>6</v>
      </c>
      <c r="R543" s="40" t="s">
        <v>6</v>
      </c>
      <c r="S543" s="40" t="s">
        <v>6</v>
      </c>
      <c r="T543" s="40"/>
      <c r="U543" s="218" t="s">
        <v>4066</v>
      </c>
      <c r="V543" s="204"/>
      <c r="W543" s="412" t="s">
        <v>100</v>
      </c>
      <c r="X543" s="199"/>
      <c r="Y543" s="199"/>
      <c r="Z543" s="199"/>
      <c r="AA543" s="126" t="s">
        <v>6</v>
      </c>
      <c r="AB543" s="198"/>
      <c r="AC543" s="199"/>
      <c r="AD543" s="199"/>
      <c r="AE543" s="412" t="s">
        <v>100</v>
      </c>
      <c r="AF543" s="199"/>
      <c r="AG543" s="199"/>
      <c r="AH543" s="199"/>
      <c r="AI543" s="126" t="s">
        <v>6</v>
      </c>
      <c r="AJ543" s="198"/>
      <c r="AK543" s="199"/>
      <c r="AL543" s="199"/>
      <c r="AM543" s="199"/>
      <c r="AN543" s="199"/>
      <c r="AO543" s="199"/>
      <c r="AP543" s="199"/>
      <c r="AQ543" s="199"/>
      <c r="AR543" s="199"/>
      <c r="AS543" s="199"/>
      <c r="AT543" s="199"/>
      <c r="AU543" s="199"/>
      <c r="AV543" s="199"/>
      <c r="AW543" s="155"/>
    </row>
    <row r="544" spans="1:49" s="236" customFormat="1" ht="15">
      <c r="A544" s="40">
        <f t="shared" si="33"/>
        <v>538</v>
      </c>
      <c r="B544" s="199"/>
      <c r="C544" s="199"/>
      <c r="D544" s="199"/>
      <c r="E544" s="199"/>
      <c r="F544" s="199"/>
      <c r="G544" s="199"/>
      <c r="H544" s="199"/>
      <c r="I544" s="199"/>
      <c r="J544" s="412" t="s">
        <v>4581</v>
      </c>
      <c r="K544" s="412" t="s">
        <v>103</v>
      </c>
      <c r="L544" s="204" t="s">
        <v>1152</v>
      </c>
      <c r="M544" s="351"/>
      <c r="N544" s="40" t="s">
        <v>504</v>
      </c>
      <c r="O544" s="40"/>
      <c r="P544" s="40"/>
      <c r="Q544" s="40" t="s">
        <v>6</v>
      </c>
      <c r="R544" s="40" t="s">
        <v>6</v>
      </c>
      <c r="S544" s="40" t="s">
        <v>6</v>
      </c>
      <c r="T544" s="40"/>
      <c r="U544" s="204"/>
      <c r="V544" s="204"/>
      <c r="W544" s="412" t="s">
        <v>100</v>
      </c>
      <c r="X544" s="199"/>
      <c r="Y544" s="199"/>
      <c r="Z544" s="199"/>
      <c r="AA544" s="126" t="s">
        <v>6</v>
      </c>
      <c r="AB544" s="198"/>
      <c r="AC544" s="199"/>
      <c r="AD544" s="199"/>
      <c r="AE544" s="412" t="s">
        <v>100</v>
      </c>
      <c r="AF544" s="199"/>
      <c r="AG544" s="199"/>
      <c r="AH544" s="199"/>
      <c r="AI544" s="126" t="s">
        <v>6</v>
      </c>
      <c r="AJ544" s="198"/>
      <c r="AK544" s="199"/>
      <c r="AL544" s="199"/>
      <c r="AM544" s="199"/>
      <c r="AN544" s="199"/>
      <c r="AO544" s="199"/>
      <c r="AP544" s="199"/>
      <c r="AQ544" s="199"/>
      <c r="AR544" s="199"/>
      <c r="AS544" s="199"/>
      <c r="AT544" s="199"/>
      <c r="AU544" s="199"/>
      <c r="AV544" s="199"/>
      <c r="AW544" s="155"/>
    </row>
    <row r="545" spans="1:49" s="236" customFormat="1" ht="15">
      <c r="A545" s="40">
        <f t="shared" si="33"/>
        <v>539</v>
      </c>
      <c r="B545" s="199"/>
      <c r="C545" s="199"/>
      <c r="D545" s="199"/>
      <c r="E545" s="199"/>
      <c r="F545" s="199"/>
      <c r="G545" s="199"/>
      <c r="H545" s="199"/>
      <c r="I545" s="199"/>
      <c r="J545" s="412" t="s">
        <v>4582</v>
      </c>
      <c r="K545" s="412" t="s">
        <v>103</v>
      </c>
      <c r="L545" s="204" t="s">
        <v>1154</v>
      </c>
      <c r="M545" s="351"/>
      <c r="N545" s="40" t="s">
        <v>504</v>
      </c>
      <c r="O545" s="40"/>
      <c r="P545" s="40"/>
      <c r="Q545" s="40" t="s">
        <v>6</v>
      </c>
      <c r="R545" s="40" t="s">
        <v>6</v>
      </c>
      <c r="S545" s="40" t="s">
        <v>6</v>
      </c>
      <c r="T545" s="40"/>
      <c r="U545" s="218" t="s">
        <v>4066</v>
      </c>
      <c r="V545" s="204"/>
      <c r="W545" s="412" t="s">
        <v>100</v>
      </c>
      <c r="X545" s="199"/>
      <c r="Y545" s="199"/>
      <c r="Z545" s="199"/>
      <c r="AA545" s="126" t="s">
        <v>6</v>
      </c>
      <c r="AB545" s="198"/>
      <c r="AC545" s="199"/>
      <c r="AD545" s="199"/>
      <c r="AE545" s="412" t="s">
        <v>100</v>
      </c>
      <c r="AF545" s="199"/>
      <c r="AG545" s="199"/>
      <c r="AH545" s="199"/>
      <c r="AI545" s="126" t="s">
        <v>6</v>
      </c>
      <c r="AJ545" s="198"/>
      <c r="AK545" s="199"/>
      <c r="AL545" s="199"/>
      <c r="AM545" s="199"/>
      <c r="AN545" s="199"/>
      <c r="AO545" s="199"/>
      <c r="AP545" s="199"/>
      <c r="AQ545" s="199"/>
      <c r="AR545" s="199"/>
      <c r="AS545" s="199"/>
      <c r="AT545" s="199"/>
      <c r="AU545" s="199"/>
      <c r="AV545" s="199"/>
      <c r="AW545" s="155"/>
    </row>
    <row r="546" spans="1:49" s="236" customFormat="1" ht="15">
      <c r="A546" s="40">
        <f t="shared" si="33"/>
        <v>540</v>
      </c>
      <c r="B546" s="199"/>
      <c r="C546" s="199"/>
      <c r="D546" s="199"/>
      <c r="E546" s="199"/>
      <c r="F546" s="199"/>
      <c r="G546" s="199"/>
      <c r="H546" s="199"/>
      <c r="I546" s="199"/>
      <c r="J546" s="412" t="s">
        <v>4583</v>
      </c>
      <c r="K546" s="412" t="s">
        <v>103</v>
      </c>
      <c r="L546" s="204" t="s">
        <v>1156</v>
      </c>
      <c r="M546" s="351"/>
      <c r="N546" s="40" t="s">
        <v>504</v>
      </c>
      <c r="O546" s="40"/>
      <c r="P546" s="40"/>
      <c r="Q546" s="40" t="s">
        <v>6</v>
      </c>
      <c r="R546" s="40" t="s">
        <v>6</v>
      </c>
      <c r="S546" s="40" t="s">
        <v>6</v>
      </c>
      <c r="T546" s="40"/>
      <c r="U546" s="218" t="s">
        <v>4066</v>
      </c>
      <c r="V546" s="204"/>
      <c r="W546" s="412" t="s">
        <v>100</v>
      </c>
      <c r="X546" s="199"/>
      <c r="Y546" s="199"/>
      <c r="Z546" s="199"/>
      <c r="AA546" s="126" t="s">
        <v>6</v>
      </c>
      <c r="AB546" s="198"/>
      <c r="AC546" s="199"/>
      <c r="AD546" s="199"/>
      <c r="AE546" s="412" t="s">
        <v>100</v>
      </c>
      <c r="AF546" s="199"/>
      <c r="AG546" s="199"/>
      <c r="AH546" s="199"/>
      <c r="AI546" s="126" t="s">
        <v>6</v>
      </c>
      <c r="AJ546" s="198"/>
      <c r="AK546" s="199"/>
      <c r="AL546" s="199"/>
      <c r="AM546" s="199"/>
      <c r="AN546" s="199"/>
      <c r="AO546" s="199"/>
      <c r="AP546" s="199"/>
      <c r="AQ546" s="199"/>
      <c r="AR546" s="199"/>
      <c r="AS546" s="199"/>
      <c r="AT546" s="199"/>
      <c r="AU546" s="199"/>
      <c r="AV546" s="199"/>
      <c r="AW546" s="155"/>
    </row>
    <row r="547" spans="1:49" s="236" customFormat="1" ht="15">
      <c r="A547" s="40">
        <f t="shared" si="33"/>
        <v>541</v>
      </c>
      <c r="B547" s="199"/>
      <c r="C547" s="199"/>
      <c r="D547" s="199"/>
      <c r="E547" s="199"/>
      <c r="F547" s="199"/>
      <c r="G547" s="199"/>
      <c r="H547" s="199"/>
      <c r="I547" s="199"/>
      <c r="J547" s="412" t="s">
        <v>4584</v>
      </c>
      <c r="K547" s="412" t="s">
        <v>103</v>
      </c>
      <c r="L547" s="204" t="s">
        <v>1158</v>
      </c>
      <c r="M547" s="351"/>
      <c r="N547" s="40" t="s">
        <v>504</v>
      </c>
      <c r="O547" s="40"/>
      <c r="P547" s="40"/>
      <c r="Q547" s="40" t="s">
        <v>6</v>
      </c>
      <c r="R547" s="40" t="s">
        <v>6</v>
      </c>
      <c r="S547" s="40" t="s">
        <v>6</v>
      </c>
      <c r="T547" s="40"/>
      <c r="U547" s="218" t="s">
        <v>4066</v>
      </c>
      <c r="V547" s="204"/>
      <c r="W547" s="412" t="s">
        <v>100</v>
      </c>
      <c r="X547" s="199"/>
      <c r="Y547" s="199"/>
      <c r="Z547" s="199"/>
      <c r="AA547" s="126" t="s">
        <v>6</v>
      </c>
      <c r="AB547" s="198"/>
      <c r="AC547" s="199"/>
      <c r="AD547" s="199"/>
      <c r="AE547" s="412" t="s">
        <v>100</v>
      </c>
      <c r="AF547" s="199"/>
      <c r="AG547" s="199"/>
      <c r="AH547" s="199"/>
      <c r="AI547" s="126" t="s">
        <v>6</v>
      </c>
      <c r="AJ547" s="198"/>
      <c r="AK547" s="199"/>
      <c r="AL547" s="199"/>
      <c r="AM547" s="199"/>
      <c r="AN547" s="199"/>
      <c r="AO547" s="199"/>
      <c r="AP547" s="199"/>
      <c r="AQ547" s="199"/>
      <c r="AR547" s="199"/>
      <c r="AS547" s="199"/>
      <c r="AT547" s="199"/>
      <c r="AU547" s="199"/>
      <c r="AV547" s="199"/>
      <c r="AW547" s="155"/>
    </row>
    <row r="548" spans="1:49" s="236" customFormat="1" ht="15">
      <c r="A548" s="40">
        <f t="shared" si="33"/>
        <v>542</v>
      </c>
      <c r="B548" s="199"/>
      <c r="C548" s="199"/>
      <c r="D548" s="199"/>
      <c r="E548" s="199"/>
      <c r="F548" s="199"/>
      <c r="G548" s="199"/>
      <c r="H548" s="199"/>
      <c r="I548" s="199"/>
      <c r="J548" s="412" t="s">
        <v>4585</v>
      </c>
      <c r="K548" s="412" t="s">
        <v>140</v>
      </c>
      <c r="L548" s="204" t="s">
        <v>1160</v>
      </c>
      <c r="M548" s="351"/>
      <c r="N548" s="40" t="s">
        <v>504</v>
      </c>
      <c r="O548" s="40"/>
      <c r="P548" s="40"/>
      <c r="Q548" s="40" t="s">
        <v>6</v>
      </c>
      <c r="R548" s="40" t="s">
        <v>6</v>
      </c>
      <c r="S548" s="40" t="s">
        <v>6</v>
      </c>
      <c r="T548" s="40"/>
      <c r="U548" s="204"/>
      <c r="V548" s="204"/>
      <c r="W548" s="412" t="s">
        <v>137</v>
      </c>
      <c r="X548" s="199"/>
      <c r="Y548" s="199"/>
      <c r="Z548" s="199"/>
      <c r="AA548" s="126" t="s">
        <v>6</v>
      </c>
      <c r="AB548" s="198"/>
      <c r="AC548" s="199"/>
      <c r="AD548" s="199"/>
      <c r="AE548" s="412" t="s">
        <v>137</v>
      </c>
      <c r="AF548" s="199"/>
      <c r="AG548" s="199"/>
      <c r="AH548" s="199"/>
      <c r="AI548" s="126" t="s">
        <v>6</v>
      </c>
      <c r="AJ548" s="198"/>
      <c r="AK548" s="199"/>
      <c r="AL548" s="199"/>
      <c r="AM548" s="199"/>
      <c r="AN548" s="199"/>
      <c r="AO548" s="199"/>
      <c r="AP548" s="199"/>
      <c r="AQ548" s="199"/>
      <c r="AR548" s="199"/>
      <c r="AS548" s="199"/>
      <c r="AT548" s="199"/>
      <c r="AU548" s="199"/>
      <c r="AV548" s="199"/>
      <c r="AW548" s="155"/>
    </row>
    <row r="549" spans="1:49" s="236" customFormat="1" ht="15">
      <c r="A549" s="40">
        <f t="shared" si="33"/>
        <v>543</v>
      </c>
      <c r="B549" s="199"/>
      <c r="C549" s="199"/>
      <c r="D549" s="199"/>
      <c r="E549" s="199"/>
      <c r="F549" s="199"/>
      <c r="G549" s="199"/>
      <c r="H549" s="199"/>
      <c r="I549" s="199"/>
      <c r="J549" s="412" t="s">
        <v>4586</v>
      </c>
      <c r="K549" s="412" t="s">
        <v>140</v>
      </c>
      <c r="L549" s="204" t="s">
        <v>1162</v>
      </c>
      <c r="M549" s="351"/>
      <c r="N549" s="40" t="s">
        <v>504</v>
      </c>
      <c r="O549" s="40"/>
      <c r="P549" s="40"/>
      <c r="Q549" s="40" t="s">
        <v>6</v>
      </c>
      <c r="R549" s="40" t="s">
        <v>6</v>
      </c>
      <c r="S549" s="40" t="s">
        <v>6</v>
      </c>
      <c r="T549" s="40"/>
      <c r="U549" s="218" t="s">
        <v>4066</v>
      </c>
      <c r="V549" s="204"/>
      <c r="W549" s="412" t="s">
        <v>137</v>
      </c>
      <c r="X549" s="199"/>
      <c r="Y549" s="199"/>
      <c r="Z549" s="199"/>
      <c r="AA549" s="126" t="s">
        <v>6</v>
      </c>
      <c r="AB549" s="198"/>
      <c r="AC549" s="199"/>
      <c r="AD549" s="199"/>
      <c r="AE549" s="412" t="s">
        <v>137</v>
      </c>
      <c r="AF549" s="199"/>
      <c r="AG549" s="199"/>
      <c r="AH549" s="199"/>
      <c r="AI549" s="126" t="s">
        <v>6</v>
      </c>
      <c r="AJ549" s="198"/>
      <c r="AK549" s="199"/>
      <c r="AL549" s="199"/>
      <c r="AM549" s="199"/>
      <c r="AN549" s="199"/>
      <c r="AO549" s="199"/>
      <c r="AP549" s="199"/>
      <c r="AQ549" s="199"/>
      <c r="AR549" s="199"/>
      <c r="AS549" s="199"/>
      <c r="AT549" s="199"/>
      <c r="AU549" s="199"/>
      <c r="AV549" s="199"/>
      <c r="AW549" s="155"/>
    </row>
    <row r="550" spans="1:49" s="236" customFormat="1" ht="15">
      <c r="A550" s="40">
        <f t="shared" si="33"/>
        <v>544</v>
      </c>
      <c r="B550" s="199"/>
      <c r="C550" s="199"/>
      <c r="D550" s="199"/>
      <c r="E550" s="199"/>
      <c r="F550" s="199"/>
      <c r="G550" s="199"/>
      <c r="H550" s="199"/>
      <c r="I550" s="199"/>
      <c r="J550" s="412" t="s">
        <v>4587</v>
      </c>
      <c r="K550" s="412" t="s">
        <v>140</v>
      </c>
      <c r="L550" s="204" t="s">
        <v>1164</v>
      </c>
      <c r="M550" s="351"/>
      <c r="N550" s="40" t="s">
        <v>504</v>
      </c>
      <c r="O550" s="40"/>
      <c r="P550" s="40"/>
      <c r="Q550" s="40" t="s">
        <v>6</v>
      </c>
      <c r="R550" s="40" t="s">
        <v>6</v>
      </c>
      <c r="S550" s="40" t="s">
        <v>6</v>
      </c>
      <c r="T550" s="40"/>
      <c r="U550" s="218" t="s">
        <v>4066</v>
      </c>
      <c r="V550" s="204"/>
      <c r="W550" s="412" t="s">
        <v>137</v>
      </c>
      <c r="X550" s="199"/>
      <c r="Y550" s="199"/>
      <c r="Z550" s="199"/>
      <c r="AA550" s="126" t="s">
        <v>6</v>
      </c>
      <c r="AB550" s="198"/>
      <c r="AC550" s="199"/>
      <c r="AD550" s="199"/>
      <c r="AE550" s="412" t="s">
        <v>137</v>
      </c>
      <c r="AF550" s="199"/>
      <c r="AG550" s="199"/>
      <c r="AH550" s="199"/>
      <c r="AI550" s="126" t="s">
        <v>6</v>
      </c>
      <c r="AJ550" s="198"/>
      <c r="AK550" s="199"/>
      <c r="AL550" s="199"/>
      <c r="AM550" s="199"/>
      <c r="AN550" s="199"/>
      <c r="AO550" s="199"/>
      <c r="AP550" s="199"/>
      <c r="AQ550" s="199"/>
      <c r="AR550" s="199"/>
      <c r="AS550" s="199"/>
      <c r="AT550" s="199"/>
      <c r="AU550" s="199"/>
      <c r="AV550" s="199"/>
      <c r="AW550" s="155"/>
    </row>
    <row r="551" spans="1:49" s="236" customFormat="1" ht="15">
      <c r="A551" s="40">
        <f t="shared" si="33"/>
        <v>545</v>
      </c>
      <c r="B551" s="199"/>
      <c r="C551" s="199"/>
      <c r="D551" s="199"/>
      <c r="E551" s="199"/>
      <c r="F551" s="199"/>
      <c r="G551" s="199"/>
      <c r="H551" s="199"/>
      <c r="I551" s="199"/>
      <c r="J551" s="412" t="s">
        <v>4588</v>
      </c>
      <c r="K551" s="412" t="s">
        <v>140</v>
      </c>
      <c r="L551" s="204" t="s">
        <v>1166</v>
      </c>
      <c r="M551" s="351"/>
      <c r="N551" s="40" t="s">
        <v>504</v>
      </c>
      <c r="O551" s="40"/>
      <c r="P551" s="40"/>
      <c r="Q551" s="40" t="s">
        <v>6</v>
      </c>
      <c r="R551" s="40" t="s">
        <v>6</v>
      </c>
      <c r="S551" s="40" t="s">
        <v>6</v>
      </c>
      <c r="T551" s="40"/>
      <c r="U551" s="218" t="s">
        <v>4066</v>
      </c>
      <c r="V551" s="204"/>
      <c r="W551" s="412" t="s">
        <v>137</v>
      </c>
      <c r="X551" s="199"/>
      <c r="Y551" s="199"/>
      <c r="Z551" s="199"/>
      <c r="AA551" s="126" t="s">
        <v>6</v>
      </c>
      <c r="AB551" s="198"/>
      <c r="AC551" s="199"/>
      <c r="AD551" s="199"/>
      <c r="AE551" s="412" t="s">
        <v>137</v>
      </c>
      <c r="AF551" s="199"/>
      <c r="AG551" s="199"/>
      <c r="AH551" s="199"/>
      <c r="AI551" s="126" t="s">
        <v>6</v>
      </c>
      <c r="AJ551" s="198"/>
      <c r="AK551" s="199"/>
      <c r="AL551" s="199"/>
      <c r="AM551" s="199"/>
      <c r="AN551" s="199"/>
      <c r="AO551" s="199"/>
      <c r="AP551" s="199"/>
      <c r="AQ551" s="199"/>
      <c r="AR551" s="199"/>
      <c r="AS551" s="199"/>
      <c r="AT551" s="199"/>
      <c r="AU551" s="199"/>
      <c r="AV551" s="199"/>
      <c r="AW551" s="155"/>
    </row>
    <row r="552" spans="1:49" s="236" customFormat="1" ht="15">
      <c r="A552" s="40">
        <f t="shared" si="33"/>
        <v>546</v>
      </c>
      <c r="B552" s="199"/>
      <c r="C552" s="199"/>
      <c r="D552" s="199"/>
      <c r="E552" s="199"/>
      <c r="F552" s="199"/>
      <c r="G552" s="199"/>
      <c r="H552" s="199"/>
      <c r="I552" s="199"/>
      <c r="J552" s="412" t="s">
        <v>4589</v>
      </c>
      <c r="K552" s="412" t="s">
        <v>140</v>
      </c>
      <c r="L552" s="204" t="s">
        <v>1168</v>
      </c>
      <c r="M552" s="351"/>
      <c r="N552" s="40" t="s">
        <v>504</v>
      </c>
      <c r="O552" s="40"/>
      <c r="P552" s="40"/>
      <c r="Q552" s="40" t="s">
        <v>6</v>
      </c>
      <c r="R552" s="40" t="s">
        <v>6</v>
      </c>
      <c r="S552" s="40" t="s">
        <v>6</v>
      </c>
      <c r="T552" s="40"/>
      <c r="U552" s="204"/>
      <c r="V552" s="204"/>
      <c r="W552" s="412" t="s">
        <v>137</v>
      </c>
      <c r="X552" s="199"/>
      <c r="Y552" s="199"/>
      <c r="Z552" s="199"/>
      <c r="AA552" s="126" t="s">
        <v>6</v>
      </c>
      <c r="AB552" s="198"/>
      <c r="AC552" s="199"/>
      <c r="AD552" s="199"/>
      <c r="AE552" s="412" t="s">
        <v>137</v>
      </c>
      <c r="AF552" s="199"/>
      <c r="AG552" s="199"/>
      <c r="AH552" s="199"/>
      <c r="AI552" s="126" t="s">
        <v>6</v>
      </c>
      <c r="AJ552" s="198"/>
      <c r="AK552" s="199"/>
      <c r="AL552" s="199"/>
      <c r="AM552" s="199"/>
      <c r="AN552" s="199"/>
      <c r="AO552" s="199"/>
      <c r="AP552" s="199"/>
      <c r="AQ552" s="199"/>
      <c r="AR552" s="199"/>
      <c r="AS552" s="199"/>
      <c r="AT552" s="199"/>
      <c r="AU552" s="199"/>
      <c r="AV552" s="199"/>
      <c r="AW552" s="155"/>
    </row>
    <row r="553" spans="1:49" s="236" customFormat="1" ht="15">
      <c r="A553" s="40">
        <f t="shared" si="33"/>
        <v>547</v>
      </c>
      <c r="B553" s="199"/>
      <c r="C553" s="199"/>
      <c r="D553" s="199"/>
      <c r="E553" s="199"/>
      <c r="F553" s="199"/>
      <c r="G553" s="199"/>
      <c r="H553" s="199"/>
      <c r="I553" s="199"/>
      <c r="J553" s="412" t="s">
        <v>4590</v>
      </c>
      <c r="K553" s="412" t="s">
        <v>140</v>
      </c>
      <c r="L553" s="204" t="s">
        <v>1170</v>
      </c>
      <c r="M553" s="351"/>
      <c r="N553" s="40" t="s">
        <v>504</v>
      </c>
      <c r="O553" s="40"/>
      <c r="P553" s="40"/>
      <c r="Q553" s="40" t="s">
        <v>6</v>
      </c>
      <c r="R553" s="40" t="s">
        <v>6</v>
      </c>
      <c r="S553" s="40" t="s">
        <v>6</v>
      </c>
      <c r="T553" s="40"/>
      <c r="U553" s="218" t="s">
        <v>4066</v>
      </c>
      <c r="V553" s="204"/>
      <c r="W553" s="412" t="s">
        <v>137</v>
      </c>
      <c r="X553" s="199"/>
      <c r="Y553" s="199"/>
      <c r="Z553" s="199"/>
      <c r="AA553" s="126" t="s">
        <v>6</v>
      </c>
      <c r="AB553" s="198"/>
      <c r="AC553" s="199"/>
      <c r="AD553" s="199"/>
      <c r="AE553" s="412" t="s">
        <v>137</v>
      </c>
      <c r="AF553" s="199"/>
      <c r="AG553" s="199"/>
      <c r="AH553" s="199"/>
      <c r="AI553" s="126" t="s">
        <v>6</v>
      </c>
      <c r="AJ553" s="198"/>
      <c r="AK553" s="199"/>
      <c r="AL553" s="199"/>
      <c r="AM553" s="199"/>
      <c r="AN553" s="199"/>
      <c r="AO553" s="199"/>
      <c r="AP553" s="199"/>
      <c r="AQ553" s="199"/>
      <c r="AR553" s="199"/>
      <c r="AS553" s="199"/>
      <c r="AT553" s="199"/>
      <c r="AU553" s="199"/>
      <c r="AV553" s="199"/>
      <c r="AW553" s="155"/>
    </row>
    <row r="554" spans="1:49" s="236" customFormat="1" ht="15">
      <c r="A554" s="40">
        <f t="shared" si="33"/>
        <v>548</v>
      </c>
      <c r="B554" s="199"/>
      <c r="C554" s="199"/>
      <c r="D554" s="199"/>
      <c r="E554" s="199"/>
      <c r="F554" s="199"/>
      <c r="G554" s="199"/>
      <c r="H554" s="199"/>
      <c r="I554" s="199"/>
      <c r="J554" s="412" t="s">
        <v>4591</v>
      </c>
      <c r="K554" s="412" t="s">
        <v>140</v>
      </c>
      <c r="L554" s="204" t="s">
        <v>1172</v>
      </c>
      <c r="M554" s="351"/>
      <c r="N554" s="40" t="s">
        <v>504</v>
      </c>
      <c r="O554" s="40"/>
      <c r="P554" s="40"/>
      <c r="Q554" s="40" t="s">
        <v>6</v>
      </c>
      <c r="R554" s="40" t="s">
        <v>6</v>
      </c>
      <c r="S554" s="40" t="s">
        <v>6</v>
      </c>
      <c r="T554" s="40"/>
      <c r="U554" s="218" t="s">
        <v>4066</v>
      </c>
      <c r="V554" s="204"/>
      <c r="W554" s="412" t="s">
        <v>137</v>
      </c>
      <c r="X554" s="199"/>
      <c r="Y554" s="199"/>
      <c r="Z554" s="199"/>
      <c r="AA554" s="126" t="s">
        <v>6</v>
      </c>
      <c r="AB554" s="198"/>
      <c r="AC554" s="199"/>
      <c r="AD554" s="199"/>
      <c r="AE554" s="412" t="s">
        <v>137</v>
      </c>
      <c r="AF554" s="199"/>
      <c r="AG554" s="199"/>
      <c r="AH554" s="199"/>
      <c r="AI554" s="126" t="s">
        <v>6</v>
      </c>
      <c r="AJ554" s="198"/>
      <c r="AK554" s="199"/>
      <c r="AL554" s="199"/>
      <c r="AM554" s="199"/>
      <c r="AN554" s="199"/>
      <c r="AO554" s="199"/>
      <c r="AP554" s="199"/>
      <c r="AQ554" s="199"/>
      <c r="AR554" s="199"/>
      <c r="AS554" s="199"/>
      <c r="AT554" s="199"/>
      <c r="AU554" s="199"/>
      <c r="AV554" s="199"/>
      <c r="AW554" s="155"/>
    </row>
    <row r="555" spans="1:49" s="236" customFormat="1" ht="15">
      <c r="A555" s="40">
        <f t="shared" si="33"/>
        <v>549</v>
      </c>
      <c r="B555" s="199"/>
      <c r="C555" s="199"/>
      <c r="D555" s="199"/>
      <c r="E555" s="199"/>
      <c r="F555" s="199"/>
      <c r="G555" s="199"/>
      <c r="H555" s="199"/>
      <c r="I555" s="199"/>
      <c r="J555" s="412" t="s">
        <v>4592</v>
      </c>
      <c r="K555" s="412" t="s">
        <v>140</v>
      </c>
      <c r="L555" s="204" t="s">
        <v>1174</v>
      </c>
      <c r="M555" s="351"/>
      <c r="N555" s="40" t="s">
        <v>504</v>
      </c>
      <c r="O555" s="40"/>
      <c r="P555" s="40"/>
      <c r="Q555" s="40" t="s">
        <v>6</v>
      </c>
      <c r="R555" s="40" t="s">
        <v>6</v>
      </c>
      <c r="S555" s="40" t="s">
        <v>6</v>
      </c>
      <c r="T555" s="40"/>
      <c r="U555" s="218" t="s">
        <v>4066</v>
      </c>
      <c r="V555" s="204"/>
      <c r="W555" s="412" t="s">
        <v>137</v>
      </c>
      <c r="X555" s="199"/>
      <c r="Y555" s="199"/>
      <c r="Z555" s="199"/>
      <c r="AA555" s="126" t="s">
        <v>6</v>
      </c>
      <c r="AB555" s="198"/>
      <c r="AC555" s="199"/>
      <c r="AD555" s="199"/>
      <c r="AE555" s="412" t="s">
        <v>137</v>
      </c>
      <c r="AF555" s="199"/>
      <c r="AG555" s="199"/>
      <c r="AH555" s="199"/>
      <c r="AI555" s="126" t="s">
        <v>6</v>
      </c>
      <c r="AJ555" s="198"/>
      <c r="AK555" s="199"/>
      <c r="AL555" s="199"/>
      <c r="AM555" s="199"/>
      <c r="AN555" s="199"/>
      <c r="AO555" s="199"/>
      <c r="AP555" s="199"/>
      <c r="AQ555" s="199"/>
      <c r="AR555" s="199"/>
      <c r="AS555" s="199"/>
      <c r="AT555" s="199"/>
      <c r="AU555" s="199"/>
      <c r="AV555" s="199"/>
      <c r="AW555" s="155"/>
    </row>
    <row r="556" spans="1:49" s="236" customFormat="1" ht="15">
      <c r="A556" s="40">
        <f t="shared" si="33"/>
        <v>550</v>
      </c>
      <c r="B556" s="199"/>
      <c r="C556" s="199"/>
      <c r="D556" s="199"/>
      <c r="E556" s="199"/>
      <c r="F556" s="199"/>
      <c r="G556" s="199"/>
      <c r="H556" s="199"/>
      <c r="I556" s="199"/>
      <c r="J556" s="412" t="s">
        <v>4593</v>
      </c>
      <c r="K556" s="412" t="s">
        <v>140</v>
      </c>
      <c r="L556" s="204" t="s">
        <v>1176</v>
      </c>
      <c r="M556" s="351"/>
      <c r="N556" s="40" t="s">
        <v>504</v>
      </c>
      <c r="O556" s="40"/>
      <c r="P556" s="40"/>
      <c r="Q556" s="40" t="s">
        <v>6</v>
      </c>
      <c r="R556" s="40" t="s">
        <v>6</v>
      </c>
      <c r="S556" s="40" t="s">
        <v>6</v>
      </c>
      <c r="T556" s="40"/>
      <c r="U556" s="204"/>
      <c r="V556" s="204"/>
      <c r="W556" s="412" t="s">
        <v>137</v>
      </c>
      <c r="X556" s="199"/>
      <c r="Y556" s="199"/>
      <c r="Z556" s="199"/>
      <c r="AA556" s="126" t="s">
        <v>6</v>
      </c>
      <c r="AB556" s="198"/>
      <c r="AC556" s="199"/>
      <c r="AD556" s="199"/>
      <c r="AE556" s="412" t="s">
        <v>137</v>
      </c>
      <c r="AF556" s="199"/>
      <c r="AG556" s="199"/>
      <c r="AH556" s="199"/>
      <c r="AI556" s="126" t="s">
        <v>6</v>
      </c>
      <c r="AJ556" s="198"/>
      <c r="AK556" s="199"/>
      <c r="AL556" s="199"/>
      <c r="AM556" s="199"/>
      <c r="AN556" s="199"/>
      <c r="AO556" s="199"/>
      <c r="AP556" s="199"/>
      <c r="AQ556" s="199"/>
      <c r="AR556" s="199"/>
      <c r="AS556" s="199"/>
      <c r="AT556" s="199"/>
      <c r="AU556" s="199"/>
      <c r="AV556" s="199"/>
      <c r="AW556" s="155"/>
    </row>
    <row r="557" spans="1:49" s="236" customFormat="1" ht="15">
      <c r="A557" s="40">
        <f t="shared" si="33"/>
        <v>551</v>
      </c>
      <c r="B557" s="199"/>
      <c r="C557" s="199"/>
      <c r="D557" s="199"/>
      <c r="E557" s="199"/>
      <c r="F557" s="199"/>
      <c r="G557" s="199"/>
      <c r="H557" s="199"/>
      <c r="I557" s="199"/>
      <c r="J557" s="412" t="s">
        <v>4594</v>
      </c>
      <c r="K557" s="412" t="s">
        <v>140</v>
      </c>
      <c r="L557" s="204" t="s">
        <v>1178</v>
      </c>
      <c r="M557" s="351"/>
      <c r="N557" s="40" t="s">
        <v>504</v>
      </c>
      <c r="O557" s="40"/>
      <c r="P557" s="40"/>
      <c r="Q557" s="40" t="s">
        <v>6</v>
      </c>
      <c r="R557" s="40" t="s">
        <v>6</v>
      </c>
      <c r="S557" s="40" t="s">
        <v>6</v>
      </c>
      <c r="T557" s="40"/>
      <c r="U557" s="218" t="s">
        <v>4066</v>
      </c>
      <c r="V557" s="204"/>
      <c r="W557" s="412" t="s">
        <v>137</v>
      </c>
      <c r="X557" s="199"/>
      <c r="Y557" s="199"/>
      <c r="Z557" s="199"/>
      <c r="AA557" s="126" t="s">
        <v>6</v>
      </c>
      <c r="AB557" s="198"/>
      <c r="AC557" s="199"/>
      <c r="AD557" s="199"/>
      <c r="AE557" s="412" t="s">
        <v>137</v>
      </c>
      <c r="AF557" s="199"/>
      <c r="AG557" s="199"/>
      <c r="AH557" s="199"/>
      <c r="AI557" s="126" t="s">
        <v>6</v>
      </c>
      <c r="AJ557" s="198"/>
      <c r="AK557" s="199"/>
      <c r="AL557" s="199"/>
      <c r="AM557" s="199"/>
      <c r="AN557" s="199"/>
      <c r="AO557" s="199"/>
      <c r="AP557" s="199"/>
      <c r="AQ557" s="199"/>
      <c r="AR557" s="199"/>
      <c r="AS557" s="199"/>
      <c r="AT557" s="199"/>
      <c r="AU557" s="199"/>
      <c r="AV557" s="199"/>
      <c r="AW557" s="155"/>
    </row>
    <row r="558" spans="1:49" s="236" customFormat="1" ht="15">
      <c r="A558" s="40">
        <f t="shared" si="33"/>
        <v>552</v>
      </c>
      <c r="B558" s="199"/>
      <c r="C558" s="199"/>
      <c r="D558" s="199"/>
      <c r="E558" s="199"/>
      <c r="F558" s="199"/>
      <c r="G558" s="199"/>
      <c r="H558" s="199"/>
      <c r="I558" s="199"/>
      <c r="J558" s="412" t="s">
        <v>4595</v>
      </c>
      <c r="K558" s="412" t="s">
        <v>140</v>
      </c>
      <c r="L558" s="204" t="s">
        <v>1180</v>
      </c>
      <c r="M558" s="351"/>
      <c r="N558" s="40" t="s">
        <v>504</v>
      </c>
      <c r="O558" s="40"/>
      <c r="P558" s="40"/>
      <c r="Q558" s="40" t="s">
        <v>6</v>
      </c>
      <c r="R558" s="40" t="s">
        <v>6</v>
      </c>
      <c r="S558" s="40" t="s">
        <v>6</v>
      </c>
      <c r="T558" s="40"/>
      <c r="U558" s="218" t="s">
        <v>4066</v>
      </c>
      <c r="V558" s="204"/>
      <c r="W558" s="412" t="s">
        <v>137</v>
      </c>
      <c r="X558" s="199"/>
      <c r="Y558" s="199"/>
      <c r="Z558" s="199"/>
      <c r="AA558" s="126" t="s">
        <v>6</v>
      </c>
      <c r="AB558" s="198"/>
      <c r="AC558" s="199"/>
      <c r="AD558" s="199"/>
      <c r="AE558" s="412" t="s">
        <v>137</v>
      </c>
      <c r="AF558" s="199"/>
      <c r="AG558" s="199"/>
      <c r="AH558" s="199"/>
      <c r="AI558" s="126" t="s">
        <v>6</v>
      </c>
      <c r="AJ558" s="198"/>
      <c r="AK558" s="199"/>
      <c r="AL558" s="199"/>
      <c r="AM558" s="199"/>
      <c r="AN558" s="199"/>
      <c r="AO558" s="199"/>
      <c r="AP558" s="199"/>
      <c r="AQ558" s="199"/>
      <c r="AR558" s="199"/>
      <c r="AS558" s="199"/>
      <c r="AT558" s="199"/>
      <c r="AU558" s="199"/>
      <c r="AV558" s="199"/>
      <c r="AW558" s="155"/>
    </row>
    <row r="559" spans="1:49" s="236" customFormat="1" ht="15">
      <c r="A559" s="40">
        <f t="shared" si="33"/>
        <v>553</v>
      </c>
      <c r="B559" s="199"/>
      <c r="C559" s="199"/>
      <c r="D559" s="199"/>
      <c r="E559" s="199"/>
      <c r="F559" s="199"/>
      <c r="G559" s="199"/>
      <c r="H559" s="199"/>
      <c r="I559" s="199"/>
      <c r="J559" s="412" t="s">
        <v>4596</v>
      </c>
      <c r="K559" s="412" t="s">
        <v>140</v>
      </c>
      <c r="L559" s="204" t="s">
        <v>1182</v>
      </c>
      <c r="M559" s="351"/>
      <c r="N559" s="40" t="s">
        <v>504</v>
      </c>
      <c r="O559" s="40"/>
      <c r="P559" s="40"/>
      <c r="Q559" s="40" t="s">
        <v>6</v>
      </c>
      <c r="R559" s="40" t="s">
        <v>6</v>
      </c>
      <c r="S559" s="40" t="s">
        <v>6</v>
      </c>
      <c r="T559" s="40"/>
      <c r="U559" s="218" t="s">
        <v>4066</v>
      </c>
      <c r="V559" s="204"/>
      <c r="W559" s="412" t="s">
        <v>137</v>
      </c>
      <c r="X559" s="199"/>
      <c r="Y559" s="199"/>
      <c r="Z559" s="199"/>
      <c r="AA559" s="126" t="s">
        <v>6</v>
      </c>
      <c r="AB559" s="198"/>
      <c r="AC559" s="199"/>
      <c r="AD559" s="199"/>
      <c r="AE559" s="412" t="s">
        <v>137</v>
      </c>
      <c r="AF559" s="199"/>
      <c r="AG559" s="199"/>
      <c r="AH559" s="199"/>
      <c r="AI559" s="126" t="s">
        <v>6</v>
      </c>
      <c r="AJ559" s="198"/>
      <c r="AK559" s="199"/>
      <c r="AL559" s="199"/>
      <c r="AM559" s="199"/>
      <c r="AN559" s="199"/>
      <c r="AO559" s="199"/>
      <c r="AP559" s="199"/>
      <c r="AQ559" s="199"/>
      <c r="AR559" s="199"/>
      <c r="AS559" s="199"/>
      <c r="AT559" s="199"/>
      <c r="AU559" s="199"/>
      <c r="AV559" s="199"/>
      <c r="AW559" s="155"/>
    </row>
    <row r="560" spans="1:49" s="236" customFormat="1" ht="15">
      <c r="A560" s="40">
        <f t="shared" si="33"/>
        <v>554</v>
      </c>
      <c r="B560" s="199"/>
      <c r="C560" s="199"/>
      <c r="D560" s="199"/>
      <c r="E560" s="199"/>
      <c r="F560" s="199"/>
      <c r="G560" s="199"/>
      <c r="H560" s="199"/>
      <c r="I560" s="199" t="s">
        <v>868</v>
      </c>
      <c r="J560" s="412" t="s">
        <v>4597</v>
      </c>
      <c r="K560" s="232" t="s">
        <v>65</v>
      </c>
      <c r="L560" s="204" t="s">
        <v>4598</v>
      </c>
      <c r="M560" s="351"/>
      <c r="N560" s="40" t="s">
        <v>504</v>
      </c>
      <c r="O560" s="40"/>
      <c r="P560" s="40"/>
      <c r="Q560" s="40" t="s">
        <v>6</v>
      </c>
      <c r="R560" s="40" t="s">
        <v>6</v>
      </c>
      <c r="S560" s="40" t="s">
        <v>6</v>
      </c>
      <c r="T560" s="40"/>
      <c r="U560" s="204"/>
      <c r="V560" s="232"/>
      <c r="W560" s="412" t="s">
        <v>65</v>
      </c>
      <c r="X560" s="199"/>
      <c r="Y560" s="199"/>
      <c r="Z560" s="126" t="s">
        <v>6</v>
      </c>
      <c r="AA560" s="126" t="s">
        <v>6</v>
      </c>
      <c r="AB560" s="198"/>
      <c r="AC560" s="199"/>
      <c r="AD560" s="199"/>
      <c r="AE560" s="412" t="s">
        <v>65</v>
      </c>
      <c r="AF560" s="199"/>
      <c r="AG560" s="199"/>
      <c r="AH560" s="126" t="s">
        <v>6</v>
      </c>
      <c r="AI560" s="126" t="s">
        <v>6</v>
      </c>
      <c r="AJ560" s="198"/>
      <c r="AK560" s="199"/>
      <c r="AL560" s="199"/>
      <c r="AM560" s="199"/>
      <c r="AN560" s="199"/>
      <c r="AO560" s="199"/>
      <c r="AP560" s="199"/>
      <c r="AQ560" s="199"/>
      <c r="AR560" s="199"/>
      <c r="AS560" s="199"/>
      <c r="AT560" s="199"/>
      <c r="AU560" s="199"/>
      <c r="AV560" s="199"/>
      <c r="AW560" s="155"/>
    </row>
    <row r="561" spans="1:49" s="236" customFormat="1" ht="15">
      <c r="A561" s="40">
        <f t="shared" si="33"/>
        <v>555</v>
      </c>
      <c r="B561" s="199"/>
      <c r="C561" s="199"/>
      <c r="D561" s="199"/>
      <c r="E561" s="199"/>
      <c r="F561" s="199"/>
      <c r="G561" s="199"/>
      <c r="H561" s="199"/>
      <c r="I561" s="199"/>
      <c r="J561" s="412" t="s">
        <v>4599</v>
      </c>
      <c r="K561" s="232" t="s">
        <v>117</v>
      </c>
      <c r="L561" s="204" t="s">
        <v>4600</v>
      </c>
      <c r="M561" s="351"/>
      <c r="N561" s="40" t="s">
        <v>504</v>
      </c>
      <c r="O561" s="40"/>
      <c r="P561" s="40"/>
      <c r="Q561" s="40" t="s">
        <v>6</v>
      </c>
      <c r="R561" s="40" t="s">
        <v>6</v>
      </c>
      <c r="S561" s="40" t="s">
        <v>6</v>
      </c>
      <c r="T561" s="40"/>
      <c r="U561" s="204"/>
      <c r="V561" s="242"/>
      <c r="W561" s="204" t="s">
        <v>125</v>
      </c>
      <c r="X561" s="199"/>
      <c r="Y561" s="199"/>
      <c r="Z561" s="199"/>
      <c r="AA561" s="126" t="s">
        <v>6</v>
      </c>
      <c r="AB561" s="198"/>
      <c r="AC561" s="199"/>
      <c r="AD561" s="199"/>
      <c r="AE561" s="204" t="s">
        <v>125</v>
      </c>
      <c r="AF561" s="199"/>
      <c r="AG561" s="199"/>
      <c r="AH561" s="199"/>
      <c r="AI561" s="126" t="s">
        <v>6</v>
      </c>
      <c r="AJ561" s="198"/>
      <c r="AK561" s="199"/>
      <c r="AL561" s="199"/>
      <c r="AM561" s="199"/>
      <c r="AN561" s="199"/>
      <c r="AO561" s="199"/>
      <c r="AP561" s="199"/>
      <c r="AQ561" s="199"/>
      <c r="AR561" s="199"/>
      <c r="AS561" s="199"/>
      <c r="AT561" s="199"/>
      <c r="AU561" s="199"/>
      <c r="AV561" s="199"/>
      <c r="AW561" s="155"/>
    </row>
    <row r="562" spans="1:49" s="236" customFormat="1" ht="15">
      <c r="A562" s="40">
        <f t="shared" si="33"/>
        <v>556</v>
      </c>
      <c r="B562" s="199"/>
      <c r="C562" s="199"/>
      <c r="D562" s="199"/>
      <c r="E562" s="199"/>
      <c r="F562" s="199"/>
      <c r="G562" s="199"/>
      <c r="H562" s="199"/>
      <c r="I562" s="199"/>
      <c r="J562" s="412" t="s">
        <v>4601</v>
      </c>
      <c r="K562" s="232" t="s">
        <v>117</v>
      </c>
      <c r="L562" s="204" t="s">
        <v>4602</v>
      </c>
      <c r="M562" s="351"/>
      <c r="N562" s="40" t="s">
        <v>504</v>
      </c>
      <c r="O562" s="40"/>
      <c r="P562" s="40"/>
      <c r="Q562" s="40" t="s">
        <v>6</v>
      </c>
      <c r="R562" s="40" t="s">
        <v>6</v>
      </c>
      <c r="S562" s="40" t="s">
        <v>6</v>
      </c>
      <c r="T562" s="40"/>
      <c r="U562" s="204"/>
      <c r="V562" s="232"/>
      <c r="W562" s="204" t="s">
        <v>125</v>
      </c>
      <c r="X562" s="199"/>
      <c r="Y562" s="199"/>
      <c r="Z562" s="199"/>
      <c r="AA562" s="126" t="s">
        <v>6</v>
      </c>
      <c r="AB562" s="198"/>
      <c r="AC562" s="199"/>
      <c r="AD562" s="199"/>
      <c r="AE562" s="204" t="s">
        <v>125</v>
      </c>
      <c r="AF562" s="199"/>
      <c r="AG562" s="199"/>
      <c r="AH562" s="199"/>
      <c r="AI562" s="126" t="s">
        <v>6</v>
      </c>
      <c r="AJ562" s="198"/>
      <c r="AK562" s="199"/>
      <c r="AL562" s="199"/>
      <c r="AM562" s="199"/>
      <c r="AN562" s="199"/>
      <c r="AO562" s="199"/>
      <c r="AP562" s="199"/>
      <c r="AQ562" s="199"/>
      <c r="AR562" s="199"/>
      <c r="AS562" s="199"/>
      <c r="AT562" s="199"/>
      <c r="AU562" s="199"/>
      <c r="AV562" s="199"/>
      <c r="AW562" s="155"/>
    </row>
    <row r="563" spans="1:49" s="236" customFormat="1" ht="15">
      <c r="A563" s="40">
        <f t="shared" si="33"/>
        <v>557</v>
      </c>
      <c r="B563" s="199"/>
      <c r="C563" s="199"/>
      <c r="D563" s="199"/>
      <c r="E563" s="199"/>
      <c r="F563" s="199"/>
      <c r="G563" s="199"/>
      <c r="H563" s="199"/>
      <c r="I563" s="199"/>
      <c r="J563" s="412" t="s">
        <v>4603</v>
      </c>
      <c r="K563" s="232" t="s">
        <v>117</v>
      </c>
      <c r="L563" s="204" t="s">
        <v>4604</v>
      </c>
      <c r="M563" s="351"/>
      <c r="N563" s="40" t="s">
        <v>504</v>
      </c>
      <c r="O563" s="40"/>
      <c r="P563" s="40"/>
      <c r="Q563" s="40" t="s">
        <v>6</v>
      </c>
      <c r="R563" s="40" t="s">
        <v>6</v>
      </c>
      <c r="S563" s="40" t="s">
        <v>6</v>
      </c>
      <c r="T563" s="40"/>
      <c r="U563" s="215"/>
      <c r="V563" s="209"/>
      <c r="W563" s="204" t="s">
        <v>125</v>
      </c>
      <c r="X563" s="199"/>
      <c r="Y563" s="199"/>
      <c r="Z563" s="199"/>
      <c r="AA563" s="126" t="s">
        <v>6</v>
      </c>
      <c r="AB563" s="198"/>
      <c r="AC563" s="199"/>
      <c r="AD563" s="199" t="s">
        <v>915</v>
      </c>
      <c r="AE563" s="204" t="s">
        <v>125</v>
      </c>
      <c r="AF563" s="199"/>
      <c r="AG563" s="199"/>
      <c r="AH563" s="199"/>
      <c r="AI563" s="126" t="s">
        <v>6</v>
      </c>
      <c r="AJ563" s="198"/>
      <c r="AK563" s="199"/>
      <c r="AL563" s="199" t="s">
        <v>915</v>
      </c>
      <c r="AM563" s="198" t="s">
        <v>1217</v>
      </c>
      <c r="AN563" s="203" t="s">
        <v>908</v>
      </c>
      <c r="AO563" s="199"/>
      <c r="AP563" s="199"/>
      <c r="AQ563" s="199"/>
      <c r="AR563" s="199"/>
      <c r="AS563" s="199"/>
      <c r="AT563" s="199"/>
      <c r="AU563" s="199"/>
      <c r="AV563" s="199"/>
      <c r="AW563" s="155"/>
    </row>
    <row r="564" spans="1:49" s="236" customFormat="1" ht="15">
      <c r="A564" s="40">
        <f t="shared" si="33"/>
        <v>558</v>
      </c>
      <c r="B564" s="199"/>
      <c r="C564" s="199"/>
      <c r="D564" s="199"/>
      <c r="E564" s="199"/>
      <c r="F564" s="199"/>
      <c r="G564" s="199"/>
      <c r="H564" s="199"/>
      <c r="I564" s="199"/>
      <c r="J564" s="412" t="s">
        <v>4605</v>
      </c>
      <c r="K564" s="232" t="s">
        <v>117</v>
      </c>
      <c r="L564" s="204" t="s">
        <v>4606</v>
      </c>
      <c r="M564" s="351"/>
      <c r="N564" s="40" t="s">
        <v>504</v>
      </c>
      <c r="O564" s="40"/>
      <c r="P564" s="40"/>
      <c r="Q564" s="40" t="s">
        <v>6</v>
      </c>
      <c r="R564" s="40" t="s">
        <v>6</v>
      </c>
      <c r="S564" s="40" t="s">
        <v>6</v>
      </c>
      <c r="T564" s="40"/>
      <c r="U564" s="215" t="s">
        <v>4607</v>
      </c>
      <c r="V564" s="208"/>
      <c r="W564" s="204" t="s">
        <v>125</v>
      </c>
      <c r="X564" s="199"/>
      <c r="Y564" s="199"/>
      <c r="Z564" s="199"/>
      <c r="AA564" s="126" t="s">
        <v>6</v>
      </c>
      <c r="AB564" s="198"/>
      <c r="AC564" s="199"/>
      <c r="AD564" s="199"/>
      <c r="AE564" s="204" t="s">
        <v>125</v>
      </c>
      <c r="AF564" s="199"/>
      <c r="AG564" s="199"/>
      <c r="AH564" s="199"/>
      <c r="AI564" s="126" t="s">
        <v>6</v>
      </c>
      <c r="AJ564" s="198"/>
      <c r="AK564" s="199"/>
      <c r="AL564" s="199"/>
      <c r="AM564" s="199"/>
      <c r="AN564" s="199"/>
      <c r="AO564" s="199"/>
      <c r="AP564" s="199"/>
      <c r="AQ564" s="199"/>
      <c r="AR564" s="199"/>
      <c r="AS564" s="199"/>
      <c r="AT564" s="199"/>
      <c r="AU564" s="199"/>
      <c r="AV564" s="199"/>
      <c r="AW564" s="155"/>
    </row>
    <row r="565" spans="1:49" s="236" customFormat="1" ht="15">
      <c r="A565" s="40">
        <f t="shared" si="33"/>
        <v>559</v>
      </c>
      <c r="B565" s="199"/>
      <c r="C565" s="199"/>
      <c r="D565" s="199"/>
      <c r="E565" s="199"/>
      <c r="F565" s="199"/>
      <c r="G565" s="199"/>
      <c r="H565" s="199"/>
      <c r="I565" s="199"/>
      <c r="J565" s="412" t="s">
        <v>4608</v>
      </c>
      <c r="K565" s="232" t="s">
        <v>117</v>
      </c>
      <c r="L565" s="204" t="s">
        <v>1219</v>
      </c>
      <c r="M565" s="351"/>
      <c r="N565" s="40" t="s">
        <v>504</v>
      </c>
      <c r="O565" s="40"/>
      <c r="P565" s="40"/>
      <c r="Q565" s="40" t="s">
        <v>6</v>
      </c>
      <c r="R565" s="40" t="s">
        <v>6</v>
      </c>
      <c r="S565" s="40" t="s">
        <v>6</v>
      </c>
      <c r="T565" s="40"/>
      <c r="U565" s="215"/>
      <c r="V565" s="208"/>
      <c r="W565" s="204" t="s">
        <v>125</v>
      </c>
      <c r="X565" s="199"/>
      <c r="Y565" s="199"/>
      <c r="Z565" s="199"/>
      <c r="AA565" s="126" t="s">
        <v>6</v>
      </c>
      <c r="AB565" s="198"/>
      <c r="AC565" s="199"/>
      <c r="AD565" s="199"/>
      <c r="AE565" s="204" t="s">
        <v>125</v>
      </c>
      <c r="AF565" s="199"/>
      <c r="AG565" s="199"/>
      <c r="AH565" s="199"/>
      <c r="AI565" s="126" t="s">
        <v>6</v>
      </c>
      <c r="AJ565" s="198"/>
      <c r="AK565" s="199"/>
      <c r="AL565" s="199"/>
      <c r="AM565" s="199"/>
      <c r="AN565" s="199"/>
      <c r="AO565" s="199"/>
      <c r="AP565" s="199"/>
      <c r="AQ565" s="199"/>
      <c r="AR565" s="199"/>
      <c r="AS565" s="199"/>
      <c r="AT565" s="199"/>
      <c r="AU565" s="199"/>
      <c r="AV565" s="199"/>
      <c r="AW565" s="155"/>
    </row>
    <row r="566" spans="1:49" s="236" customFormat="1" ht="15">
      <c r="A566" s="40">
        <f t="shared" si="33"/>
        <v>560</v>
      </c>
      <c r="B566" s="199"/>
      <c r="C566" s="199"/>
      <c r="D566" s="199"/>
      <c r="E566" s="199"/>
      <c r="F566" s="199"/>
      <c r="G566" s="199"/>
      <c r="H566" s="199"/>
      <c r="I566" s="199"/>
      <c r="J566" s="412" t="s">
        <v>4609</v>
      </c>
      <c r="K566" s="232" t="s">
        <v>117</v>
      </c>
      <c r="L566" s="204" t="s">
        <v>1221</v>
      </c>
      <c r="M566" s="351"/>
      <c r="N566" s="40" t="s">
        <v>504</v>
      </c>
      <c r="O566" s="40"/>
      <c r="P566" s="40"/>
      <c r="Q566" s="40" t="s">
        <v>6</v>
      </c>
      <c r="R566" s="40" t="s">
        <v>6</v>
      </c>
      <c r="S566" s="40" t="s">
        <v>6</v>
      </c>
      <c r="T566" s="40"/>
      <c r="U566" s="215"/>
      <c r="V566" s="208"/>
      <c r="W566" s="204" t="s">
        <v>125</v>
      </c>
      <c r="X566" s="199"/>
      <c r="Y566" s="199"/>
      <c r="Z566" s="199"/>
      <c r="AA566" s="126" t="s">
        <v>6</v>
      </c>
      <c r="AB566" s="198"/>
      <c r="AC566" s="199"/>
      <c r="AD566" s="199"/>
      <c r="AE566" s="204" t="s">
        <v>125</v>
      </c>
      <c r="AF566" s="199"/>
      <c r="AG566" s="199"/>
      <c r="AH566" s="199"/>
      <c r="AI566" s="126" t="s">
        <v>6</v>
      </c>
      <c r="AJ566" s="198"/>
      <c r="AK566" s="199"/>
      <c r="AL566" s="199"/>
      <c r="AM566" s="199"/>
      <c r="AN566" s="199"/>
      <c r="AO566" s="199"/>
      <c r="AP566" s="199"/>
      <c r="AQ566" s="199"/>
      <c r="AR566" s="199"/>
      <c r="AS566" s="199"/>
      <c r="AT566" s="199"/>
      <c r="AU566" s="199"/>
      <c r="AV566" s="199"/>
      <c r="AW566" s="155"/>
    </row>
    <row r="567" spans="1:49" s="236" customFormat="1" ht="15">
      <c r="A567" s="40">
        <f t="shared" si="33"/>
        <v>561</v>
      </c>
      <c r="B567" s="199"/>
      <c r="C567" s="199"/>
      <c r="D567" s="199"/>
      <c r="E567" s="199"/>
      <c r="F567" s="199"/>
      <c r="G567" s="199"/>
      <c r="H567" s="199"/>
      <c r="I567" s="199"/>
      <c r="J567" s="412" t="s">
        <v>1224</v>
      </c>
      <c r="K567" s="232" t="s">
        <v>117</v>
      </c>
      <c r="L567" s="204" t="s">
        <v>1223</v>
      </c>
      <c r="M567" s="351"/>
      <c r="N567" s="40" t="s">
        <v>504</v>
      </c>
      <c r="O567" s="40"/>
      <c r="P567" s="40"/>
      <c r="Q567" s="40" t="s">
        <v>6</v>
      </c>
      <c r="R567" s="40" t="s">
        <v>6</v>
      </c>
      <c r="S567" s="40" t="s">
        <v>6</v>
      </c>
      <c r="T567" s="40"/>
      <c r="U567" s="215"/>
      <c r="V567" s="208"/>
      <c r="W567" s="204" t="s">
        <v>125</v>
      </c>
      <c r="X567" s="199"/>
      <c r="Y567" s="199"/>
      <c r="Z567" s="199"/>
      <c r="AA567" s="126" t="s">
        <v>6</v>
      </c>
      <c r="AB567" s="198"/>
      <c r="AC567" s="199"/>
      <c r="AD567" s="199"/>
      <c r="AE567" s="204" t="s">
        <v>125</v>
      </c>
      <c r="AF567" s="199"/>
      <c r="AG567" s="199"/>
      <c r="AH567" s="199"/>
      <c r="AI567" s="126" t="s">
        <v>6</v>
      </c>
      <c r="AJ567" s="198"/>
      <c r="AK567" s="199"/>
      <c r="AL567" s="199"/>
      <c r="AM567" s="199"/>
      <c r="AN567" s="199"/>
      <c r="AO567" s="199"/>
      <c r="AP567" s="199"/>
      <c r="AQ567" s="199"/>
      <c r="AR567" s="199"/>
      <c r="AS567" s="199"/>
      <c r="AT567" s="199"/>
      <c r="AU567" s="199"/>
      <c r="AV567" s="199"/>
      <c r="AW567" s="155"/>
    </row>
    <row r="568" spans="1:49" s="236" customFormat="1" ht="15">
      <c r="A568" s="40">
        <f t="shared" si="33"/>
        <v>562</v>
      </c>
      <c r="B568" s="199"/>
      <c r="C568" s="199"/>
      <c r="D568" s="199"/>
      <c r="E568" s="199"/>
      <c r="F568" s="199"/>
      <c r="G568" s="199"/>
      <c r="H568" s="199"/>
      <c r="I568" s="199"/>
      <c r="J568" s="412" t="s">
        <v>4610</v>
      </c>
      <c r="K568" s="232" t="s">
        <v>117</v>
      </c>
      <c r="L568" s="204" t="s">
        <v>1226</v>
      </c>
      <c r="M568" s="351"/>
      <c r="N568" s="40" t="s">
        <v>504</v>
      </c>
      <c r="O568" s="40"/>
      <c r="P568" s="40"/>
      <c r="Q568" s="40" t="s">
        <v>6</v>
      </c>
      <c r="R568" s="40" t="s">
        <v>6</v>
      </c>
      <c r="S568" s="40" t="s">
        <v>6</v>
      </c>
      <c r="T568" s="40"/>
      <c r="U568" s="218" t="s">
        <v>4066</v>
      </c>
      <c r="V568" s="208"/>
      <c r="W568" s="204" t="s">
        <v>125</v>
      </c>
      <c r="X568" s="199"/>
      <c r="Y568" s="199"/>
      <c r="Z568" s="199"/>
      <c r="AA568" s="126" t="s">
        <v>6</v>
      </c>
      <c r="AB568" s="198"/>
      <c r="AC568" s="199"/>
      <c r="AD568" s="199"/>
      <c r="AE568" s="204" t="s">
        <v>125</v>
      </c>
      <c r="AF568" s="199"/>
      <c r="AG568" s="199"/>
      <c r="AH568" s="199"/>
      <c r="AI568" s="126" t="s">
        <v>6</v>
      </c>
      <c r="AJ568" s="198"/>
      <c r="AK568" s="199"/>
      <c r="AL568" s="199"/>
      <c r="AM568" s="199"/>
      <c r="AN568" s="199"/>
      <c r="AO568" s="199"/>
      <c r="AP568" s="199"/>
      <c r="AQ568" s="199"/>
      <c r="AR568" s="199"/>
      <c r="AS568" s="199"/>
      <c r="AT568" s="199"/>
      <c r="AU568" s="199"/>
      <c r="AV568" s="199"/>
      <c r="AW568" s="155"/>
    </row>
    <row r="569" spans="1:49" s="236" customFormat="1" ht="15">
      <c r="A569" s="40">
        <f t="shared" si="33"/>
        <v>563</v>
      </c>
      <c r="B569" s="199"/>
      <c r="C569" s="199"/>
      <c r="D569" s="199"/>
      <c r="E569" s="199"/>
      <c r="F569" s="199"/>
      <c r="G569" s="199"/>
      <c r="H569" s="199"/>
      <c r="I569" s="199"/>
      <c r="J569" s="412" t="s">
        <v>4611</v>
      </c>
      <c r="K569" s="232" t="s">
        <v>117</v>
      </c>
      <c r="L569" s="204" t="s">
        <v>1228</v>
      </c>
      <c r="M569" s="351"/>
      <c r="N569" s="40" t="s">
        <v>504</v>
      </c>
      <c r="O569" s="40"/>
      <c r="P569" s="40"/>
      <c r="Q569" s="40" t="s">
        <v>6</v>
      </c>
      <c r="R569" s="40" t="s">
        <v>6</v>
      </c>
      <c r="S569" s="40" t="s">
        <v>6</v>
      </c>
      <c r="T569" s="40"/>
      <c r="U569" s="218" t="s">
        <v>4066</v>
      </c>
      <c r="V569" s="208"/>
      <c r="W569" s="204" t="s">
        <v>125</v>
      </c>
      <c r="X569" s="199"/>
      <c r="Y569" s="199"/>
      <c r="Z569" s="199"/>
      <c r="AA569" s="126" t="s">
        <v>6</v>
      </c>
      <c r="AB569" s="198"/>
      <c r="AC569" s="199"/>
      <c r="AD569" s="199"/>
      <c r="AE569" s="204" t="s">
        <v>125</v>
      </c>
      <c r="AF569" s="199"/>
      <c r="AG569" s="199"/>
      <c r="AH569" s="199"/>
      <c r="AI569" s="126" t="s">
        <v>6</v>
      </c>
      <c r="AJ569" s="198"/>
      <c r="AK569" s="199"/>
      <c r="AL569" s="199"/>
      <c r="AM569" s="199"/>
      <c r="AN569" s="199"/>
      <c r="AO569" s="199"/>
      <c r="AP569" s="199"/>
      <c r="AQ569" s="199"/>
      <c r="AR569" s="199"/>
      <c r="AS569" s="199"/>
      <c r="AT569" s="199"/>
      <c r="AU569" s="199"/>
      <c r="AV569" s="199"/>
      <c r="AW569" s="155"/>
    </row>
    <row r="570" spans="1:49" s="236" customFormat="1" ht="15">
      <c r="A570" s="40">
        <f t="shared" si="33"/>
        <v>564</v>
      </c>
      <c r="B570" s="199"/>
      <c r="C570" s="199"/>
      <c r="D570" s="199"/>
      <c r="E570" s="199"/>
      <c r="F570" s="199"/>
      <c r="G570" s="199"/>
      <c r="H570" s="199"/>
      <c r="I570" s="199"/>
      <c r="J570" s="412" t="s">
        <v>4612</v>
      </c>
      <c r="K570" s="232" t="s">
        <v>117</v>
      </c>
      <c r="L570" s="204" t="s">
        <v>1230</v>
      </c>
      <c r="M570" s="351"/>
      <c r="N570" s="40" t="s">
        <v>504</v>
      </c>
      <c r="O570" s="40"/>
      <c r="P570" s="40"/>
      <c r="Q570" s="40" t="s">
        <v>6</v>
      </c>
      <c r="R570" s="40" t="s">
        <v>6</v>
      </c>
      <c r="S570" s="40" t="s">
        <v>6</v>
      </c>
      <c r="T570" s="40"/>
      <c r="U570" s="218" t="s">
        <v>4066</v>
      </c>
      <c r="V570" s="208"/>
      <c r="W570" s="204" t="s">
        <v>125</v>
      </c>
      <c r="X570" s="199"/>
      <c r="Y570" s="199"/>
      <c r="Z570" s="199"/>
      <c r="AA570" s="126" t="s">
        <v>6</v>
      </c>
      <c r="AB570" s="198"/>
      <c r="AC570" s="199"/>
      <c r="AD570" s="199"/>
      <c r="AE570" s="204" t="s">
        <v>125</v>
      </c>
      <c r="AF570" s="199"/>
      <c r="AG570" s="199"/>
      <c r="AH570" s="199"/>
      <c r="AI570" s="126" t="s">
        <v>6</v>
      </c>
      <c r="AJ570" s="198"/>
      <c r="AK570" s="199"/>
      <c r="AL570" s="199"/>
      <c r="AM570" s="199"/>
      <c r="AN570" s="199"/>
      <c r="AO570" s="199"/>
      <c r="AP570" s="199"/>
      <c r="AQ570" s="199"/>
      <c r="AR570" s="199"/>
      <c r="AS570" s="199"/>
      <c r="AT570" s="199"/>
      <c r="AU570" s="199"/>
      <c r="AV570" s="199"/>
      <c r="AW570" s="155"/>
    </row>
    <row r="571" spans="1:49" s="236" customFormat="1" ht="15">
      <c r="A571" s="40">
        <f t="shared" si="33"/>
        <v>565</v>
      </c>
      <c r="B571" s="199"/>
      <c r="C571" s="199"/>
      <c r="D571" s="199"/>
      <c r="E571" s="199"/>
      <c r="F571" s="199"/>
      <c r="G571" s="199"/>
      <c r="H571" s="199"/>
      <c r="I571" s="199"/>
      <c r="J571" s="412" t="s">
        <v>4613</v>
      </c>
      <c r="K571" s="232" t="s">
        <v>117</v>
      </c>
      <c r="L571" s="204" t="s">
        <v>1232</v>
      </c>
      <c r="M571" s="351"/>
      <c r="N571" s="40" t="s">
        <v>504</v>
      </c>
      <c r="O571" s="40"/>
      <c r="P571" s="40"/>
      <c r="Q571" s="40" t="s">
        <v>6</v>
      </c>
      <c r="R571" s="40" t="s">
        <v>6</v>
      </c>
      <c r="S571" s="40" t="s">
        <v>6</v>
      </c>
      <c r="T571" s="40"/>
      <c r="U571" s="215"/>
      <c r="V571" s="208"/>
      <c r="W571" s="204" t="s">
        <v>125</v>
      </c>
      <c r="X571" s="199"/>
      <c r="Y571" s="199"/>
      <c r="Z571" s="199"/>
      <c r="AA571" s="126" t="s">
        <v>6</v>
      </c>
      <c r="AB571" s="198"/>
      <c r="AC571" s="199"/>
      <c r="AD571" s="199"/>
      <c r="AE571" s="204" t="s">
        <v>125</v>
      </c>
      <c r="AF571" s="199"/>
      <c r="AG571" s="199"/>
      <c r="AH571" s="199"/>
      <c r="AI571" s="126" t="s">
        <v>6</v>
      </c>
      <c r="AJ571" s="198"/>
      <c r="AK571" s="199"/>
      <c r="AL571" s="199"/>
      <c r="AM571" s="199"/>
      <c r="AN571" s="199"/>
      <c r="AO571" s="199"/>
      <c r="AP571" s="199"/>
      <c r="AQ571" s="199"/>
      <c r="AR571" s="199"/>
      <c r="AS571" s="199"/>
      <c r="AT571" s="199"/>
      <c r="AU571" s="199"/>
      <c r="AV571" s="199"/>
      <c r="AW571" s="155"/>
    </row>
    <row r="572" spans="1:49" s="236" customFormat="1" ht="15">
      <c r="A572" s="40">
        <f t="shared" si="33"/>
        <v>566</v>
      </c>
      <c r="B572" s="199"/>
      <c r="C572" s="199"/>
      <c r="D572" s="199"/>
      <c r="E572" s="199"/>
      <c r="F572" s="199"/>
      <c r="G572" s="199"/>
      <c r="H572" s="199"/>
      <c r="I572" s="199"/>
      <c r="J572" s="412" t="s">
        <v>4614</v>
      </c>
      <c r="K572" s="232" t="s">
        <v>117</v>
      </c>
      <c r="L572" s="204" t="s">
        <v>1234</v>
      </c>
      <c r="M572" s="351"/>
      <c r="N572" s="40" t="s">
        <v>504</v>
      </c>
      <c r="O572" s="40"/>
      <c r="P572" s="40"/>
      <c r="Q572" s="40" t="s">
        <v>6</v>
      </c>
      <c r="R572" s="40" t="s">
        <v>6</v>
      </c>
      <c r="S572" s="40" t="s">
        <v>6</v>
      </c>
      <c r="T572" s="40"/>
      <c r="U572" s="218" t="s">
        <v>4066</v>
      </c>
      <c r="V572" s="208"/>
      <c r="W572" s="204" t="s">
        <v>125</v>
      </c>
      <c r="X572" s="199"/>
      <c r="Y572" s="199"/>
      <c r="Z572" s="199"/>
      <c r="AA572" s="126" t="s">
        <v>6</v>
      </c>
      <c r="AB572" s="198"/>
      <c r="AC572" s="199"/>
      <c r="AD572" s="199"/>
      <c r="AE572" s="204" t="s">
        <v>125</v>
      </c>
      <c r="AF572" s="199"/>
      <c r="AG572" s="199"/>
      <c r="AH572" s="199"/>
      <c r="AI572" s="126" t="s">
        <v>6</v>
      </c>
      <c r="AJ572" s="198"/>
      <c r="AK572" s="199"/>
      <c r="AL572" s="199"/>
      <c r="AM572" s="199"/>
      <c r="AN572" s="199"/>
      <c r="AO572" s="199"/>
      <c r="AP572" s="199"/>
      <c r="AQ572" s="199"/>
      <c r="AR572" s="199"/>
      <c r="AS572" s="199"/>
      <c r="AT572" s="199"/>
      <c r="AU572" s="199"/>
      <c r="AV572" s="199"/>
      <c r="AW572" s="155"/>
    </row>
    <row r="573" spans="1:49" s="236" customFormat="1" ht="15">
      <c r="A573" s="40">
        <f t="shared" si="33"/>
        <v>567</v>
      </c>
      <c r="B573" s="199"/>
      <c r="C573" s="199"/>
      <c r="D573" s="199"/>
      <c r="E573" s="199"/>
      <c r="F573" s="199"/>
      <c r="G573" s="199"/>
      <c r="H573" s="199"/>
      <c r="I573" s="199"/>
      <c r="J573" s="412" t="s">
        <v>4615</v>
      </c>
      <c r="K573" s="232" t="s">
        <v>117</v>
      </c>
      <c r="L573" s="204" t="s">
        <v>1236</v>
      </c>
      <c r="M573" s="351"/>
      <c r="N573" s="40" t="s">
        <v>504</v>
      </c>
      <c r="O573" s="40"/>
      <c r="P573" s="40"/>
      <c r="Q573" s="40" t="s">
        <v>6</v>
      </c>
      <c r="R573" s="40" t="s">
        <v>6</v>
      </c>
      <c r="S573" s="40" t="s">
        <v>6</v>
      </c>
      <c r="T573" s="40"/>
      <c r="U573" s="218" t="s">
        <v>4066</v>
      </c>
      <c r="V573" s="208"/>
      <c r="W573" s="204" t="s">
        <v>125</v>
      </c>
      <c r="X573" s="199"/>
      <c r="Y573" s="199"/>
      <c r="Z573" s="199"/>
      <c r="AA573" s="126" t="s">
        <v>6</v>
      </c>
      <c r="AB573" s="198"/>
      <c r="AC573" s="199"/>
      <c r="AD573" s="199"/>
      <c r="AE573" s="204" t="s">
        <v>125</v>
      </c>
      <c r="AF573" s="199"/>
      <c r="AG573" s="199"/>
      <c r="AH573" s="199"/>
      <c r="AI573" s="126" t="s">
        <v>6</v>
      </c>
      <c r="AJ573" s="198"/>
      <c r="AK573" s="199"/>
      <c r="AL573" s="199"/>
      <c r="AM573" s="199"/>
      <c r="AN573" s="199"/>
      <c r="AO573" s="199"/>
      <c r="AP573" s="199"/>
      <c r="AQ573" s="199"/>
      <c r="AR573" s="199"/>
      <c r="AS573" s="199"/>
      <c r="AT573" s="199"/>
      <c r="AU573" s="199"/>
      <c r="AV573" s="199"/>
      <c r="AW573" s="155"/>
    </row>
    <row r="574" spans="1:49" s="236" customFormat="1" ht="15">
      <c r="A574" s="40">
        <f t="shared" si="33"/>
        <v>568</v>
      </c>
      <c r="B574" s="199"/>
      <c r="C574" s="199"/>
      <c r="D574" s="199"/>
      <c r="E574" s="199"/>
      <c r="F574" s="199"/>
      <c r="G574" s="199"/>
      <c r="H574" s="199"/>
      <c r="I574" s="199"/>
      <c r="J574" s="412" t="s">
        <v>4616</v>
      </c>
      <c r="K574" s="232" t="s">
        <v>117</v>
      </c>
      <c r="L574" s="204" t="s">
        <v>1238</v>
      </c>
      <c r="M574" s="351"/>
      <c r="N574" s="40" t="s">
        <v>504</v>
      </c>
      <c r="O574" s="40"/>
      <c r="P574" s="40"/>
      <c r="Q574" s="40" t="s">
        <v>6</v>
      </c>
      <c r="R574" s="40" t="s">
        <v>6</v>
      </c>
      <c r="S574" s="40" t="s">
        <v>6</v>
      </c>
      <c r="T574" s="40"/>
      <c r="U574" s="218" t="s">
        <v>4066</v>
      </c>
      <c r="V574" s="208"/>
      <c r="W574" s="204" t="s">
        <v>125</v>
      </c>
      <c r="X574" s="199"/>
      <c r="Y574" s="199"/>
      <c r="Z574" s="199"/>
      <c r="AA574" s="126" t="s">
        <v>6</v>
      </c>
      <c r="AB574" s="198"/>
      <c r="AC574" s="199"/>
      <c r="AD574" s="199"/>
      <c r="AE574" s="204" t="s">
        <v>125</v>
      </c>
      <c r="AF574" s="199"/>
      <c r="AG574" s="199"/>
      <c r="AH574" s="199"/>
      <c r="AI574" s="126" t="s">
        <v>6</v>
      </c>
      <c r="AJ574" s="198"/>
      <c r="AK574" s="199"/>
      <c r="AL574" s="199"/>
      <c r="AM574" s="199"/>
      <c r="AN574" s="199"/>
      <c r="AO574" s="199"/>
      <c r="AP574" s="199"/>
      <c r="AQ574" s="199"/>
      <c r="AR574" s="199"/>
      <c r="AS574" s="199"/>
      <c r="AT574" s="199"/>
      <c r="AU574" s="199"/>
      <c r="AV574" s="199"/>
      <c r="AW574" s="155"/>
    </row>
    <row r="575" spans="1:49" s="236" customFormat="1" ht="15">
      <c r="A575" s="40">
        <f t="shared" si="33"/>
        <v>569</v>
      </c>
      <c r="B575" s="199"/>
      <c r="C575" s="199"/>
      <c r="D575" s="199"/>
      <c r="E575" s="199"/>
      <c r="F575" s="199"/>
      <c r="G575" s="199"/>
      <c r="H575" s="199"/>
      <c r="I575" s="199"/>
      <c r="J575" s="412" t="s">
        <v>4617</v>
      </c>
      <c r="K575" s="232" t="s">
        <v>117</v>
      </c>
      <c r="L575" s="204" t="s">
        <v>1240</v>
      </c>
      <c r="M575" s="351"/>
      <c r="N575" s="40" t="s">
        <v>504</v>
      </c>
      <c r="O575" s="40"/>
      <c r="P575" s="40"/>
      <c r="Q575" s="40" t="s">
        <v>6</v>
      </c>
      <c r="R575" s="40" t="s">
        <v>6</v>
      </c>
      <c r="S575" s="40" t="s">
        <v>6</v>
      </c>
      <c r="T575" s="40"/>
      <c r="U575" s="215"/>
      <c r="V575" s="208"/>
      <c r="W575" s="204" t="s">
        <v>125</v>
      </c>
      <c r="X575" s="199"/>
      <c r="Y575" s="199"/>
      <c r="Z575" s="199"/>
      <c r="AA575" s="126" t="s">
        <v>6</v>
      </c>
      <c r="AB575" s="198"/>
      <c r="AC575" s="199"/>
      <c r="AD575" s="199"/>
      <c r="AE575" s="204" t="s">
        <v>125</v>
      </c>
      <c r="AF575" s="199"/>
      <c r="AG575" s="199"/>
      <c r="AH575" s="199"/>
      <c r="AI575" s="126" t="s">
        <v>6</v>
      </c>
      <c r="AJ575" s="198"/>
      <c r="AK575" s="199"/>
      <c r="AL575" s="199"/>
      <c r="AM575" s="199"/>
      <c r="AN575" s="199"/>
      <c r="AO575" s="199"/>
      <c r="AP575" s="199"/>
      <c r="AQ575" s="199"/>
      <c r="AR575" s="199"/>
      <c r="AS575" s="199"/>
      <c r="AT575" s="199"/>
      <c r="AU575" s="199"/>
      <c r="AV575" s="199"/>
      <c r="AW575" s="155"/>
    </row>
    <row r="576" spans="1:49" s="236" customFormat="1" ht="15">
      <c r="A576" s="40">
        <f t="shared" si="33"/>
        <v>570</v>
      </c>
      <c r="B576" s="199"/>
      <c r="C576" s="199"/>
      <c r="D576" s="199"/>
      <c r="E576" s="199"/>
      <c r="F576" s="199"/>
      <c r="G576" s="199"/>
      <c r="H576" s="199"/>
      <c r="I576" s="199"/>
      <c r="J576" s="412" t="s">
        <v>4618</v>
      </c>
      <c r="K576" s="232" t="s">
        <v>117</v>
      </c>
      <c r="L576" s="204" t="s">
        <v>1242</v>
      </c>
      <c r="M576" s="351"/>
      <c r="N576" s="40" t="s">
        <v>504</v>
      </c>
      <c r="O576" s="40"/>
      <c r="P576" s="40"/>
      <c r="Q576" s="40" t="s">
        <v>6</v>
      </c>
      <c r="R576" s="40" t="s">
        <v>6</v>
      </c>
      <c r="S576" s="40" t="s">
        <v>6</v>
      </c>
      <c r="T576" s="40"/>
      <c r="U576" s="218" t="s">
        <v>4066</v>
      </c>
      <c r="V576" s="208"/>
      <c r="W576" s="204" t="s">
        <v>125</v>
      </c>
      <c r="X576" s="199"/>
      <c r="Y576" s="199"/>
      <c r="Z576" s="199"/>
      <c r="AA576" s="126" t="s">
        <v>6</v>
      </c>
      <c r="AB576" s="198"/>
      <c r="AC576" s="199"/>
      <c r="AD576" s="199"/>
      <c r="AE576" s="204" t="s">
        <v>125</v>
      </c>
      <c r="AF576" s="199"/>
      <c r="AG576" s="199"/>
      <c r="AH576" s="199"/>
      <c r="AI576" s="126" t="s">
        <v>6</v>
      </c>
      <c r="AJ576" s="198"/>
      <c r="AK576" s="199"/>
      <c r="AL576" s="199"/>
      <c r="AM576" s="199"/>
      <c r="AN576" s="199"/>
      <c r="AO576" s="199"/>
      <c r="AP576" s="199"/>
      <c r="AQ576" s="199"/>
      <c r="AR576" s="199"/>
      <c r="AS576" s="199"/>
      <c r="AT576" s="199"/>
      <c r="AU576" s="199"/>
      <c r="AV576" s="199"/>
      <c r="AW576" s="155"/>
    </row>
    <row r="577" spans="1:49" s="236" customFormat="1" ht="15">
      <c r="A577" s="40">
        <f t="shared" si="33"/>
        <v>571</v>
      </c>
      <c r="B577" s="199"/>
      <c r="C577" s="199"/>
      <c r="D577" s="199"/>
      <c r="E577" s="199"/>
      <c r="F577" s="199"/>
      <c r="G577" s="199"/>
      <c r="H577" s="199"/>
      <c r="I577" s="199"/>
      <c r="J577" s="412" t="s">
        <v>4619</v>
      </c>
      <c r="K577" s="232" t="s">
        <v>117</v>
      </c>
      <c r="L577" s="204" t="s">
        <v>1244</v>
      </c>
      <c r="M577" s="351"/>
      <c r="N577" s="40" t="s">
        <v>504</v>
      </c>
      <c r="O577" s="40"/>
      <c r="P577" s="40"/>
      <c r="Q577" s="40" t="s">
        <v>6</v>
      </c>
      <c r="R577" s="40" t="s">
        <v>6</v>
      </c>
      <c r="S577" s="40" t="s">
        <v>6</v>
      </c>
      <c r="T577" s="40"/>
      <c r="U577" s="218" t="s">
        <v>4066</v>
      </c>
      <c r="V577" s="208"/>
      <c r="W577" s="204" t="s">
        <v>125</v>
      </c>
      <c r="X577" s="199"/>
      <c r="Y577" s="199"/>
      <c r="Z577" s="199"/>
      <c r="AA577" s="126" t="s">
        <v>6</v>
      </c>
      <c r="AB577" s="198"/>
      <c r="AC577" s="199"/>
      <c r="AD577" s="199"/>
      <c r="AE577" s="204" t="s">
        <v>125</v>
      </c>
      <c r="AF577" s="199"/>
      <c r="AG577" s="199"/>
      <c r="AH577" s="199"/>
      <c r="AI577" s="126" t="s">
        <v>6</v>
      </c>
      <c r="AJ577" s="198"/>
      <c r="AK577" s="199"/>
      <c r="AL577" s="199"/>
      <c r="AM577" s="199"/>
      <c r="AN577" s="199"/>
      <c r="AO577" s="199"/>
      <c r="AP577" s="199"/>
      <c r="AQ577" s="199"/>
      <c r="AR577" s="199"/>
      <c r="AS577" s="199"/>
      <c r="AT577" s="199"/>
      <c r="AU577" s="199"/>
      <c r="AV577" s="199"/>
      <c r="AW577" s="155"/>
    </row>
    <row r="578" spans="1:49" s="236" customFormat="1" ht="15">
      <c r="A578" s="40">
        <f t="shared" si="33"/>
        <v>572</v>
      </c>
      <c r="B578" s="199"/>
      <c r="C578" s="199"/>
      <c r="D578" s="199"/>
      <c r="E578" s="199"/>
      <c r="F578" s="199"/>
      <c r="G578" s="199"/>
      <c r="H578" s="199"/>
      <c r="I578" s="199"/>
      <c r="J578" s="412" t="s">
        <v>4620</v>
      </c>
      <c r="K578" s="232" t="s">
        <v>117</v>
      </c>
      <c r="L578" s="204" t="s">
        <v>1246</v>
      </c>
      <c r="M578" s="351"/>
      <c r="N578" s="40" t="s">
        <v>504</v>
      </c>
      <c r="O578" s="40"/>
      <c r="P578" s="40"/>
      <c r="Q578" s="40" t="s">
        <v>6</v>
      </c>
      <c r="R578" s="40" t="s">
        <v>6</v>
      </c>
      <c r="S578" s="40" t="s">
        <v>6</v>
      </c>
      <c r="T578" s="40"/>
      <c r="U578" s="218" t="s">
        <v>4066</v>
      </c>
      <c r="V578" s="208"/>
      <c r="W578" s="204" t="s">
        <v>125</v>
      </c>
      <c r="X578" s="199"/>
      <c r="Y578" s="199"/>
      <c r="Z578" s="199"/>
      <c r="AA578" s="126" t="s">
        <v>6</v>
      </c>
      <c r="AB578" s="198"/>
      <c r="AC578" s="199"/>
      <c r="AD578" s="199"/>
      <c r="AE578" s="204" t="s">
        <v>125</v>
      </c>
      <c r="AF578" s="199"/>
      <c r="AG578" s="199"/>
      <c r="AH578" s="199"/>
      <c r="AI578" s="126" t="s">
        <v>6</v>
      </c>
      <c r="AJ578" s="198"/>
      <c r="AK578" s="199"/>
      <c r="AL578" s="199"/>
      <c r="AM578" s="199"/>
      <c r="AN578" s="199"/>
      <c r="AO578" s="199"/>
      <c r="AP578" s="199"/>
      <c r="AQ578" s="199"/>
      <c r="AR578" s="199"/>
      <c r="AS578" s="199"/>
      <c r="AT578" s="199"/>
      <c r="AU578" s="199"/>
      <c r="AV578" s="199"/>
      <c r="AW578" s="155"/>
    </row>
    <row r="579" spans="1:49" s="236" customFormat="1" ht="15">
      <c r="A579" s="40">
        <f t="shared" si="33"/>
        <v>573</v>
      </c>
      <c r="B579" s="199"/>
      <c r="C579" s="199"/>
      <c r="D579" s="199"/>
      <c r="E579" s="199"/>
      <c r="F579" s="199"/>
      <c r="G579" s="199"/>
      <c r="H579" s="199"/>
      <c r="I579" s="199"/>
      <c r="J579" s="412" t="s">
        <v>4621</v>
      </c>
      <c r="K579" s="232" t="s">
        <v>117</v>
      </c>
      <c r="L579" s="204" t="s">
        <v>1248</v>
      </c>
      <c r="M579" s="351"/>
      <c r="N579" s="40" t="s">
        <v>504</v>
      </c>
      <c r="O579" s="40"/>
      <c r="P579" s="40"/>
      <c r="Q579" s="40" t="s">
        <v>6</v>
      </c>
      <c r="R579" s="40" t="s">
        <v>6</v>
      </c>
      <c r="S579" s="40" t="s">
        <v>6</v>
      </c>
      <c r="T579" s="40"/>
      <c r="U579" s="215"/>
      <c r="V579" s="208"/>
      <c r="W579" s="204" t="s">
        <v>125</v>
      </c>
      <c r="X579" s="199"/>
      <c r="Y579" s="199"/>
      <c r="Z579" s="199"/>
      <c r="AA579" s="126" t="s">
        <v>6</v>
      </c>
      <c r="AB579" s="198"/>
      <c r="AC579" s="199"/>
      <c r="AD579" s="199"/>
      <c r="AE579" s="204" t="s">
        <v>125</v>
      </c>
      <c r="AF579" s="199"/>
      <c r="AG579" s="199"/>
      <c r="AH579" s="199"/>
      <c r="AI579" s="126" t="s">
        <v>6</v>
      </c>
      <c r="AJ579" s="198"/>
      <c r="AK579" s="199"/>
      <c r="AL579" s="199"/>
      <c r="AM579" s="199"/>
      <c r="AN579" s="199"/>
      <c r="AO579" s="199"/>
      <c r="AP579" s="199"/>
      <c r="AQ579" s="199"/>
      <c r="AR579" s="199"/>
      <c r="AS579" s="199"/>
      <c r="AT579" s="199"/>
      <c r="AU579" s="199"/>
      <c r="AV579" s="199"/>
      <c r="AW579" s="155"/>
    </row>
    <row r="580" spans="1:49" s="236" customFormat="1" ht="15">
      <c r="A580" s="40">
        <f t="shared" si="33"/>
        <v>574</v>
      </c>
      <c r="B580" s="199"/>
      <c r="C580" s="199"/>
      <c r="D580" s="199"/>
      <c r="E580" s="199"/>
      <c r="F580" s="199"/>
      <c r="G580" s="199"/>
      <c r="H580" s="199"/>
      <c r="I580" s="199"/>
      <c r="J580" s="412" t="s">
        <v>4622</v>
      </c>
      <c r="K580" s="232" t="s">
        <v>117</v>
      </c>
      <c r="L580" s="204" t="s">
        <v>1250</v>
      </c>
      <c r="M580" s="351"/>
      <c r="N580" s="40" t="s">
        <v>504</v>
      </c>
      <c r="O580" s="40"/>
      <c r="P580" s="40"/>
      <c r="Q580" s="40" t="s">
        <v>6</v>
      </c>
      <c r="R580" s="40" t="s">
        <v>6</v>
      </c>
      <c r="S580" s="40" t="s">
        <v>6</v>
      </c>
      <c r="T580" s="40"/>
      <c r="U580" s="218" t="s">
        <v>4066</v>
      </c>
      <c r="V580" s="208"/>
      <c r="W580" s="204" t="s">
        <v>125</v>
      </c>
      <c r="X580" s="199"/>
      <c r="Y580" s="199"/>
      <c r="Z580" s="199"/>
      <c r="AA580" s="126" t="s">
        <v>6</v>
      </c>
      <c r="AB580" s="198"/>
      <c r="AC580" s="199"/>
      <c r="AD580" s="199"/>
      <c r="AE580" s="204" t="s">
        <v>125</v>
      </c>
      <c r="AF580" s="199"/>
      <c r="AG580" s="199"/>
      <c r="AH580" s="199"/>
      <c r="AI580" s="126" t="s">
        <v>6</v>
      </c>
      <c r="AJ580" s="198"/>
      <c r="AK580" s="199"/>
      <c r="AL580" s="199"/>
      <c r="AM580" s="199"/>
      <c r="AN580" s="199"/>
      <c r="AO580" s="199"/>
      <c r="AP580" s="199"/>
      <c r="AQ580" s="199"/>
      <c r="AR580" s="199"/>
      <c r="AS580" s="199"/>
      <c r="AT580" s="199"/>
      <c r="AU580" s="199"/>
      <c r="AV580" s="199"/>
      <c r="AW580" s="155"/>
    </row>
    <row r="581" spans="1:49" s="236" customFormat="1" ht="15">
      <c r="A581" s="40">
        <f t="shared" si="33"/>
        <v>575</v>
      </c>
      <c r="B581" s="199"/>
      <c r="C581" s="199"/>
      <c r="D581" s="199"/>
      <c r="E581" s="199"/>
      <c r="F581" s="199"/>
      <c r="G581" s="199"/>
      <c r="H581" s="199"/>
      <c r="I581" s="199"/>
      <c r="J581" s="412" t="s">
        <v>4623</v>
      </c>
      <c r="K581" s="232" t="s">
        <v>117</v>
      </c>
      <c r="L581" s="204" t="s">
        <v>1252</v>
      </c>
      <c r="M581" s="351"/>
      <c r="N581" s="40" t="s">
        <v>504</v>
      </c>
      <c r="O581" s="40"/>
      <c r="P581" s="40"/>
      <c r="Q581" s="40" t="s">
        <v>6</v>
      </c>
      <c r="R581" s="40" t="s">
        <v>6</v>
      </c>
      <c r="S581" s="40" t="s">
        <v>6</v>
      </c>
      <c r="T581" s="40"/>
      <c r="U581" s="218" t="s">
        <v>4066</v>
      </c>
      <c r="V581" s="208"/>
      <c r="W581" s="204" t="s">
        <v>125</v>
      </c>
      <c r="X581" s="199"/>
      <c r="Y581" s="199"/>
      <c r="Z581" s="199"/>
      <c r="AA581" s="126" t="s">
        <v>6</v>
      </c>
      <c r="AB581" s="198"/>
      <c r="AC581" s="199"/>
      <c r="AD581" s="199"/>
      <c r="AE581" s="204" t="s">
        <v>125</v>
      </c>
      <c r="AF581" s="199"/>
      <c r="AG581" s="199"/>
      <c r="AH581" s="199"/>
      <c r="AI581" s="126" t="s">
        <v>6</v>
      </c>
      <c r="AJ581" s="198"/>
      <c r="AK581" s="199"/>
      <c r="AL581" s="199"/>
      <c r="AM581" s="199"/>
      <c r="AN581" s="199"/>
      <c r="AO581" s="199"/>
      <c r="AP581" s="199"/>
      <c r="AQ581" s="199"/>
      <c r="AR581" s="199"/>
      <c r="AS581" s="199"/>
      <c r="AT581" s="199"/>
      <c r="AU581" s="199"/>
      <c r="AV581" s="199"/>
      <c r="AW581" s="155"/>
    </row>
    <row r="582" spans="1:49" s="236" customFormat="1" ht="15">
      <c r="A582" s="40">
        <f t="shared" si="33"/>
        <v>576</v>
      </c>
      <c r="B582" s="199"/>
      <c r="C582" s="199"/>
      <c r="D582" s="199"/>
      <c r="E582" s="199"/>
      <c r="F582" s="199"/>
      <c r="G582" s="199"/>
      <c r="H582" s="199"/>
      <c r="I582" s="199"/>
      <c r="J582" s="412" t="s">
        <v>4624</v>
      </c>
      <c r="K582" s="232" t="s">
        <v>117</v>
      </c>
      <c r="L582" s="204" t="s">
        <v>1254</v>
      </c>
      <c r="M582" s="351"/>
      <c r="N582" s="40" t="s">
        <v>504</v>
      </c>
      <c r="O582" s="40"/>
      <c r="P582" s="40"/>
      <c r="Q582" s="40" t="s">
        <v>6</v>
      </c>
      <c r="R582" s="40" t="s">
        <v>6</v>
      </c>
      <c r="S582" s="40" t="s">
        <v>6</v>
      </c>
      <c r="T582" s="40"/>
      <c r="U582" s="218" t="s">
        <v>4066</v>
      </c>
      <c r="V582" s="208"/>
      <c r="W582" s="204" t="s">
        <v>125</v>
      </c>
      <c r="X582" s="199"/>
      <c r="Y582" s="199"/>
      <c r="Z582" s="199"/>
      <c r="AA582" s="126" t="s">
        <v>6</v>
      </c>
      <c r="AB582" s="198"/>
      <c r="AC582" s="199"/>
      <c r="AD582" s="199"/>
      <c r="AE582" s="204" t="s">
        <v>125</v>
      </c>
      <c r="AF582" s="199"/>
      <c r="AG582" s="199"/>
      <c r="AH582" s="199"/>
      <c r="AI582" s="126" t="s">
        <v>6</v>
      </c>
      <c r="AJ582" s="198"/>
      <c r="AK582" s="199"/>
      <c r="AL582" s="199"/>
      <c r="AM582" s="199"/>
      <c r="AN582" s="199"/>
      <c r="AO582" s="199"/>
      <c r="AP582" s="199"/>
      <c r="AQ582" s="199"/>
      <c r="AR582" s="199"/>
      <c r="AS582" s="199"/>
      <c r="AT582" s="199"/>
      <c r="AU582" s="199"/>
      <c r="AV582" s="199"/>
      <c r="AW582" s="155"/>
    </row>
    <row r="583" spans="1:49" s="236" customFormat="1" ht="15">
      <c r="A583" s="40">
        <f t="shared" ref="A583:A646" si="34">ROW() - 6</f>
        <v>577</v>
      </c>
      <c r="B583" s="199"/>
      <c r="C583" s="199"/>
      <c r="D583" s="199"/>
      <c r="E583" s="199"/>
      <c r="F583" s="199"/>
      <c r="G583" s="199"/>
      <c r="H583" s="199"/>
      <c r="I583" s="199"/>
      <c r="J583" s="412" t="s">
        <v>4625</v>
      </c>
      <c r="K583" s="232" t="s">
        <v>117</v>
      </c>
      <c r="L583" s="204" t="s">
        <v>4626</v>
      </c>
      <c r="M583" s="351"/>
      <c r="N583" s="40" t="s">
        <v>504</v>
      </c>
      <c r="O583" s="40"/>
      <c r="P583" s="40"/>
      <c r="Q583" s="40" t="s">
        <v>6</v>
      </c>
      <c r="R583" s="40" t="s">
        <v>6</v>
      </c>
      <c r="S583" s="40" t="s">
        <v>6</v>
      </c>
      <c r="T583" s="40"/>
      <c r="U583" s="215"/>
      <c r="V583" s="208"/>
      <c r="W583" s="204" t="s">
        <v>125</v>
      </c>
      <c r="X583" s="199"/>
      <c r="Y583" s="199"/>
      <c r="Z583" s="199"/>
      <c r="AA583" s="126" t="s">
        <v>6</v>
      </c>
      <c r="AB583" s="198"/>
      <c r="AC583" s="199"/>
      <c r="AD583" s="199"/>
      <c r="AE583" s="204" t="s">
        <v>125</v>
      </c>
      <c r="AF583" s="199"/>
      <c r="AG583" s="199"/>
      <c r="AH583" s="199"/>
      <c r="AI583" s="126" t="s">
        <v>6</v>
      </c>
      <c r="AJ583" s="198"/>
      <c r="AK583" s="199"/>
      <c r="AL583" s="199"/>
      <c r="AM583" s="199"/>
      <c r="AN583" s="199"/>
      <c r="AO583" s="199"/>
      <c r="AP583" s="199"/>
      <c r="AQ583" s="199"/>
      <c r="AR583" s="199"/>
      <c r="AS583" s="199"/>
      <c r="AT583" s="199"/>
      <c r="AU583" s="199"/>
      <c r="AV583" s="199"/>
      <c r="AW583" s="155"/>
    </row>
    <row r="584" spans="1:49" s="236" customFormat="1" ht="15">
      <c r="A584" s="40">
        <f t="shared" si="34"/>
        <v>578</v>
      </c>
      <c r="B584" s="199"/>
      <c r="C584" s="199"/>
      <c r="D584" s="199"/>
      <c r="E584" s="199"/>
      <c r="F584" s="199"/>
      <c r="G584" s="199"/>
      <c r="H584" s="199"/>
      <c r="I584" s="199"/>
      <c r="J584" s="412" t="s">
        <v>4627</v>
      </c>
      <c r="K584" s="232" t="s">
        <v>117</v>
      </c>
      <c r="L584" s="204" t="s">
        <v>4626</v>
      </c>
      <c r="M584" s="351"/>
      <c r="N584" s="40" t="s">
        <v>504</v>
      </c>
      <c r="O584" s="40"/>
      <c r="P584" s="40"/>
      <c r="Q584" s="40" t="s">
        <v>6</v>
      </c>
      <c r="R584" s="40" t="s">
        <v>6</v>
      </c>
      <c r="S584" s="40" t="s">
        <v>6</v>
      </c>
      <c r="T584" s="40"/>
      <c r="U584" s="215"/>
      <c r="V584" s="208"/>
      <c r="W584" s="204" t="s">
        <v>125</v>
      </c>
      <c r="X584" s="199"/>
      <c r="Y584" s="199"/>
      <c r="Z584" s="199"/>
      <c r="AA584" s="126" t="s">
        <v>6</v>
      </c>
      <c r="AB584" s="198"/>
      <c r="AC584" s="199"/>
      <c r="AD584" s="199"/>
      <c r="AE584" s="204" t="s">
        <v>125</v>
      </c>
      <c r="AF584" s="199"/>
      <c r="AG584" s="199"/>
      <c r="AH584" s="199"/>
      <c r="AI584" s="126" t="s">
        <v>6</v>
      </c>
      <c r="AJ584" s="198"/>
      <c r="AK584" s="199"/>
      <c r="AL584" s="199"/>
      <c r="AM584" s="199"/>
      <c r="AN584" s="199"/>
      <c r="AO584" s="199"/>
      <c r="AP584" s="199"/>
      <c r="AQ584" s="199"/>
      <c r="AR584" s="199"/>
      <c r="AS584" s="199"/>
      <c r="AT584" s="199"/>
      <c r="AU584" s="199"/>
      <c r="AV584" s="199"/>
      <c r="AW584" s="155"/>
    </row>
    <row r="585" spans="1:49" s="236" customFormat="1" ht="15">
      <c r="A585" s="40">
        <f t="shared" si="34"/>
        <v>579</v>
      </c>
      <c r="B585" s="199"/>
      <c r="C585" s="199"/>
      <c r="D585" s="199"/>
      <c r="E585" s="199"/>
      <c r="F585" s="199"/>
      <c r="G585" s="199"/>
      <c r="H585" s="199"/>
      <c r="I585" s="199"/>
      <c r="J585" s="412" t="s">
        <v>4628</v>
      </c>
      <c r="K585" s="232" t="s">
        <v>117</v>
      </c>
      <c r="L585" s="204" t="s">
        <v>1256</v>
      </c>
      <c r="M585" s="351"/>
      <c r="N585" s="40" t="s">
        <v>504</v>
      </c>
      <c r="O585" s="40"/>
      <c r="P585" s="40"/>
      <c r="Q585" s="40" t="s">
        <v>6</v>
      </c>
      <c r="R585" s="40" t="s">
        <v>6</v>
      </c>
      <c r="S585" s="40" t="s">
        <v>6</v>
      </c>
      <c r="T585" s="40"/>
      <c r="U585" s="204"/>
      <c r="V585" s="232"/>
      <c r="W585" s="204" t="s">
        <v>125</v>
      </c>
      <c r="X585" s="199"/>
      <c r="Y585" s="199"/>
      <c r="Z585" s="199"/>
      <c r="AA585" s="126" t="s">
        <v>6</v>
      </c>
      <c r="AB585" s="198"/>
      <c r="AC585" s="199"/>
      <c r="AD585" s="199"/>
      <c r="AE585" s="204" t="s">
        <v>125</v>
      </c>
      <c r="AF585" s="199"/>
      <c r="AG585" s="199"/>
      <c r="AH585" s="199"/>
      <c r="AI585" s="126" t="s">
        <v>6</v>
      </c>
      <c r="AJ585" s="198"/>
      <c r="AK585" s="199"/>
      <c r="AL585" s="199"/>
      <c r="AM585" s="199"/>
      <c r="AN585" s="199"/>
      <c r="AO585" s="199"/>
      <c r="AP585" s="199"/>
      <c r="AQ585" s="199"/>
      <c r="AR585" s="199"/>
      <c r="AS585" s="199"/>
      <c r="AT585" s="199"/>
      <c r="AU585" s="199"/>
      <c r="AV585" s="199"/>
      <c r="AW585" s="155"/>
    </row>
    <row r="586" spans="1:49" s="236" customFormat="1" ht="15">
      <c r="A586" s="40">
        <f t="shared" si="34"/>
        <v>580</v>
      </c>
      <c r="B586" s="199"/>
      <c r="C586" s="199"/>
      <c r="D586" s="199"/>
      <c r="E586" s="199"/>
      <c r="F586" s="199"/>
      <c r="G586" s="199"/>
      <c r="H586" s="199"/>
      <c r="I586" s="199"/>
      <c r="J586" s="412" t="s">
        <v>4629</v>
      </c>
      <c r="K586" s="232" t="s">
        <v>117</v>
      </c>
      <c r="L586" s="204" t="s">
        <v>3502</v>
      </c>
      <c r="M586" s="351"/>
      <c r="N586" s="40" t="s">
        <v>504</v>
      </c>
      <c r="O586" s="40"/>
      <c r="P586" s="40"/>
      <c r="Q586" s="40" t="s">
        <v>6</v>
      </c>
      <c r="R586" s="40" t="s">
        <v>6</v>
      </c>
      <c r="S586" s="40" t="s">
        <v>6</v>
      </c>
      <c r="T586" s="40"/>
      <c r="U586" s="215"/>
      <c r="V586" s="209"/>
      <c r="W586" s="204" t="s">
        <v>125</v>
      </c>
      <c r="X586" s="199"/>
      <c r="Y586" s="199"/>
      <c r="Z586" s="199"/>
      <c r="AA586" s="126" t="s">
        <v>6</v>
      </c>
      <c r="AB586" s="198"/>
      <c r="AC586" s="199"/>
      <c r="AD586" s="199"/>
      <c r="AE586" s="204" t="s">
        <v>125</v>
      </c>
      <c r="AF586" s="199"/>
      <c r="AG586" s="199"/>
      <c r="AH586" s="199"/>
      <c r="AI586" s="126" t="s">
        <v>6</v>
      </c>
      <c r="AJ586" s="198"/>
      <c r="AK586" s="199"/>
      <c r="AL586" s="199"/>
      <c r="AM586" s="199"/>
      <c r="AN586" s="199"/>
      <c r="AO586" s="199"/>
      <c r="AP586" s="199"/>
      <c r="AQ586" s="199"/>
      <c r="AR586" s="199"/>
      <c r="AS586" s="199"/>
      <c r="AT586" s="199"/>
      <c r="AU586" s="199"/>
      <c r="AV586" s="199"/>
      <c r="AW586" s="155"/>
    </row>
    <row r="587" spans="1:49" s="236" customFormat="1" ht="15">
      <c r="A587" s="40">
        <f t="shared" si="34"/>
        <v>581</v>
      </c>
      <c r="B587" s="199"/>
      <c r="C587" s="199"/>
      <c r="D587" s="199"/>
      <c r="E587" s="199"/>
      <c r="F587" s="199"/>
      <c r="G587" s="199"/>
      <c r="H587" s="199"/>
      <c r="I587" s="199"/>
      <c r="J587" s="412" t="s">
        <v>4630</v>
      </c>
      <c r="K587" s="232" t="s">
        <v>117</v>
      </c>
      <c r="L587" s="204" t="s">
        <v>3502</v>
      </c>
      <c r="M587" s="351"/>
      <c r="N587" s="40" t="s">
        <v>504</v>
      </c>
      <c r="O587" s="40"/>
      <c r="P587" s="40"/>
      <c r="Q587" s="40" t="s">
        <v>6</v>
      </c>
      <c r="R587" s="40" t="s">
        <v>6</v>
      </c>
      <c r="S587" s="40" t="s">
        <v>6</v>
      </c>
      <c r="T587" s="40"/>
      <c r="U587" s="215"/>
      <c r="V587" s="209"/>
      <c r="W587" s="204" t="s">
        <v>125</v>
      </c>
      <c r="X587" s="199"/>
      <c r="Y587" s="199"/>
      <c r="Z587" s="199"/>
      <c r="AA587" s="126" t="s">
        <v>6</v>
      </c>
      <c r="AB587" s="198"/>
      <c r="AC587" s="199"/>
      <c r="AD587" s="199"/>
      <c r="AE587" s="204" t="s">
        <v>125</v>
      </c>
      <c r="AF587" s="199"/>
      <c r="AG587" s="199"/>
      <c r="AH587" s="199"/>
      <c r="AI587" s="126" t="s">
        <v>6</v>
      </c>
      <c r="AJ587" s="198"/>
      <c r="AK587" s="199"/>
      <c r="AL587" s="199"/>
      <c r="AM587" s="199"/>
      <c r="AN587" s="199"/>
      <c r="AO587" s="199"/>
      <c r="AP587" s="199"/>
      <c r="AQ587" s="199"/>
      <c r="AR587" s="199"/>
      <c r="AS587" s="199"/>
      <c r="AT587" s="199"/>
      <c r="AU587" s="199"/>
      <c r="AV587" s="199"/>
      <c r="AW587" s="155"/>
    </row>
    <row r="588" spans="1:49" s="246" customFormat="1" ht="15">
      <c r="A588" s="40">
        <f t="shared" si="34"/>
        <v>582</v>
      </c>
      <c r="B588" s="198"/>
      <c r="C588" s="198"/>
      <c r="D588" s="198"/>
      <c r="E588" s="198"/>
      <c r="F588" s="198"/>
      <c r="G588" s="198"/>
      <c r="H588" s="198"/>
      <c r="I588" s="198"/>
      <c r="J588" s="412" t="s">
        <v>4631</v>
      </c>
      <c r="K588" s="232" t="s">
        <v>117</v>
      </c>
      <c r="L588" s="204" t="s">
        <v>4632</v>
      </c>
      <c r="M588" s="351"/>
      <c r="N588" s="40" t="s">
        <v>504</v>
      </c>
      <c r="O588" s="40"/>
      <c r="P588" s="40"/>
      <c r="Q588" s="40" t="s">
        <v>6</v>
      </c>
      <c r="R588" s="40" t="s">
        <v>6</v>
      </c>
      <c r="S588" s="40" t="s">
        <v>6</v>
      </c>
      <c r="T588" s="40"/>
      <c r="U588" s="204" t="s">
        <v>4633</v>
      </c>
      <c r="V588" s="232"/>
      <c r="W588" s="204" t="s">
        <v>125</v>
      </c>
      <c r="X588" s="198"/>
      <c r="Y588" s="198"/>
      <c r="Z588" s="198"/>
      <c r="AA588" s="40" t="s">
        <v>6</v>
      </c>
      <c r="AB588" s="198"/>
      <c r="AC588" s="198"/>
      <c r="AD588" s="198"/>
      <c r="AE588" s="204" t="s">
        <v>125</v>
      </c>
      <c r="AF588" s="198"/>
      <c r="AG588" s="198"/>
      <c r="AH588" s="198"/>
      <c r="AI588" s="40" t="s">
        <v>6</v>
      </c>
      <c r="AJ588" s="198"/>
      <c r="AK588" s="198"/>
      <c r="AL588" s="198"/>
      <c r="AM588" s="198"/>
      <c r="AN588" s="198"/>
      <c r="AO588" s="198"/>
      <c r="AP588" s="198"/>
      <c r="AQ588" s="198"/>
      <c r="AR588" s="198"/>
      <c r="AS588" s="198"/>
      <c r="AT588" s="198"/>
      <c r="AU588" s="198"/>
      <c r="AV588" s="198"/>
      <c r="AW588" s="155"/>
    </row>
    <row r="589" spans="1:49" s="236" customFormat="1" ht="15">
      <c r="A589" s="40">
        <f t="shared" si="34"/>
        <v>583</v>
      </c>
      <c r="B589" s="199"/>
      <c r="C589" s="199"/>
      <c r="D589" s="199"/>
      <c r="E589" s="199"/>
      <c r="F589" s="199"/>
      <c r="G589" s="199"/>
      <c r="H589" s="199"/>
      <c r="I589" s="199"/>
      <c r="J589" s="412" t="s">
        <v>4634</v>
      </c>
      <c r="K589" s="412" t="s">
        <v>117</v>
      </c>
      <c r="L589" s="204" t="s">
        <v>1259</v>
      </c>
      <c r="M589" s="351"/>
      <c r="N589" s="40" t="s">
        <v>504</v>
      </c>
      <c r="O589" s="40"/>
      <c r="P589" s="40"/>
      <c r="Q589" s="416" t="s">
        <v>6</v>
      </c>
      <c r="R589" s="416" t="s">
        <v>6</v>
      </c>
      <c r="S589" s="416" t="s">
        <v>6</v>
      </c>
      <c r="T589" s="416"/>
      <c r="U589" s="202"/>
      <c r="V589" s="40"/>
      <c r="W589" s="412" t="s">
        <v>133</v>
      </c>
      <c r="X589" s="40"/>
      <c r="Y589" s="40"/>
      <c r="Z589" s="416" t="s">
        <v>6</v>
      </c>
      <c r="AA589" s="416" t="s">
        <v>6</v>
      </c>
      <c r="AB589" s="198"/>
      <c r="AC589" s="199"/>
      <c r="AD589" s="199"/>
      <c r="AE589" s="412" t="s">
        <v>133</v>
      </c>
      <c r="AF589" s="40"/>
      <c r="AG589" s="40"/>
      <c r="AH589" s="416" t="s">
        <v>6</v>
      </c>
      <c r="AI589" s="416" t="s">
        <v>6</v>
      </c>
      <c r="AJ589" s="198"/>
      <c r="AK589" s="199"/>
      <c r="AL589" s="199"/>
      <c r="AM589" s="199"/>
      <c r="AN589" s="199"/>
      <c r="AO589" s="199"/>
      <c r="AP589" s="199"/>
      <c r="AQ589" s="199"/>
      <c r="AR589" s="199"/>
      <c r="AS589" s="199"/>
      <c r="AT589" s="199"/>
      <c r="AU589" s="199"/>
      <c r="AV589" s="199"/>
      <c r="AW589" s="155"/>
    </row>
    <row r="590" spans="1:49" s="236" customFormat="1" ht="15">
      <c r="A590" s="40">
        <f t="shared" si="34"/>
        <v>584</v>
      </c>
      <c r="B590" s="199"/>
      <c r="C590" s="199"/>
      <c r="D590" s="199"/>
      <c r="E590" s="199"/>
      <c r="F590" s="199"/>
      <c r="G590" s="199"/>
      <c r="H590" s="199"/>
      <c r="I590" s="199"/>
      <c r="J590" s="412" t="s">
        <v>4635</v>
      </c>
      <c r="K590" s="412" t="s">
        <v>117</v>
      </c>
      <c r="L590" s="204" t="s">
        <v>4636</v>
      </c>
      <c r="M590" s="351"/>
      <c r="N590" s="40" t="s">
        <v>504</v>
      </c>
      <c r="O590" s="40"/>
      <c r="P590" s="40"/>
      <c r="Q590" s="416" t="s">
        <v>6</v>
      </c>
      <c r="R590" s="416" t="s">
        <v>6</v>
      </c>
      <c r="S590" s="416" t="s">
        <v>6</v>
      </c>
      <c r="T590" s="40"/>
      <c r="U590" s="202"/>
      <c r="V590" s="40"/>
      <c r="W590" s="412" t="s">
        <v>133</v>
      </c>
      <c r="X590" s="40"/>
      <c r="Y590" s="40"/>
      <c r="Z590" s="416" t="s">
        <v>6</v>
      </c>
      <c r="AA590" s="416" t="s">
        <v>6</v>
      </c>
      <c r="AB590" s="198"/>
      <c r="AC590" s="199"/>
      <c r="AD590" s="199"/>
      <c r="AE590" s="412" t="s">
        <v>133</v>
      </c>
      <c r="AF590" s="40"/>
      <c r="AG590" s="40"/>
      <c r="AH590" s="416" t="s">
        <v>6</v>
      </c>
      <c r="AI590" s="416" t="s">
        <v>6</v>
      </c>
      <c r="AJ590" s="198"/>
      <c r="AK590" s="199"/>
      <c r="AL590" s="199"/>
      <c r="AM590" s="199"/>
      <c r="AN590" s="199"/>
      <c r="AO590" s="199"/>
      <c r="AP590" s="199"/>
      <c r="AQ590" s="199"/>
      <c r="AR590" s="199"/>
      <c r="AS590" s="199"/>
      <c r="AT590" s="199"/>
      <c r="AU590" s="199"/>
      <c r="AV590" s="199"/>
      <c r="AW590" s="155"/>
    </row>
    <row r="591" spans="1:49" s="236" customFormat="1" ht="15">
      <c r="A591" s="40">
        <f t="shared" si="34"/>
        <v>585</v>
      </c>
      <c r="B591" s="199"/>
      <c r="C591" s="199"/>
      <c r="D591" s="199"/>
      <c r="E591" s="199"/>
      <c r="F591" s="199"/>
      <c r="G591" s="199"/>
      <c r="H591" s="199"/>
      <c r="I591" s="199"/>
      <c r="J591" s="412" t="s">
        <v>4637</v>
      </c>
      <c r="K591" s="412" t="s">
        <v>117</v>
      </c>
      <c r="L591" s="204" t="s">
        <v>4636</v>
      </c>
      <c r="M591" s="351"/>
      <c r="N591" s="40" t="s">
        <v>504</v>
      </c>
      <c r="O591" s="40"/>
      <c r="P591" s="40"/>
      <c r="Q591" s="416" t="s">
        <v>6</v>
      </c>
      <c r="R591" s="416" t="s">
        <v>6</v>
      </c>
      <c r="S591" s="416" t="s">
        <v>6</v>
      </c>
      <c r="T591" s="416"/>
      <c r="U591" s="202"/>
      <c r="V591" s="40"/>
      <c r="W591" s="412" t="s">
        <v>133</v>
      </c>
      <c r="X591" s="40"/>
      <c r="Y591" s="40"/>
      <c r="Z591" s="416" t="s">
        <v>6</v>
      </c>
      <c r="AA591" s="416" t="s">
        <v>6</v>
      </c>
      <c r="AB591" s="198"/>
      <c r="AC591" s="199"/>
      <c r="AD591" s="199"/>
      <c r="AE591" s="412" t="s">
        <v>133</v>
      </c>
      <c r="AF591" s="40"/>
      <c r="AG591" s="40"/>
      <c r="AH591" s="416" t="s">
        <v>6</v>
      </c>
      <c r="AI591" s="416" t="s">
        <v>6</v>
      </c>
      <c r="AJ591" s="198"/>
      <c r="AK591" s="199"/>
      <c r="AL591" s="199"/>
      <c r="AM591" s="199"/>
      <c r="AN591" s="199"/>
      <c r="AO591" s="199"/>
      <c r="AP591" s="199"/>
      <c r="AQ591" s="199"/>
      <c r="AR591" s="199"/>
      <c r="AS591" s="199"/>
      <c r="AT591" s="199"/>
      <c r="AU591" s="199"/>
      <c r="AV591" s="199"/>
      <c r="AW591" s="155"/>
    </row>
    <row r="592" spans="1:49" s="236" customFormat="1" ht="15">
      <c r="A592" s="40">
        <f t="shared" si="34"/>
        <v>586</v>
      </c>
      <c r="B592" s="199"/>
      <c r="C592" s="199"/>
      <c r="D592" s="199"/>
      <c r="E592" s="199"/>
      <c r="F592" s="199"/>
      <c r="G592" s="199"/>
      <c r="H592" s="199"/>
      <c r="I592" s="199"/>
      <c r="J592" s="412" t="s">
        <v>4638</v>
      </c>
      <c r="K592" s="412" t="s">
        <v>117</v>
      </c>
      <c r="L592" s="204" t="s">
        <v>4639</v>
      </c>
      <c r="M592" s="351"/>
      <c r="N592" s="40" t="s">
        <v>504</v>
      </c>
      <c r="O592" s="40"/>
      <c r="P592" s="40"/>
      <c r="Q592" s="416" t="s">
        <v>6</v>
      </c>
      <c r="R592" s="416" t="s">
        <v>6</v>
      </c>
      <c r="S592" s="416" t="s">
        <v>6</v>
      </c>
      <c r="T592" s="416"/>
      <c r="U592" s="202"/>
      <c r="V592" s="40"/>
      <c r="W592" s="412" t="s">
        <v>133</v>
      </c>
      <c r="X592" s="40"/>
      <c r="Y592" s="40"/>
      <c r="Z592" s="416"/>
      <c r="AA592" s="416" t="s">
        <v>6</v>
      </c>
      <c r="AB592" s="198"/>
      <c r="AC592" s="199"/>
      <c r="AD592" s="199"/>
      <c r="AE592" s="412" t="s">
        <v>133</v>
      </c>
      <c r="AF592" s="40"/>
      <c r="AG592" s="40"/>
      <c r="AH592" s="416"/>
      <c r="AI592" s="416" t="s">
        <v>6</v>
      </c>
      <c r="AJ592" s="198"/>
      <c r="AK592" s="199"/>
      <c r="AL592" s="199"/>
      <c r="AM592" s="199"/>
      <c r="AN592" s="199"/>
      <c r="AO592" s="199"/>
      <c r="AP592" s="199"/>
      <c r="AQ592" s="199"/>
      <c r="AR592" s="199"/>
      <c r="AS592" s="199"/>
      <c r="AT592" s="199"/>
      <c r="AU592" s="199"/>
      <c r="AV592" s="199"/>
      <c r="AW592" s="155"/>
    </row>
    <row r="593" spans="1:49" s="236" customFormat="1" ht="15">
      <c r="A593" s="40">
        <f t="shared" si="34"/>
        <v>587</v>
      </c>
      <c r="B593" s="199"/>
      <c r="C593" s="199"/>
      <c r="D593" s="199"/>
      <c r="E593" s="199"/>
      <c r="F593" s="199"/>
      <c r="G593" s="199"/>
      <c r="H593" s="199"/>
      <c r="I593" s="199"/>
      <c r="J593" s="412" t="s">
        <v>4640</v>
      </c>
      <c r="K593" s="412" t="s">
        <v>117</v>
      </c>
      <c r="L593" s="204" t="s">
        <v>4641</v>
      </c>
      <c r="M593" s="351"/>
      <c r="N593" s="40" t="s">
        <v>504</v>
      </c>
      <c r="O593" s="40"/>
      <c r="P593" s="40"/>
      <c r="Q593" s="416" t="s">
        <v>6</v>
      </c>
      <c r="R593" s="416" t="s">
        <v>6</v>
      </c>
      <c r="S593" s="416" t="s">
        <v>6</v>
      </c>
      <c r="T593" s="416"/>
      <c r="U593" s="218" t="s">
        <v>4066</v>
      </c>
      <c r="V593" s="40"/>
      <c r="W593" s="412" t="s">
        <v>133</v>
      </c>
      <c r="X593" s="40"/>
      <c r="Y593" s="40"/>
      <c r="Z593" s="416"/>
      <c r="AA593" s="416" t="s">
        <v>6</v>
      </c>
      <c r="AB593" s="198"/>
      <c r="AC593" s="199"/>
      <c r="AD593" s="199"/>
      <c r="AE593" s="412" t="s">
        <v>133</v>
      </c>
      <c r="AF593" s="40"/>
      <c r="AG593" s="40"/>
      <c r="AH593" s="416"/>
      <c r="AI593" s="416" t="s">
        <v>6</v>
      </c>
      <c r="AJ593" s="198"/>
      <c r="AK593" s="199"/>
      <c r="AL593" s="199"/>
      <c r="AM593" s="199"/>
      <c r="AN593" s="199"/>
      <c r="AO593" s="199"/>
      <c r="AP593" s="199"/>
      <c r="AQ593" s="199"/>
      <c r="AR593" s="199"/>
      <c r="AS593" s="199"/>
      <c r="AT593" s="199"/>
      <c r="AU593" s="199"/>
      <c r="AV593" s="199"/>
      <c r="AW593" s="155"/>
    </row>
    <row r="594" spans="1:49" s="236" customFormat="1" ht="15">
      <c r="A594" s="40">
        <f t="shared" si="34"/>
        <v>588</v>
      </c>
      <c r="B594" s="199"/>
      <c r="C594" s="199"/>
      <c r="D594" s="199"/>
      <c r="E594" s="199"/>
      <c r="F594" s="199"/>
      <c r="G594" s="199"/>
      <c r="H594" s="199"/>
      <c r="I594" s="199"/>
      <c r="J594" s="412" t="s">
        <v>4642</v>
      </c>
      <c r="K594" s="412" t="s">
        <v>117</v>
      </c>
      <c r="L594" s="204" t="s">
        <v>4643</v>
      </c>
      <c r="M594" s="351"/>
      <c r="N594" s="40" t="s">
        <v>504</v>
      </c>
      <c r="O594" s="40"/>
      <c r="P594" s="40"/>
      <c r="Q594" s="416" t="s">
        <v>6</v>
      </c>
      <c r="R594" s="416" t="s">
        <v>6</v>
      </c>
      <c r="S594" s="416" t="s">
        <v>6</v>
      </c>
      <c r="T594" s="416"/>
      <c r="U594" s="218" t="s">
        <v>4066</v>
      </c>
      <c r="V594" s="40"/>
      <c r="W594" s="412" t="s">
        <v>133</v>
      </c>
      <c r="X594" s="40"/>
      <c r="Y594" s="40"/>
      <c r="Z594" s="416"/>
      <c r="AA594" s="416" t="s">
        <v>6</v>
      </c>
      <c r="AB594" s="198"/>
      <c r="AC594" s="199"/>
      <c r="AD594" s="199"/>
      <c r="AE594" s="412" t="s">
        <v>133</v>
      </c>
      <c r="AF594" s="40"/>
      <c r="AG594" s="40"/>
      <c r="AH594" s="416"/>
      <c r="AI594" s="416" t="s">
        <v>6</v>
      </c>
      <c r="AJ594" s="198"/>
      <c r="AK594" s="199"/>
      <c r="AL594" s="199"/>
      <c r="AM594" s="199"/>
      <c r="AN594" s="199"/>
      <c r="AO594" s="199"/>
      <c r="AP594" s="199"/>
      <c r="AQ594" s="199"/>
      <c r="AR594" s="199"/>
      <c r="AS594" s="199"/>
      <c r="AT594" s="199"/>
      <c r="AU594" s="199"/>
      <c r="AV594" s="199"/>
      <c r="AW594" s="155"/>
    </row>
    <row r="595" spans="1:49" s="236" customFormat="1" ht="15">
      <c r="A595" s="40">
        <f t="shared" si="34"/>
        <v>589</v>
      </c>
      <c r="B595" s="199"/>
      <c r="C595" s="199"/>
      <c r="D595" s="199"/>
      <c r="E595" s="199"/>
      <c r="F595" s="199"/>
      <c r="G595" s="199"/>
      <c r="H595" s="199"/>
      <c r="I595" s="199"/>
      <c r="J595" s="412" t="s">
        <v>4644</v>
      </c>
      <c r="K595" s="412" t="s">
        <v>117</v>
      </c>
      <c r="L595" s="204" t="s">
        <v>4645</v>
      </c>
      <c r="M595" s="351"/>
      <c r="N595" s="40" t="s">
        <v>504</v>
      </c>
      <c r="O595" s="40"/>
      <c r="P595" s="40"/>
      <c r="Q595" s="416" t="s">
        <v>6</v>
      </c>
      <c r="R595" s="416" t="s">
        <v>6</v>
      </c>
      <c r="S595" s="416" t="s">
        <v>6</v>
      </c>
      <c r="T595" s="416"/>
      <c r="U595" s="218" t="s">
        <v>4066</v>
      </c>
      <c r="V595" s="40"/>
      <c r="W595" s="412" t="s">
        <v>133</v>
      </c>
      <c r="X595" s="40"/>
      <c r="Y595" s="40"/>
      <c r="Z595" s="416"/>
      <c r="AA595" s="416" t="s">
        <v>6</v>
      </c>
      <c r="AB595" s="198"/>
      <c r="AC595" s="199"/>
      <c r="AD595" s="199"/>
      <c r="AE595" s="412" t="s">
        <v>133</v>
      </c>
      <c r="AF595" s="40"/>
      <c r="AG595" s="40"/>
      <c r="AH595" s="416"/>
      <c r="AI595" s="416" t="s">
        <v>6</v>
      </c>
      <c r="AJ595" s="198"/>
      <c r="AK595" s="199"/>
      <c r="AL595" s="199"/>
      <c r="AM595" s="199"/>
      <c r="AN595" s="199"/>
      <c r="AO595" s="199"/>
      <c r="AP595" s="199"/>
      <c r="AQ595" s="199"/>
      <c r="AR595" s="199"/>
      <c r="AS595" s="199"/>
      <c r="AT595" s="199"/>
      <c r="AU595" s="199"/>
      <c r="AV595" s="199"/>
      <c r="AW595" s="155"/>
    </row>
    <row r="596" spans="1:49" s="236" customFormat="1" ht="15">
      <c r="A596" s="40">
        <f t="shared" si="34"/>
        <v>590</v>
      </c>
      <c r="B596" s="199"/>
      <c r="C596" s="199"/>
      <c r="D596" s="199"/>
      <c r="E596" s="199"/>
      <c r="F596" s="199"/>
      <c r="G596" s="199"/>
      <c r="H596" s="199"/>
      <c r="I596" s="199"/>
      <c r="J596" s="412" t="s">
        <v>4646</v>
      </c>
      <c r="K596" s="412" t="s">
        <v>117</v>
      </c>
      <c r="L596" s="204" t="s">
        <v>4647</v>
      </c>
      <c r="M596" s="351"/>
      <c r="N596" s="40" t="s">
        <v>504</v>
      </c>
      <c r="O596" s="40"/>
      <c r="P596" s="40"/>
      <c r="Q596" s="416" t="s">
        <v>6</v>
      </c>
      <c r="R596" s="416" t="s">
        <v>6</v>
      </c>
      <c r="S596" s="416" t="s">
        <v>6</v>
      </c>
      <c r="T596" s="416"/>
      <c r="U596" s="202"/>
      <c r="V596" s="40"/>
      <c r="W596" s="412" t="s">
        <v>133</v>
      </c>
      <c r="X596" s="40"/>
      <c r="Y596" s="40"/>
      <c r="Z596" s="416"/>
      <c r="AA596" s="416" t="s">
        <v>6</v>
      </c>
      <c r="AB596" s="198"/>
      <c r="AC596" s="199"/>
      <c r="AD596" s="199"/>
      <c r="AE596" s="412" t="s">
        <v>133</v>
      </c>
      <c r="AF596" s="40"/>
      <c r="AG596" s="40"/>
      <c r="AH596" s="416"/>
      <c r="AI596" s="416" t="s">
        <v>6</v>
      </c>
      <c r="AJ596" s="198"/>
      <c r="AK596" s="199"/>
      <c r="AL596" s="199"/>
      <c r="AM596" s="199"/>
      <c r="AN596" s="199"/>
      <c r="AO596" s="199"/>
      <c r="AP596" s="199"/>
      <c r="AQ596" s="199"/>
      <c r="AR596" s="199"/>
      <c r="AS596" s="199"/>
      <c r="AT596" s="199"/>
      <c r="AU596" s="199"/>
      <c r="AV596" s="199"/>
      <c r="AW596" s="155"/>
    </row>
    <row r="597" spans="1:49" s="236" customFormat="1" ht="15">
      <c r="A597" s="40">
        <f t="shared" si="34"/>
        <v>591</v>
      </c>
      <c r="B597" s="199"/>
      <c r="C597" s="199"/>
      <c r="D597" s="199"/>
      <c r="E597" s="199"/>
      <c r="F597" s="199"/>
      <c r="G597" s="199"/>
      <c r="H597" s="199"/>
      <c r="I597" s="199"/>
      <c r="J597" s="412" t="s">
        <v>4648</v>
      </c>
      <c r="K597" s="412" t="s">
        <v>117</v>
      </c>
      <c r="L597" s="204" t="s">
        <v>4649</v>
      </c>
      <c r="M597" s="351"/>
      <c r="N597" s="40" t="s">
        <v>504</v>
      </c>
      <c r="O597" s="40"/>
      <c r="P597" s="40"/>
      <c r="Q597" s="416" t="s">
        <v>6</v>
      </c>
      <c r="R597" s="416" t="s">
        <v>6</v>
      </c>
      <c r="S597" s="416" t="s">
        <v>6</v>
      </c>
      <c r="T597" s="416"/>
      <c r="U597" s="218" t="s">
        <v>4066</v>
      </c>
      <c r="V597" s="40"/>
      <c r="W597" s="412" t="s">
        <v>133</v>
      </c>
      <c r="X597" s="40"/>
      <c r="Y597" s="40"/>
      <c r="Z597" s="416"/>
      <c r="AA597" s="416" t="s">
        <v>6</v>
      </c>
      <c r="AB597" s="198"/>
      <c r="AC597" s="199"/>
      <c r="AD597" s="199"/>
      <c r="AE597" s="412" t="s">
        <v>133</v>
      </c>
      <c r="AF597" s="40"/>
      <c r="AG597" s="40"/>
      <c r="AH597" s="416"/>
      <c r="AI597" s="416" t="s">
        <v>6</v>
      </c>
      <c r="AJ597" s="198"/>
      <c r="AK597" s="199"/>
      <c r="AL597" s="199"/>
      <c r="AM597" s="199"/>
      <c r="AN597" s="199"/>
      <c r="AO597" s="199"/>
      <c r="AP597" s="199"/>
      <c r="AQ597" s="199"/>
      <c r="AR597" s="199"/>
      <c r="AS597" s="199"/>
      <c r="AT597" s="199"/>
      <c r="AU597" s="199"/>
      <c r="AV597" s="199"/>
      <c r="AW597" s="155"/>
    </row>
    <row r="598" spans="1:49" s="236" customFormat="1" ht="15">
      <c r="A598" s="40">
        <f t="shared" si="34"/>
        <v>592</v>
      </c>
      <c r="B598" s="199"/>
      <c r="C598" s="199"/>
      <c r="D598" s="199"/>
      <c r="E598" s="199"/>
      <c r="F598" s="199"/>
      <c r="G598" s="199"/>
      <c r="H598" s="199"/>
      <c r="I598" s="199"/>
      <c r="J598" s="412" t="s">
        <v>4650</v>
      </c>
      <c r="K598" s="412" t="s">
        <v>117</v>
      </c>
      <c r="L598" s="204" t="s">
        <v>4651</v>
      </c>
      <c r="M598" s="351"/>
      <c r="N598" s="40" t="s">
        <v>504</v>
      </c>
      <c r="O598" s="40"/>
      <c r="P598" s="40"/>
      <c r="Q598" s="416" t="s">
        <v>6</v>
      </c>
      <c r="R598" s="416" t="s">
        <v>6</v>
      </c>
      <c r="S598" s="416" t="s">
        <v>6</v>
      </c>
      <c r="T598" s="416"/>
      <c r="U598" s="218" t="s">
        <v>4066</v>
      </c>
      <c r="V598" s="40"/>
      <c r="W598" s="412" t="s">
        <v>133</v>
      </c>
      <c r="X598" s="40"/>
      <c r="Y598" s="40"/>
      <c r="Z598" s="416"/>
      <c r="AA598" s="416" t="s">
        <v>6</v>
      </c>
      <c r="AB598" s="198"/>
      <c r="AC598" s="199"/>
      <c r="AD598" s="199"/>
      <c r="AE598" s="412" t="s">
        <v>133</v>
      </c>
      <c r="AF598" s="40"/>
      <c r="AG598" s="40"/>
      <c r="AH598" s="416"/>
      <c r="AI598" s="416" t="s">
        <v>6</v>
      </c>
      <c r="AJ598" s="198"/>
      <c r="AK598" s="199"/>
      <c r="AL598" s="199"/>
      <c r="AM598" s="199"/>
      <c r="AN598" s="199"/>
      <c r="AO598" s="199"/>
      <c r="AP598" s="199"/>
      <c r="AQ598" s="199"/>
      <c r="AR598" s="199"/>
      <c r="AS598" s="199"/>
      <c r="AT598" s="199"/>
      <c r="AU598" s="199"/>
      <c r="AV598" s="199"/>
      <c r="AW598" s="155"/>
    </row>
    <row r="599" spans="1:49" s="236" customFormat="1" ht="15">
      <c r="A599" s="40">
        <f t="shared" si="34"/>
        <v>593</v>
      </c>
      <c r="B599" s="199"/>
      <c r="C599" s="199"/>
      <c r="D599" s="199"/>
      <c r="E599" s="199"/>
      <c r="F599" s="199"/>
      <c r="G599" s="199"/>
      <c r="H599" s="199"/>
      <c r="I599" s="199"/>
      <c r="J599" s="412" t="s">
        <v>4652</v>
      </c>
      <c r="K599" s="412" t="s">
        <v>117</v>
      </c>
      <c r="L599" s="204" t="s">
        <v>4653</v>
      </c>
      <c r="M599" s="351"/>
      <c r="N599" s="40" t="s">
        <v>504</v>
      </c>
      <c r="O599" s="40"/>
      <c r="P599" s="40"/>
      <c r="Q599" s="416" t="s">
        <v>6</v>
      </c>
      <c r="R599" s="416" t="s">
        <v>6</v>
      </c>
      <c r="S599" s="416" t="s">
        <v>6</v>
      </c>
      <c r="T599" s="416"/>
      <c r="U599" s="218" t="s">
        <v>4066</v>
      </c>
      <c r="V599" s="40"/>
      <c r="W599" s="412" t="s">
        <v>133</v>
      </c>
      <c r="X599" s="40"/>
      <c r="Y599" s="40"/>
      <c r="Z599" s="416"/>
      <c r="AA599" s="416" t="s">
        <v>6</v>
      </c>
      <c r="AB599" s="198"/>
      <c r="AC599" s="199"/>
      <c r="AD599" s="199"/>
      <c r="AE599" s="412" t="s">
        <v>133</v>
      </c>
      <c r="AF599" s="40"/>
      <c r="AG599" s="40"/>
      <c r="AH599" s="416"/>
      <c r="AI599" s="416" t="s">
        <v>6</v>
      </c>
      <c r="AJ599" s="198"/>
      <c r="AK599" s="199"/>
      <c r="AL599" s="199"/>
      <c r="AM599" s="199"/>
      <c r="AN599" s="199"/>
      <c r="AO599" s="199"/>
      <c r="AP599" s="199"/>
      <c r="AQ599" s="199"/>
      <c r="AR599" s="199"/>
      <c r="AS599" s="199"/>
      <c r="AT599" s="199"/>
      <c r="AU599" s="199"/>
      <c r="AV599" s="199"/>
      <c r="AW599" s="155"/>
    </row>
    <row r="600" spans="1:49" s="236" customFormat="1" ht="15">
      <c r="A600" s="40">
        <f t="shared" si="34"/>
        <v>594</v>
      </c>
      <c r="B600" s="199"/>
      <c r="C600" s="199"/>
      <c r="D600" s="199"/>
      <c r="E600" s="199"/>
      <c r="F600" s="199"/>
      <c r="G600" s="199"/>
      <c r="H600" s="199"/>
      <c r="I600" s="199"/>
      <c r="J600" s="412" t="s">
        <v>4654</v>
      </c>
      <c r="K600" s="232" t="s">
        <v>117</v>
      </c>
      <c r="L600" s="204" t="s">
        <v>1269</v>
      </c>
      <c r="M600" s="351"/>
      <c r="N600" s="40" t="s">
        <v>504</v>
      </c>
      <c r="O600" s="40"/>
      <c r="P600" s="40"/>
      <c r="Q600" s="40" t="s">
        <v>6</v>
      </c>
      <c r="R600" s="40" t="s">
        <v>6</v>
      </c>
      <c r="S600" s="40" t="s">
        <v>6</v>
      </c>
      <c r="T600" s="40"/>
      <c r="U600" s="204"/>
      <c r="V600" s="204"/>
      <c r="W600" s="204" t="s">
        <v>125</v>
      </c>
      <c r="X600" s="199"/>
      <c r="Y600" s="199"/>
      <c r="Z600" s="199"/>
      <c r="AA600" s="126" t="s">
        <v>6</v>
      </c>
      <c r="AB600" s="198"/>
      <c r="AC600" s="199"/>
      <c r="AD600" s="199"/>
      <c r="AE600" s="204" t="s">
        <v>125</v>
      </c>
      <c r="AF600" s="199"/>
      <c r="AG600" s="199"/>
      <c r="AH600" s="199"/>
      <c r="AI600" s="126" t="s">
        <v>6</v>
      </c>
      <c r="AJ600" s="198"/>
      <c r="AK600" s="199"/>
      <c r="AL600" s="199"/>
      <c r="AM600" s="199"/>
      <c r="AN600" s="199"/>
      <c r="AO600" s="199"/>
      <c r="AP600" s="199"/>
      <c r="AQ600" s="199"/>
      <c r="AR600" s="199"/>
      <c r="AS600" s="199"/>
      <c r="AT600" s="199"/>
      <c r="AU600" s="199"/>
      <c r="AV600" s="199"/>
      <c r="AW600" s="155"/>
    </row>
    <row r="601" spans="1:49" s="236" customFormat="1" ht="15">
      <c r="A601" s="40">
        <f t="shared" si="34"/>
        <v>595</v>
      </c>
      <c r="B601" s="199"/>
      <c r="C601" s="199"/>
      <c r="D601" s="199"/>
      <c r="E601" s="199"/>
      <c r="F601" s="199"/>
      <c r="G601" s="199"/>
      <c r="H601" s="199"/>
      <c r="I601" s="199"/>
      <c r="J601" s="412" t="s">
        <v>4655</v>
      </c>
      <c r="K601" s="232" t="s">
        <v>117</v>
      </c>
      <c r="L601" s="204" t="s">
        <v>4656</v>
      </c>
      <c r="M601" s="351"/>
      <c r="N601" s="40" t="s">
        <v>504</v>
      </c>
      <c r="O601" s="40"/>
      <c r="P601" s="40"/>
      <c r="Q601" s="40"/>
      <c r="R601" s="40" t="s">
        <v>6</v>
      </c>
      <c r="S601" s="40" t="s">
        <v>6</v>
      </c>
      <c r="T601" s="40"/>
      <c r="U601" s="218" t="s">
        <v>4657</v>
      </c>
      <c r="V601" s="246"/>
      <c r="W601" s="232" t="s">
        <v>133</v>
      </c>
      <c r="X601" s="199"/>
      <c r="Y601" s="199"/>
      <c r="Z601" s="126" t="s">
        <v>6</v>
      </c>
      <c r="AA601" s="126"/>
      <c r="AB601" s="215"/>
      <c r="AC601" s="199"/>
      <c r="AD601" s="199"/>
      <c r="AE601" s="232" t="s">
        <v>133</v>
      </c>
      <c r="AF601" s="199"/>
      <c r="AG601" s="199"/>
      <c r="AH601" s="126" t="s">
        <v>6</v>
      </c>
      <c r="AI601" s="126"/>
      <c r="AJ601" s="215"/>
      <c r="AK601" s="199"/>
      <c r="AL601" s="199"/>
      <c r="AM601" s="199"/>
      <c r="AN601" s="199"/>
      <c r="AO601" s="199"/>
      <c r="AP601" s="199"/>
      <c r="AQ601" s="199"/>
      <c r="AR601" s="199"/>
      <c r="AS601" s="199"/>
      <c r="AT601" s="199"/>
      <c r="AU601" s="199"/>
      <c r="AV601" s="199"/>
      <c r="AW601" s="155"/>
    </row>
    <row r="602" spans="1:49" s="236" customFormat="1" ht="15">
      <c r="A602" s="40">
        <f t="shared" si="34"/>
        <v>596</v>
      </c>
      <c r="B602" s="199"/>
      <c r="C602" s="199"/>
      <c r="D602" s="199"/>
      <c r="E602" s="199"/>
      <c r="F602" s="199"/>
      <c r="G602" s="199"/>
      <c r="H602" s="199"/>
      <c r="I602" s="199"/>
      <c r="J602" s="412" t="s">
        <v>1270</v>
      </c>
      <c r="K602" s="412" t="s">
        <v>128</v>
      </c>
      <c r="L602" s="204" t="s">
        <v>1271</v>
      </c>
      <c r="M602" s="351"/>
      <c r="N602" s="40" t="s">
        <v>504</v>
      </c>
      <c r="O602" s="40"/>
      <c r="P602" s="40"/>
      <c r="Q602" s="40" t="s">
        <v>6</v>
      </c>
      <c r="R602" s="40" t="s">
        <v>6</v>
      </c>
      <c r="S602" s="40" t="s">
        <v>6</v>
      </c>
      <c r="T602" s="40"/>
      <c r="U602" s="215"/>
      <c r="V602" s="208"/>
      <c r="W602" s="412" t="s">
        <v>128</v>
      </c>
      <c r="X602" s="199"/>
      <c r="Y602" s="199"/>
      <c r="Z602" s="126" t="s">
        <v>6</v>
      </c>
      <c r="AA602" s="126" t="s">
        <v>6</v>
      </c>
      <c r="AB602" s="198"/>
      <c r="AC602" s="199"/>
      <c r="AD602" s="199"/>
      <c r="AE602" s="412" t="s">
        <v>128</v>
      </c>
      <c r="AF602" s="199"/>
      <c r="AG602" s="199"/>
      <c r="AH602" s="126" t="s">
        <v>6</v>
      </c>
      <c r="AI602" s="126" t="s">
        <v>6</v>
      </c>
      <c r="AJ602" s="198"/>
      <c r="AK602" s="199"/>
      <c r="AL602" s="199"/>
      <c r="AM602" s="199"/>
      <c r="AN602" s="199"/>
      <c r="AO602" s="199"/>
      <c r="AP602" s="199"/>
      <c r="AQ602" s="199"/>
      <c r="AR602" s="199"/>
      <c r="AS602" s="199"/>
      <c r="AT602" s="199"/>
      <c r="AU602" s="199"/>
      <c r="AV602" s="199"/>
      <c r="AW602" s="155"/>
    </row>
    <row r="603" spans="1:49" s="236" customFormat="1" ht="15">
      <c r="A603" s="40">
        <f t="shared" si="34"/>
        <v>597</v>
      </c>
      <c r="B603" s="199"/>
      <c r="C603" s="199"/>
      <c r="D603" s="199"/>
      <c r="E603" s="199"/>
      <c r="F603" s="199"/>
      <c r="G603" s="199"/>
      <c r="H603" s="199"/>
      <c r="I603" s="199"/>
      <c r="J603" s="412" t="s">
        <v>1272</v>
      </c>
      <c r="K603" s="412" t="s">
        <v>128</v>
      </c>
      <c r="L603" s="204" t="s">
        <v>1273</v>
      </c>
      <c r="M603" s="351"/>
      <c r="N603" s="40" t="s">
        <v>504</v>
      </c>
      <c r="O603" s="40"/>
      <c r="P603" s="40"/>
      <c r="Q603" s="40" t="s">
        <v>6</v>
      </c>
      <c r="R603" s="40" t="s">
        <v>6</v>
      </c>
      <c r="S603" s="40" t="s">
        <v>6</v>
      </c>
      <c r="T603" s="40"/>
      <c r="U603" s="215"/>
      <c r="V603" s="208"/>
      <c r="W603" s="412" t="s">
        <v>128</v>
      </c>
      <c r="X603" s="199"/>
      <c r="Y603" s="199"/>
      <c r="Z603" s="126" t="s">
        <v>6</v>
      </c>
      <c r="AA603" s="126" t="s">
        <v>6</v>
      </c>
      <c r="AB603" s="198"/>
      <c r="AC603" s="199"/>
      <c r="AD603" s="199"/>
      <c r="AE603" s="412" t="s">
        <v>128</v>
      </c>
      <c r="AF603" s="199"/>
      <c r="AG603" s="199"/>
      <c r="AH603" s="126" t="s">
        <v>6</v>
      </c>
      <c r="AI603" s="126" t="s">
        <v>6</v>
      </c>
      <c r="AJ603" s="198"/>
      <c r="AK603" s="199"/>
      <c r="AL603" s="199"/>
      <c r="AM603" s="199"/>
      <c r="AN603" s="199"/>
      <c r="AO603" s="199"/>
      <c r="AP603" s="199"/>
      <c r="AQ603" s="199"/>
      <c r="AR603" s="199"/>
      <c r="AS603" s="199"/>
      <c r="AT603" s="199"/>
      <c r="AU603" s="199"/>
      <c r="AV603" s="199"/>
      <c r="AW603" s="155"/>
    </row>
    <row r="604" spans="1:49" s="236" customFormat="1" ht="15">
      <c r="A604" s="40">
        <f t="shared" si="34"/>
        <v>598</v>
      </c>
      <c r="B604" s="199"/>
      <c r="C604" s="199"/>
      <c r="D604" s="199"/>
      <c r="E604" s="199"/>
      <c r="F604" s="199"/>
      <c r="G604" s="199"/>
      <c r="H604" s="199"/>
      <c r="I604" s="199"/>
      <c r="J604" s="412" t="s">
        <v>4658</v>
      </c>
      <c r="K604" s="412" t="s">
        <v>113</v>
      </c>
      <c r="L604" s="204" t="s">
        <v>4659</v>
      </c>
      <c r="M604" s="351"/>
      <c r="N604" s="40" t="s">
        <v>504</v>
      </c>
      <c r="O604" s="40"/>
      <c r="P604" s="40"/>
      <c r="Q604" s="40" t="s">
        <v>6</v>
      </c>
      <c r="R604" s="40" t="s">
        <v>6</v>
      </c>
      <c r="S604" s="40" t="s">
        <v>6</v>
      </c>
      <c r="T604" s="416"/>
      <c r="U604" s="215" t="s">
        <v>4660</v>
      </c>
      <c r="V604" s="208"/>
      <c r="W604" s="412" t="s">
        <v>113</v>
      </c>
      <c r="X604" s="199"/>
      <c r="Y604" s="199"/>
      <c r="Z604" s="126" t="s">
        <v>6</v>
      </c>
      <c r="AA604" s="126" t="s">
        <v>6</v>
      </c>
      <c r="AB604" s="198"/>
      <c r="AC604" s="199"/>
      <c r="AD604" s="199"/>
      <c r="AE604" s="412" t="s">
        <v>113</v>
      </c>
      <c r="AF604" s="199"/>
      <c r="AG604" s="199"/>
      <c r="AH604" s="126" t="s">
        <v>6</v>
      </c>
      <c r="AI604" s="126" t="s">
        <v>6</v>
      </c>
      <c r="AJ604" s="198"/>
      <c r="AK604" s="199"/>
      <c r="AL604" s="199"/>
      <c r="AM604" s="199"/>
      <c r="AN604" s="199"/>
      <c r="AO604" s="199"/>
      <c r="AP604" s="199"/>
      <c r="AQ604" s="199"/>
      <c r="AR604" s="199"/>
      <c r="AS604" s="199"/>
      <c r="AT604" s="199"/>
      <c r="AU604" s="199"/>
      <c r="AV604" s="199"/>
      <c r="AW604" s="155"/>
    </row>
    <row r="605" spans="1:49" s="236" customFormat="1" ht="15">
      <c r="A605" s="40">
        <f t="shared" si="34"/>
        <v>599</v>
      </c>
      <c r="B605" s="199"/>
      <c r="C605" s="199"/>
      <c r="D605" s="199"/>
      <c r="E605" s="199"/>
      <c r="F605" s="199"/>
      <c r="G605" s="199"/>
      <c r="H605" s="199"/>
      <c r="I605" s="199"/>
      <c r="J605" s="412" t="s">
        <v>4661</v>
      </c>
      <c r="K605" s="412" t="s">
        <v>140</v>
      </c>
      <c r="L605" s="204" t="s">
        <v>4662</v>
      </c>
      <c r="M605" s="351"/>
      <c r="N605" s="40" t="s">
        <v>504</v>
      </c>
      <c r="O605" s="40"/>
      <c r="P605" s="40"/>
      <c r="Q605" s="40" t="s">
        <v>6</v>
      </c>
      <c r="R605" s="40" t="s">
        <v>6</v>
      </c>
      <c r="S605" s="40" t="s">
        <v>6</v>
      </c>
      <c r="T605" s="40"/>
      <c r="U605" s="218" t="s">
        <v>4066</v>
      </c>
      <c r="V605" s="208"/>
      <c r="W605" s="412" t="s">
        <v>140</v>
      </c>
      <c r="X605" s="199"/>
      <c r="Y605" s="199"/>
      <c r="Z605" s="126" t="s">
        <v>6</v>
      </c>
      <c r="AA605" s="126" t="s">
        <v>6</v>
      </c>
      <c r="AB605" s="198"/>
      <c r="AC605" s="199"/>
      <c r="AD605" s="199"/>
      <c r="AE605" s="412" t="s">
        <v>140</v>
      </c>
      <c r="AF605" s="199"/>
      <c r="AG605" s="199"/>
      <c r="AH605" s="126" t="s">
        <v>6</v>
      </c>
      <c r="AI605" s="126" t="s">
        <v>6</v>
      </c>
      <c r="AJ605" s="198"/>
      <c r="AK605" s="199"/>
      <c r="AL605" s="199"/>
      <c r="AM605" s="199"/>
      <c r="AN605" s="199"/>
      <c r="AO605" s="199"/>
      <c r="AP605" s="199"/>
      <c r="AQ605" s="199"/>
      <c r="AR605" s="199"/>
      <c r="AS605" s="199"/>
      <c r="AT605" s="199"/>
      <c r="AU605" s="199"/>
      <c r="AV605" s="199"/>
      <c r="AW605" s="155"/>
    </row>
    <row r="606" spans="1:49" s="236" customFormat="1" ht="15">
      <c r="A606" s="40">
        <f t="shared" si="34"/>
        <v>600</v>
      </c>
      <c r="B606" s="199"/>
      <c r="C606" s="199"/>
      <c r="D606" s="199"/>
      <c r="E606" s="199"/>
      <c r="F606" s="199"/>
      <c r="G606" s="199"/>
      <c r="H606" s="199"/>
      <c r="I606" s="199"/>
      <c r="J606" s="412" t="s">
        <v>4663</v>
      </c>
      <c r="K606" s="412" t="s">
        <v>140</v>
      </c>
      <c r="L606" s="204" t="s">
        <v>4664</v>
      </c>
      <c r="M606" s="351"/>
      <c r="N606" s="40" t="s">
        <v>504</v>
      </c>
      <c r="O606" s="40"/>
      <c r="P606" s="40"/>
      <c r="Q606" s="40" t="s">
        <v>6</v>
      </c>
      <c r="R606" s="40" t="s">
        <v>6</v>
      </c>
      <c r="S606" s="40" t="s">
        <v>6</v>
      </c>
      <c r="T606" s="40"/>
      <c r="U606" s="218" t="s">
        <v>4066</v>
      </c>
      <c r="V606" s="208"/>
      <c r="W606" s="412" t="s">
        <v>140</v>
      </c>
      <c r="X606" s="199"/>
      <c r="Y606" s="199"/>
      <c r="Z606" s="126" t="s">
        <v>6</v>
      </c>
      <c r="AA606" s="126" t="s">
        <v>6</v>
      </c>
      <c r="AB606" s="198"/>
      <c r="AC606" s="199"/>
      <c r="AD606" s="199"/>
      <c r="AE606" s="412" t="s">
        <v>140</v>
      </c>
      <c r="AF606" s="199"/>
      <c r="AG606" s="199"/>
      <c r="AH606" s="126" t="s">
        <v>6</v>
      </c>
      <c r="AI606" s="126" t="s">
        <v>6</v>
      </c>
      <c r="AJ606" s="198"/>
      <c r="AK606" s="199"/>
      <c r="AL606" s="199"/>
      <c r="AM606" s="199"/>
      <c r="AN606" s="199"/>
      <c r="AO606" s="199"/>
      <c r="AP606" s="199"/>
      <c r="AQ606" s="199"/>
      <c r="AR606" s="199"/>
      <c r="AS606" s="199"/>
      <c r="AT606" s="199"/>
      <c r="AU606" s="199"/>
      <c r="AV606" s="199"/>
      <c r="AW606" s="155"/>
    </row>
    <row r="607" spans="1:49" s="236" customFormat="1" ht="15">
      <c r="A607" s="40">
        <f t="shared" si="34"/>
        <v>601</v>
      </c>
      <c r="B607" s="199"/>
      <c r="C607" s="199"/>
      <c r="D607" s="199"/>
      <c r="E607" s="199"/>
      <c r="F607" s="199"/>
      <c r="G607" s="199"/>
      <c r="H607" s="199"/>
      <c r="I607" s="199"/>
      <c r="J607" s="412" t="s">
        <v>4665</v>
      </c>
      <c r="K607" s="412" t="s">
        <v>140</v>
      </c>
      <c r="L607" s="204" t="s">
        <v>4666</v>
      </c>
      <c r="M607" s="351"/>
      <c r="N607" s="40" t="s">
        <v>504</v>
      </c>
      <c r="O607" s="40"/>
      <c r="P607" s="40"/>
      <c r="Q607" s="40" t="s">
        <v>6</v>
      </c>
      <c r="R607" s="40" t="s">
        <v>6</v>
      </c>
      <c r="S607" s="40" t="s">
        <v>6</v>
      </c>
      <c r="T607" s="40"/>
      <c r="U607" s="218" t="s">
        <v>4066</v>
      </c>
      <c r="V607" s="208"/>
      <c r="W607" s="412" t="s">
        <v>140</v>
      </c>
      <c r="X607" s="199"/>
      <c r="Y607" s="199"/>
      <c r="Z607" s="126" t="s">
        <v>6</v>
      </c>
      <c r="AA607" s="126" t="s">
        <v>6</v>
      </c>
      <c r="AB607" s="198"/>
      <c r="AC607" s="199"/>
      <c r="AD607" s="199"/>
      <c r="AE607" s="412" t="s">
        <v>140</v>
      </c>
      <c r="AF607" s="199"/>
      <c r="AG607" s="199"/>
      <c r="AH607" s="126" t="s">
        <v>6</v>
      </c>
      <c r="AI607" s="126" t="s">
        <v>6</v>
      </c>
      <c r="AJ607" s="198"/>
      <c r="AK607" s="199"/>
      <c r="AL607" s="199"/>
      <c r="AM607" s="199"/>
      <c r="AN607" s="199"/>
      <c r="AO607" s="199"/>
      <c r="AP607" s="199"/>
      <c r="AQ607" s="199"/>
      <c r="AR607" s="199"/>
      <c r="AS607" s="199"/>
      <c r="AT607" s="199"/>
      <c r="AU607" s="199"/>
      <c r="AV607" s="199"/>
      <c r="AW607" s="155"/>
    </row>
    <row r="608" spans="1:49" s="236" customFormat="1" ht="15">
      <c r="A608" s="40">
        <f t="shared" si="34"/>
        <v>602</v>
      </c>
      <c r="B608" s="199"/>
      <c r="C608" s="199"/>
      <c r="D608" s="199"/>
      <c r="E608" s="199"/>
      <c r="F608" s="199"/>
      <c r="G608" s="199"/>
      <c r="H608" s="199"/>
      <c r="I608" s="199"/>
      <c r="J608" s="412" t="s">
        <v>4667</v>
      </c>
      <c r="K608" s="412" t="s">
        <v>140</v>
      </c>
      <c r="L608" s="204" t="s">
        <v>4668</v>
      </c>
      <c r="M608" s="351"/>
      <c r="N608" s="40" t="s">
        <v>504</v>
      </c>
      <c r="O608" s="40"/>
      <c r="P608" s="40"/>
      <c r="Q608" s="40" t="s">
        <v>6</v>
      </c>
      <c r="R608" s="40" t="s">
        <v>6</v>
      </c>
      <c r="S608" s="40" t="s">
        <v>6</v>
      </c>
      <c r="T608" s="40"/>
      <c r="U608" s="218" t="s">
        <v>4066</v>
      </c>
      <c r="V608" s="208"/>
      <c r="W608" s="412" t="s">
        <v>140</v>
      </c>
      <c r="X608" s="199"/>
      <c r="Y608" s="199"/>
      <c r="Z608" s="126" t="s">
        <v>6</v>
      </c>
      <c r="AA608" s="126" t="s">
        <v>6</v>
      </c>
      <c r="AB608" s="198"/>
      <c r="AC608" s="199"/>
      <c r="AD608" s="199"/>
      <c r="AE608" s="412" t="s">
        <v>140</v>
      </c>
      <c r="AF608" s="199"/>
      <c r="AG608" s="199"/>
      <c r="AH608" s="126" t="s">
        <v>6</v>
      </c>
      <c r="AI608" s="126" t="s">
        <v>6</v>
      </c>
      <c r="AJ608" s="198"/>
      <c r="AK608" s="199"/>
      <c r="AL608" s="199"/>
      <c r="AM608" s="199"/>
      <c r="AN608" s="199"/>
      <c r="AO608" s="199"/>
      <c r="AP608" s="199"/>
      <c r="AQ608" s="199"/>
      <c r="AR608" s="199"/>
      <c r="AS608" s="199"/>
      <c r="AT608" s="199"/>
      <c r="AU608" s="199"/>
      <c r="AV608" s="199"/>
      <c r="AW608" s="155"/>
    </row>
    <row r="609" spans="1:49" s="236" customFormat="1" ht="15">
      <c r="A609" s="40">
        <f t="shared" si="34"/>
        <v>603</v>
      </c>
      <c r="B609" s="199"/>
      <c r="C609" s="199"/>
      <c r="D609" s="199"/>
      <c r="E609" s="199"/>
      <c r="F609" s="199"/>
      <c r="G609" s="199"/>
      <c r="H609" s="199"/>
      <c r="I609" s="199"/>
      <c r="J609" s="412" t="s">
        <v>4669</v>
      </c>
      <c r="K609" s="412" t="s">
        <v>140</v>
      </c>
      <c r="L609" s="204" t="s">
        <v>4670</v>
      </c>
      <c r="M609" s="351"/>
      <c r="N609" s="40" t="s">
        <v>504</v>
      </c>
      <c r="O609" s="40"/>
      <c r="P609" s="40"/>
      <c r="Q609" s="40" t="s">
        <v>6</v>
      </c>
      <c r="R609" s="40" t="s">
        <v>6</v>
      </c>
      <c r="S609" s="40" t="s">
        <v>6</v>
      </c>
      <c r="T609" s="40"/>
      <c r="U609" s="218" t="s">
        <v>4066</v>
      </c>
      <c r="V609" s="208"/>
      <c r="W609" s="412" t="s">
        <v>140</v>
      </c>
      <c r="X609" s="199"/>
      <c r="Y609" s="199"/>
      <c r="Z609" s="126" t="s">
        <v>6</v>
      </c>
      <c r="AA609" s="126" t="s">
        <v>6</v>
      </c>
      <c r="AB609" s="198"/>
      <c r="AC609" s="199"/>
      <c r="AD609" s="199"/>
      <c r="AE609" s="412" t="s">
        <v>140</v>
      </c>
      <c r="AF609" s="199"/>
      <c r="AG609" s="199"/>
      <c r="AH609" s="126" t="s">
        <v>6</v>
      </c>
      <c r="AI609" s="126" t="s">
        <v>6</v>
      </c>
      <c r="AJ609" s="198"/>
      <c r="AK609" s="199"/>
      <c r="AL609" s="199"/>
      <c r="AM609" s="199"/>
      <c r="AN609" s="199"/>
      <c r="AO609" s="199"/>
      <c r="AP609" s="199"/>
      <c r="AQ609" s="199"/>
      <c r="AR609" s="199"/>
      <c r="AS609" s="199"/>
      <c r="AT609" s="199"/>
      <c r="AU609" s="199"/>
      <c r="AV609" s="199"/>
      <c r="AW609" s="155"/>
    </row>
    <row r="610" spans="1:49" s="236" customFormat="1" ht="15">
      <c r="A610" s="40">
        <f t="shared" si="34"/>
        <v>604</v>
      </c>
      <c r="B610" s="199"/>
      <c r="C610" s="199"/>
      <c r="D610" s="199"/>
      <c r="E610" s="199"/>
      <c r="F610" s="199"/>
      <c r="G610" s="199"/>
      <c r="H610" s="199"/>
      <c r="I610" s="199"/>
      <c r="J610" s="412" t="s">
        <v>4671</v>
      </c>
      <c r="K610" s="412" t="s">
        <v>140</v>
      </c>
      <c r="L610" s="204" t="s">
        <v>4672</v>
      </c>
      <c r="M610" s="351"/>
      <c r="N610" s="40" t="s">
        <v>504</v>
      </c>
      <c r="O610" s="40"/>
      <c r="P610" s="40"/>
      <c r="Q610" s="40" t="s">
        <v>6</v>
      </c>
      <c r="R610" s="40" t="s">
        <v>6</v>
      </c>
      <c r="S610" s="40" t="s">
        <v>6</v>
      </c>
      <c r="T610" s="40"/>
      <c r="U610" s="218" t="s">
        <v>4066</v>
      </c>
      <c r="V610" s="208"/>
      <c r="W610" s="412" t="s">
        <v>140</v>
      </c>
      <c r="X610" s="199"/>
      <c r="Y610" s="199"/>
      <c r="Z610" s="126" t="s">
        <v>6</v>
      </c>
      <c r="AA610" s="126" t="s">
        <v>6</v>
      </c>
      <c r="AB610" s="198"/>
      <c r="AC610" s="199"/>
      <c r="AD610" s="199"/>
      <c r="AE610" s="412" t="s">
        <v>140</v>
      </c>
      <c r="AF610" s="199"/>
      <c r="AG610" s="199"/>
      <c r="AH610" s="126" t="s">
        <v>6</v>
      </c>
      <c r="AI610" s="126" t="s">
        <v>6</v>
      </c>
      <c r="AJ610" s="198"/>
      <c r="AK610" s="199"/>
      <c r="AL610" s="199"/>
      <c r="AM610" s="199"/>
      <c r="AN610" s="199"/>
      <c r="AO610" s="199"/>
      <c r="AP610" s="199"/>
      <c r="AQ610" s="199"/>
      <c r="AR610" s="199"/>
      <c r="AS610" s="199"/>
      <c r="AT610" s="199"/>
      <c r="AU610" s="199"/>
      <c r="AV610" s="199"/>
      <c r="AW610" s="155"/>
    </row>
    <row r="611" spans="1:49" s="236" customFormat="1" ht="15">
      <c r="A611" s="40">
        <f t="shared" si="34"/>
        <v>605</v>
      </c>
      <c r="B611" s="199"/>
      <c r="C611" s="199"/>
      <c r="D611" s="199"/>
      <c r="E611" s="199"/>
      <c r="F611" s="199"/>
      <c r="G611" s="199"/>
      <c r="H611" s="199"/>
      <c r="I611" s="199"/>
      <c r="J611" s="412" t="s">
        <v>4673</v>
      </c>
      <c r="K611" s="412" t="s">
        <v>140</v>
      </c>
      <c r="L611" s="204" t="s">
        <v>4674</v>
      </c>
      <c r="M611" s="351"/>
      <c r="N611" s="40" t="s">
        <v>504</v>
      </c>
      <c r="O611" s="40"/>
      <c r="P611" s="40"/>
      <c r="Q611" s="40" t="s">
        <v>6</v>
      </c>
      <c r="R611" s="40" t="s">
        <v>6</v>
      </c>
      <c r="S611" s="40" t="s">
        <v>6</v>
      </c>
      <c r="T611" s="40"/>
      <c r="U611" s="218" t="s">
        <v>4066</v>
      </c>
      <c r="V611" s="208"/>
      <c r="W611" s="412" t="s">
        <v>140</v>
      </c>
      <c r="X611" s="199"/>
      <c r="Y611" s="199"/>
      <c r="Z611" s="126" t="s">
        <v>6</v>
      </c>
      <c r="AA611" s="126" t="s">
        <v>6</v>
      </c>
      <c r="AB611" s="198"/>
      <c r="AC611" s="199"/>
      <c r="AD611" s="199"/>
      <c r="AE611" s="412" t="s">
        <v>140</v>
      </c>
      <c r="AF611" s="199"/>
      <c r="AG611" s="199"/>
      <c r="AH611" s="126" t="s">
        <v>6</v>
      </c>
      <c r="AI611" s="126" t="s">
        <v>6</v>
      </c>
      <c r="AJ611" s="198"/>
      <c r="AK611" s="199"/>
      <c r="AL611" s="199"/>
      <c r="AM611" s="199"/>
      <c r="AN611" s="199"/>
      <c r="AO611" s="199"/>
      <c r="AP611" s="199"/>
      <c r="AQ611" s="199"/>
      <c r="AR611" s="199"/>
      <c r="AS611" s="199"/>
      <c r="AT611" s="199"/>
      <c r="AU611" s="199"/>
      <c r="AV611" s="199"/>
      <c r="AW611" s="155"/>
    </row>
    <row r="612" spans="1:49" s="236" customFormat="1" ht="15">
      <c r="A612" s="40">
        <f t="shared" si="34"/>
        <v>606</v>
      </c>
      <c r="B612" s="199"/>
      <c r="C612" s="199"/>
      <c r="D612" s="199"/>
      <c r="E612" s="199"/>
      <c r="F612" s="199"/>
      <c r="G612" s="199"/>
      <c r="H612" s="199"/>
      <c r="I612" s="199"/>
      <c r="J612" s="412" t="s">
        <v>4675</v>
      </c>
      <c r="K612" s="412" t="s">
        <v>140</v>
      </c>
      <c r="L612" s="204" t="s">
        <v>4676</v>
      </c>
      <c r="M612" s="351"/>
      <c r="N612" s="40" t="s">
        <v>504</v>
      </c>
      <c r="O612" s="40"/>
      <c r="P612" s="40"/>
      <c r="Q612" s="40" t="s">
        <v>6</v>
      </c>
      <c r="R612" s="40" t="s">
        <v>6</v>
      </c>
      <c r="S612" s="40" t="s">
        <v>6</v>
      </c>
      <c r="T612" s="40"/>
      <c r="U612" s="218" t="s">
        <v>4066</v>
      </c>
      <c r="V612" s="208"/>
      <c r="W612" s="412" t="s">
        <v>140</v>
      </c>
      <c r="X612" s="199"/>
      <c r="Y612" s="199"/>
      <c r="Z612" s="126" t="s">
        <v>6</v>
      </c>
      <c r="AA612" s="126" t="s">
        <v>6</v>
      </c>
      <c r="AB612" s="198"/>
      <c r="AC612" s="199"/>
      <c r="AD612" s="199"/>
      <c r="AE612" s="412" t="s">
        <v>140</v>
      </c>
      <c r="AF612" s="199"/>
      <c r="AG612" s="199"/>
      <c r="AH612" s="126" t="s">
        <v>6</v>
      </c>
      <c r="AI612" s="126" t="s">
        <v>6</v>
      </c>
      <c r="AJ612" s="198"/>
      <c r="AK612" s="199"/>
      <c r="AL612" s="199"/>
      <c r="AM612" s="199"/>
      <c r="AN612" s="199"/>
      <c r="AO612" s="199"/>
      <c r="AP612" s="199"/>
      <c r="AQ612" s="199"/>
      <c r="AR612" s="199"/>
      <c r="AS612" s="199"/>
      <c r="AT612" s="199"/>
      <c r="AU612" s="199"/>
      <c r="AV612" s="199"/>
      <c r="AW612" s="155"/>
    </row>
    <row r="613" spans="1:49" s="236" customFormat="1" ht="15">
      <c r="A613" s="40">
        <f t="shared" si="34"/>
        <v>607</v>
      </c>
      <c r="B613" s="199"/>
      <c r="C613" s="199"/>
      <c r="D613" s="199"/>
      <c r="E613" s="199"/>
      <c r="F613" s="199"/>
      <c r="G613" s="199"/>
      <c r="H613" s="199"/>
      <c r="I613" s="199"/>
      <c r="J613" s="412" t="s">
        <v>4677</v>
      </c>
      <c r="K613" s="412" t="s">
        <v>140</v>
      </c>
      <c r="L613" s="204" t="s">
        <v>4678</v>
      </c>
      <c r="M613" s="351"/>
      <c r="N613" s="40" t="s">
        <v>504</v>
      </c>
      <c r="O613" s="40"/>
      <c r="P613" s="40"/>
      <c r="Q613" s="40" t="s">
        <v>6</v>
      </c>
      <c r="R613" s="40" t="s">
        <v>6</v>
      </c>
      <c r="S613" s="40" t="s">
        <v>6</v>
      </c>
      <c r="T613" s="40"/>
      <c r="U613" s="218" t="s">
        <v>4066</v>
      </c>
      <c r="V613" s="208"/>
      <c r="W613" s="412" t="s">
        <v>140</v>
      </c>
      <c r="X613" s="199"/>
      <c r="Y613" s="199"/>
      <c r="Z613" s="126" t="s">
        <v>6</v>
      </c>
      <c r="AA613" s="126" t="s">
        <v>6</v>
      </c>
      <c r="AB613" s="198"/>
      <c r="AC613" s="199"/>
      <c r="AD613" s="199"/>
      <c r="AE613" s="412" t="s">
        <v>140</v>
      </c>
      <c r="AF613" s="199"/>
      <c r="AG613" s="199"/>
      <c r="AH613" s="126" t="s">
        <v>6</v>
      </c>
      <c r="AI613" s="126" t="s">
        <v>6</v>
      </c>
      <c r="AJ613" s="198"/>
      <c r="AK613" s="199"/>
      <c r="AL613" s="199"/>
      <c r="AM613" s="199"/>
      <c r="AN613" s="199"/>
      <c r="AO613" s="199"/>
      <c r="AP613" s="199"/>
      <c r="AQ613" s="199"/>
      <c r="AR613" s="199"/>
      <c r="AS613" s="199"/>
      <c r="AT613" s="199"/>
      <c r="AU613" s="199"/>
      <c r="AV613" s="199"/>
      <c r="AW613" s="155"/>
    </row>
    <row r="614" spans="1:49" s="236" customFormat="1" ht="15">
      <c r="A614" s="40">
        <f t="shared" si="34"/>
        <v>608</v>
      </c>
      <c r="B614" s="199"/>
      <c r="C614" s="199"/>
      <c r="D614" s="199"/>
      <c r="E614" s="199"/>
      <c r="F614" s="199"/>
      <c r="G614" s="199"/>
      <c r="H614" s="199"/>
      <c r="I614" s="199"/>
      <c r="J614" s="412" t="s">
        <v>4679</v>
      </c>
      <c r="K614" s="412" t="s">
        <v>128</v>
      </c>
      <c r="L614" s="204" t="s">
        <v>4680</v>
      </c>
      <c r="M614" s="351"/>
      <c r="N614" s="40" t="s">
        <v>504</v>
      </c>
      <c r="O614" s="40"/>
      <c r="P614" s="40"/>
      <c r="Q614" s="40"/>
      <c r="R614" s="40" t="s">
        <v>6</v>
      </c>
      <c r="S614" s="40" t="s">
        <v>6</v>
      </c>
      <c r="T614" s="40"/>
      <c r="U614" s="215"/>
      <c r="V614" s="208"/>
      <c r="W614" s="412" t="s">
        <v>125</v>
      </c>
      <c r="X614" s="199"/>
      <c r="Y614" s="199"/>
      <c r="Z614" s="126"/>
      <c r="AA614" s="126" t="s">
        <v>6</v>
      </c>
      <c r="AB614" s="198"/>
      <c r="AC614" s="199"/>
      <c r="AD614" s="199"/>
      <c r="AE614" s="412" t="s">
        <v>125</v>
      </c>
      <c r="AF614" s="199"/>
      <c r="AG614" s="199"/>
      <c r="AH614" s="126"/>
      <c r="AI614" s="126" t="s">
        <v>6</v>
      </c>
      <c r="AJ614" s="198"/>
      <c r="AK614" s="199"/>
      <c r="AL614" s="199"/>
      <c r="AM614" s="199"/>
      <c r="AN614" s="199"/>
      <c r="AO614" s="199"/>
      <c r="AP614" s="199"/>
      <c r="AQ614" s="199"/>
      <c r="AR614" s="199"/>
      <c r="AS614" s="199"/>
      <c r="AT614" s="199"/>
      <c r="AU614" s="199"/>
      <c r="AV614" s="199"/>
      <c r="AW614" s="155"/>
    </row>
    <row r="615" spans="1:49" s="236" customFormat="1" ht="15">
      <c r="A615" s="40">
        <f t="shared" si="34"/>
        <v>609</v>
      </c>
      <c r="B615" s="199"/>
      <c r="C615" s="199"/>
      <c r="D615" s="199"/>
      <c r="E615" s="199"/>
      <c r="F615" s="199"/>
      <c r="G615" s="199"/>
      <c r="H615" s="199"/>
      <c r="I615" s="199"/>
      <c r="J615" s="412" t="s">
        <v>4681</v>
      </c>
      <c r="K615" s="412" t="s">
        <v>140</v>
      </c>
      <c r="L615" s="204" t="s">
        <v>4682</v>
      </c>
      <c r="M615" s="351"/>
      <c r="N615" s="40" t="s">
        <v>504</v>
      </c>
      <c r="O615" s="40"/>
      <c r="P615" s="40"/>
      <c r="Q615" s="40" t="s">
        <v>6</v>
      </c>
      <c r="R615" s="40" t="s">
        <v>6</v>
      </c>
      <c r="S615" s="40" t="s">
        <v>6</v>
      </c>
      <c r="T615" s="40"/>
      <c r="U615" s="204" t="s">
        <v>4683</v>
      </c>
      <c r="V615" s="210"/>
      <c r="W615" s="412" t="s">
        <v>140</v>
      </c>
      <c r="X615" s="199"/>
      <c r="Y615" s="199"/>
      <c r="Z615" s="126" t="s">
        <v>6</v>
      </c>
      <c r="AA615" s="126" t="s">
        <v>6</v>
      </c>
      <c r="AB615" s="198"/>
      <c r="AC615" s="199"/>
      <c r="AD615" s="199"/>
      <c r="AE615" s="412" t="s">
        <v>140</v>
      </c>
      <c r="AF615" s="199"/>
      <c r="AG615" s="199"/>
      <c r="AH615" s="126" t="s">
        <v>6</v>
      </c>
      <c r="AI615" s="126" t="s">
        <v>6</v>
      </c>
      <c r="AJ615" s="198"/>
      <c r="AK615" s="199"/>
      <c r="AL615" s="199"/>
      <c r="AM615" s="198" t="s">
        <v>1300</v>
      </c>
      <c r="AN615" s="199"/>
      <c r="AO615" s="199"/>
      <c r="AP615" s="199"/>
      <c r="AQ615" s="199"/>
      <c r="AR615" s="199"/>
      <c r="AS615" s="199"/>
      <c r="AT615" s="199"/>
      <c r="AU615" s="199"/>
      <c r="AV615" s="199"/>
      <c r="AW615" s="155"/>
    </row>
    <row r="616" spans="1:49" s="236" customFormat="1" ht="15">
      <c r="A616" s="40">
        <f t="shared" si="34"/>
        <v>610</v>
      </c>
      <c r="B616" s="199"/>
      <c r="C616" s="199"/>
      <c r="D616" s="199"/>
      <c r="E616" s="199"/>
      <c r="F616" s="199"/>
      <c r="G616" s="199"/>
      <c r="H616" s="199"/>
      <c r="I616" s="199"/>
      <c r="J616" s="412" t="s">
        <v>4684</v>
      </c>
      <c r="K616" s="412" t="s">
        <v>140</v>
      </c>
      <c r="L616" s="204" t="s">
        <v>4685</v>
      </c>
      <c r="M616" s="351"/>
      <c r="N616" s="40" t="s">
        <v>504</v>
      </c>
      <c r="O616" s="40"/>
      <c r="P616" s="40"/>
      <c r="Q616" s="40" t="s">
        <v>6</v>
      </c>
      <c r="R616" s="40" t="s">
        <v>6</v>
      </c>
      <c r="S616" s="40" t="s">
        <v>6</v>
      </c>
      <c r="T616" s="40"/>
      <c r="U616" s="204" t="s">
        <v>4683</v>
      </c>
      <c r="V616" s="208"/>
      <c r="W616" s="412" t="s">
        <v>140</v>
      </c>
      <c r="X616" s="199"/>
      <c r="Y616" s="199"/>
      <c r="Z616" s="126" t="s">
        <v>6</v>
      </c>
      <c r="AA616" s="126" t="s">
        <v>6</v>
      </c>
      <c r="AB616" s="198"/>
      <c r="AC616" s="199"/>
      <c r="AD616" s="199"/>
      <c r="AE616" s="412" t="s">
        <v>140</v>
      </c>
      <c r="AF616" s="199"/>
      <c r="AG616" s="199"/>
      <c r="AH616" s="126" t="s">
        <v>6</v>
      </c>
      <c r="AI616" s="126" t="s">
        <v>6</v>
      </c>
      <c r="AJ616" s="198"/>
      <c r="AK616" s="199"/>
      <c r="AL616" s="199"/>
      <c r="AM616" s="198" t="s">
        <v>1300</v>
      </c>
      <c r="AN616" s="199"/>
      <c r="AO616" s="199"/>
      <c r="AP616" s="199"/>
      <c r="AQ616" s="199"/>
      <c r="AR616" s="199"/>
      <c r="AS616" s="199"/>
      <c r="AT616" s="199"/>
      <c r="AU616" s="199"/>
      <c r="AV616" s="199"/>
      <c r="AW616" s="155"/>
    </row>
    <row r="617" spans="1:49" s="246" customFormat="1" ht="15">
      <c r="A617" s="40">
        <f t="shared" si="34"/>
        <v>611</v>
      </c>
      <c r="B617" s="198"/>
      <c r="C617" s="198"/>
      <c r="D617" s="198"/>
      <c r="E617" s="198"/>
      <c r="F617" s="198"/>
      <c r="G617" s="198"/>
      <c r="H617" s="198"/>
      <c r="I617" s="198"/>
      <c r="J617" s="412" t="s">
        <v>4686</v>
      </c>
      <c r="K617" s="412" t="s">
        <v>128</v>
      </c>
      <c r="L617" s="204" t="s">
        <v>4687</v>
      </c>
      <c r="M617" s="351"/>
      <c r="N617" s="40" t="s">
        <v>504</v>
      </c>
      <c r="O617" s="40"/>
      <c r="P617" s="40"/>
      <c r="Q617" s="40" t="s">
        <v>6</v>
      </c>
      <c r="R617" s="40" t="s">
        <v>6</v>
      </c>
      <c r="S617" s="40" t="s">
        <v>6</v>
      </c>
      <c r="T617" s="416"/>
      <c r="U617" s="204"/>
      <c r="V617" s="210"/>
      <c r="W617" s="412" t="s">
        <v>128</v>
      </c>
      <c r="X617" s="198"/>
      <c r="Y617" s="198"/>
      <c r="Z617" s="40" t="s">
        <v>6</v>
      </c>
      <c r="AA617" s="40" t="s">
        <v>6</v>
      </c>
      <c r="AB617" s="198"/>
      <c r="AC617" s="198"/>
      <c r="AD617" s="198"/>
      <c r="AE617" s="412" t="s">
        <v>128</v>
      </c>
      <c r="AF617" s="198"/>
      <c r="AG617" s="198"/>
      <c r="AH617" s="40" t="s">
        <v>6</v>
      </c>
      <c r="AI617" s="40" t="s">
        <v>6</v>
      </c>
      <c r="AJ617" s="198"/>
      <c r="AK617" s="198"/>
      <c r="AL617" s="198"/>
      <c r="AM617" s="198"/>
      <c r="AN617" s="198"/>
      <c r="AO617" s="198"/>
      <c r="AP617" s="198"/>
      <c r="AQ617" s="198"/>
      <c r="AR617" s="198"/>
      <c r="AS617" s="198"/>
      <c r="AT617" s="198"/>
      <c r="AU617" s="198"/>
      <c r="AV617" s="198"/>
      <c r="AW617" s="155"/>
    </row>
    <row r="618" spans="1:49" s="246" customFormat="1" ht="15">
      <c r="A618" s="40">
        <f t="shared" si="34"/>
        <v>612</v>
      </c>
      <c r="B618" s="198"/>
      <c r="C618" s="198"/>
      <c r="D618" s="198"/>
      <c r="E618" s="198"/>
      <c r="F618" s="198"/>
      <c r="G618" s="198"/>
      <c r="H618" s="198"/>
      <c r="I618" s="198"/>
      <c r="J618" s="412" t="s">
        <v>4688</v>
      </c>
      <c r="K618" s="412" t="s">
        <v>140</v>
      </c>
      <c r="L618" s="204" t="s">
        <v>1287</v>
      </c>
      <c r="M618" s="351"/>
      <c r="N618" s="40" t="s">
        <v>504</v>
      </c>
      <c r="O618" s="40"/>
      <c r="P618" s="40"/>
      <c r="Q618" s="40" t="s">
        <v>6</v>
      </c>
      <c r="R618" s="40" t="s">
        <v>6</v>
      </c>
      <c r="S618" s="40" t="s">
        <v>6</v>
      </c>
      <c r="T618" s="416"/>
      <c r="U618" s="204"/>
      <c r="V618" s="210"/>
      <c r="W618" s="412" t="s">
        <v>140</v>
      </c>
      <c r="X618" s="198"/>
      <c r="Y618" s="198"/>
      <c r="Z618" s="40" t="s">
        <v>6</v>
      </c>
      <c r="AA618" s="40" t="s">
        <v>6</v>
      </c>
      <c r="AB618" s="198"/>
      <c r="AC618" s="198"/>
      <c r="AD618" s="198"/>
      <c r="AE618" s="412" t="s">
        <v>140</v>
      </c>
      <c r="AF618" s="198"/>
      <c r="AG618" s="198"/>
      <c r="AH618" s="40" t="s">
        <v>6</v>
      </c>
      <c r="AI618" s="40" t="s">
        <v>6</v>
      </c>
      <c r="AJ618" s="198"/>
      <c r="AK618" s="198"/>
      <c r="AL618" s="198"/>
      <c r="AM618" s="198"/>
      <c r="AN618" s="198"/>
      <c r="AO618" s="198"/>
      <c r="AP618" s="198"/>
      <c r="AQ618" s="198"/>
      <c r="AR618" s="198"/>
      <c r="AS618" s="198"/>
      <c r="AT618" s="198"/>
      <c r="AU618" s="198"/>
      <c r="AV618" s="198"/>
      <c r="AW618" s="155"/>
    </row>
    <row r="619" spans="1:49" s="236" customFormat="1" ht="15">
      <c r="A619" s="40">
        <f t="shared" si="34"/>
        <v>613</v>
      </c>
      <c r="B619" s="199"/>
      <c r="C619" s="199"/>
      <c r="D619" s="199"/>
      <c r="E619" s="199"/>
      <c r="F619" s="199"/>
      <c r="G619" s="199"/>
      <c r="H619" s="199"/>
      <c r="I619" s="199"/>
      <c r="J619" s="412" t="s">
        <v>4689</v>
      </c>
      <c r="K619" s="412" t="s">
        <v>149</v>
      </c>
      <c r="L619" s="204" t="s">
        <v>792</v>
      </c>
      <c r="M619" s="351"/>
      <c r="N619" s="40" t="s">
        <v>504</v>
      </c>
      <c r="O619" s="40"/>
      <c r="P619" s="40"/>
      <c r="Q619" s="40" t="s">
        <v>6</v>
      </c>
      <c r="R619" s="40" t="s">
        <v>6</v>
      </c>
      <c r="S619" s="40" t="s">
        <v>6</v>
      </c>
      <c r="T619" s="40"/>
      <c r="U619" s="204"/>
      <c r="V619" s="232"/>
      <c r="W619" s="412" t="s">
        <v>149</v>
      </c>
      <c r="X619" s="199"/>
      <c r="Y619" s="199"/>
      <c r="Z619" s="126" t="s">
        <v>6</v>
      </c>
      <c r="AA619" s="126" t="s">
        <v>6</v>
      </c>
      <c r="AB619" s="198"/>
      <c r="AC619" s="199"/>
      <c r="AD619" s="199"/>
      <c r="AE619" s="412" t="s">
        <v>149</v>
      </c>
      <c r="AF619" s="199"/>
      <c r="AG619" s="199"/>
      <c r="AH619" s="126" t="s">
        <v>6</v>
      </c>
      <c r="AI619" s="126" t="s">
        <v>6</v>
      </c>
      <c r="AJ619" s="198"/>
      <c r="AK619" s="199"/>
      <c r="AL619" s="199"/>
      <c r="AM619" s="199"/>
      <c r="AN619" s="199"/>
      <c r="AO619" s="199"/>
      <c r="AP619" s="199"/>
      <c r="AQ619" s="199"/>
      <c r="AR619" s="199"/>
      <c r="AS619" s="199"/>
      <c r="AT619" s="199"/>
      <c r="AU619" s="199"/>
      <c r="AV619" s="199"/>
      <c r="AW619" s="155"/>
    </row>
    <row r="620" spans="1:49" s="236" customFormat="1" ht="15">
      <c r="A620" s="40">
        <f t="shared" si="34"/>
        <v>614</v>
      </c>
      <c r="B620" s="199"/>
      <c r="C620" s="199"/>
      <c r="D620" s="199"/>
      <c r="E620" s="199"/>
      <c r="F620" s="199"/>
      <c r="G620" s="199"/>
      <c r="H620" s="199"/>
      <c r="I620" s="199"/>
      <c r="J620" s="412" t="s">
        <v>4690</v>
      </c>
      <c r="K620" s="412" t="s">
        <v>140</v>
      </c>
      <c r="L620" s="204" t="s">
        <v>4685</v>
      </c>
      <c r="M620" s="351"/>
      <c r="N620" s="40" t="s">
        <v>504</v>
      </c>
      <c r="O620" s="40"/>
      <c r="P620" s="40"/>
      <c r="Q620" s="40" t="s">
        <v>6</v>
      </c>
      <c r="R620" s="40" t="s">
        <v>6</v>
      </c>
      <c r="S620" s="40" t="s">
        <v>6</v>
      </c>
      <c r="T620" s="40"/>
      <c r="U620" s="204"/>
      <c r="V620" s="232"/>
      <c r="W620" s="412" t="s">
        <v>75</v>
      </c>
      <c r="X620" s="199"/>
      <c r="Y620" s="199"/>
      <c r="Z620" s="126" t="s">
        <v>6</v>
      </c>
      <c r="AA620" s="126" t="s">
        <v>6</v>
      </c>
      <c r="AB620" s="198"/>
      <c r="AC620" s="199"/>
      <c r="AD620" s="199"/>
      <c r="AE620" s="412" t="s">
        <v>75</v>
      </c>
      <c r="AF620" s="199"/>
      <c r="AG620" s="199"/>
      <c r="AH620" s="126" t="s">
        <v>6</v>
      </c>
      <c r="AI620" s="126" t="s">
        <v>6</v>
      </c>
      <c r="AJ620" s="198"/>
      <c r="AK620" s="199"/>
      <c r="AL620" s="199"/>
      <c r="AM620" s="199"/>
      <c r="AN620" s="199"/>
      <c r="AO620" s="199"/>
      <c r="AP620" s="199"/>
      <c r="AQ620" s="199"/>
      <c r="AR620" s="199"/>
      <c r="AS620" s="199"/>
      <c r="AT620" s="199"/>
      <c r="AU620" s="199"/>
      <c r="AV620" s="199"/>
      <c r="AW620" s="155"/>
    </row>
    <row r="621" spans="1:49" s="236" customFormat="1" ht="15">
      <c r="A621" s="40">
        <f t="shared" si="34"/>
        <v>615</v>
      </c>
      <c r="B621" s="199"/>
      <c r="C621" s="199"/>
      <c r="D621" s="199"/>
      <c r="E621" s="199"/>
      <c r="F621" s="199"/>
      <c r="G621" s="199"/>
      <c r="H621" s="199"/>
      <c r="I621" s="199"/>
      <c r="J621" s="412" t="s">
        <v>4691</v>
      </c>
      <c r="K621" s="412" t="s">
        <v>113</v>
      </c>
      <c r="L621" s="204" t="s">
        <v>1310</v>
      </c>
      <c r="M621" s="351"/>
      <c r="N621" s="40" t="s">
        <v>504</v>
      </c>
      <c r="O621" s="40"/>
      <c r="P621" s="40"/>
      <c r="Q621" s="40" t="s">
        <v>6</v>
      </c>
      <c r="R621" s="40" t="s">
        <v>6</v>
      </c>
      <c r="S621" s="40" t="s">
        <v>6</v>
      </c>
      <c r="T621" s="40"/>
      <c r="U621" s="215"/>
      <c r="V621" s="208"/>
      <c r="W621" s="412" t="s">
        <v>113</v>
      </c>
      <c r="X621" s="199"/>
      <c r="Y621" s="199"/>
      <c r="Z621" s="126" t="s">
        <v>6</v>
      </c>
      <c r="AA621" s="126" t="s">
        <v>6</v>
      </c>
      <c r="AB621" s="198"/>
      <c r="AC621" s="199"/>
      <c r="AD621" s="199"/>
      <c r="AE621" s="412" t="s">
        <v>113</v>
      </c>
      <c r="AF621" s="199"/>
      <c r="AG621" s="199"/>
      <c r="AH621" s="126" t="s">
        <v>6</v>
      </c>
      <c r="AI621" s="126" t="s">
        <v>6</v>
      </c>
      <c r="AJ621" s="198"/>
      <c r="AK621" s="199"/>
      <c r="AL621" s="199"/>
      <c r="AM621" s="199"/>
      <c r="AN621" s="199"/>
      <c r="AO621" s="199"/>
      <c r="AP621" s="199"/>
      <c r="AQ621" s="199"/>
      <c r="AR621" s="199"/>
      <c r="AS621" s="199"/>
      <c r="AT621" s="199"/>
      <c r="AU621" s="199"/>
      <c r="AV621" s="199"/>
      <c r="AW621" s="155"/>
    </row>
    <row r="622" spans="1:49" s="236" customFormat="1" ht="15">
      <c r="A622" s="40">
        <f t="shared" si="34"/>
        <v>616</v>
      </c>
      <c r="B622" s="199"/>
      <c r="C622" s="199"/>
      <c r="D622" s="199"/>
      <c r="E622" s="199"/>
      <c r="F622" s="199"/>
      <c r="G622" s="199"/>
      <c r="H622" s="199"/>
      <c r="I622" s="199"/>
      <c r="J622" s="412" t="s">
        <v>4692</v>
      </c>
      <c r="K622" s="412" t="s">
        <v>113</v>
      </c>
      <c r="L622" s="204" t="s">
        <v>1311</v>
      </c>
      <c r="M622" s="351"/>
      <c r="N622" s="40" t="s">
        <v>504</v>
      </c>
      <c r="O622" s="40"/>
      <c r="P622" s="40"/>
      <c r="Q622" s="40" t="s">
        <v>6</v>
      </c>
      <c r="R622" s="40" t="s">
        <v>6</v>
      </c>
      <c r="S622" s="40" t="s">
        <v>6</v>
      </c>
      <c r="T622" s="40"/>
      <c r="U622" s="215"/>
      <c r="V622" s="208"/>
      <c r="W622" s="412" t="s">
        <v>113</v>
      </c>
      <c r="X622" s="199"/>
      <c r="Y622" s="199"/>
      <c r="Z622" s="126" t="s">
        <v>6</v>
      </c>
      <c r="AA622" s="126" t="s">
        <v>6</v>
      </c>
      <c r="AB622" s="198"/>
      <c r="AC622" s="199"/>
      <c r="AD622" s="199"/>
      <c r="AE622" s="412" t="s">
        <v>113</v>
      </c>
      <c r="AF622" s="199"/>
      <c r="AG622" s="199"/>
      <c r="AH622" s="126" t="s">
        <v>6</v>
      </c>
      <c r="AI622" s="126" t="s">
        <v>6</v>
      </c>
      <c r="AJ622" s="198"/>
      <c r="AK622" s="199"/>
      <c r="AL622" s="199"/>
      <c r="AM622" s="199"/>
      <c r="AN622" s="199"/>
      <c r="AO622" s="199"/>
      <c r="AP622" s="199"/>
      <c r="AQ622" s="199"/>
      <c r="AR622" s="199"/>
      <c r="AS622" s="199"/>
      <c r="AT622" s="199"/>
      <c r="AU622" s="199"/>
      <c r="AV622" s="199"/>
      <c r="AW622" s="155"/>
    </row>
    <row r="623" spans="1:49" s="236" customFormat="1" ht="26.4">
      <c r="A623" s="40">
        <f t="shared" si="34"/>
        <v>617</v>
      </c>
      <c r="B623" s="199"/>
      <c r="C623" s="199"/>
      <c r="D623" s="199"/>
      <c r="E623" s="199"/>
      <c r="F623" s="199"/>
      <c r="G623" s="199"/>
      <c r="H623" s="199"/>
      <c r="I623" s="199"/>
      <c r="J623" s="412" t="s">
        <v>4693</v>
      </c>
      <c r="K623" s="232" t="s">
        <v>117</v>
      </c>
      <c r="L623" s="204" t="s">
        <v>691</v>
      </c>
      <c r="M623" s="351" t="s">
        <v>4694</v>
      </c>
      <c r="N623" s="40" t="s">
        <v>504</v>
      </c>
      <c r="O623" s="40"/>
      <c r="P623" s="40"/>
      <c r="Q623" s="40" t="s">
        <v>6</v>
      </c>
      <c r="R623" s="40" t="s">
        <v>6</v>
      </c>
      <c r="S623" s="40" t="s">
        <v>6</v>
      </c>
      <c r="T623" s="40"/>
      <c r="U623" s="204" t="s">
        <v>4695</v>
      </c>
      <c r="V623" s="204"/>
      <c r="W623" s="232" t="s">
        <v>133</v>
      </c>
      <c r="X623" s="199"/>
      <c r="Y623" s="199"/>
      <c r="Z623" s="126" t="s">
        <v>6</v>
      </c>
      <c r="AA623" s="126" t="s">
        <v>6</v>
      </c>
      <c r="AB623" s="198"/>
      <c r="AC623" s="199"/>
      <c r="AD623" s="199"/>
      <c r="AE623" s="232" t="s">
        <v>133</v>
      </c>
      <c r="AF623" s="199"/>
      <c r="AG623" s="199"/>
      <c r="AH623" s="126" t="s">
        <v>6</v>
      </c>
      <c r="AI623" s="126" t="s">
        <v>6</v>
      </c>
      <c r="AJ623" s="198"/>
      <c r="AK623" s="199"/>
      <c r="AL623" s="199"/>
      <c r="AM623" s="199" t="s">
        <v>4696</v>
      </c>
      <c r="AN623" s="199"/>
      <c r="AO623" s="199"/>
      <c r="AP623" s="199"/>
      <c r="AQ623" s="199"/>
      <c r="AR623" s="199"/>
      <c r="AS623" s="199"/>
      <c r="AT623" s="199"/>
      <c r="AU623" s="199"/>
      <c r="AV623" s="199"/>
      <c r="AW623" s="155"/>
    </row>
    <row r="624" spans="1:49" s="236" customFormat="1" ht="26.4">
      <c r="A624" s="40">
        <f t="shared" si="34"/>
        <v>618</v>
      </c>
      <c r="B624" s="199"/>
      <c r="C624" s="199"/>
      <c r="D624" s="199"/>
      <c r="E624" s="199"/>
      <c r="F624" s="199"/>
      <c r="G624" s="199"/>
      <c r="H624" s="199"/>
      <c r="I624" s="199"/>
      <c r="J624" s="412" t="s">
        <v>4697</v>
      </c>
      <c r="K624" s="232" t="s">
        <v>117</v>
      </c>
      <c r="L624" s="204" t="s">
        <v>4698</v>
      </c>
      <c r="M624" s="351" t="s">
        <v>4694</v>
      </c>
      <c r="N624" s="40" t="s">
        <v>504</v>
      </c>
      <c r="O624" s="40"/>
      <c r="P624" s="40"/>
      <c r="Q624" s="40" t="s">
        <v>6</v>
      </c>
      <c r="R624" s="40" t="s">
        <v>6</v>
      </c>
      <c r="S624" s="40" t="s">
        <v>6</v>
      </c>
      <c r="T624" s="40"/>
      <c r="U624" s="215" t="s">
        <v>4699</v>
      </c>
      <c r="V624" s="412"/>
      <c r="W624" s="232" t="s">
        <v>133</v>
      </c>
      <c r="X624" s="199"/>
      <c r="Y624" s="199"/>
      <c r="Z624" s="126" t="s">
        <v>6</v>
      </c>
      <c r="AA624" s="126" t="s">
        <v>6</v>
      </c>
      <c r="AB624" s="198"/>
      <c r="AC624" s="199"/>
      <c r="AD624" s="199"/>
      <c r="AE624" s="232" t="s">
        <v>133</v>
      </c>
      <c r="AF624" s="199"/>
      <c r="AG624" s="199"/>
      <c r="AH624" s="126" t="s">
        <v>6</v>
      </c>
      <c r="AI624" s="126" t="s">
        <v>6</v>
      </c>
      <c r="AJ624" s="198"/>
      <c r="AK624" s="199"/>
      <c r="AL624" s="199"/>
      <c r="AM624" s="199" t="s">
        <v>4696</v>
      </c>
      <c r="AN624" s="202"/>
      <c r="AO624" s="199"/>
      <c r="AP624" s="199"/>
      <c r="AQ624" s="199"/>
      <c r="AR624" s="199"/>
      <c r="AS624" s="199"/>
      <c r="AT624" s="199"/>
      <c r="AU624" s="199"/>
      <c r="AV624" s="199"/>
      <c r="AW624" s="155"/>
    </row>
    <row r="625" spans="1:49" s="236" customFormat="1" ht="26.4">
      <c r="A625" s="40">
        <f t="shared" si="34"/>
        <v>619</v>
      </c>
      <c r="B625" s="199"/>
      <c r="C625" s="199"/>
      <c r="D625" s="199"/>
      <c r="E625" s="199"/>
      <c r="F625" s="199"/>
      <c r="G625" s="199"/>
      <c r="H625" s="199"/>
      <c r="I625" s="199"/>
      <c r="J625" s="412" t="s">
        <v>4700</v>
      </c>
      <c r="K625" s="232" t="s">
        <v>117</v>
      </c>
      <c r="L625" s="204" t="s">
        <v>4701</v>
      </c>
      <c r="M625" s="351" t="s">
        <v>4694</v>
      </c>
      <c r="N625" s="40" t="s">
        <v>504</v>
      </c>
      <c r="O625" s="40"/>
      <c r="P625" s="40"/>
      <c r="Q625" s="40" t="s">
        <v>6</v>
      </c>
      <c r="R625" s="40" t="s">
        <v>6</v>
      </c>
      <c r="S625" s="40" t="s">
        <v>6</v>
      </c>
      <c r="T625" s="40"/>
      <c r="U625" s="215" t="s">
        <v>4699</v>
      </c>
      <c r="V625" s="412"/>
      <c r="W625" s="232" t="s">
        <v>133</v>
      </c>
      <c r="X625" s="199"/>
      <c r="Y625" s="199"/>
      <c r="Z625" s="126" t="s">
        <v>6</v>
      </c>
      <c r="AA625" s="126" t="s">
        <v>6</v>
      </c>
      <c r="AB625" s="198"/>
      <c r="AC625" s="199"/>
      <c r="AD625" s="199"/>
      <c r="AE625" s="232" t="s">
        <v>133</v>
      </c>
      <c r="AF625" s="199"/>
      <c r="AG625" s="199"/>
      <c r="AH625" s="126" t="s">
        <v>6</v>
      </c>
      <c r="AI625" s="126" t="s">
        <v>6</v>
      </c>
      <c r="AJ625" s="198"/>
      <c r="AK625" s="199"/>
      <c r="AL625" s="199"/>
      <c r="AM625" s="199" t="s">
        <v>4696</v>
      </c>
      <c r="AN625" s="202"/>
      <c r="AO625" s="199"/>
      <c r="AP625" s="199"/>
      <c r="AQ625" s="199"/>
      <c r="AR625" s="199"/>
      <c r="AS625" s="199"/>
      <c r="AT625" s="199"/>
      <c r="AU625" s="199"/>
      <c r="AV625" s="199"/>
      <c r="AW625" s="155"/>
    </row>
    <row r="626" spans="1:49" s="236" customFormat="1" ht="26.4">
      <c r="A626" s="40">
        <f t="shared" si="34"/>
        <v>620</v>
      </c>
      <c r="B626" s="199"/>
      <c r="C626" s="199"/>
      <c r="D626" s="199"/>
      <c r="E626" s="199"/>
      <c r="F626" s="199"/>
      <c r="G626" s="199"/>
      <c r="H626" s="199"/>
      <c r="I626" s="199"/>
      <c r="J626" s="412" t="s">
        <v>4702</v>
      </c>
      <c r="K626" s="232" t="s">
        <v>117</v>
      </c>
      <c r="L626" s="204" t="s">
        <v>4703</v>
      </c>
      <c r="M626" s="351" t="s">
        <v>4694</v>
      </c>
      <c r="N626" s="40" t="s">
        <v>504</v>
      </c>
      <c r="O626" s="40"/>
      <c r="P626" s="40"/>
      <c r="Q626" s="40" t="s">
        <v>6</v>
      </c>
      <c r="R626" s="40" t="s">
        <v>6</v>
      </c>
      <c r="S626" s="40" t="s">
        <v>6</v>
      </c>
      <c r="T626" s="40"/>
      <c r="U626" s="215" t="s">
        <v>4699</v>
      </c>
      <c r="V626" s="412"/>
      <c r="W626" s="232" t="s">
        <v>133</v>
      </c>
      <c r="X626" s="199"/>
      <c r="Y626" s="199"/>
      <c r="Z626" s="126" t="s">
        <v>6</v>
      </c>
      <c r="AA626" s="126" t="s">
        <v>6</v>
      </c>
      <c r="AB626" s="198"/>
      <c r="AC626" s="199"/>
      <c r="AD626" s="199"/>
      <c r="AE626" s="232" t="s">
        <v>133</v>
      </c>
      <c r="AF626" s="199"/>
      <c r="AG626" s="199"/>
      <c r="AH626" s="126" t="s">
        <v>6</v>
      </c>
      <c r="AI626" s="126" t="s">
        <v>6</v>
      </c>
      <c r="AJ626" s="198"/>
      <c r="AK626" s="199"/>
      <c r="AL626" s="199"/>
      <c r="AM626" s="199" t="s">
        <v>4696</v>
      </c>
      <c r="AN626" s="202"/>
      <c r="AO626" s="199"/>
      <c r="AP626" s="199"/>
      <c r="AQ626" s="199"/>
      <c r="AR626" s="199"/>
      <c r="AS626" s="199"/>
      <c r="AT626" s="199"/>
      <c r="AU626" s="199"/>
      <c r="AV626" s="199"/>
      <c r="AW626" s="155"/>
    </row>
    <row r="627" spans="1:49" s="236" customFormat="1" ht="26.4">
      <c r="A627" s="40">
        <f t="shared" si="34"/>
        <v>621</v>
      </c>
      <c r="B627" s="199"/>
      <c r="C627" s="199"/>
      <c r="D627" s="199"/>
      <c r="E627" s="199"/>
      <c r="F627" s="199"/>
      <c r="G627" s="199"/>
      <c r="H627" s="199"/>
      <c r="I627" s="199"/>
      <c r="J627" s="412" t="s">
        <v>4704</v>
      </c>
      <c r="K627" s="232" t="s">
        <v>117</v>
      </c>
      <c r="L627" s="204" t="s">
        <v>4705</v>
      </c>
      <c r="M627" s="351" t="s">
        <v>4694</v>
      </c>
      <c r="N627" s="40" t="s">
        <v>504</v>
      </c>
      <c r="O627" s="40"/>
      <c r="P627" s="40"/>
      <c r="Q627" s="40" t="s">
        <v>6</v>
      </c>
      <c r="R627" s="40" t="s">
        <v>6</v>
      </c>
      <c r="S627" s="40" t="s">
        <v>6</v>
      </c>
      <c r="T627" s="40"/>
      <c r="U627" s="215" t="s">
        <v>4699</v>
      </c>
      <c r="V627" s="412"/>
      <c r="W627" s="232" t="s">
        <v>133</v>
      </c>
      <c r="X627" s="199"/>
      <c r="Y627" s="199"/>
      <c r="Z627" s="126" t="s">
        <v>6</v>
      </c>
      <c r="AA627" s="126" t="s">
        <v>6</v>
      </c>
      <c r="AB627" s="198"/>
      <c r="AC627" s="199"/>
      <c r="AD627" s="199"/>
      <c r="AE627" s="232" t="s">
        <v>133</v>
      </c>
      <c r="AF627" s="199"/>
      <c r="AG627" s="199"/>
      <c r="AH627" s="126" t="s">
        <v>6</v>
      </c>
      <c r="AI627" s="126" t="s">
        <v>6</v>
      </c>
      <c r="AJ627" s="198"/>
      <c r="AK627" s="199"/>
      <c r="AL627" s="199"/>
      <c r="AM627" s="199" t="s">
        <v>4696</v>
      </c>
      <c r="AN627" s="202"/>
      <c r="AO627" s="199"/>
      <c r="AP627" s="199"/>
      <c r="AQ627" s="199"/>
      <c r="AR627" s="199"/>
      <c r="AS627" s="199"/>
      <c r="AT627" s="199"/>
      <c r="AU627" s="199"/>
      <c r="AV627" s="199"/>
      <c r="AW627" s="155"/>
    </row>
    <row r="628" spans="1:49" s="236" customFormat="1" ht="26.4">
      <c r="A628" s="40">
        <f t="shared" si="34"/>
        <v>622</v>
      </c>
      <c r="B628" s="199"/>
      <c r="C628" s="199"/>
      <c r="D628" s="199"/>
      <c r="E628" s="199"/>
      <c r="F628" s="199"/>
      <c r="G628" s="199"/>
      <c r="H628" s="199"/>
      <c r="I628" s="199"/>
      <c r="J628" s="412" t="s">
        <v>4706</v>
      </c>
      <c r="K628" s="232" t="s">
        <v>117</v>
      </c>
      <c r="L628" s="204" t="s">
        <v>4707</v>
      </c>
      <c r="M628" s="351" t="s">
        <v>4694</v>
      </c>
      <c r="N628" s="40" t="s">
        <v>504</v>
      </c>
      <c r="O628" s="40"/>
      <c r="P628" s="40"/>
      <c r="Q628" s="40" t="s">
        <v>6</v>
      </c>
      <c r="R628" s="40" t="s">
        <v>6</v>
      </c>
      <c r="S628" s="40" t="s">
        <v>6</v>
      </c>
      <c r="T628" s="40"/>
      <c r="U628" s="215" t="s">
        <v>4699</v>
      </c>
      <c r="V628" s="412"/>
      <c r="W628" s="232" t="s">
        <v>133</v>
      </c>
      <c r="X628" s="199"/>
      <c r="Y628" s="199"/>
      <c r="Z628" s="126" t="s">
        <v>6</v>
      </c>
      <c r="AA628" s="126" t="s">
        <v>6</v>
      </c>
      <c r="AB628" s="198"/>
      <c r="AC628" s="199"/>
      <c r="AD628" s="199"/>
      <c r="AE628" s="232" t="s">
        <v>133</v>
      </c>
      <c r="AF628" s="199"/>
      <c r="AG628" s="199"/>
      <c r="AH628" s="126" t="s">
        <v>6</v>
      </c>
      <c r="AI628" s="126" t="s">
        <v>6</v>
      </c>
      <c r="AJ628" s="198"/>
      <c r="AK628" s="199"/>
      <c r="AL628" s="199"/>
      <c r="AM628" s="199" t="s">
        <v>4696</v>
      </c>
      <c r="AN628" s="202"/>
      <c r="AO628" s="199"/>
      <c r="AP628" s="199"/>
      <c r="AQ628" s="199"/>
      <c r="AR628" s="199"/>
      <c r="AS628" s="199"/>
      <c r="AT628" s="199"/>
      <c r="AU628" s="199"/>
      <c r="AV628" s="199"/>
      <c r="AW628" s="155"/>
    </row>
    <row r="629" spans="1:49" s="236" customFormat="1" ht="15">
      <c r="A629" s="40">
        <f t="shared" si="34"/>
        <v>623</v>
      </c>
      <c r="B629" s="199"/>
      <c r="C629" s="199"/>
      <c r="D629" s="199"/>
      <c r="E629" s="199"/>
      <c r="F629" s="199"/>
      <c r="G629" s="199"/>
      <c r="H629" s="199"/>
      <c r="I629" s="199"/>
      <c r="J629" s="215" t="s">
        <v>3903</v>
      </c>
      <c r="K629" s="232" t="s">
        <v>117</v>
      </c>
      <c r="L629" s="204" t="s">
        <v>3904</v>
      </c>
      <c r="M629" s="351"/>
      <c r="N629" s="40" t="s">
        <v>504</v>
      </c>
      <c r="O629" s="40"/>
      <c r="P629" s="40"/>
      <c r="Q629" s="40"/>
      <c r="R629" s="40" t="s">
        <v>6</v>
      </c>
      <c r="S629" s="40" t="s">
        <v>6</v>
      </c>
      <c r="T629" s="40"/>
      <c r="U629" s="204" t="s">
        <v>4708</v>
      </c>
      <c r="V629" s="204"/>
      <c r="W629" s="232" t="s">
        <v>133</v>
      </c>
      <c r="X629" s="40"/>
      <c r="Y629" s="40"/>
      <c r="Z629" s="126" t="s">
        <v>6</v>
      </c>
      <c r="AA629" s="126" t="s">
        <v>6</v>
      </c>
      <c r="AB629" s="198"/>
      <c r="AC629" s="199"/>
      <c r="AD629" s="199"/>
      <c r="AE629" s="232" t="s">
        <v>133</v>
      </c>
      <c r="AF629" s="40"/>
      <c r="AG629" s="40"/>
      <c r="AH629" s="126" t="s">
        <v>6</v>
      </c>
      <c r="AI629" s="126" t="s">
        <v>6</v>
      </c>
      <c r="AJ629" s="198"/>
      <c r="AK629" s="199"/>
      <c r="AL629" s="199"/>
      <c r="AM629" s="199"/>
      <c r="AN629" s="199"/>
      <c r="AO629" s="199"/>
      <c r="AP629" s="199"/>
      <c r="AQ629" s="199"/>
      <c r="AR629" s="199"/>
      <c r="AS629" s="199"/>
      <c r="AT629" s="199"/>
      <c r="AU629" s="199"/>
      <c r="AV629" s="199"/>
      <c r="AW629" s="155"/>
    </row>
    <row r="630" spans="1:49" s="236" customFormat="1" ht="15">
      <c r="A630" s="40">
        <f t="shared" si="34"/>
        <v>624</v>
      </c>
      <c r="B630" s="199"/>
      <c r="C630" s="199"/>
      <c r="D630" s="199"/>
      <c r="E630" s="199"/>
      <c r="F630" s="199"/>
      <c r="G630" s="199"/>
      <c r="H630" s="199"/>
      <c r="I630" s="199"/>
      <c r="J630" s="215" t="s">
        <v>4709</v>
      </c>
      <c r="K630" s="232" t="s">
        <v>117</v>
      </c>
      <c r="L630" s="204" t="s">
        <v>4710</v>
      </c>
      <c r="M630" s="351"/>
      <c r="N630" s="40" t="s">
        <v>504</v>
      </c>
      <c r="O630" s="40"/>
      <c r="P630" s="40"/>
      <c r="Q630" s="40"/>
      <c r="R630" s="40" t="s">
        <v>6</v>
      </c>
      <c r="S630" s="40" t="s">
        <v>6</v>
      </c>
      <c r="T630" s="40"/>
      <c r="U630" s="204" t="s">
        <v>4711</v>
      </c>
      <c r="V630" s="204"/>
      <c r="W630" s="232" t="s">
        <v>133</v>
      </c>
      <c r="X630" s="40"/>
      <c r="Y630" s="40"/>
      <c r="Z630" s="126" t="s">
        <v>6</v>
      </c>
      <c r="AA630" s="126" t="s">
        <v>6</v>
      </c>
      <c r="AB630" s="198"/>
      <c r="AC630" s="199"/>
      <c r="AD630" s="199"/>
      <c r="AE630" s="232" t="s">
        <v>133</v>
      </c>
      <c r="AF630" s="40"/>
      <c r="AG630" s="40"/>
      <c r="AH630" s="126" t="s">
        <v>6</v>
      </c>
      <c r="AI630" s="126" t="s">
        <v>6</v>
      </c>
      <c r="AJ630" s="198"/>
      <c r="AK630" s="199"/>
      <c r="AL630" s="199"/>
      <c r="AM630" s="199"/>
      <c r="AN630" s="199"/>
      <c r="AO630" s="199"/>
      <c r="AP630" s="199"/>
      <c r="AQ630" s="199"/>
      <c r="AR630" s="199"/>
      <c r="AS630" s="199"/>
      <c r="AT630" s="199"/>
      <c r="AU630" s="199"/>
      <c r="AV630" s="199"/>
      <c r="AW630" s="155"/>
    </row>
    <row r="631" spans="1:49" s="236" customFormat="1" ht="15">
      <c r="A631" s="40">
        <f t="shared" si="34"/>
        <v>625</v>
      </c>
      <c r="B631" s="199"/>
      <c r="C631" s="199"/>
      <c r="D631" s="199"/>
      <c r="E631" s="199"/>
      <c r="F631" s="199"/>
      <c r="G631" s="199"/>
      <c r="H631" s="199"/>
      <c r="I631" s="199"/>
      <c r="J631" s="412" t="s">
        <v>4712</v>
      </c>
      <c r="K631" s="232" t="s">
        <v>117</v>
      </c>
      <c r="L631" s="204" t="s">
        <v>4713</v>
      </c>
      <c r="M631" s="351"/>
      <c r="N631" s="40" t="s">
        <v>504</v>
      </c>
      <c r="O631" s="40"/>
      <c r="P631" s="40"/>
      <c r="Q631" s="40"/>
      <c r="R631" s="40" t="s">
        <v>6</v>
      </c>
      <c r="S631" s="40" t="s">
        <v>6</v>
      </c>
      <c r="T631" s="40"/>
      <c r="U631" s="215" t="s">
        <v>4714</v>
      </c>
      <c r="V631" s="412"/>
      <c r="W631" s="232" t="s">
        <v>133</v>
      </c>
      <c r="X631" s="199"/>
      <c r="Y631" s="199"/>
      <c r="Z631" s="126" t="s">
        <v>6</v>
      </c>
      <c r="AA631" s="126" t="s">
        <v>6</v>
      </c>
      <c r="AB631" s="198"/>
      <c r="AC631" s="199"/>
      <c r="AD631" s="199"/>
      <c r="AE631" s="232" t="s">
        <v>133</v>
      </c>
      <c r="AF631" s="199"/>
      <c r="AG631" s="199"/>
      <c r="AH631" s="126" t="s">
        <v>6</v>
      </c>
      <c r="AI631" s="126" t="s">
        <v>6</v>
      </c>
      <c r="AJ631" s="198"/>
      <c r="AK631" s="199"/>
      <c r="AL631" s="199"/>
      <c r="AM631" s="199"/>
      <c r="AN631" s="199"/>
      <c r="AO631" s="199"/>
      <c r="AP631" s="199"/>
      <c r="AQ631" s="199"/>
      <c r="AR631" s="199"/>
      <c r="AS631" s="199"/>
      <c r="AT631" s="199"/>
      <c r="AU631" s="199"/>
      <c r="AV631" s="199"/>
      <c r="AW631" s="155"/>
    </row>
    <row r="632" spans="1:49" s="236" customFormat="1" ht="15">
      <c r="A632" s="40">
        <f t="shared" si="34"/>
        <v>626</v>
      </c>
      <c r="B632" s="199"/>
      <c r="C632" s="199"/>
      <c r="D632" s="199"/>
      <c r="E632" s="199"/>
      <c r="F632" s="199"/>
      <c r="G632" s="199"/>
      <c r="H632" s="199"/>
      <c r="I632" s="199"/>
      <c r="J632" s="412" t="s">
        <v>4715</v>
      </c>
      <c r="K632" s="232" t="s">
        <v>117</v>
      </c>
      <c r="L632" s="204" t="s">
        <v>4716</v>
      </c>
      <c r="M632" s="351"/>
      <c r="N632" s="40" t="s">
        <v>504</v>
      </c>
      <c r="O632" s="40"/>
      <c r="P632" s="40"/>
      <c r="Q632" s="40"/>
      <c r="R632" s="40" t="s">
        <v>6</v>
      </c>
      <c r="S632" s="40" t="s">
        <v>6</v>
      </c>
      <c r="T632" s="40"/>
      <c r="U632" s="215" t="s">
        <v>4714</v>
      </c>
      <c r="V632" s="412"/>
      <c r="W632" s="232" t="s">
        <v>133</v>
      </c>
      <c r="X632" s="199"/>
      <c r="Y632" s="199"/>
      <c r="Z632" s="126" t="s">
        <v>6</v>
      </c>
      <c r="AA632" s="126" t="s">
        <v>6</v>
      </c>
      <c r="AB632" s="198"/>
      <c r="AC632" s="199"/>
      <c r="AD632" s="199"/>
      <c r="AE632" s="232" t="s">
        <v>133</v>
      </c>
      <c r="AF632" s="199"/>
      <c r="AG632" s="199"/>
      <c r="AH632" s="126" t="s">
        <v>6</v>
      </c>
      <c r="AI632" s="126" t="s">
        <v>6</v>
      </c>
      <c r="AJ632" s="198"/>
      <c r="AK632" s="199"/>
      <c r="AL632" s="199"/>
      <c r="AM632" s="199"/>
      <c r="AN632" s="199"/>
      <c r="AO632" s="199"/>
      <c r="AP632" s="199"/>
      <c r="AQ632" s="199"/>
      <c r="AR632" s="199"/>
      <c r="AS632" s="199"/>
      <c r="AT632" s="199"/>
      <c r="AU632" s="199"/>
      <c r="AV632" s="199"/>
      <c r="AW632" s="155"/>
    </row>
    <row r="633" spans="1:49" s="236" customFormat="1" ht="15">
      <c r="A633" s="40">
        <f t="shared" si="34"/>
        <v>627</v>
      </c>
      <c r="B633" s="199"/>
      <c r="C633" s="199"/>
      <c r="D633" s="199"/>
      <c r="E633" s="199"/>
      <c r="F633" s="199"/>
      <c r="G633" s="199"/>
      <c r="H633" s="199"/>
      <c r="I633" s="199"/>
      <c r="J633" s="412" t="s">
        <v>4717</v>
      </c>
      <c r="K633" s="232" t="s">
        <v>117</v>
      </c>
      <c r="L633" s="204" t="s">
        <v>4718</v>
      </c>
      <c r="M633" s="351"/>
      <c r="N633" s="40" t="s">
        <v>504</v>
      </c>
      <c r="O633" s="40"/>
      <c r="P633" s="40"/>
      <c r="Q633" s="40"/>
      <c r="R633" s="40" t="s">
        <v>6</v>
      </c>
      <c r="S633" s="40" t="s">
        <v>6</v>
      </c>
      <c r="T633" s="40"/>
      <c r="U633" s="215" t="s">
        <v>4714</v>
      </c>
      <c r="V633" s="412"/>
      <c r="W633" s="232" t="s">
        <v>133</v>
      </c>
      <c r="X633" s="199"/>
      <c r="Y633" s="199"/>
      <c r="Z633" s="126" t="s">
        <v>6</v>
      </c>
      <c r="AA633" s="126" t="s">
        <v>6</v>
      </c>
      <c r="AB633" s="198"/>
      <c r="AC633" s="199"/>
      <c r="AD633" s="199"/>
      <c r="AE633" s="232" t="s">
        <v>133</v>
      </c>
      <c r="AF633" s="199"/>
      <c r="AG633" s="199"/>
      <c r="AH633" s="126" t="s">
        <v>6</v>
      </c>
      <c r="AI633" s="126" t="s">
        <v>6</v>
      </c>
      <c r="AJ633" s="198"/>
      <c r="AK633" s="199"/>
      <c r="AL633" s="199"/>
      <c r="AM633" s="199"/>
      <c r="AN633" s="199"/>
      <c r="AO633" s="199"/>
      <c r="AP633" s="199"/>
      <c r="AQ633" s="199"/>
      <c r="AR633" s="199"/>
      <c r="AS633" s="199"/>
      <c r="AT633" s="199"/>
      <c r="AU633" s="199"/>
      <c r="AV633" s="199"/>
      <c r="AW633" s="155"/>
    </row>
    <row r="634" spans="1:49" s="236" customFormat="1" ht="15">
      <c r="A634" s="40">
        <f t="shared" si="34"/>
        <v>628</v>
      </c>
      <c r="B634" s="199"/>
      <c r="C634" s="199"/>
      <c r="D634" s="199"/>
      <c r="E634" s="199"/>
      <c r="F634" s="199"/>
      <c r="G634" s="199"/>
      <c r="H634" s="199"/>
      <c r="I634" s="199"/>
      <c r="J634" s="412" t="s">
        <v>4719</v>
      </c>
      <c r="K634" s="232" t="s">
        <v>117</v>
      </c>
      <c r="L634" s="204" t="s">
        <v>4720</v>
      </c>
      <c r="M634" s="351"/>
      <c r="N634" s="40" t="s">
        <v>504</v>
      </c>
      <c r="O634" s="40"/>
      <c r="P634" s="40"/>
      <c r="Q634" s="40"/>
      <c r="R634" s="40" t="s">
        <v>6</v>
      </c>
      <c r="S634" s="40" t="s">
        <v>6</v>
      </c>
      <c r="T634" s="40"/>
      <c r="U634" s="215" t="s">
        <v>4714</v>
      </c>
      <c r="V634" s="412"/>
      <c r="W634" s="232" t="s">
        <v>133</v>
      </c>
      <c r="X634" s="199"/>
      <c r="Y634" s="199"/>
      <c r="Z634" s="126" t="s">
        <v>6</v>
      </c>
      <c r="AA634" s="126" t="s">
        <v>6</v>
      </c>
      <c r="AB634" s="198"/>
      <c r="AC634" s="199"/>
      <c r="AD634" s="199"/>
      <c r="AE634" s="232" t="s">
        <v>133</v>
      </c>
      <c r="AF634" s="199"/>
      <c r="AG634" s="199"/>
      <c r="AH634" s="126" t="s">
        <v>6</v>
      </c>
      <c r="AI634" s="126" t="s">
        <v>6</v>
      </c>
      <c r="AJ634" s="198"/>
      <c r="AK634" s="199"/>
      <c r="AL634" s="199"/>
      <c r="AM634" s="199"/>
      <c r="AN634" s="199"/>
      <c r="AO634" s="199"/>
      <c r="AP634" s="199"/>
      <c r="AQ634" s="199"/>
      <c r="AR634" s="199"/>
      <c r="AS634" s="199"/>
      <c r="AT634" s="199"/>
      <c r="AU634" s="199"/>
      <c r="AV634" s="199"/>
      <c r="AW634" s="155"/>
    </row>
    <row r="635" spans="1:49" s="236" customFormat="1" ht="15">
      <c r="A635" s="40">
        <f t="shared" si="34"/>
        <v>629</v>
      </c>
      <c r="B635" s="199"/>
      <c r="C635" s="199"/>
      <c r="D635" s="199"/>
      <c r="E635" s="199"/>
      <c r="F635" s="199"/>
      <c r="G635" s="199"/>
      <c r="H635" s="199"/>
      <c r="I635" s="199"/>
      <c r="J635" s="412" t="s">
        <v>4721</v>
      </c>
      <c r="K635" s="232" t="s">
        <v>117</v>
      </c>
      <c r="L635" s="204" t="s">
        <v>4722</v>
      </c>
      <c r="M635" s="351"/>
      <c r="N635" s="40" t="s">
        <v>504</v>
      </c>
      <c r="O635" s="40"/>
      <c r="P635" s="40"/>
      <c r="Q635" s="40"/>
      <c r="R635" s="40" t="s">
        <v>6</v>
      </c>
      <c r="S635" s="40" t="s">
        <v>6</v>
      </c>
      <c r="T635" s="40"/>
      <c r="U635" s="215" t="s">
        <v>4714</v>
      </c>
      <c r="V635" s="412"/>
      <c r="W635" s="232" t="s">
        <v>133</v>
      </c>
      <c r="X635" s="199"/>
      <c r="Y635" s="199"/>
      <c r="Z635" s="126" t="s">
        <v>6</v>
      </c>
      <c r="AA635" s="126" t="s">
        <v>6</v>
      </c>
      <c r="AB635" s="198"/>
      <c r="AC635" s="199"/>
      <c r="AD635" s="199"/>
      <c r="AE635" s="232" t="s">
        <v>133</v>
      </c>
      <c r="AF635" s="199"/>
      <c r="AG635" s="199"/>
      <c r="AH635" s="126" t="s">
        <v>6</v>
      </c>
      <c r="AI635" s="126" t="s">
        <v>6</v>
      </c>
      <c r="AJ635" s="198"/>
      <c r="AK635" s="199"/>
      <c r="AL635" s="199"/>
      <c r="AM635" s="199"/>
      <c r="AN635" s="199"/>
      <c r="AO635" s="199"/>
      <c r="AP635" s="199"/>
      <c r="AQ635" s="199"/>
      <c r="AR635" s="199"/>
      <c r="AS635" s="199"/>
      <c r="AT635" s="199"/>
      <c r="AU635" s="199"/>
      <c r="AV635" s="199"/>
      <c r="AW635" s="155"/>
    </row>
    <row r="636" spans="1:49" s="236" customFormat="1" ht="15">
      <c r="A636" s="40">
        <f t="shared" si="34"/>
        <v>630</v>
      </c>
      <c r="B636" s="199"/>
      <c r="C636" s="199"/>
      <c r="D636" s="199"/>
      <c r="E636" s="199"/>
      <c r="F636" s="199"/>
      <c r="G636" s="199"/>
      <c r="H636" s="199"/>
      <c r="I636" s="199"/>
      <c r="J636" s="412" t="s">
        <v>4723</v>
      </c>
      <c r="K636" s="232" t="s">
        <v>117</v>
      </c>
      <c r="L636" s="204" t="s">
        <v>1313</v>
      </c>
      <c r="M636" s="351"/>
      <c r="N636" s="40" t="s">
        <v>504</v>
      </c>
      <c r="O636" s="40"/>
      <c r="P636" s="40"/>
      <c r="Q636" s="40" t="s">
        <v>6</v>
      </c>
      <c r="R636" s="40" t="s">
        <v>6</v>
      </c>
      <c r="S636" s="40" t="s">
        <v>6</v>
      </c>
      <c r="T636" s="40"/>
      <c r="U636" s="204"/>
      <c r="V636" s="232"/>
      <c r="W636" s="412" t="s">
        <v>90</v>
      </c>
      <c r="X636" s="199"/>
      <c r="Y636" s="199"/>
      <c r="Z636" s="199"/>
      <c r="AA636" s="126" t="s">
        <v>6</v>
      </c>
      <c r="AB636" s="198"/>
      <c r="AC636" s="199"/>
      <c r="AD636" s="199"/>
      <c r="AE636" s="412" t="s">
        <v>90</v>
      </c>
      <c r="AF636" s="199"/>
      <c r="AG636" s="199"/>
      <c r="AH636" s="199"/>
      <c r="AI636" s="126" t="s">
        <v>6</v>
      </c>
      <c r="AJ636" s="198"/>
      <c r="AK636" s="199"/>
      <c r="AL636" s="199"/>
      <c r="AM636" s="199"/>
      <c r="AN636" s="199"/>
      <c r="AO636" s="199"/>
      <c r="AP636" s="199"/>
      <c r="AQ636" s="199"/>
      <c r="AR636" s="199"/>
      <c r="AS636" s="199"/>
      <c r="AT636" s="199"/>
      <c r="AU636" s="199"/>
      <c r="AV636" s="199"/>
      <c r="AW636" s="155"/>
    </row>
    <row r="637" spans="1:49" s="236" customFormat="1" ht="15">
      <c r="A637" s="40">
        <f t="shared" si="34"/>
        <v>631</v>
      </c>
      <c r="B637" s="199"/>
      <c r="C637" s="199"/>
      <c r="D637" s="199"/>
      <c r="E637" s="199"/>
      <c r="F637" s="199"/>
      <c r="G637" s="199"/>
      <c r="H637" s="199"/>
      <c r="I637" s="199"/>
      <c r="J637" s="412" t="s">
        <v>4724</v>
      </c>
      <c r="K637" s="232" t="s">
        <v>117</v>
      </c>
      <c r="L637" s="204" t="s">
        <v>1320</v>
      </c>
      <c r="M637" s="351"/>
      <c r="N637" s="40" t="s">
        <v>504</v>
      </c>
      <c r="O637" s="40"/>
      <c r="P637" s="40"/>
      <c r="Q637" s="40" t="s">
        <v>6</v>
      </c>
      <c r="R637" s="40" t="s">
        <v>6</v>
      </c>
      <c r="S637" s="40" t="s">
        <v>6</v>
      </c>
      <c r="T637" s="40"/>
      <c r="U637" s="204"/>
      <c r="V637" s="232"/>
      <c r="W637" s="412" t="s">
        <v>90</v>
      </c>
      <c r="X637" s="199"/>
      <c r="Y637" s="199"/>
      <c r="Z637" s="199"/>
      <c r="AA637" s="126" t="s">
        <v>6</v>
      </c>
      <c r="AB637" s="198"/>
      <c r="AC637" s="199"/>
      <c r="AD637" s="199"/>
      <c r="AE637" s="412" t="s">
        <v>90</v>
      </c>
      <c r="AF637" s="199"/>
      <c r="AG637" s="199"/>
      <c r="AH637" s="199"/>
      <c r="AI637" s="126" t="s">
        <v>6</v>
      </c>
      <c r="AJ637" s="198"/>
      <c r="AK637" s="199"/>
      <c r="AL637" s="199"/>
      <c r="AM637" s="199"/>
      <c r="AN637" s="199"/>
      <c r="AO637" s="199"/>
      <c r="AP637" s="199"/>
      <c r="AQ637" s="199"/>
      <c r="AR637" s="199"/>
      <c r="AS637" s="199"/>
      <c r="AT637" s="199"/>
      <c r="AU637" s="199"/>
      <c r="AV637" s="199"/>
      <c r="AW637" s="155"/>
    </row>
    <row r="638" spans="1:49" s="236" customFormat="1" ht="15">
      <c r="A638" s="40">
        <f t="shared" si="34"/>
        <v>632</v>
      </c>
      <c r="B638" s="199"/>
      <c r="C638" s="199"/>
      <c r="D638" s="199"/>
      <c r="E638" s="199"/>
      <c r="F638" s="199"/>
      <c r="G638" s="199"/>
      <c r="H638" s="199"/>
      <c r="I638" s="199"/>
      <c r="J638" s="412" t="s">
        <v>4725</v>
      </c>
      <c r="K638" s="232" t="s">
        <v>117</v>
      </c>
      <c r="L638" s="204" t="s">
        <v>1326</v>
      </c>
      <c r="M638" s="351"/>
      <c r="N638" s="40" t="s">
        <v>504</v>
      </c>
      <c r="O638" s="40"/>
      <c r="P638" s="40"/>
      <c r="Q638" s="40" t="s">
        <v>6</v>
      </c>
      <c r="R638" s="40" t="s">
        <v>6</v>
      </c>
      <c r="S638" s="40" t="s">
        <v>6</v>
      </c>
      <c r="T638" s="40"/>
      <c r="U638" s="204"/>
      <c r="V638" s="232"/>
      <c r="W638" s="412" t="s">
        <v>90</v>
      </c>
      <c r="X638" s="199"/>
      <c r="Y638" s="199"/>
      <c r="Z638" s="199"/>
      <c r="AA638" s="126" t="s">
        <v>6</v>
      </c>
      <c r="AB638" s="198"/>
      <c r="AC638" s="199"/>
      <c r="AD638" s="199"/>
      <c r="AE638" s="412" t="s">
        <v>90</v>
      </c>
      <c r="AF638" s="199"/>
      <c r="AG638" s="199"/>
      <c r="AH638" s="199"/>
      <c r="AI638" s="126" t="s">
        <v>6</v>
      </c>
      <c r="AJ638" s="198"/>
      <c r="AK638" s="199"/>
      <c r="AL638" s="199"/>
      <c r="AM638" s="199"/>
      <c r="AN638" s="199"/>
      <c r="AO638" s="199"/>
      <c r="AP638" s="199"/>
      <c r="AQ638" s="199"/>
      <c r="AR638" s="199"/>
      <c r="AS638" s="199"/>
      <c r="AT638" s="199"/>
      <c r="AU638" s="199"/>
      <c r="AV638" s="199"/>
      <c r="AW638" s="155"/>
    </row>
    <row r="639" spans="1:49" s="236" customFormat="1" ht="15">
      <c r="A639" s="40">
        <f t="shared" si="34"/>
        <v>633</v>
      </c>
      <c r="B639" s="199"/>
      <c r="C639" s="199"/>
      <c r="D639" s="199"/>
      <c r="E639" s="199"/>
      <c r="F639" s="199"/>
      <c r="G639" s="199"/>
      <c r="H639" s="199"/>
      <c r="I639" s="199"/>
      <c r="J639" s="412" t="s">
        <v>4726</v>
      </c>
      <c r="K639" s="232" t="s">
        <v>117</v>
      </c>
      <c r="L639" s="204" t="s">
        <v>1332</v>
      </c>
      <c r="M639" s="351"/>
      <c r="N639" s="40" t="s">
        <v>504</v>
      </c>
      <c r="O639" s="40"/>
      <c r="P639" s="40"/>
      <c r="Q639" s="40" t="s">
        <v>6</v>
      </c>
      <c r="R639" s="40" t="s">
        <v>6</v>
      </c>
      <c r="S639" s="40" t="s">
        <v>6</v>
      </c>
      <c r="T639" s="40"/>
      <c r="U639" s="204"/>
      <c r="V639" s="232"/>
      <c r="W639" s="412" t="s">
        <v>90</v>
      </c>
      <c r="X639" s="199"/>
      <c r="Y639" s="199"/>
      <c r="Z639" s="199"/>
      <c r="AA639" s="126" t="s">
        <v>6</v>
      </c>
      <c r="AB639" s="198"/>
      <c r="AC639" s="199"/>
      <c r="AD639" s="199"/>
      <c r="AE639" s="412" t="s">
        <v>90</v>
      </c>
      <c r="AF639" s="199"/>
      <c r="AG639" s="199"/>
      <c r="AH639" s="199"/>
      <c r="AI639" s="126" t="s">
        <v>6</v>
      </c>
      <c r="AJ639" s="198"/>
      <c r="AK639" s="199"/>
      <c r="AL639" s="199"/>
      <c r="AM639" s="199"/>
      <c r="AN639" s="199"/>
      <c r="AO639" s="199"/>
      <c r="AP639" s="199"/>
      <c r="AQ639" s="199"/>
      <c r="AR639" s="199"/>
      <c r="AS639" s="199"/>
      <c r="AT639" s="199"/>
      <c r="AU639" s="199"/>
      <c r="AV639" s="199"/>
      <c r="AW639" s="155"/>
    </row>
    <row r="640" spans="1:49" s="236" customFormat="1" ht="15">
      <c r="A640" s="40">
        <f t="shared" si="34"/>
        <v>634</v>
      </c>
      <c r="B640" s="199"/>
      <c r="C640" s="199"/>
      <c r="D640" s="199"/>
      <c r="E640" s="199"/>
      <c r="F640" s="199"/>
      <c r="G640" s="199"/>
      <c r="H640" s="199"/>
      <c r="I640" s="199"/>
      <c r="J640" s="412" t="s">
        <v>4727</v>
      </c>
      <c r="K640" s="232" t="s">
        <v>117</v>
      </c>
      <c r="L640" s="204" t="s">
        <v>1343</v>
      </c>
      <c r="M640" s="351"/>
      <c r="N640" s="40" t="s">
        <v>504</v>
      </c>
      <c r="O640" s="40"/>
      <c r="P640" s="40"/>
      <c r="Q640" s="40" t="s">
        <v>6</v>
      </c>
      <c r="R640" s="40" t="s">
        <v>6</v>
      </c>
      <c r="S640" s="40" t="s">
        <v>6</v>
      </c>
      <c r="T640" s="40"/>
      <c r="U640" s="204"/>
      <c r="V640" s="232"/>
      <c r="W640" s="412" t="s">
        <v>90</v>
      </c>
      <c r="X640" s="199"/>
      <c r="Y640" s="199"/>
      <c r="Z640" s="199"/>
      <c r="AA640" s="126" t="s">
        <v>6</v>
      </c>
      <c r="AB640" s="198"/>
      <c r="AC640" s="199"/>
      <c r="AD640" s="199"/>
      <c r="AE640" s="412" t="s">
        <v>90</v>
      </c>
      <c r="AF640" s="199"/>
      <c r="AG640" s="199"/>
      <c r="AH640" s="199"/>
      <c r="AI640" s="126" t="s">
        <v>6</v>
      </c>
      <c r="AJ640" s="198"/>
      <c r="AK640" s="199"/>
      <c r="AL640" s="199"/>
      <c r="AM640" s="199"/>
      <c r="AN640" s="199"/>
      <c r="AO640" s="199"/>
      <c r="AP640" s="199"/>
      <c r="AQ640" s="199"/>
      <c r="AR640" s="199"/>
      <c r="AS640" s="199"/>
      <c r="AT640" s="199"/>
      <c r="AU640" s="199"/>
      <c r="AV640" s="199"/>
      <c r="AW640" s="155"/>
    </row>
    <row r="641" spans="1:49" s="236" customFormat="1" ht="15">
      <c r="A641" s="40">
        <f t="shared" si="34"/>
        <v>635</v>
      </c>
      <c r="B641" s="199"/>
      <c r="C641" s="199"/>
      <c r="D641" s="199"/>
      <c r="E641" s="199"/>
      <c r="F641" s="199"/>
      <c r="G641" s="199"/>
      <c r="H641" s="199"/>
      <c r="I641" s="199"/>
      <c r="J641" s="412" t="s">
        <v>4728</v>
      </c>
      <c r="K641" s="232" t="s">
        <v>117</v>
      </c>
      <c r="L641" s="204" t="s">
        <v>1350</v>
      </c>
      <c r="M641" s="351"/>
      <c r="N641" s="40" t="s">
        <v>504</v>
      </c>
      <c r="O641" s="40"/>
      <c r="P641" s="40"/>
      <c r="Q641" s="40" t="s">
        <v>6</v>
      </c>
      <c r="R641" s="40" t="s">
        <v>6</v>
      </c>
      <c r="S641" s="40" t="s">
        <v>6</v>
      </c>
      <c r="T641" s="40"/>
      <c r="U641" s="204"/>
      <c r="V641" s="232"/>
      <c r="W641" s="412" t="s">
        <v>90</v>
      </c>
      <c r="X641" s="199"/>
      <c r="Y641" s="199"/>
      <c r="Z641" s="199"/>
      <c r="AA641" s="126" t="s">
        <v>6</v>
      </c>
      <c r="AB641" s="198"/>
      <c r="AC641" s="199"/>
      <c r="AD641" s="199"/>
      <c r="AE641" s="412" t="s">
        <v>90</v>
      </c>
      <c r="AF641" s="199"/>
      <c r="AG641" s="199"/>
      <c r="AH641" s="199"/>
      <c r="AI641" s="126" t="s">
        <v>6</v>
      </c>
      <c r="AJ641" s="198"/>
      <c r="AK641" s="199"/>
      <c r="AL641" s="199"/>
      <c r="AM641" s="199"/>
      <c r="AN641" s="199"/>
      <c r="AO641" s="199"/>
      <c r="AP641" s="199"/>
      <c r="AQ641" s="199"/>
      <c r="AR641" s="199"/>
      <c r="AS641" s="199"/>
      <c r="AT641" s="199"/>
      <c r="AU641" s="199"/>
      <c r="AV641" s="199"/>
      <c r="AW641" s="155"/>
    </row>
    <row r="642" spans="1:49" s="236" customFormat="1" ht="15">
      <c r="A642" s="40">
        <f t="shared" si="34"/>
        <v>636</v>
      </c>
      <c r="B642" s="199"/>
      <c r="C642" s="199"/>
      <c r="D642" s="199"/>
      <c r="E642" s="199"/>
      <c r="F642" s="199"/>
      <c r="G642" s="199"/>
      <c r="H642" s="199"/>
      <c r="I642" s="199"/>
      <c r="J642" s="412" t="s">
        <v>4729</v>
      </c>
      <c r="K642" s="232" t="s">
        <v>117</v>
      </c>
      <c r="L642" s="204" t="s">
        <v>1356</v>
      </c>
      <c r="M642" s="351"/>
      <c r="N642" s="40" t="s">
        <v>504</v>
      </c>
      <c r="O642" s="40"/>
      <c r="P642" s="40"/>
      <c r="Q642" s="40" t="s">
        <v>6</v>
      </c>
      <c r="R642" s="40" t="s">
        <v>6</v>
      </c>
      <c r="S642" s="40" t="s">
        <v>6</v>
      </c>
      <c r="T642" s="40"/>
      <c r="U642" s="204"/>
      <c r="V642" s="232"/>
      <c r="W642" s="412" t="s">
        <v>90</v>
      </c>
      <c r="X642" s="199"/>
      <c r="Y642" s="199"/>
      <c r="Z642" s="199"/>
      <c r="AA642" s="126" t="s">
        <v>6</v>
      </c>
      <c r="AB642" s="198"/>
      <c r="AC642" s="199"/>
      <c r="AD642" s="199"/>
      <c r="AE642" s="412" t="s">
        <v>90</v>
      </c>
      <c r="AF642" s="199"/>
      <c r="AG642" s="199"/>
      <c r="AH642" s="199"/>
      <c r="AI642" s="126" t="s">
        <v>6</v>
      </c>
      <c r="AJ642" s="198"/>
      <c r="AK642" s="199"/>
      <c r="AL642" s="199"/>
      <c r="AM642" s="199"/>
      <c r="AN642" s="199"/>
      <c r="AO642" s="199"/>
      <c r="AP642" s="199"/>
      <c r="AQ642" s="199"/>
      <c r="AR642" s="199"/>
      <c r="AS642" s="199"/>
      <c r="AT642" s="199"/>
      <c r="AU642" s="199"/>
      <c r="AV642" s="199"/>
      <c r="AW642" s="155"/>
    </row>
    <row r="643" spans="1:49" s="236" customFormat="1" ht="15">
      <c r="A643" s="40">
        <f t="shared" si="34"/>
        <v>637</v>
      </c>
      <c r="B643" s="199"/>
      <c r="C643" s="199"/>
      <c r="D643" s="199"/>
      <c r="E643" s="199"/>
      <c r="F643" s="199"/>
      <c r="G643" s="199"/>
      <c r="H643" s="199"/>
      <c r="I643" s="199"/>
      <c r="J643" s="412" t="s">
        <v>4730</v>
      </c>
      <c r="K643" s="232" t="s">
        <v>117</v>
      </c>
      <c r="L643" s="204" t="s">
        <v>1362</v>
      </c>
      <c r="M643" s="351"/>
      <c r="N643" s="40" t="s">
        <v>504</v>
      </c>
      <c r="O643" s="40"/>
      <c r="P643" s="40"/>
      <c r="Q643" s="40" t="s">
        <v>6</v>
      </c>
      <c r="R643" s="40" t="s">
        <v>6</v>
      </c>
      <c r="S643" s="40" t="s">
        <v>6</v>
      </c>
      <c r="T643" s="40"/>
      <c r="U643" s="204"/>
      <c r="V643" s="232"/>
      <c r="W643" s="412" t="s">
        <v>90</v>
      </c>
      <c r="X643" s="199"/>
      <c r="Y643" s="199"/>
      <c r="Z643" s="199"/>
      <c r="AA643" s="126" t="s">
        <v>6</v>
      </c>
      <c r="AB643" s="198"/>
      <c r="AC643" s="199"/>
      <c r="AD643" s="199"/>
      <c r="AE643" s="412" t="s">
        <v>90</v>
      </c>
      <c r="AF643" s="199"/>
      <c r="AG643" s="199"/>
      <c r="AH643" s="199"/>
      <c r="AI643" s="126" t="s">
        <v>6</v>
      </c>
      <c r="AJ643" s="198"/>
      <c r="AK643" s="199"/>
      <c r="AL643" s="199"/>
      <c r="AM643" s="199"/>
      <c r="AN643" s="199"/>
      <c r="AO643" s="199"/>
      <c r="AP643" s="199"/>
      <c r="AQ643" s="199"/>
      <c r="AR643" s="199"/>
      <c r="AS643" s="199"/>
      <c r="AT643" s="199"/>
      <c r="AU643" s="199"/>
      <c r="AV643" s="199"/>
      <c r="AW643" s="155"/>
    </row>
    <row r="644" spans="1:49" s="236" customFormat="1" ht="15">
      <c r="A644" s="40">
        <f t="shared" si="34"/>
        <v>638</v>
      </c>
      <c r="B644" s="199"/>
      <c r="C644" s="199"/>
      <c r="D644" s="199"/>
      <c r="E644" s="199"/>
      <c r="F644" s="199"/>
      <c r="G644" s="199"/>
      <c r="H644" s="199"/>
      <c r="I644" s="199"/>
      <c r="J644" s="218" t="s">
        <v>4731</v>
      </c>
      <c r="K644" s="232" t="s">
        <v>117</v>
      </c>
      <c r="L644" s="204" t="s">
        <v>1379</v>
      </c>
      <c r="M644" s="351"/>
      <c r="N644" s="40" t="s">
        <v>504</v>
      </c>
      <c r="O644" s="40"/>
      <c r="P644" s="40"/>
      <c r="Q644" s="40" t="s">
        <v>6</v>
      </c>
      <c r="R644" s="40" t="s">
        <v>6</v>
      </c>
      <c r="S644" s="40" t="s">
        <v>6</v>
      </c>
      <c r="T644" s="40"/>
      <c r="U644" s="204"/>
      <c r="V644" s="204"/>
      <c r="W644" s="232" t="s">
        <v>125</v>
      </c>
      <c r="X644" s="199"/>
      <c r="Y644" s="199"/>
      <c r="Z644" s="199"/>
      <c r="AA644" s="126" t="s">
        <v>6</v>
      </c>
      <c r="AB644" s="198"/>
      <c r="AC644" s="199"/>
      <c r="AD644" s="199"/>
      <c r="AE644" s="232" t="s">
        <v>125</v>
      </c>
      <c r="AF644" s="199"/>
      <c r="AG644" s="199"/>
      <c r="AH644" s="199"/>
      <c r="AI644" s="126" t="s">
        <v>6</v>
      </c>
      <c r="AJ644" s="198"/>
      <c r="AK644" s="199"/>
      <c r="AL644" s="199"/>
      <c r="AM644" s="199"/>
      <c r="AN644" s="199"/>
      <c r="AO644" s="199"/>
      <c r="AP644" s="199"/>
      <c r="AQ644" s="199"/>
      <c r="AR644" s="199"/>
      <c r="AS644" s="199"/>
      <c r="AT644" s="199"/>
      <c r="AU644" s="199"/>
      <c r="AV644" s="199"/>
      <c r="AW644" s="155"/>
    </row>
    <row r="645" spans="1:49" s="236" customFormat="1" ht="15">
      <c r="A645" s="40">
        <f t="shared" si="34"/>
        <v>639</v>
      </c>
      <c r="B645" s="199"/>
      <c r="C645" s="199"/>
      <c r="D645" s="199"/>
      <c r="E645" s="199"/>
      <c r="F645" s="199"/>
      <c r="G645" s="199"/>
      <c r="H645" s="199"/>
      <c r="I645" s="199"/>
      <c r="J645" s="218" t="s">
        <v>4732</v>
      </c>
      <c r="K645" s="232" t="s">
        <v>117</v>
      </c>
      <c r="L645" s="204" t="s">
        <v>1381</v>
      </c>
      <c r="M645" s="351"/>
      <c r="N645" s="40" t="s">
        <v>504</v>
      </c>
      <c r="O645" s="40"/>
      <c r="P645" s="40"/>
      <c r="Q645" s="40" t="s">
        <v>6</v>
      </c>
      <c r="R645" s="40" t="s">
        <v>6</v>
      </c>
      <c r="S645" s="40" t="s">
        <v>6</v>
      </c>
      <c r="T645" s="40"/>
      <c r="U645" s="218" t="s">
        <v>4066</v>
      </c>
      <c r="V645" s="204"/>
      <c r="W645" s="232" t="s">
        <v>125</v>
      </c>
      <c r="X645" s="199"/>
      <c r="Y645" s="199"/>
      <c r="Z645" s="199"/>
      <c r="AA645" s="126" t="s">
        <v>6</v>
      </c>
      <c r="AB645" s="198"/>
      <c r="AC645" s="199"/>
      <c r="AD645" s="199"/>
      <c r="AE645" s="232" t="s">
        <v>125</v>
      </c>
      <c r="AF645" s="199"/>
      <c r="AG645" s="199"/>
      <c r="AH645" s="199"/>
      <c r="AI645" s="126" t="s">
        <v>6</v>
      </c>
      <c r="AJ645" s="198"/>
      <c r="AK645" s="199"/>
      <c r="AL645" s="199"/>
      <c r="AM645" s="199"/>
      <c r="AN645" s="199"/>
      <c r="AO645" s="199"/>
      <c r="AP645" s="199"/>
      <c r="AQ645" s="199"/>
      <c r="AR645" s="199"/>
      <c r="AS645" s="199"/>
      <c r="AT645" s="199"/>
      <c r="AU645" s="199"/>
      <c r="AV645" s="199"/>
      <c r="AW645" s="155"/>
    </row>
    <row r="646" spans="1:49" s="236" customFormat="1" ht="15">
      <c r="A646" s="40">
        <f t="shared" si="34"/>
        <v>640</v>
      </c>
      <c r="B646" s="199"/>
      <c r="C646" s="199"/>
      <c r="D646" s="199"/>
      <c r="E646" s="199"/>
      <c r="F646" s="199"/>
      <c r="G646" s="199"/>
      <c r="H646" s="199"/>
      <c r="I646" s="199"/>
      <c r="J646" s="218" t="s">
        <v>4733</v>
      </c>
      <c r="K646" s="232" t="s">
        <v>117</v>
      </c>
      <c r="L646" s="204" t="s">
        <v>1383</v>
      </c>
      <c r="M646" s="351"/>
      <c r="N646" s="40" t="s">
        <v>504</v>
      </c>
      <c r="O646" s="40"/>
      <c r="P646" s="40"/>
      <c r="Q646" s="40" t="s">
        <v>6</v>
      </c>
      <c r="R646" s="40" t="s">
        <v>6</v>
      </c>
      <c r="S646" s="40" t="s">
        <v>6</v>
      </c>
      <c r="T646" s="40"/>
      <c r="U646" s="218" t="s">
        <v>4066</v>
      </c>
      <c r="V646" s="204"/>
      <c r="W646" s="232" t="s">
        <v>125</v>
      </c>
      <c r="X646" s="199"/>
      <c r="Y646" s="199"/>
      <c r="Z646" s="199"/>
      <c r="AA646" s="126" t="s">
        <v>6</v>
      </c>
      <c r="AB646" s="198"/>
      <c r="AC646" s="199"/>
      <c r="AD646" s="199"/>
      <c r="AE646" s="232" t="s">
        <v>125</v>
      </c>
      <c r="AF646" s="199"/>
      <c r="AG646" s="199"/>
      <c r="AH646" s="199"/>
      <c r="AI646" s="126" t="s">
        <v>6</v>
      </c>
      <c r="AJ646" s="198"/>
      <c r="AK646" s="199"/>
      <c r="AL646" s="199"/>
      <c r="AM646" s="199"/>
      <c r="AN646" s="199"/>
      <c r="AO646" s="199"/>
      <c r="AP646" s="199"/>
      <c r="AQ646" s="199"/>
      <c r="AR646" s="199"/>
      <c r="AS646" s="199"/>
      <c r="AT646" s="199"/>
      <c r="AU646" s="199"/>
      <c r="AV646" s="199"/>
      <c r="AW646" s="155"/>
    </row>
    <row r="647" spans="1:49" s="236" customFormat="1" ht="15">
      <c r="A647" s="40">
        <f t="shared" ref="A647:A710" si="35">ROW() - 6</f>
        <v>641</v>
      </c>
      <c r="B647" s="199"/>
      <c r="C647" s="199"/>
      <c r="D647" s="199"/>
      <c r="E647" s="199"/>
      <c r="F647" s="199"/>
      <c r="G647" s="199"/>
      <c r="H647" s="199"/>
      <c r="I647" s="199"/>
      <c r="J647" s="218" t="s">
        <v>4734</v>
      </c>
      <c r="K647" s="232" t="s">
        <v>117</v>
      </c>
      <c r="L647" s="204" t="s">
        <v>4735</v>
      </c>
      <c r="M647" s="351"/>
      <c r="N647" s="40" t="s">
        <v>504</v>
      </c>
      <c r="O647" s="40"/>
      <c r="P647" s="40"/>
      <c r="Q647" s="40" t="s">
        <v>6</v>
      </c>
      <c r="R647" s="40" t="s">
        <v>6</v>
      </c>
      <c r="S647" s="40" t="s">
        <v>6</v>
      </c>
      <c r="T647" s="40"/>
      <c r="U647" s="218" t="s">
        <v>4066</v>
      </c>
      <c r="V647" s="204"/>
      <c r="W647" s="232" t="s">
        <v>125</v>
      </c>
      <c r="X647" s="199"/>
      <c r="Y647" s="199"/>
      <c r="Z647" s="199"/>
      <c r="AA647" s="126" t="s">
        <v>6</v>
      </c>
      <c r="AB647" s="198"/>
      <c r="AC647" s="199"/>
      <c r="AD647" s="199"/>
      <c r="AE647" s="232" t="s">
        <v>125</v>
      </c>
      <c r="AF647" s="199"/>
      <c r="AG647" s="199"/>
      <c r="AH647" s="199"/>
      <c r="AI647" s="126" t="s">
        <v>6</v>
      </c>
      <c r="AJ647" s="198"/>
      <c r="AK647" s="199"/>
      <c r="AL647" s="199"/>
      <c r="AM647" s="199"/>
      <c r="AN647" s="199"/>
      <c r="AO647" s="199"/>
      <c r="AP647" s="199"/>
      <c r="AQ647" s="199"/>
      <c r="AR647" s="199"/>
      <c r="AS647" s="199"/>
      <c r="AT647" s="199"/>
      <c r="AU647" s="199"/>
      <c r="AV647" s="199"/>
      <c r="AW647" s="155"/>
    </row>
    <row r="648" spans="1:49" s="236" customFormat="1" ht="52.8">
      <c r="A648" s="40">
        <f t="shared" si="35"/>
        <v>642</v>
      </c>
      <c r="B648" s="199"/>
      <c r="C648" s="199"/>
      <c r="D648" s="199"/>
      <c r="E648" s="199"/>
      <c r="F648" s="199"/>
      <c r="G648" s="199"/>
      <c r="H648" s="199"/>
      <c r="I648" s="199" t="s">
        <v>868</v>
      </c>
      <c r="J648" s="218" t="s">
        <v>4736</v>
      </c>
      <c r="K648" s="232" t="s">
        <v>117</v>
      </c>
      <c r="L648" s="204" t="s">
        <v>729</v>
      </c>
      <c r="M648" s="351"/>
      <c r="N648" s="40" t="s">
        <v>504</v>
      </c>
      <c r="O648" s="40"/>
      <c r="P648" s="40"/>
      <c r="Q648" s="40" t="s">
        <v>6</v>
      </c>
      <c r="R648" s="40" t="s">
        <v>6</v>
      </c>
      <c r="S648" s="40" t="s">
        <v>6</v>
      </c>
      <c r="T648" s="40"/>
      <c r="U648" s="204" t="s">
        <v>1389</v>
      </c>
      <c r="V648" s="204"/>
      <c r="W648" s="232" t="s">
        <v>125</v>
      </c>
      <c r="X648" s="199"/>
      <c r="Y648" s="199"/>
      <c r="Z648" s="199"/>
      <c r="AA648" s="126" t="s">
        <v>6</v>
      </c>
      <c r="AB648" s="198"/>
      <c r="AC648" s="199"/>
      <c r="AD648" s="199"/>
      <c r="AE648" s="232" t="s">
        <v>125</v>
      </c>
      <c r="AF648" s="199"/>
      <c r="AG648" s="199"/>
      <c r="AH648" s="199"/>
      <c r="AI648" s="126" t="s">
        <v>6</v>
      </c>
      <c r="AJ648" s="198"/>
      <c r="AK648" s="199"/>
      <c r="AL648" s="199"/>
      <c r="AM648" s="199"/>
      <c r="AN648" s="199"/>
      <c r="AO648" s="199"/>
      <c r="AP648" s="199"/>
      <c r="AQ648" s="199"/>
      <c r="AR648" s="199"/>
      <c r="AS648" s="199"/>
      <c r="AT648" s="199"/>
      <c r="AU648" s="199"/>
      <c r="AV648" s="199"/>
      <c r="AW648" s="155"/>
    </row>
    <row r="649" spans="1:49" s="236" customFormat="1" ht="26.4">
      <c r="A649" s="40">
        <f t="shared" si="35"/>
        <v>643</v>
      </c>
      <c r="B649" s="199"/>
      <c r="C649" s="199"/>
      <c r="D649" s="199"/>
      <c r="E649" s="199"/>
      <c r="F649" s="199"/>
      <c r="G649" s="199"/>
      <c r="H649" s="199"/>
      <c r="I649" s="199"/>
      <c r="J649" s="218" t="s">
        <v>4737</v>
      </c>
      <c r="K649" s="204" t="s">
        <v>117</v>
      </c>
      <c r="L649" s="204" t="s">
        <v>3933</v>
      </c>
      <c r="M649" s="351"/>
      <c r="N649" s="40" t="s">
        <v>504</v>
      </c>
      <c r="O649" s="198"/>
      <c r="P649" s="198"/>
      <c r="Q649" s="40" t="s">
        <v>6</v>
      </c>
      <c r="R649" s="40" t="s">
        <v>6</v>
      </c>
      <c r="S649" s="40" t="s">
        <v>6</v>
      </c>
      <c r="T649" s="40"/>
      <c r="U649" s="204" t="s">
        <v>5603</v>
      </c>
      <c r="V649" s="204"/>
      <c r="W649" s="204" t="s">
        <v>125</v>
      </c>
      <c r="X649" s="199"/>
      <c r="Y649" s="199"/>
      <c r="Z649" s="40" t="s">
        <v>6</v>
      </c>
      <c r="AA649" s="40" t="s">
        <v>6</v>
      </c>
      <c r="AB649" s="218"/>
      <c r="AC649" s="199"/>
      <c r="AD649" s="218" t="s">
        <v>709</v>
      </c>
      <c r="AE649" s="204" t="s">
        <v>125</v>
      </c>
      <c r="AF649" s="199"/>
      <c r="AG649" s="199"/>
      <c r="AH649" s="199"/>
      <c r="AI649" s="40" t="s">
        <v>6</v>
      </c>
      <c r="AJ649" s="218"/>
      <c r="AK649" s="199"/>
      <c r="AL649" s="218" t="s">
        <v>709</v>
      </c>
      <c r="AM649" s="199"/>
      <c r="AN649" s="199"/>
      <c r="AO649" s="199"/>
      <c r="AP649" s="199"/>
      <c r="AQ649" s="199"/>
      <c r="AR649" s="199"/>
      <c r="AS649" s="199"/>
      <c r="AT649" s="199"/>
      <c r="AU649" s="199"/>
      <c r="AV649" s="199"/>
      <c r="AW649" s="155"/>
    </row>
    <row r="650" spans="1:49" s="236" customFormat="1" ht="39.6">
      <c r="A650" s="40">
        <f t="shared" si="35"/>
        <v>644</v>
      </c>
      <c r="B650" s="199"/>
      <c r="C650" s="199"/>
      <c r="D650" s="199"/>
      <c r="E650" s="199"/>
      <c r="F650" s="199"/>
      <c r="G650" s="199"/>
      <c r="H650" s="199"/>
      <c r="I650" s="199" t="s">
        <v>868</v>
      </c>
      <c r="J650" s="218" t="s">
        <v>4738</v>
      </c>
      <c r="K650" s="232" t="s">
        <v>117</v>
      </c>
      <c r="L650" s="204" t="s">
        <v>3933</v>
      </c>
      <c r="M650" s="351"/>
      <c r="N650" s="40" t="s">
        <v>504</v>
      </c>
      <c r="O650" s="40"/>
      <c r="P650" s="40"/>
      <c r="Q650" s="40" t="s">
        <v>6</v>
      </c>
      <c r="R650" s="40" t="s">
        <v>6</v>
      </c>
      <c r="S650" s="40" t="s">
        <v>6</v>
      </c>
      <c r="T650" s="40"/>
      <c r="U650" s="204" t="s">
        <v>4739</v>
      </c>
      <c r="V650" s="204"/>
      <c r="W650" s="232" t="s">
        <v>125</v>
      </c>
      <c r="X650" s="199"/>
      <c r="Y650" s="199"/>
      <c r="Z650" s="199"/>
      <c r="AA650" s="126" t="s">
        <v>6</v>
      </c>
      <c r="AB650" s="198"/>
      <c r="AC650" s="199"/>
      <c r="AD650" s="199"/>
      <c r="AE650" s="232" t="s">
        <v>125</v>
      </c>
      <c r="AF650" s="199"/>
      <c r="AG650" s="199"/>
      <c r="AH650" s="199"/>
      <c r="AI650" s="126" t="s">
        <v>6</v>
      </c>
      <c r="AJ650" s="198"/>
      <c r="AK650" s="199"/>
      <c r="AL650" s="199"/>
      <c r="AM650" s="199"/>
      <c r="AN650" s="199"/>
      <c r="AO650" s="199"/>
      <c r="AP650" s="199"/>
      <c r="AQ650" s="199"/>
      <c r="AR650" s="199"/>
      <c r="AS650" s="199"/>
      <c r="AT650" s="199"/>
      <c r="AU650" s="199"/>
      <c r="AV650" s="199"/>
      <c r="AW650" s="155"/>
    </row>
    <row r="651" spans="1:49" s="236" customFormat="1" ht="39.6">
      <c r="A651" s="40">
        <f t="shared" si="35"/>
        <v>645</v>
      </c>
      <c r="B651" s="199"/>
      <c r="C651" s="199"/>
      <c r="D651" s="199"/>
      <c r="E651" s="199"/>
      <c r="F651" s="199"/>
      <c r="G651" s="199"/>
      <c r="H651" s="199"/>
      <c r="I651" s="199" t="s">
        <v>868</v>
      </c>
      <c r="J651" s="218" t="s">
        <v>4740</v>
      </c>
      <c r="K651" s="204" t="s">
        <v>117</v>
      </c>
      <c r="L651" s="204" t="s">
        <v>1391</v>
      </c>
      <c r="M651" s="351"/>
      <c r="N651" s="40" t="s">
        <v>504</v>
      </c>
      <c r="O651" s="40"/>
      <c r="P651" s="40"/>
      <c r="Q651" s="40" t="s">
        <v>6</v>
      </c>
      <c r="R651" s="40" t="s">
        <v>6</v>
      </c>
      <c r="S651" s="40" t="s">
        <v>6</v>
      </c>
      <c r="T651" s="40"/>
      <c r="U651" s="204" t="s">
        <v>4739</v>
      </c>
      <c r="V651" s="204"/>
      <c r="W651" s="232" t="s">
        <v>125</v>
      </c>
      <c r="X651" s="199"/>
      <c r="Y651" s="199"/>
      <c r="Z651" s="199"/>
      <c r="AA651" s="126" t="s">
        <v>6</v>
      </c>
      <c r="AB651" s="198"/>
      <c r="AC651" s="199"/>
      <c r="AD651" s="199"/>
      <c r="AE651" s="232" t="s">
        <v>125</v>
      </c>
      <c r="AF651" s="199"/>
      <c r="AG651" s="199"/>
      <c r="AH651" s="199"/>
      <c r="AI651" s="126" t="s">
        <v>6</v>
      </c>
      <c r="AJ651" s="198"/>
      <c r="AK651" s="199"/>
      <c r="AL651" s="199"/>
      <c r="AM651" s="199"/>
      <c r="AN651" s="199"/>
      <c r="AO651" s="199"/>
      <c r="AP651" s="199"/>
      <c r="AQ651" s="199"/>
      <c r="AR651" s="199"/>
      <c r="AS651" s="199"/>
      <c r="AT651" s="199"/>
      <c r="AU651" s="199"/>
      <c r="AV651" s="199"/>
      <c r="AW651" s="155"/>
    </row>
    <row r="652" spans="1:49" s="236" customFormat="1" ht="39.6">
      <c r="A652" s="40">
        <f t="shared" si="35"/>
        <v>646</v>
      </c>
      <c r="B652" s="199"/>
      <c r="C652" s="199"/>
      <c r="D652" s="199"/>
      <c r="E652" s="199"/>
      <c r="F652" s="199"/>
      <c r="G652" s="199"/>
      <c r="H652" s="199"/>
      <c r="I652" s="199"/>
      <c r="J652" s="218" t="s">
        <v>4741</v>
      </c>
      <c r="K652" s="204" t="s">
        <v>117</v>
      </c>
      <c r="L652" s="204" t="s">
        <v>735</v>
      </c>
      <c r="M652" s="351"/>
      <c r="N652" s="40" t="s">
        <v>504</v>
      </c>
      <c r="O652" s="40"/>
      <c r="P652" s="40"/>
      <c r="Q652" s="40" t="s">
        <v>6</v>
      </c>
      <c r="R652" s="40" t="s">
        <v>6</v>
      </c>
      <c r="S652" s="40" t="s">
        <v>6</v>
      </c>
      <c r="T652" s="40"/>
      <c r="U652" s="204" t="s">
        <v>4739</v>
      </c>
      <c r="V652" s="204"/>
      <c r="W652" s="204" t="s">
        <v>125</v>
      </c>
      <c r="X652" s="199"/>
      <c r="Y652" s="199"/>
      <c r="Z652" s="199"/>
      <c r="AA652" s="40" t="s">
        <v>6</v>
      </c>
      <c r="AB652" s="218"/>
      <c r="AC652" s="199"/>
      <c r="AD652" s="218"/>
      <c r="AE652" s="204" t="s">
        <v>125</v>
      </c>
      <c r="AF652" s="199"/>
      <c r="AG652" s="199"/>
      <c r="AH652" s="199"/>
      <c r="AI652" s="40" t="s">
        <v>6</v>
      </c>
      <c r="AJ652" s="218"/>
      <c r="AK652" s="199"/>
      <c r="AL652" s="218"/>
      <c r="AM652" s="199"/>
      <c r="AN652" s="199"/>
      <c r="AO652" s="199"/>
      <c r="AP652" s="199"/>
      <c r="AQ652" s="199"/>
      <c r="AR652" s="199"/>
      <c r="AS652" s="199"/>
      <c r="AT652" s="199"/>
      <c r="AU652" s="199"/>
      <c r="AV652" s="199"/>
      <c r="AW652" s="155"/>
    </row>
    <row r="653" spans="1:49" s="236" customFormat="1" ht="39.6">
      <c r="A653" s="40">
        <f t="shared" si="35"/>
        <v>647</v>
      </c>
      <c r="B653" s="199"/>
      <c r="C653" s="199"/>
      <c r="D653" s="199"/>
      <c r="E653" s="199"/>
      <c r="F653" s="199"/>
      <c r="G653" s="199"/>
      <c r="H653" s="199"/>
      <c r="I653" s="199"/>
      <c r="J653" s="218" t="s">
        <v>4742</v>
      </c>
      <c r="K653" s="204" t="s">
        <v>117</v>
      </c>
      <c r="L653" s="204" t="s">
        <v>737</v>
      </c>
      <c r="M653" s="351"/>
      <c r="N653" s="40" t="s">
        <v>504</v>
      </c>
      <c r="O653" s="40"/>
      <c r="P653" s="40"/>
      <c r="Q653" s="40" t="s">
        <v>6</v>
      </c>
      <c r="R653" s="40" t="s">
        <v>6</v>
      </c>
      <c r="S653" s="40" t="s">
        <v>6</v>
      </c>
      <c r="T653" s="40"/>
      <c r="U653" s="204" t="s">
        <v>1394</v>
      </c>
      <c r="V653" s="204"/>
      <c r="W653" s="204" t="s">
        <v>125</v>
      </c>
      <c r="X653" s="199"/>
      <c r="Y653" s="199"/>
      <c r="Z653" s="199"/>
      <c r="AA653" s="40" t="s">
        <v>6</v>
      </c>
      <c r="AB653" s="198"/>
      <c r="AC653" s="199"/>
      <c r="AD653" s="199"/>
      <c r="AE653" s="204" t="s">
        <v>125</v>
      </c>
      <c r="AF653" s="199"/>
      <c r="AG653" s="199"/>
      <c r="AH653" s="199"/>
      <c r="AI653" s="40" t="s">
        <v>6</v>
      </c>
      <c r="AJ653" s="198"/>
      <c r="AK653" s="199"/>
      <c r="AL653" s="199"/>
      <c r="AM653" s="199"/>
      <c r="AN653" s="199"/>
      <c r="AO653" s="199"/>
      <c r="AP653" s="199"/>
      <c r="AQ653" s="199"/>
      <c r="AR653" s="199"/>
      <c r="AS653" s="199"/>
      <c r="AT653" s="199"/>
      <c r="AU653" s="199"/>
      <c r="AV653" s="199"/>
      <c r="AW653" s="155"/>
    </row>
    <row r="654" spans="1:49" s="236" customFormat="1" ht="15">
      <c r="A654" s="40">
        <f t="shared" si="35"/>
        <v>648</v>
      </c>
      <c r="B654" s="199"/>
      <c r="C654" s="199"/>
      <c r="D654" s="199"/>
      <c r="E654" s="199"/>
      <c r="F654" s="199"/>
      <c r="G654" s="199"/>
      <c r="H654" s="199"/>
      <c r="I654" s="199" t="s">
        <v>868</v>
      </c>
      <c r="J654" s="218" t="s">
        <v>4743</v>
      </c>
      <c r="K654" s="232" t="s">
        <v>117</v>
      </c>
      <c r="L654" s="204" t="s">
        <v>3943</v>
      </c>
      <c r="M654" s="351"/>
      <c r="N654" s="40" t="s">
        <v>504</v>
      </c>
      <c r="O654" s="40"/>
      <c r="P654" s="40"/>
      <c r="Q654" s="40" t="s">
        <v>6</v>
      </c>
      <c r="R654" s="40" t="s">
        <v>6</v>
      </c>
      <c r="S654" s="40" t="s">
        <v>6</v>
      </c>
      <c r="T654" s="40"/>
      <c r="U654" s="204" t="s">
        <v>4744</v>
      </c>
      <c r="V654" s="204"/>
      <c r="W654" s="232" t="s">
        <v>125</v>
      </c>
      <c r="X654" s="199"/>
      <c r="Y654" s="199"/>
      <c r="Z654" s="199"/>
      <c r="AA654" s="40" t="s">
        <v>6</v>
      </c>
      <c r="AB654" s="198"/>
      <c r="AC654" s="199"/>
      <c r="AD654" s="199"/>
      <c r="AE654" s="232" t="s">
        <v>125</v>
      </c>
      <c r="AF654" s="199"/>
      <c r="AG654" s="199"/>
      <c r="AH654" s="199"/>
      <c r="AI654" s="40" t="s">
        <v>6</v>
      </c>
      <c r="AJ654" s="198"/>
      <c r="AK654" s="199"/>
      <c r="AL654" s="199"/>
      <c r="AM654" s="199"/>
      <c r="AN654" s="199"/>
      <c r="AO654" s="199"/>
      <c r="AP654" s="199"/>
      <c r="AQ654" s="199"/>
      <c r="AR654" s="199"/>
      <c r="AS654" s="199"/>
      <c r="AT654" s="199"/>
      <c r="AU654" s="199"/>
      <c r="AV654" s="199"/>
      <c r="AW654" s="155"/>
    </row>
    <row r="655" spans="1:49" s="236" customFormat="1" ht="52.8">
      <c r="A655" s="40">
        <f t="shared" si="35"/>
        <v>649</v>
      </c>
      <c r="B655" s="199"/>
      <c r="C655" s="199"/>
      <c r="D655" s="199"/>
      <c r="E655" s="199"/>
      <c r="F655" s="199"/>
      <c r="G655" s="199"/>
      <c r="H655" s="199"/>
      <c r="I655" s="199" t="s">
        <v>868</v>
      </c>
      <c r="J655" s="218" t="s">
        <v>4745</v>
      </c>
      <c r="K655" s="232" t="s">
        <v>117</v>
      </c>
      <c r="L655" s="204" t="s">
        <v>4746</v>
      </c>
      <c r="M655" s="351"/>
      <c r="N655" s="40" t="s">
        <v>504</v>
      </c>
      <c r="O655" s="40"/>
      <c r="P655" s="40"/>
      <c r="Q655" s="40" t="s">
        <v>6</v>
      </c>
      <c r="R655" s="40" t="s">
        <v>6</v>
      </c>
      <c r="S655" s="40" t="s">
        <v>6</v>
      </c>
      <c r="T655" s="40"/>
      <c r="U655" s="204" t="s">
        <v>3947</v>
      </c>
      <c r="V655" s="204"/>
      <c r="W655" s="232" t="s">
        <v>125</v>
      </c>
      <c r="X655" s="199"/>
      <c r="Y655" s="199"/>
      <c r="Z655" s="199"/>
      <c r="AA655" s="40" t="s">
        <v>6</v>
      </c>
      <c r="AB655" s="198"/>
      <c r="AC655" s="199"/>
      <c r="AD655" s="199"/>
      <c r="AE655" s="232" t="s">
        <v>125</v>
      </c>
      <c r="AF655" s="199"/>
      <c r="AG655" s="199"/>
      <c r="AH655" s="199"/>
      <c r="AI655" s="40" t="s">
        <v>6</v>
      </c>
      <c r="AJ655" s="198"/>
      <c r="AK655" s="199"/>
      <c r="AL655" s="199"/>
      <c r="AM655" s="199"/>
      <c r="AN655" s="199"/>
      <c r="AO655" s="199"/>
      <c r="AP655" s="199"/>
      <c r="AQ655" s="199"/>
      <c r="AR655" s="199"/>
      <c r="AS655" s="199"/>
      <c r="AT655" s="199"/>
      <c r="AU655" s="199"/>
      <c r="AV655" s="199"/>
      <c r="AW655" s="155"/>
    </row>
    <row r="656" spans="1:49" s="236" customFormat="1" ht="26.4">
      <c r="A656" s="40">
        <f t="shared" si="35"/>
        <v>650</v>
      </c>
      <c r="B656" s="199"/>
      <c r="C656" s="199"/>
      <c r="D656" s="199"/>
      <c r="E656" s="199"/>
      <c r="F656" s="199"/>
      <c r="G656" s="199"/>
      <c r="H656" s="199"/>
      <c r="I656" s="199" t="s">
        <v>868</v>
      </c>
      <c r="J656" s="218" t="s">
        <v>4747</v>
      </c>
      <c r="K656" s="232" t="s">
        <v>117</v>
      </c>
      <c r="L656" s="204" t="s">
        <v>3949</v>
      </c>
      <c r="M656" s="351"/>
      <c r="N656" s="40" t="s">
        <v>504</v>
      </c>
      <c r="O656" s="40"/>
      <c r="P656" s="40"/>
      <c r="Q656" s="40" t="s">
        <v>6</v>
      </c>
      <c r="R656" s="40" t="s">
        <v>6</v>
      </c>
      <c r="S656" s="40" t="s">
        <v>6</v>
      </c>
      <c r="T656" s="40"/>
      <c r="U656" s="204" t="s">
        <v>742</v>
      </c>
      <c r="V656" s="204"/>
      <c r="W656" s="232" t="s">
        <v>125</v>
      </c>
      <c r="X656" s="199"/>
      <c r="Y656" s="199"/>
      <c r="Z656" s="199"/>
      <c r="AA656" s="40" t="s">
        <v>6</v>
      </c>
      <c r="AB656" s="198"/>
      <c r="AC656" s="199"/>
      <c r="AD656" s="199"/>
      <c r="AE656" s="232" t="s">
        <v>125</v>
      </c>
      <c r="AF656" s="199"/>
      <c r="AG656" s="199"/>
      <c r="AH656" s="199"/>
      <c r="AI656" s="40" t="s">
        <v>6</v>
      </c>
      <c r="AJ656" s="198"/>
      <c r="AK656" s="199"/>
      <c r="AL656" s="199"/>
      <c r="AM656" s="199"/>
      <c r="AN656" s="199"/>
      <c r="AO656" s="199"/>
      <c r="AP656" s="199"/>
      <c r="AQ656" s="199"/>
      <c r="AR656" s="199"/>
      <c r="AS656" s="199"/>
      <c r="AT656" s="199"/>
      <c r="AU656" s="199"/>
      <c r="AV656" s="199"/>
      <c r="AW656" s="155"/>
    </row>
    <row r="657" spans="1:49" s="236" customFormat="1" ht="26.4">
      <c r="A657" s="40">
        <f t="shared" si="35"/>
        <v>651</v>
      </c>
      <c r="B657" s="199"/>
      <c r="C657" s="199"/>
      <c r="D657" s="199"/>
      <c r="E657" s="199"/>
      <c r="F657" s="199"/>
      <c r="G657" s="199"/>
      <c r="H657" s="199"/>
      <c r="I657" s="199" t="s">
        <v>868</v>
      </c>
      <c r="J657" s="218" t="s">
        <v>4748</v>
      </c>
      <c r="K657" s="232" t="s">
        <v>134</v>
      </c>
      <c r="L657" s="204" t="s">
        <v>744</v>
      </c>
      <c r="M657" s="351"/>
      <c r="N657" s="40" t="s">
        <v>504</v>
      </c>
      <c r="O657" s="40"/>
      <c r="P657" s="40"/>
      <c r="Q657" s="40" t="s">
        <v>6</v>
      </c>
      <c r="R657" s="40" t="s">
        <v>6</v>
      </c>
      <c r="S657" s="40" t="s">
        <v>6</v>
      </c>
      <c r="T657" s="40"/>
      <c r="U657" s="204" t="s">
        <v>742</v>
      </c>
      <c r="V657" s="204"/>
      <c r="W657" s="232" t="s">
        <v>140</v>
      </c>
      <c r="X657" s="199"/>
      <c r="Y657" s="199"/>
      <c r="Z657" s="199"/>
      <c r="AA657" s="40" t="s">
        <v>6</v>
      </c>
      <c r="AB657" s="198"/>
      <c r="AC657" s="199"/>
      <c r="AD657" s="199"/>
      <c r="AE657" s="232" t="s">
        <v>137</v>
      </c>
      <c r="AF657" s="199"/>
      <c r="AG657" s="199"/>
      <c r="AH657" s="199"/>
      <c r="AI657" s="40" t="s">
        <v>6</v>
      </c>
      <c r="AJ657" s="198"/>
      <c r="AK657" s="199"/>
      <c r="AL657" s="199"/>
      <c r="AM657" s="199"/>
      <c r="AN657" s="199"/>
      <c r="AO657" s="199"/>
      <c r="AP657" s="199"/>
      <c r="AQ657" s="199"/>
      <c r="AR657" s="199"/>
      <c r="AS657" s="199"/>
      <c r="AT657" s="199"/>
      <c r="AU657" s="199"/>
      <c r="AV657" s="199"/>
      <c r="AW657" s="155"/>
    </row>
    <row r="658" spans="1:49" s="236" customFormat="1" ht="15">
      <c r="A658" s="40">
        <f t="shared" si="35"/>
        <v>652</v>
      </c>
      <c r="B658" s="199"/>
      <c r="C658" s="199"/>
      <c r="D658" s="199"/>
      <c r="E658" s="199"/>
      <c r="F658" s="199"/>
      <c r="G658" s="199"/>
      <c r="H658" s="199"/>
      <c r="I658" s="199" t="s">
        <v>868</v>
      </c>
      <c r="J658" s="218" t="s">
        <v>4749</v>
      </c>
      <c r="K658" s="232" t="s">
        <v>117</v>
      </c>
      <c r="L658" s="204" t="s">
        <v>759</v>
      </c>
      <c r="M658" s="351"/>
      <c r="N658" s="40" t="s">
        <v>504</v>
      </c>
      <c r="O658" s="40"/>
      <c r="P658" s="40"/>
      <c r="Q658" s="40" t="s">
        <v>6</v>
      </c>
      <c r="R658" s="40" t="s">
        <v>6</v>
      </c>
      <c r="S658" s="40" t="s">
        <v>6</v>
      </c>
      <c r="T658" s="40"/>
      <c r="U658" s="204" t="s">
        <v>3963</v>
      </c>
      <c r="V658" s="204"/>
      <c r="W658" s="232" t="s">
        <v>125</v>
      </c>
      <c r="X658" s="199"/>
      <c r="Y658" s="199"/>
      <c r="Z658" s="199"/>
      <c r="AA658" s="126" t="s">
        <v>6</v>
      </c>
      <c r="AB658" s="198"/>
      <c r="AC658" s="199"/>
      <c r="AD658" s="199"/>
      <c r="AE658" s="232" t="s">
        <v>125</v>
      </c>
      <c r="AF658" s="199"/>
      <c r="AG658" s="199"/>
      <c r="AH658" s="199"/>
      <c r="AI658" s="126" t="s">
        <v>6</v>
      </c>
      <c r="AJ658" s="198"/>
      <c r="AK658" s="199"/>
      <c r="AL658" s="199"/>
      <c r="AM658" s="199"/>
      <c r="AN658" s="199"/>
      <c r="AO658" s="199"/>
      <c r="AP658" s="199"/>
      <c r="AQ658" s="199"/>
      <c r="AR658" s="199"/>
      <c r="AS658" s="199"/>
      <c r="AT658" s="199"/>
      <c r="AU658" s="199"/>
      <c r="AV658" s="199"/>
      <c r="AW658" s="155"/>
    </row>
    <row r="659" spans="1:49" s="236" customFormat="1" ht="26.4">
      <c r="A659" s="40">
        <f t="shared" si="35"/>
        <v>653</v>
      </c>
      <c r="B659" s="199"/>
      <c r="C659" s="199"/>
      <c r="D659" s="199"/>
      <c r="E659" s="199"/>
      <c r="F659" s="199"/>
      <c r="G659" s="199"/>
      <c r="H659" s="199"/>
      <c r="I659" s="199"/>
      <c r="J659" s="218" t="s">
        <v>4750</v>
      </c>
      <c r="K659" s="204" t="s">
        <v>117</v>
      </c>
      <c r="L659" s="204" t="s">
        <v>3970</v>
      </c>
      <c r="M659" s="351"/>
      <c r="N659" s="40" t="s">
        <v>504</v>
      </c>
      <c r="O659" s="198"/>
      <c r="P659" s="198"/>
      <c r="Q659" s="40" t="s">
        <v>6</v>
      </c>
      <c r="R659" s="40" t="s">
        <v>6</v>
      </c>
      <c r="S659" s="40" t="s">
        <v>6</v>
      </c>
      <c r="T659" s="40"/>
      <c r="U659" s="204" t="s">
        <v>5603</v>
      </c>
      <c r="V659" s="204"/>
      <c r="W659" s="204" t="s">
        <v>133</v>
      </c>
      <c r="X659" s="199"/>
      <c r="Y659" s="199"/>
      <c r="Z659" s="40" t="s">
        <v>6</v>
      </c>
      <c r="AA659" s="40" t="s">
        <v>6</v>
      </c>
      <c r="AB659" s="218"/>
      <c r="AC659" s="199"/>
      <c r="AD659" s="218" t="s">
        <v>709</v>
      </c>
      <c r="AE659" s="204" t="s">
        <v>125</v>
      </c>
      <c r="AF659" s="199"/>
      <c r="AG659" s="199"/>
      <c r="AH659" s="199"/>
      <c r="AI659" s="40" t="s">
        <v>6</v>
      </c>
      <c r="AJ659" s="218"/>
      <c r="AK659" s="199"/>
      <c r="AL659" s="218" t="s">
        <v>709</v>
      </c>
      <c r="AM659" s="199"/>
      <c r="AN659" s="199"/>
      <c r="AO659" s="199"/>
      <c r="AP659" s="199"/>
      <c r="AQ659" s="199"/>
      <c r="AR659" s="199"/>
      <c r="AS659" s="199"/>
      <c r="AT659" s="199"/>
      <c r="AU659" s="199"/>
      <c r="AV659" s="199"/>
      <c r="AW659" s="155"/>
    </row>
    <row r="660" spans="1:49" s="236" customFormat="1" ht="15">
      <c r="A660" s="40">
        <f t="shared" si="35"/>
        <v>654</v>
      </c>
      <c r="B660" s="199"/>
      <c r="C660" s="199"/>
      <c r="D660" s="199"/>
      <c r="E660" s="199"/>
      <c r="F660" s="199"/>
      <c r="G660" s="199"/>
      <c r="H660" s="199"/>
      <c r="I660" s="199" t="s">
        <v>868</v>
      </c>
      <c r="J660" s="218" t="s">
        <v>4751</v>
      </c>
      <c r="K660" s="232" t="s">
        <v>117</v>
      </c>
      <c r="L660" s="204" t="s">
        <v>3970</v>
      </c>
      <c r="M660" s="351"/>
      <c r="N660" s="40" t="s">
        <v>504</v>
      </c>
      <c r="O660" s="40"/>
      <c r="P660" s="40"/>
      <c r="Q660" s="40" t="s">
        <v>6</v>
      </c>
      <c r="R660" s="40" t="s">
        <v>6</v>
      </c>
      <c r="S660" s="40" t="s">
        <v>6</v>
      </c>
      <c r="T660" s="40"/>
      <c r="U660" s="204" t="s">
        <v>3963</v>
      </c>
      <c r="V660" s="204"/>
      <c r="W660" s="232" t="s">
        <v>125</v>
      </c>
      <c r="X660" s="199"/>
      <c r="Y660" s="199"/>
      <c r="Z660" s="199"/>
      <c r="AA660" s="126" t="s">
        <v>6</v>
      </c>
      <c r="AB660" s="198"/>
      <c r="AC660" s="199"/>
      <c r="AD660" s="199"/>
      <c r="AE660" s="232" t="s">
        <v>125</v>
      </c>
      <c r="AF660" s="199"/>
      <c r="AG660" s="199"/>
      <c r="AH660" s="199"/>
      <c r="AI660" s="126" t="s">
        <v>6</v>
      </c>
      <c r="AJ660" s="198"/>
      <c r="AK660" s="199"/>
      <c r="AL660" s="199"/>
      <c r="AM660" s="199"/>
      <c r="AN660" s="199"/>
      <c r="AO660" s="199"/>
      <c r="AP660" s="199"/>
      <c r="AQ660" s="199"/>
      <c r="AR660" s="199"/>
      <c r="AS660" s="199"/>
      <c r="AT660" s="199"/>
      <c r="AU660" s="199"/>
      <c r="AV660" s="199"/>
      <c r="AW660" s="155"/>
    </row>
    <row r="661" spans="1:49" s="236" customFormat="1" ht="15">
      <c r="A661" s="40">
        <f t="shared" si="35"/>
        <v>655</v>
      </c>
      <c r="B661" s="199"/>
      <c r="C661" s="199"/>
      <c r="D661" s="199"/>
      <c r="E661" s="199"/>
      <c r="F661" s="199"/>
      <c r="G661" s="199"/>
      <c r="H661" s="199"/>
      <c r="I661" s="199" t="s">
        <v>868</v>
      </c>
      <c r="J661" s="218" t="s">
        <v>4752</v>
      </c>
      <c r="K661" s="232" t="s">
        <v>117</v>
      </c>
      <c r="L661" s="204" t="s">
        <v>3975</v>
      </c>
      <c r="M661" s="351"/>
      <c r="N661" s="40" t="s">
        <v>504</v>
      </c>
      <c r="O661" s="40"/>
      <c r="P661" s="40"/>
      <c r="Q661" s="40" t="s">
        <v>6</v>
      </c>
      <c r="R661" s="40" t="s">
        <v>6</v>
      </c>
      <c r="S661" s="40" t="s">
        <v>6</v>
      </c>
      <c r="T661" s="40"/>
      <c r="U661" s="204" t="s">
        <v>3963</v>
      </c>
      <c r="V661" s="204"/>
      <c r="W661" s="232" t="s">
        <v>125</v>
      </c>
      <c r="X661" s="199"/>
      <c r="Y661" s="199"/>
      <c r="Z661" s="199"/>
      <c r="AA661" s="126" t="s">
        <v>6</v>
      </c>
      <c r="AB661" s="198"/>
      <c r="AC661" s="199"/>
      <c r="AD661" s="199"/>
      <c r="AE661" s="232" t="s">
        <v>125</v>
      </c>
      <c r="AF661" s="199"/>
      <c r="AG661" s="199"/>
      <c r="AH661" s="199"/>
      <c r="AI661" s="126" t="s">
        <v>6</v>
      </c>
      <c r="AJ661" s="198"/>
      <c r="AK661" s="199"/>
      <c r="AL661" s="199"/>
      <c r="AM661" s="199"/>
      <c r="AN661" s="199"/>
      <c r="AO661" s="199"/>
      <c r="AP661" s="199"/>
      <c r="AQ661" s="199"/>
      <c r="AR661" s="199"/>
      <c r="AS661" s="199"/>
      <c r="AT661" s="199"/>
      <c r="AU661" s="199"/>
      <c r="AV661" s="199"/>
      <c r="AW661" s="155"/>
    </row>
    <row r="662" spans="1:49" s="236" customFormat="1" ht="15">
      <c r="A662" s="40">
        <f t="shared" si="35"/>
        <v>656</v>
      </c>
      <c r="B662" s="199"/>
      <c r="C662" s="199"/>
      <c r="D662" s="199"/>
      <c r="E662" s="199"/>
      <c r="F662" s="199"/>
      <c r="G662" s="199"/>
      <c r="H662" s="199"/>
      <c r="I662" s="199" t="s">
        <v>868</v>
      </c>
      <c r="J662" s="218" t="s">
        <v>4753</v>
      </c>
      <c r="K662" s="232" t="s">
        <v>117</v>
      </c>
      <c r="L662" s="204" t="s">
        <v>3979</v>
      </c>
      <c r="M662" s="351"/>
      <c r="N662" s="40" t="s">
        <v>504</v>
      </c>
      <c r="O662" s="40"/>
      <c r="P662" s="40"/>
      <c r="Q662" s="40" t="s">
        <v>6</v>
      </c>
      <c r="R662" s="40" t="s">
        <v>6</v>
      </c>
      <c r="S662" s="40" t="s">
        <v>6</v>
      </c>
      <c r="T662" s="40"/>
      <c r="U662" s="204" t="s">
        <v>3963</v>
      </c>
      <c r="V662" s="204"/>
      <c r="W662" s="232" t="s">
        <v>125</v>
      </c>
      <c r="X662" s="199"/>
      <c r="Y662" s="199"/>
      <c r="Z662" s="199"/>
      <c r="AA662" s="126" t="s">
        <v>6</v>
      </c>
      <c r="AB662" s="198"/>
      <c r="AC662" s="199"/>
      <c r="AD662" s="199"/>
      <c r="AE662" s="232" t="s">
        <v>125</v>
      </c>
      <c r="AF662" s="199"/>
      <c r="AG662" s="199"/>
      <c r="AH662" s="199"/>
      <c r="AI662" s="126" t="s">
        <v>6</v>
      </c>
      <c r="AJ662" s="198"/>
      <c r="AK662" s="199"/>
      <c r="AL662" s="199"/>
      <c r="AM662" s="199"/>
      <c r="AN662" s="199"/>
      <c r="AO662" s="199"/>
      <c r="AP662" s="199"/>
      <c r="AQ662" s="199"/>
      <c r="AR662" s="199"/>
      <c r="AS662" s="199"/>
      <c r="AT662" s="199"/>
      <c r="AU662" s="199"/>
      <c r="AV662" s="199"/>
      <c r="AW662" s="155"/>
    </row>
    <row r="663" spans="1:49" s="236" customFormat="1" ht="26.4">
      <c r="A663" s="40">
        <f t="shared" si="35"/>
        <v>657</v>
      </c>
      <c r="B663" s="199"/>
      <c r="C663" s="199"/>
      <c r="D663" s="199"/>
      <c r="E663" s="199"/>
      <c r="F663" s="199"/>
      <c r="G663" s="199"/>
      <c r="H663" s="199"/>
      <c r="I663" s="199" t="s">
        <v>868</v>
      </c>
      <c r="J663" s="218" t="s">
        <v>4754</v>
      </c>
      <c r="K663" s="232" t="s">
        <v>117</v>
      </c>
      <c r="L663" s="204" t="s">
        <v>3983</v>
      </c>
      <c r="M663" s="351"/>
      <c r="N663" s="40" t="s">
        <v>504</v>
      </c>
      <c r="O663" s="40"/>
      <c r="P663" s="40"/>
      <c r="Q663" s="40" t="s">
        <v>6</v>
      </c>
      <c r="R663" s="40" t="s">
        <v>6</v>
      </c>
      <c r="S663" s="40" t="s">
        <v>6</v>
      </c>
      <c r="T663" s="40"/>
      <c r="U663" s="204" t="s">
        <v>3921</v>
      </c>
      <c r="V663" s="204"/>
      <c r="W663" s="232" t="s">
        <v>125</v>
      </c>
      <c r="X663" s="211"/>
      <c r="Y663" s="211"/>
      <c r="Z663" s="211"/>
      <c r="AA663" s="126" t="s">
        <v>6</v>
      </c>
      <c r="AB663" s="198"/>
      <c r="AC663" s="199"/>
      <c r="AD663" s="199"/>
      <c r="AE663" s="232" t="s">
        <v>125</v>
      </c>
      <c r="AF663" s="211"/>
      <c r="AG663" s="211"/>
      <c r="AH663" s="211"/>
      <c r="AI663" s="126" t="s">
        <v>6</v>
      </c>
      <c r="AJ663" s="198"/>
      <c r="AK663" s="199"/>
      <c r="AL663" s="199"/>
      <c r="AM663" s="199"/>
      <c r="AN663" s="199"/>
      <c r="AO663" s="199"/>
      <c r="AP663" s="199"/>
      <c r="AQ663" s="199"/>
      <c r="AR663" s="199"/>
      <c r="AS663" s="199"/>
      <c r="AT663" s="199"/>
      <c r="AU663" s="199"/>
      <c r="AV663" s="199"/>
      <c r="AW663" s="155"/>
    </row>
    <row r="664" spans="1:49" s="236" customFormat="1" ht="26.4">
      <c r="A664" s="40">
        <f t="shared" si="35"/>
        <v>658</v>
      </c>
      <c r="B664" s="199"/>
      <c r="C664" s="199"/>
      <c r="D664" s="199"/>
      <c r="E664" s="199"/>
      <c r="F664" s="199"/>
      <c r="G664" s="199"/>
      <c r="H664" s="199"/>
      <c r="I664" s="199" t="s">
        <v>868</v>
      </c>
      <c r="J664" s="218" t="s">
        <v>4755</v>
      </c>
      <c r="K664" s="232" t="s">
        <v>117</v>
      </c>
      <c r="L664" s="204" t="s">
        <v>3987</v>
      </c>
      <c r="M664" s="351"/>
      <c r="N664" s="40" t="s">
        <v>504</v>
      </c>
      <c r="O664" s="40"/>
      <c r="P664" s="40"/>
      <c r="Q664" s="40" t="s">
        <v>6</v>
      </c>
      <c r="R664" s="40" t="s">
        <v>6</v>
      </c>
      <c r="S664" s="40" t="s">
        <v>6</v>
      </c>
      <c r="T664" s="40"/>
      <c r="U664" s="204" t="s">
        <v>4756</v>
      </c>
      <c r="V664" s="204"/>
      <c r="W664" s="232" t="s">
        <v>125</v>
      </c>
      <c r="X664" s="211"/>
      <c r="Y664" s="211"/>
      <c r="Z664" s="211"/>
      <c r="AA664" s="126" t="s">
        <v>6</v>
      </c>
      <c r="AB664" s="198"/>
      <c r="AC664" s="199"/>
      <c r="AD664" s="199"/>
      <c r="AE664" s="232" t="s">
        <v>125</v>
      </c>
      <c r="AF664" s="211"/>
      <c r="AG664" s="211"/>
      <c r="AH664" s="211"/>
      <c r="AI664" s="126" t="s">
        <v>6</v>
      </c>
      <c r="AJ664" s="198"/>
      <c r="AK664" s="199"/>
      <c r="AL664" s="199"/>
      <c r="AM664" s="199"/>
      <c r="AN664" s="199"/>
      <c r="AO664" s="199"/>
      <c r="AP664" s="199"/>
      <c r="AQ664" s="199"/>
      <c r="AR664" s="199"/>
      <c r="AS664" s="199"/>
      <c r="AT664" s="199"/>
      <c r="AU664" s="199"/>
      <c r="AV664" s="199"/>
      <c r="AW664" s="155"/>
    </row>
    <row r="665" spans="1:49" s="236" customFormat="1" ht="26.4">
      <c r="A665" s="40">
        <f t="shared" si="35"/>
        <v>659</v>
      </c>
      <c r="B665" s="199"/>
      <c r="C665" s="199"/>
      <c r="D665" s="199"/>
      <c r="E665" s="199"/>
      <c r="F665" s="199"/>
      <c r="G665" s="199"/>
      <c r="H665" s="199"/>
      <c r="I665" s="199" t="s">
        <v>868</v>
      </c>
      <c r="J665" s="218" t="s">
        <v>4757</v>
      </c>
      <c r="K665" s="232" t="s">
        <v>117</v>
      </c>
      <c r="L665" s="204" t="s">
        <v>3992</v>
      </c>
      <c r="M665" s="351"/>
      <c r="N665" s="40" t="s">
        <v>504</v>
      </c>
      <c r="O665" s="40"/>
      <c r="P665" s="40"/>
      <c r="Q665" s="40" t="s">
        <v>6</v>
      </c>
      <c r="R665" s="40" t="s">
        <v>6</v>
      </c>
      <c r="S665" s="40" t="s">
        <v>6</v>
      </c>
      <c r="T665" s="40"/>
      <c r="U665" s="204" t="s">
        <v>4756</v>
      </c>
      <c r="V665" s="204"/>
      <c r="W665" s="232" t="s">
        <v>125</v>
      </c>
      <c r="X665" s="211"/>
      <c r="Y665" s="211"/>
      <c r="Z665" s="211"/>
      <c r="AA665" s="126" t="s">
        <v>6</v>
      </c>
      <c r="AB665" s="198"/>
      <c r="AC665" s="199"/>
      <c r="AD665" s="199"/>
      <c r="AE665" s="232" t="s">
        <v>125</v>
      </c>
      <c r="AF665" s="211"/>
      <c r="AG665" s="211"/>
      <c r="AH665" s="211"/>
      <c r="AI665" s="126" t="s">
        <v>6</v>
      </c>
      <c r="AJ665" s="198"/>
      <c r="AK665" s="199"/>
      <c r="AL665" s="199"/>
      <c r="AM665" s="199"/>
      <c r="AN665" s="199"/>
      <c r="AO665" s="199"/>
      <c r="AP665" s="199"/>
      <c r="AQ665" s="199"/>
      <c r="AR665" s="199"/>
      <c r="AS665" s="199"/>
      <c r="AT665" s="199"/>
      <c r="AU665" s="199"/>
      <c r="AV665" s="199"/>
      <c r="AW665" s="155"/>
    </row>
    <row r="666" spans="1:49" s="236" customFormat="1" ht="26.4">
      <c r="A666" s="40">
        <f t="shared" si="35"/>
        <v>660</v>
      </c>
      <c r="B666" s="199"/>
      <c r="C666" s="199"/>
      <c r="D666" s="199"/>
      <c r="E666" s="199"/>
      <c r="F666" s="199"/>
      <c r="G666" s="199"/>
      <c r="H666" s="199"/>
      <c r="I666" s="199" t="s">
        <v>868</v>
      </c>
      <c r="J666" s="218" t="s">
        <v>4758</v>
      </c>
      <c r="K666" s="232" t="s">
        <v>117</v>
      </c>
      <c r="L666" s="204" t="s">
        <v>3994</v>
      </c>
      <c r="M666" s="351"/>
      <c r="N666" s="40" t="s">
        <v>504</v>
      </c>
      <c r="O666" s="40"/>
      <c r="P666" s="40"/>
      <c r="Q666" s="40" t="s">
        <v>6</v>
      </c>
      <c r="R666" s="40" t="s">
        <v>6</v>
      </c>
      <c r="S666" s="40" t="s">
        <v>6</v>
      </c>
      <c r="T666" s="40"/>
      <c r="U666" s="204" t="s">
        <v>4756</v>
      </c>
      <c r="V666" s="204"/>
      <c r="W666" s="232" t="s">
        <v>125</v>
      </c>
      <c r="X666" s="211"/>
      <c r="Y666" s="211"/>
      <c r="Z666" s="211"/>
      <c r="AA666" s="126" t="s">
        <v>6</v>
      </c>
      <c r="AB666" s="198"/>
      <c r="AC666" s="199"/>
      <c r="AD666" s="199"/>
      <c r="AE666" s="232" t="s">
        <v>125</v>
      </c>
      <c r="AF666" s="211"/>
      <c r="AG666" s="211"/>
      <c r="AH666" s="211"/>
      <c r="AI666" s="126" t="s">
        <v>6</v>
      </c>
      <c r="AJ666" s="198"/>
      <c r="AK666" s="199"/>
      <c r="AL666" s="199"/>
      <c r="AM666" s="199"/>
      <c r="AN666" s="199"/>
      <c r="AO666" s="199"/>
      <c r="AP666" s="199"/>
      <c r="AQ666" s="199"/>
      <c r="AR666" s="199"/>
      <c r="AS666" s="199"/>
      <c r="AT666" s="199"/>
      <c r="AU666" s="199"/>
      <c r="AV666" s="199"/>
      <c r="AW666" s="155"/>
    </row>
    <row r="667" spans="1:49" s="236" customFormat="1" ht="26.4">
      <c r="A667" s="40">
        <f t="shared" si="35"/>
        <v>661</v>
      </c>
      <c r="B667" s="199"/>
      <c r="C667" s="199"/>
      <c r="D667" s="199"/>
      <c r="E667" s="199"/>
      <c r="F667" s="199"/>
      <c r="G667" s="199"/>
      <c r="H667" s="199"/>
      <c r="I667" s="199" t="s">
        <v>868</v>
      </c>
      <c r="J667" s="218" t="s">
        <v>4759</v>
      </c>
      <c r="K667" s="232" t="s">
        <v>117</v>
      </c>
      <c r="L667" s="204" t="s">
        <v>3998</v>
      </c>
      <c r="M667" s="351"/>
      <c r="N667" s="40" t="s">
        <v>504</v>
      </c>
      <c r="O667" s="40"/>
      <c r="P667" s="40"/>
      <c r="Q667" s="40" t="s">
        <v>6</v>
      </c>
      <c r="R667" s="40" t="s">
        <v>6</v>
      </c>
      <c r="S667" s="40" t="s">
        <v>6</v>
      </c>
      <c r="T667" s="40"/>
      <c r="U667" s="204" t="s">
        <v>4756</v>
      </c>
      <c r="V667" s="204"/>
      <c r="W667" s="232" t="s">
        <v>125</v>
      </c>
      <c r="X667" s="199"/>
      <c r="Y667" s="199"/>
      <c r="Z667" s="199"/>
      <c r="AA667" s="126" t="s">
        <v>6</v>
      </c>
      <c r="AB667" s="198"/>
      <c r="AC667" s="199"/>
      <c r="AD667" s="199"/>
      <c r="AE667" s="232" t="s">
        <v>125</v>
      </c>
      <c r="AF667" s="199"/>
      <c r="AG667" s="199"/>
      <c r="AH667" s="199"/>
      <c r="AI667" s="126" t="s">
        <v>6</v>
      </c>
      <c r="AJ667" s="198"/>
      <c r="AK667" s="199"/>
      <c r="AL667" s="199"/>
      <c r="AM667" s="199"/>
      <c r="AN667" s="199"/>
      <c r="AO667" s="199"/>
      <c r="AP667" s="199"/>
      <c r="AQ667" s="199"/>
      <c r="AR667" s="199"/>
      <c r="AS667" s="199"/>
      <c r="AT667" s="199"/>
      <c r="AU667" s="199"/>
      <c r="AV667" s="199"/>
      <c r="AW667" s="155"/>
    </row>
    <row r="668" spans="1:49" s="236" customFormat="1" ht="26.4">
      <c r="A668" s="40">
        <f t="shared" si="35"/>
        <v>662</v>
      </c>
      <c r="B668" s="199"/>
      <c r="C668" s="199"/>
      <c r="D668" s="199"/>
      <c r="E668" s="199"/>
      <c r="F668" s="199"/>
      <c r="G668" s="199"/>
      <c r="H668" s="199"/>
      <c r="I668" s="199" t="s">
        <v>868</v>
      </c>
      <c r="J668" s="218" t="s">
        <v>4760</v>
      </c>
      <c r="K668" s="232" t="s">
        <v>117</v>
      </c>
      <c r="L668" s="204" t="s">
        <v>4761</v>
      </c>
      <c r="M668" s="351"/>
      <c r="N668" s="40" t="s">
        <v>504</v>
      </c>
      <c r="O668" s="40"/>
      <c r="P668" s="40"/>
      <c r="Q668" s="40" t="s">
        <v>6</v>
      </c>
      <c r="R668" s="40" t="s">
        <v>6</v>
      </c>
      <c r="S668" s="40" t="s">
        <v>6</v>
      </c>
      <c r="T668" s="40"/>
      <c r="U668" s="204" t="s">
        <v>4756</v>
      </c>
      <c r="V668" s="204"/>
      <c r="W668" s="232" t="s">
        <v>125</v>
      </c>
      <c r="X668" s="199"/>
      <c r="Y668" s="199"/>
      <c r="Z668" s="199"/>
      <c r="AA668" s="126" t="s">
        <v>6</v>
      </c>
      <c r="AB668" s="198"/>
      <c r="AC668" s="199"/>
      <c r="AD668" s="199"/>
      <c r="AE668" s="232" t="s">
        <v>125</v>
      </c>
      <c r="AF668" s="199"/>
      <c r="AG668" s="199"/>
      <c r="AH668" s="199"/>
      <c r="AI668" s="126" t="s">
        <v>6</v>
      </c>
      <c r="AJ668" s="198"/>
      <c r="AK668" s="199"/>
      <c r="AL668" s="199"/>
      <c r="AM668" s="199"/>
      <c r="AN668" s="199"/>
      <c r="AO668" s="199"/>
      <c r="AP668" s="199"/>
      <c r="AQ668" s="199"/>
      <c r="AR668" s="199"/>
      <c r="AS668" s="199"/>
      <c r="AT668" s="199"/>
      <c r="AU668" s="199"/>
      <c r="AV668" s="199"/>
      <c r="AW668" s="155"/>
    </row>
    <row r="669" spans="1:49" s="236" customFormat="1" ht="26.4">
      <c r="A669" s="40">
        <f t="shared" si="35"/>
        <v>663</v>
      </c>
      <c r="B669" s="199"/>
      <c r="C669" s="199"/>
      <c r="D669" s="199"/>
      <c r="E669" s="199"/>
      <c r="F669" s="199"/>
      <c r="G669" s="199"/>
      <c r="H669" s="199"/>
      <c r="I669" s="199" t="s">
        <v>868</v>
      </c>
      <c r="J669" s="218" t="s">
        <v>4762</v>
      </c>
      <c r="K669" s="232" t="s">
        <v>117</v>
      </c>
      <c r="L669" s="204" t="s">
        <v>765</v>
      </c>
      <c r="M669" s="351"/>
      <c r="N669" s="40" t="s">
        <v>504</v>
      </c>
      <c r="O669" s="40"/>
      <c r="P669" s="40"/>
      <c r="Q669" s="40" t="s">
        <v>6</v>
      </c>
      <c r="R669" s="40" t="s">
        <v>6</v>
      </c>
      <c r="S669" s="40" t="s">
        <v>6</v>
      </c>
      <c r="T669" s="40"/>
      <c r="U669" s="204" t="s">
        <v>4756</v>
      </c>
      <c r="V669" s="204"/>
      <c r="W669" s="232" t="s">
        <v>125</v>
      </c>
      <c r="X669" s="199"/>
      <c r="Y669" s="199"/>
      <c r="Z669" s="199"/>
      <c r="AA669" s="126" t="s">
        <v>6</v>
      </c>
      <c r="AB669" s="198"/>
      <c r="AC669" s="199"/>
      <c r="AD669" s="199"/>
      <c r="AE669" s="232" t="s">
        <v>125</v>
      </c>
      <c r="AF669" s="199"/>
      <c r="AG669" s="199"/>
      <c r="AH669" s="199"/>
      <c r="AI669" s="126" t="s">
        <v>6</v>
      </c>
      <c r="AJ669" s="198"/>
      <c r="AK669" s="199"/>
      <c r="AL669" s="199"/>
      <c r="AM669" s="199"/>
      <c r="AN669" s="199"/>
      <c r="AO669" s="199"/>
      <c r="AP669" s="199"/>
      <c r="AQ669" s="199"/>
      <c r="AR669" s="199"/>
      <c r="AS669" s="199"/>
      <c r="AT669" s="199"/>
      <c r="AU669" s="199"/>
      <c r="AV669" s="199"/>
      <c r="AW669" s="155"/>
    </row>
    <row r="670" spans="1:49" s="236" customFormat="1" ht="26.4">
      <c r="A670" s="40">
        <f t="shared" si="35"/>
        <v>664</v>
      </c>
      <c r="B670" s="199"/>
      <c r="C670" s="199"/>
      <c r="D670" s="199"/>
      <c r="E670" s="199"/>
      <c r="F670" s="199"/>
      <c r="G670" s="199"/>
      <c r="H670" s="199"/>
      <c r="I670" s="199" t="s">
        <v>868</v>
      </c>
      <c r="J670" s="218" t="s">
        <v>4763</v>
      </c>
      <c r="K670" s="232" t="s">
        <v>117</v>
      </c>
      <c r="L670" s="204" t="s">
        <v>767</v>
      </c>
      <c r="M670" s="351"/>
      <c r="N670" s="40" t="s">
        <v>504</v>
      </c>
      <c r="O670" s="40"/>
      <c r="P670" s="40"/>
      <c r="Q670" s="40" t="s">
        <v>6</v>
      </c>
      <c r="R670" s="40" t="s">
        <v>6</v>
      </c>
      <c r="S670" s="40" t="s">
        <v>6</v>
      </c>
      <c r="T670" s="40"/>
      <c r="U670" s="204" t="s">
        <v>4756</v>
      </c>
      <c r="V670" s="204"/>
      <c r="W670" s="232" t="s">
        <v>125</v>
      </c>
      <c r="X670" s="199"/>
      <c r="Y670" s="199"/>
      <c r="Z670" s="199"/>
      <c r="AA670" s="126" t="s">
        <v>6</v>
      </c>
      <c r="AB670" s="198"/>
      <c r="AC670" s="199"/>
      <c r="AD670" s="199"/>
      <c r="AE670" s="232" t="s">
        <v>125</v>
      </c>
      <c r="AF670" s="199"/>
      <c r="AG670" s="199"/>
      <c r="AH670" s="199"/>
      <c r="AI670" s="126" t="s">
        <v>6</v>
      </c>
      <c r="AJ670" s="198"/>
      <c r="AK670" s="199"/>
      <c r="AL670" s="199"/>
      <c r="AM670" s="199"/>
      <c r="AN670" s="199"/>
      <c r="AO670" s="199"/>
      <c r="AP670" s="199"/>
      <c r="AQ670" s="199"/>
      <c r="AR670" s="199"/>
      <c r="AS670" s="199"/>
      <c r="AT670" s="199"/>
      <c r="AU670" s="199"/>
      <c r="AV670" s="199"/>
      <c r="AW670" s="155"/>
    </row>
    <row r="671" spans="1:49" s="236" customFormat="1" ht="26.4">
      <c r="A671" s="40">
        <f t="shared" si="35"/>
        <v>665</v>
      </c>
      <c r="B671" s="199"/>
      <c r="C671" s="199"/>
      <c r="D671" s="199"/>
      <c r="E671" s="199"/>
      <c r="F671" s="199"/>
      <c r="G671" s="199"/>
      <c r="H671" s="199"/>
      <c r="I671" s="199"/>
      <c r="J671" s="218" t="s">
        <v>4764</v>
      </c>
      <c r="K671" s="204" t="s">
        <v>117</v>
      </c>
      <c r="L671" s="204" t="s">
        <v>1406</v>
      </c>
      <c r="M671" s="351"/>
      <c r="N671" s="40" t="s">
        <v>504</v>
      </c>
      <c r="O671" s="198"/>
      <c r="P671" s="198"/>
      <c r="Q671" s="40" t="s">
        <v>6</v>
      </c>
      <c r="R671" s="40" t="s">
        <v>6</v>
      </c>
      <c r="S671" s="40" t="s">
        <v>6</v>
      </c>
      <c r="T671" s="40"/>
      <c r="U671" s="204" t="s">
        <v>3961</v>
      </c>
      <c r="V671" s="204"/>
      <c r="W671" s="204" t="s">
        <v>125</v>
      </c>
      <c r="X671" s="199"/>
      <c r="Y671" s="199"/>
      <c r="Z671" s="199"/>
      <c r="AA671" s="40" t="s">
        <v>6</v>
      </c>
      <c r="AB671" s="218"/>
      <c r="AC671" s="199"/>
      <c r="AD671" s="218" t="s">
        <v>709</v>
      </c>
      <c r="AE671" s="204" t="s">
        <v>125</v>
      </c>
      <c r="AF671" s="199"/>
      <c r="AG671" s="199"/>
      <c r="AH671" s="199"/>
      <c r="AI671" s="40" t="s">
        <v>6</v>
      </c>
      <c r="AJ671" s="218"/>
      <c r="AK671" s="199"/>
      <c r="AL671" s="218" t="s">
        <v>709</v>
      </c>
      <c r="AM671" s="199"/>
      <c r="AN671" s="199"/>
      <c r="AO671" s="199"/>
      <c r="AP671" s="199"/>
      <c r="AQ671" s="199"/>
      <c r="AR671" s="199"/>
      <c r="AS671" s="199"/>
      <c r="AT671" s="199"/>
      <c r="AU671" s="199"/>
      <c r="AV671" s="199"/>
      <c r="AW671" s="155"/>
    </row>
    <row r="672" spans="1:49" s="236" customFormat="1" ht="15">
      <c r="A672" s="40">
        <f t="shared" si="35"/>
        <v>666</v>
      </c>
      <c r="B672" s="199"/>
      <c r="C672" s="199"/>
      <c r="D672" s="199"/>
      <c r="E672" s="199"/>
      <c r="F672" s="199"/>
      <c r="G672" s="199"/>
      <c r="H672" s="199"/>
      <c r="I672" s="199" t="s">
        <v>868</v>
      </c>
      <c r="J672" s="249" t="s">
        <v>4765</v>
      </c>
      <c r="K672" s="250" t="s">
        <v>117</v>
      </c>
      <c r="L672" s="251" t="s">
        <v>1408</v>
      </c>
      <c r="M672" s="351"/>
      <c r="N672" s="40" t="s">
        <v>504</v>
      </c>
      <c r="O672" s="40"/>
      <c r="P672" s="40"/>
      <c r="Q672" s="40" t="s">
        <v>6</v>
      </c>
      <c r="R672" s="40" t="s">
        <v>6</v>
      </c>
      <c r="S672" s="40" t="s">
        <v>6</v>
      </c>
      <c r="T672" s="40"/>
      <c r="U672" s="204" t="s">
        <v>4766</v>
      </c>
      <c r="V672" s="353"/>
      <c r="W672" s="232" t="s">
        <v>125</v>
      </c>
      <c r="X672" s="199"/>
      <c r="Y672" s="199"/>
      <c r="Z672" s="199"/>
      <c r="AA672" s="126" t="s">
        <v>6</v>
      </c>
      <c r="AB672" s="198"/>
      <c r="AC672" s="199"/>
      <c r="AD672" s="199"/>
      <c r="AE672" s="232" t="s">
        <v>125</v>
      </c>
      <c r="AF672" s="199"/>
      <c r="AG672" s="199"/>
      <c r="AH672" s="199"/>
      <c r="AI672" s="126" t="s">
        <v>6</v>
      </c>
      <c r="AJ672" s="198"/>
      <c r="AK672" s="199"/>
      <c r="AL672" s="199"/>
      <c r="AM672" s="199"/>
      <c r="AN672" s="199"/>
      <c r="AO672" s="199"/>
      <c r="AP672" s="199"/>
      <c r="AQ672" s="199"/>
      <c r="AR672" s="199"/>
      <c r="AS672" s="199"/>
      <c r="AT672" s="199"/>
      <c r="AU672" s="199"/>
      <c r="AV672" s="199"/>
      <c r="AW672" s="155"/>
    </row>
    <row r="673" spans="1:87" s="236" customFormat="1" ht="15">
      <c r="A673" s="40">
        <f t="shared" si="35"/>
        <v>667</v>
      </c>
      <c r="B673" s="199"/>
      <c r="C673" s="199"/>
      <c r="D673" s="199"/>
      <c r="E673" s="199"/>
      <c r="F673" s="199"/>
      <c r="G673" s="199"/>
      <c r="H673" s="199"/>
      <c r="I673" s="199"/>
      <c r="J673" s="218" t="s">
        <v>4767</v>
      </c>
      <c r="K673" s="232" t="s">
        <v>117</v>
      </c>
      <c r="L673" s="204" t="s">
        <v>1409</v>
      </c>
      <c r="M673" s="351"/>
      <c r="N673" s="40" t="s">
        <v>504</v>
      </c>
      <c r="O673" s="40"/>
      <c r="P673" s="40"/>
      <c r="Q673" s="40"/>
      <c r="R673" s="40" t="s">
        <v>6</v>
      </c>
      <c r="S673" s="40" t="s">
        <v>6</v>
      </c>
      <c r="T673" s="40"/>
      <c r="U673" s="204" t="s">
        <v>4768</v>
      </c>
      <c r="V673" s="212"/>
      <c r="W673" s="232" t="s">
        <v>133</v>
      </c>
      <c r="X673" s="199"/>
      <c r="Y673" s="199"/>
      <c r="Z673" s="40" t="s">
        <v>6</v>
      </c>
      <c r="AA673" s="126"/>
      <c r="AB673" s="215"/>
      <c r="AC673" s="199"/>
      <c r="AD673" s="199"/>
      <c r="AE673" s="232" t="s">
        <v>133</v>
      </c>
      <c r="AF673" s="199"/>
      <c r="AG673" s="199"/>
      <c r="AH673" s="40" t="s">
        <v>6</v>
      </c>
      <c r="AI673" s="126"/>
      <c r="AJ673" s="215"/>
      <c r="AK673" s="199"/>
      <c r="AL673" s="199"/>
      <c r="AM673" s="199"/>
      <c r="AN673" s="199"/>
      <c r="AO673" s="199"/>
      <c r="AP673" s="199"/>
      <c r="AQ673" s="199"/>
      <c r="AR673" s="199"/>
      <c r="AS673" s="199"/>
      <c r="AT673" s="199"/>
      <c r="AU673" s="199"/>
      <c r="AV673" s="199"/>
      <c r="AW673" s="155"/>
    </row>
    <row r="674" spans="1:87" s="236" customFormat="1" ht="26.4">
      <c r="A674" s="40">
        <f t="shared" si="35"/>
        <v>668</v>
      </c>
      <c r="B674" s="199"/>
      <c r="C674" s="199"/>
      <c r="D674" s="199"/>
      <c r="E674" s="199"/>
      <c r="F674" s="199"/>
      <c r="G674" s="199"/>
      <c r="H674" s="199"/>
      <c r="I674" s="199"/>
      <c r="J674" s="218" t="s">
        <v>4769</v>
      </c>
      <c r="K674" s="412" t="s">
        <v>128</v>
      </c>
      <c r="L674" s="204" t="s">
        <v>703</v>
      </c>
      <c r="M674" s="351"/>
      <c r="N674" s="40" t="s">
        <v>504</v>
      </c>
      <c r="O674" s="40"/>
      <c r="P674" s="40"/>
      <c r="Q674" s="40" t="s">
        <v>6</v>
      </c>
      <c r="R674" s="40" t="s">
        <v>6</v>
      </c>
      <c r="S674" s="40" t="s">
        <v>6</v>
      </c>
      <c r="T674" s="40"/>
      <c r="U674" s="204" t="s">
        <v>3921</v>
      </c>
      <c r="V674" s="204"/>
      <c r="W674" s="232" t="s">
        <v>125</v>
      </c>
      <c r="X674" s="199"/>
      <c r="Y674" s="199"/>
      <c r="Z674" s="199"/>
      <c r="AA674" s="126" t="s">
        <v>6</v>
      </c>
      <c r="AB674" s="198"/>
      <c r="AC674" s="199"/>
      <c r="AD674" s="199"/>
      <c r="AE674" s="232" t="s">
        <v>125</v>
      </c>
      <c r="AF674" s="199"/>
      <c r="AG674" s="199"/>
      <c r="AH674" s="199"/>
      <c r="AI674" s="126" t="s">
        <v>6</v>
      </c>
      <c r="AJ674" s="198"/>
      <c r="AK674" s="199"/>
      <c r="AL674" s="199"/>
      <c r="AM674" s="199"/>
      <c r="AN674" s="199"/>
      <c r="AO674" s="199"/>
      <c r="AP674" s="199"/>
      <c r="AQ674" s="199"/>
      <c r="AR674" s="199"/>
      <c r="AS674" s="199"/>
      <c r="AT674" s="199"/>
      <c r="AU674" s="199"/>
      <c r="AV674" s="199"/>
      <c r="AW674" s="155"/>
    </row>
    <row r="675" spans="1:87" s="14" customFormat="1" ht="15">
      <c r="A675" s="40">
        <f t="shared" si="35"/>
        <v>669</v>
      </c>
      <c r="B675" s="33"/>
      <c r="C675" s="34"/>
      <c r="D675" s="33"/>
      <c r="E675" s="33"/>
      <c r="F675" s="33"/>
      <c r="G675" s="33"/>
      <c r="H675" s="416"/>
      <c r="I675" s="416"/>
      <c r="J675" s="412" t="s">
        <v>4770</v>
      </c>
      <c r="K675" s="412" t="s">
        <v>65</v>
      </c>
      <c r="L675" s="204" t="s">
        <v>4771</v>
      </c>
      <c r="M675" s="351"/>
      <c r="N675" s="40" t="s">
        <v>504</v>
      </c>
      <c r="O675" s="416"/>
      <c r="P675" s="416"/>
      <c r="Q675" s="416" t="s">
        <v>6</v>
      </c>
      <c r="R675" s="416" t="s">
        <v>6</v>
      </c>
      <c r="S675" s="416" t="s">
        <v>6</v>
      </c>
      <c r="T675" s="416"/>
      <c r="U675" s="252"/>
      <c r="V675" s="416"/>
      <c r="W675" s="412" t="s">
        <v>65</v>
      </c>
      <c r="X675" s="416"/>
      <c r="Y675" s="416"/>
      <c r="Z675" s="416" t="s">
        <v>6</v>
      </c>
      <c r="AA675" s="416" t="s">
        <v>6</v>
      </c>
      <c r="AB675" s="416"/>
      <c r="AC675" s="416"/>
      <c r="AD675" s="416"/>
      <c r="AE675" s="412" t="s">
        <v>65</v>
      </c>
      <c r="AF675" s="416"/>
      <c r="AG675" s="416"/>
      <c r="AH675" s="416" t="s">
        <v>6</v>
      </c>
      <c r="AI675" s="416" t="s">
        <v>6</v>
      </c>
      <c r="AJ675" s="416"/>
      <c r="AK675" s="416"/>
      <c r="AL675" s="416"/>
      <c r="AM675" s="463"/>
      <c r="AN675" s="233"/>
      <c r="AO675" s="245"/>
      <c r="AP675" s="245"/>
      <c r="AQ675" s="245"/>
      <c r="AR675" s="245"/>
      <c r="AS675" s="245"/>
      <c r="AT675" s="245"/>
      <c r="AU675" s="40"/>
      <c r="AV675" s="416"/>
      <c r="AW675" s="155"/>
    </row>
    <row r="676" spans="1:87" s="14" customFormat="1" ht="15">
      <c r="A676" s="40">
        <f t="shared" si="35"/>
        <v>670</v>
      </c>
      <c r="B676" s="38"/>
      <c r="C676" s="34"/>
      <c r="D676" s="33"/>
      <c r="E676" s="39"/>
      <c r="F676" s="39"/>
      <c r="G676" s="39"/>
      <c r="H676" s="416"/>
      <c r="I676" s="40"/>
      <c r="J676" s="412" t="s">
        <v>4772</v>
      </c>
      <c r="K676" s="412" t="s">
        <v>128</v>
      </c>
      <c r="L676" s="204" t="s">
        <v>4773</v>
      </c>
      <c r="M676" s="351"/>
      <c r="N676" s="40" t="s">
        <v>504</v>
      </c>
      <c r="O676" s="416"/>
      <c r="P676" s="416"/>
      <c r="Q676" s="416" t="s">
        <v>6</v>
      </c>
      <c r="R676" s="416" t="s">
        <v>6</v>
      </c>
      <c r="S676" s="416" t="s">
        <v>6</v>
      </c>
      <c r="T676" s="416"/>
      <c r="U676" s="204" t="s">
        <v>4774</v>
      </c>
      <c r="V676" s="204"/>
      <c r="W676" s="412" t="s">
        <v>128</v>
      </c>
      <c r="X676" s="40"/>
      <c r="Y676" s="40"/>
      <c r="Z676" s="416" t="s">
        <v>6</v>
      </c>
      <c r="AA676" s="416" t="s">
        <v>6</v>
      </c>
      <c r="AB676" s="416"/>
      <c r="AC676" s="416"/>
      <c r="AD676" s="416"/>
      <c r="AE676" s="412" t="s">
        <v>128</v>
      </c>
      <c r="AF676" s="40"/>
      <c r="AG676" s="40"/>
      <c r="AH676" s="416" t="s">
        <v>6</v>
      </c>
      <c r="AI676" s="416" t="s">
        <v>6</v>
      </c>
      <c r="AJ676" s="416"/>
      <c r="AK676" s="416"/>
      <c r="AL676" s="416"/>
      <c r="AM676" s="463"/>
      <c r="AN676" s="233"/>
      <c r="AO676" s="245"/>
      <c r="AP676" s="245"/>
      <c r="AQ676" s="245"/>
      <c r="AR676" s="245"/>
      <c r="AS676" s="245"/>
      <c r="AT676" s="245"/>
      <c r="AU676" s="40"/>
      <c r="AV676" s="40"/>
      <c r="AW676" s="155"/>
    </row>
    <row r="677" spans="1:87" s="14" customFormat="1" ht="15">
      <c r="A677" s="40">
        <f t="shared" si="35"/>
        <v>671</v>
      </c>
      <c r="B677" s="38"/>
      <c r="C677" s="42"/>
      <c r="D677" s="232"/>
      <c r="E677" s="232"/>
      <c r="F677" s="233"/>
      <c r="G677" s="233"/>
      <c r="H677" s="416"/>
      <c r="I677" s="40"/>
      <c r="J677" s="412" t="s">
        <v>4775</v>
      </c>
      <c r="K677" s="412" t="s">
        <v>117</v>
      </c>
      <c r="L677" s="251" t="s">
        <v>4776</v>
      </c>
      <c r="M677" s="351"/>
      <c r="N677" s="40" t="s">
        <v>504</v>
      </c>
      <c r="O677" s="40"/>
      <c r="P677" s="40"/>
      <c r="Q677" s="416" t="s">
        <v>6</v>
      </c>
      <c r="R677" s="416" t="s">
        <v>6</v>
      </c>
      <c r="S677" s="416" t="s">
        <v>6</v>
      </c>
      <c r="T677" s="416"/>
      <c r="U677" s="202"/>
      <c r="V677" s="40"/>
      <c r="W677" s="412" t="s">
        <v>133</v>
      </c>
      <c r="X677" s="415"/>
      <c r="Y677" s="415"/>
      <c r="Z677" s="416" t="s">
        <v>6</v>
      </c>
      <c r="AA677" s="416" t="s">
        <v>6</v>
      </c>
      <c r="AB677" s="415"/>
      <c r="AC677" s="415"/>
      <c r="AD677" s="415"/>
      <c r="AE677" s="412" t="s">
        <v>133</v>
      </c>
      <c r="AF677" s="415"/>
      <c r="AG677" s="415"/>
      <c r="AH677" s="416" t="s">
        <v>6</v>
      </c>
      <c r="AI677" s="416" t="s">
        <v>6</v>
      </c>
      <c r="AJ677" s="415"/>
      <c r="AK677" s="415"/>
      <c r="AL677" s="415"/>
      <c r="AM677" s="198"/>
      <c r="AN677" s="224"/>
      <c r="AO677" s="40"/>
      <c r="AP677" s="40"/>
      <c r="AQ677" s="40"/>
      <c r="AR677" s="40"/>
      <c r="AS677" s="40"/>
      <c r="AT677" s="40"/>
      <c r="AU677" s="40"/>
      <c r="AV677" s="40"/>
      <c r="AW677" s="155"/>
    </row>
    <row r="678" spans="1:87" s="14" customFormat="1" ht="15">
      <c r="A678" s="40">
        <f t="shared" si="35"/>
        <v>672</v>
      </c>
      <c r="B678" s="38"/>
      <c r="C678" s="42"/>
      <c r="D678" s="232"/>
      <c r="E678" s="232"/>
      <c r="F678" s="233"/>
      <c r="G678" s="233"/>
      <c r="H678" s="416"/>
      <c r="I678" s="40"/>
      <c r="J678" s="412" t="s">
        <v>4777</v>
      </c>
      <c r="K678" s="412" t="s">
        <v>117</v>
      </c>
      <c r="L678" s="204" t="s">
        <v>1424</v>
      </c>
      <c r="M678" s="351"/>
      <c r="N678" s="40" t="s">
        <v>504</v>
      </c>
      <c r="O678" s="40"/>
      <c r="P678" s="40"/>
      <c r="Q678" s="40" t="s">
        <v>6</v>
      </c>
      <c r="R678" s="40" t="s">
        <v>6</v>
      </c>
      <c r="S678" s="416" t="s">
        <v>6</v>
      </c>
      <c r="T678" s="416"/>
      <c r="U678" s="202"/>
      <c r="V678" s="40"/>
      <c r="W678" s="412" t="s">
        <v>133</v>
      </c>
      <c r="X678" s="415"/>
      <c r="Y678" s="415"/>
      <c r="Z678" s="416" t="s">
        <v>6</v>
      </c>
      <c r="AA678" s="416" t="s">
        <v>6</v>
      </c>
      <c r="AB678" s="415"/>
      <c r="AC678" s="415"/>
      <c r="AD678" s="415"/>
      <c r="AE678" s="412" t="s">
        <v>133</v>
      </c>
      <c r="AF678" s="415"/>
      <c r="AG678" s="415"/>
      <c r="AH678" s="416" t="s">
        <v>6</v>
      </c>
      <c r="AI678" s="416" t="s">
        <v>6</v>
      </c>
      <c r="AJ678" s="415"/>
      <c r="AK678" s="415"/>
      <c r="AL678" s="415"/>
      <c r="AM678" s="198"/>
      <c r="AN678" s="224"/>
      <c r="AO678" s="40"/>
      <c r="AP678" s="40"/>
      <c r="AQ678" s="40"/>
      <c r="AR678" s="40"/>
      <c r="AS678" s="40"/>
      <c r="AT678" s="40"/>
      <c r="AU678" s="40"/>
      <c r="AV678" s="40"/>
      <c r="AW678" s="155"/>
    </row>
    <row r="679" spans="1:87" s="236" customFormat="1" ht="15">
      <c r="A679" s="40">
        <f t="shared" si="35"/>
        <v>673</v>
      </c>
      <c r="B679" s="199"/>
      <c r="C679" s="199"/>
      <c r="D679" s="199"/>
      <c r="E679" s="199"/>
      <c r="F679" s="199"/>
      <c r="G679" s="199"/>
      <c r="H679" s="199"/>
      <c r="I679" s="199"/>
      <c r="J679" s="218" t="s">
        <v>4778</v>
      </c>
      <c r="K679" s="204" t="s">
        <v>140</v>
      </c>
      <c r="L679" s="204" t="s">
        <v>749</v>
      </c>
      <c r="M679" s="351"/>
      <c r="N679" s="40" t="s">
        <v>504</v>
      </c>
      <c r="O679" s="40"/>
      <c r="P679" s="40"/>
      <c r="Q679" s="40" t="s">
        <v>6</v>
      </c>
      <c r="R679" s="40" t="s">
        <v>6</v>
      </c>
      <c r="S679" s="40" t="s">
        <v>6</v>
      </c>
      <c r="T679" s="40"/>
      <c r="U679" s="204" t="s">
        <v>3963</v>
      </c>
      <c r="V679" s="204"/>
      <c r="W679" s="204" t="s">
        <v>140</v>
      </c>
      <c r="X679" s="199"/>
      <c r="Y679" s="199"/>
      <c r="Z679" s="199"/>
      <c r="AA679" s="40" t="s">
        <v>6</v>
      </c>
      <c r="AB679" s="198"/>
      <c r="AC679" s="199"/>
      <c r="AD679" s="199"/>
      <c r="AE679" s="204" t="s">
        <v>125</v>
      </c>
      <c r="AF679" s="199"/>
      <c r="AG679" s="199"/>
      <c r="AH679" s="199"/>
      <c r="AI679" s="40" t="s">
        <v>6</v>
      </c>
      <c r="AJ679" s="198"/>
      <c r="AK679" s="199"/>
      <c r="AL679" s="199"/>
      <c r="AM679" s="199"/>
      <c r="AN679" s="199"/>
      <c r="AO679" s="199"/>
      <c r="AP679" s="199"/>
      <c r="AQ679" s="199"/>
      <c r="AR679" s="199"/>
      <c r="AS679" s="199"/>
      <c r="AT679" s="199"/>
      <c r="AU679" s="199"/>
      <c r="AV679" s="199"/>
      <c r="AW679" s="155"/>
    </row>
    <row r="680" spans="1:87" s="236" customFormat="1" ht="15">
      <c r="A680" s="40">
        <f t="shared" si="35"/>
        <v>674</v>
      </c>
      <c r="B680" s="199"/>
      <c r="C680" s="199"/>
      <c r="D680" s="199"/>
      <c r="E680" s="199"/>
      <c r="F680" s="199"/>
      <c r="G680" s="199"/>
      <c r="H680" s="199"/>
      <c r="I680" s="199"/>
      <c r="J680" s="218" t="s">
        <v>4779</v>
      </c>
      <c r="K680" s="204" t="s">
        <v>128</v>
      </c>
      <c r="L680" s="204" t="s">
        <v>4780</v>
      </c>
      <c r="M680" s="351"/>
      <c r="N680" s="40" t="s">
        <v>504</v>
      </c>
      <c r="O680" s="40"/>
      <c r="P680" s="40"/>
      <c r="Q680" s="40"/>
      <c r="R680" s="40" t="s">
        <v>6</v>
      </c>
      <c r="S680" s="40" t="s">
        <v>6</v>
      </c>
      <c r="T680" s="40"/>
      <c r="U680" s="218" t="s">
        <v>4781</v>
      </c>
      <c r="V680" s="218"/>
      <c r="W680" s="204" t="s">
        <v>125</v>
      </c>
      <c r="X680" s="199"/>
      <c r="Y680" s="199"/>
      <c r="Z680" s="199"/>
      <c r="AA680" s="40" t="s">
        <v>6</v>
      </c>
      <c r="AB680" s="198"/>
      <c r="AC680" s="199"/>
      <c r="AD680" s="199"/>
      <c r="AE680" s="204" t="s">
        <v>125</v>
      </c>
      <c r="AF680" s="199"/>
      <c r="AG680" s="199"/>
      <c r="AH680" s="199"/>
      <c r="AI680" s="40" t="s">
        <v>6</v>
      </c>
      <c r="AJ680" s="198"/>
      <c r="AK680" s="199"/>
      <c r="AL680" s="199"/>
      <c r="AM680" s="199"/>
      <c r="AN680" s="199"/>
      <c r="AO680" s="199"/>
      <c r="AP680" s="199"/>
      <c r="AQ680" s="199"/>
      <c r="AR680" s="199"/>
      <c r="AS680" s="199"/>
      <c r="AT680" s="199"/>
      <c r="AU680" s="199"/>
      <c r="AV680" s="199"/>
      <c r="AW680" s="155"/>
    </row>
    <row r="681" spans="1:87" s="236" customFormat="1" ht="15">
      <c r="A681" s="40">
        <f t="shared" si="35"/>
        <v>675</v>
      </c>
      <c r="B681" s="199"/>
      <c r="C681" s="199"/>
      <c r="D681" s="199"/>
      <c r="E681" s="199"/>
      <c r="F681" s="199"/>
      <c r="G681" s="199"/>
      <c r="H681" s="199"/>
      <c r="I681" s="199"/>
      <c r="J681" s="218" t="s">
        <v>4782</v>
      </c>
      <c r="K681" s="204" t="s">
        <v>117</v>
      </c>
      <c r="L681" s="204" t="s">
        <v>4783</v>
      </c>
      <c r="M681" s="351"/>
      <c r="N681" s="40" t="s">
        <v>504</v>
      </c>
      <c r="O681" s="40"/>
      <c r="P681" s="40"/>
      <c r="Q681" s="40"/>
      <c r="R681" s="40" t="s">
        <v>6</v>
      </c>
      <c r="S681" s="40" t="s">
        <v>6</v>
      </c>
      <c r="T681" s="40"/>
      <c r="U681" s="218" t="s">
        <v>4781</v>
      </c>
      <c r="V681" s="218"/>
      <c r="W681" s="204" t="s">
        <v>125</v>
      </c>
      <c r="X681" s="199"/>
      <c r="Y681" s="199"/>
      <c r="Z681" s="199"/>
      <c r="AA681" s="40" t="s">
        <v>6</v>
      </c>
      <c r="AB681" s="198"/>
      <c r="AC681" s="199"/>
      <c r="AD681" s="199"/>
      <c r="AE681" s="204" t="s">
        <v>125</v>
      </c>
      <c r="AF681" s="199"/>
      <c r="AG681" s="199"/>
      <c r="AH681" s="199"/>
      <c r="AI681" s="40" t="s">
        <v>6</v>
      </c>
      <c r="AJ681" s="198"/>
      <c r="AK681" s="199"/>
      <c r="AL681" s="199"/>
      <c r="AM681" s="199"/>
      <c r="AN681" s="199"/>
      <c r="AO681" s="199"/>
      <c r="AP681" s="199"/>
      <c r="AQ681" s="199"/>
      <c r="AR681" s="199"/>
      <c r="AS681" s="199"/>
      <c r="AT681" s="199"/>
      <c r="AU681" s="199"/>
      <c r="AV681" s="199"/>
      <c r="AW681" s="155"/>
    </row>
    <row r="682" spans="1:87" s="236" customFormat="1" ht="15">
      <c r="A682" s="40">
        <f t="shared" si="35"/>
        <v>676</v>
      </c>
      <c r="B682" s="199"/>
      <c r="C682" s="199"/>
      <c r="D682" s="199"/>
      <c r="E682" s="199"/>
      <c r="F682" s="199"/>
      <c r="G682" s="199"/>
      <c r="H682" s="199"/>
      <c r="I682" s="199"/>
      <c r="J682" s="218" t="s">
        <v>4784</v>
      </c>
      <c r="K682" s="204" t="s">
        <v>128</v>
      </c>
      <c r="L682" s="204" t="s">
        <v>4785</v>
      </c>
      <c r="M682" s="351"/>
      <c r="N682" s="40" t="s">
        <v>504</v>
      </c>
      <c r="O682" s="40"/>
      <c r="P682" s="40"/>
      <c r="Q682" s="40"/>
      <c r="R682" s="40" t="s">
        <v>6</v>
      </c>
      <c r="S682" s="40" t="s">
        <v>6</v>
      </c>
      <c r="T682" s="40"/>
      <c r="U682" s="218" t="s">
        <v>4781</v>
      </c>
      <c r="V682" s="218"/>
      <c r="W682" s="204" t="s">
        <v>125</v>
      </c>
      <c r="X682" s="199"/>
      <c r="Y682" s="199"/>
      <c r="Z682" s="199"/>
      <c r="AA682" s="40" t="s">
        <v>6</v>
      </c>
      <c r="AB682" s="198"/>
      <c r="AC682" s="199"/>
      <c r="AD682" s="199"/>
      <c r="AE682" s="204" t="s">
        <v>125</v>
      </c>
      <c r="AF682" s="199"/>
      <c r="AG682" s="199"/>
      <c r="AH682" s="199"/>
      <c r="AI682" s="40" t="s">
        <v>6</v>
      </c>
      <c r="AJ682" s="198"/>
      <c r="AK682" s="199"/>
      <c r="AL682" s="199"/>
      <c r="AM682" s="199"/>
      <c r="AN682" s="199"/>
      <c r="AO682" s="199"/>
      <c r="AP682" s="199"/>
      <c r="AQ682" s="199"/>
      <c r="AR682" s="199"/>
      <c r="AS682" s="199"/>
      <c r="AT682" s="199"/>
      <c r="AU682" s="199"/>
      <c r="AV682" s="199"/>
      <c r="AW682" s="155"/>
    </row>
    <row r="683" spans="1:87" s="236" customFormat="1" ht="39.6">
      <c r="A683" s="40">
        <f t="shared" si="35"/>
        <v>677</v>
      </c>
      <c r="B683" s="199"/>
      <c r="C683" s="199"/>
      <c r="D683" s="199"/>
      <c r="E683" s="199"/>
      <c r="F683" s="199"/>
      <c r="G683" s="199"/>
      <c r="H683" s="199"/>
      <c r="I683" s="199"/>
      <c r="J683" s="218" t="s">
        <v>4786</v>
      </c>
      <c r="K683" s="204" t="s">
        <v>117</v>
      </c>
      <c r="L683" s="204" t="s">
        <v>4025</v>
      </c>
      <c r="M683" s="351"/>
      <c r="N683" s="40" t="s">
        <v>504</v>
      </c>
      <c r="O683" s="40"/>
      <c r="P683" s="40"/>
      <c r="Q683" s="40"/>
      <c r="R683" s="40" t="s">
        <v>6</v>
      </c>
      <c r="S683" s="40" t="s">
        <v>6</v>
      </c>
      <c r="T683" s="40"/>
      <c r="U683" s="204" t="s">
        <v>4787</v>
      </c>
      <c r="V683" s="204"/>
      <c r="W683" s="232" t="s">
        <v>133</v>
      </c>
      <c r="X683" s="199"/>
      <c r="Y683" s="199"/>
      <c r="Z683" s="40"/>
      <c r="AA683" s="40" t="s">
        <v>6</v>
      </c>
      <c r="AB683" s="218"/>
      <c r="AC683" s="199"/>
      <c r="AD683" s="199"/>
      <c r="AE683" s="204" t="s">
        <v>125</v>
      </c>
      <c r="AF683" s="199"/>
      <c r="AG683" s="199"/>
      <c r="AH683" s="40"/>
      <c r="AI683" s="40" t="s">
        <v>6</v>
      </c>
      <c r="AJ683" s="218"/>
      <c r="AK683" s="199"/>
      <c r="AL683" s="199"/>
      <c r="AM683" s="199"/>
      <c r="AN683" s="199"/>
      <c r="AO683" s="199"/>
      <c r="AP683" s="199"/>
      <c r="AQ683" s="199"/>
      <c r="AR683" s="199"/>
      <c r="AS683" s="199"/>
      <c r="AT683" s="199"/>
      <c r="AU683" s="199"/>
      <c r="AV683" s="199"/>
      <c r="AW683" s="155"/>
    </row>
    <row r="684" spans="1:87" s="14" customFormat="1" ht="15">
      <c r="A684" s="40">
        <f t="shared" si="35"/>
        <v>678</v>
      </c>
      <c r="B684" s="232"/>
      <c r="C684" s="41"/>
      <c r="D684" s="232"/>
      <c r="E684" s="232"/>
      <c r="F684" s="232"/>
      <c r="G684" s="232"/>
      <c r="H684" s="40"/>
      <c r="I684" s="40"/>
      <c r="J684" s="412" t="s">
        <v>4788</v>
      </c>
      <c r="K684" s="204" t="s">
        <v>128</v>
      </c>
      <c r="L684" s="204" t="s">
        <v>1427</v>
      </c>
      <c r="M684" s="351"/>
      <c r="N684" s="40" t="s">
        <v>504</v>
      </c>
      <c r="O684" s="40"/>
      <c r="P684" s="40"/>
      <c r="Q684" s="416" t="s">
        <v>6</v>
      </c>
      <c r="R684" s="416" t="s">
        <v>6</v>
      </c>
      <c r="S684" s="416" t="s">
        <v>6</v>
      </c>
      <c r="T684" s="416"/>
      <c r="U684" s="202" t="s">
        <v>4789</v>
      </c>
      <c r="V684" s="202"/>
      <c r="W684" s="232" t="s">
        <v>133</v>
      </c>
      <c r="X684" s="40"/>
      <c r="Y684" s="40"/>
      <c r="Z684" s="416" t="s">
        <v>6</v>
      </c>
      <c r="AA684" s="416" t="s">
        <v>6</v>
      </c>
      <c r="AB684" s="415"/>
      <c r="AC684" s="415"/>
      <c r="AD684" s="415"/>
      <c r="AE684" s="232" t="s">
        <v>133</v>
      </c>
      <c r="AF684" s="40"/>
      <c r="AG684" s="40"/>
      <c r="AH684" s="416" t="s">
        <v>6</v>
      </c>
      <c r="AI684" s="416" t="s">
        <v>6</v>
      </c>
      <c r="AJ684" s="415"/>
      <c r="AK684" s="415"/>
      <c r="AL684" s="415"/>
      <c r="AM684" s="198"/>
      <c r="AN684" s="40"/>
      <c r="AO684" s="40"/>
      <c r="AP684" s="40"/>
      <c r="AQ684" s="40"/>
      <c r="AR684" s="40"/>
      <c r="AS684" s="40"/>
      <c r="AT684" s="40"/>
      <c r="AU684" s="198"/>
      <c r="AV684" s="198"/>
      <c r="AW684" s="155"/>
    </row>
    <row r="685" spans="1:87" s="236" customFormat="1" ht="15">
      <c r="A685" s="40">
        <f t="shared" si="35"/>
        <v>679</v>
      </c>
      <c r="B685" s="199"/>
      <c r="C685" s="199"/>
      <c r="D685" s="199"/>
      <c r="E685" s="199"/>
      <c r="F685" s="199"/>
      <c r="G685" s="199"/>
      <c r="H685" s="199"/>
      <c r="I685" s="199"/>
      <c r="J685" s="412" t="s">
        <v>4790</v>
      </c>
      <c r="K685" s="232" t="s">
        <v>117</v>
      </c>
      <c r="L685" s="204" t="s">
        <v>4791</v>
      </c>
      <c r="M685" s="351"/>
      <c r="N685" s="40" t="s">
        <v>504</v>
      </c>
      <c r="O685" s="40"/>
      <c r="P685" s="40"/>
      <c r="Q685" s="40" t="s">
        <v>6</v>
      </c>
      <c r="R685" s="40" t="s">
        <v>6</v>
      </c>
      <c r="S685" s="40" t="s">
        <v>6</v>
      </c>
      <c r="T685" s="40"/>
      <c r="U685" s="204"/>
      <c r="V685" s="204"/>
      <c r="W685" s="232" t="s">
        <v>133</v>
      </c>
      <c r="X685" s="199"/>
      <c r="Y685" s="199"/>
      <c r="Z685" s="199"/>
      <c r="AA685" s="126" t="s">
        <v>6</v>
      </c>
      <c r="AB685" s="198"/>
      <c r="AC685" s="199"/>
      <c r="AD685" s="199"/>
      <c r="AE685" s="204" t="s">
        <v>125</v>
      </c>
      <c r="AF685" s="199"/>
      <c r="AG685" s="199"/>
      <c r="AH685" s="199"/>
      <c r="AI685" s="126" t="s">
        <v>6</v>
      </c>
      <c r="AJ685" s="198"/>
      <c r="AK685" s="199"/>
      <c r="AL685" s="199"/>
      <c r="AM685" s="199"/>
      <c r="AN685" s="199"/>
      <c r="AO685" s="199"/>
      <c r="AP685" s="199"/>
      <c r="AQ685" s="199"/>
      <c r="AR685" s="199"/>
      <c r="AS685" s="199"/>
      <c r="AT685" s="199"/>
      <c r="AU685" s="199"/>
      <c r="AV685" s="199"/>
      <c r="AW685" s="155"/>
    </row>
    <row r="686" spans="1:87" s="236" customFormat="1" ht="15">
      <c r="A686" s="40">
        <f t="shared" si="35"/>
        <v>680</v>
      </c>
      <c r="B686" s="199"/>
      <c r="C686" s="199"/>
      <c r="D686" s="199"/>
      <c r="E686" s="199"/>
      <c r="F686" s="199"/>
      <c r="G686" s="199"/>
      <c r="H686" s="199"/>
      <c r="I686" s="199"/>
      <c r="J686" s="412" t="s">
        <v>4792</v>
      </c>
      <c r="K686" s="232" t="s">
        <v>117</v>
      </c>
      <c r="L686" s="204" t="s">
        <v>4791</v>
      </c>
      <c r="M686" s="351"/>
      <c r="N686" s="40" t="s">
        <v>504</v>
      </c>
      <c r="O686" s="40"/>
      <c r="P686" s="40"/>
      <c r="Q686" s="40" t="s">
        <v>6</v>
      </c>
      <c r="R686" s="40" t="s">
        <v>6</v>
      </c>
      <c r="S686" s="40" t="s">
        <v>6</v>
      </c>
      <c r="T686" s="40"/>
      <c r="U686" s="204"/>
      <c r="V686" s="204"/>
      <c r="W686" s="232" t="s">
        <v>133</v>
      </c>
      <c r="X686" s="199"/>
      <c r="Y686" s="199"/>
      <c r="Z686" s="199"/>
      <c r="AA686" s="126" t="s">
        <v>6</v>
      </c>
      <c r="AB686" s="198"/>
      <c r="AC686" s="199"/>
      <c r="AD686" s="199"/>
      <c r="AE686" s="204" t="s">
        <v>125</v>
      </c>
      <c r="AF686" s="199"/>
      <c r="AG686" s="199"/>
      <c r="AH686" s="199"/>
      <c r="AI686" s="126" t="s">
        <v>6</v>
      </c>
      <c r="AJ686" s="198"/>
      <c r="AK686" s="199"/>
      <c r="AL686" s="199"/>
      <c r="AM686" s="199"/>
      <c r="AN686" s="199"/>
      <c r="AO686" s="199"/>
      <c r="AP686" s="199"/>
      <c r="AQ686" s="199"/>
      <c r="AR686" s="199"/>
      <c r="AS686" s="199"/>
      <c r="AT686" s="199"/>
      <c r="AU686" s="199"/>
      <c r="AV686" s="199"/>
      <c r="AW686" s="155"/>
    </row>
    <row r="687" spans="1:87" s="155" customFormat="1" ht="26.4">
      <c r="A687" s="40">
        <f t="shared" si="35"/>
        <v>681</v>
      </c>
      <c r="B687" s="38"/>
      <c r="C687" s="42"/>
      <c r="D687" s="38"/>
      <c r="E687" s="46"/>
      <c r="F687" s="46"/>
      <c r="G687" s="46"/>
      <c r="H687" s="40"/>
      <c r="I687" s="40"/>
      <c r="J687" s="218" t="s">
        <v>4793</v>
      </c>
      <c r="K687" s="412" t="s">
        <v>117</v>
      </c>
      <c r="L687" s="204" t="s">
        <v>794</v>
      </c>
      <c r="M687" s="351"/>
      <c r="N687" s="416" t="s">
        <v>504</v>
      </c>
      <c r="O687" s="40"/>
      <c r="P687" s="40"/>
      <c r="Q687" s="416" t="s">
        <v>6</v>
      </c>
      <c r="R687" s="416" t="s">
        <v>6</v>
      </c>
      <c r="S687" s="40" t="s">
        <v>6</v>
      </c>
      <c r="T687" s="40"/>
      <c r="U687" s="204" t="s">
        <v>795</v>
      </c>
      <c r="V687" s="204"/>
      <c r="W687" s="412" t="s">
        <v>125</v>
      </c>
      <c r="X687" s="199"/>
      <c r="Y687" s="199"/>
      <c r="Z687" s="199"/>
      <c r="AA687" s="40" t="s">
        <v>6</v>
      </c>
      <c r="AB687" s="415"/>
      <c r="AC687" s="415"/>
      <c r="AD687" s="415"/>
      <c r="AE687" s="412" t="s">
        <v>125</v>
      </c>
      <c r="AF687" s="199"/>
      <c r="AG687" s="199"/>
      <c r="AH687" s="199"/>
      <c r="AI687" s="40" t="s">
        <v>6</v>
      </c>
      <c r="AJ687" s="415"/>
      <c r="AK687" s="415"/>
      <c r="AL687" s="415"/>
      <c r="AM687" s="198"/>
      <c r="AN687" s="232"/>
      <c r="AO687" s="198"/>
      <c r="AP687" s="198"/>
      <c r="AQ687" s="198"/>
      <c r="AR687" s="198"/>
      <c r="AS687" s="198"/>
      <c r="AT687" s="198"/>
      <c r="AU687" s="198"/>
      <c r="AV687" s="40"/>
      <c r="AX687" s="14"/>
      <c r="AY687" s="14"/>
      <c r="AZ687" s="14"/>
      <c r="BA687" s="14"/>
      <c r="BB687" s="14"/>
      <c r="BC687" s="14"/>
      <c r="BD687" s="14"/>
      <c r="BE687" s="14"/>
      <c r="BF687" s="14"/>
      <c r="BG687" s="14"/>
      <c r="BH687" s="14"/>
      <c r="BI687" s="14"/>
      <c r="BJ687" s="14"/>
      <c r="BK687" s="14"/>
      <c r="BL687" s="14"/>
      <c r="BM687" s="14"/>
      <c r="BN687" s="14"/>
      <c r="BO687" s="14"/>
      <c r="BP687" s="14"/>
      <c r="BQ687" s="14"/>
      <c r="BR687" s="14"/>
      <c r="BS687" s="14"/>
      <c r="BT687" s="14"/>
      <c r="BU687" s="14"/>
      <c r="BV687" s="14"/>
      <c r="BW687" s="14"/>
      <c r="BX687" s="14"/>
      <c r="BY687" s="14"/>
      <c r="BZ687" s="14"/>
      <c r="CA687" s="14"/>
      <c r="CB687" s="14"/>
      <c r="CC687" s="14"/>
      <c r="CD687" s="14"/>
      <c r="CE687" s="14"/>
      <c r="CF687" s="14"/>
      <c r="CG687" s="14"/>
      <c r="CH687" s="14"/>
      <c r="CI687" s="14"/>
    </row>
    <row r="688" spans="1:87" s="236" customFormat="1" ht="39.6">
      <c r="A688" s="40">
        <f t="shared" si="35"/>
        <v>682</v>
      </c>
      <c r="B688" s="199"/>
      <c r="C688" s="199"/>
      <c r="D688" s="199"/>
      <c r="E688" s="199"/>
      <c r="F688" s="199"/>
      <c r="G688" s="199"/>
      <c r="H688" s="199"/>
      <c r="I688" s="199"/>
      <c r="J688" s="218" t="s">
        <v>4794</v>
      </c>
      <c r="K688" s="204" t="s">
        <v>117</v>
      </c>
      <c r="L688" s="204" t="s">
        <v>793</v>
      </c>
      <c r="M688" s="351"/>
      <c r="N688" s="40" t="s">
        <v>504</v>
      </c>
      <c r="O688" s="40"/>
      <c r="P688" s="40"/>
      <c r="Q688" s="40"/>
      <c r="R688" s="40" t="s">
        <v>6</v>
      </c>
      <c r="S688" s="40" t="s">
        <v>6</v>
      </c>
      <c r="T688" s="40"/>
      <c r="U688" s="204" t="s">
        <v>4795</v>
      </c>
      <c r="V688" s="204"/>
      <c r="W688" s="215" t="s">
        <v>125</v>
      </c>
      <c r="X688" s="199"/>
      <c r="Y688" s="199"/>
      <c r="Z688" s="40"/>
      <c r="AA688" s="40" t="s">
        <v>6</v>
      </c>
      <c r="AB688" s="218"/>
      <c r="AC688" s="199"/>
      <c r="AD688" s="199"/>
      <c r="AE688" s="215" t="s">
        <v>125</v>
      </c>
      <c r="AF688" s="199"/>
      <c r="AG688" s="199"/>
      <c r="AH688" s="40"/>
      <c r="AI688" s="40" t="s">
        <v>6</v>
      </c>
      <c r="AJ688" s="218"/>
      <c r="AK688" s="199"/>
      <c r="AL688" s="199"/>
      <c r="AM688" s="199"/>
      <c r="AN688" s="199"/>
      <c r="AO688" s="199"/>
      <c r="AP688" s="199"/>
      <c r="AQ688" s="199"/>
      <c r="AR688" s="199"/>
      <c r="AS688" s="199"/>
      <c r="AT688" s="199"/>
      <c r="AU688" s="199"/>
      <c r="AV688" s="199"/>
      <c r="AW688" s="155"/>
    </row>
    <row r="689" spans="1:87" s="236" customFormat="1" ht="39.6">
      <c r="A689" s="40">
        <f t="shared" si="35"/>
        <v>683</v>
      </c>
      <c r="B689" s="199"/>
      <c r="C689" s="199"/>
      <c r="D689" s="199"/>
      <c r="E689" s="199"/>
      <c r="F689" s="199"/>
      <c r="G689" s="199"/>
      <c r="H689" s="199"/>
      <c r="I689" s="199"/>
      <c r="J689" s="215" t="s">
        <v>4796</v>
      </c>
      <c r="K689" s="204" t="s">
        <v>117</v>
      </c>
      <c r="L689" s="204" t="s">
        <v>725</v>
      </c>
      <c r="M689" s="351"/>
      <c r="N689" s="40" t="s">
        <v>504</v>
      </c>
      <c r="O689" s="198"/>
      <c r="P689" s="198"/>
      <c r="Q689" s="40" t="s">
        <v>6</v>
      </c>
      <c r="R689" s="40" t="s">
        <v>6</v>
      </c>
      <c r="S689" s="40" t="s">
        <v>6</v>
      </c>
      <c r="T689" s="40"/>
      <c r="U689" s="204" t="s">
        <v>3928</v>
      </c>
      <c r="V689" s="204"/>
      <c r="W689" s="204" t="s">
        <v>125</v>
      </c>
      <c r="X689" s="199"/>
      <c r="Y689" s="199"/>
      <c r="Z689" s="126"/>
      <c r="AA689" s="40" t="s">
        <v>6</v>
      </c>
      <c r="AB689" s="218"/>
      <c r="AC689" s="199"/>
      <c r="AD689" s="218" t="s">
        <v>3929</v>
      </c>
      <c r="AE689" s="204" t="s">
        <v>125</v>
      </c>
      <c r="AF689" s="199"/>
      <c r="AG689" s="199"/>
      <c r="AH689" s="126"/>
      <c r="AI689" s="40" t="s">
        <v>6</v>
      </c>
      <c r="AJ689" s="218"/>
      <c r="AK689" s="199"/>
      <c r="AL689" s="218" t="s">
        <v>3929</v>
      </c>
      <c r="AM689" s="199"/>
      <c r="AN689" s="199"/>
      <c r="AO689" s="199"/>
      <c r="AP689" s="199"/>
      <c r="AQ689" s="199"/>
      <c r="AR689" s="199"/>
      <c r="AS689" s="199"/>
      <c r="AT689" s="199"/>
      <c r="AU689" s="199"/>
      <c r="AV689" s="199"/>
      <c r="AW689" s="155"/>
    </row>
    <row r="690" spans="1:87" s="236" customFormat="1" ht="39.6">
      <c r="A690" s="40">
        <f t="shared" si="35"/>
        <v>684</v>
      </c>
      <c r="B690" s="199"/>
      <c r="C690" s="199"/>
      <c r="D690" s="199"/>
      <c r="E690" s="199"/>
      <c r="F690" s="199"/>
      <c r="G690" s="199"/>
      <c r="H690" s="199"/>
      <c r="I690" s="199"/>
      <c r="J690" s="215" t="s">
        <v>4797</v>
      </c>
      <c r="K690" s="204" t="s">
        <v>117</v>
      </c>
      <c r="L690" s="204" t="s">
        <v>4798</v>
      </c>
      <c r="M690" s="351"/>
      <c r="N690" s="40" t="s">
        <v>504</v>
      </c>
      <c r="O690" s="198"/>
      <c r="P690" s="198"/>
      <c r="Q690" s="40" t="s">
        <v>6</v>
      </c>
      <c r="R690" s="40" t="s">
        <v>6</v>
      </c>
      <c r="S690" s="40" t="s">
        <v>6</v>
      </c>
      <c r="T690" s="40"/>
      <c r="U690" s="204" t="s">
        <v>3928</v>
      </c>
      <c r="V690" s="204"/>
      <c r="W690" s="204" t="s">
        <v>125</v>
      </c>
      <c r="X690" s="199"/>
      <c r="Y690" s="199"/>
      <c r="Z690" s="126"/>
      <c r="AA690" s="40" t="s">
        <v>6</v>
      </c>
      <c r="AB690" s="218"/>
      <c r="AC690" s="199"/>
      <c r="AD690" s="218" t="s">
        <v>3929</v>
      </c>
      <c r="AE690" s="204" t="s">
        <v>125</v>
      </c>
      <c r="AF690" s="199"/>
      <c r="AG690" s="199"/>
      <c r="AH690" s="126"/>
      <c r="AI690" s="40" t="s">
        <v>6</v>
      </c>
      <c r="AJ690" s="218"/>
      <c r="AK690" s="199"/>
      <c r="AL690" s="218" t="s">
        <v>3929</v>
      </c>
      <c r="AM690" s="199"/>
      <c r="AN690" s="199"/>
      <c r="AO690" s="199"/>
      <c r="AP690" s="199"/>
      <c r="AQ690" s="199"/>
      <c r="AR690" s="199"/>
      <c r="AS690" s="199"/>
      <c r="AT690" s="199"/>
      <c r="AU690" s="199"/>
      <c r="AV690" s="199"/>
      <c r="AW690" s="155"/>
    </row>
    <row r="691" spans="1:87" s="236" customFormat="1" ht="39.6">
      <c r="A691" s="40">
        <f t="shared" si="35"/>
        <v>685</v>
      </c>
      <c r="B691" s="199"/>
      <c r="C691" s="199"/>
      <c r="D691" s="199"/>
      <c r="E691" s="199"/>
      <c r="F691" s="199"/>
      <c r="G691" s="199"/>
      <c r="H691" s="199"/>
      <c r="I691" s="199"/>
      <c r="J691" s="215" t="s">
        <v>4799</v>
      </c>
      <c r="K691" s="204" t="s">
        <v>117</v>
      </c>
      <c r="L691" s="204" t="s">
        <v>4800</v>
      </c>
      <c r="M691" s="351"/>
      <c r="N691" s="40" t="s">
        <v>504</v>
      </c>
      <c r="O691" s="198"/>
      <c r="P691" s="198"/>
      <c r="Q691" s="40" t="s">
        <v>6</v>
      </c>
      <c r="R691" s="40" t="s">
        <v>6</v>
      </c>
      <c r="S691" s="40" t="s">
        <v>6</v>
      </c>
      <c r="T691" s="40"/>
      <c r="U691" s="204" t="s">
        <v>3928</v>
      </c>
      <c r="V691" s="204"/>
      <c r="W691" s="204" t="s">
        <v>125</v>
      </c>
      <c r="X691" s="199"/>
      <c r="Y691" s="199"/>
      <c r="Z691" s="126"/>
      <c r="AA691" s="40" t="s">
        <v>6</v>
      </c>
      <c r="AB691" s="218"/>
      <c r="AC691" s="199"/>
      <c r="AD691" s="218" t="s">
        <v>3929</v>
      </c>
      <c r="AE691" s="204" t="s">
        <v>125</v>
      </c>
      <c r="AF691" s="199"/>
      <c r="AG691" s="199"/>
      <c r="AH691" s="126"/>
      <c r="AI691" s="40" t="s">
        <v>6</v>
      </c>
      <c r="AJ691" s="218"/>
      <c r="AK691" s="199"/>
      <c r="AL691" s="218" t="s">
        <v>3929</v>
      </c>
      <c r="AM691" s="199"/>
      <c r="AN691" s="199"/>
      <c r="AO691" s="199"/>
      <c r="AP691" s="199"/>
      <c r="AQ691" s="199"/>
      <c r="AR691" s="199"/>
      <c r="AS691" s="199"/>
      <c r="AT691" s="199"/>
      <c r="AU691" s="199"/>
      <c r="AV691" s="199"/>
      <c r="AW691" s="155"/>
    </row>
    <row r="692" spans="1:87" s="18" customFormat="1" ht="15">
      <c r="A692" s="40">
        <f t="shared" si="35"/>
        <v>686</v>
      </c>
      <c r="B692" s="19"/>
      <c r="C692" s="41"/>
      <c r="D692" s="19"/>
      <c r="E692" s="19"/>
      <c r="F692" s="19"/>
      <c r="G692" s="19"/>
      <c r="H692" s="13"/>
      <c r="I692" s="13"/>
      <c r="J692" s="218" t="s">
        <v>4801</v>
      </c>
      <c r="K692" s="412" t="s">
        <v>117</v>
      </c>
      <c r="L692" s="204" t="s">
        <v>3943</v>
      </c>
      <c r="M692" s="351"/>
      <c r="N692" s="40" t="s">
        <v>504</v>
      </c>
      <c r="O692" s="40"/>
      <c r="P692" s="40"/>
      <c r="Q692" s="40" t="s">
        <v>6</v>
      </c>
      <c r="R692" s="40" t="s">
        <v>6</v>
      </c>
      <c r="S692" s="40" t="s">
        <v>6</v>
      </c>
      <c r="T692" s="40"/>
      <c r="U692" s="204" t="s">
        <v>802</v>
      </c>
      <c r="V692" s="206"/>
      <c r="W692" s="232" t="s">
        <v>133</v>
      </c>
      <c r="X692" s="59"/>
      <c r="Y692" s="59"/>
      <c r="Z692" s="59"/>
      <c r="AA692" s="61" t="s">
        <v>6</v>
      </c>
      <c r="AB692" s="79"/>
      <c r="AC692" s="59"/>
      <c r="AD692" s="218" t="s">
        <v>809</v>
      </c>
      <c r="AE692" s="412" t="s">
        <v>125</v>
      </c>
      <c r="AF692" s="59"/>
      <c r="AG692" s="59"/>
      <c r="AH692" s="59"/>
      <c r="AI692" s="61" t="s">
        <v>6</v>
      </c>
      <c r="AJ692" s="79"/>
      <c r="AK692" s="59"/>
      <c r="AL692" s="218" t="s">
        <v>809</v>
      </c>
      <c r="AM692" s="43"/>
      <c r="AN692" s="19"/>
      <c r="AO692" s="15"/>
      <c r="AP692" s="15"/>
      <c r="AQ692" s="15"/>
      <c r="AR692" s="15"/>
      <c r="AS692" s="15"/>
      <c r="AT692" s="15"/>
      <c r="AU692" s="13"/>
      <c r="AV692" s="15"/>
      <c r="AX692" s="12"/>
      <c r="AY692" s="12"/>
      <c r="AZ692" s="12"/>
      <c r="BA692" s="12"/>
      <c r="BB692" s="12"/>
      <c r="BC692" s="12"/>
      <c r="BD692" s="12"/>
      <c r="BE692" s="12"/>
      <c r="BF692" s="12"/>
      <c r="BG692" s="12"/>
      <c r="BH692" s="12"/>
      <c r="BI692" s="12"/>
      <c r="BJ692" s="12"/>
      <c r="BK692" s="12"/>
      <c r="BL692" s="12"/>
      <c r="BM692" s="12"/>
      <c r="BN692" s="12"/>
      <c r="BO692" s="12"/>
      <c r="BP692" s="12"/>
      <c r="BQ692" s="12"/>
      <c r="BR692" s="12"/>
      <c r="BS692" s="12"/>
      <c r="BT692" s="12"/>
      <c r="BU692" s="12"/>
      <c r="BV692" s="12"/>
      <c r="BW692" s="12"/>
      <c r="BX692" s="12"/>
      <c r="BY692" s="12"/>
      <c r="BZ692" s="12"/>
      <c r="CA692" s="12"/>
      <c r="CB692" s="12"/>
      <c r="CC692" s="12"/>
      <c r="CD692" s="12"/>
      <c r="CE692" s="12"/>
      <c r="CF692" s="12"/>
      <c r="CG692" s="12"/>
      <c r="CH692" s="12"/>
      <c r="CI692" s="12"/>
    </row>
    <row r="693" spans="1:87" ht="15">
      <c r="A693" s="451">
        <f t="shared" si="35"/>
        <v>687</v>
      </c>
      <c r="B693" s="125"/>
      <c r="C693" s="125"/>
      <c r="D693" s="125"/>
      <c r="E693" s="125"/>
      <c r="F693" s="125"/>
      <c r="G693" s="125"/>
      <c r="H693" s="125"/>
      <c r="I693" s="125"/>
      <c r="J693" s="465" t="s">
        <v>821</v>
      </c>
      <c r="K693" s="143"/>
      <c r="L693" s="143"/>
      <c r="M693" s="143"/>
      <c r="N693" s="139"/>
      <c r="O693" s="139"/>
      <c r="P693" s="139"/>
      <c r="Q693" s="139"/>
      <c r="R693" s="139"/>
      <c r="S693" s="139"/>
      <c r="T693" s="139"/>
      <c r="U693" s="354"/>
      <c r="V693" s="354"/>
      <c r="W693" s="143"/>
      <c r="X693" s="143"/>
      <c r="Y693" s="143"/>
      <c r="Z693" s="143"/>
      <c r="AA693" s="143"/>
      <c r="AB693" s="355"/>
      <c r="AC693" s="143"/>
      <c r="AD693" s="143"/>
      <c r="AE693" s="143"/>
      <c r="AF693" s="143"/>
      <c r="AG693" s="143"/>
      <c r="AH693" s="143"/>
      <c r="AI693" s="143"/>
      <c r="AJ693" s="355"/>
      <c r="AK693" s="143"/>
      <c r="AL693" s="143"/>
      <c r="AM693" s="143"/>
      <c r="AN693" s="143"/>
      <c r="AO693" s="143"/>
      <c r="AP693" s="143"/>
      <c r="AQ693" s="143"/>
      <c r="AR693" s="143"/>
      <c r="AS693" s="143"/>
      <c r="AT693" s="143"/>
      <c r="AU693" s="143"/>
      <c r="AV693" s="143"/>
      <c r="AW693" s="155">
        <f t="shared" si="27"/>
        <v>0</v>
      </c>
    </row>
    <row r="694" spans="1:87" s="236" customFormat="1" ht="15">
      <c r="A694" s="40">
        <f t="shared" si="35"/>
        <v>688</v>
      </c>
      <c r="B694" s="199"/>
      <c r="C694" s="199"/>
      <c r="D694" s="199"/>
      <c r="E694" s="199"/>
      <c r="F694" s="199"/>
      <c r="G694" s="199"/>
      <c r="H694" s="199"/>
      <c r="I694" s="199"/>
      <c r="J694" s="215" t="s">
        <v>1446</v>
      </c>
      <c r="K694" s="204" t="s">
        <v>163</v>
      </c>
      <c r="L694" s="204" t="s">
        <v>1447</v>
      </c>
      <c r="M694" s="204"/>
      <c r="N694" s="40" t="s">
        <v>824</v>
      </c>
      <c r="O694" s="40"/>
      <c r="P694" s="40" t="s">
        <v>824</v>
      </c>
      <c r="Q694" s="40" t="s">
        <v>6</v>
      </c>
      <c r="R694" s="40"/>
      <c r="S694" s="40"/>
      <c r="T694" s="126" t="s">
        <v>6</v>
      </c>
      <c r="U694" s="204"/>
      <c r="V694" s="204"/>
      <c r="W694" s="204" t="s">
        <v>163</v>
      </c>
      <c r="X694" s="40"/>
      <c r="Y694" s="40" t="s">
        <v>824</v>
      </c>
      <c r="Z694" s="199"/>
      <c r="AA694" s="199"/>
      <c r="AB694" s="198"/>
      <c r="AC694" s="199"/>
      <c r="AD694" s="199"/>
      <c r="AE694" s="204" t="s">
        <v>163</v>
      </c>
      <c r="AF694" s="40"/>
      <c r="AG694" s="40" t="s">
        <v>824</v>
      </c>
      <c r="AH694" s="199"/>
      <c r="AI694" s="199"/>
      <c r="AJ694" s="198"/>
      <c r="AK694" s="199"/>
      <c r="AL694" s="199"/>
      <c r="AM694" s="199" t="s">
        <v>1448</v>
      </c>
      <c r="AN694" s="199"/>
      <c r="AO694" s="199"/>
      <c r="AP694" s="199"/>
      <c r="AQ694" s="199"/>
      <c r="AR694" s="199"/>
      <c r="AS694" s="199"/>
      <c r="AT694" s="199"/>
      <c r="AU694" s="199"/>
      <c r="AV694" s="199"/>
      <c r="AW694" s="155">
        <f t="shared" si="27"/>
        <v>26</v>
      </c>
    </row>
    <row r="695" spans="1:87" s="236" customFormat="1" ht="15">
      <c r="A695" s="40">
        <f t="shared" si="35"/>
        <v>689</v>
      </c>
      <c r="B695" s="199"/>
      <c r="C695" s="199"/>
      <c r="D695" s="199"/>
      <c r="E695" s="199"/>
      <c r="F695" s="199"/>
      <c r="G695" s="199"/>
      <c r="H695" s="199"/>
      <c r="I695" s="199"/>
      <c r="J695" s="215" t="s">
        <v>1449</v>
      </c>
      <c r="K695" s="204" t="s">
        <v>163</v>
      </c>
      <c r="L695" s="204" t="s">
        <v>1450</v>
      </c>
      <c r="M695" s="204"/>
      <c r="N695" s="40" t="s">
        <v>829</v>
      </c>
      <c r="O695" s="40"/>
      <c r="P695" s="40" t="s">
        <v>829</v>
      </c>
      <c r="Q695" s="40" t="s">
        <v>6</v>
      </c>
      <c r="R695" s="40"/>
      <c r="S695" s="40"/>
      <c r="T695" s="126" t="s">
        <v>6</v>
      </c>
      <c r="U695" s="204"/>
      <c r="V695" s="204"/>
      <c r="W695" s="204" t="s">
        <v>163</v>
      </c>
      <c r="X695" s="40"/>
      <c r="Y695" s="40" t="s">
        <v>829</v>
      </c>
      <c r="Z695" s="199"/>
      <c r="AA695" s="199"/>
      <c r="AB695" s="198"/>
      <c r="AC695" s="199"/>
      <c r="AD695" s="199"/>
      <c r="AE695" s="204" t="s">
        <v>163</v>
      </c>
      <c r="AF695" s="40"/>
      <c r="AG695" s="40" t="s">
        <v>829</v>
      </c>
      <c r="AH695" s="199"/>
      <c r="AI695" s="199"/>
      <c r="AJ695" s="198"/>
      <c r="AK695" s="199"/>
      <c r="AL695" s="199"/>
      <c r="AM695" s="199" t="s">
        <v>1448</v>
      </c>
      <c r="AN695" s="199"/>
      <c r="AO695" s="199"/>
      <c r="AP695" s="199"/>
      <c r="AQ695" s="199"/>
      <c r="AR695" s="199"/>
      <c r="AS695" s="199"/>
      <c r="AT695" s="199"/>
      <c r="AU695" s="199"/>
      <c r="AV695" s="199"/>
      <c r="AW695" s="155">
        <f t="shared" si="27"/>
        <v>28</v>
      </c>
    </row>
    <row r="696" spans="1:87" s="236" customFormat="1" ht="26.4">
      <c r="A696" s="40">
        <f t="shared" si="35"/>
        <v>690</v>
      </c>
      <c r="B696" s="199"/>
      <c r="C696" s="199"/>
      <c r="D696" s="199"/>
      <c r="E696" s="199"/>
      <c r="F696" s="199"/>
      <c r="G696" s="199"/>
      <c r="H696" s="199"/>
      <c r="I696" s="199"/>
      <c r="J696" s="215" t="s">
        <v>1451</v>
      </c>
      <c r="K696" s="204" t="s">
        <v>163</v>
      </c>
      <c r="L696" s="204" t="s">
        <v>1452</v>
      </c>
      <c r="M696" s="204"/>
      <c r="N696" s="40" t="s">
        <v>832</v>
      </c>
      <c r="O696" s="40"/>
      <c r="P696" s="40" t="s">
        <v>833</v>
      </c>
      <c r="Q696" s="40" t="s">
        <v>6</v>
      </c>
      <c r="R696" s="40"/>
      <c r="S696" s="40"/>
      <c r="T696" s="126" t="s">
        <v>6</v>
      </c>
      <c r="U696" s="204" t="s">
        <v>1453</v>
      </c>
      <c r="V696" s="204"/>
      <c r="W696" s="204" t="s">
        <v>163</v>
      </c>
      <c r="X696" s="40"/>
      <c r="Y696" s="40" t="s">
        <v>833</v>
      </c>
      <c r="Z696" s="199"/>
      <c r="AA696" s="199"/>
      <c r="AB696" s="253" t="s">
        <v>835</v>
      </c>
      <c r="AC696" s="199"/>
      <c r="AD696" s="199"/>
      <c r="AE696" s="204" t="s">
        <v>163</v>
      </c>
      <c r="AF696" s="40"/>
      <c r="AG696" s="40" t="s">
        <v>833</v>
      </c>
      <c r="AH696" s="199"/>
      <c r="AI696" s="199"/>
      <c r="AJ696" s="253" t="s">
        <v>835</v>
      </c>
      <c r="AK696" s="199"/>
      <c r="AL696" s="199"/>
      <c r="AM696" s="199"/>
      <c r="AN696" s="199"/>
      <c r="AO696" s="199"/>
      <c r="AP696" s="199"/>
      <c r="AQ696" s="199"/>
      <c r="AR696" s="199"/>
      <c r="AS696" s="199"/>
      <c r="AT696" s="199"/>
      <c r="AU696" s="199"/>
      <c r="AV696" s="199"/>
      <c r="AW696" s="155">
        <f t="shared" si="27"/>
        <v>35</v>
      </c>
    </row>
    <row r="697" spans="1:87" s="236" customFormat="1" ht="15">
      <c r="A697" s="40">
        <f t="shared" si="35"/>
        <v>691</v>
      </c>
      <c r="B697" s="199"/>
      <c r="C697" s="199"/>
      <c r="D697" s="199"/>
      <c r="E697" s="199"/>
      <c r="F697" s="199"/>
      <c r="G697" s="199"/>
      <c r="H697" s="199"/>
      <c r="I697" s="199"/>
      <c r="J697" s="215" t="s">
        <v>1454</v>
      </c>
      <c r="K697" s="204" t="s">
        <v>163</v>
      </c>
      <c r="L697" s="204" t="s">
        <v>1455</v>
      </c>
      <c r="M697" s="204"/>
      <c r="N697" s="40" t="s">
        <v>838</v>
      </c>
      <c r="O697" s="40"/>
      <c r="P697" s="40" t="s">
        <v>833</v>
      </c>
      <c r="Q697" s="40" t="s">
        <v>6</v>
      </c>
      <c r="R697" s="40"/>
      <c r="S697" s="40"/>
      <c r="T697" s="126" t="s">
        <v>6</v>
      </c>
      <c r="U697" s="200" t="s">
        <v>1453</v>
      </c>
      <c r="V697" s="204"/>
      <c r="W697" s="204" t="s">
        <v>163</v>
      </c>
      <c r="X697" s="40"/>
      <c r="Y697" s="40" t="s">
        <v>833</v>
      </c>
      <c r="Z697" s="199"/>
      <c r="AA697" s="199"/>
      <c r="AB697" s="198"/>
      <c r="AC697" s="199"/>
      <c r="AD697" s="199"/>
      <c r="AE697" s="204" t="s">
        <v>163</v>
      </c>
      <c r="AF697" s="40"/>
      <c r="AG697" s="40" t="s">
        <v>833</v>
      </c>
      <c r="AH697" s="199"/>
      <c r="AI697" s="199"/>
      <c r="AJ697" s="198"/>
      <c r="AK697" s="199"/>
      <c r="AL697" s="199"/>
      <c r="AM697" s="199"/>
      <c r="AN697" s="199"/>
      <c r="AO697" s="199"/>
      <c r="AP697" s="199"/>
      <c r="AQ697" s="199"/>
      <c r="AR697" s="199"/>
      <c r="AS697" s="199"/>
      <c r="AT697" s="199"/>
      <c r="AU697" s="199"/>
      <c r="AV697" s="199"/>
      <c r="AW697" s="155">
        <f t="shared" si="27"/>
        <v>35</v>
      </c>
    </row>
    <row r="698" spans="1:87" s="236" customFormat="1" ht="26.4">
      <c r="A698" s="40">
        <f t="shared" si="35"/>
        <v>692</v>
      </c>
      <c r="B698" s="199"/>
      <c r="C698" s="199"/>
      <c r="D698" s="199"/>
      <c r="E698" s="199"/>
      <c r="F698" s="199"/>
      <c r="G698" s="199"/>
      <c r="H698" s="199"/>
      <c r="I698" s="199"/>
      <c r="J698" s="215" t="s">
        <v>1456</v>
      </c>
      <c r="K698" s="204" t="s">
        <v>163</v>
      </c>
      <c r="L698" s="204" t="s">
        <v>1457</v>
      </c>
      <c r="M698" s="204"/>
      <c r="N698" s="40" t="s">
        <v>842</v>
      </c>
      <c r="O698" s="40"/>
      <c r="P698" s="40" t="s">
        <v>833</v>
      </c>
      <c r="Q698" s="40" t="s">
        <v>6</v>
      </c>
      <c r="R698" s="40"/>
      <c r="S698" s="40"/>
      <c r="T698" s="126" t="s">
        <v>6</v>
      </c>
      <c r="U698" s="204" t="s">
        <v>1453</v>
      </c>
      <c r="V698" s="204"/>
      <c r="W698" s="204" t="s">
        <v>163</v>
      </c>
      <c r="X698" s="40"/>
      <c r="Y698" s="40" t="s">
        <v>833</v>
      </c>
      <c r="Z698" s="199"/>
      <c r="AA698" s="199"/>
      <c r="AB698" s="253" t="s">
        <v>835</v>
      </c>
      <c r="AC698" s="199"/>
      <c r="AD698" s="199"/>
      <c r="AE698" s="204" t="s">
        <v>163</v>
      </c>
      <c r="AF698" s="40"/>
      <c r="AG698" s="40" t="s">
        <v>833</v>
      </c>
      <c r="AH698" s="199"/>
      <c r="AI698" s="199"/>
      <c r="AJ698" s="253" t="s">
        <v>835</v>
      </c>
      <c r="AK698" s="199"/>
      <c r="AL698" s="199"/>
      <c r="AM698" s="199"/>
      <c r="AN698" s="199"/>
      <c r="AO698" s="199"/>
      <c r="AP698" s="199"/>
      <c r="AQ698" s="199"/>
      <c r="AR698" s="199"/>
      <c r="AS698" s="199"/>
      <c r="AT698" s="199"/>
      <c r="AU698" s="199"/>
      <c r="AV698" s="199"/>
      <c r="AW698" s="155">
        <f t="shared" si="27"/>
        <v>35</v>
      </c>
    </row>
    <row r="699" spans="1:87" s="236" customFormat="1" ht="26.4">
      <c r="A699" s="40">
        <f t="shared" si="35"/>
        <v>693</v>
      </c>
      <c r="B699" s="199"/>
      <c r="C699" s="199"/>
      <c r="D699" s="199"/>
      <c r="E699" s="199"/>
      <c r="F699" s="199"/>
      <c r="G699" s="199"/>
      <c r="H699" s="199"/>
      <c r="I699" s="199"/>
      <c r="J699" s="215" t="s">
        <v>1458</v>
      </c>
      <c r="K699" s="204" t="s">
        <v>163</v>
      </c>
      <c r="L699" s="204" t="s">
        <v>1459</v>
      </c>
      <c r="M699" s="204"/>
      <c r="N699" s="40" t="s">
        <v>845</v>
      </c>
      <c r="O699" s="40"/>
      <c r="P699" s="40" t="s">
        <v>846</v>
      </c>
      <c r="Q699" s="40" t="s">
        <v>6</v>
      </c>
      <c r="R699" s="40"/>
      <c r="S699" s="40"/>
      <c r="T699" s="126" t="s">
        <v>6</v>
      </c>
      <c r="U699" s="204"/>
      <c r="V699" s="204"/>
      <c r="W699" s="204" t="s">
        <v>163</v>
      </c>
      <c r="X699" s="40"/>
      <c r="Y699" s="40" t="s">
        <v>846</v>
      </c>
      <c r="Z699" s="199"/>
      <c r="AA699" s="199"/>
      <c r="AB699" s="253" t="s">
        <v>835</v>
      </c>
      <c r="AC699" s="199"/>
      <c r="AD699" s="199"/>
      <c r="AE699" s="204" t="s">
        <v>163</v>
      </c>
      <c r="AF699" s="40"/>
      <c r="AG699" s="40" t="s">
        <v>846</v>
      </c>
      <c r="AH699" s="199"/>
      <c r="AI699" s="199"/>
      <c r="AJ699" s="253" t="s">
        <v>835</v>
      </c>
      <c r="AK699" s="199"/>
      <c r="AL699" s="199"/>
      <c r="AM699" s="199"/>
      <c r="AN699" s="199"/>
      <c r="AO699" s="199"/>
      <c r="AP699" s="199"/>
      <c r="AQ699" s="199"/>
      <c r="AR699" s="199"/>
      <c r="AS699" s="199"/>
      <c r="AT699" s="199"/>
      <c r="AU699" s="199"/>
      <c r="AV699" s="199"/>
      <c r="AW699" s="155">
        <f t="shared" si="27"/>
        <v>39</v>
      </c>
    </row>
    <row r="700" spans="1:87" s="236" customFormat="1" ht="15">
      <c r="A700" s="40">
        <f t="shared" si="35"/>
        <v>694</v>
      </c>
      <c r="B700" s="199"/>
      <c r="C700" s="199"/>
      <c r="D700" s="199"/>
      <c r="E700" s="199"/>
      <c r="F700" s="199"/>
      <c r="G700" s="199"/>
      <c r="H700" s="199"/>
      <c r="I700" s="199"/>
      <c r="J700" s="215" t="s">
        <v>1460</v>
      </c>
      <c r="K700" s="204" t="s">
        <v>163</v>
      </c>
      <c r="L700" s="204" t="s">
        <v>1461</v>
      </c>
      <c r="M700" s="204"/>
      <c r="N700" s="40" t="s">
        <v>849</v>
      </c>
      <c r="O700" s="40"/>
      <c r="P700" s="40" t="s">
        <v>846</v>
      </c>
      <c r="Q700" s="40" t="s">
        <v>6</v>
      </c>
      <c r="R700" s="40"/>
      <c r="S700" s="40"/>
      <c r="T700" s="126" t="s">
        <v>6</v>
      </c>
      <c r="U700" s="204"/>
      <c r="V700" s="204"/>
      <c r="W700" s="204" t="s">
        <v>163</v>
      </c>
      <c r="X700" s="40"/>
      <c r="Y700" s="40" t="s">
        <v>846</v>
      </c>
      <c r="Z700" s="199"/>
      <c r="AA700" s="199"/>
      <c r="AB700" s="198"/>
      <c r="AC700" s="199"/>
      <c r="AD700" s="199"/>
      <c r="AE700" s="204" t="s">
        <v>163</v>
      </c>
      <c r="AF700" s="40"/>
      <c r="AG700" s="40" t="s">
        <v>846</v>
      </c>
      <c r="AH700" s="199"/>
      <c r="AI700" s="199"/>
      <c r="AJ700" s="198"/>
      <c r="AK700" s="199"/>
      <c r="AL700" s="199"/>
      <c r="AM700" s="199" t="s">
        <v>1448</v>
      </c>
      <c r="AN700" s="199"/>
      <c r="AO700" s="199"/>
      <c r="AP700" s="199"/>
      <c r="AQ700" s="199"/>
      <c r="AR700" s="199"/>
      <c r="AS700" s="199"/>
      <c r="AT700" s="199"/>
      <c r="AU700" s="199"/>
      <c r="AV700" s="199"/>
      <c r="AW700" s="155">
        <f t="shared" si="27"/>
        <v>39</v>
      </c>
    </row>
    <row r="701" spans="1:87" s="236" customFormat="1" ht="26.4">
      <c r="A701" s="40">
        <f t="shared" si="35"/>
        <v>695</v>
      </c>
      <c r="B701" s="199"/>
      <c r="C701" s="199"/>
      <c r="D701" s="199"/>
      <c r="E701" s="199"/>
      <c r="F701" s="199"/>
      <c r="G701" s="199"/>
      <c r="H701" s="199"/>
      <c r="I701" s="199"/>
      <c r="J701" s="215" t="s">
        <v>1462</v>
      </c>
      <c r="K701" s="204" t="s">
        <v>163</v>
      </c>
      <c r="L701" s="204" t="s">
        <v>1463</v>
      </c>
      <c r="M701" s="204"/>
      <c r="N701" s="40" t="s">
        <v>853</v>
      </c>
      <c r="O701" s="40"/>
      <c r="P701" s="40" t="s">
        <v>846</v>
      </c>
      <c r="Q701" s="40" t="s">
        <v>6</v>
      </c>
      <c r="R701" s="40"/>
      <c r="S701" s="40"/>
      <c r="T701" s="126" t="s">
        <v>6</v>
      </c>
      <c r="U701" s="204"/>
      <c r="V701" s="204"/>
      <c r="W701" s="204" t="s">
        <v>163</v>
      </c>
      <c r="X701" s="40"/>
      <c r="Y701" s="40" t="s">
        <v>846</v>
      </c>
      <c r="Z701" s="199"/>
      <c r="AA701" s="199"/>
      <c r="AB701" s="253" t="s">
        <v>835</v>
      </c>
      <c r="AC701" s="199"/>
      <c r="AD701" s="199"/>
      <c r="AE701" s="204" t="s">
        <v>163</v>
      </c>
      <c r="AF701" s="40"/>
      <c r="AG701" s="40" t="s">
        <v>846</v>
      </c>
      <c r="AH701" s="199"/>
      <c r="AI701" s="199"/>
      <c r="AJ701" s="253" t="s">
        <v>835</v>
      </c>
      <c r="AK701" s="199"/>
      <c r="AL701" s="199"/>
      <c r="AM701" s="199"/>
      <c r="AN701" s="199"/>
      <c r="AO701" s="199"/>
      <c r="AP701" s="199"/>
      <c r="AQ701" s="199"/>
      <c r="AR701" s="199"/>
      <c r="AS701" s="199"/>
      <c r="AT701" s="199"/>
      <c r="AU701" s="199"/>
      <c r="AV701" s="199"/>
      <c r="AW701" s="155">
        <f t="shared" si="27"/>
        <v>39</v>
      </c>
    </row>
    <row r="702" spans="1:87" s="236" customFormat="1" ht="15">
      <c r="A702" s="40">
        <f t="shared" si="35"/>
        <v>696</v>
      </c>
      <c r="B702" s="199"/>
      <c r="C702" s="199"/>
      <c r="D702" s="199"/>
      <c r="E702" s="199"/>
      <c r="F702" s="199"/>
      <c r="G702" s="199"/>
      <c r="H702" s="199"/>
      <c r="I702" s="199"/>
      <c r="J702" s="215" t="s">
        <v>1464</v>
      </c>
      <c r="K702" s="204" t="s">
        <v>163</v>
      </c>
      <c r="L702" s="204" t="s">
        <v>1465</v>
      </c>
      <c r="M702" s="204"/>
      <c r="N702" s="40" t="s">
        <v>824</v>
      </c>
      <c r="O702" s="40"/>
      <c r="P702" s="40" t="s">
        <v>824</v>
      </c>
      <c r="Q702" s="40" t="s">
        <v>6</v>
      </c>
      <c r="R702" s="40"/>
      <c r="S702" s="40"/>
      <c r="T702" s="126" t="s">
        <v>6</v>
      </c>
      <c r="U702" s="204"/>
      <c r="V702" s="204"/>
      <c r="W702" s="204" t="s">
        <v>163</v>
      </c>
      <c r="X702" s="40"/>
      <c r="Y702" s="40" t="s">
        <v>824</v>
      </c>
      <c r="Z702" s="199"/>
      <c r="AA702" s="199"/>
      <c r="AB702" s="198"/>
      <c r="AC702" s="199"/>
      <c r="AD702" s="199"/>
      <c r="AE702" s="204" t="s">
        <v>163</v>
      </c>
      <c r="AF702" s="40"/>
      <c r="AG702" s="40" t="s">
        <v>824</v>
      </c>
      <c r="AH702" s="199"/>
      <c r="AI702" s="199"/>
      <c r="AJ702" s="198"/>
      <c r="AK702" s="199"/>
      <c r="AL702" s="199"/>
      <c r="AM702" s="199" t="s">
        <v>1448</v>
      </c>
      <c r="AN702" s="199"/>
      <c r="AO702" s="199"/>
      <c r="AP702" s="199"/>
      <c r="AQ702" s="199"/>
      <c r="AR702" s="199"/>
      <c r="AS702" s="199"/>
      <c r="AT702" s="199"/>
      <c r="AU702" s="199"/>
      <c r="AV702" s="199"/>
      <c r="AW702" s="155">
        <f t="shared" si="27"/>
        <v>28</v>
      </c>
    </row>
    <row r="703" spans="1:87" s="236" customFormat="1" ht="15">
      <c r="A703" s="40">
        <f t="shared" si="35"/>
        <v>697</v>
      </c>
      <c r="B703" s="199"/>
      <c r="C703" s="199"/>
      <c r="D703" s="199"/>
      <c r="E703" s="199"/>
      <c r="F703" s="199"/>
      <c r="G703" s="199"/>
      <c r="H703" s="199"/>
      <c r="I703" s="199"/>
      <c r="J703" s="215" t="s">
        <v>1466</v>
      </c>
      <c r="K703" s="204" t="s">
        <v>163</v>
      </c>
      <c r="L703" s="204" t="s">
        <v>1467</v>
      </c>
      <c r="M703" s="204"/>
      <c r="N703" s="40" t="s">
        <v>829</v>
      </c>
      <c r="O703" s="224"/>
      <c r="P703" s="40" t="s">
        <v>829</v>
      </c>
      <c r="Q703" s="40" t="s">
        <v>6</v>
      </c>
      <c r="R703" s="126"/>
      <c r="S703" s="126"/>
      <c r="T703" s="126" t="s">
        <v>6</v>
      </c>
      <c r="U703" s="218"/>
      <c r="V703" s="198"/>
      <c r="W703" s="204" t="s">
        <v>163</v>
      </c>
      <c r="X703" s="199"/>
      <c r="Y703" s="40" t="s">
        <v>829</v>
      </c>
      <c r="Z703" s="199"/>
      <c r="AA703" s="199"/>
      <c r="AB703" s="198"/>
      <c r="AC703" s="199"/>
      <c r="AD703" s="199"/>
      <c r="AE703" s="204" t="s">
        <v>163</v>
      </c>
      <c r="AF703" s="199"/>
      <c r="AG703" s="40" t="s">
        <v>829</v>
      </c>
      <c r="AH703" s="199"/>
      <c r="AI703" s="199"/>
      <c r="AJ703" s="198"/>
      <c r="AK703" s="199"/>
      <c r="AL703" s="199"/>
      <c r="AM703" s="199" t="s">
        <v>1448</v>
      </c>
      <c r="AN703" s="199"/>
      <c r="AO703" s="199"/>
      <c r="AP703" s="199"/>
      <c r="AQ703" s="199"/>
      <c r="AR703" s="199"/>
      <c r="AS703" s="199"/>
      <c r="AT703" s="199"/>
      <c r="AU703" s="199"/>
      <c r="AV703" s="199"/>
      <c r="AW703" s="155">
        <f t="shared" si="27"/>
        <v>30</v>
      </c>
    </row>
    <row r="704" spans="1:87" s="236" customFormat="1" ht="26.4">
      <c r="A704" s="40">
        <f t="shared" si="35"/>
        <v>698</v>
      </c>
      <c r="B704" s="199"/>
      <c r="C704" s="199"/>
      <c r="D704" s="199"/>
      <c r="E704" s="199"/>
      <c r="F704" s="199"/>
      <c r="G704" s="199"/>
      <c r="H704" s="199"/>
      <c r="I704" s="199"/>
      <c r="J704" s="215" t="s">
        <v>1468</v>
      </c>
      <c r="K704" s="204" t="s">
        <v>163</v>
      </c>
      <c r="L704" s="204" t="s">
        <v>1469</v>
      </c>
      <c r="M704" s="204"/>
      <c r="N704" s="40" t="s">
        <v>832</v>
      </c>
      <c r="O704" s="40"/>
      <c r="P704" s="40" t="s">
        <v>833</v>
      </c>
      <c r="Q704" s="40" t="s">
        <v>6</v>
      </c>
      <c r="R704" s="40"/>
      <c r="S704" s="40"/>
      <c r="T704" s="126" t="s">
        <v>6</v>
      </c>
      <c r="U704" s="204" t="s">
        <v>1453</v>
      </c>
      <c r="V704" s="204"/>
      <c r="W704" s="204" t="s">
        <v>163</v>
      </c>
      <c r="X704" s="40"/>
      <c r="Y704" s="40" t="s">
        <v>833</v>
      </c>
      <c r="Z704" s="199"/>
      <c r="AA704" s="199"/>
      <c r="AB704" s="253" t="s">
        <v>835</v>
      </c>
      <c r="AC704" s="199"/>
      <c r="AD704" s="199"/>
      <c r="AE704" s="204" t="s">
        <v>163</v>
      </c>
      <c r="AF704" s="40"/>
      <c r="AG704" s="40" t="s">
        <v>833</v>
      </c>
      <c r="AH704" s="199"/>
      <c r="AI704" s="199"/>
      <c r="AJ704" s="253" t="s">
        <v>835</v>
      </c>
      <c r="AK704" s="199"/>
      <c r="AL704" s="199"/>
      <c r="AM704" s="199"/>
      <c r="AN704" s="199"/>
      <c r="AO704" s="199"/>
      <c r="AP704" s="199"/>
      <c r="AQ704" s="199"/>
      <c r="AR704" s="199"/>
      <c r="AS704" s="199"/>
      <c r="AT704" s="199"/>
      <c r="AU704" s="199"/>
      <c r="AV704" s="199"/>
      <c r="AW704" s="155">
        <f t="shared" si="27"/>
        <v>37</v>
      </c>
    </row>
    <row r="705" spans="1:49" s="236" customFormat="1" ht="15">
      <c r="A705" s="40">
        <f t="shared" si="35"/>
        <v>699</v>
      </c>
      <c r="B705" s="199"/>
      <c r="C705" s="199"/>
      <c r="D705" s="199"/>
      <c r="E705" s="199"/>
      <c r="F705" s="199"/>
      <c r="G705" s="199"/>
      <c r="H705" s="199"/>
      <c r="I705" s="199"/>
      <c r="J705" s="215" t="s">
        <v>1470</v>
      </c>
      <c r="K705" s="204" t="s">
        <v>163</v>
      </c>
      <c r="L705" s="204" t="s">
        <v>1471</v>
      </c>
      <c r="M705" s="204"/>
      <c r="N705" s="40" t="s">
        <v>838</v>
      </c>
      <c r="O705" s="40"/>
      <c r="P705" s="40" t="s">
        <v>833</v>
      </c>
      <c r="Q705" s="40" t="s">
        <v>6</v>
      </c>
      <c r="R705" s="40"/>
      <c r="S705" s="40"/>
      <c r="T705" s="126" t="s">
        <v>6</v>
      </c>
      <c r="U705" s="200" t="s">
        <v>1453</v>
      </c>
      <c r="V705" s="204"/>
      <c r="W705" s="204" t="s">
        <v>163</v>
      </c>
      <c r="X705" s="40"/>
      <c r="Y705" s="40" t="s">
        <v>833</v>
      </c>
      <c r="Z705" s="199"/>
      <c r="AA705" s="199"/>
      <c r="AB705" s="198"/>
      <c r="AC705" s="199"/>
      <c r="AD705" s="199"/>
      <c r="AE705" s="204" t="s">
        <v>163</v>
      </c>
      <c r="AF705" s="40"/>
      <c r="AG705" s="40" t="s">
        <v>833</v>
      </c>
      <c r="AH705" s="199"/>
      <c r="AI705" s="199"/>
      <c r="AJ705" s="198"/>
      <c r="AK705" s="199"/>
      <c r="AL705" s="199"/>
      <c r="AM705" s="199" t="s">
        <v>1472</v>
      </c>
      <c r="AN705" s="199"/>
      <c r="AO705" s="199"/>
      <c r="AP705" s="199"/>
      <c r="AQ705" s="199"/>
      <c r="AR705" s="199"/>
      <c r="AS705" s="199"/>
      <c r="AT705" s="199"/>
      <c r="AU705" s="199"/>
      <c r="AV705" s="199"/>
      <c r="AW705" s="155">
        <f t="shared" si="27"/>
        <v>37</v>
      </c>
    </row>
    <row r="706" spans="1:49" s="236" customFormat="1" ht="26.4">
      <c r="A706" s="40">
        <f t="shared" si="35"/>
        <v>700</v>
      </c>
      <c r="B706" s="199"/>
      <c r="C706" s="199"/>
      <c r="D706" s="199"/>
      <c r="E706" s="199"/>
      <c r="F706" s="199"/>
      <c r="G706" s="199"/>
      <c r="H706" s="199"/>
      <c r="I706" s="199"/>
      <c r="J706" s="215" t="s">
        <v>1473</v>
      </c>
      <c r="K706" s="204" t="s">
        <v>163</v>
      </c>
      <c r="L706" s="204" t="s">
        <v>1474</v>
      </c>
      <c r="M706" s="204"/>
      <c r="N706" s="40" t="s">
        <v>842</v>
      </c>
      <c r="O706" s="40"/>
      <c r="P706" s="40" t="s">
        <v>833</v>
      </c>
      <c r="Q706" s="40" t="s">
        <v>6</v>
      </c>
      <c r="R706" s="40"/>
      <c r="S706" s="40"/>
      <c r="T706" s="126" t="s">
        <v>6</v>
      </c>
      <c r="U706" s="204" t="s">
        <v>1453</v>
      </c>
      <c r="V706" s="204"/>
      <c r="W706" s="204" t="s">
        <v>163</v>
      </c>
      <c r="X706" s="40"/>
      <c r="Y706" s="40" t="s">
        <v>833</v>
      </c>
      <c r="Z706" s="199"/>
      <c r="AA706" s="199"/>
      <c r="AB706" s="253" t="s">
        <v>835</v>
      </c>
      <c r="AC706" s="199"/>
      <c r="AD706" s="199"/>
      <c r="AE706" s="204" t="s">
        <v>163</v>
      </c>
      <c r="AF706" s="40"/>
      <c r="AG706" s="40" t="s">
        <v>833</v>
      </c>
      <c r="AH706" s="199"/>
      <c r="AI706" s="199"/>
      <c r="AJ706" s="253" t="s">
        <v>835</v>
      </c>
      <c r="AK706" s="199"/>
      <c r="AL706" s="199"/>
      <c r="AM706" s="199"/>
      <c r="AN706" s="199"/>
      <c r="AO706" s="199"/>
      <c r="AP706" s="199"/>
      <c r="AQ706" s="199"/>
      <c r="AR706" s="199"/>
      <c r="AS706" s="199"/>
      <c r="AT706" s="199"/>
      <c r="AU706" s="199"/>
      <c r="AV706" s="199"/>
      <c r="AW706" s="155">
        <f t="shared" si="27"/>
        <v>37</v>
      </c>
    </row>
    <row r="707" spans="1:49" s="236" customFormat="1" ht="26.4">
      <c r="A707" s="40">
        <f t="shared" si="35"/>
        <v>701</v>
      </c>
      <c r="B707" s="199"/>
      <c r="C707" s="199"/>
      <c r="D707" s="199"/>
      <c r="E707" s="199"/>
      <c r="F707" s="199"/>
      <c r="G707" s="199"/>
      <c r="H707" s="199"/>
      <c r="I707" s="199"/>
      <c r="J707" s="215" t="s">
        <v>1475</v>
      </c>
      <c r="K707" s="204" t="s">
        <v>163</v>
      </c>
      <c r="L707" s="204" t="s">
        <v>1476</v>
      </c>
      <c r="M707" s="204"/>
      <c r="N707" s="40" t="s">
        <v>845</v>
      </c>
      <c r="O707" s="224"/>
      <c r="P707" s="40" t="s">
        <v>846</v>
      </c>
      <c r="Q707" s="40" t="s">
        <v>6</v>
      </c>
      <c r="R707" s="126"/>
      <c r="S707" s="126"/>
      <c r="T707" s="126" t="s">
        <v>6</v>
      </c>
      <c r="U707" s="218"/>
      <c r="V707" s="198"/>
      <c r="W707" s="204" t="s">
        <v>163</v>
      </c>
      <c r="X707" s="199"/>
      <c r="Y707" s="40" t="s">
        <v>846</v>
      </c>
      <c r="Z707" s="199"/>
      <c r="AA707" s="199"/>
      <c r="AB707" s="253" t="s">
        <v>835</v>
      </c>
      <c r="AC707" s="199"/>
      <c r="AD707" s="199"/>
      <c r="AE707" s="204" t="s">
        <v>163</v>
      </c>
      <c r="AF707" s="199"/>
      <c r="AG707" s="40" t="s">
        <v>846</v>
      </c>
      <c r="AH707" s="199"/>
      <c r="AI707" s="199"/>
      <c r="AJ707" s="253" t="s">
        <v>835</v>
      </c>
      <c r="AK707" s="199"/>
      <c r="AL707" s="199"/>
      <c r="AM707" s="199"/>
      <c r="AN707" s="199"/>
      <c r="AO707" s="199"/>
      <c r="AP707" s="199"/>
      <c r="AQ707" s="199"/>
      <c r="AR707" s="199"/>
      <c r="AS707" s="199"/>
      <c r="AT707" s="199"/>
      <c r="AU707" s="199"/>
      <c r="AV707" s="199"/>
      <c r="AW707" s="155">
        <f t="shared" si="27"/>
        <v>41</v>
      </c>
    </row>
    <row r="708" spans="1:49" s="236" customFormat="1" ht="15">
      <c r="A708" s="40">
        <f t="shared" si="35"/>
        <v>702</v>
      </c>
      <c r="B708" s="199"/>
      <c r="C708" s="199"/>
      <c r="D708" s="199"/>
      <c r="E708" s="199"/>
      <c r="F708" s="199"/>
      <c r="G708" s="199"/>
      <c r="H708" s="199"/>
      <c r="I708" s="199"/>
      <c r="J708" s="215" t="s">
        <v>1477</v>
      </c>
      <c r="K708" s="204" t="s">
        <v>163</v>
      </c>
      <c r="L708" s="204" t="s">
        <v>1478</v>
      </c>
      <c r="M708" s="204"/>
      <c r="N708" s="40" t="s">
        <v>849</v>
      </c>
      <c r="O708" s="224"/>
      <c r="P708" s="40" t="s">
        <v>846</v>
      </c>
      <c r="Q708" s="40" t="s">
        <v>6</v>
      </c>
      <c r="R708" s="126"/>
      <c r="S708" s="126"/>
      <c r="T708" s="126" t="s">
        <v>6</v>
      </c>
      <c r="U708" s="218"/>
      <c r="V708" s="198"/>
      <c r="W708" s="204" t="s">
        <v>163</v>
      </c>
      <c r="X708" s="199"/>
      <c r="Y708" s="40" t="s">
        <v>846</v>
      </c>
      <c r="Z708" s="199"/>
      <c r="AA708" s="199"/>
      <c r="AB708" s="198"/>
      <c r="AC708" s="199"/>
      <c r="AD708" s="199"/>
      <c r="AE708" s="204" t="s">
        <v>163</v>
      </c>
      <c r="AF708" s="199"/>
      <c r="AG708" s="40" t="s">
        <v>846</v>
      </c>
      <c r="AH708" s="199"/>
      <c r="AI708" s="199"/>
      <c r="AJ708" s="198"/>
      <c r="AK708" s="199"/>
      <c r="AL708" s="199"/>
      <c r="AM708" s="199" t="s">
        <v>1448</v>
      </c>
      <c r="AN708" s="199"/>
      <c r="AO708" s="199"/>
      <c r="AP708" s="199"/>
      <c r="AQ708" s="199"/>
      <c r="AR708" s="199"/>
      <c r="AS708" s="199"/>
      <c r="AT708" s="199"/>
      <c r="AU708" s="199"/>
      <c r="AV708" s="199"/>
      <c r="AW708" s="155">
        <f t="shared" si="27"/>
        <v>41</v>
      </c>
    </row>
    <row r="709" spans="1:49" s="236" customFormat="1" ht="26.4">
      <c r="A709" s="40">
        <f t="shared" si="35"/>
        <v>703</v>
      </c>
      <c r="B709" s="199"/>
      <c r="C709" s="199"/>
      <c r="D709" s="199"/>
      <c r="E709" s="199"/>
      <c r="F709" s="199"/>
      <c r="G709" s="199"/>
      <c r="H709" s="199"/>
      <c r="I709" s="199"/>
      <c r="J709" s="215" t="s">
        <v>1479</v>
      </c>
      <c r="K709" s="204" t="s">
        <v>163</v>
      </c>
      <c r="L709" s="204" t="s">
        <v>1480</v>
      </c>
      <c r="M709" s="204"/>
      <c r="N709" s="40" t="s">
        <v>853</v>
      </c>
      <c r="O709" s="224"/>
      <c r="P709" s="40" t="s">
        <v>846</v>
      </c>
      <c r="Q709" s="40" t="s">
        <v>6</v>
      </c>
      <c r="R709" s="126"/>
      <c r="S709" s="126"/>
      <c r="T709" s="126" t="s">
        <v>6</v>
      </c>
      <c r="U709" s="218"/>
      <c r="V709" s="198"/>
      <c r="W709" s="204" t="s">
        <v>163</v>
      </c>
      <c r="X709" s="199"/>
      <c r="Y709" s="40" t="s">
        <v>846</v>
      </c>
      <c r="Z709" s="199"/>
      <c r="AA709" s="199"/>
      <c r="AB709" s="253" t="s">
        <v>835</v>
      </c>
      <c r="AC709" s="199"/>
      <c r="AD709" s="199"/>
      <c r="AE709" s="204" t="s">
        <v>163</v>
      </c>
      <c r="AF709" s="199"/>
      <c r="AG709" s="40" t="s">
        <v>846</v>
      </c>
      <c r="AH709" s="199"/>
      <c r="AI709" s="199"/>
      <c r="AJ709" s="253" t="s">
        <v>835</v>
      </c>
      <c r="AK709" s="199"/>
      <c r="AL709" s="199"/>
      <c r="AM709" s="199"/>
      <c r="AN709" s="199"/>
      <c r="AO709" s="199"/>
      <c r="AP709" s="199"/>
      <c r="AQ709" s="199"/>
      <c r="AR709" s="199"/>
      <c r="AS709" s="199"/>
      <c r="AT709" s="199"/>
      <c r="AU709" s="199"/>
      <c r="AV709" s="199"/>
      <c r="AW709" s="155">
        <f t="shared" si="27"/>
        <v>41</v>
      </c>
    </row>
    <row r="710" spans="1:49" s="236" customFormat="1" ht="15">
      <c r="A710" s="40">
        <f t="shared" si="35"/>
        <v>704</v>
      </c>
      <c r="B710" s="199"/>
      <c r="C710" s="199"/>
      <c r="D710" s="199"/>
      <c r="E710" s="199"/>
      <c r="F710" s="199"/>
      <c r="G710" s="199"/>
      <c r="H710" s="199"/>
      <c r="I710" s="199"/>
      <c r="J710" s="215" t="s">
        <v>1481</v>
      </c>
      <c r="K710" s="204" t="s">
        <v>163</v>
      </c>
      <c r="L710" s="204" t="s">
        <v>1482</v>
      </c>
      <c r="M710" s="204"/>
      <c r="N710" s="40" t="s">
        <v>824</v>
      </c>
      <c r="O710" s="224"/>
      <c r="P710" s="40" t="s">
        <v>824</v>
      </c>
      <c r="Q710" s="40" t="s">
        <v>6</v>
      </c>
      <c r="R710" s="126"/>
      <c r="S710" s="126"/>
      <c r="T710" s="126" t="s">
        <v>6</v>
      </c>
      <c r="U710" s="218" t="s">
        <v>1483</v>
      </c>
      <c r="V710" s="198"/>
      <c r="W710" s="204" t="s">
        <v>163</v>
      </c>
      <c r="X710" s="199"/>
      <c r="Y710" s="40" t="s">
        <v>824</v>
      </c>
      <c r="Z710" s="199"/>
      <c r="AA710" s="199"/>
      <c r="AB710" s="198"/>
      <c r="AC710" s="199"/>
      <c r="AD710" s="199"/>
      <c r="AE710" s="204" t="s">
        <v>163</v>
      </c>
      <c r="AF710" s="199"/>
      <c r="AG710" s="40" t="s">
        <v>824</v>
      </c>
      <c r="AH710" s="199"/>
      <c r="AI710" s="199"/>
      <c r="AJ710" s="198"/>
      <c r="AK710" s="199"/>
      <c r="AL710" s="199"/>
      <c r="AM710" s="199" t="s">
        <v>1448</v>
      </c>
      <c r="AN710" s="199"/>
      <c r="AO710" s="199"/>
      <c r="AP710" s="199"/>
      <c r="AQ710" s="199"/>
      <c r="AR710" s="199"/>
      <c r="AS710" s="199"/>
      <c r="AT710" s="199"/>
      <c r="AU710" s="199"/>
      <c r="AV710" s="199"/>
      <c r="AW710" s="155">
        <f t="shared" ref="AW710:AW752" si="36">LEN(L710)</f>
        <v>27</v>
      </c>
    </row>
    <row r="711" spans="1:49" s="236" customFormat="1" ht="26.4">
      <c r="A711" s="40">
        <f t="shared" ref="A711:A774" si="37">ROW() - 6</f>
        <v>705</v>
      </c>
      <c r="B711" s="199"/>
      <c r="C711" s="199"/>
      <c r="D711" s="199"/>
      <c r="E711" s="199"/>
      <c r="F711" s="199"/>
      <c r="G711" s="199"/>
      <c r="H711" s="199"/>
      <c r="I711" s="199"/>
      <c r="J711" s="215" t="s">
        <v>1484</v>
      </c>
      <c r="K711" s="204" t="s">
        <v>163</v>
      </c>
      <c r="L711" s="204" t="s">
        <v>1485</v>
      </c>
      <c r="M711" s="204"/>
      <c r="N711" s="40" t="s">
        <v>829</v>
      </c>
      <c r="O711" s="224"/>
      <c r="P711" s="40" t="s">
        <v>829</v>
      </c>
      <c r="Q711" s="40" t="s">
        <v>6</v>
      </c>
      <c r="R711" s="126"/>
      <c r="S711" s="126"/>
      <c r="T711" s="126" t="s">
        <v>6</v>
      </c>
      <c r="U711" s="218" t="s">
        <v>1486</v>
      </c>
      <c r="V711" s="198"/>
      <c r="W711" s="204" t="s">
        <v>163</v>
      </c>
      <c r="X711" s="199"/>
      <c r="Y711" s="40" t="s">
        <v>829</v>
      </c>
      <c r="Z711" s="199"/>
      <c r="AA711" s="199"/>
      <c r="AB711" s="198"/>
      <c r="AC711" s="199"/>
      <c r="AD711" s="199"/>
      <c r="AE711" s="204" t="s">
        <v>163</v>
      </c>
      <c r="AF711" s="199"/>
      <c r="AG711" s="40" t="s">
        <v>829</v>
      </c>
      <c r="AH711" s="199"/>
      <c r="AI711" s="199"/>
      <c r="AJ711" s="198"/>
      <c r="AK711" s="199"/>
      <c r="AL711" s="199"/>
      <c r="AM711" s="199" t="s">
        <v>1448</v>
      </c>
      <c r="AN711" s="199"/>
      <c r="AO711" s="199"/>
      <c r="AP711" s="199"/>
      <c r="AQ711" s="199"/>
      <c r="AR711" s="199"/>
      <c r="AS711" s="199"/>
      <c r="AT711" s="199"/>
      <c r="AU711" s="199"/>
      <c r="AV711" s="199"/>
      <c r="AW711" s="155">
        <f t="shared" si="36"/>
        <v>29</v>
      </c>
    </row>
    <row r="712" spans="1:49" s="236" customFormat="1" ht="39.6">
      <c r="A712" s="40">
        <f t="shared" si="37"/>
        <v>706</v>
      </c>
      <c r="B712" s="199"/>
      <c r="C712" s="199"/>
      <c r="D712" s="199"/>
      <c r="E712" s="199"/>
      <c r="F712" s="199"/>
      <c r="G712" s="199"/>
      <c r="H712" s="199"/>
      <c r="I712" s="199"/>
      <c r="J712" s="215" t="s">
        <v>1487</v>
      </c>
      <c r="K712" s="204" t="s">
        <v>163</v>
      </c>
      <c r="L712" s="204" t="s">
        <v>1488</v>
      </c>
      <c r="M712" s="204"/>
      <c r="N712" s="40" t="s">
        <v>832</v>
      </c>
      <c r="O712" s="40"/>
      <c r="P712" s="40" t="s">
        <v>833</v>
      </c>
      <c r="Q712" s="40" t="s">
        <v>6</v>
      </c>
      <c r="R712" s="40"/>
      <c r="S712" s="40"/>
      <c r="T712" s="126" t="s">
        <v>6</v>
      </c>
      <c r="U712" s="204" t="s">
        <v>1489</v>
      </c>
      <c r="V712" s="204"/>
      <c r="W712" s="204" t="s">
        <v>163</v>
      </c>
      <c r="X712" s="40"/>
      <c r="Y712" s="40" t="s">
        <v>833</v>
      </c>
      <c r="Z712" s="199"/>
      <c r="AA712" s="199"/>
      <c r="AB712" s="253" t="s">
        <v>835</v>
      </c>
      <c r="AC712" s="199"/>
      <c r="AD712" s="199"/>
      <c r="AE712" s="204" t="s">
        <v>163</v>
      </c>
      <c r="AF712" s="40"/>
      <c r="AG712" s="40" t="s">
        <v>833</v>
      </c>
      <c r="AH712" s="199"/>
      <c r="AI712" s="199"/>
      <c r="AJ712" s="253" t="s">
        <v>835</v>
      </c>
      <c r="AK712" s="199"/>
      <c r="AL712" s="199"/>
      <c r="AM712" s="199"/>
      <c r="AN712" s="199"/>
      <c r="AO712" s="199"/>
      <c r="AP712" s="199"/>
      <c r="AQ712" s="199"/>
      <c r="AR712" s="199"/>
      <c r="AS712" s="199"/>
      <c r="AT712" s="199"/>
      <c r="AU712" s="199"/>
      <c r="AV712" s="199"/>
      <c r="AW712" s="155">
        <f t="shared" si="36"/>
        <v>36</v>
      </c>
    </row>
    <row r="713" spans="1:49" s="236" customFormat="1" ht="39.6">
      <c r="A713" s="40">
        <f t="shared" si="37"/>
        <v>707</v>
      </c>
      <c r="B713" s="199"/>
      <c r="C713" s="199"/>
      <c r="D713" s="199"/>
      <c r="E713" s="199"/>
      <c r="F713" s="199"/>
      <c r="G713" s="199"/>
      <c r="H713" s="199"/>
      <c r="I713" s="199"/>
      <c r="J713" s="215" t="s">
        <v>1490</v>
      </c>
      <c r="K713" s="204" t="s">
        <v>163</v>
      </c>
      <c r="L713" s="204" t="s">
        <v>1491</v>
      </c>
      <c r="M713" s="204"/>
      <c r="N713" s="40" t="s">
        <v>838</v>
      </c>
      <c r="O713" s="40"/>
      <c r="P713" s="40" t="s">
        <v>833</v>
      </c>
      <c r="Q713" s="40" t="s">
        <v>6</v>
      </c>
      <c r="R713" s="40"/>
      <c r="S713" s="40"/>
      <c r="T713" s="126" t="s">
        <v>6</v>
      </c>
      <c r="U713" s="200" t="s">
        <v>1489</v>
      </c>
      <c r="V713" s="204"/>
      <c r="W713" s="204" t="s">
        <v>163</v>
      </c>
      <c r="X713" s="40"/>
      <c r="Y713" s="40" t="s">
        <v>833</v>
      </c>
      <c r="Z713" s="199"/>
      <c r="AA713" s="199"/>
      <c r="AB713" s="198"/>
      <c r="AC713" s="199"/>
      <c r="AD713" s="199"/>
      <c r="AE713" s="204" t="s">
        <v>163</v>
      </c>
      <c r="AF713" s="40"/>
      <c r="AG713" s="40" t="s">
        <v>833</v>
      </c>
      <c r="AH713" s="199"/>
      <c r="AI713" s="199"/>
      <c r="AJ713" s="198"/>
      <c r="AK713" s="199"/>
      <c r="AL713" s="199"/>
      <c r="AM713" s="199" t="s">
        <v>1492</v>
      </c>
      <c r="AN713" s="199"/>
      <c r="AO713" s="199"/>
      <c r="AP713" s="199"/>
      <c r="AQ713" s="199"/>
      <c r="AR713" s="199"/>
      <c r="AS713" s="199"/>
      <c r="AT713" s="199"/>
      <c r="AU713" s="199"/>
      <c r="AV713" s="199"/>
      <c r="AW713" s="155">
        <f t="shared" si="36"/>
        <v>36</v>
      </c>
    </row>
    <row r="714" spans="1:49" s="236" customFormat="1" ht="39.6">
      <c r="A714" s="40">
        <f t="shared" si="37"/>
        <v>708</v>
      </c>
      <c r="B714" s="199"/>
      <c r="C714" s="199"/>
      <c r="D714" s="199"/>
      <c r="E714" s="199"/>
      <c r="F714" s="199"/>
      <c r="G714" s="199"/>
      <c r="H714" s="199"/>
      <c r="I714" s="199"/>
      <c r="J714" s="215" t="s">
        <v>1493</v>
      </c>
      <c r="K714" s="204" t="s">
        <v>163</v>
      </c>
      <c r="L714" s="204" t="s">
        <v>1494</v>
      </c>
      <c r="M714" s="204"/>
      <c r="N714" s="40" t="s">
        <v>842</v>
      </c>
      <c r="O714" s="40"/>
      <c r="P714" s="40" t="s">
        <v>833</v>
      </c>
      <c r="Q714" s="40" t="s">
        <v>6</v>
      </c>
      <c r="R714" s="40"/>
      <c r="S714" s="40"/>
      <c r="T714" s="126" t="s">
        <v>6</v>
      </c>
      <c r="U714" s="204" t="s">
        <v>1489</v>
      </c>
      <c r="V714" s="204"/>
      <c r="W714" s="204" t="s">
        <v>163</v>
      </c>
      <c r="X714" s="40"/>
      <c r="Y714" s="40" t="s">
        <v>833</v>
      </c>
      <c r="Z714" s="199"/>
      <c r="AA714" s="199"/>
      <c r="AB714" s="253" t="s">
        <v>835</v>
      </c>
      <c r="AC714" s="199"/>
      <c r="AD714" s="199"/>
      <c r="AE714" s="204" t="s">
        <v>163</v>
      </c>
      <c r="AF714" s="40"/>
      <c r="AG714" s="40" t="s">
        <v>833</v>
      </c>
      <c r="AH714" s="199"/>
      <c r="AI714" s="199"/>
      <c r="AJ714" s="253" t="s">
        <v>835</v>
      </c>
      <c r="AK714" s="199"/>
      <c r="AL714" s="199"/>
      <c r="AM714" s="199"/>
      <c r="AN714" s="199"/>
      <c r="AO714" s="199"/>
      <c r="AP714" s="199"/>
      <c r="AQ714" s="199"/>
      <c r="AR714" s="199"/>
      <c r="AS714" s="199"/>
      <c r="AT714" s="199"/>
      <c r="AU714" s="199"/>
      <c r="AV714" s="199"/>
      <c r="AW714" s="155">
        <f t="shared" si="36"/>
        <v>36</v>
      </c>
    </row>
    <row r="715" spans="1:49" s="236" customFormat="1" ht="26.4">
      <c r="A715" s="40">
        <f t="shared" si="37"/>
        <v>709</v>
      </c>
      <c r="B715" s="199"/>
      <c r="C715" s="199"/>
      <c r="D715" s="199"/>
      <c r="E715" s="199"/>
      <c r="F715" s="199"/>
      <c r="G715" s="199"/>
      <c r="H715" s="199"/>
      <c r="I715" s="199"/>
      <c r="J715" s="215" t="s">
        <v>1495</v>
      </c>
      <c r="K715" s="204" t="s">
        <v>163</v>
      </c>
      <c r="L715" s="204" t="s">
        <v>1496</v>
      </c>
      <c r="M715" s="204"/>
      <c r="N715" s="40" t="s">
        <v>845</v>
      </c>
      <c r="O715" s="224"/>
      <c r="P715" s="40" t="s">
        <v>846</v>
      </c>
      <c r="Q715" s="40" t="s">
        <v>6</v>
      </c>
      <c r="R715" s="126"/>
      <c r="S715" s="126"/>
      <c r="T715" s="126" t="s">
        <v>6</v>
      </c>
      <c r="U715" s="218" t="s">
        <v>1497</v>
      </c>
      <c r="V715" s="198"/>
      <c r="W715" s="204" t="s">
        <v>163</v>
      </c>
      <c r="X715" s="199"/>
      <c r="Y715" s="40" t="s">
        <v>846</v>
      </c>
      <c r="Z715" s="199"/>
      <c r="AA715" s="199"/>
      <c r="AB715" s="253" t="s">
        <v>835</v>
      </c>
      <c r="AC715" s="199"/>
      <c r="AD715" s="199"/>
      <c r="AE715" s="204" t="s">
        <v>163</v>
      </c>
      <c r="AF715" s="199"/>
      <c r="AG715" s="40" t="s">
        <v>846</v>
      </c>
      <c r="AH715" s="199"/>
      <c r="AI715" s="199"/>
      <c r="AJ715" s="253" t="s">
        <v>835</v>
      </c>
      <c r="AK715" s="199"/>
      <c r="AL715" s="199"/>
      <c r="AM715" s="199"/>
      <c r="AN715" s="199"/>
      <c r="AO715" s="199"/>
      <c r="AP715" s="199"/>
      <c r="AQ715" s="199"/>
      <c r="AR715" s="199"/>
      <c r="AS715" s="199"/>
      <c r="AT715" s="199"/>
      <c r="AU715" s="199"/>
      <c r="AV715" s="199"/>
      <c r="AW715" s="155">
        <f t="shared" si="36"/>
        <v>40</v>
      </c>
    </row>
    <row r="716" spans="1:49" s="236" customFormat="1" ht="26.4">
      <c r="A716" s="40">
        <f t="shared" si="37"/>
        <v>710</v>
      </c>
      <c r="B716" s="199"/>
      <c r="C716" s="199"/>
      <c r="D716" s="199"/>
      <c r="E716" s="199"/>
      <c r="F716" s="199"/>
      <c r="G716" s="199"/>
      <c r="H716" s="199"/>
      <c r="I716" s="199"/>
      <c r="J716" s="215" t="s">
        <v>1498</v>
      </c>
      <c r="K716" s="204" t="s">
        <v>163</v>
      </c>
      <c r="L716" s="204" t="s">
        <v>1499</v>
      </c>
      <c r="M716" s="204"/>
      <c r="N716" s="40" t="s">
        <v>849</v>
      </c>
      <c r="O716" s="224"/>
      <c r="P716" s="40" t="s">
        <v>846</v>
      </c>
      <c r="Q716" s="40" t="s">
        <v>6</v>
      </c>
      <c r="R716" s="126"/>
      <c r="S716" s="126"/>
      <c r="T716" s="126" t="s">
        <v>6</v>
      </c>
      <c r="U716" s="218" t="s">
        <v>1497</v>
      </c>
      <c r="V716" s="198"/>
      <c r="W716" s="204" t="s">
        <v>163</v>
      </c>
      <c r="X716" s="199"/>
      <c r="Y716" s="40" t="s">
        <v>846</v>
      </c>
      <c r="Z716" s="199"/>
      <c r="AA716" s="199"/>
      <c r="AB716" s="198"/>
      <c r="AC716" s="199"/>
      <c r="AD716" s="199"/>
      <c r="AE716" s="204" t="s">
        <v>163</v>
      </c>
      <c r="AF716" s="199"/>
      <c r="AG716" s="40" t="s">
        <v>846</v>
      </c>
      <c r="AH716" s="199"/>
      <c r="AI716" s="199"/>
      <c r="AJ716" s="198"/>
      <c r="AK716" s="199"/>
      <c r="AL716" s="199"/>
      <c r="AM716" s="199" t="s">
        <v>1448</v>
      </c>
      <c r="AN716" s="199"/>
      <c r="AO716" s="199"/>
      <c r="AP716" s="199"/>
      <c r="AQ716" s="199"/>
      <c r="AR716" s="199"/>
      <c r="AS716" s="199"/>
      <c r="AT716" s="199"/>
      <c r="AU716" s="199"/>
      <c r="AV716" s="199"/>
      <c r="AW716" s="155">
        <f t="shared" si="36"/>
        <v>40</v>
      </c>
    </row>
    <row r="717" spans="1:49" s="236" customFormat="1" ht="26.4">
      <c r="A717" s="40">
        <f t="shared" si="37"/>
        <v>711</v>
      </c>
      <c r="B717" s="199"/>
      <c r="C717" s="199"/>
      <c r="D717" s="199"/>
      <c r="E717" s="199"/>
      <c r="F717" s="199"/>
      <c r="G717" s="199"/>
      <c r="H717" s="199"/>
      <c r="I717" s="199"/>
      <c r="J717" s="215" t="s">
        <v>1500</v>
      </c>
      <c r="K717" s="204" t="s">
        <v>163</v>
      </c>
      <c r="L717" s="204" t="s">
        <v>1501</v>
      </c>
      <c r="M717" s="204"/>
      <c r="N717" s="40" t="s">
        <v>853</v>
      </c>
      <c r="O717" s="224"/>
      <c r="P717" s="40" t="s">
        <v>846</v>
      </c>
      <c r="Q717" s="40" t="s">
        <v>6</v>
      </c>
      <c r="R717" s="126"/>
      <c r="S717" s="126"/>
      <c r="T717" s="126" t="s">
        <v>6</v>
      </c>
      <c r="U717" s="218" t="s">
        <v>1497</v>
      </c>
      <c r="V717" s="198"/>
      <c r="W717" s="204" t="s">
        <v>163</v>
      </c>
      <c r="X717" s="199"/>
      <c r="Y717" s="40" t="s">
        <v>846</v>
      </c>
      <c r="Z717" s="199"/>
      <c r="AA717" s="199"/>
      <c r="AB717" s="253" t="s">
        <v>835</v>
      </c>
      <c r="AC717" s="199"/>
      <c r="AD717" s="199"/>
      <c r="AE717" s="204" t="s">
        <v>163</v>
      </c>
      <c r="AF717" s="199"/>
      <c r="AG717" s="40" t="s">
        <v>846</v>
      </c>
      <c r="AH717" s="199"/>
      <c r="AI717" s="199"/>
      <c r="AJ717" s="253" t="s">
        <v>835</v>
      </c>
      <c r="AK717" s="199"/>
      <c r="AL717" s="199"/>
      <c r="AM717" s="199"/>
      <c r="AN717" s="199"/>
      <c r="AO717" s="199"/>
      <c r="AP717" s="199"/>
      <c r="AQ717" s="199"/>
      <c r="AR717" s="199"/>
      <c r="AS717" s="199"/>
      <c r="AT717" s="199"/>
      <c r="AU717" s="199"/>
      <c r="AV717" s="199"/>
      <c r="AW717" s="155">
        <f t="shared" si="36"/>
        <v>40</v>
      </c>
    </row>
    <row r="718" spans="1:49" s="236" customFormat="1" ht="26.4">
      <c r="A718" s="40">
        <f t="shared" si="37"/>
        <v>712</v>
      </c>
      <c r="B718" s="199"/>
      <c r="C718" s="199"/>
      <c r="D718" s="199"/>
      <c r="E718" s="199"/>
      <c r="F718" s="199"/>
      <c r="G718" s="199"/>
      <c r="H718" s="199"/>
      <c r="I718" s="199"/>
      <c r="J718" s="199" t="s">
        <v>1503</v>
      </c>
      <c r="K718" s="204" t="s">
        <v>163</v>
      </c>
      <c r="L718" s="200" t="s">
        <v>1504</v>
      </c>
      <c r="M718" s="200"/>
      <c r="N718" s="40" t="s">
        <v>1505</v>
      </c>
      <c r="O718" s="126"/>
      <c r="P718" s="126" t="s">
        <v>1506</v>
      </c>
      <c r="Q718" s="40" t="s">
        <v>6</v>
      </c>
      <c r="R718" s="126"/>
      <c r="S718" s="126"/>
      <c r="T718" s="126" t="s">
        <v>6</v>
      </c>
      <c r="U718" s="218" t="s">
        <v>1114</v>
      </c>
      <c r="V718" s="204"/>
      <c r="W718" s="204" t="s">
        <v>163</v>
      </c>
      <c r="X718" s="199"/>
      <c r="Y718" s="126" t="s">
        <v>1506</v>
      </c>
      <c r="Z718" s="199"/>
      <c r="AA718" s="199"/>
      <c r="AB718" s="253" t="s">
        <v>835</v>
      </c>
      <c r="AC718" s="199"/>
      <c r="AD718" s="199"/>
      <c r="AE718" s="204" t="s">
        <v>163</v>
      </c>
      <c r="AF718" s="199"/>
      <c r="AG718" s="126" t="s">
        <v>1506</v>
      </c>
      <c r="AH718" s="199"/>
      <c r="AI718" s="199"/>
      <c r="AJ718" s="253" t="s">
        <v>835</v>
      </c>
      <c r="AK718" s="199"/>
      <c r="AL718" s="199"/>
      <c r="AM718" s="199"/>
      <c r="AN718" s="199"/>
      <c r="AO718" s="199"/>
      <c r="AP718" s="199"/>
      <c r="AQ718" s="199"/>
      <c r="AR718" s="199"/>
      <c r="AS718" s="199"/>
      <c r="AT718" s="199"/>
      <c r="AU718" s="199"/>
      <c r="AV718" s="199"/>
      <c r="AW718" s="155">
        <f t="shared" si="36"/>
        <v>38</v>
      </c>
    </row>
    <row r="719" spans="1:49" s="236" customFormat="1" ht="26.4">
      <c r="A719" s="40">
        <f t="shared" si="37"/>
        <v>713</v>
      </c>
      <c r="B719" s="199"/>
      <c r="C719" s="199"/>
      <c r="D719" s="199"/>
      <c r="E719" s="199"/>
      <c r="F719" s="199"/>
      <c r="G719" s="199"/>
      <c r="H719" s="199"/>
      <c r="I719" s="199"/>
      <c r="J719" s="199" t="s">
        <v>1507</v>
      </c>
      <c r="K719" s="204" t="s">
        <v>163</v>
      </c>
      <c r="L719" s="200" t="s">
        <v>1508</v>
      </c>
      <c r="M719" s="200"/>
      <c r="N719" s="40" t="s">
        <v>1505</v>
      </c>
      <c r="O719" s="126"/>
      <c r="P719" s="126" t="s">
        <v>1506</v>
      </c>
      <c r="Q719" s="40" t="s">
        <v>6</v>
      </c>
      <c r="R719" s="126"/>
      <c r="S719" s="126"/>
      <c r="T719" s="126" t="s">
        <v>6</v>
      </c>
      <c r="U719" s="218" t="s">
        <v>1114</v>
      </c>
      <c r="V719" s="204"/>
      <c r="W719" s="204" t="s">
        <v>163</v>
      </c>
      <c r="X719" s="199"/>
      <c r="Y719" s="126" t="s">
        <v>1506</v>
      </c>
      <c r="Z719" s="199"/>
      <c r="AA719" s="199"/>
      <c r="AB719" s="253" t="s">
        <v>835</v>
      </c>
      <c r="AC719" s="199"/>
      <c r="AD719" s="199"/>
      <c r="AE719" s="204" t="s">
        <v>163</v>
      </c>
      <c r="AF719" s="199"/>
      <c r="AG719" s="126" t="s">
        <v>1506</v>
      </c>
      <c r="AH719" s="199"/>
      <c r="AI719" s="199"/>
      <c r="AJ719" s="253" t="s">
        <v>835</v>
      </c>
      <c r="AK719" s="199"/>
      <c r="AL719" s="199"/>
      <c r="AM719" s="199"/>
      <c r="AN719" s="199"/>
      <c r="AO719" s="199"/>
      <c r="AP719" s="199"/>
      <c r="AQ719" s="199"/>
      <c r="AR719" s="199"/>
      <c r="AS719" s="199"/>
      <c r="AT719" s="199"/>
      <c r="AU719" s="199"/>
      <c r="AV719" s="199"/>
      <c r="AW719" s="155">
        <f t="shared" si="36"/>
        <v>38</v>
      </c>
    </row>
    <row r="720" spans="1:49" s="236" customFormat="1" ht="26.4">
      <c r="A720" s="40">
        <f t="shared" si="37"/>
        <v>714</v>
      </c>
      <c r="B720" s="199"/>
      <c r="C720" s="199"/>
      <c r="D720" s="199"/>
      <c r="E720" s="199"/>
      <c r="F720" s="199"/>
      <c r="G720" s="199"/>
      <c r="H720" s="199"/>
      <c r="I720" s="199"/>
      <c r="J720" s="199" t="s">
        <v>1509</v>
      </c>
      <c r="K720" s="204" t="s">
        <v>163</v>
      </c>
      <c r="L720" s="200" t="s">
        <v>1510</v>
      </c>
      <c r="M720" s="200"/>
      <c r="N720" s="40" t="s">
        <v>1505</v>
      </c>
      <c r="O720" s="126"/>
      <c r="P720" s="126" t="s">
        <v>1506</v>
      </c>
      <c r="Q720" s="40" t="s">
        <v>6</v>
      </c>
      <c r="R720" s="126"/>
      <c r="S720" s="126"/>
      <c r="T720" s="126" t="s">
        <v>6</v>
      </c>
      <c r="U720" s="218" t="s">
        <v>1114</v>
      </c>
      <c r="V720" s="204"/>
      <c r="W720" s="204" t="s">
        <v>163</v>
      </c>
      <c r="X720" s="199"/>
      <c r="Y720" s="126" t="s">
        <v>1506</v>
      </c>
      <c r="Z720" s="199"/>
      <c r="AA720" s="199"/>
      <c r="AB720" s="253" t="s">
        <v>835</v>
      </c>
      <c r="AC720" s="199"/>
      <c r="AD720" s="199"/>
      <c r="AE720" s="204" t="s">
        <v>163</v>
      </c>
      <c r="AF720" s="199"/>
      <c r="AG720" s="126" t="s">
        <v>1506</v>
      </c>
      <c r="AH720" s="199"/>
      <c r="AI720" s="199"/>
      <c r="AJ720" s="253" t="s">
        <v>835</v>
      </c>
      <c r="AK720" s="199"/>
      <c r="AL720" s="199"/>
      <c r="AM720" s="199"/>
      <c r="AN720" s="199"/>
      <c r="AO720" s="199"/>
      <c r="AP720" s="199"/>
      <c r="AQ720" s="199"/>
      <c r="AR720" s="199"/>
      <c r="AS720" s="199"/>
      <c r="AT720" s="199"/>
      <c r="AU720" s="199"/>
      <c r="AV720" s="199"/>
      <c r="AW720" s="155">
        <f t="shared" si="36"/>
        <v>38</v>
      </c>
    </row>
    <row r="721" spans="1:49" s="236" customFormat="1" ht="26.4">
      <c r="A721" s="40">
        <f t="shared" si="37"/>
        <v>715</v>
      </c>
      <c r="B721" s="199"/>
      <c r="C721" s="199"/>
      <c r="D721" s="199"/>
      <c r="E721" s="199"/>
      <c r="F721" s="199"/>
      <c r="G721" s="199"/>
      <c r="H721" s="199"/>
      <c r="I721" s="199"/>
      <c r="J721" s="199" t="s">
        <v>1511</v>
      </c>
      <c r="K721" s="204" t="s">
        <v>163</v>
      </c>
      <c r="L721" s="200" t="s">
        <v>1512</v>
      </c>
      <c r="M721" s="200"/>
      <c r="N721" s="40" t="s">
        <v>1505</v>
      </c>
      <c r="O721" s="126"/>
      <c r="P721" s="126" t="s">
        <v>1506</v>
      </c>
      <c r="Q721" s="40" t="s">
        <v>6</v>
      </c>
      <c r="R721" s="126"/>
      <c r="S721" s="126"/>
      <c r="T721" s="126" t="s">
        <v>6</v>
      </c>
      <c r="U721" s="218" t="s">
        <v>1513</v>
      </c>
      <c r="V721" s="198"/>
      <c r="W721" s="204" t="s">
        <v>163</v>
      </c>
      <c r="X721" s="199"/>
      <c r="Y721" s="126" t="s">
        <v>1506</v>
      </c>
      <c r="Z721" s="199"/>
      <c r="AA721" s="199"/>
      <c r="AB721" s="253" t="s">
        <v>835</v>
      </c>
      <c r="AC721" s="199"/>
      <c r="AD721" s="199"/>
      <c r="AE721" s="204" t="s">
        <v>163</v>
      </c>
      <c r="AF721" s="199"/>
      <c r="AG721" s="126" t="s">
        <v>1506</v>
      </c>
      <c r="AH721" s="199"/>
      <c r="AI721" s="199"/>
      <c r="AJ721" s="253" t="s">
        <v>835</v>
      </c>
      <c r="AK721" s="199"/>
      <c r="AL721" s="199"/>
      <c r="AM721" s="199"/>
      <c r="AN721" s="199"/>
      <c r="AO721" s="199"/>
      <c r="AP721" s="199"/>
      <c r="AQ721" s="199"/>
      <c r="AR721" s="199"/>
      <c r="AS721" s="199"/>
      <c r="AT721" s="199"/>
      <c r="AU721" s="199"/>
      <c r="AV721" s="199"/>
      <c r="AW721" s="155">
        <f t="shared" si="36"/>
        <v>31</v>
      </c>
    </row>
    <row r="722" spans="1:49" s="236" customFormat="1" ht="26.4">
      <c r="A722" s="40">
        <f t="shared" si="37"/>
        <v>716</v>
      </c>
      <c r="B722" s="199"/>
      <c r="C722" s="199"/>
      <c r="D722" s="199"/>
      <c r="E722" s="199"/>
      <c r="F722" s="199"/>
      <c r="G722" s="199"/>
      <c r="H722" s="199"/>
      <c r="I722" s="199"/>
      <c r="J722" s="217" t="s">
        <v>1514</v>
      </c>
      <c r="K722" s="204" t="s">
        <v>163</v>
      </c>
      <c r="L722" s="200" t="s">
        <v>1515</v>
      </c>
      <c r="M722" s="200"/>
      <c r="N722" s="40" t="s">
        <v>1505</v>
      </c>
      <c r="O722" s="126"/>
      <c r="P722" s="126" t="s">
        <v>1506</v>
      </c>
      <c r="Q722" s="40" t="s">
        <v>6</v>
      </c>
      <c r="R722" s="126"/>
      <c r="S722" s="126"/>
      <c r="T722" s="126" t="s">
        <v>6</v>
      </c>
      <c r="U722" s="218" t="s">
        <v>1114</v>
      </c>
      <c r="V722" s="399"/>
      <c r="W722" s="204" t="s">
        <v>163</v>
      </c>
      <c r="X722" s="217"/>
      <c r="Y722" s="126" t="s">
        <v>1506</v>
      </c>
      <c r="Z722" s="199"/>
      <c r="AA722" s="199"/>
      <c r="AB722" s="253" t="s">
        <v>835</v>
      </c>
      <c r="AC722" s="199"/>
      <c r="AD722" s="199"/>
      <c r="AE722" s="204" t="s">
        <v>163</v>
      </c>
      <c r="AF722" s="217"/>
      <c r="AG722" s="126" t="s">
        <v>1506</v>
      </c>
      <c r="AH722" s="199"/>
      <c r="AI722" s="199"/>
      <c r="AJ722" s="253" t="s">
        <v>835</v>
      </c>
      <c r="AK722" s="199"/>
      <c r="AL722" s="199"/>
      <c r="AM722" s="199"/>
      <c r="AN722" s="199"/>
      <c r="AO722" s="199"/>
      <c r="AP722" s="199"/>
      <c r="AQ722" s="199"/>
      <c r="AR722" s="199"/>
      <c r="AS722" s="199"/>
      <c r="AT722" s="199"/>
      <c r="AU722" s="199"/>
      <c r="AV722" s="199"/>
      <c r="AW722" s="155">
        <f t="shared" si="36"/>
        <v>42</v>
      </c>
    </row>
    <row r="723" spans="1:49" s="236" customFormat="1" ht="26.4">
      <c r="A723" s="40">
        <f t="shared" si="37"/>
        <v>717</v>
      </c>
      <c r="B723" s="199"/>
      <c r="C723" s="199"/>
      <c r="D723" s="199"/>
      <c r="E723" s="199"/>
      <c r="F723" s="199"/>
      <c r="G723" s="199"/>
      <c r="H723" s="199"/>
      <c r="I723" s="199"/>
      <c r="J723" s="217" t="s">
        <v>1516</v>
      </c>
      <c r="K723" s="204" t="s">
        <v>163</v>
      </c>
      <c r="L723" s="200" t="s">
        <v>1517</v>
      </c>
      <c r="M723" s="200"/>
      <c r="N723" s="40" t="s">
        <v>1505</v>
      </c>
      <c r="O723" s="126"/>
      <c r="P723" s="126" t="s">
        <v>1506</v>
      </c>
      <c r="Q723" s="40" t="s">
        <v>6</v>
      </c>
      <c r="R723" s="126"/>
      <c r="S723" s="126"/>
      <c r="T723" s="126" t="s">
        <v>6</v>
      </c>
      <c r="U723" s="218" t="s">
        <v>1114</v>
      </c>
      <c r="V723" s="399"/>
      <c r="W723" s="204" t="s">
        <v>163</v>
      </c>
      <c r="X723" s="217"/>
      <c r="Y723" s="126" t="s">
        <v>1506</v>
      </c>
      <c r="Z723" s="199"/>
      <c r="AA723" s="199"/>
      <c r="AB723" s="253" t="s">
        <v>835</v>
      </c>
      <c r="AC723" s="199"/>
      <c r="AD723" s="199"/>
      <c r="AE723" s="204" t="s">
        <v>163</v>
      </c>
      <c r="AF723" s="217"/>
      <c r="AG723" s="126" t="s">
        <v>1506</v>
      </c>
      <c r="AH723" s="199"/>
      <c r="AI723" s="199"/>
      <c r="AJ723" s="253" t="s">
        <v>835</v>
      </c>
      <c r="AK723" s="199"/>
      <c r="AL723" s="199"/>
      <c r="AM723" s="199"/>
      <c r="AN723" s="199"/>
      <c r="AO723" s="199"/>
      <c r="AP723" s="199"/>
      <c r="AQ723" s="199"/>
      <c r="AR723" s="199"/>
      <c r="AS723" s="199"/>
      <c r="AT723" s="199"/>
      <c r="AU723" s="199"/>
      <c r="AV723" s="199"/>
      <c r="AW723" s="155">
        <f t="shared" si="36"/>
        <v>42</v>
      </c>
    </row>
    <row r="724" spans="1:49" s="236" customFormat="1" ht="26.4">
      <c r="A724" s="40">
        <f t="shared" si="37"/>
        <v>718</v>
      </c>
      <c r="B724" s="199"/>
      <c r="C724" s="199"/>
      <c r="D724" s="199"/>
      <c r="E724" s="199"/>
      <c r="F724" s="199"/>
      <c r="G724" s="199"/>
      <c r="H724" s="199"/>
      <c r="I724" s="199"/>
      <c r="J724" s="217" t="s">
        <v>1518</v>
      </c>
      <c r="K724" s="204" t="s">
        <v>163</v>
      </c>
      <c r="L724" s="200" t="s">
        <v>1519</v>
      </c>
      <c r="M724" s="200"/>
      <c r="N724" s="40" t="s">
        <v>1505</v>
      </c>
      <c r="O724" s="126"/>
      <c r="P724" s="126" t="s">
        <v>1506</v>
      </c>
      <c r="Q724" s="40" t="s">
        <v>6</v>
      </c>
      <c r="R724" s="126"/>
      <c r="S724" s="126"/>
      <c r="T724" s="126" t="s">
        <v>6</v>
      </c>
      <c r="U724" s="218" t="s">
        <v>1114</v>
      </c>
      <c r="V724" s="399"/>
      <c r="W724" s="204" t="s">
        <v>163</v>
      </c>
      <c r="X724" s="217"/>
      <c r="Y724" s="126" t="s">
        <v>1506</v>
      </c>
      <c r="Z724" s="199"/>
      <c r="AA724" s="199"/>
      <c r="AB724" s="253" t="s">
        <v>835</v>
      </c>
      <c r="AC724" s="199"/>
      <c r="AD724" s="199"/>
      <c r="AE724" s="204" t="s">
        <v>163</v>
      </c>
      <c r="AF724" s="217"/>
      <c r="AG724" s="126" t="s">
        <v>1506</v>
      </c>
      <c r="AH724" s="199"/>
      <c r="AI724" s="199"/>
      <c r="AJ724" s="253" t="s">
        <v>835</v>
      </c>
      <c r="AK724" s="199"/>
      <c r="AL724" s="199"/>
      <c r="AM724" s="199"/>
      <c r="AN724" s="199"/>
      <c r="AO724" s="199"/>
      <c r="AP724" s="199"/>
      <c r="AQ724" s="199"/>
      <c r="AR724" s="199"/>
      <c r="AS724" s="199"/>
      <c r="AT724" s="199"/>
      <c r="AU724" s="199"/>
      <c r="AV724" s="199"/>
      <c r="AW724" s="155">
        <f t="shared" si="36"/>
        <v>42</v>
      </c>
    </row>
    <row r="725" spans="1:49" s="236" customFormat="1" ht="26.4">
      <c r="A725" s="40">
        <f t="shared" si="37"/>
        <v>719</v>
      </c>
      <c r="B725" s="199"/>
      <c r="C725" s="199"/>
      <c r="D725" s="199"/>
      <c r="E725" s="199"/>
      <c r="F725" s="199"/>
      <c r="G725" s="199"/>
      <c r="H725" s="199"/>
      <c r="I725" s="199"/>
      <c r="J725" s="217" t="s">
        <v>1520</v>
      </c>
      <c r="K725" s="204" t="s">
        <v>163</v>
      </c>
      <c r="L725" s="200" t="s">
        <v>1521</v>
      </c>
      <c r="M725" s="200"/>
      <c r="N725" s="40" t="s">
        <v>1505</v>
      </c>
      <c r="O725" s="126"/>
      <c r="P725" s="126" t="s">
        <v>1506</v>
      </c>
      <c r="Q725" s="40" t="s">
        <v>6</v>
      </c>
      <c r="R725" s="126"/>
      <c r="S725" s="126"/>
      <c r="T725" s="126" t="s">
        <v>6</v>
      </c>
      <c r="U725" s="218" t="s">
        <v>1513</v>
      </c>
      <c r="V725" s="399"/>
      <c r="W725" s="204" t="s">
        <v>163</v>
      </c>
      <c r="X725" s="217"/>
      <c r="Y725" s="126" t="s">
        <v>1506</v>
      </c>
      <c r="Z725" s="199"/>
      <c r="AA725" s="199"/>
      <c r="AB725" s="253" t="s">
        <v>835</v>
      </c>
      <c r="AC725" s="199"/>
      <c r="AD725" s="199"/>
      <c r="AE725" s="204" t="s">
        <v>163</v>
      </c>
      <c r="AF725" s="217"/>
      <c r="AG725" s="126" t="s">
        <v>1506</v>
      </c>
      <c r="AH725" s="199"/>
      <c r="AI725" s="199"/>
      <c r="AJ725" s="253" t="s">
        <v>835</v>
      </c>
      <c r="AK725" s="199"/>
      <c r="AL725" s="199"/>
      <c r="AM725" s="199"/>
      <c r="AN725" s="199"/>
      <c r="AO725" s="199"/>
      <c r="AP725" s="199"/>
      <c r="AQ725" s="199"/>
      <c r="AR725" s="199"/>
      <c r="AS725" s="199"/>
      <c r="AT725" s="199"/>
      <c r="AU725" s="199"/>
      <c r="AV725" s="199"/>
      <c r="AW725" s="155">
        <f t="shared" si="36"/>
        <v>39</v>
      </c>
    </row>
    <row r="726" spans="1:49" s="236" customFormat="1" ht="26.4">
      <c r="A726" s="40">
        <f t="shared" si="37"/>
        <v>720</v>
      </c>
      <c r="B726" s="199"/>
      <c r="C726" s="199"/>
      <c r="D726" s="199"/>
      <c r="E726" s="199"/>
      <c r="F726" s="199"/>
      <c r="G726" s="199"/>
      <c r="H726" s="199"/>
      <c r="I726" s="199"/>
      <c r="J726" s="217" t="s">
        <v>1522</v>
      </c>
      <c r="K726" s="204" t="s">
        <v>163</v>
      </c>
      <c r="L726" s="200" t="s">
        <v>1523</v>
      </c>
      <c r="M726" s="200"/>
      <c r="N726" s="40" t="s">
        <v>1505</v>
      </c>
      <c r="O726" s="126"/>
      <c r="P726" s="126" t="s">
        <v>1506</v>
      </c>
      <c r="Q726" s="40" t="s">
        <v>6</v>
      </c>
      <c r="R726" s="126"/>
      <c r="S726" s="126"/>
      <c r="T726" s="126" t="s">
        <v>6</v>
      </c>
      <c r="U726" s="218" t="s">
        <v>1114</v>
      </c>
      <c r="V726" s="399"/>
      <c r="W726" s="204" t="s">
        <v>163</v>
      </c>
      <c r="X726" s="217"/>
      <c r="Y726" s="126" t="s">
        <v>1506</v>
      </c>
      <c r="Z726" s="199"/>
      <c r="AA726" s="199"/>
      <c r="AB726" s="253" t="s">
        <v>835</v>
      </c>
      <c r="AC726" s="199"/>
      <c r="AD726" s="199"/>
      <c r="AE726" s="204" t="s">
        <v>163</v>
      </c>
      <c r="AF726" s="217"/>
      <c r="AG726" s="126" t="s">
        <v>1506</v>
      </c>
      <c r="AH726" s="199"/>
      <c r="AI726" s="199"/>
      <c r="AJ726" s="253" t="s">
        <v>835</v>
      </c>
      <c r="AK726" s="199"/>
      <c r="AL726" s="199"/>
      <c r="AM726" s="199"/>
      <c r="AN726" s="199"/>
      <c r="AO726" s="199"/>
      <c r="AP726" s="199"/>
      <c r="AQ726" s="199"/>
      <c r="AR726" s="199"/>
      <c r="AS726" s="199"/>
      <c r="AT726" s="199"/>
      <c r="AU726" s="199"/>
      <c r="AV726" s="199"/>
      <c r="AW726" s="155">
        <f t="shared" si="36"/>
        <v>41</v>
      </c>
    </row>
    <row r="727" spans="1:49" s="236" customFormat="1" ht="26.4">
      <c r="A727" s="40">
        <f t="shared" si="37"/>
        <v>721</v>
      </c>
      <c r="B727" s="199"/>
      <c r="C727" s="199"/>
      <c r="D727" s="199"/>
      <c r="E727" s="199"/>
      <c r="F727" s="199"/>
      <c r="G727" s="199"/>
      <c r="H727" s="199"/>
      <c r="I727" s="199"/>
      <c r="J727" s="217" t="s">
        <v>1524</v>
      </c>
      <c r="K727" s="204" t="s">
        <v>163</v>
      </c>
      <c r="L727" s="200" t="s">
        <v>1525</v>
      </c>
      <c r="M727" s="200"/>
      <c r="N727" s="40" t="s">
        <v>1505</v>
      </c>
      <c r="O727" s="126"/>
      <c r="P727" s="126" t="s">
        <v>1506</v>
      </c>
      <c r="Q727" s="40" t="s">
        <v>6</v>
      </c>
      <c r="R727" s="126"/>
      <c r="S727" s="126"/>
      <c r="T727" s="126" t="s">
        <v>6</v>
      </c>
      <c r="U727" s="218" t="s">
        <v>1114</v>
      </c>
      <c r="V727" s="399"/>
      <c r="W727" s="204" t="s">
        <v>163</v>
      </c>
      <c r="X727" s="217"/>
      <c r="Y727" s="126" t="s">
        <v>1506</v>
      </c>
      <c r="Z727" s="199"/>
      <c r="AA727" s="199"/>
      <c r="AB727" s="253" t="s">
        <v>835</v>
      </c>
      <c r="AC727" s="199"/>
      <c r="AD727" s="199"/>
      <c r="AE727" s="204" t="s">
        <v>163</v>
      </c>
      <c r="AF727" s="217"/>
      <c r="AG727" s="126" t="s">
        <v>1506</v>
      </c>
      <c r="AH727" s="199"/>
      <c r="AI727" s="199"/>
      <c r="AJ727" s="253" t="s">
        <v>835</v>
      </c>
      <c r="AK727" s="199"/>
      <c r="AL727" s="199"/>
      <c r="AM727" s="199"/>
      <c r="AN727" s="199"/>
      <c r="AO727" s="199"/>
      <c r="AP727" s="199"/>
      <c r="AQ727" s="199"/>
      <c r="AR727" s="199"/>
      <c r="AS727" s="199"/>
      <c r="AT727" s="199"/>
      <c r="AU727" s="199"/>
      <c r="AV727" s="199"/>
      <c r="AW727" s="155">
        <f t="shared" si="36"/>
        <v>41</v>
      </c>
    </row>
    <row r="728" spans="1:49" s="236" customFormat="1" ht="26.4">
      <c r="A728" s="40">
        <f t="shared" si="37"/>
        <v>722</v>
      </c>
      <c r="B728" s="199"/>
      <c r="C728" s="199"/>
      <c r="D728" s="199"/>
      <c r="E728" s="199"/>
      <c r="F728" s="199"/>
      <c r="G728" s="199"/>
      <c r="H728" s="199"/>
      <c r="I728" s="199"/>
      <c r="J728" s="217" t="s">
        <v>1526</v>
      </c>
      <c r="K728" s="204" t="s">
        <v>163</v>
      </c>
      <c r="L728" s="200" t="s">
        <v>1527</v>
      </c>
      <c r="M728" s="200"/>
      <c r="N728" s="40" t="s">
        <v>1505</v>
      </c>
      <c r="O728" s="126"/>
      <c r="P728" s="126" t="s">
        <v>1506</v>
      </c>
      <c r="Q728" s="40" t="s">
        <v>6</v>
      </c>
      <c r="R728" s="126"/>
      <c r="S728" s="126"/>
      <c r="T728" s="126" t="s">
        <v>6</v>
      </c>
      <c r="U728" s="218" t="s">
        <v>1114</v>
      </c>
      <c r="V728" s="399"/>
      <c r="W728" s="204" t="s">
        <v>163</v>
      </c>
      <c r="X728" s="217"/>
      <c r="Y728" s="126" t="s">
        <v>1506</v>
      </c>
      <c r="Z728" s="199"/>
      <c r="AA728" s="199"/>
      <c r="AB728" s="253" t="s">
        <v>835</v>
      </c>
      <c r="AC728" s="199"/>
      <c r="AD728" s="199"/>
      <c r="AE728" s="204" t="s">
        <v>163</v>
      </c>
      <c r="AF728" s="217"/>
      <c r="AG728" s="126" t="s">
        <v>1506</v>
      </c>
      <c r="AH728" s="199"/>
      <c r="AI728" s="199"/>
      <c r="AJ728" s="253" t="s">
        <v>835</v>
      </c>
      <c r="AK728" s="199"/>
      <c r="AL728" s="199"/>
      <c r="AM728" s="199"/>
      <c r="AN728" s="199"/>
      <c r="AO728" s="199"/>
      <c r="AP728" s="199"/>
      <c r="AQ728" s="199"/>
      <c r="AR728" s="199"/>
      <c r="AS728" s="199"/>
      <c r="AT728" s="199"/>
      <c r="AU728" s="199"/>
      <c r="AV728" s="199"/>
      <c r="AW728" s="155">
        <f t="shared" si="36"/>
        <v>41</v>
      </c>
    </row>
    <row r="729" spans="1:49" s="236" customFormat="1" ht="26.4">
      <c r="A729" s="40">
        <f t="shared" si="37"/>
        <v>723</v>
      </c>
      <c r="B729" s="199"/>
      <c r="C729" s="199"/>
      <c r="D729" s="199"/>
      <c r="E729" s="199"/>
      <c r="F729" s="199"/>
      <c r="G729" s="199"/>
      <c r="H729" s="199"/>
      <c r="I729" s="199"/>
      <c r="J729" s="217" t="s">
        <v>1528</v>
      </c>
      <c r="K729" s="204" t="s">
        <v>163</v>
      </c>
      <c r="L729" s="204" t="s">
        <v>1529</v>
      </c>
      <c r="M729" s="204"/>
      <c r="N729" s="40" t="s">
        <v>1505</v>
      </c>
      <c r="O729" s="126"/>
      <c r="P729" s="126" t="s">
        <v>1506</v>
      </c>
      <c r="Q729" s="40" t="s">
        <v>6</v>
      </c>
      <c r="R729" s="126"/>
      <c r="S729" s="126"/>
      <c r="T729" s="126" t="s">
        <v>6</v>
      </c>
      <c r="U729" s="218" t="s">
        <v>1513</v>
      </c>
      <c r="V729" s="399"/>
      <c r="W729" s="204" t="s">
        <v>163</v>
      </c>
      <c r="X729" s="217"/>
      <c r="Y729" s="126" t="s">
        <v>1506</v>
      </c>
      <c r="Z729" s="199"/>
      <c r="AA729" s="199"/>
      <c r="AB729" s="253" t="s">
        <v>835</v>
      </c>
      <c r="AC729" s="199"/>
      <c r="AD729" s="199"/>
      <c r="AE729" s="204" t="s">
        <v>163</v>
      </c>
      <c r="AF729" s="217"/>
      <c r="AG729" s="126" t="s">
        <v>1506</v>
      </c>
      <c r="AH729" s="199"/>
      <c r="AI729" s="199"/>
      <c r="AJ729" s="253" t="s">
        <v>835</v>
      </c>
      <c r="AK729" s="199"/>
      <c r="AL729" s="199"/>
      <c r="AM729" s="199"/>
      <c r="AN729" s="199"/>
      <c r="AO729" s="199"/>
      <c r="AP729" s="199"/>
      <c r="AQ729" s="199"/>
      <c r="AR729" s="199"/>
      <c r="AS729" s="199"/>
      <c r="AT729" s="199"/>
      <c r="AU729" s="199"/>
      <c r="AV729" s="199"/>
      <c r="AW729" s="155">
        <f t="shared" si="36"/>
        <v>41</v>
      </c>
    </row>
    <row r="730" spans="1:49" s="236" customFormat="1" ht="26.4">
      <c r="A730" s="40">
        <f t="shared" si="37"/>
        <v>724</v>
      </c>
      <c r="B730" s="199"/>
      <c r="C730" s="199"/>
      <c r="D730" s="199"/>
      <c r="E730" s="199"/>
      <c r="F730" s="199"/>
      <c r="G730" s="199"/>
      <c r="H730" s="199"/>
      <c r="I730" s="199"/>
      <c r="J730" s="217" t="s">
        <v>1530</v>
      </c>
      <c r="K730" s="204" t="s">
        <v>163</v>
      </c>
      <c r="L730" s="200" t="s">
        <v>1531</v>
      </c>
      <c r="M730" s="200"/>
      <c r="N730" s="40" t="s">
        <v>1505</v>
      </c>
      <c r="O730" s="126"/>
      <c r="P730" s="126" t="s">
        <v>1506</v>
      </c>
      <c r="Q730" s="40" t="s">
        <v>6</v>
      </c>
      <c r="R730" s="126"/>
      <c r="S730" s="126"/>
      <c r="T730" s="126" t="s">
        <v>6</v>
      </c>
      <c r="U730" s="218" t="s">
        <v>1114</v>
      </c>
      <c r="V730" s="399"/>
      <c r="W730" s="204" t="s">
        <v>163</v>
      </c>
      <c r="X730" s="217"/>
      <c r="Y730" s="126" t="s">
        <v>1506</v>
      </c>
      <c r="Z730" s="199"/>
      <c r="AA730" s="199"/>
      <c r="AB730" s="253" t="s">
        <v>835</v>
      </c>
      <c r="AC730" s="199"/>
      <c r="AD730" s="199"/>
      <c r="AE730" s="204" t="s">
        <v>163</v>
      </c>
      <c r="AF730" s="217"/>
      <c r="AG730" s="126" t="s">
        <v>1506</v>
      </c>
      <c r="AH730" s="199"/>
      <c r="AI730" s="199"/>
      <c r="AJ730" s="253" t="s">
        <v>835</v>
      </c>
      <c r="AK730" s="199"/>
      <c r="AL730" s="199"/>
      <c r="AM730" s="199"/>
      <c r="AN730" s="199"/>
      <c r="AO730" s="199"/>
      <c r="AP730" s="199"/>
      <c r="AQ730" s="199"/>
      <c r="AR730" s="199"/>
      <c r="AS730" s="199"/>
      <c r="AT730" s="199"/>
      <c r="AU730" s="199"/>
      <c r="AV730" s="199"/>
      <c r="AW730" s="155">
        <f t="shared" si="36"/>
        <v>39</v>
      </c>
    </row>
    <row r="731" spans="1:49" s="236" customFormat="1" ht="26.4">
      <c r="A731" s="40">
        <f t="shared" si="37"/>
        <v>725</v>
      </c>
      <c r="B731" s="199"/>
      <c r="C731" s="199"/>
      <c r="D731" s="199"/>
      <c r="E731" s="199"/>
      <c r="F731" s="199"/>
      <c r="G731" s="199"/>
      <c r="H731" s="199"/>
      <c r="I731" s="199"/>
      <c r="J731" s="217" t="s">
        <v>1532</v>
      </c>
      <c r="K731" s="204" t="s">
        <v>163</v>
      </c>
      <c r="L731" s="200" t="s">
        <v>1533</v>
      </c>
      <c r="M731" s="200"/>
      <c r="N731" s="40" t="s">
        <v>1505</v>
      </c>
      <c r="O731" s="126"/>
      <c r="P731" s="126" t="s">
        <v>1506</v>
      </c>
      <c r="Q731" s="40" t="s">
        <v>6</v>
      </c>
      <c r="R731" s="126"/>
      <c r="S731" s="126"/>
      <c r="T731" s="126" t="s">
        <v>6</v>
      </c>
      <c r="U731" s="218" t="s">
        <v>1114</v>
      </c>
      <c r="V731" s="399"/>
      <c r="W731" s="204" t="s">
        <v>163</v>
      </c>
      <c r="X731" s="217"/>
      <c r="Y731" s="126" t="s">
        <v>1506</v>
      </c>
      <c r="Z731" s="199"/>
      <c r="AA731" s="199"/>
      <c r="AB731" s="253" t="s">
        <v>835</v>
      </c>
      <c r="AC731" s="199"/>
      <c r="AD731" s="199"/>
      <c r="AE731" s="204" t="s">
        <v>163</v>
      </c>
      <c r="AF731" s="217"/>
      <c r="AG731" s="126" t="s">
        <v>1506</v>
      </c>
      <c r="AH731" s="199"/>
      <c r="AI731" s="199"/>
      <c r="AJ731" s="253" t="s">
        <v>835</v>
      </c>
      <c r="AK731" s="199"/>
      <c r="AL731" s="199"/>
      <c r="AM731" s="199"/>
      <c r="AN731" s="199"/>
      <c r="AO731" s="199"/>
      <c r="AP731" s="199"/>
      <c r="AQ731" s="199"/>
      <c r="AR731" s="199"/>
      <c r="AS731" s="199"/>
      <c r="AT731" s="199"/>
      <c r="AU731" s="199"/>
      <c r="AV731" s="199"/>
      <c r="AW731" s="155">
        <f t="shared" si="36"/>
        <v>39</v>
      </c>
    </row>
    <row r="732" spans="1:49" s="236" customFormat="1" ht="26.4">
      <c r="A732" s="40">
        <f t="shared" si="37"/>
        <v>726</v>
      </c>
      <c r="B732" s="199"/>
      <c r="C732" s="199"/>
      <c r="D732" s="199"/>
      <c r="E732" s="199"/>
      <c r="F732" s="199"/>
      <c r="G732" s="199"/>
      <c r="H732" s="199"/>
      <c r="I732" s="199"/>
      <c r="J732" s="217" t="s">
        <v>1534</v>
      </c>
      <c r="K732" s="204" t="s">
        <v>163</v>
      </c>
      <c r="L732" s="200" t="s">
        <v>1535</v>
      </c>
      <c r="M732" s="200"/>
      <c r="N732" s="40" t="s">
        <v>1505</v>
      </c>
      <c r="O732" s="126"/>
      <c r="P732" s="126" t="s">
        <v>1506</v>
      </c>
      <c r="Q732" s="40" t="s">
        <v>6</v>
      </c>
      <c r="R732" s="126"/>
      <c r="S732" s="126"/>
      <c r="T732" s="126" t="s">
        <v>6</v>
      </c>
      <c r="U732" s="218" t="s">
        <v>1114</v>
      </c>
      <c r="V732" s="399"/>
      <c r="W732" s="204" t="s">
        <v>163</v>
      </c>
      <c r="X732" s="217"/>
      <c r="Y732" s="126" t="s">
        <v>1506</v>
      </c>
      <c r="Z732" s="199"/>
      <c r="AA732" s="199"/>
      <c r="AB732" s="253" t="s">
        <v>835</v>
      </c>
      <c r="AC732" s="199"/>
      <c r="AD732" s="199"/>
      <c r="AE732" s="204" t="s">
        <v>163</v>
      </c>
      <c r="AF732" s="217"/>
      <c r="AG732" s="126" t="s">
        <v>1506</v>
      </c>
      <c r="AH732" s="199"/>
      <c r="AI732" s="199"/>
      <c r="AJ732" s="253" t="s">
        <v>835</v>
      </c>
      <c r="AK732" s="199"/>
      <c r="AL732" s="199"/>
      <c r="AM732" s="199"/>
      <c r="AN732" s="199"/>
      <c r="AO732" s="199"/>
      <c r="AP732" s="199"/>
      <c r="AQ732" s="199"/>
      <c r="AR732" s="199"/>
      <c r="AS732" s="199"/>
      <c r="AT732" s="199"/>
      <c r="AU732" s="199"/>
      <c r="AV732" s="199"/>
      <c r="AW732" s="155">
        <f t="shared" si="36"/>
        <v>39</v>
      </c>
    </row>
    <row r="733" spans="1:49" s="236" customFormat="1" ht="26.4">
      <c r="A733" s="40">
        <f t="shared" si="37"/>
        <v>727</v>
      </c>
      <c r="B733" s="199"/>
      <c r="C733" s="199"/>
      <c r="D733" s="199"/>
      <c r="E733" s="199"/>
      <c r="F733" s="199"/>
      <c r="G733" s="199"/>
      <c r="H733" s="199"/>
      <c r="I733" s="199"/>
      <c r="J733" s="217" t="s">
        <v>1536</v>
      </c>
      <c r="K733" s="204" t="s">
        <v>163</v>
      </c>
      <c r="L733" s="200" t="s">
        <v>1537</v>
      </c>
      <c r="M733" s="200"/>
      <c r="N733" s="40" t="s">
        <v>1505</v>
      </c>
      <c r="O733" s="126"/>
      <c r="P733" s="126" t="s">
        <v>1506</v>
      </c>
      <c r="Q733" s="40" t="s">
        <v>6</v>
      </c>
      <c r="R733" s="126"/>
      <c r="S733" s="126"/>
      <c r="T733" s="126" t="s">
        <v>6</v>
      </c>
      <c r="U733" s="218" t="s">
        <v>1538</v>
      </c>
      <c r="V733" s="399"/>
      <c r="W733" s="204" t="s">
        <v>163</v>
      </c>
      <c r="X733" s="217"/>
      <c r="Y733" s="126" t="s">
        <v>1506</v>
      </c>
      <c r="Z733" s="199"/>
      <c r="AA733" s="199"/>
      <c r="AB733" s="253" t="s">
        <v>835</v>
      </c>
      <c r="AC733" s="199"/>
      <c r="AD733" s="199"/>
      <c r="AE733" s="204" t="s">
        <v>163</v>
      </c>
      <c r="AF733" s="217"/>
      <c r="AG733" s="126" t="s">
        <v>1506</v>
      </c>
      <c r="AH733" s="199"/>
      <c r="AI733" s="199"/>
      <c r="AJ733" s="253" t="s">
        <v>835</v>
      </c>
      <c r="AK733" s="199"/>
      <c r="AL733" s="199"/>
      <c r="AM733" s="199"/>
      <c r="AN733" s="199"/>
      <c r="AO733" s="199"/>
      <c r="AP733" s="199"/>
      <c r="AQ733" s="199"/>
      <c r="AR733" s="199"/>
      <c r="AS733" s="199"/>
      <c r="AT733" s="199"/>
      <c r="AU733" s="199"/>
      <c r="AV733" s="199"/>
      <c r="AW733" s="155">
        <f t="shared" si="36"/>
        <v>40</v>
      </c>
    </row>
    <row r="734" spans="1:49" s="236" customFormat="1" ht="26.4">
      <c r="A734" s="40">
        <f t="shared" si="37"/>
        <v>728</v>
      </c>
      <c r="B734" s="199"/>
      <c r="C734" s="199"/>
      <c r="D734" s="199"/>
      <c r="E734" s="199"/>
      <c r="F734" s="199"/>
      <c r="G734" s="199"/>
      <c r="H734" s="199"/>
      <c r="I734" s="199"/>
      <c r="J734" s="217" t="s">
        <v>1539</v>
      </c>
      <c r="K734" s="204" t="s">
        <v>163</v>
      </c>
      <c r="L734" s="200" t="s">
        <v>1540</v>
      </c>
      <c r="M734" s="200"/>
      <c r="N734" s="40" t="s">
        <v>1541</v>
      </c>
      <c r="O734" s="126"/>
      <c r="P734" s="126"/>
      <c r="Q734" s="40" t="s">
        <v>6</v>
      </c>
      <c r="R734" s="126"/>
      <c r="S734" s="126"/>
      <c r="T734" s="126" t="s">
        <v>6</v>
      </c>
      <c r="U734" s="218" t="s">
        <v>1114</v>
      </c>
      <c r="V734" s="204"/>
      <c r="W734" s="204" t="s">
        <v>163</v>
      </c>
      <c r="X734" s="199"/>
      <c r="Y734" s="199"/>
      <c r="Z734" s="199"/>
      <c r="AA734" s="199"/>
      <c r="AB734" s="253" t="s">
        <v>835</v>
      </c>
      <c r="AC734" s="199"/>
      <c r="AD734" s="199"/>
      <c r="AE734" s="204" t="s">
        <v>163</v>
      </c>
      <c r="AF734" s="199"/>
      <c r="AG734" s="199"/>
      <c r="AH734" s="199"/>
      <c r="AI734" s="199"/>
      <c r="AJ734" s="253" t="s">
        <v>835</v>
      </c>
      <c r="AK734" s="199"/>
      <c r="AL734" s="199"/>
      <c r="AM734" s="199" t="s">
        <v>1542</v>
      </c>
      <c r="AN734" s="199"/>
      <c r="AO734" s="199"/>
      <c r="AP734" s="199"/>
      <c r="AQ734" s="199"/>
      <c r="AR734" s="199"/>
      <c r="AS734" s="199"/>
      <c r="AT734" s="199"/>
      <c r="AU734" s="199"/>
      <c r="AV734" s="199"/>
      <c r="AW734" s="155">
        <f t="shared" si="36"/>
        <v>30</v>
      </c>
    </row>
    <row r="735" spans="1:49" s="236" customFormat="1" ht="26.4">
      <c r="A735" s="40">
        <f t="shared" si="37"/>
        <v>729</v>
      </c>
      <c r="B735" s="199"/>
      <c r="C735" s="199"/>
      <c r="D735" s="199"/>
      <c r="E735" s="199"/>
      <c r="F735" s="199"/>
      <c r="G735" s="199"/>
      <c r="H735" s="199"/>
      <c r="I735" s="199"/>
      <c r="J735" s="217" t="s">
        <v>1543</v>
      </c>
      <c r="K735" s="204" t="s">
        <v>163</v>
      </c>
      <c r="L735" s="200" t="s">
        <v>1544</v>
      </c>
      <c r="M735" s="200"/>
      <c r="N735" s="40" t="s">
        <v>1541</v>
      </c>
      <c r="O735" s="126"/>
      <c r="P735" s="126"/>
      <c r="Q735" s="40" t="s">
        <v>6</v>
      </c>
      <c r="R735" s="126"/>
      <c r="S735" s="126"/>
      <c r="T735" s="126" t="s">
        <v>6</v>
      </c>
      <c r="U735" s="218" t="s">
        <v>1114</v>
      </c>
      <c r="V735" s="204"/>
      <c r="W735" s="204" t="s">
        <v>163</v>
      </c>
      <c r="X735" s="199"/>
      <c r="Y735" s="199"/>
      <c r="Z735" s="199"/>
      <c r="AA735" s="199"/>
      <c r="AB735" s="198"/>
      <c r="AC735" s="199"/>
      <c r="AD735" s="199"/>
      <c r="AE735" s="204" t="s">
        <v>163</v>
      </c>
      <c r="AF735" s="199"/>
      <c r="AG735" s="199"/>
      <c r="AH735" s="199"/>
      <c r="AI735" s="199"/>
      <c r="AJ735" s="198"/>
      <c r="AK735" s="199"/>
      <c r="AL735" s="199"/>
      <c r="AM735" s="199" t="s">
        <v>1542</v>
      </c>
      <c r="AN735" s="199"/>
      <c r="AO735" s="199"/>
      <c r="AP735" s="199"/>
      <c r="AQ735" s="199"/>
      <c r="AR735" s="199"/>
      <c r="AS735" s="199"/>
      <c r="AT735" s="199"/>
      <c r="AU735" s="199"/>
      <c r="AV735" s="199"/>
      <c r="AW735" s="155">
        <f t="shared" si="36"/>
        <v>30</v>
      </c>
    </row>
    <row r="736" spans="1:49" s="236" customFormat="1" ht="26.4">
      <c r="A736" s="40">
        <f t="shared" si="37"/>
        <v>730</v>
      </c>
      <c r="B736" s="199"/>
      <c r="C736" s="199"/>
      <c r="D736" s="199"/>
      <c r="E736" s="199"/>
      <c r="F736" s="199"/>
      <c r="G736" s="199"/>
      <c r="H736" s="199"/>
      <c r="I736" s="199"/>
      <c r="J736" s="217" t="s">
        <v>1545</v>
      </c>
      <c r="K736" s="204" t="s">
        <v>163</v>
      </c>
      <c r="L736" s="200" t="s">
        <v>1546</v>
      </c>
      <c r="M736" s="200"/>
      <c r="N736" s="40" t="s">
        <v>1541</v>
      </c>
      <c r="O736" s="126"/>
      <c r="P736" s="126"/>
      <c r="Q736" s="40" t="s">
        <v>6</v>
      </c>
      <c r="R736" s="126"/>
      <c r="S736" s="126"/>
      <c r="T736" s="126" t="s">
        <v>6</v>
      </c>
      <c r="U736" s="218" t="s">
        <v>1114</v>
      </c>
      <c r="V736" s="204"/>
      <c r="W736" s="204" t="s">
        <v>163</v>
      </c>
      <c r="X736" s="199"/>
      <c r="Y736" s="199"/>
      <c r="Z736" s="199"/>
      <c r="AA736" s="199"/>
      <c r="AB736" s="253" t="s">
        <v>835</v>
      </c>
      <c r="AC736" s="199"/>
      <c r="AD736" s="199"/>
      <c r="AE736" s="204" t="s">
        <v>163</v>
      </c>
      <c r="AF736" s="199"/>
      <c r="AG736" s="199"/>
      <c r="AH736" s="199"/>
      <c r="AI736" s="199"/>
      <c r="AJ736" s="253" t="s">
        <v>835</v>
      </c>
      <c r="AK736" s="199"/>
      <c r="AL736" s="199"/>
      <c r="AM736" s="199" t="s">
        <v>1542</v>
      </c>
      <c r="AN736" s="199"/>
      <c r="AO736" s="199"/>
      <c r="AP736" s="199"/>
      <c r="AQ736" s="199"/>
      <c r="AR736" s="199"/>
      <c r="AS736" s="199"/>
      <c r="AT736" s="199"/>
      <c r="AU736" s="199"/>
      <c r="AV736" s="199"/>
      <c r="AW736" s="155">
        <f t="shared" si="36"/>
        <v>30</v>
      </c>
    </row>
    <row r="737" spans="1:49" s="236" customFormat="1" ht="26.4">
      <c r="A737" s="40">
        <f t="shared" si="37"/>
        <v>731</v>
      </c>
      <c r="B737" s="199"/>
      <c r="C737" s="199"/>
      <c r="D737" s="199"/>
      <c r="E737" s="199"/>
      <c r="F737" s="199"/>
      <c r="G737" s="199"/>
      <c r="H737" s="199"/>
      <c r="I737" s="199"/>
      <c r="J737" s="199" t="s">
        <v>1547</v>
      </c>
      <c r="K737" s="204" t="s">
        <v>163</v>
      </c>
      <c r="L737" s="200" t="s">
        <v>1548</v>
      </c>
      <c r="M737" s="200"/>
      <c r="N737" s="40" t="s">
        <v>1541</v>
      </c>
      <c r="O737" s="126"/>
      <c r="P737" s="126"/>
      <c r="Q737" s="40" t="s">
        <v>6</v>
      </c>
      <c r="R737" s="126"/>
      <c r="S737" s="126"/>
      <c r="T737" s="126" t="s">
        <v>6</v>
      </c>
      <c r="U737" s="218" t="s">
        <v>1513</v>
      </c>
      <c r="V737" s="412"/>
      <c r="W737" s="204" t="s">
        <v>163</v>
      </c>
      <c r="X737" s="199"/>
      <c r="Y737" s="199"/>
      <c r="Z737" s="199"/>
      <c r="AA737" s="199"/>
      <c r="AB737" s="198"/>
      <c r="AC737" s="199"/>
      <c r="AD737" s="199"/>
      <c r="AE737" s="204" t="s">
        <v>163</v>
      </c>
      <c r="AF737" s="199"/>
      <c r="AG737" s="199"/>
      <c r="AH737" s="199"/>
      <c r="AI737" s="199"/>
      <c r="AJ737" s="198"/>
      <c r="AK737" s="199"/>
      <c r="AL737" s="199"/>
      <c r="AM737" s="199" t="s">
        <v>1542</v>
      </c>
      <c r="AN737" s="199"/>
      <c r="AO737" s="199"/>
      <c r="AP737" s="199"/>
      <c r="AQ737" s="199"/>
      <c r="AR737" s="199"/>
      <c r="AS737" s="199"/>
      <c r="AT737" s="199"/>
      <c r="AU737" s="199"/>
      <c r="AV737" s="199"/>
      <c r="AW737" s="155">
        <f t="shared" si="36"/>
        <v>23</v>
      </c>
    </row>
    <row r="738" spans="1:49" s="236" customFormat="1" ht="39.6">
      <c r="A738" s="40">
        <f t="shared" si="37"/>
        <v>732</v>
      </c>
      <c r="B738" s="199"/>
      <c r="C738" s="199"/>
      <c r="D738" s="199"/>
      <c r="E738" s="199"/>
      <c r="F738" s="199"/>
      <c r="G738" s="199"/>
      <c r="H738" s="199"/>
      <c r="I738" s="199"/>
      <c r="J738" s="217" t="s">
        <v>4806</v>
      </c>
      <c r="K738" s="204" t="s">
        <v>163</v>
      </c>
      <c r="L738" s="200" t="s">
        <v>4807</v>
      </c>
      <c r="M738" s="351"/>
      <c r="N738" s="40" t="s">
        <v>1502</v>
      </c>
      <c r="O738" s="40"/>
      <c r="P738" s="40" t="s">
        <v>833</v>
      </c>
      <c r="Q738" s="40" t="s">
        <v>6</v>
      </c>
      <c r="R738" s="40"/>
      <c r="S738" s="40"/>
      <c r="T738" s="40"/>
      <c r="U738" s="204" t="s">
        <v>1453</v>
      </c>
      <c r="V738" s="204"/>
      <c r="W738" s="204" t="s">
        <v>163</v>
      </c>
      <c r="X738" s="217"/>
      <c r="Y738" s="40" t="s">
        <v>833</v>
      </c>
      <c r="Z738" s="199"/>
      <c r="AA738" s="199"/>
      <c r="AB738" s="253" t="s">
        <v>4808</v>
      </c>
      <c r="AC738" s="199"/>
      <c r="AD738" s="199"/>
      <c r="AE738" s="204" t="s">
        <v>163</v>
      </c>
      <c r="AF738" s="217"/>
      <c r="AG738" s="40" t="s">
        <v>833</v>
      </c>
      <c r="AH738" s="199"/>
      <c r="AI738" s="199"/>
      <c r="AJ738" s="253" t="s">
        <v>4808</v>
      </c>
      <c r="AK738" s="199"/>
      <c r="AL738" s="199"/>
      <c r="AM738" s="199"/>
      <c r="AN738" s="199"/>
      <c r="AO738" s="199"/>
      <c r="AP738" s="199"/>
      <c r="AQ738" s="199"/>
      <c r="AR738" s="199"/>
      <c r="AS738" s="199"/>
      <c r="AT738" s="199"/>
      <c r="AU738" s="199"/>
      <c r="AV738" s="199"/>
      <c r="AW738" s="155"/>
    </row>
    <row r="739" spans="1:49" s="236" customFormat="1" ht="39.6">
      <c r="A739" s="40">
        <f t="shared" si="37"/>
        <v>733</v>
      </c>
      <c r="B739" s="199"/>
      <c r="C739" s="199"/>
      <c r="D739" s="199"/>
      <c r="E739" s="199"/>
      <c r="F739" s="199"/>
      <c r="G739" s="199"/>
      <c r="H739" s="199"/>
      <c r="I739" s="199"/>
      <c r="J739" s="217" t="s">
        <v>4809</v>
      </c>
      <c r="K739" s="204" t="s">
        <v>163</v>
      </c>
      <c r="L739" s="204" t="s">
        <v>4810</v>
      </c>
      <c r="M739" s="351"/>
      <c r="N739" s="40" t="s">
        <v>1502</v>
      </c>
      <c r="O739" s="40"/>
      <c r="P739" s="40" t="s">
        <v>833</v>
      </c>
      <c r="Q739" s="40" t="s">
        <v>6</v>
      </c>
      <c r="R739" s="40"/>
      <c r="S739" s="40"/>
      <c r="T739" s="40"/>
      <c r="U739" s="204" t="s">
        <v>1453</v>
      </c>
      <c r="V739" s="204"/>
      <c r="W739" s="204" t="s">
        <v>163</v>
      </c>
      <c r="X739" s="199"/>
      <c r="Y739" s="40" t="s">
        <v>833</v>
      </c>
      <c r="Z739" s="199"/>
      <c r="AA739" s="199"/>
      <c r="AB739" s="253" t="s">
        <v>4808</v>
      </c>
      <c r="AC739" s="199"/>
      <c r="AD739" s="199"/>
      <c r="AE739" s="204" t="s">
        <v>163</v>
      </c>
      <c r="AF739" s="199"/>
      <c r="AG739" s="40" t="s">
        <v>833</v>
      </c>
      <c r="AH739" s="199"/>
      <c r="AI739" s="199"/>
      <c r="AJ739" s="253" t="s">
        <v>4808</v>
      </c>
      <c r="AK739" s="199"/>
      <c r="AL739" s="199"/>
      <c r="AM739" s="199"/>
      <c r="AN739" s="199"/>
      <c r="AO739" s="199"/>
      <c r="AP739" s="199"/>
      <c r="AQ739" s="199"/>
      <c r="AR739" s="199"/>
      <c r="AS739" s="199"/>
      <c r="AT739" s="199"/>
      <c r="AU739" s="199"/>
      <c r="AV739" s="199"/>
      <c r="AW739" s="155"/>
    </row>
    <row r="740" spans="1:49" ht="15">
      <c r="A740" s="451">
        <f t="shared" si="37"/>
        <v>734</v>
      </c>
      <c r="B740" s="125"/>
      <c r="C740" s="125"/>
      <c r="D740" s="125"/>
      <c r="E740" s="125"/>
      <c r="F740" s="125"/>
      <c r="G740" s="125"/>
      <c r="H740" s="125"/>
      <c r="I740" s="125"/>
      <c r="J740" s="465" t="s">
        <v>858</v>
      </c>
      <c r="K740" s="143"/>
      <c r="L740" s="143"/>
      <c r="M740" s="143"/>
      <c r="N740" s="139"/>
      <c r="O740" s="139"/>
      <c r="P740" s="139"/>
      <c r="Q740" s="139"/>
      <c r="R740" s="139"/>
      <c r="S740" s="139"/>
      <c r="T740" s="139"/>
      <c r="U740" s="354"/>
      <c r="V740" s="354"/>
      <c r="W740" s="143"/>
      <c r="X740" s="143"/>
      <c r="Y740" s="143"/>
      <c r="Z740" s="143"/>
      <c r="AA740" s="143"/>
      <c r="AB740" s="355"/>
      <c r="AC740" s="143"/>
      <c r="AD740" s="143"/>
      <c r="AE740" s="143"/>
      <c r="AF740" s="143"/>
      <c r="AG740" s="143"/>
      <c r="AH740" s="143"/>
      <c r="AI740" s="143"/>
      <c r="AJ740" s="355"/>
      <c r="AK740" s="143"/>
      <c r="AL740" s="143"/>
      <c r="AM740" s="143"/>
      <c r="AN740" s="143"/>
      <c r="AO740" s="143"/>
      <c r="AP740" s="143"/>
      <c r="AQ740" s="143"/>
      <c r="AR740" s="143"/>
      <c r="AS740" s="143"/>
      <c r="AT740" s="143"/>
      <c r="AU740" s="143"/>
      <c r="AV740" s="143"/>
      <c r="AW740" s="155">
        <f t="shared" si="36"/>
        <v>0</v>
      </c>
    </row>
    <row r="741" spans="1:49" s="236" customFormat="1" ht="15">
      <c r="A741" s="40">
        <f t="shared" si="37"/>
        <v>735</v>
      </c>
      <c r="B741" s="199"/>
      <c r="C741" s="199"/>
      <c r="D741" s="199"/>
      <c r="E741" s="199"/>
      <c r="F741" s="199"/>
      <c r="G741" s="199"/>
      <c r="H741" s="199"/>
      <c r="I741" s="199"/>
      <c r="J741" s="215" t="s">
        <v>1224</v>
      </c>
      <c r="K741" s="204"/>
      <c r="L741" s="253" t="s">
        <v>1550</v>
      </c>
      <c r="M741" s="253"/>
      <c r="N741" s="126" t="s">
        <v>256</v>
      </c>
      <c r="O741" s="40" t="s">
        <v>862</v>
      </c>
      <c r="P741" s="40"/>
      <c r="Q741" s="40" t="s">
        <v>6</v>
      </c>
      <c r="R741" s="40"/>
      <c r="S741" s="40"/>
      <c r="T741" s="126" t="s">
        <v>6</v>
      </c>
      <c r="U741" s="215"/>
      <c r="V741" s="204"/>
      <c r="W741" s="204"/>
      <c r="X741" s="40" t="s">
        <v>862</v>
      </c>
      <c r="Y741" s="40"/>
      <c r="Z741" s="199"/>
      <c r="AA741" s="199"/>
      <c r="AB741" s="198"/>
      <c r="AC741" s="199"/>
      <c r="AD741" s="199"/>
      <c r="AE741" s="204"/>
      <c r="AF741" s="40" t="s">
        <v>862</v>
      </c>
      <c r="AG741" s="40"/>
      <c r="AH741" s="199"/>
      <c r="AI741" s="199"/>
      <c r="AJ741" s="198"/>
      <c r="AK741" s="199"/>
      <c r="AL741" s="199"/>
      <c r="AM741" s="199"/>
      <c r="AN741" s="199"/>
      <c r="AO741" s="199"/>
      <c r="AP741" s="199"/>
      <c r="AQ741" s="199"/>
      <c r="AR741" s="199"/>
      <c r="AS741" s="199"/>
      <c r="AT741" s="199"/>
      <c r="AU741" s="199"/>
      <c r="AV741" s="199"/>
      <c r="AW741" s="155">
        <f t="shared" si="36"/>
        <v>30</v>
      </c>
    </row>
    <row r="742" spans="1:49" s="236" customFormat="1" ht="26.4">
      <c r="A742" s="40">
        <f t="shared" si="37"/>
        <v>736</v>
      </c>
      <c r="B742" s="199"/>
      <c r="C742" s="199"/>
      <c r="D742" s="199"/>
      <c r="E742" s="199"/>
      <c r="F742" s="199"/>
      <c r="G742" s="199"/>
      <c r="H742" s="199"/>
      <c r="I742" s="199"/>
      <c r="J742" s="215" t="s">
        <v>1551</v>
      </c>
      <c r="K742" s="204"/>
      <c r="L742" s="253" t="s">
        <v>1550</v>
      </c>
      <c r="M742" s="253"/>
      <c r="N742" s="126" t="s">
        <v>256</v>
      </c>
      <c r="O742" s="40" t="s">
        <v>862</v>
      </c>
      <c r="P742" s="40"/>
      <c r="Q742" s="40"/>
      <c r="R742" s="40"/>
      <c r="S742" s="40"/>
      <c r="T742" s="126" t="s">
        <v>6</v>
      </c>
      <c r="U742" s="215" t="s">
        <v>3498</v>
      </c>
      <c r="V742" s="204"/>
      <c r="W742" s="204"/>
      <c r="X742" s="40" t="s">
        <v>862</v>
      </c>
      <c r="Y742" s="40"/>
      <c r="Z742" s="199"/>
      <c r="AA742" s="199"/>
      <c r="AB742" s="198"/>
      <c r="AC742" s="199"/>
      <c r="AD742" s="199"/>
      <c r="AE742" s="204"/>
      <c r="AF742" s="40" t="s">
        <v>862</v>
      </c>
      <c r="AG742" s="40"/>
      <c r="AH742" s="199"/>
      <c r="AI742" s="199"/>
      <c r="AJ742" s="198"/>
      <c r="AK742" s="199"/>
      <c r="AL742" s="199"/>
      <c r="AM742" s="199"/>
      <c r="AN742" s="199"/>
      <c r="AO742" s="199"/>
      <c r="AP742" s="199"/>
      <c r="AQ742" s="199"/>
      <c r="AR742" s="199"/>
      <c r="AS742" s="199"/>
      <c r="AT742" s="199"/>
      <c r="AU742" s="199"/>
      <c r="AV742" s="199"/>
      <c r="AW742" s="155">
        <f t="shared" ref="AW742" si="38">LEN(L742)</f>
        <v>30</v>
      </c>
    </row>
    <row r="743" spans="1:49" s="236" customFormat="1" ht="45" customHeight="1">
      <c r="A743" s="40">
        <f t="shared" si="37"/>
        <v>737</v>
      </c>
      <c r="B743" s="199"/>
      <c r="C743" s="199"/>
      <c r="D743" s="199"/>
      <c r="E743" s="199"/>
      <c r="F743" s="199"/>
      <c r="G743" s="199"/>
      <c r="H743" s="199"/>
      <c r="I743" s="199"/>
      <c r="J743" s="215" t="s">
        <v>1552</v>
      </c>
      <c r="K743" s="204"/>
      <c r="L743" s="253" t="s">
        <v>1553</v>
      </c>
      <c r="M743" s="253"/>
      <c r="N743" s="126" t="s">
        <v>248</v>
      </c>
      <c r="O743" s="40" t="s">
        <v>861</v>
      </c>
      <c r="P743" s="40"/>
      <c r="Q743" s="40" t="s">
        <v>6</v>
      </c>
      <c r="R743" s="40"/>
      <c r="S743" s="40"/>
      <c r="T743" s="126" t="s">
        <v>6</v>
      </c>
      <c r="U743" s="204" t="s">
        <v>1554</v>
      </c>
      <c r="V743" s="204"/>
      <c r="W743" s="204"/>
      <c r="X743" s="40" t="s">
        <v>861</v>
      </c>
      <c r="Y743" s="40"/>
      <c r="Z743" s="199"/>
      <c r="AA743" s="199"/>
      <c r="AB743" s="198"/>
      <c r="AC743" s="199"/>
      <c r="AD743" s="199"/>
      <c r="AE743" s="204"/>
      <c r="AF743" s="40" t="s">
        <v>861</v>
      </c>
      <c r="AG743" s="40"/>
      <c r="AH743" s="199"/>
      <c r="AI743" s="199"/>
      <c r="AJ743" s="198"/>
      <c r="AK743" s="199"/>
      <c r="AL743" s="199"/>
      <c r="AM743" s="199"/>
      <c r="AN743" s="199"/>
      <c r="AO743" s="199"/>
      <c r="AP743" s="199"/>
      <c r="AQ743" s="199"/>
      <c r="AR743" s="199"/>
      <c r="AS743" s="199"/>
      <c r="AT743" s="199"/>
      <c r="AU743" s="199"/>
      <c r="AV743" s="199"/>
      <c r="AW743" s="155">
        <f t="shared" si="36"/>
        <v>25</v>
      </c>
    </row>
    <row r="744" spans="1:49" s="236" customFormat="1" ht="26.4">
      <c r="A744" s="40">
        <f t="shared" si="37"/>
        <v>738</v>
      </c>
      <c r="B744" s="199"/>
      <c r="C744" s="199"/>
      <c r="D744" s="199"/>
      <c r="E744" s="199"/>
      <c r="F744" s="199"/>
      <c r="G744" s="199"/>
      <c r="H744" s="199"/>
      <c r="I744" s="199"/>
      <c r="J744" s="215" t="s">
        <v>1555</v>
      </c>
      <c r="K744" s="204"/>
      <c r="L744" s="253" t="s">
        <v>1553</v>
      </c>
      <c r="M744" s="253"/>
      <c r="N744" s="126" t="s">
        <v>248</v>
      </c>
      <c r="O744" s="40" t="s">
        <v>861</v>
      </c>
      <c r="P744" s="40"/>
      <c r="Q744" s="40" t="s">
        <v>6</v>
      </c>
      <c r="R744" s="40"/>
      <c r="S744" s="40"/>
      <c r="T744" s="126" t="s">
        <v>6</v>
      </c>
      <c r="U744" s="218" t="s">
        <v>1114</v>
      </c>
      <c r="V744" s="204"/>
      <c r="W744" s="204"/>
      <c r="X744" s="40" t="s">
        <v>861</v>
      </c>
      <c r="Y744" s="40"/>
      <c r="Z744" s="199"/>
      <c r="AA744" s="199"/>
      <c r="AB744" s="198"/>
      <c r="AC744" s="199"/>
      <c r="AD744" s="199"/>
      <c r="AE744" s="204"/>
      <c r="AF744" s="40" t="s">
        <v>861</v>
      </c>
      <c r="AG744" s="40"/>
      <c r="AH744" s="199"/>
      <c r="AI744" s="199"/>
      <c r="AJ744" s="198"/>
      <c r="AK744" s="199"/>
      <c r="AL744" s="199"/>
      <c r="AM744" s="199"/>
      <c r="AN744" s="199"/>
      <c r="AO744" s="199"/>
      <c r="AP744" s="199"/>
      <c r="AQ744" s="199"/>
      <c r="AR744" s="199"/>
      <c r="AS744" s="199"/>
      <c r="AT744" s="199"/>
      <c r="AU744" s="199"/>
      <c r="AV744" s="199"/>
      <c r="AW744" s="155">
        <f t="shared" ref="AW744" si="39">LEN(L744)</f>
        <v>25</v>
      </c>
    </row>
    <row r="745" spans="1:49" s="236" customFormat="1" ht="26.4">
      <c r="A745" s="40">
        <f t="shared" si="37"/>
        <v>739</v>
      </c>
      <c r="B745" s="199"/>
      <c r="C745" s="199"/>
      <c r="D745" s="199"/>
      <c r="E745" s="199"/>
      <c r="F745" s="199"/>
      <c r="G745" s="199"/>
      <c r="H745" s="199"/>
      <c r="I745" s="199"/>
      <c r="J745" s="215" t="s">
        <v>1556</v>
      </c>
      <c r="K745" s="204"/>
      <c r="L745" s="253" t="s">
        <v>1553</v>
      </c>
      <c r="M745" s="253"/>
      <c r="N745" s="126" t="s">
        <v>248</v>
      </c>
      <c r="O745" s="40" t="s">
        <v>861</v>
      </c>
      <c r="P745" s="40"/>
      <c r="Q745" s="40" t="s">
        <v>6</v>
      </c>
      <c r="R745" s="40"/>
      <c r="S745" s="40"/>
      <c r="T745" s="126" t="s">
        <v>6</v>
      </c>
      <c r="U745" s="218" t="s">
        <v>1114</v>
      </c>
      <c r="V745" s="204"/>
      <c r="W745" s="204"/>
      <c r="X745" s="40" t="s">
        <v>861</v>
      </c>
      <c r="Y745" s="40"/>
      <c r="Z745" s="199"/>
      <c r="AA745" s="199"/>
      <c r="AB745" s="198"/>
      <c r="AC745" s="199"/>
      <c r="AD745" s="199"/>
      <c r="AE745" s="204"/>
      <c r="AF745" s="40" t="s">
        <v>861</v>
      </c>
      <c r="AG745" s="40"/>
      <c r="AH745" s="199"/>
      <c r="AI745" s="199"/>
      <c r="AJ745" s="198"/>
      <c r="AK745" s="199"/>
      <c r="AL745" s="199"/>
      <c r="AM745" s="199"/>
      <c r="AN745" s="199"/>
      <c r="AO745" s="199"/>
      <c r="AP745" s="199"/>
      <c r="AQ745" s="199"/>
      <c r="AR745" s="199"/>
      <c r="AS745" s="199"/>
      <c r="AT745" s="199"/>
      <c r="AU745" s="199"/>
      <c r="AV745" s="199"/>
      <c r="AW745" s="155">
        <f t="shared" ref="AW745" si="40">LEN(L745)</f>
        <v>25</v>
      </c>
    </row>
    <row r="746" spans="1:49" s="236" customFormat="1" ht="26.4">
      <c r="A746" s="40">
        <f t="shared" si="37"/>
        <v>740</v>
      </c>
      <c r="B746" s="199"/>
      <c r="C746" s="199"/>
      <c r="D746" s="199"/>
      <c r="E746" s="199"/>
      <c r="F746" s="199"/>
      <c r="G746" s="199"/>
      <c r="H746" s="199"/>
      <c r="I746" s="199"/>
      <c r="J746" s="215" t="s">
        <v>1557</v>
      </c>
      <c r="K746" s="204"/>
      <c r="L746" s="253" t="s">
        <v>1553</v>
      </c>
      <c r="M746" s="253"/>
      <c r="N746" s="40" t="s">
        <v>248</v>
      </c>
      <c r="O746" s="40" t="s">
        <v>861</v>
      </c>
      <c r="P746" s="40"/>
      <c r="Q746" s="40" t="s">
        <v>6</v>
      </c>
      <c r="R746" s="40"/>
      <c r="S746" s="40"/>
      <c r="T746" s="126" t="s">
        <v>6</v>
      </c>
      <c r="U746" s="218" t="s">
        <v>1114</v>
      </c>
      <c r="V746" s="204"/>
      <c r="W746" s="204"/>
      <c r="X746" s="40" t="s">
        <v>861</v>
      </c>
      <c r="Y746" s="40"/>
      <c r="Z746" s="199"/>
      <c r="AA746" s="199"/>
      <c r="AB746" s="198"/>
      <c r="AC746" s="199"/>
      <c r="AD746" s="199"/>
      <c r="AE746" s="204"/>
      <c r="AF746" s="40" t="s">
        <v>861</v>
      </c>
      <c r="AG746" s="40"/>
      <c r="AH746" s="199"/>
      <c r="AI746" s="199"/>
      <c r="AJ746" s="198"/>
      <c r="AK746" s="199"/>
      <c r="AL746" s="199"/>
      <c r="AM746" s="199"/>
      <c r="AN746" s="199"/>
      <c r="AO746" s="199"/>
      <c r="AP746" s="199"/>
      <c r="AQ746" s="199"/>
      <c r="AR746" s="199"/>
      <c r="AS746" s="199"/>
      <c r="AT746" s="199"/>
      <c r="AU746" s="199"/>
      <c r="AV746" s="199"/>
      <c r="AW746" s="155">
        <f t="shared" ref="AW746" si="41">LEN(L746)</f>
        <v>25</v>
      </c>
    </row>
    <row r="747" spans="1:49" s="236" customFormat="1" ht="26.4">
      <c r="A747" s="40">
        <f t="shared" si="37"/>
        <v>741</v>
      </c>
      <c r="B747" s="199"/>
      <c r="C747" s="199"/>
      <c r="D747" s="199"/>
      <c r="E747" s="199"/>
      <c r="F747" s="199"/>
      <c r="G747" s="199"/>
      <c r="H747" s="199"/>
      <c r="I747" s="199"/>
      <c r="J747" s="215" t="s">
        <v>3495</v>
      </c>
      <c r="K747" s="204"/>
      <c r="L747" s="253" t="s">
        <v>1553</v>
      </c>
      <c r="M747" s="253"/>
      <c r="N747" s="126" t="s">
        <v>248</v>
      </c>
      <c r="O747" s="40" t="s">
        <v>861</v>
      </c>
      <c r="P747" s="40"/>
      <c r="Q747" s="40"/>
      <c r="R747" s="40"/>
      <c r="S747" s="40"/>
      <c r="T747" s="40" t="s">
        <v>6</v>
      </c>
      <c r="U747" s="215" t="s">
        <v>3498</v>
      </c>
      <c r="V747" s="204"/>
      <c r="W747" s="204"/>
      <c r="X747" s="40"/>
      <c r="Y747" s="40"/>
      <c r="Z747" s="199"/>
      <c r="AA747" s="199"/>
      <c r="AB747" s="198"/>
      <c r="AC747" s="199"/>
      <c r="AD747" s="199"/>
      <c r="AE747" s="204"/>
      <c r="AF747" s="40"/>
      <c r="AG747" s="40"/>
      <c r="AH747" s="199"/>
      <c r="AI747" s="199"/>
      <c r="AJ747" s="198"/>
      <c r="AK747" s="199"/>
      <c r="AL747" s="199"/>
      <c r="AM747" s="199"/>
      <c r="AN747" s="199"/>
      <c r="AO747" s="199"/>
      <c r="AP747" s="199"/>
      <c r="AQ747" s="199"/>
      <c r="AR747" s="199"/>
      <c r="AS747" s="199"/>
      <c r="AT747" s="199"/>
      <c r="AU747" s="199"/>
      <c r="AV747" s="199"/>
      <c r="AW747" s="155"/>
    </row>
    <row r="748" spans="1:49" s="236" customFormat="1" ht="26.4">
      <c r="A748" s="40">
        <f t="shared" si="37"/>
        <v>742</v>
      </c>
      <c r="B748" s="199"/>
      <c r="C748" s="199"/>
      <c r="D748" s="199"/>
      <c r="E748" s="199"/>
      <c r="F748" s="199"/>
      <c r="G748" s="199"/>
      <c r="H748" s="199"/>
      <c r="I748" s="199"/>
      <c r="J748" s="215" t="s">
        <v>3496</v>
      </c>
      <c r="K748" s="204"/>
      <c r="L748" s="253" t="s">
        <v>1553</v>
      </c>
      <c r="M748" s="253"/>
      <c r="N748" s="126" t="s">
        <v>248</v>
      </c>
      <c r="O748" s="40" t="s">
        <v>861</v>
      </c>
      <c r="P748" s="40"/>
      <c r="Q748" s="40"/>
      <c r="R748" s="40"/>
      <c r="S748" s="40"/>
      <c r="T748" s="40" t="s">
        <v>6</v>
      </c>
      <c r="U748" s="215" t="s">
        <v>3498</v>
      </c>
      <c r="V748" s="204"/>
      <c r="W748" s="204"/>
      <c r="X748" s="40"/>
      <c r="Y748" s="40"/>
      <c r="Z748" s="199"/>
      <c r="AA748" s="199"/>
      <c r="AB748" s="198"/>
      <c r="AC748" s="199"/>
      <c r="AD748" s="199"/>
      <c r="AE748" s="204"/>
      <c r="AF748" s="40"/>
      <c r="AG748" s="40"/>
      <c r="AH748" s="199"/>
      <c r="AI748" s="199"/>
      <c r="AJ748" s="198"/>
      <c r="AK748" s="199"/>
      <c r="AL748" s="199"/>
      <c r="AM748" s="199"/>
      <c r="AN748" s="199"/>
      <c r="AO748" s="199"/>
      <c r="AP748" s="199"/>
      <c r="AQ748" s="199"/>
      <c r="AR748" s="199"/>
      <c r="AS748" s="199"/>
      <c r="AT748" s="199"/>
      <c r="AU748" s="199"/>
      <c r="AV748" s="199"/>
      <c r="AW748" s="155"/>
    </row>
    <row r="749" spans="1:49" s="236" customFormat="1" ht="26.4">
      <c r="A749" s="40">
        <f t="shared" si="37"/>
        <v>743</v>
      </c>
      <c r="B749" s="199"/>
      <c r="C749" s="199"/>
      <c r="D749" s="199"/>
      <c r="E749" s="199"/>
      <c r="F749" s="199"/>
      <c r="G749" s="199"/>
      <c r="H749" s="199"/>
      <c r="I749" s="199"/>
      <c r="J749" s="215" t="s">
        <v>3497</v>
      </c>
      <c r="K749" s="204"/>
      <c r="L749" s="253" t="s">
        <v>1553</v>
      </c>
      <c r="M749" s="253"/>
      <c r="N749" s="126" t="s">
        <v>248</v>
      </c>
      <c r="O749" s="40" t="s">
        <v>861</v>
      </c>
      <c r="P749" s="40"/>
      <c r="Q749" s="40"/>
      <c r="R749" s="40"/>
      <c r="S749" s="40"/>
      <c r="T749" s="40" t="s">
        <v>6</v>
      </c>
      <c r="U749" s="215" t="s">
        <v>3498</v>
      </c>
      <c r="V749" s="204"/>
      <c r="W749" s="204"/>
      <c r="X749" s="40"/>
      <c r="Y749" s="40"/>
      <c r="Z749" s="199"/>
      <c r="AA749" s="199"/>
      <c r="AB749" s="198"/>
      <c r="AC749" s="199"/>
      <c r="AD749" s="199"/>
      <c r="AE749" s="204"/>
      <c r="AF749" s="40"/>
      <c r="AG749" s="40"/>
      <c r="AH749" s="199"/>
      <c r="AI749" s="199"/>
      <c r="AJ749" s="198"/>
      <c r="AK749" s="199"/>
      <c r="AL749" s="199"/>
      <c r="AM749" s="199"/>
      <c r="AN749" s="199"/>
      <c r="AO749" s="199"/>
      <c r="AP749" s="199"/>
      <c r="AQ749" s="199"/>
      <c r="AR749" s="199"/>
      <c r="AS749" s="199"/>
      <c r="AT749" s="199"/>
      <c r="AU749" s="199"/>
      <c r="AV749" s="199"/>
      <c r="AW749" s="155"/>
    </row>
    <row r="750" spans="1:49" s="236" customFormat="1" ht="15">
      <c r="A750" s="40">
        <f t="shared" si="37"/>
        <v>744</v>
      </c>
      <c r="B750" s="199"/>
      <c r="C750" s="199"/>
      <c r="D750" s="199"/>
      <c r="E750" s="199"/>
      <c r="F750" s="199"/>
      <c r="G750" s="199"/>
      <c r="H750" s="199"/>
      <c r="I750" s="199"/>
      <c r="J750" s="412" t="s">
        <v>1301</v>
      </c>
      <c r="K750" s="217"/>
      <c r="L750" s="253" t="s">
        <v>1558</v>
      </c>
      <c r="M750" s="253"/>
      <c r="N750" s="126" t="s">
        <v>411</v>
      </c>
      <c r="O750" s="40" t="s">
        <v>861</v>
      </c>
      <c r="P750" s="126"/>
      <c r="Q750" s="40" t="s">
        <v>6</v>
      </c>
      <c r="R750" s="126"/>
      <c r="S750" s="126"/>
      <c r="T750" s="126" t="s">
        <v>6</v>
      </c>
      <c r="U750" s="215" t="s">
        <v>1303</v>
      </c>
      <c r="V750" s="215"/>
      <c r="W750" s="217"/>
      <c r="X750" s="40" t="s">
        <v>861</v>
      </c>
      <c r="Y750" s="40"/>
      <c r="Z750" s="199"/>
      <c r="AA750" s="199"/>
      <c r="AB750" s="198"/>
      <c r="AC750" s="199"/>
      <c r="AD750" s="199"/>
      <c r="AE750" s="217"/>
      <c r="AF750" s="40" t="s">
        <v>861</v>
      </c>
      <c r="AG750" s="40"/>
      <c r="AH750" s="199"/>
      <c r="AI750" s="199"/>
      <c r="AJ750" s="198"/>
      <c r="AK750" s="199"/>
      <c r="AL750" s="199"/>
      <c r="AM750" s="199"/>
      <c r="AN750" s="199"/>
      <c r="AO750" s="199"/>
      <c r="AP750" s="199"/>
      <c r="AQ750" s="199"/>
      <c r="AR750" s="199"/>
      <c r="AS750" s="199"/>
      <c r="AT750" s="199"/>
      <c r="AU750" s="199"/>
      <c r="AV750" s="199"/>
      <c r="AW750" s="155">
        <f t="shared" si="36"/>
        <v>32</v>
      </c>
    </row>
    <row r="751" spans="1:49" s="236" customFormat="1" ht="15">
      <c r="A751" s="40">
        <f t="shared" si="37"/>
        <v>745</v>
      </c>
      <c r="B751" s="199"/>
      <c r="C751" s="199"/>
      <c r="D751" s="199"/>
      <c r="E751" s="199"/>
      <c r="F751" s="199"/>
      <c r="G751" s="199"/>
      <c r="H751" s="199"/>
      <c r="I751" s="199"/>
      <c r="J751" s="412" t="s">
        <v>1559</v>
      </c>
      <c r="K751" s="217"/>
      <c r="L751" s="253" t="s">
        <v>1558</v>
      </c>
      <c r="M751" s="253"/>
      <c r="N751" s="126" t="s">
        <v>411</v>
      </c>
      <c r="O751" s="40" t="s">
        <v>861</v>
      </c>
      <c r="P751" s="126"/>
      <c r="Q751" s="40"/>
      <c r="R751" s="126"/>
      <c r="S751" s="126"/>
      <c r="T751" s="126" t="s">
        <v>6</v>
      </c>
      <c r="U751" s="215" t="s">
        <v>1303</v>
      </c>
      <c r="V751" s="215"/>
      <c r="W751" s="217"/>
      <c r="X751" s="40" t="s">
        <v>861</v>
      </c>
      <c r="Y751" s="40"/>
      <c r="Z751" s="199"/>
      <c r="AA751" s="199"/>
      <c r="AB751" s="198"/>
      <c r="AC751" s="199"/>
      <c r="AD751" s="199"/>
      <c r="AE751" s="217"/>
      <c r="AF751" s="40" t="s">
        <v>861</v>
      </c>
      <c r="AG751" s="40"/>
      <c r="AH751" s="199"/>
      <c r="AI751" s="199"/>
      <c r="AJ751" s="198"/>
      <c r="AK751" s="199"/>
      <c r="AL751" s="199"/>
      <c r="AM751" s="199"/>
      <c r="AN751" s="199"/>
      <c r="AO751" s="199"/>
      <c r="AP751" s="199"/>
      <c r="AQ751" s="199"/>
      <c r="AR751" s="199"/>
      <c r="AS751" s="199"/>
      <c r="AT751" s="199"/>
      <c r="AU751" s="199"/>
      <c r="AV751" s="199"/>
      <c r="AW751" s="155">
        <f t="shared" ref="AW751" si="42">LEN(L751)</f>
        <v>32</v>
      </c>
    </row>
    <row r="752" spans="1:49" s="236" customFormat="1" ht="15">
      <c r="A752" s="40">
        <f t="shared" si="37"/>
        <v>746</v>
      </c>
      <c r="B752" s="199"/>
      <c r="C752" s="199"/>
      <c r="D752" s="199"/>
      <c r="E752" s="199"/>
      <c r="F752" s="199"/>
      <c r="G752" s="199"/>
      <c r="H752" s="199"/>
      <c r="I752" s="199"/>
      <c r="J752" s="412" t="s">
        <v>1304</v>
      </c>
      <c r="K752" s="217"/>
      <c r="L752" s="253" t="s">
        <v>1560</v>
      </c>
      <c r="M752" s="253"/>
      <c r="N752" s="126" t="s">
        <v>427</v>
      </c>
      <c r="O752" s="40" t="s">
        <v>862</v>
      </c>
      <c r="P752" s="40"/>
      <c r="Q752" s="40" t="s">
        <v>6</v>
      </c>
      <c r="R752" s="126"/>
      <c r="S752" s="126"/>
      <c r="T752" s="126" t="s">
        <v>6</v>
      </c>
      <c r="U752" s="215" t="s">
        <v>1303</v>
      </c>
      <c r="V752" s="215"/>
      <c r="W752" s="217"/>
      <c r="X752" s="40" t="s">
        <v>862</v>
      </c>
      <c r="Y752" s="126"/>
      <c r="Z752" s="199"/>
      <c r="AA752" s="199"/>
      <c r="AB752" s="198"/>
      <c r="AC752" s="199"/>
      <c r="AD752" s="199"/>
      <c r="AE752" s="217"/>
      <c r="AF752" s="40" t="s">
        <v>862</v>
      </c>
      <c r="AG752" s="126"/>
      <c r="AH752" s="199"/>
      <c r="AI752" s="199"/>
      <c r="AJ752" s="198"/>
      <c r="AK752" s="199"/>
      <c r="AL752" s="199"/>
      <c r="AM752" s="199"/>
      <c r="AN752" s="199"/>
      <c r="AO752" s="199"/>
      <c r="AP752" s="199"/>
      <c r="AQ752" s="199"/>
      <c r="AR752" s="199"/>
      <c r="AS752" s="199"/>
      <c r="AT752" s="199"/>
      <c r="AU752" s="199"/>
      <c r="AV752" s="199"/>
      <c r="AW752" s="155">
        <f t="shared" si="36"/>
        <v>21</v>
      </c>
    </row>
    <row r="753" spans="1:49" s="236" customFormat="1" ht="15">
      <c r="A753" s="40">
        <f t="shared" si="37"/>
        <v>747</v>
      </c>
      <c r="B753" s="199"/>
      <c r="C753" s="199"/>
      <c r="D753" s="199"/>
      <c r="E753" s="199"/>
      <c r="F753" s="199"/>
      <c r="G753" s="199"/>
      <c r="H753" s="199"/>
      <c r="I753" s="199"/>
      <c r="J753" s="412" t="s">
        <v>1143</v>
      </c>
      <c r="K753" s="217"/>
      <c r="L753" s="204" t="s">
        <v>1561</v>
      </c>
      <c r="M753" s="204"/>
      <c r="N753" s="40" t="s">
        <v>244</v>
      </c>
      <c r="O753" s="40" t="s">
        <v>861</v>
      </c>
      <c r="P753" s="40"/>
      <c r="Q753" s="40" t="s">
        <v>6</v>
      </c>
      <c r="R753" s="126"/>
      <c r="S753" s="126"/>
      <c r="T753" s="40" t="s">
        <v>6</v>
      </c>
      <c r="U753" s="215"/>
      <c r="V753" s="412"/>
      <c r="W753" s="217"/>
      <c r="X753" s="40" t="s">
        <v>861</v>
      </c>
      <c r="Y753" s="126"/>
      <c r="Z753" s="199"/>
      <c r="AA753" s="199"/>
      <c r="AB753" s="198"/>
      <c r="AC753" s="199"/>
      <c r="AD753" s="199"/>
      <c r="AE753" s="217"/>
      <c r="AF753" s="40" t="s">
        <v>861</v>
      </c>
      <c r="AG753" s="126"/>
      <c r="AH753" s="199"/>
      <c r="AI753" s="199"/>
      <c r="AJ753" s="198"/>
      <c r="AK753" s="199"/>
      <c r="AL753" s="199"/>
      <c r="AM753" s="199"/>
      <c r="AN753" s="199"/>
      <c r="AO753" s="199"/>
      <c r="AP753" s="199"/>
      <c r="AQ753" s="199"/>
      <c r="AR753" s="199"/>
      <c r="AS753" s="199"/>
      <c r="AT753" s="199"/>
      <c r="AU753" s="199"/>
      <c r="AV753" s="199"/>
      <c r="AW753" s="155">
        <f>LEN(L753)</f>
        <v>32</v>
      </c>
    </row>
    <row r="754" spans="1:49" s="236" customFormat="1" ht="15">
      <c r="A754" s="40">
        <f t="shared" si="37"/>
        <v>748</v>
      </c>
      <c r="B754" s="199"/>
      <c r="C754" s="199"/>
      <c r="D754" s="199"/>
      <c r="E754" s="199"/>
      <c r="F754" s="199"/>
      <c r="G754" s="199"/>
      <c r="H754" s="199"/>
      <c r="I754" s="199"/>
      <c r="J754" s="399" t="s">
        <v>1151</v>
      </c>
      <c r="K754" s="217"/>
      <c r="L754" s="204" t="s">
        <v>1562</v>
      </c>
      <c r="M754" s="204"/>
      <c r="N754" s="40" t="s">
        <v>244</v>
      </c>
      <c r="O754" s="40" t="s">
        <v>861</v>
      </c>
      <c r="P754" s="40"/>
      <c r="Q754" s="40" t="s">
        <v>6</v>
      </c>
      <c r="R754" s="126"/>
      <c r="S754" s="126"/>
      <c r="T754" s="40" t="s">
        <v>6</v>
      </c>
      <c r="U754" s="215"/>
      <c r="V754" s="399"/>
      <c r="W754" s="217"/>
      <c r="X754" s="40" t="s">
        <v>861</v>
      </c>
      <c r="Y754" s="126"/>
      <c r="Z754" s="199"/>
      <c r="AA754" s="199"/>
      <c r="AB754" s="198"/>
      <c r="AC754" s="199"/>
      <c r="AD754" s="199"/>
      <c r="AE754" s="217"/>
      <c r="AF754" s="40" t="s">
        <v>861</v>
      </c>
      <c r="AG754" s="126"/>
      <c r="AH754" s="199"/>
      <c r="AI754" s="199"/>
      <c r="AJ754" s="198"/>
      <c r="AK754" s="199"/>
      <c r="AL754" s="199"/>
      <c r="AM754" s="199"/>
      <c r="AN754" s="199"/>
      <c r="AO754" s="199"/>
      <c r="AP754" s="199"/>
      <c r="AQ754" s="199"/>
      <c r="AR754" s="199"/>
      <c r="AS754" s="199"/>
      <c r="AT754" s="199"/>
      <c r="AU754" s="199"/>
      <c r="AV754" s="199"/>
      <c r="AW754" s="155">
        <f>LEN(L754)</f>
        <v>32</v>
      </c>
    </row>
    <row r="755" spans="1:49" s="236" customFormat="1" ht="15">
      <c r="A755" s="40">
        <f t="shared" si="37"/>
        <v>749</v>
      </c>
      <c r="B755" s="199"/>
      <c r="C755" s="199"/>
      <c r="D755" s="199"/>
      <c r="E755" s="199"/>
      <c r="F755" s="199"/>
      <c r="G755" s="199"/>
      <c r="H755" s="199"/>
      <c r="I755" s="199"/>
      <c r="J755" s="217" t="s">
        <v>1208</v>
      </c>
      <c r="K755" s="217"/>
      <c r="L755" s="253" t="s">
        <v>1563</v>
      </c>
      <c r="M755" s="253"/>
      <c r="N755" s="126" t="s">
        <v>407</v>
      </c>
      <c r="O755" s="40" t="s">
        <v>861</v>
      </c>
      <c r="P755" s="40"/>
      <c r="Q755" s="40" t="s">
        <v>6</v>
      </c>
      <c r="R755" s="126"/>
      <c r="S755" s="126"/>
      <c r="T755" s="126" t="s">
        <v>6</v>
      </c>
      <c r="U755" s="215"/>
      <c r="V755" s="399"/>
      <c r="W755" s="217"/>
      <c r="X755" s="40" t="s">
        <v>861</v>
      </c>
      <c r="Y755" s="126"/>
      <c r="Z755" s="199"/>
      <c r="AA755" s="199"/>
      <c r="AB755" s="198"/>
      <c r="AC755" s="199"/>
      <c r="AD755" s="199"/>
      <c r="AE755" s="217"/>
      <c r="AF755" s="40" t="s">
        <v>861</v>
      </c>
      <c r="AG755" s="126"/>
      <c r="AH755" s="199"/>
      <c r="AI755" s="199"/>
      <c r="AJ755" s="198"/>
      <c r="AK755" s="199"/>
      <c r="AL755" s="199"/>
      <c r="AM755" s="199"/>
      <c r="AN755" s="199"/>
      <c r="AO755" s="199"/>
      <c r="AP755" s="199"/>
      <c r="AQ755" s="199"/>
      <c r="AR755" s="199"/>
      <c r="AS755" s="199"/>
      <c r="AT755" s="199"/>
      <c r="AU755" s="199"/>
      <c r="AV755" s="199"/>
      <c r="AW755" s="155">
        <f>LEN(L755)</f>
        <v>41</v>
      </c>
    </row>
    <row r="756" spans="1:49" s="236" customFormat="1" ht="15">
      <c r="A756" s="40">
        <f t="shared" si="37"/>
        <v>750</v>
      </c>
      <c r="B756" s="199"/>
      <c r="C756" s="199"/>
      <c r="D756" s="199"/>
      <c r="E756" s="199"/>
      <c r="F756" s="199"/>
      <c r="G756" s="199"/>
      <c r="H756" s="199"/>
      <c r="I756" s="199"/>
      <c r="J756" s="215" t="s">
        <v>3903</v>
      </c>
      <c r="K756" s="204"/>
      <c r="L756" s="253" t="s">
        <v>1549</v>
      </c>
      <c r="M756" s="351"/>
      <c r="N756" s="40" t="s">
        <v>413</v>
      </c>
      <c r="O756" s="40" t="s">
        <v>862</v>
      </c>
      <c r="P756" s="40"/>
      <c r="Q756" s="40"/>
      <c r="R756" s="40"/>
      <c r="S756" s="40"/>
      <c r="T756" s="40"/>
      <c r="U756" s="204"/>
      <c r="V756" s="204"/>
      <c r="W756" s="204"/>
      <c r="X756" s="40" t="s">
        <v>862</v>
      </c>
      <c r="Y756" s="40"/>
      <c r="Z756" s="199"/>
      <c r="AA756" s="199"/>
      <c r="AB756" s="198"/>
      <c r="AC756" s="199"/>
      <c r="AD756" s="199"/>
      <c r="AE756" s="204"/>
      <c r="AF756" s="40" t="s">
        <v>862</v>
      </c>
      <c r="AG756" s="40"/>
      <c r="AH756" s="199"/>
      <c r="AI756" s="199"/>
      <c r="AJ756" s="198"/>
      <c r="AK756" s="199"/>
      <c r="AL756" s="199"/>
      <c r="AM756" s="199"/>
      <c r="AN756" s="199"/>
      <c r="AO756" s="199"/>
      <c r="AP756" s="199"/>
      <c r="AQ756" s="199"/>
      <c r="AR756" s="199"/>
      <c r="AS756" s="199"/>
      <c r="AT756" s="199"/>
      <c r="AU756" s="199"/>
      <c r="AV756" s="199"/>
      <c r="AW756" s="155"/>
    </row>
    <row r="757" spans="1:49" s="236" customFormat="1" ht="15">
      <c r="A757" s="40">
        <f t="shared" si="37"/>
        <v>751</v>
      </c>
      <c r="B757" s="199"/>
      <c r="C757" s="199"/>
      <c r="D757" s="199"/>
      <c r="E757" s="199"/>
      <c r="F757" s="199"/>
      <c r="G757" s="199"/>
      <c r="H757" s="199"/>
      <c r="I757" s="199"/>
      <c r="J757" s="412" t="s">
        <v>4712</v>
      </c>
      <c r="K757" s="412"/>
      <c r="L757" s="253" t="s">
        <v>4811</v>
      </c>
      <c r="M757" s="351"/>
      <c r="N757" s="40" t="s">
        <v>413</v>
      </c>
      <c r="O757" s="40" t="s">
        <v>862</v>
      </c>
      <c r="P757" s="40"/>
      <c r="Q757" s="40"/>
      <c r="R757" s="40"/>
      <c r="S757" s="40"/>
      <c r="T757" s="40"/>
      <c r="U757" s="215"/>
      <c r="V757" s="412"/>
      <c r="W757" s="412"/>
      <c r="X757" s="40" t="s">
        <v>862</v>
      </c>
      <c r="Y757" s="40"/>
      <c r="Z757" s="199"/>
      <c r="AA757" s="199"/>
      <c r="AB757" s="198"/>
      <c r="AC757" s="199"/>
      <c r="AD757" s="199"/>
      <c r="AE757" s="412"/>
      <c r="AF757" s="40" t="s">
        <v>862</v>
      </c>
      <c r="AG757" s="40"/>
      <c r="AH757" s="199"/>
      <c r="AI757" s="199"/>
      <c r="AJ757" s="198"/>
      <c r="AK757" s="199"/>
      <c r="AL757" s="199"/>
      <c r="AM757" s="199"/>
      <c r="AN757" s="199"/>
      <c r="AO757" s="199"/>
      <c r="AP757" s="199"/>
      <c r="AQ757" s="199"/>
      <c r="AR757" s="199"/>
      <c r="AS757" s="199"/>
      <c r="AT757" s="199"/>
      <c r="AU757" s="199"/>
      <c r="AV757" s="199"/>
      <c r="AW757" s="155"/>
    </row>
    <row r="758" spans="1:49" s="236" customFormat="1" ht="15">
      <c r="A758" s="40">
        <f t="shared" si="37"/>
        <v>752</v>
      </c>
      <c r="B758" s="199"/>
      <c r="C758" s="199"/>
      <c r="D758" s="199"/>
      <c r="E758" s="199"/>
      <c r="F758" s="199"/>
      <c r="G758" s="199"/>
      <c r="H758" s="199"/>
      <c r="I758" s="199"/>
      <c r="J758" s="412" t="s">
        <v>4715</v>
      </c>
      <c r="K758" s="412"/>
      <c r="L758" s="253" t="s">
        <v>4812</v>
      </c>
      <c r="M758" s="351"/>
      <c r="N758" s="40" t="s">
        <v>413</v>
      </c>
      <c r="O758" s="40" t="s">
        <v>862</v>
      </c>
      <c r="P758" s="40"/>
      <c r="Q758" s="40"/>
      <c r="R758" s="40"/>
      <c r="S758" s="40"/>
      <c r="T758" s="40"/>
      <c r="U758" s="215"/>
      <c r="V758" s="412"/>
      <c r="W758" s="412"/>
      <c r="X758" s="40" t="s">
        <v>862</v>
      </c>
      <c r="Y758" s="40"/>
      <c r="Z758" s="199"/>
      <c r="AA758" s="199"/>
      <c r="AB758" s="198"/>
      <c r="AC758" s="199"/>
      <c r="AD758" s="199"/>
      <c r="AE758" s="412"/>
      <c r="AF758" s="40" t="s">
        <v>862</v>
      </c>
      <c r="AG758" s="40"/>
      <c r="AH758" s="199"/>
      <c r="AI758" s="199"/>
      <c r="AJ758" s="198"/>
      <c r="AK758" s="199"/>
      <c r="AL758" s="199"/>
      <c r="AM758" s="199"/>
      <c r="AN758" s="199"/>
      <c r="AO758" s="199"/>
      <c r="AP758" s="199"/>
      <c r="AQ758" s="199"/>
      <c r="AR758" s="199"/>
      <c r="AS758" s="199"/>
      <c r="AT758" s="199"/>
      <c r="AU758" s="199"/>
      <c r="AV758" s="199"/>
      <c r="AW758" s="155"/>
    </row>
    <row r="759" spans="1:49" s="236" customFormat="1" ht="15">
      <c r="A759" s="40">
        <f t="shared" si="37"/>
        <v>753</v>
      </c>
      <c r="B759" s="199"/>
      <c r="C759" s="199"/>
      <c r="D759" s="199"/>
      <c r="E759" s="199"/>
      <c r="F759" s="199"/>
      <c r="G759" s="199"/>
      <c r="H759" s="199"/>
      <c r="I759" s="199"/>
      <c r="J759" s="412" t="s">
        <v>4717</v>
      </c>
      <c r="K759" s="412"/>
      <c r="L759" s="253" t="s">
        <v>4813</v>
      </c>
      <c r="M759" s="351"/>
      <c r="N759" s="40" t="s">
        <v>413</v>
      </c>
      <c r="O759" s="40" t="s">
        <v>862</v>
      </c>
      <c r="P759" s="40"/>
      <c r="Q759" s="40"/>
      <c r="R759" s="40"/>
      <c r="S759" s="40"/>
      <c r="T759" s="40"/>
      <c r="U759" s="215"/>
      <c r="V759" s="412"/>
      <c r="W759" s="412"/>
      <c r="X759" s="40" t="s">
        <v>862</v>
      </c>
      <c r="Y759" s="40"/>
      <c r="Z759" s="199"/>
      <c r="AA759" s="199"/>
      <c r="AB759" s="198"/>
      <c r="AC759" s="199"/>
      <c r="AD759" s="199"/>
      <c r="AE759" s="412"/>
      <c r="AF759" s="40" t="s">
        <v>862</v>
      </c>
      <c r="AG759" s="40"/>
      <c r="AH759" s="199"/>
      <c r="AI759" s="199"/>
      <c r="AJ759" s="198"/>
      <c r="AK759" s="199"/>
      <c r="AL759" s="199"/>
      <c r="AM759" s="199"/>
      <c r="AN759" s="199"/>
      <c r="AO759" s="199"/>
      <c r="AP759" s="199"/>
      <c r="AQ759" s="199"/>
      <c r="AR759" s="199"/>
      <c r="AS759" s="199"/>
      <c r="AT759" s="199"/>
      <c r="AU759" s="199"/>
      <c r="AV759" s="199"/>
      <c r="AW759" s="155"/>
    </row>
    <row r="760" spans="1:49" s="236" customFormat="1" ht="15">
      <c r="A760" s="40">
        <f t="shared" si="37"/>
        <v>754</v>
      </c>
      <c r="B760" s="199"/>
      <c r="C760" s="199"/>
      <c r="D760" s="199"/>
      <c r="E760" s="199"/>
      <c r="F760" s="199"/>
      <c r="G760" s="199"/>
      <c r="H760" s="199"/>
      <c r="I760" s="199"/>
      <c r="J760" s="412" t="s">
        <v>4719</v>
      </c>
      <c r="K760" s="412"/>
      <c r="L760" s="253" t="s">
        <v>4814</v>
      </c>
      <c r="M760" s="351"/>
      <c r="N760" s="40" t="s">
        <v>413</v>
      </c>
      <c r="O760" s="40" t="s">
        <v>862</v>
      </c>
      <c r="P760" s="40"/>
      <c r="Q760" s="40"/>
      <c r="R760" s="40"/>
      <c r="S760" s="40"/>
      <c r="T760" s="40"/>
      <c r="U760" s="215"/>
      <c r="V760" s="412"/>
      <c r="W760" s="412"/>
      <c r="X760" s="40" t="s">
        <v>862</v>
      </c>
      <c r="Y760" s="40"/>
      <c r="Z760" s="199"/>
      <c r="AA760" s="199"/>
      <c r="AB760" s="198"/>
      <c r="AC760" s="199"/>
      <c r="AD760" s="199"/>
      <c r="AE760" s="412"/>
      <c r="AF760" s="40" t="s">
        <v>862</v>
      </c>
      <c r="AG760" s="40"/>
      <c r="AH760" s="199"/>
      <c r="AI760" s="199"/>
      <c r="AJ760" s="198"/>
      <c r="AK760" s="199"/>
      <c r="AL760" s="199"/>
      <c r="AM760" s="199"/>
      <c r="AN760" s="199"/>
      <c r="AO760" s="199"/>
      <c r="AP760" s="199"/>
      <c r="AQ760" s="199"/>
      <c r="AR760" s="199"/>
      <c r="AS760" s="199"/>
      <c r="AT760" s="199"/>
      <c r="AU760" s="199"/>
      <c r="AV760" s="199"/>
      <c r="AW760" s="155"/>
    </row>
    <row r="761" spans="1:49" s="236" customFormat="1" ht="15">
      <c r="A761" s="40">
        <f t="shared" si="37"/>
        <v>755</v>
      </c>
      <c r="B761" s="199"/>
      <c r="C761" s="199"/>
      <c r="D761" s="199"/>
      <c r="E761" s="199"/>
      <c r="F761" s="199"/>
      <c r="G761" s="199"/>
      <c r="H761" s="199"/>
      <c r="I761" s="199"/>
      <c r="J761" s="412" t="s">
        <v>4721</v>
      </c>
      <c r="K761" s="412"/>
      <c r="L761" s="253" t="s">
        <v>4815</v>
      </c>
      <c r="M761" s="351"/>
      <c r="N761" s="40" t="s">
        <v>413</v>
      </c>
      <c r="O761" s="40" t="s">
        <v>862</v>
      </c>
      <c r="P761" s="40"/>
      <c r="Q761" s="40"/>
      <c r="R761" s="40"/>
      <c r="S761" s="40"/>
      <c r="T761" s="40"/>
      <c r="U761" s="215"/>
      <c r="V761" s="412"/>
      <c r="W761" s="412"/>
      <c r="X761" s="40" t="s">
        <v>862</v>
      </c>
      <c r="Y761" s="40"/>
      <c r="Z761" s="199"/>
      <c r="AA761" s="199"/>
      <c r="AB761" s="198"/>
      <c r="AC761" s="199"/>
      <c r="AD761" s="199"/>
      <c r="AE761" s="412"/>
      <c r="AF761" s="40" t="s">
        <v>862</v>
      </c>
      <c r="AG761" s="40"/>
      <c r="AH761" s="199"/>
      <c r="AI761" s="199"/>
      <c r="AJ761" s="198"/>
      <c r="AK761" s="199"/>
      <c r="AL761" s="199"/>
      <c r="AM761" s="199"/>
      <c r="AN761" s="199"/>
      <c r="AO761" s="199"/>
      <c r="AP761" s="199"/>
      <c r="AQ761" s="199"/>
      <c r="AR761" s="199"/>
      <c r="AS761" s="199"/>
      <c r="AT761" s="199"/>
      <c r="AU761" s="199"/>
      <c r="AV761" s="199"/>
      <c r="AW761" s="155"/>
    </row>
    <row r="762" spans="1:49" s="236" customFormat="1" ht="15">
      <c r="A762" s="40">
        <f t="shared" si="37"/>
        <v>756</v>
      </c>
      <c r="B762" s="199"/>
      <c r="C762" s="199"/>
      <c r="D762" s="199"/>
      <c r="E762" s="199"/>
      <c r="F762" s="199"/>
      <c r="G762" s="199"/>
      <c r="H762" s="199"/>
      <c r="I762" s="199"/>
      <c r="J762" s="215" t="s">
        <v>4816</v>
      </c>
      <c r="K762" s="204"/>
      <c r="L762" s="253" t="s">
        <v>4817</v>
      </c>
      <c r="M762" s="351"/>
      <c r="N762" s="40" t="s">
        <v>413</v>
      </c>
      <c r="O762" s="40" t="s">
        <v>862</v>
      </c>
      <c r="P762" s="40"/>
      <c r="Q762" s="40" t="s">
        <v>6</v>
      </c>
      <c r="R762" s="40"/>
      <c r="S762" s="40"/>
      <c r="T762" s="40"/>
      <c r="U762" s="204"/>
      <c r="V762" s="204"/>
      <c r="W762" s="204"/>
      <c r="X762" s="40" t="s">
        <v>862</v>
      </c>
      <c r="Y762" s="40"/>
      <c r="Z762" s="199"/>
      <c r="AA762" s="199"/>
      <c r="AB762" s="198"/>
      <c r="AC762" s="199"/>
      <c r="AD762" s="199"/>
      <c r="AE762" s="204"/>
      <c r="AF762" s="40" t="s">
        <v>862</v>
      </c>
      <c r="AG762" s="40"/>
      <c r="AH762" s="199"/>
      <c r="AI762" s="199"/>
      <c r="AJ762" s="198"/>
      <c r="AK762" s="199"/>
      <c r="AL762" s="199"/>
      <c r="AM762" s="199"/>
      <c r="AN762" s="199"/>
      <c r="AO762" s="199"/>
      <c r="AP762" s="199"/>
      <c r="AQ762" s="199"/>
      <c r="AR762" s="199"/>
      <c r="AS762" s="199"/>
      <c r="AT762" s="199"/>
      <c r="AU762" s="199"/>
      <c r="AV762" s="199"/>
      <c r="AW762" s="155"/>
    </row>
    <row r="763" spans="1:49" s="236" customFormat="1" ht="15">
      <c r="A763" s="40">
        <f t="shared" si="37"/>
        <v>757</v>
      </c>
      <c r="B763" s="199"/>
      <c r="C763" s="199"/>
      <c r="D763" s="199"/>
      <c r="E763" s="199"/>
      <c r="F763" s="199"/>
      <c r="G763" s="199"/>
      <c r="H763" s="199"/>
      <c r="I763" s="199"/>
      <c r="J763" s="215" t="s">
        <v>1270</v>
      </c>
      <c r="K763" s="204"/>
      <c r="L763" s="253" t="s">
        <v>4818</v>
      </c>
      <c r="M763" s="351"/>
      <c r="N763" s="40" t="s">
        <v>420</v>
      </c>
      <c r="O763" s="40" t="s">
        <v>862</v>
      </c>
      <c r="P763" s="40"/>
      <c r="Q763" s="40"/>
      <c r="R763" s="40"/>
      <c r="S763" s="40"/>
      <c r="T763" s="40"/>
      <c r="U763" s="204"/>
      <c r="V763" s="204"/>
      <c r="W763" s="204"/>
      <c r="X763" s="40" t="s">
        <v>862</v>
      </c>
      <c r="Y763" s="40"/>
      <c r="Z763" s="199"/>
      <c r="AA763" s="199"/>
      <c r="AB763" s="198"/>
      <c r="AC763" s="199"/>
      <c r="AD763" s="199"/>
      <c r="AE763" s="204"/>
      <c r="AF763" s="40" t="s">
        <v>862</v>
      </c>
      <c r="AG763" s="40"/>
      <c r="AH763" s="199"/>
      <c r="AI763" s="199"/>
      <c r="AJ763" s="198"/>
      <c r="AK763" s="199"/>
      <c r="AL763" s="199"/>
      <c r="AM763" s="199"/>
      <c r="AN763" s="199"/>
      <c r="AO763" s="199"/>
      <c r="AP763" s="199"/>
      <c r="AQ763" s="199"/>
      <c r="AR763" s="199"/>
      <c r="AS763" s="199"/>
      <c r="AT763" s="199"/>
      <c r="AU763" s="199"/>
      <c r="AV763" s="199"/>
      <c r="AW763" s="155"/>
    </row>
    <row r="764" spans="1:49" s="236" customFormat="1" ht="15">
      <c r="A764" s="40">
        <f t="shared" si="37"/>
        <v>758</v>
      </c>
      <c r="B764" s="199"/>
      <c r="C764" s="199"/>
      <c r="D764" s="199"/>
      <c r="E764" s="199"/>
      <c r="F764" s="199"/>
      <c r="G764" s="199"/>
      <c r="H764" s="199"/>
      <c r="I764" s="199"/>
      <c r="J764" s="215" t="s">
        <v>1272</v>
      </c>
      <c r="K764" s="204"/>
      <c r="L764" s="253" t="s">
        <v>4819</v>
      </c>
      <c r="M764" s="351"/>
      <c r="N764" s="40" t="s">
        <v>422</v>
      </c>
      <c r="O764" s="40" t="s">
        <v>862</v>
      </c>
      <c r="P764" s="40"/>
      <c r="Q764" s="40"/>
      <c r="R764" s="40"/>
      <c r="S764" s="40"/>
      <c r="T764" s="40"/>
      <c r="U764" s="204"/>
      <c r="V764" s="204"/>
      <c r="W764" s="204"/>
      <c r="X764" s="40" t="s">
        <v>862</v>
      </c>
      <c r="Y764" s="40"/>
      <c r="Z764" s="199"/>
      <c r="AA764" s="199"/>
      <c r="AB764" s="198"/>
      <c r="AC764" s="199"/>
      <c r="AD764" s="199"/>
      <c r="AE764" s="204"/>
      <c r="AF764" s="40" t="s">
        <v>862</v>
      </c>
      <c r="AG764" s="40"/>
      <c r="AH764" s="199"/>
      <c r="AI764" s="199"/>
      <c r="AJ764" s="198"/>
      <c r="AK764" s="199"/>
      <c r="AL764" s="199"/>
      <c r="AM764" s="199"/>
      <c r="AN764" s="199"/>
      <c r="AO764" s="199"/>
      <c r="AP764" s="199"/>
      <c r="AQ764" s="199"/>
      <c r="AR764" s="199"/>
      <c r="AS764" s="199"/>
      <c r="AT764" s="199"/>
      <c r="AU764" s="199"/>
      <c r="AV764" s="199"/>
      <c r="AW764" s="155"/>
    </row>
    <row r="765" spans="1:49" s="236" customFormat="1" ht="26.4">
      <c r="A765" s="40">
        <f t="shared" si="37"/>
        <v>759</v>
      </c>
      <c r="B765" s="199"/>
      <c r="C765" s="199"/>
      <c r="D765" s="199"/>
      <c r="E765" s="199"/>
      <c r="F765" s="199"/>
      <c r="G765" s="199"/>
      <c r="H765" s="199"/>
      <c r="I765" s="199"/>
      <c r="J765" s="217" t="s">
        <v>4681</v>
      </c>
      <c r="K765" s="412"/>
      <c r="L765" s="253" t="s">
        <v>4820</v>
      </c>
      <c r="M765" s="351"/>
      <c r="N765" s="40" t="s">
        <v>423</v>
      </c>
      <c r="O765" s="40" t="s">
        <v>862</v>
      </c>
      <c r="P765" s="40"/>
      <c r="Q765" s="40"/>
      <c r="R765" s="40"/>
      <c r="S765" s="40"/>
      <c r="T765" s="40"/>
      <c r="U765" s="215" t="s">
        <v>4821</v>
      </c>
      <c r="V765" s="412"/>
      <c r="W765" s="217"/>
      <c r="X765" s="40" t="s">
        <v>862</v>
      </c>
      <c r="Y765" s="40"/>
      <c r="Z765" s="199"/>
      <c r="AA765" s="199"/>
      <c r="AB765" s="198"/>
      <c r="AC765" s="199"/>
      <c r="AD765" s="199"/>
      <c r="AE765" s="217"/>
      <c r="AF765" s="40" t="s">
        <v>862</v>
      </c>
      <c r="AG765" s="40"/>
      <c r="AH765" s="199"/>
      <c r="AI765" s="199"/>
      <c r="AJ765" s="198"/>
      <c r="AK765" s="199"/>
      <c r="AL765" s="199"/>
      <c r="AM765" s="199"/>
      <c r="AN765" s="199"/>
      <c r="AO765" s="199"/>
      <c r="AP765" s="199"/>
      <c r="AQ765" s="199"/>
      <c r="AR765" s="199"/>
      <c r="AS765" s="199"/>
      <c r="AT765" s="199"/>
      <c r="AU765" s="199"/>
      <c r="AV765" s="199"/>
      <c r="AW765" s="155"/>
    </row>
    <row r="766" spans="1:49" s="236" customFormat="1" ht="26.4">
      <c r="A766" s="40">
        <f t="shared" si="37"/>
        <v>760</v>
      </c>
      <c r="B766" s="199"/>
      <c r="C766" s="199"/>
      <c r="D766" s="199"/>
      <c r="E766" s="199"/>
      <c r="F766" s="199"/>
      <c r="G766" s="199"/>
      <c r="H766" s="199"/>
      <c r="I766" s="199"/>
      <c r="J766" s="217" t="s">
        <v>4684</v>
      </c>
      <c r="K766" s="412"/>
      <c r="L766" s="253" t="s">
        <v>4822</v>
      </c>
      <c r="M766" s="351"/>
      <c r="N766" s="40" t="s">
        <v>425</v>
      </c>
      <c r="O766" s="40" t="s">
        <v>862</v>
      </c>
      <c r="P766" s="40"/>
      <c r="Q766" s="40"/>
      <c r="R766" s="40"/>
      <c r="S766" s="40"/>
      <c r="T766" s="40"/>
      <c r="U766" s="215" t="s">
        <v>4821</v>
      </c>
      <c r="V766" s="412"/>
      <c r="W766" s="217"/>
      <c r="X766" s="40" t="s">
        <v>862</v>
      </c>
      <c r="Y766" s="40"/>
      <c r="Z766" s="199"/>
      <c r="AA766" s="199"/>
      <c r="AB766" s="198"/>
      <c r="AC766" s="199"/>
      <c r="AD766" s="199"/>
      <c r="AE766" s="217"/>
      <c r="AF766" s="40" t="s">
        <v>862</v>
      </c>
      <c r="AG766" s="40"/>
      <c r="AH766" s="199"/>
      <c r="AI766" s="199"/>
      <c r="AJ766" s="198"/>
      <c r="AK766" s="199"/>
      <c r="AL766" s="199"/>
      <c r="AM766" s="199"/>
      <c r="AN766" s="199"/>
      <c r="AO766" s="199"/>
      <c r="AP766" s="199"/>
      <c r="AQ766" s="199"/>
      <c r="AR766" s="199"/>
      <c r="AS766" s="199"/>
      <c r="AT766" s="199"/>
      <c r="AU766" s="199"/>
      <c r="AV766" s="199"/>
      <c r="AW766" s="155"/>
    </row>
    <row r="767" spans="1:49" s="236" customFormat="1" ht="15">
      <c r="A767" s="40">
        <f t="shared" si="37"/>
        <v>761</v>
      </c>
      <c r="B767" s="199"/>
      <c r="C767" s="199"/>
      <c r="D767" s="199"/>
      <c r="E767" s="199"/>
      <c r="F767" s="199"/>
      <c r="G767" s="199"/>
      <c r="H767" s="199"/>
      <c r="I767" s="199"/>
      <c r="J767" s="217" t="s">
        <v>4823</v>
      </c>
      <c r="K767" s="412"/>
      <c r="L767" s="253" t="s">
        <v>4824</v>
      </c>
      <c r="M767" s="351"/>
      <c r="N767" s="40" t="s">
        <v>429</v>
      </c>
      <c r="O767" s="40" t="s">
        <v>862</v>
      </c>
      <c r="P767" s="40"/>
      <c r="Q767" s="40" t="s">
        <v>6</v>
      </c>
      <c r="R767" s="40"/>
      <c r="S767" s="40"/>
      <c r="T767" s="40"/>
      <c r="U767" s="215"/>
      <c r="V767" s="412"/>
      <c r="W767" s="217"/>
      <c r="X767" s="40" t="s">
        <v>862</v>
      </c>
      <c r="Y767" s="126"/>
      <c r="Z767" s="199"/>
      <c r="AA767" s="199"/>
      <c r="AB767" s="198"/>
      <c r="AC767" s="199"/>
      <c r="AD767" s="199"/>
      <c r="AE767" s="217"/>
      <c r="AF767" s="40" t="s">
        <v>862</v>
      </c>
      <c r="AG767" s="126"/>
      <c r="AH767" s="199"/>
      <c r="AI767" s="199"/>
      <c r="AJ767" s="198"/>
      <c r="AK767" s="199"/>
      <c r="AL767" s="199"/>
      <c r="AM767" s="199"/>
      <c r="AN767" s="199"/>
      <c r="AO767" s="199"/>
      <c r="AP767" s="199"/>
      <c r="AQ767" s="199"/>
      <c r="AR767" s="199"/>
      <c r="AS767" s="199"/>
      <c r="AT767" s="199"/>
      <c r="AU767" s="199"/>
      <c r="AV767" s="199"/>
      <c r="AW767" s="155"/>
    </row>
    <row r="768" spans="1:49" s="236" customFormat="1" ht="15">
      <c r="A768" s="40">
        <f t="shared" si="37"/>
        <v>762</v>
      </c>
      <c r="B768" s="199"/>
      <c r="C768" s="199"/>
      <c r="D768" s="199"/>
      <c r="E768" s="199"/>
      <c r="F768" s="199"/>
      <c r="G768" s="199"/>
      <c r="H768" s="199"/>
      <c r="I768" s="199"/>
      <c r="J768" s="217" t="s">
        <v>4825</v>
      </c>
      <c r="K768" s="412"/>
      <c r="L768" s="253" t="s">
        <v>4826</v>
      </c>
      <c r="M768" s="351"/>
      <c r="N768" s="40" t="s">
        <v>431</v>
      </c>
      <c r="O768" s="40" t="s">
        <v>862</v>
      </c>
      <c r="P768" s="40"/>
      <c r="Q768" s="40" t="s">
        <v>6</v>
      </c>
      <c r="R768" s="40"/>
      <c r="S768" s="40"/>
      <c r="T768" s="40"/>
      <c r="U768" s="215"/>
      <c r="V768" s="412"/>
      <c r="W768" s="217"/>
      <c r="X768" s="40" t="s">
        <v>862</v>
      </c>
      <c r="Y768" s="126"/>
      <c r="Z768" s="199"/>
      <c r="AA768" s="199"/>
      <c r="AB768" s="198"/>
      <c r="AC768" s="199"/>
      <c r="AD768" s="199"/>
      <c r="AE768" s="217"/>
      <c r="AF768" s="40" t="s">
        <v>862</v>
      </c>
      <c r="AG768" s="126"/>
      <c r="AH768" s="199"/>
      <c r="AI768" s="199"/>
      <c r="AJ768" s="198"/>
      <c r="AK768" s="199"/>
      <c r="AL768" s="199"/>
      <c r="AM768" s="199"/>
      <c r="AN768" s="199"/>
      <c r="AO768" s="199"/>
      <c r="AP768" s="199"/>
      <c r="AQ768" s="199"/>
      <c r="AR768" s="199"/>
      <c r="AS768" s="199"/>
      <c r="AT768" s="199"/>
      <c r="AU768" s="199"/>
      <c r="AV768" s="199"/>
      <c r="AW768" s="155"/>
    </row>
    <row r="769" spans="1:49" s="236" customFormat="1" ht="15">
      <c r="A769" s="40">
        <f t="shared" si="37"/>
        <v>763</v>
      </c>
      <c r="B769" s="199"/>
      <c r="C769" s="199"/>
      <c r="D769" s="199"/>
      <c r="E769" s="199"/>
      <c r="F769" s="199"/>
      <c r="G769" s="199"/>
      <c r="H769" s="199"/>
      <c r="I769" s="199"/>
      <c r="J769" s="217" t="s">
        <v>4577</v>
      </c>
      <c r="K769" s="412"/>
      <c r="L769" s="204" t="s">
        <v>1561</v>
      </c>
      <c r="M769" s="351"/>
      <c r="N769" s="40" t="s">
        <v>244</v>
      </c>
      <c r="O769" s="40" t="s">
        <v>861</v>
      </c>
      <c r="P769" s="40"/>
      <c r="Q769" s="40"/>
      <c r="R769" s="40"/>
      <c r="S769" s="40"/>
      <c r="T769" s="40"/>
      <c r="U769" s="215"/>
      <c r="V769" s="412"/>
      <c r="W769" s="217"/>
      <c r="X769" s="40" t="s">
        <v>861</v>
      </c>
      <c r="Y769" s="126"/>
      <c r="Z769" s="199"/>
      <c r="AA769" s="199"/>
      <c r="AB769" s="198"/>
      <c r="AC769" s="199"/>
      <c r="AD769" s="199"/>
      <c r="AE769" s="217"/>
      <c r="AF769" s="40" t="s">
        <v>861</v>
      </c>
      <c r="AG769" s="126"/>
      <c r="AH769" s="199"/>
      <c r="AI769" s="199"/>
      <c r="AJ769" s="198"/>
      <c r="AK769" s="199"/>
      <c r="AL769" s="199"/>
      <c r="AM769" s="199"/>
      <c r="AN769" s="199"/>
      <c r="AO769" s="199"/>
      <c r="AP769" s="199"/>
      <c r="AQ769" s="199"/>
      <c r="AR769" s="199"/>
      <c r="AS769" s="199"/>
      <c r="AT769" s="199"/>
      <c r="AU769" s="199"/>
      <c r="AV769" s="199"/>
      <c r="AW769" s="155"/>
    </row>
    <row r="770" spans="1:49" s="236" customFormat="1" ht="15">
      <c r="A770" s="40">
        <f t="shared" si="37"/>
        <v>764</v>
      </c>
      <c r="B770" s="199"/>
      <c r="C770" s="199"/>
      <c r="D770" s="199"/>
      <c r="E770" s="199"/>
      <c r="F770" s="199"/>
      <c r="G770" s="199"/>
      <c r="H770" s="199"/>
      <c r="I770" s="199"/>
      <c r="J770" s="217" t="s">
        <v>4581</v>
      </c>
      <c r="K770" s="412"/>
      <c r="L770" s="204" t="s">
        <v>1562</v>
      </c>
      <c r="M770" s="351"/>
      <c r="N770" s="40" t="s">
        <v>244</v>
      </c>
      <c r="O770" s="40" t="s">
        <v>861</v>
      </c>
      <c r="P770" s="40"/>
      <c r="Q770" s="40"/>
      <c r="R770" s="40"/>
      <c r="S770" s="40"/>
      <c r="T770" s="40"/>
      <c r="U770" s="215"/>
      <c r="V770" s="412"/>
      <c r="W770" s="217"/>
      <c r="X770" s="40" t="s">
        <v>861</v>
      </c>
      <c r="Y770" s="126"/>
      <c r="Z770" s="199"/>
      <c r="AA770" s="199"/>
      <c r="AB770" s="198"/>
      <c r="AC770" s="199"/>
      <c r="AD770" s="199"/>
      <c r="AE770" s="217"/>
      <c r="AF770" s="40" t="s">
        <v>861</v>
      </c>
      <c r="AG770" s="126"/>
      <c r="AH770" s="199"/>
      <c r="AI770" s="199"/>
      <c r="AJ770" s="198"/>
      <c r="AK770" s="199"/>
      <c r="AL770" s="199"/>
      <c r="AM770" s="199"/>
      <c r="AN770" s="199"/>
      <c r="AO770" s="199"/>
      <c r="AP770" s="199"/>
      <c r="AQ770" s="199"/>
      <c r="AR770" s="199"/>
      <c r="AS770" s="199"/>
      <c r="AT770" s="199"/>
      <c r="AU770" s="199"/>
      <c r="AV770" s="199"/>
      <c r="AW770" s="155"/>
    </row>
    <row r="771" spans="1:49" s="236" customFormat="1" ht="15">
      <c r="A771" s="40">
        <f t="shared" si="37"/>
        <v>765</v>
      </c>
      <c r="B771" s="199"/>
      <c r="C771" s="199"/>
      <c r="D771" s="199"/>
      <c r="E771" s="199"/>
      <c r="F771" s="199"/>
      <c r="G771" s="199"/>
      <c r="H771" s="199"/>
      <c r="I771" s="199"/>
      <c r="J771" s="217" t="s">
        <v>4827</v>
      </c>
      <c r="K771" s="412"/>
      <c r="L771" s="253" t="s">
        <v>1563</v>
      </c>
      <c r="M771" s="351"/>
      <c r="N771" s="40" t="s">
        <v>407</v>
      </c>
      <c r="O771" s="40" t="s">
        <v>861</v>
      </c>
      <c r="P771" s="40"/>
      <c r="Q771" s="40"/>
      <c r="R771" s="40"/>
      <c r="S771" s="40"/>
      <c r="T771" s="40"/>
      <c r="U771" s="215"/>
      <c r="V771" s="412"/>
      <c r="W771" s="217"/>
      <c r="X771" s="40" t="s">
        <v>861</v>
      </c>
      <c r="Y771" s="126"/>
      <c r="Z771" s="199"/>
      <c r="AA771" s="199"/>
      <c r="AB771" s="198"/>
      <c r="AC771" s="199"/>
      <c r="AD771" s="199"/>
      <c r="AE771" s="217"/>
      <c r="AF771" s="40" t="s">
        <v>861</v>
      </c>
      <c r="AG771" s="126"/>
      <c r="AH771" s="199"/>
      <c r="AI771" s="199"/>
      <c r="AJ771" s="198"/>
      <c r="AK771" s="199"/>
      <c r="AL771" s="199"/>
      <c r="AM771" s="199"/>
      <c r="AN771" s="199"/>
      <c r="AO771" s="199"/>
      <c r="AP771" s="199"/>
      <c r="AQ771" s="199"/>
      <c r="AR771" s="199"/>
      <c r="AS771" s="199"/>
      <c r="AT771" s="199"/>
      <c r="AU771" s="199"/>
      <c r="AV771" s="199"/>
      <c r="AW771" s="155"/>
    </row>
    <row r="772" spans="1:49" s="236" customFormat="1" ht="15">
      <c r="A772" s="40">
        <f t="shared" si="37"/>
        <v>766</v>
      </c>
      <c r="B772" s="199"/>
      <c r="C772" s="199"/>
      <c r="D772" s="199"/>
      <c r="E772" s="199"/>
      <c r="F772" s="199"/>
      <c r="G772" s="199"/>
      <c r="H772" s="199"/>
      <c r="I772" s="199"/>
      <c r="J772" s="217" t="s">
        <v>4828</v>
      </c>
      <c r="K772" s="412"/>
      <c r="L772" s="204" t="s">
        <v>4829</v>
      </c>
      <c r="M772" s="351"/>
      <c r="N772" s="40" t="s">
        <v>234</v>
      </c>
      <c r="O772" s="40" t="s">
        <v>861</v>
      </c>
      <c r="P772" s="40"/>
      <c r="Q772" s="40"/>
      <c r="R772" s="40"/>
      <c r="S772" s="40"/>
      <c r="T772" s="40"/>
      <c r="U772" s="215"/>
      <c r="V772" s="412"/>
      <c r="W772" s="217"/>
      <c r="X772" s="126" t="s">
        <v>861</v>
      </c>
      <c r="Y772" s="40"/>
      <c r="Z772" s="199"/>
      <c r="AA772" s="199"/>
      <c r="AB772" s="198"/>
      <c r="AC772" s="199"/>
      <c r="AD772" s="199"/>
      <c r="AE772" s="217"/>
      <c r="AF772" s="126" t="s">
        <v>861</v>
      </c>
      <c r="AG772" s="40"/>
      <c r="AH772" s="199"/>
      <c r="AI772" s="199"/>
      <c r="AJ772" s="198"/>
      <c r="AK772" s="199"/>
      <c r="AL772" s="199"/>
      <c r="AM772" s="199"/>
      <c r="AN772" s="199"/>
      <c r="AO772" s="199"/>
      <c r="AP772" s="199"/>
      <c r="AQ772" s="199"/>
      <c r="AR772" s="199"/>
      <c r="AS772" s="199"/>
      <c r="AT772" s="199"/>
      <c r="AU772" s="199"/>
      <c r="AV772" s="199"/>
      <c r="AW772" s="155"/>
    </row>
    <row r="773" spans="1:49" s="236" customFormat="1" ht="15">
      <c r="A773" s="40">
        <f t="shared" si="37"/>
        <v>767</v>
      </c>
      <c r="B773" s="199"/>
      <c r="C773" s="199"/>
      <c r="D773" s="199"/>
      <c r="E773" s="199"/>
      <c r="F773" s="199"/>
      <c r="G773" s="199"/>
      <c r="H773" s="199"/>
      <c r="I773" s="199"/>
      <c r="J773" s="215" t="s">
        <v>4772</v>
      </c>
      <c r="K773" s="204"/>
      <c r="L773" s="204" t="s">
        <v>1564</v>
      </c>
      <c r="M773" s="351"/>
      <c r="N773" s="40" t="s">
        <v>433</v>
      </c>
      <c r="O773" s="224" t="s">
        <v>862</v>
      </c>
      <c r="P773" s="40"/>
      <c r="Q773" s="40" t="s">
        <v>6</v>
      </c>
      <c r="R773" s="40"/>
      <c r="S773" s="40"/>
      <c r="T773" s="40"/>
      <c r="U773" s="215" t="s">
        <v>4830</v>
      </c>
      <c r="V773" s="412"/>
      <c r="W773" s="204"/>
      <c r="X773" s="224" t="s">
        <v>4831</v>
      </c>
      <c r="Y773" s="40"/>
      <c r="Z773" s="199"/>
      <c r="AA773" s="199"/>
      <c r="AB773" s="198"/>
      <c r="AC773" s="199"/>
      <c r="AD773" s="199"/>
      <c r="AE773" s="204"/>
      <c r="AF773" s="224" t="s">
        <v>4831</v>
      </c>
      <c r="AG773" s="40"/>
      <c r="AH773" s="199"/>
      <c r="AI773" s="199"/>
      <c r="AJ773" s="198"/>
      <c r="AK773" s="199"/>
      <c r="AL773" s="199"/>
      <c r="AM773" s="199"/>
      <c r="AN773" s="199"/>
      <c r="AO773" s="199"/>
      <c r="AP773" s="199"/>
      <c r="AQ773" s="199"/>
      <c r="AR773" s="199"/>
      <c r="AS773" s="199"/>
      <c r="AT773" s="199"/>
      <c r="AU773" s="199"/>
      <c r="AV773" s="199"/>
      <c r="AW773" s="155"/>
    </row>
    <row r="774" spans="1:49" s="236" customFormat="1" ht="15">
      <c r="A774" s="40">
        <f t="shared" si="37"/>
        <v>768</v>
      </c>
      <c r="B774" s="199"/>
      <c r="C774" s="199"/>
      <c r="D774" s="199"/>
      <c r="E774" s="199"/>
      <c r="F774" s="199"/>
      <c r="G774" s="199"/>
      <c r="H774" s="199"/>
      <c r="I774" s="199"/>
      <c r="J774" s="215" t="s">
        <v>4832</v>
      </c>
      <c r="K774" s="204"/>
      <c r="L774" s="204" t="s">
        <v>4833</v>
      </c>
      <c r="M774" s="351"/>
      <c r="N774" s="40" t="s">
        <v>266</v>
      </c>
      <c r="O774" s="224" t="s">
        <v>1565</v>
      </c>
      <c r="P774" s="40"/>
      <c r="Q774" s="40"/>
      <c r="R774" s="40"/>
      <c r="S774" s="40"/>
      <c r="T774" s="40"/>
      <c r="U774" s="215" t="s">
        <v>4834</v>
      </c>
      <c r="V774" s="412"/>
      <c r="W774" s="204"/>
      <c r="X774" s="224" t="s">
        <v>1565</v>
      </c>
      <c r="Y774" s="40"/>
      <c r="Z774" s="199"/>
      <c r="AA774" s="199"/>
      <c r="AB774" s="198"/>
      <c r="AC774" s="199"/>
      <c r="AD774" s="199"/>
      <c r="AE774" s="204"/>
      <c r="AF774" s="224" t="s">
        <v>1565</v>
      </c>
      <c r="AG774" s="40"/>
      <c r="AH774" s="199"/>
      <c r="AI774" s="199"/>
      <c r="AJ774" s="198"/>
      <c r="AK774" s="199"/>
      <c r="AL774" s="199"/>
      <c r="AM774" s="199"/>
      <c r="AN774" s="199"/>
      <c r="AO774" s="199"/>
      <c r="AP774" s="199"/>
      <c r="AQ774" s="199"/>
      <c r="AR774" s="199"/>
      <c r="AS774" s="199"/>
      <c r="AT774" s="199"/>
      <c r="AU774" s="199"/>
      <c r="AV774" s="199"/>
      <c r="AW774" s="155"/>
    </row>
    <row r="775" spans="1:49" s="236" customFormat="1" ht="15">
      <c r="A775" s="40">
        <f t="shared" ref="A775" si="43">ROW() - 6</f>
        <v>769</v>
      </c>
      <c r="B775" s="38"/>
      <c r="C775" s="41"/>
      <c r="D775" s="38"/>
      <c r="E775" s="46"/>
      <c r="F775" s="46"/>
      <c r="G775" s="46"/>
      <c r="H775" s="40"/>
      <c r="I775" s="40"/>
      <c r="J775" s="412" t="s">
        <v>4777</v>
      </c>
      <c r="K775" s="232"/>
      <c r="L775" s="412" t="s">
        <v>4835</v>
      </c>
      <c r="M775" s="351"/>
      <c r="N775" s="40" t="s">
        <v>407</v>
      </c>
      <c r="O775" s="40" t="s">
        <v>861</v>
      </c>
      <c r="P775" s="40"/>
      <c r="Q775" s="40"/>
      <c r="R775" s="40"/>
      <c r="S775" s="40"/>
      <c r="T775" s="40"/>
      <c r="U775" s="215"/>
      <c r="V775" s="217"/>
      <c r="W775" s="232"/>
      <c r="X775" s="40" t="s">
        <v>861</v>
      </c>
      <c r="Y775" s="40"/>
      <c r="Z775" s="40"/>
      <c r="AA775" s="40"/>
      <c r="AB775" s="40"/>
      <c r="AC775" s="40"/>
      <c r="AD775" s="40"/>
      <c r="AE775" s="232"/>
      <c r="AF775" s="40" t="s">
        <v>861</v>
      </c>
      <c r="AG775" s="40"/>
      <c r="AH775" s="40"/>
      <c r="AI775" s="40"/>
      <c r="AJ775" s="40"/>
      <c r="AK775" s="40"/>
      <c r="AL775" s="40"/>
      <c r="AM775" s="198"/>
      <c r="AN775" s="232"/>
      <c r="AO775" s="40"/>
      <c r="AP775" s="40"/>
      <c r="AQ775" s="40"/>
      <c r="AR775" s="40"/>
      <c r="AS775" s="40"/>
      <c r="AT775" s="40"/>
      <c r="AU775" s="40"/>
      <c r="AV775" s="232"/>
      <c r="AW775" s="155"/>
    </row>
    <row r="776" spans="1:49">
      <c r="A776" s="67"/>
      <c r="J776" s="398"/>
      <c r="K776" s="357"/>
      <c r="L776" s="398"/>
      <c r="M776" s="447"/>
      <c r="N776" s="67"/>
      <c r="O776" s="67"/>
      <c r="P776" s="67"/>
      <c r="Q776" s="68"/>
      <c r="R776" s="68"/>
      <c r="S776" s="68"/>
      <c r="T776" s="68"/>
      <c r="U776" s="358"/>
      <c r="V776" s="359"/>
      <c r="W776" s="357"/>
      <c r="X776" s="161"/>
      <c r="Y776" s="67"/>
      <c r="Z776" s="161"/>
      <c r="AE776" s="357"/>
      <c r="AF776" s="161"/>
      <c r="AG776" s="67"/>
      <c r="AH776" s="161"/>
    </row>
    <row r="777" spans="1:49">
      <c r="A777" s="67"/>
      <c r="J777" s="66"/>
      <c r="K777" s="161"/>
      <c r="L777" s="398"/>
      <c r="M777" s="447"/>
      <c r="N777" s="68"/>
      <c r="O777" s="68"/>
      <c r="P777" s="67"/>
      <c r="Q777" s="68"/>
      <c r="R777" s="68"/>
      <c r="S777" s="68"/>
      <c r="T777" s="68"/>
      <c r="U777" s="358"/>
      <c r="V777" s="359"/>
      <c r="W777" s="161"/>
      <c r="X777" s="161"/>
      <c r="Y777" s="67"/>
      <c r="Z777" s="161"/>
      <c r="AE777" s="161"/>
      <c r="AF777" s="161"/>
      <c r="AG777" s="67"/>
      <c r="AH777" s="161"/>
    </row>
    <row r="778" spans="1:49">
      <c r="A778" s="67"/>
      <c r="J778" s="66"/>
      <c r="K778" s="161"/>
      <c r="L778" s="398"/>
      <c r="M778" s="447"/>
      <c r="N778" s="68"/>
      <c r="O778" s="68"/>
      <c r="P778" s="67"/>
      <c r="Q778" s="68"/>
      <c r="R778" s="68"/>
      <c r="S778" s="68"/>
      <c r="T778" s="68"/>
      <c r="U778" s="358"/>
      <c r="V778" s="359"/>
      <c r="W778" s="161"/>
      <c r="X778" s="161"/>
      <c r="Y778" s="67"/>
      <c r="Z778" s="161"/>
      <c r="AE778" s="161"/>
      <c r="AF778" s="161"/>
      <c r="AG778" s="67"/>
      <c r="AH778" s="161"/>
    </row>
    <row r="779" spans="1:49">
      <c r="A779" s="67"/>
      <c r="J779" s="66"/>
      <c r="K779" s="161"/>
      <c r="L779" s="398"/>
      <c r="M779" s="447"/>
      <c r="N779" s="68"/>
      <c r="O779" s="68"/>
      <c r="P779" s="67"/>
      <c r="Q779" s="68"/>
      <c r="R779" s="68"/>
      <c r="S779" s="68"/>
      <c r="T779" s="68"/>
      <c r="U779" s="358"/>
      <c r="V779" s="359"/>
      <c r="W779" s="161"/>
      <c r="X779" s="161"/>
      <c r="Y779" s="67"/>
      <c r="Z779" s="161"/>
      <c r="AE779" s="161"/>
      <c r="AF779" s="161"/>
      <c r="AG779" s="67"/>
      <c r="AH779" s="161"/>
    </row>
    <row r="780" spans="1:49">
      <c r="A780" s="67"/>
      <c r="J780" s="66"/>
      <c r="K780" s="66"/>
      <c r="L780" s="66"/>
      <c r="M780" s="66"/>
      <c r="N780" s="68"/>
      <c r="O780" s="68"/>
      <c r="P780" s="67"/>
      <c r="Q780" s="68"/>
      <c r="R780" s="68"/>
      <c r="S780" s="68"/>
      <c r="T780" s="68"/>
      <c r="U780" s="455"/>
      <c r="V780" s="360"/>
      <c r="W780" s="66"/>
      <c r="X780" s="66"/>
      <c r="Y780" s="67"/>
      <c r="Z780" s="161"/>
      <c r="AE780" s="66"/>
      <c r="AF780" s="66"/>
      <c r="AG780" s="67"/>
      <c r="AH780" s="161"/>
    </row>
    <row r="781" spans="1:49">
      <c r="A781" s="67"/>
      <c r="J781" s="66"/>
      <c r="K781" s="161"/>
      <c r="L781" s="66"/>
      <c r="M781" s="66"/>
      <c r="N781" s="68"/>
      <c r="O781" s="68"/>
      <c r="P781" s="67"/>
      <c r="Q781" s="68"/>
      <c r="R781" s="68"/>
      <c r="S781" s="68"/>
      <c r="T781" s="68"/>
      <c r="U781" s="358"/>
      <c r="V781" s="359"/>
      <c r="W781" s="161"/>
      <c r="X781" s="161"/>
      <c r="Y781" s="67"/>
      <c r="Z781" s="161"/>
      <c r="AE781" s="161"/>
      <c r="AF781" s="161"/>
      <c r="AG781" s="67"/>
      <c r="AH781" s="161"/>
    </row>
    <row r="782" spans="1:49">
      <c r="A782" s="67"/>
      <c r="J782" s="161"/>
      <c r="K782" s="161"/>
      <c r="L782" s="162"/>
      <c r="M782" s="162"/>
      <c r="N782" s="68"/>
      <c r="O782" s="68"/>
      <c r="P782" s="68"/>
      <c r="Q782" s="68"/>
      <c r="R782" s="68"/>
      <c r="S782" s="68"/>
      <c r="T782" s="68"/>
      <c r="U782" s="358"/>
      <c r="V782" s="359"/>
      <c r="W782" s="161"/>
      <c r="X782" s="161"/>
      <c r="Y782" s="161"/>
      <c r="Z782" s="161"/>
      <c r="AE782" s="161"/>
      <c r="AF782" s="161"/>
      <c r="AG782" s="161"/>
      <c r="AH782" s="161"/>
    </row>
    <row r="783" spans="1:49">
      <c r="A783" s="67"/>
      <c r="J783" s="161"/>
      <c r="K783" s="161"/>
      <c r="L783" s="161"/>
      <c r="M783" s="161"/>
      <c r="N783" s="68"/>
      <c r="O783" s="68"/>
      <c r="P783" s="68"/>
      <c r="Q783" s="68"/>
      <c r="R783" s="68"/>
      <c r="S783" s="68"/>
      <c r="T783" s="68"/>
      <c r="U783" s="358"/>
      <c r="V783" s="359"/>
      <c r="W783" s="161"/>
      <c r="X783" s="161"/>
      <c r="Y783" s="161"/>
      <c r="Z783" s="161"/>
      <c r="AE783" s="161"/>
      <c r="AF783" s="161"/>
      <c r="AG783" s="161"/>
      <c r="AH783" s="161"/>
    </row>
    <row r="784" spans="1:49">
      <c r="A784" s="67"/>
      <c r="J784" s="161"/>
      <c r="K784" s="161"/>
      <c r="L784" s="398"/>
      <c r="M784" s="447"/>
      <c r="N784" s="67"/>
      <c r="O784" s="67"/>
      <c r="P784" s="67"/>
      <c r="Q784" s="68"/>
      <c r="R784" s="68"/>
      <c r="S784" s="68"/>
      <c r="T784" s="68"/>
      <c r="U784" s="358"/>
      <c r="V784" s="359"/>
      <c r="W784" s="161"/>
      <c r="X784" s="161"/>
      <c r="Y784" s="67"/>
      <c r="Z784" s="161"/>
      <c r="AE784" s="161"/>
      <c r="AF784" s="161"/>
      <c r="AG784" s="67"/>
      <c r="AH784" s="161"/>
    </row>
    <row r="785" spans="1:34">
      <c r="A785" s="67"/>
      <c r="J785" s="161"/>
      <c r="K785" s="161"/>
      <c r="L785" s="398"/>
      <c r="M785" s="447"/>
      <c r="N785" s="67"/>
      <c r="O785" s="67"/>
      <c r="P785" s="67"/>
      <c r="Q785" s="68"/>
      <c r="R785" s="68"/>
      <c r="S785" s="68"/>
      <c r="T785" s="68"/>
      <c r="U785" s="358"/>
      <c r="V785" s="359"/>
      <c r="W785" s="161"/>
      <c r="X785" s="161"/>
      <c r="Y785" s="67"/>
      <c r="Z785" s="161"/>
      <c r="AE785" s="161"/>
      <c r="AF785" s="161"/>
      <c r="AG785" s="67"/>
      <c r="AH785" s="161"/>
    </row>
    <row r="786" spans="1:34">
      <c r="A786" s="67"/>
      <c r="J786" s="66"/>
      <c r="K786" s="66"/>
      <c r="L786" s="398"/>
      <c r="M786" s="447"/>
      <c r="N786" s="68"/>
      <c r="O786" s="68"/>
      <c r="P786" s="68"/>
      <c r="Q786" s="68"/>
      <c r="R786" s="68"/>
      <c r="S786" s="68"/>
      <c r="T786" s="68"/>
      <c r="U786" s="455"/>
      <c r="V786" s="360"/>
      <c r="W786" s="66"/>
      <c r="X786" s="66"/>
      <c r="Y786" s="68"/>
      <c r="Z786" s="161"/>
      <c r="AE786" s="66"/>
      <c r="AF786" s="66"/>
      <c r="AG786" s="68"/>
      <c r="AH786" s="161"/>
    </row>
    <row r="787" spans="1:34">
      <c r="A787" s="67"/>
      <c r="J787" s="66"/>
      <c r="K787" s="161"/>
      <c r="L787" s="66"/>
      <c r="M787" s="66"/>
      <c r="N787" s="68"/>
      <c r="O787" s="68"/>
      <c r="P787" s="68"/>
      <c r="Q787" s="68"/>
      <c r="R787" s="68"/>
      <c r="S787" s="68"/>
      <c r="T787" s="68"/>
      <c r="U787" s="358"/>
      <c r="V787" s="359"/>
      <c r="W787" s="161"/>
      <c r="X787" s="161"/>
      <c r="Y787" s="161"/>
      <c r="Z787" s="161"/>
      <c r="AE787" s="161"/>
      <c r="AF787" s="161"/>
      <c r="AG787" s="161"/>
      <c r="AH787" s="161"/>
    </row>
    <row r="788" spans="1:34">
      <c r="J788" s="161"/>
      <c r="K788" s="161"/>
      <c r="L788" s="161"/>
      <c r="M788" s="161"/>
      <c r="N788" s="68"/>
      <c r="O788" s="68"/>
      <c r="P788" s="68"/>
      <c r="Q788" s="68"/>
      <c r="R788" s="68"/>
      <c r="S788" s="68"/>
      <c r="T788" s="68"/>
      <c r="U788" s="358"/>
      <c r="V788" s="359"/>
      <c r="W788" s="161"/>
      <c r="X788" s="161"/>
      <c r="Y788" s="161"/>
      <c r="Z788" s="161"/>
      <c r="AE788" s="161"/>
      <c r="AF788" s="161"/>
      <c r="AG788" s="161"/>
      <c r="AH788" s="161"/>
    </row>
  </sheetData>
  <mergeCells count="54">
    <mergeCell ref="BX5:BY5"/>
    <mergeCell ref="BZ5:CB5"/>
    <mergeCell ref="CC5:CD5"/>
    <mergeCell ref="B4:C4"/>
    <mergeCell ref="L5:L6"/>
    <mergeCell ref="AJ5:AJ6"/>
    <mergeCell ref="AO4:AU4"/>
    <mergeCell ref="AO5:AO6"/>
    <mergeCell ref="AZ5:AZ6"/>
    <mergeCell ref="AE5:AE6"/>
    <mergeCell ref="BA5:BE5"/>
    <mergeCell ref="BF5:BS5"/>
    <mergeCell ref="BT5:BW5"/>
    <mergeCell ref="AK5:AK6"/>
    <mergeCell ref="AV5:AV6"/>
    <mergeCell ref="AX5:AX6"/>
    <mergeCell ref="V5:V6"/>
    <mergeCell ref="Z5:Z6"/>
    <mergeCell ref="AU5:AU6"/>
    <mergeCell ref="AF5:AF6"/>
    <mergeCell ref="AG5:AG6"/>
    <mergeCell ref="AH5:AH6"/>
    <mergeCell ref="AI5:AI6"/>
    <mergeCell ref="AP5:AP6"/>
    <mergeCell ref="AQ5:AQ6"/>
    <mergeCell ref="AR5:AR6"/>
    <mergeCell ref="AS5:AS6"/>
    <mergeCell ref="AT5:AT6"/>
    <mergeCell ref="I5:I6"/>
    <mergeCell ref="J5:J6"/>
    <mergeCell ref="N5:N6"/>
    <mergeCell ref="O5:O6"/>
    <mergeCell ref="K5:K6"/>
    <mergeCell ref="B5:B6"/>
    <mergeCell ref="D5:D6"/>
    <mergeCell ref="E5:E6"/>
    <mergeCell ref="H5:H6"/>
    <mergeCell ref="C5:C6"/>
    <mergeCell ref="AE4:AL4"/>
    <mergeCell ref="U5:U6"/>
    <mergeCell ref="P5:P6"/>
    <mergeCell ref="Q5:Q6"/>
    <mergeCell ref="R5:R6"/>
    <mergeCell ref="S5:S6"/>
    <mergeCell ref="AL5:AL6"/>
    <mergeCell ref="W5:W6"/>
    <mergeCell ref="X5:X6"/>
    <mergeCell ref="Y5:Y6"/>
    <mergeCell ref="T5:T6"/>
    <mergeCell ref="W4:AD4"/>
    <mergeCell ref="AB5:AB6"/>
    <mergeCell ref="AC5:AC6"/>
    <mergeCell ref="AD5:AD6"/>
    <mergeCell ref="AA5:AA6"/>
  </mergeCells>
  <phoneticPr fontId="13" type="noConversion"/>
  <conditionalFormatting sqref="AW1:AW65563">
    <cfRule type="cellIs" dxfId="345" priority="89" stopIfTrue="1" operator="greaterThan">
      <formula>42</formula>
    </cfRule>
  </conditionalFormatting>
  <conditionalFormatting sqref="AW300:AW692">
    <cfRule type="cellIs" dxfId="344" priority="3" stopIfTrue="1" operator="greaterThan">
      <formula>42</formula>
    </cfRule>
  </conditionalFormatting>
  <conditionalFormatting sqref="AW738:AW739">
    <cfRule type="cellIs" dxfId="343" priority="2" stopIfTrue="1" operator="greaterThan">
      <formula>42</formula>
    </cfRule>
  </conditionalFormatting>
  <conditionalFormatting sqref="AW756:AW775">
    <cfRule type="cellIs" dxfId="342" priority="1" stopIfTrue="1" operator="greaterThan">
      <formula>42</formula>
    </cfRule>
  </conditionalFormatting>
  <dataValidations disablePrompts="1" count="3">
    <dataValidation type="textLength" operator="lessThanOrEqual" allowBlank="1" showInputMessage="1" showErrorMessage="1" sqref="AO337:AT342 AO675:AT678 AO476:AT477 AO466:AT470" xr:uid="{00000000-0002-0000-0400-000000000000}">
      <formula1>4</formula1>
    </dataValidation>
    <dataValidation type="textLength" allowBlank="1" showInputMessage="1" showErrorMessage="1" sqref="AO684:AT684 AO687:AT687 AO471:AT475 AO478:AT485 AO300:AT336 AO775:AT775" xr:uid="{00000000-0002-0000-0400-000001000000}">
      <formula1>0</formula1>
      <formula2>4</formula2>
    </dataValidation>
    <dataValidation type="textLength" operator="lessThan" allowBlank="1" showInputMessage="1" showErrorMessage="1" error="text length exceeded" prompt="max. 64 charcters" sqref="B684 B687:C687 B678:C678 B675:D676 C483:C485 B467:D469 B476:B478 D476:D477 C471:C481 B473 B482:B485 B466:C466 B336:C342 C331:C333 C320 C312 C306 C303 B302:B334 B300:C301 BB300:BB301 B775" xr:uid="{00000000-0002-0000-0400-000002000000}">
      <formula1>65</formula1>
    </dataValidation>
  </dataValidations>
  <pageMargins left="0.78740157499999996" right="0.78740157499999996" top="0.984251969" bottom="0.984251969" header="0.49212598499999999" footer="0.49212598499999999"/>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CI494"/>
  <sheetViews>
    <sheetView showGridLines="0" showRuler="0" topLeftCell="A4" zoomScale="60" zoomScaleNormal="60" zoomScalePageLayoutView="70" workbookViewId="0">
      <pane ySplit="3" topLeftCell="A7" activePane="bottomLeft" state="frozenSplit"/>
      <selection activeCell="A4" sqref="A4"/>
      <selection pane="bottomLeft" activeCell="K27" sqref="K27"/>
    </sheetView>
  </sheetViews>
  <sheetFormatPr defaultColWidth="8.88671875" defaultRowHeight="13.2"/>
  <cols>
    <col min="1" max="1" width="5.6640625" style="144" customWidth="1"/>
    <col min="2" max="2" width="46.44140625" hidden="1" customWidth="1"/>
    <col min="3" max="3" width="8.6640625" hidden="1" customWidth="1"/>
    <col min="4" max="4" width="0" hidden="1" customWidth="1"/>
    <col min="5" max="7" width="10" hidden="1" customWidth="1"/>
    <col min="8" max="9" width="0" hidden="1" customWidth="1"/>
    <col min="10" max="10" width="48.6640625" customWidth="1"/>
    <col min="11" max="11" width="18.33203125" customWidth="1"/>
    <col min="12" max="12" width="38.44140625" customWidth="1"/>
    <col min="13" max="13" width="33.6640625" customWidth="1"/>
    <col min="14" max="14" width="9" style="138" bestFit="1" customWidth="1"/>
    <col min="15" max="16" width="5.6640625" style="138" customWidth="1"/>
    <col min="17" max="20" width="4.6640625" style="138" customWidth="1"/>
    <col min="21" max="21" width="68.33203125" style="347" customWidth="1"/>
    <col min="22" max="22" width="32.6640625" style="72" customWidth="1"/>
    <col min="23" max="23" width="18.33203125" customWidth="1"/>
    <col min="24" max="25" width="5.6640625" style="138" customWidth="1"/>
    <col min="26" max="27" width="4.6640625" style="138" customWidth="1"/>
    <col min="28" max="28" width="19.109375" style="138" customWidth="1"/>
    <col min="29" max="29" width="16.109375" style="138" customWidth="1"/>
    <col min="30" max="30" width="22.109375" style="138" customWidth="1"/>
    <col min="31" max="31" width="18.33203125" customWidth="1"/>
    <col min="32" max="33" width="5.6640625" style="138" customWidth="1"/>
    <col min="34" max="35" width="4.6640625" style="138" customWidth="1"/>
    <col min="36" max="36" width="33.6640625" style="72" customWidth="1"/>
    <col min="37" max="37" width="8.88671875" customWidth="1"/>
    <col min="38" max="38" width="24.44140625" customWidth="1"/>
    <col min="40" max="40" width="30.6640625" customWidth="1"/>
    <col min="48" max="48" width="30.6640625" customWidth="1"/>
    <col min="49" max="49" width="0" hidden="1" customWidth="1"/>
  </cols>
  <sheetData>
    <row r="1" spans="1:86" ht="13.8" hidden="1" thickBot="1"/>
    <row r="2" spans="1:86" ht="13.8" hidden="1" thickBot="1"/>
    <row r="3" spans="1:86" s="1" customFormat="1" ht="13.8" hidden="1" thickBot="1">
      <c r="A3" s="146"/>
      <c r="C3" s="2"/>
      <c r="E3" s="3"/>
      <c r="F3" s="3"/>
      <c r="G3" s="3"/>
      <c r="H3" s="3"/>
      <c r="I3" s="3"/>
      <c r="J3" s="3"/>
      <c r="K3" s="3"/>
      <c r="L3" s="3"/>
      <c r="M3" s="3"/>
      <c r="N3" s="136"/>
      <c r="O3" s="136"/>
      <c r="P3" s="136"/>
      <c r="Q3" s="136"/>
      <c r="R3" s="136"/>
      <c r="S3" s="136"/>
      <c r="T3" s="136"/>
      <c r="U3" s="348"/>
      <c r="V3" s="3"/>
      <c r="W3" s="3"/>
      <c r="X3" s="136"/>
      <c r="Y3" s="136"/>
      <c r="Z3" s="136"/>
      <c r="AA3" s="136"/>
      <c r="AB3" s="136"/>
      <c r="AC3" s="136"/>
      <c r="AD3" s="136"/>
      <c r="AE3" s="3"/>
      <c r="AF3" s="136"/>
      <c r="AG3" s="136"/>
      <c r="AH3" s="136"/>
      <c r="AI3" s="136"/>
      <c r="AJ3" s="3"/>
      <c r="AK3" s="2"/>
      <c r="AL3" s="2"/>
      <c r="AM3" s="2"/>
      <c r="AN3" s="2"/>
      <c r="AO3" s="2"/>
      <c r="AP3" s="2"/>
      <c r="AQ3" s="2"/>
    </row>
    <row r="4" spans="1:86" s="1" customFormat="1" ht="16.5" customHeight="1" thickBot="1">
      <c r="A4" s="149"/>
      <c r="B4" s="679" t="s">
        <v>462</v>
      </c>
      <c r="C4" s="680"/>
      <c r="D4" s="22" t="s">
        <v>463</v>
      </c>
      <c r="E4" s="23"/>
      <c r="F4" s="23"/>
      <c r="G4" s="23"/>
      <c r="H4" s="23"/>
      <c r="I4" s="23"/>
      <c r="J4" s="24" t="s">
        <v>865</v>
      </c>
      <c r="K4" s="25"/>
      <c r="L4" s="25"/>
      <c r="M4" s="25"/>
      <c r="N4" s="81"/>
      <c r="O4" s="81"/>
      <c r="P4" s="81"/>
      <c r="Q4" s="81"/>
      <c r="R4" s="81"/>
      <c r="S4" s="81"/>
      <c r="T4" s="81"/>
      <c r="U4" s="303"/>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390"/>
      <c r="G5" s="390"/>
      <c r="H5" s="637" t="s">
        <v>475</v>
      </c>
      <c r="I5" s="646" t="s">
        <v>476</v>
      </c>
      <c r="J5" s="648" t="s">
        <v>477</v>
      </c>
      <c r="K5" s="648" t="s">
        <v>478</v>
      </c>
      <c r="L5" s="648" t="s">
        <v>479</v>
      </c>
      <c r="M5" s="453"/>
      <c r="N5" s="648" t="s">
        <v>480</v>
      </c>
      <c r="O5" s="648" t="s">
        <v>481</v>
      </c>
      <c r="P5" s="648" t="s">
        <v>482</v>
      </c>
      <c r="Q5" s="648" t="s">
        <v>483</v>
      </c>
      <c r="R5" s="648" t="s">
        <v>484</v>
      </c>
      <c r="S5" s="648" t="s">
        <v>485</v>
      </c>
      <c r="T5" s="648" t="s">
        <v>486</v>
      </c>
      <c r="U5" s="670" t="s">
        <v>487</v>
      </c>
      <c r="V5" s="648" t="s">
        <v>488</v>
      </c>
      <c r="W5" s="635" t="s">
        <v>478</v>
      </c>
      <c r="X5" s="635" t="s">
        <v>489</v>
      </c>
      <c r="Y5" s="635" t="s">
        <v>482</v>
      </c>
      <c r="Z5" s="640" t="s">
        <v>490</v>
      </c>
      <c r="AA5" s="635" t="s">
        <v>485</v>
      </c>
      <c r="AB5" s="635" t="s">
        <v>487</v>
      </c>
      <c r="AC5" s="635" t="s">
        <v>866</v>
      </c>
      <c r="AD5" s="635" t="s">
        <v>488</v>
      </c>
      <c r="AE5" s="675" t="s">
        <v>478</v>
      </c>
      <c r="AF5" s="675" t="s">
        <v>489</v>
      </c>
      <c r="AG5" s="675" t="s">
        <v>482</v>
      </c>
      <c r="AH5" s="637" t="s">
        <v>490</v>
      </c>
      <c r="AI5" s="677" t="s">
        <v>485</v>
      </c>
      <c r="AJ5" s="637" t="s">
        <v>487</v>
      </c>
      <c r="AK5" s="637" t="s">
        <v>866</v>
      </c>
      <c r="AL5" s="637" t="s">
        <v>488</v>
      </c>
      <c r="AM5" s="30" t="s">
        <v>867</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09.5" customHeight="1" thickBot="1">
      <c r="A6" s="58" t="s">
        <v>501</v>
      </c>
      <c r="B6" s="655"/>
      <c r="C6" s="655"/>
      <c r="D6" s="638"/>
      <c r="E6" s="638"/>
      <c r="F6" s="396" t="s">
        <v>473</v>
      </c>
      <c r="G6" s="396" t="s">
        <v>474</v>
      </c>
      <c r="H6" s="638"/>
      <c r="I6" s="647"/>
      <c r="J6" s="649"/>
      <c r="K6" s="649"/>
      <c r="L6" s="649"/>
      <c r="M6" s="454" t="s">
        <v>3506</v>
      </c>
      <c r="N6" s="649"/>
      <c r="O6" s="649"/>
      <c r="P6" s="649"/>
      <c r="Q6" s="649"/>
      <c r="R6" s="649"/>
      <c r="S6" s="649"/>
      <c r="T6" s="649"/>
      <c r="U6" s="671"/>
      <c r="V6" s="649"/>
      <c r="W6" s="636"/>
      <c r="X6" s="636"/>
      <c r="Y6" s="636"/>
      <c r="Z6" s="641"/>
      <c r="AA6" s="636"/>
      <c r="AB6" s="636"/>
      <c r="AC6" s="636"/>
      <c r="AD6" s="636"/>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51">
        <f t="shared" ref="A7:A10" si="0">ROW() - 6</f>
        <v>1</v>
      </c>
      <c r="B7" s="65"/>
      <c r="C7" s="65"/>
      <c r="D7" s="65"/>
      <c r="E7" s="65"/>
      <c r="F7" s="65"/>
      <c r="G7" s="65"/>
      <c r="H7" s="65"/>
      <c r="I7" s="65"/>
      <c r="J7" s="485" t="s">
        <v>503</v>
      </c>
      <c r="K7" s="65"/>
      <c r="L7" s="65"/>
      <c r="M7" s="65"/>
      <c r="N7" s="137"/>
      <c r="O7" s="137"/>
      <c r="P7" s="137"/>
      <c r="Q7" s="137"/>
      <c r="R7" s="137"/>
      <c r="S7" s="137"/>
      <c r="T7" s="137"/>
      <c r="U7" s="229"/>
      <c r="V7" s="73"/>
      <c r="W7" s="65"/>
      <c r="X7" s="137"/>
      <c r="Y7" s="137"/>
      <c r="Z7" s="137"/>
      <c r="AA7" s="137"/>
      <c r="AB7" s="137"/>
      <c r="AC7" s="137"/>
      <c r="AD7" s="137"/>
      <c r="AE7" s="65"/>
      <c r="AF7" s="137"/>
      <c r="AG7" s="137"/>
      <c r="AH7" s="137"/>
      <c r="AI7" s="137"/>
      <c r="AJ7" s="73"/>
      <c r="AK7" s="65"/>
      <c r="AL7" s="65"/>
      <c r="AM7" s="65"/>
      <c r="AN7" s="65"/>
      <c r="AO7" s="65"/>
      <c r="AP7" s="65"/>
      <c r="AQ7" s="65"/>
      <c r="AR7" s="65"/>
      <c r="AS7" s="65"/>
      <c r="AT7" s="65"/>
      <c r="AU7" s="65"/>
      <c r="AV7" s="65"/>
      <c r="AW7" s="18">
        <f t="shared" ref="AW7:AW23" si="1">LEN(L7)</f>
        <v>0</v>
      </c>
    </row>
    <row r="8" spans="1:86" s="14" customFormat="1" ht="15">
      <c r="A8" s="40">
        <f t="shared" si="0"/>
        <v>2</v>
      </c>
      <c r="B8" s="38"/>
      <c r="C8" s="42"/>
      <c r="D8" s="19"/>
      <c r="E8" s="19"/>
      <c r="F8" s="35"/>
      <c r="G8" s="35"/>
      <c r="H8" s="402"/>
      <c r="I8" s="13"/>
      <c r="J8" s="399" t="s">
        <v>1566</v>
      </c>
      <c r="K8" s="204" t="s">
        <v>132</v>
      </c>
      <c r="L8" s="204" t="s">
        <v>1567</v>
      </c>
      <c r="M8" s="204"/>
      <c r="N8" s="126" t="s">
        <v>504</v>
      </c>
      <c r="O8" s="126"/>
      <c r="P8" s="126"/>
      <c r="Q8" s="126" t="s">
        <v>6</v>
      </c>
      <c r="R8" s="126" t="s">
        <v>6</v>
      </c>
      <c r="S8" s="126" t="s">
        <v>6</v>
      </c>
      <c r="T8" s="40" t="s">
        <v>6</v>
      </c>
      <c r="U8" s="244" t="s">
        <v>1568</v>
      </c>
      <c r="V8" s="204"/>
      <c r="W8" s="232" t="s">
        <v>125</v>
      </c>
      <c r="X8" s="126"/>
      <c r="Y8" s="126"/>
      <c r="Z8" s="126"/>
      <c r="AA8" s="126" t="s">
        <v>6</v>
      </c>
      <c r="AB8" s="400"/>
      <c r="AC8" s="403"/>
      <c r="AD8" s="403"/>
      <c r="AE8" s="232" t="s">
        <v>125</v>
      </c>
      <c r="AF8" s="126"/>
      <c r="AG8" s="126"/>
      <c r="AH8" s="126"/>
      <c r="AI8" s="126" t="s">
        <v>6</v>
      </c>
      <c r="AJ8" s="400"/>
      <c r="AK8" s="403"/>
      <c r="AL8" s="403"/>
      <c r="AM8" s="43"/>
      <c r="AN8" s="44"/>
      <c r="AO8" s="13"/>
      <c r="AP8" s="13"/>
      <c r="AQ8" s="13"/>
      <c r="AR8" s="13"/>
      <c r="AS8" s="13"/>
      <c r="AT8" s="13"/>
      <c r="AU8" s="13"/>
      <c r="AV8" s="13"/>
      <c r="AW8" s="18">
        <f t="shared" si="1"/>
        <v>39</v>
      </c>
    </row>
    <row r="9" spans="1:86" s="236" customFormat="1" ht="15">
      <c r="A9" s="40">
        <f t="shared" si="0"/>
        <v>3</v>
      </c>
      <c r="B9" s="199"/>
      <c r="C9" s="199"/>
      <c r="D9" s="199"/>
      <c r="E9" s="199"/>
      <c r="F9" s="199"/>
      <c r="G9" s="199"/>
      <c r="H9" s="199"/>
      <c r="I9" s="199" t="s">
        <v>868</v>
      </c>
      <c r="J9" s="399" t="s">
        <v>1569</v>
      </c>
      <c r="K9" s="232" t="s">
        <v>65</v>
      </c>
      <c r="L9" s="204" t="s">
        <v>1209</v>
      </c>
      <c r="M9" s="204"/>
      <c r="N9" s="126" t="s">
        <v>504</v>
      </c>
      <c r="O9" s="126"/>
      <c r="P9" s="126"/>
      <c r="Q9" s="126" t="s">
        <v>6</v>
      </c>
      <c r="R9" s="126" t="s">
        <v>6</v>
      </c>
      <c r="S9" s="126" t="s">
        <v>6</v>
      </c>
      <c r="T9" s="40" t="s">
        <v>6</v>
      </c>
      <c r="U9" s="204"/>
      <c r="V9" s="232"/>
      <c r="W9" s="399" t="s">
        <v>65</v>
      </c>
      <c r="X9" s="199"/>
      <c r="Y9" s="199"/>
      <c r="Z9" s="126" t="s">
        <v>6</v>
      </c>
      <c r="AA9" s="126" t="s">
        <v>6</v>
      </c>
      <c r="AB9" s="198"/>
      <c r="AC9" s="199"/>
      <c r="AD9" s="199"/>
      <c r="AE9" s="399" t="s">
        <v>65</v>
      </c>
      <c r="AF9" s="199"/>
      <c r="AG9" s="199"/>
      <c r="AH9" s="126" t="s">
        <v>6</v>
      </c>
      <c r="AI9" s="126" t="s">
        <v>6</v>
      </c>
      <c r="AJ9" s="198"/>
      <c r="AK9" s="199"/>
      <c r="AL9" s="199"/>
      <c r="AM9" s="199"/>
      <c r="AN9" s="199"/>
      <c r="AO9" s="199"/>
      <c r="AP9" s="199"/>
      <c r="AQ9" s="199"/>
      <c r="AR9" s="199"/>
      <c r="AS9" s="199"/>
      <c r="AT9" s="199"/>
      <c r="AU9" s="199"/>
      <c r="AV9" s="199"/>
      <c r="AW9" s="155">
        <f t="shared" si="1"/>
        <v>33</v>
      </c>
    </row>
    <row r="10" spans="1:86" s="12" customFormat="1" ht="26.4">
      <c r="A10" s="40">
        <f t="shared" si="0"/>
        <v>4</v>
      </c>
      <c r="B10" s="38"/>
      <c r="C10" s="41"/>
      <c r="D10" s="19"/>
      <c r="E10" s="19"/>
      <c r="F10" s="19"/>
      <c r="G10" s="19"/>
      <c r="H10" s="13"/>
      <c r="I10" s="13"/>
      <c r="J10" s="399" t="s">
        <v>1570</v>
      </c>
      <c r="K10" s="232" t="s">
        <v>122</v>
      </c>
      <c r="L10" s="204" t="s">
        <v>879</v>
      </c>
      <c r="M10" s="204" t="s">
        <v>4071</v>
      </c>
      <c r="N10" s="349" t="s">
        <v>873</v>
      </c>
      <c r="O10" s="126"/>
      <c r="P10" s="126"/>
      <c r="Q10" s="126" t="s">
        <v>6</v>
      </c>
      <c r="R10" s="126" t="s">
        <v>6</v>
      </c>
      <c r="S10" s="126" t="s">
        <v>6</v>
      </c>
      <c r="T10" s="40" t="s">
        <v>6</v>
      </c>
      <c r="U10" s="247" t="s">
        <v>1571</v>
      </c>
      <c r="V10" s="204"/>
      <c r="W10" s="232" t="s">
        <v>123</v>
      </c>
      <c r="X10" s="126"/>
      <c r="Y10" s="126"/>
      <c r="Z10" s="126" t="s">
        <v>6</v>
      </c>
      <c r="AA10" s="126" t="s">
        <v>6</v>
      </c>
      <c r="AB10" s="400"/>
      <c r="AC10" s="403"/>
      <c r="AD10" s="403"/>
      <c r="AE10" s="232" t="s">
        <v>123</v>
      </c>
      <c r="AF10" s="126"/>
      <c r="AG10" s="126"/>
      <c r="AH10" s="126" t="s">
        <v>6</v>
      </c>
      <c r="AI10" s="126" t="s">
        <v>6</v>
      </c>
      <c r="AJ10" s="400"/>
      <c r="AK10" s="403"/>
      <c r="AL10" s="403"/>
      <c r="AM10" s="43"/>
      <c r="AN10" s="19"/>
      <c r="AO10" s="15"/>
      <c r="AP10" s="15"/>
      <c r="AQ10" s="15"/>
      <c r="AR10" s="15"/>
      <c r="AS10" s="15"/>
      <c r="AT10" s="15"/>
      <c r="AU10" s="15"/>
      <c r="AV10" s="13"/>
      <c r="AW10" s="18">
        <f t="shared" si="1"/>
        <v>34</v>
      </c>
    </row>
    <row r="11" spans="1:86" s="20" customFormat="1" ht="15">
      <c r="A11" s="40">
        <f t="shared" ref="A11:A13" si="2">ROW() - 6</f>
        <v>5</v>
      </c>
      <c r="B11" s="38"/>
      <c r="C11" s="41"/>
      <c r="D11" s="19"/>
      <c r="E11" s="19"/>
      <c r="F11" s="19"/>
      <c r="G11" s="19"/>
      <c r="H11" s="13"/>
      <c r="I11" s="13"/>
      <c r="J11" s="248" t="s">
        <v>1572</v>
      </c>
      <c r="K11" s="232" t="s">
        <v>122</v>
      </c>
      <c r="L11" s="351" t="s">
        <v>1573</v>
      </c>
      <c r="M11" s="351" t="s">
        <v>4803</v>
      </c>
      <c r="N11" s="349" t="s">
        <v>873</v>
      </c>
      <c r="O11" s="126"/>
      <c r="P11" s="126"/>
      <c r="Q11" s="126" t="s">
        <v>6</v>
      </c>
      <c r="R11" s="126" t="s">
        <v>6</v>
      </c>
      <c r="S11" s="126" t="s">
        <v>6</v>
      </c>
      <c r="T11" s="126" t="s">
        <v>6</v>
      </c>
      <c r="U11" s="215"/>
      <c r="V11" s="399"/>
      <c r="W11" s="232" t="s">
        <v>123</v>
      </c>
      <c r="X11" s="59"/>
      <c r="Y11" s="59"/>
      <c r="Z11" s="61" t="s">
        <v>6</v>
      </c>
      <c r="AA11" s="61" t="s">
        <v>6</v>
      </c>
      <c r="AB11" s="13"/>
      <c r="AC11" s="40"/>
      <c r="AD11" s="218" t="s">
        <v>1574</v>
      </c>
      <c r="AE11" s="232" t="s">
        <v>123</v>
      </c>
      <c r="AF11" s="59"/>
      <c r="AG11" s="59"/>
      <c r="AH11" s="61" t="s">
        <v>6</v>
      </c>
      <c r="AI11" s="61" t="s">
        <v>6</v>
      </c>
      <c r="AJ11" s="13"/>
      <c r="AK11" s="40"/>
      <c r="AL11" s="218" t="s">
        <v>1574</v>
      </c>
      <c r="AM11" s="257" t="s">
        <v>1575</v>
      </c>
      <c r="AN11" s="13"/>
      <c r="AO11" s="15"/>
      <c r="AP11" s="15"/>
      <c r="AQ11" s="15"/>
      <c r="AR11" s="15"/>
      <c r="AS11" s="15"/>
      <c r="AT11" s="15"/>
      <c r="AU11" s="15"/>
      <c r="AV11" s="19"/>
      <c r="AW11" s="18">
        <f t="shared" si="1"/>
        <v>25</v>
      </c>
    </row>
    <row r="12" spans="1:86" s="20" customFormat="1" ht="15">
      <c r="A12" s="40">
        <f t="shared" si="2"/>
        <v>6</v>
      </c>
      <c r="B12" s="59"/>
      <c r="C12" s="59"/>
      <c r="D12" s="59"/>
      <c r="E12" s="59"/>
      <c r="F12" s="59"/>
      <c r="G12" s="59"/>
      <c r="H12" s="59"/>
      <c r="I12" s="59"/>
      <c r="J12" s="399" t="s">
        <v>1576</v>
      </c>
      <c r="K12" s="232" t="s">
        <v>122</v>
      </c>
      <c r="L12" s="204" t="s">
        <v>1577</v>
      </c>
      <c r="M12" s="204" t="s">
        <v>4033</v>
      </c>
      <c r="N12" s="349" t="s">
        <v>873</v>
      </c>
      <c r="O12" s="126"/>
      <c r="P12" s="126"/>
      <c r="Q12" s="126" t="s">
        <v>6</v>
      </c>
      <c r="R12" s="126" t="s">
        <v>6</v>
      </c>
      <c r="S12" s="126" t="s">
        <v>6</v>
      </c>
      <c r="T12" s="40" t="s">
        <v>6</v>
      </c>
      <c r="U12" s="218"/>
      <c r="V12" s="215"/>
      <c r="W12" s="232" t="s">
        <v>123</v>
      </c>
      <c r="X12" s="126"/>
      <c r="Y12" s="126"/>
      <c r="Z12" s="126" t="s">
        <v>6</v>
      </c>
      <c r="AA12" s="126" t="s">
        <v>6</v>
      </c>
      <c r="AB12" s="215"/>
      <c r="AC12" s="59"/>
      <c r="AD12" s="59"/>
      <c r="AE12" s="232" t="s">
        <v>123</v>
      </c>
      <c r="AF12" s="126"/>
      <c r="AG12" s="126"/>
      <c r="AH12" s="126" t="s">
        <v>6</v>
      </c>
      <c r="AI12" s="126" t="s">
        <v>6</v>
      </c>
      <c r="AJ12" s="215" t="e">
        <f>"Atende também ao agrupamento dos itens "&amp;#REF!&amp;" a "&amp;#REF!&amp;" para anunciador do nível 2 e alarme do nível 3."</f>
        <v>#REF!</v>
      </c>
      <c r="AK12" s="59"/>
      <c r="AL12" s="59"/>
      <c r="AM12" s="59"/>
      <c r="AN12" s="59"/>
      <c r="AO12" s="59"/>
      <c r="AP12" s="59"/>
      <c r="AQ12" s="59"/>
      <c r="AR12" s="59"/>
      <c r="AS12" s="59"/>
      <c r="AT12" s="59"/>
      <c r="AU12" s="59"/>
      <c r="AV12" s="59"/>
      <c r="AW12" s="18">
        <f t="shared" si="1"/>
        <v>35</v>
      </c>
    </row>
    <row r="13" spans="1:86" s="20" customFormat="1" ht="15">
      <c r="A13" s="40">
        <f t="shared" si="2"/>
        <v>7</v>
      </c>
      <c r="B13" s="59"/>
      <c r="C13" s="59"/>
      <c r="D13" s="59"/>
      <c r="E13" s="59"/>
      <c r="F13" s="59"/>
      <c r="G13" s="59"/>
      <c r="H13" s="59"/>
      <c r="I13" s="59"/>
      <c r="J13" s="399" t="s">
        <v>1578</v>
      </c>
      <c r="K13" s="232" t="s">
        <v>132</v>
      </c>
      <c r="L13" s="204" t="s">
        <v>1579</v>
      </c>
      <c r="M13" s="204" t="s">
        <v>4034</v>
      </c>
      <c r="N13" s="126" t="s">
        <v>504</v>
      </c>
      <c r="O13" s="126"/>
      <c r="P13" s="126"/>
      <c r="Q13" s="126" t="s">
        <v>6</v>
      </c>
      <c r="R13" s="126" t="s">
        <v>6</v>
      </c>
      <c r="S13" s="126" t="s">
        <v>6</v>
      </c>
      <c r="T13" s="40" t="s">
        <v>6</v>
      </c>
      <c r="U13" s="215"/>
      <c r="V13" s="399"/>
      <c r="W13" s="232" t="s">
        <v>133</v>
      </c>
      <c r="X13" s="126"/>
      <c r="Y13" s="126"/>
      <c r="Z13" s="126" t="s">
        <v>6</v>
      </c>
      <c r="AA13" s="126" t="s">
        <v>6</v>
      </c>
      <c r="AB13" s="15"/>
      <c r="AC13" s="59"/>
      <c r="AD13" s="59"/>
      <c r="AE13" s="232" t="s">
        <v>133</v>
      </c>
      <c r="AF13" s="126"/>
      <c r="AG13" s="126"/>
      <c r="AH13" s="126" t="s">
        <v>6</v>
      </c>
      <c r="AI13" s="126" t="s">
        <v>6</v>
      </c>
      <c r="AJ13" s="15"/>
      <c r="AK13" s="59"/>
      <c r="AL13" s="59"/>
      <c r="AM13" s="59"/>
      <c r="AN13" s="59"/>
      <c r="AO13" s="59"/>
      <c r="AP13" s="59"/>
      <c r="AQ13" s="59"/>
      <c r="AR13" s="59"/>
      <c r="AS13" s="59"/>
      <c r="AT13" s="59"/>
      <c r="AU13" s="59"/>
      <c r="AV13" s="59"/>
      <c r="AW13" s="18">
        <f t="shared" si="1"/>
        <v>36</v>
      </c>
    </row>
    <row r="14" spans="1:86" s="20" customFormat="1" ht="15">
      <c r="A14" s="40">
        <f t="shared" ref="A14:A23" si="3">ROW() - 6</f>
        <v>8</v>
      </c>
      <c r="B14" s="59"/>
      <c r="C14" s="59"/>
      <c r="D14" s="59"/>
      <c r="E14" s="59"/>
      <c r="F14" s="59"/>
      <c r="G14" s="59"/>
      <c r="H14" s="59"/>
      <c r="I14" s="59"/>
      <c r="J14" s="399" t="s">
        <v>1580</v>
      </c>
      <c r="K14" s="232" t="s">
        <v>117</v>
      </c>
      <c r="L14" s="204" t="s">
        <v>1048</v>
      </c>
      <c r="M14" s="204"/>
      <c r="N14" s="126" t="s">
        <v>504</v>
      </c>
      <c r="O14" s="40"/>
      <c r="P14" s="40"/>
      <c r="Q14" s="40" t="s">
        <v>6</v>
      </c>
      <c r="R14" s="40" t="s">
        <v>6</v>
      </c>
      <c r="S14" s="126" t="s">
        <v>6</v>
      </c>
      <c r="T14" s="40" t="s">
        <v>6</v>
      </c>
      <c r="U14" s="218"/>
      <c r="V14" s="246"/>
      <c r="W14" s="232" t="s">
        <v>133</v>
      </c>
      <c r="X14" s="40"/>
      <c r="Y14" s="40"/>
      <c r="Z14" s="40" t="s">
        <v>6</v>
      </c>
      <c r="AA14" s="40" t="s">
        <v>6</v>
      </c>
      <c r="AB14" s="204" t="s">
        <v>1100</v>
      </c>
      <c r="AC14" s="59"/>
      <c r="AD14" s="59"/>
      <c r="AE14" s="232" t="s">
        <v>133</v>
      </c>
      <c r="AF14" s="40"/>
      <c r="AG14" s="40"/>
      <c r="AH14" s="126"/>
      <c r="AI14" s="126"/>
      <c r="AJ14" s="204" t="s">
        <v>1100</v>
      </c>
      <c r="AK14" s="59"/>
      <c r="AL14" s="59"/>
      <c r="AM14" s="59"/>
      <c r="AN14" s="59"/>
      <c r="AO14" s="59"/>
      <c r="AP14" s="59"/>
      <c r="AQ14" s="59"/>
      <c r="AR14" s="59"/>
      <c r="AS14" s="59"/>
      <c r="AT14" s="59"/>
      <c r="AU14" s="59"/>
      <c r="AV14" s="59"/>
      <c r="AW14" s="18">
        <f t="shared" si="1"/>
        <v>39</v>
      </c>
    </row>
    <row r="15" spans="1:86" s="20" customFormat="1" ht="15">
      <c r="A15" s="40">
        <f t="shared" si="3"/>
        <v>9</v>
      </c>
      <c r="B15" s="59"/>
      <c r="C15" s="59"/>
      <c r="D15" s="59"/>
      <c r="E15" s="59"/>
      <c r="F15" s="59"/>
      <c r="G15" s="59"/>
      <c r="H15" s="59"/>
      <c r="I15" s="59"/>
      <c r="J15" s="399" t="s">
        <v>1581</v>
      </c>
      <c r="K15" s="232" t="s">
        <v>117</v>
      </c>
      <c r="L15" s="204" t="s">
        <v>1054</v>
      </c>
      <c r="M15" s="204" t="s">
        <v>4378</v>
      </c>
      <c r="N15" s="126" t="s">
        <v>504</v>
      </c>
      <c r="O15" s="40"/>
      <c r="P15" s="40"/>
      <c r="Q15" s="126" t="s">
        <v>6</v>
      </c>
      <c r="R15" s="126" t="s">
        <v>6</v>
      </c>
      <c r="S15" s="126" t="s">
        <v>6</v>
      </c>
      <c r="T15" s="40" t="s">
        <v>6</v>
      </c>
      <c r="U15" s="204" t="s">
        <v>1582</v>
      </c>
      <c r="V15" s="204"/>
      <c r="W15" s="232" t="s">
        <v>133</v>
      </c>
      <c r="X15" s="40"/>
      <c r="Y15" s="40"/>
      <c r="Z15" s="126" t="s">
        <v>6</v>
      </c>
      <c r="AA15" s="126" t="s">
        <v>6</v>
      </c>
      <c r="AB15" s="15"/>
      <c r="AC15" s="59"/>
      <c r="AD15" s="59"/>
      <c r="AE15" s="232" t="s">
        <v>133</v>
      </c>
      <c r="AF15" s="40"/>
      <c r="AG15" s="40"/>
      <c r="AH15" s="126" t="s">
        <v>6</v>
      </c>
      <c r="AI15" s="126" t="s">
        <v>6</v>
      </c>
      <c r="AJ15" s="15"/>
      <c r="AK15" s="59"/>
      <c r="AL15" s="59"/>
      <c r="AM15" s="59"/>
      <c r="AN15" s="59"/>
      <c r="AO15" s="59"/>
      <c r="AP15" s="59"/>
      <c r="AQ15" s="59"/>
      <c r="AR15" s="59"/>
      <c r="AS15" s="59"/>
      <c r="AT15" s="59"/>
      <c r="AU15" s="59"/>
      <c r="AV15" s="59"/>
      <c r="AW15" s="18">
        <f t="shared" si="1"/>
        <v>28</v>
      </c>
    </row>
    <row r="16" spans="1:86" s="20" customFormat="1" ht="15">
      <c r="A16" s="40">
        <f t="shared" si="3"/>
        <v>10</v>
      </c>
      <c r="B16" s="59"/>
      <c r="C16" s="59"/>
      <c r="D16" s="59"/>
      <c r="E16" s="59"/>
      <c r="F16" s="59"/>
      <c r="G16" s="59"/>
      <c r="H16" s="59"/>
      <c r="I16" s="59"/>
      <c r="J16" s="399" t="s">
        <v>1583</v>
      </c>
      <c r="K16" s="232" t="s">
        <v>117</v>
      </c>
      <c r="L16" s="204" t="s">
        <v>1584</v>
      </c>
      <c r="M16" s="204" t="s">
        <v>4378</v>
      </c>
      <c r="N16" s="126" t="s">
        <v>504</v>
      </c>
      <c r="O16" s="40"/>
      <c r="P16" s="40"/>
      <c r="Q16" s="126" t="s">
        <v>6</v>
      </c>
      <c r="R16" s="126" t="s">
        <v>6</v>
      </c>
      <c r="S16" s="126" t="s">
        <v>6</v>
      </c>
      <c r="T16" s="40" t="s">
        <v>6</v>
      </c>
      <c r="U16" s="204" t="s">
        <v>1582</v>
      </c>
      <c r="V16" s="204"/>
      <c r="W16" s="232" t="s">
        <v>133</v>
      </c>
      <c r="X16" s="40"/>
      <c r="Y16" s="40"/>
      <c r="Z16" s="126" t="s">
        <v>6</v>
      </c>
      <c r="AA16" s="126" t="s">
        <v>6</v>
      </c>
      <c r="AB16" s="15"/>
      <c r="AC16" s="59"/>
      <c r="AD16" s="59"/>
      <c r="AE16" s="232" t="s">
        <v>133</v>
      </c>
      <c r="AF16" s="40"/>
      <c r="AG16" s="40"/>
      <c r="AH16" s="126" t="s">
        <v>6</v>
      </c>
      <c r="AI16" s="126" t="s">
        <v>6</v>
      </c>
      <c r="AJ16" s="15"/>
      <c r="AK16" s="59"/>
      <c r="AL16" s="59"/>
      <c r="AM16" s="59"/>
      <c r="AN16" s="59"/>
      <c r="AO16" s="59"/>
      <c r="AP16" s="59"/>
      <c r="AQ16" s="59"/>
      <c r="AR16" s="59"/>
      <c r="AS16" s="59"/>
      <c r="AT16" s="59"/>
      <c r="AU16" s="59"/>
      <c r="AV16" s="59"/>
      <c r="AW16" s="18">
        <f t="shared" si="1"/>
        <v>29</v>
      </c>
    </row>
    <row r="17" spans="1:49" s="20" customFormat="1" ht="15">
      <c r="A17" s="40">
        <f t="shared" si="3"/>
        <v>11</v>
      </c>
      <c r="B17" s="59"/>
      <c r="C17" s="59"/>
      <c r="D17" s="59"/>
      <c r="E17" s="59"/>
      <c r="F17" s="59"/>
      <c r="G17" s="59"/>
      <c r="H17" s="59"/>
      <c r="I17" s="59"/>
      <c r="J17" s="399" t="s">
        <v>1585</v>
      </c>
      <c r="K17" s="232" t="s">
        <v>117</v>
      </c>
      <c r="L17" s="204" t="s">
        <v>1080</v>
      </c>
      <c r="M17" s="204"/>
      <c r="N17" s="126" t="s">
        <v>504</v>
      </c>
      <c r="O17" s="126"/>
      <c r="P17" s="126"/>
      <c r="Q17" s="126" t="s">
        <v>6</v>
      </c>
      <c r="R17" s="126" t="s">
        <v>6</v>
      </c>
      <c r="S17" s="126" t="s">
        <v>6</v>
      </c>
      <c r="T17" s="40" t="s">
        <v>6</v>
      </c>
      <c r="U17" s="204"/>
      <c r="V17" s="204"/>
      <c r="W17" s="232" t="s">
        <v>133</v>
      </c>
      <c r="X17" s="126"/>
      <c r="Y17" s="126"/>
      <c r="Z17" s="126" t="s">
        <v>6</v>
      </c>
      <c r="AA17" s="126" t="s">
        <v>6</v>
      </c>
      <c r="AB17" s="15"/>
      <c r="AC17" s="59"/>
      <c r="AD17" s="59"/>
      <c r="AE17" s="232" t="s">
        <v>133</v>
      </c>
      <c r="AF17" s="126"/>
      <c r="AG17" s="126"/>
      <c r="AH17" s="126" t="s">
        <v>6</v>
      </c>
      <c r="AI17" s="126" t="s">
        <v>6</v>
      </c>
      <c r="AJ17" s="15"/>
      <c r="AK17" s="59"/>
      <c r="AL17" s="59"/>
      <c r="AM17" s="59"/>
      <c r="AN17" s="59"/>
      <c r="AO17" s="59"/>
      <c r="AP17" s="59"/>
      <c r="AQ17" s="59"/>
      <c r="AR17" s="59"/>
      <c r="AS17" s="59"/>
      <c r="AT17" s="59"/>
      <c r="AU17" s="59"/>
      <c r="AV17" s="59"/>
      <c r="AW17" s="18">
        <f t="shared" si="1"/>
        <v>24</v>
      </c>
    </row>
    <row r="18" spans="1:49" s="20" customFormat="1" ht="15">
      <c r="A18" s="40">
        <f t="shared" si="3"/>
        <v>12</v>
      </c>
      <c r="B18" s="59"/>
      <c r="C18" s="59"/>
      <c r="D18" s="59"/>
      <c r="E18" s="59"/>
      <c r="F18" s="59"/>
      <c r="G18" s="59"/>
      <c r="H18" s="59"/>
      <c r="I18" s="59"/>
      <c r="J18" s="399" t="s">
        <v>1586</v>
      </c>
      <c r="K18" s="232" t="s">
        <v>117</v>
      </c>
      <c r="L18" s="204" t="s">
        <v>1092</v>
      </c>
      <c r="M18" s="204" t="s">
        <v>4882</v>
      </c>
      <c r="N18" s="126" t="s">
        <v>504</v>
      </c>
      <c r="O18" s="126"/>
      <c r="P18" s="126"/>
      <c r="Q18" s="126" t="s">
        <v>6</v>
      </c>
      <c r="R18" s="126" t="s">
        <v>6</v>
      </c>
      <c r="S18" s="126" t="s">
        <v>6</v>
      </c>
      <c r="T18" s="40" t="s">
        <v>6</v>
      </c>
      <c r="U18" s="204"/>
      <c r="V18" s="204"/>
      <c r="W18" s="232" t="s">
        <v>133</v>
      </c>
      <c r="X18" s="126"/>
      <c r="Y18" s="126"/>
      <c r="Z18" s="126" t="s">
        <v>6</v>
      </c>
      <c r="AA18" s="126" t="s">
        <v>6</v>
      </c>
      <c r="AB18" s="15"/>
      <c r="AC18" s="59"/>
      <c r="AD18" s="59"/>
      <c r="AE18" s="232" t="s">
        <v>133</v>
      </c>
      <c r="AF18" s="126"/>
      <c r="AG18" s="126"/>
      <c r="AH18" s="126" t="s">
        <v>6</v>
      </c>
      <c r="AI18" s="126" t="s">
        <v>6</v>
      </c>
      <c r="AJ18" s="15"/>
      <c r="AK18" s="59"/>
      <c r="AL18" s="59"/>
      <c r="AM18" s="59"/>
      <c r="AN18" s="59"/>
      <c r="AO18" s="59"/>
      <c r="AP18" s="59"/>
      <c r="AQ18" s="59"/>
      <c r="AR18" s="59"/>
      <c r="AS18" s="59"/>
      <c r="AT18" s="59"/>
      <c r="AU18" s="59"/>
      <c r="AV18" s="59"/>
      <c r="AW18" s="18">
        <f t="shared" si="1"/>
        <v>25</v>
      </c>
    </row>
    <row r="19" spans="1:49" s="20" customFormat="1" ht="15">
      <c r="A19" s="40">
        <f t="shared" si="3"/>
        <v>13</v>
      </c>
      <c r="B19" s="59"/>
      <c r="C19" s="59"/>
      <c r="D19" s="59"/>
      <c r="E19" s="59"/>
      <c r="F19" s="59"/>
      <c r="G19" s="59"/>
      <c r="H19" s="59"/>
      <c r="I19" s="59"/>
      <c r="J19" s="399" t="s">
        <v>1587</v>
      </c>
      <c r="K19" s="232" t="s">
        <v>117</v>
      </c>
      <c r="L19" s="204" t="s">
        <v>1094</v>
      </c>
      <c r="M19" s="204" t="s">
        <v>4882</v>
      </c>
      <c r="N19" s="349" t="s">
        <v>873</v>
      </c>
      <c r="O19" s="126"/>
      <c r="P19" s="126"/>
      <c r="Q19" s="126" t="s">
        <v>6</v>
      </c>
      <c r="R19" s="126" t="s">
        <v>6</v>
      </c>
      <c r="S19" s="126" t="s">
        <v>6</v>
      </c>
      <c r="T19" s="40" t="s">
        <v>6</v>
      </c>
      <c r="U19" s="204" t="s">
        <v>1582</v>
      </c>
      <c r="V19" s="204"/>
      <c r="W19" s="232" t="s">
        <v>133</v>
      </c>
      <c r="X19" s="126"/>
      <c r="Y19" s="126"/>
      <c r="Z19" s="126" t="s">
        <v>6</v>
      </c>
      <c r="AA19" s="126" t="s">
        <v>6</v>
      </c>
      <c r="AB19" s="15"/>
      <c r="AC19" s="59"/>
      <c r="AD19" s="59"/>
      <c r="AE19" s="232" t="s">
        <v>133</v>
      </c>
      <c r="AF19" s="126"/>
      <c r="AG19" s="126"/>
      <c r="AH19" s="126" t="s">
        <v>6</v>
      </c>
      <c r="AI19" s="126" t="s">
        <v>6</v>
      </c>
      <c r="AJ19" s="15"/>
      <c r="AK19" s="59"/>
      <c r="AL19" s="59"/>
      <c r="AM19" s="59"/>
      <c r="AN19" s="59"/>
      <c r="AO19" s="59"/>
      <c r="AP19" s="59"/>
      <c r="AQ19" s="59"/>
      <c r="AR19" s="59"/>
      <c r="AS19" s="59"/>
      <c r="AT19" s="59"/>
      <c r="AU19" s="59"/>
      <c r="AV19" s="59"/>
      <c r="AW19" s="18">
        <f t="shared" si="1"/>
        <v>30</v>
      </c>
    </row>
    <row r="20" spans="1:49" s="20" customFormat="1" ht="15">
      <c r="A20" s="40">
        <f t="shared" si="3"/>
        <v>14</v>
      </c>
      <c r="B20" s="59"/>
      <c r="C20" s="59"/>
      <c r="D20" s="59"/>
      <c r="E20" s="59"/>
      <c r="F20" s="59"/>
      <c r="G20" s="59"/>
      <c r="H20" s="59"/>
      <c r="I20" s="59"/>
      <c r="J20" s="399" t="s">
        <v>1588</v>
      </c>
      <c r="K20" s="232" t="s">
        <v>117</v>
      </c>
      <c r="L20" s="204" t="s">
        <v>1106</v>
      </c>
      <c r="M20" s="204"/>
      <c r="N20" s="126" t="s">
        <v>504</v>
      </c>
      <c r="O20" s="126"/>
      <c r="P20" s="126"/>
      <c r="Q20" s="126" t="s">
        <v>6</v>
      </c>
      <c r="R20" s="126" t="s">
        <v>6</v>
      </c>
      <c r="S20" s="126" t="s">
        <v>6</v>
      </c>
      <c r="T20" s="40" t="s">
        <v>6</v>
      </c>
      <c r="U20" s="215"/>
      <c r="V20" s="399"/>
      <c r="W20" s="232" t="s">
        <v>133</v>
      </c>
      <c r="X20" s="126"/>
      <c r="Y20" s="126"/>
      <c r="Z20" s="126" t="s">
        <v>6</v>
      </c>
      <c r="AA20" s="126" t="s">
        <v>6</v>
      </c>
      <c r="AB20" s="15"/>
      <c r="AC20" s="59"/>
      <c r="AD20" s="59"/>
      <c r="AE20" s="232" t="s">
        <v>133</v>
      </c>
      <c r="AF20" s="126"/>
      <c r="AG20" s="126"/>
      <c r="AH20" s="126" t="s">
        <v>6</v>
      </c>
      <c r="AI20" s="126" t="s">
        <v>6</v>
      </c>
      <c r="AJ20" s="15"/>
      <c r="AK20" s="59"/>
      <c r="AL20" s="59"/>
      <c r="AM20" s="59"/>
      <c r="AN20" s="59"/>
      <c r="AO20" s="59"/>
      <c r="AP20" s="59"/>
      <c r="AQ20" s="59"/>
      <c r="AR20" s="59"/>
      <c r="AS20" s="59"/>
      <c r="AT20" s="59"/>
      <c r="AU20" s="59"/>
      <c r="AV20" s="59"/>
      <c r="AW20" s="18">
        <f t="shared" si="1"/>
        <v>21</v>
      </c>
    </row>
    <row r="21" spans="1:49" s="20" customFormat="1" ht="15">
      <c r="A21" s="40">
        <f t="shared" si="3"/>
        <v>15</v>
      </c>
      <c r="B21" s="59"/>
      <c r="C21" s="59"/>
      <c r="D21" s="59"/>
      <c r="E21" s="59"/>
      <c r="F21" s="59"/>
      <c r="G21" s="59"/>
      <c r="H21" s="59"/>
      <c r="I21" s="59"/>
      <c r="J21" s="399" t="s">
        <v>1589</v>
      </c>
      <c r="K21" s="232" t="s">
        <v>117</v>
      </c>
      <c r="L21" s="204" t="s">
        <v>1110</v>
      </c>
      <c r="M21" s="204" t="s">
        <v>4540</v>
      </c>
      <c r="N21" s="126" t="s">
        <v>504</v>
      </c>
      <c r="O21" s="126"/>
      <c r="P21" s="126"/>
      <c r="Q21" s="126" t="s">
        <v>6</v>
      </c>
      <c r="R21" s="126" t="s">
        <v>6</v>
      </c>
      <c r="S21" s="126" t="s">
        <v>6</v>
      </c>
      <c r="T21" s="40" t="s">
        <v>6</v>
      </c>
      <c r="U21" s="242"/>
      <c r="V21" s="210"/>
      <c r="W21" s="232" t="s">
        <v>133</v>
      </c>
      <c r="X21" s="126"/>
      <c r="Y21" s="126"/>
      <c r="Z21" s="126" t="s">
        <v>6</v>
      </c>
      <c r="AA21" s="126" t="s">
        <v>6</v>
      </c>
      <c r="AB21" s="15"/>
      <c r="AC21" s="59"/>
      <c r="AD21" s="59"/>
      <c r="AE21" s="232" t="s">
        <v>133</v>
      </c>
      <c r="AF21" s="126"/>
      <c r="AG21" s="126"/>
      <c r="AH21" s="126" t="s">
        <v>6</v>
      </c>
      <c r="AI21" s="126" t="s">
        <v>6</v>
      </c>
      <c r="AJ21" s="15"/>
      <c r="AK21" s="59"/>
      <c r="AL21" s="59"/>
      <c r="AM21" s="59"/>
      <c r="AN21" s="59"/>
      <c r="AO21" s="59"/>
      <c r="AP21" s="59"/>
      <c r="AQ21" s="59"/>
      <c r="AR21" s="59"/>
      <c r="AS21" s="59"/>
      <c r="AT21" s="59"/>
      <c r="AU21" s="59"/>
      <c r="AV21" s="59"/>
      <c r="AW21" s="18">
        <f t="shared" si="1"/>
        <v>34</v>
      </c>
    </row>
    <row r="22" spans="1:49" s="20" customFormat="1" ht="15">
      <c r="A22" s="40">
        <f t="shared" si="3"/>
        <v>16</v>
      </c>
      <c r="B22" s="59"/>
      <c r="C22" s="59"/>
      <c r="D22" s="59"/>
      <c r="E22" s="59"/>
      <c r="F22" s="59"/>
      <c r="G22" s="59"/>
      <c r="H22" s="59"/>
      <c r="I22" s="59"/>
      <c r="J22" s="399" t="s">
        <v>1590</v>
      </c>
      <c r="K22" s="232" t="s">
        <v>117</v>
      </c>
      <c r="L22" s="204" t="s">
        <v>1131</v>
      </c>
      <c r="M22" s="204"/>
      <c r="N22" s="126" t="s">
        <v>504</v>
      </c>
      <c r="O22" s="126"/>
      <c r="P22" s="126"/>
      <c r="Q22" s="126" t="s">
        <v>6</v>
      </c>
      <c r="R22" s="126" t="s">
        <v>6</v>
      </c>
      <c r="S22" s="126" t="s">
        <v>6</v>
      </c>
      <c r="T22" s="40" t="s">
        <v>6</v>
      </c>
      <c r="U22" s="204"/>
      <c r="V22" s="204"/>
      <c r="W22" s="232" t="s">
        <v>133</v>
      </c>
      <c r="X22" s="126"/>
      <c r="Y22" s="126"/>
      <c r="Z22" s="40" t="s">
        <v>6</v>
      </c>
      <c r="AA22" s="40" t="s">
        <v>6</v>
      </c>
      <c r="AB22" s="258" t="s">
        <v>1100</v>
      </c>
      <c r="AC22" s="59"/>
      <c r="AD22" s="59"/>
      <c r="AE22" s="232" t="s">
        <v>133</v>
      </c>
      <c r="AF22" s="126"/>
      <c r="AG22" s="126"/>
      <c r="AH22" s="126"/>
      <c r="AI22" s="126"/>
      <c r="AJ22" s="258" t="s">
        <v>1100</v>
      </c>
      <c r="AK22" s="59"/>
      <c r="AL22" s="59"/>
      <c r="AM22" s="59"/>
      <c r="AN22" s="59"/>
      <c r="AO22" s="59"/>
      <c r="AP22" s="59"/>
      <c r="AQ22" s="59"/>
      <c r="AR22" s="59"/>
      <c r="AS22" s="59"/>
      <c r="AT22" s="59"/>
      <c r="AU22" s="59"/>
      <c r="AV22" s="59"/>
      <c r="AW22" s="18">
        <f t="shared" si="1"/>
        <v>28</v>
      </c>
    </row>
    <row r="23" spans="1:49" s="20" customFormat="1" ht="15">
      <c r="A23" s="40">
        <f t="shared" si="3"/>
        <v>17</v>
      </c>
      <c r="B23" s="59"/>
      <c r="C23" s="59"/>
      <c r="D23" s="59"/>
      <c r="E23" s="59"/>
      <c r="F23" s="59"/>
      <c r="G23" s="59"/>
      <c r="H23" s="59"/>
      <c r="I23" s="59"/>
      <c r="J23" s="399" t="s">
        <v>1591</v>
      </c>
      <c r="K23" s="232" t="s">
        <v>117</v>
      </c>
      <c r="L23" s="204" t="s">
        <v>1139</v>
      </c>
      <c r="M23" s="204"/>
      <c r="N23" s="126" t="s">
        <v>504</v>
      </c>
      <c r="O23" s="126"/>
      <c r="P23" s="126"/>
      <c r="Q23" s="126" t="s">
        <v>6</v>
      </c>
      <c r="R23" s="126" t="s">
        <v>6</v>
      </c>
      <c r="S23" s="126" t="s">
        <v>6</v>
      </c>
      <c r="T23" s="40" t="s">
        <v>6</v>
      </c>
      <c r="U23" s="204"/>
      <c r="V23" s="204"/>
      <c r="W23" s="232" t="s">
        <v>133</v>
      </c>
      <c r="X23" s="126"/>
      <c r="Y23" s="126"/>
      <c r="Z23" s="40" t="s">
        <v>6</v>
      </c>
      <c r="AA23" s="40" t="s">
        <v>6</v>
      </c>
      <c r="AB23" s="258" t="s">
        <v>1100</v>
      </c>
      <c r="AC23" s="59"/>
      <c r="AD23" s="59"/>
      <c r="AE23" s="232" t="s">
        <v>133</v>
      </c>
      <c r="AF23" s="126"/>
      <c r="AG23" s="126"/>
      <c r="AH23" s="126"/>
      <c r="AI23" s="126"/>
      <c r="AJ23" s="258" t="s">
        <v>1100</v>
      </c>
      <c r="AK23" s="59"/>
      <c r="AL23" s="59"/>
      <c r="AM23" s="59"/>
      <c r="AN23" s="59"/>
      <c r="AO23" s="59"/>
      <c r="AP23" s="59"/>
      <c r="AQ23" s="59"/>
      <c r="AR23" s="59"/>
      <c r="AS23" s="59"/>
      <c r="AT23" s="59"/>
      <c r="AU23" s="59"/>
      <c r="AV23" s="59"/>
      <c r="AW23" s="18">
        <f t="shared" si="1"/>
        <v>28</v>
      </c>
    </row>
    <row r="24" spans="1:49" s="20" customFormat="1" ht="15">
      <c r="A24" s="40">
        <f t="shared" ref="A24:A45" si="4">ROW() - 6</f>
        <v>18</v>
      </c>
      <c r="B24" s="59"/>
      <c r="C24" s="59"/>
      <c r="D24" s="59"/>
      <c r="E24" s="59"/>
      <c r="F24" s="59"/>
      <c r="G24" s="59"/>
      <c r="H24" s="59"/>
      <c r="I24" s="59"/>
      <c r="J24" s="399" t="s">
        <v>1593</v>
      </c>
      <c r="K24" s="232" t="s">
        <v>117</v>
      </c>
      <c r="L24" s="204" t="s">
        <v>691</v>
      </c>
      <c r="M24" s="204"/>
      <c r="N24" s="126" t="s">
        <v>504</v>
      </c>
      <c r="O24" s="126"/>
      <c r="P24" s="126"/>
      <c r="Q24" s="126" t="s">
        <v>6</v>
      </c>
      <c r="R24" s="126" t="s">
        <v>6</v>
      </c>
      <c r="S24" s="126" t="s">
        <v>6</v>
      </c>
      <c r="T24" s="40" t="s">
        <v>6</v>
      </c>
      <c r="U24" s="204"/>
      <c r="V24" s="232"/>
      <c r="W24" s="232" t="s">
        <v>133</v>
      </c>
      <c r="X24" s="126"/>
      <c r="Y24" s="126"/>
      <c r="Z24" s="126" t="s">
        <v>6</v>
      </c>
      <c r="AA24" s="126" t="s">
        <v>6</v>
      </c>
      <c r="AB24" s="15"/>
      <c r="AC24" s="59"/>
      <c r="AD24" s="59"/>
      <c r="AE24" s="232" t="s">
        <v>133</v>
      </c>
      <c r="AF24" s="126"/>
      <c r="AG24" s="126"/>
      <c r="AH24" s="126" t="s">
        <v>6</v>
      </c>
      <c r="AI24" s="126" t="s">
        <v>6</v>
      </c>
      <c r="AJ24" s="15"/>
      <c r="AK24" s="59"/>
      <c r="AL24" s="59"/>
      <c r="AM24" s="59"/>
      <c r="AN24" s="59"/>
      <c r="AO24" s="59"/>
      <c r="AP24" s="59"/>
      <c r="AQ24" s="59"/>
      <c r="AR24" s="59"/>
      <c r="AS24" s="59"/>
      <c r="AT24" s="59"/>
      <c r="AU24" s="59"/>
      <c r="AV24" s="59"/>
      <c r="AW24" s="18">
        <f t="shared" ref="AW24:AW119" si="5">LEN(L24)</f>
        <v>24</v>
      </c>
    </row>
    <row r="25" spans="1:49" s="20" customFormat="1" ht="15">
      <c r="A25" s="40">
        <f t="shared" si="4"/>
        <v>19</v>
      </c>
      <c r="B25" s="59"/>
      <c r="C25" s="59"/>
      <c r="D25" s="59"/>
      <c r="E25" s="59"/>
      <c r="F25" s="59"/>
      <c r="G25" s="59"/>
      <c r="H25" s="59"/>
      <c r="I25" s="59"/>
      <c r="J25" s="248" t="s">
        <v>1594</v>
      </c>
      <c r="K25" s="232" t="s">
        <v>117</v>
      </c>
      <c r="L25" s="204" t="s">
        <v>691</v>
      </c>
      <c r="M25" s="204"/>
      <c r="N25" s="126" t="s">
        <v>504</v>
      </c>
      <c r="O25" s="126"/>
      <c r="P25" s="126"/>
      <c r="Q25" s="126" t="s">
        <v>6</v>
      </c>
      <c r="R25" s="126" t="s">
        <v>6</v>
      </c>
      <c r="S25" s="126" t="s">
        <v>6</v>
      </c>
      <c r="T25" s="40" t="s">
        <v>6</v>
      </c>
      <c r="U25" s="244" t="s">
        <v>1595</v>
      </c>
      <c r="V25" s="232"/>
      <c r="W25" s="232" t="s">
        <v>133</v>
      </c>
      <c r="X25" s="126"/>
      <c r="Y25" s="126"/>
      <c r="Z25" s="126" t="s">
        <v>6</v>
      </c>
      <c r="AA25" s="126" t="s">
        <v>6</v>
      </c>
      <c r="AB25" s="15"/>
      <c r="AC25" s="59"/>
      <c r="AD25" s="59"/>
      <c r="AE25" s="232" t="s">
        <v>133</v>
      </c>
      <c r="AF25" s="126"/>
      <c r="AG25" s="126"/>
      <c r="AH25" s="126" t="s">
        <v>6</v>
      </c>
      <c r="AI25" s="126" t="s">
        <v>6</v>
      </c>
      <c r="AJ25" s="15"/>
      <c r="AK25" s="59"/>
      <c r="AL25" s="59"/>
      <c r="AM25" s="59"/>
      <c r="AN25" s="59"/>
      <c r="AO25" s="59"/>
      <c r="AP25" s="59"/>
      <c r="AQ25" s="59"/>
      <c r="AR25" s="59"/>
      <c r="AS25" s="59"/>
      <c r="AT25" s="59"/>
      <c r="AU25" s="59"/>
      <c r="AV25" s="59"/>
      <c r="AW25" s="18">
        <f t="shared" ref="AW25" si="6">LEN(L25)</f>
        <v>24</v>
      </c>
    </row>
    <row r="26" spans="1:49" s="20" customFormat="1" ht="15">
      <c r="A26" s="40">
        <f t="shared" si="4"/>
        <v>20</v>
      </c>
      <c r="B26" s="59"/>
      <c r="C26" s="59"/>
      <c r="D26" s="59"/>
      <c r="E26" s="59"/>
      <c r="F26" s="59"/>
      <c r="G26" s="59"/>
      <c r="H26" s="59"/>
      <c r="I26" s="59"/>
      <c r="J26" s="218" t="s">
        <v>1596</v>
      </c>
      <c r="K26" s="232" t="s">
        <v>117</v>
      </c>
      <c r="L26" s="204" t="s">
        <v>729</v>
      </c>
      <c r="M26" s="204"/>
      <c r="N26" s="126" t="s">
        <v>504</v>
      </c>
      <c r="O26" s="126"/>
      <c r="P26" s="126"/>
      <c r="Q26" s="126" t="s">
        <v>6</v>
      </c>
      <c r="R26" s="126" t="s">
        <v>6</v>
      </c>
      <c r="S26" s="126" t="s">
        <v>6</v>
      </c>
      <c r="T26" s="40" t="s">
        <v>6</v>
      </c>
      <c r="U26" s="204"/>
      <c r="V26" s="206"/>
      <c r="W26" s="232" t="s">
        <v>125</v>
      </c>
      <c r="X26" s="126"/>
      <c r="Y26" s="126"/>
      <c r="Z26" s="126"/>
      <c r="AA26" s="126" t="s">
        <v>6</v>
      </c>
      <c r="AB26" s="15"/>
      <c r="AC26" s="59"/>
      <c r="AD26" s="59"/>
      <c r="AE26" s="232" t="s">
        <v>125</v>
      </c>
      <c r="AF26" s="126"/>
      <c r="AG26" s="126"/>
      <c r="AH26" s="126"/>
      <c r="AI26" s="126" t="s">
        <v>6</v>
      </c>
      <c r="AJ26" s="15"/>
      <c r="AK26" s="59"/>
      <c r="AL26" s="59"/>
      <c r="AM26" s="59"/>
      <c r="AN26" s="59"/>
      <c r="AO26" s="59"/>
      <c r="AP26" s="59"/>
      <c r="AQ26" s="59"/>
      <c r="AR26" s="59"/>
      <c r="AS26" s="59"/>
      <c r="AT26" s="59"/>
      <c r="AU26" s="59"/>
      <c r="AV26" s="59"/>
      <c r="AW26" s="18">
        <f>LEN(L26)</f>
        <v>18</v>
      </c>
    </row>
    <row r="27" spans="1:49" s="20" customFormat="1" ht="15">
      <c r="A27" s="40">
        <f>ROW() - 6</f>
        <v>21</v>
      </c>
      <c r="B27" s="59"/>
      <c r="C27" s="59"/>
      <c r="D27" s="59"/>
      <c r="E27" s="59"/>
      <c r="F27" s="59"/>
      <c r="G27" s="59"/>
      <c r="H27" s="59"/>
      <c r="I27" s="59"/>
      <c r="J27" s="218" t="s">
        <v>1597</v>
      </c>
      <c r="K27" s="232" t="s">
        <v>117</v>
      </c>
      <c r="L27" s="204" t="s">
        <v>1391</v>
      </c>
      <c r="M27" s="204"/>
      <c r="N27" s="126" t="s">
        <v>504</v>
      </c>
      <c r="O27" s="126"/>
      <c r="P27" s="126"/>
      <c r="Q27" s="126" t="s">
        <v>6</v>
      </c>
      <c r="R27" s="126" t="s">
        <v>6</v>
      </c>
      <c r="S27" s="126" t="s">
        <v>6</v>
      </c>
      <c r="T27" s="40" t="s">
        <v>6</v>
      </c>
      <c r="U27" s="204"/>
      <c r="V27" s="206"/>
      <c r="W27" s="232" t="s">
        <v>125</v>
      </c>
      <c r="X27" s="126"/>
      <c r="Y27" s="126"/>
      <c r="Z27" s="126"/>
      <c r="AA27" s="126" t="s">
        <v>6</v>
      </c>
      <c r="AB27" s="15"/>
      <c r="AC27" s="59"/>
      <c r="AD27" s="59"/>
      <c r="AE27" s="232" t="s">
        <v>125</v>
      </c>
      <c r="AF27" s="126"/>
      <c r="AG27" s="126"/>
      <c r="AH27" s="126"/>
      <c r="AI27" s="126" t="s">
        <v>6</v>
      </c>
      <c r="AJ27" s="15"/>
      <c r="AK27" s="59"/>
      <c r="AL27" s="59"/>
      <c r="AM27" s="59"/>
      <c r="AN27" s="59"/>
      <c r="AO27" s="59"/>
      <c r="AP27" s="59"/>
      <c r="AQ27" s="59"/>
      <c r="AR27" s="59"/>
      <c r="AS27" s="59"/>
      <c r="AT27" s="59"/>
      <c r="AU27" s="59"/>
      <c r="AV27" s="59"/>
      <c r="AW27" s="18">
        <f t="shared" si="5"/>
        <v>38</v>
      </c>
    </row>
    <row r="28" spans="1:49" s="236" customFormat="1" ht="15">
      <c r="A28" s="40">
        <f>ROW() - 6</f>
        <v>22</v>
      </c>
      <c r="B28" s="199"/>
      <c r="C28" s="199"/>
      <c r="D28" s="199"/>
      <c r="E28" s="199"/>
      <c r="F28" s="199"/>
      <c r="G28" s="199"/>
      <c r="H28" s="199"/>
      <c r="I28" s="199"/>
      <c r="J28" s="218" t="s">
        <v>3367</v>
      </c>
      <c r="K28" s="204" t="s">
        <v>117</v>
      </c>
      <c r="L28" s="204" t="s">
        <v>732</v>
      </c>
      <c r="M28" s="204"/>
      <c r="N28" s="40" t="s">
        <v>504</v>
      </c>
      <c r="O28" s="199"/>
      <c r="P28" s="199"/>
      <c r="Q28" s="40" t="s">
        <v>6</v>
      </c>
      <c r="R28" s="40" t="s">
        <v>6</v>
      </c>
      <c r="S28" s="40" t="s">
        <v>6</v>
      </c>
      <c r="T28" s="40" t="s">
        <v>6</v>
      </c>
      <c r="U28" s="204" t="s">
        <v>733</v>
      </c>
      <c r="V28" s="204"/>
      <c r="W28" s="204"/>
      <c r="X28" s="199"/>
      <c r="Y28" s="199"/>
      <c r="Z28" s="40"/>
      <c r="AA28" s="40"/>
      <c r="AB28" s="218"/>
      <c r="AC28" s="199"/>
      <c r="AD28" s="218"/>
      <c r="AE28" s="204"/>
      <c r="AF28" s="199"/>
      <c r="AG28" s="199"/>
      <c r="AH28" s="199"/>
      <c r="AI28" s="40"/>
      <c r="AJ28" s="218"/>
      <c r="AK28" s="199"/>
      <c r="AL28" s="218"/>
      <c r="AM28" s="199"/>
      <c r="AN28" s="199"/>
      <c r="AO28" s="199"/>
      <c r="AP28" s="199"/>
      <c r="AQ28" s="199"/>
      <c r="AR28" s="199"/>
      <c r="AS28" s="199"/>
      <c r="AT28" s="199"/>
      <c r="AU28" s="199"/>
      <c r="AV28" s="199"/>
      <c r="AW28" s="155">
        <f t="shared" si="5"/>
        <v>29</v>
      </c>
    </row>
    <row r="29" spans="1:49" s="20" customFormat="1" ht="15">
      <c r="A29" s="40">
        <f t="shared" si="4"/>
        <v>23</v>
      </c>
      <c r="B29" s="59"/>
      <c r="C29" s="59"/>
      <c r="D29" s="59"/>
      <c r="E29" s="59"/>
      <c r="F29" s="59"/>
      <c r="G29" s="59"/>
      <c r="H29" s="59"/>
      <c r="I29" s="59"/>
      <c r="J29" s="218" t="s">
        <v>1598</v>
      </c>
      <c r="K29" s="204" t="s">
        <v>117</v>
      </c>
      <c r="L29" s="204" t="s">
        <v>735</v>
      </c>
      <c r="M29" s="204"/>
      <c r="N29" s="126" t="s">
        <v>504</v>
      </c>
      <c r="O29" s="126"/>
      <c r="P29" s="126"/>
      <c r="Q29" s="40" t="s">
        <v>6</v>
      </c>
      <c r="R29" s="40" t="s">
        <v>6</v>
      </c>
      <c r="S29" s="40" t="s">
        <v>6</v>
      </c>
      <c r="T29" s="40" t="s">
        <v>6</v>
      </c>
      <c r="U29" s="204"/>
      <c r="V29" s="206"/>
      <c r="W29" s="204" t="s">
        <v>125</v>
      </c>
      <c r="X29" s="126"/>
      <c r="Y29" s="126"/>
      <c r="Z29" s="126"/>
      <c r="AA29" s="40" t="s">
        <v>6</v>
      </c>
      <c r="AB29" s="218"/>
      <c r="AC29" s="59"/>
      <c r="AD29" s="218"/>
      <c r="AE29" s="204" t="s">
        <v>125</v>
      </c>
      <c r="AF29" s="126"/>
      <c r="AG29" s="126"/>
      <c r="AH29" s="126"/>
      <c r="AI29" s="40" t="s">
        <v>6</v>
      </c>
      <c r="AJ29" s="218"/>
      <c r="AK29" s="59"/>
      <c r="AL29" s="218"/>
      <c r="AM29" s="59"/>
      <c r="AN29" s="59"/>
      <c r="AO29" s="59"/>
      <c r="AP29" s="59"/>
      <c r="AQ29" s="59"/>
      <c r="AR29" s="59"/>
      <c r="AS29" s="59"/>
      <c r="AT29" s="59"/>
      <c r="AU29" s="59"/>
      <c r="AV29" s="59"/>
      <c r="AW29" s="18">
        <f t="shared" ref="AW29:AW42" si="7">LEN(L29)</f>
        <v>14</v>
      </c>
    </row>
    <row r="30" spans="1:49" s="20" customFormat="1" ht="15">
      <c r="A30" s="40">
        <f t="shared" si="4"/>
        <v>24</v>
      </c>
      <c r="B30" s="59"/>
      <c r="C30" s="59"/>
      <c r="D30" s="59"/>
      <c r="E30" s="59"/>
      <c r="F30" s="59"/>
      <c r="G30" s="59"/>
      <c r="H30" s="59"/>
      <c r="I30" s="59"/>
      <c r="J30" s="218" t="s">
        <v>1599</v>
      </c>
      <c r="K30" s="204" t="s">
        <v>117</v>
      </c>
      <c r="L30" s="204" t="s">
        <v>737</v>
      </c>
      <c r="M30" s="204"/>
      <c r="N30" s="126" t="s">
        <v>504</v>
      </c>
      <c r="O30" s="126"/>
      <c r="P30" s="126"/>
      <c r="Q30" s="40" t="s">
        <v>6</v>
      </c>
      <c r="R30" s="40" t="s">
        <v>6</v>
      </c>
      <c r="S30" s="40" t="s">
        <v>6</v>
      </c>
      <c r="T30" s="40" t="s">
        <v>6</v>
      </c>
      <c r="U30" s="204"/>
      <c r="V30" s="206"/>
      <c r="W30" s="204" t="s">
        <v>125</v>
      </c>
      <c r="X30" s="126"/>
      <c r="Y30" s="126"/>
      <c r="Z30" s="126"/>
      <c r="AA30" s="40" t="s">
        <v>6</v>
      </c>
      <c r="AB30" s="15"/>
      <c r="AC30" s="59"/>
      <c r="AD30" s="59"/>
      <c r="AE30" s="204" t="s">
        <v>125</v>
      </c>
      <c r="AF30" s="126"/>
      <c r="AG30" s="126"/>
      <c r="AH30" s="126"/>
      <c r="AI30" s="40" t="s">
        <v>6</v>
      </c>
      <c r="AJ30" s="15"/>
      <c r="AK30" s="59"/>
      <c r="AL30" s="59"/>
      <c r="AM30" s="59"/>
      <c r="AN30" s="59"/>
      <c r="AO30" s="59"/>
      <c r="AP30" s="59"/>
      <c r="AQ30" s="59"/>
      <c r="AR30" s="59"/>
      <c r="AS30" s="59"/>
      <c r="AT30" s="59"/>
      <c r="AU30" s="59"/>
      <c r="AV30" s="59"/>
      <c r="AW30" s="18">
        <f t="shared" si="7"/>
        <v>28</v>
      </c>
    </row>
    <row r="31" spans="1:49" s="20" customFormat="1" ht="26.4">
      <c r="A31" s="40">
        <f>ROW() - 6</f>
        <v>25</v>
      </c>
      <c r="B31" s="59"/>
      <c r="C31" s="59"/>
      <c r="D31" s="59"/>
      <c r="E31" s="59"/>
      <c r="F31" s="59"/>
      <c r="G31" s="59"/>
      <c r="H31" s="59"/>
      <c r="I31" s="59"/>
      <c r="J31" s="218" t="s">
        <v>3315</v>
      </c>
      <c r="K31" s="232" t="s">
        <v>117</v>
      </c>
      <c r="L31" s="204" t="s">
        <v>740</v>
      </c>
      <c r="M31" s="204"/>
      <c r="N31" s="126" t="s">
        <v>504</v>
      </c>
      <c r="O31" s="126"/>
      <c r="P31" s="126"/>
      <c r="Q31" s="40" t="s">
        <v>6</v>
      </c>
      <c r="R31" s="40" t="s">
        <v>6</v>
      </c>
      <c r="S31" s="40" t="s">
        <v>6</v>
      </c>
      <c r="T31" s="40" t="s">
        <v>6</v>
      </c>
      <c r="U31" s="204" t="s">
        <v>741</v>
      </c>
      <c r="V31" s="204"/>
      <c r="W31" s="204" t="s">
        <v>125</v>
      </c>
      <c r="X31" s="199"/>
      <c r="Y31" s="199"/>
      <c r="Z31" s="40" t="s">
        <v>6</v>
      </c>
      <c r="AA31" s="40" t="s">
        <v>6</v>
      </c>
      <c r="AB31" s="218"/>
      <c r="AC31" s="199"/>
      <c r="AD31" s="218" t="s">
        <v>709</v>
      </c>
      <c r="AE31" s="204" t="s">
        <v>125</v>
      </c>
      <c r="AF31" s="199"/>
      <c r="AG31" s="199"/>
      <c r="AH31" s="199"/>
      <c r="AI31" s="40" t="s">
        <v>6</v>
      </c>
      <c r="AJ31" s="218"/>
      <c r="AK31" s="199"/>
      <c r="AL31" s="218" t="s">
        <v>709</v>
      </c>
      <c r="AM31" s="199"/>
      <c r="AN31" s="199"/>
      <c r="AO31" s="199"/>
      <c r="AP31" s="199"/>
      <c r="AQ31" s="199"/>
      <c r="AR31" s="199"/>
      <c r="AS31" s="199"/>
      <c r="AT31" s="199"/>
      <c r="AU31" s="199"/>
      <c r="AV31" s="199"/>
      <c r="AW31" s="18">
        <f t="shared" si="7"/>
        <v>26</v>
      </c>
    </row>
    <row r="32" spans="1:49" s="20" customFormat="1" ht="15">
      <c r="A32" s="40">
        <f t="shared" si="4"/>
        <v>26</v>
      </c>
      <c r="B32" s="59"/>
      <c r="C32" s="59"/>
      <c r="D32" s="59"/>
      <c r="E32" s="59"/>
      <c r="F32" s="59"/>
      <c r="G32" s="59"/>
      <c r="H32" s="59"/>
      <c r="I32" s="59"/>
      <c r="J32" s="218" t="s">
        <v>1600</v>
      </c>
      <c r="K32" s="232" t="s">
        <v>134</v>
      </c>
      <c r="L32" s="204" t="s">
        <v>744</v>
      </c>
      <c r="M32" s="204"/>
      <c r="N32" s="126" t="s">
        <v>504</v>
      </c>
      <c r="O32" s="126"/>
      <c r="P32" s="126"/>
      <c r="Q32" s="40" t="s">
        <v>6</v>
      </c>
      <c r="R32" s="40" t="s">
        <v>6</v>
      </c>
      <c r="S32" s="40" t="s">
        <v>6</v>
      </c>
      <c r="T32" s="40" t="s">
        <v>6</v>
      </c>
      <c r="U32" s="204"/>
      <c r="V32" s="206"/>
      <c r="W32" s="232" t="s">
        <v>137</v>
      </c>
      <c r="X32" s="126"/>
      <c r="Y32" s="126"/>
      <c r="Z32" s="126"/>
      <c r="AA32" s="40" t="s">
        <v>6</v>
      </c>
      <c r="AB32" s="15"/>
      <c r="AC32" s="59"/>
      <c r="AD32" s="59"/>
      <c r="AE32" s="232" t="s">
        <v>137</v>
      </c>
      <c r="AF32" s="126"/>
      <c r="AG32" s="126"/>
      <c r="AH32" s="126"/>
      <c r="AI32" s="40" t="s">
        <v>6</v>
      </c>
      <c r="AJ32" s="15"/>
      <c r="AK32" s="59"/>
      <c r="AL32" s="59"/>
      <c r="AM32" s="59"/>
      <c r="AN32" s="59"/>
      <c r="AO32" s="59"/>
      <c r="AP32" s="59"/>
      <c r="AQ32" s="59"/>
      <c r="AR32" s="59"/>
      <c r="AS32" s="59"/>
      <c r="AT32" s="59"/>
      <c r="AU32" s="59"/>
      <c r="AV32" s="59"/>
      <c r="AW32" s="18">
        <f t="shared" si="7"/>
        <v>17</v>
      </c>
    </row>
    <row r="33" spans="1:51" s="20" customFormat="1" ht="15">
      <c r="A33" s="40">
        <f t="shared" si="4"/>
        <v>27</v>
      </c>
      <c r="B33" s="59"/>
      <c r="C33" s="59"/>
      <c r="D33" s="59"/>
      <c r="E33" s="59"/>
      <c r="F33" s="59"/>
      <c r="G33" s="59"/>
      <c r="H33" s="59"/>
      <c r="I33" s="59"/>
      <c r="J33" s="218" t="s">
        <v>1601</v>
      </c>
      <c r="K33" s="232" t="s">
        <v>140</v>
      </c>
      <c r="L33" s="204" t="s">
        <v>754</v>
      </c>
      <c r="M33" s="204"/>
      <c r="N33" s="126" t="s">
        <v>504</v>
      </c>
      <c r="O33" s="126"/>
      <c r="P33" s="126"/>
      <c r="Q33" s="40" t="s">
        <v>6</v>
      </c>
      <c r="R33" s="40" t="s">
        <v>6</v>
      </c>
      <c r="S33" s="40" t="s">
        <v>6</v>
      </c>
      <c r="T33" s="40" t="s">
        <v>6</v>
      </c>
      <c r="U33" s="200" t="s">
        <v>802</v>
      </c>
      <c r="V33" s="206"/>
      <c r="W33" s="232" t="s">
        <v>140</v>
      </c>
      <c r="X33" s="126"/>
      <c r="Y33" s="126"/>
      <c r="Z33" s="126"/>
      <c r="AA33" s="40" t="s">
        <v>6</v>
      </c>
      <c r="AB33" s="15"/>
      <c r="AC33" s="59"/>
      <c r="AD33" s="59"/>
      <c r="AE33" s="232" t="s">
        <v>140</v>
      </c>
      <c r="AF33" s="126"/>
      <c r="AG33" s="126"/>
      <c r="AH33" s="126"/>
      <c r="AI33" s="40" t="s">
        <v>6</v>
      </c>
      <c r="AJ33" s="15"/>
      <c r="AK33" s="59"/>
      <c r="AL33" s="59"/>
      <c r="AM33" s="59"/>
      <c r="AN33" s="59"/>
      <c r="AO33" s="59"/>
      <c r="AP33" s="59"/>
      <c r="AQ33" s="59"/>
      <c r="AR33" s="59"/>
      <c r="AS33" s="59"/>
      <c r="AT33" s="59"/>
      <c r="AU33" s="59"/>
      <c r="AV33" s="59"/>
      <c r="AW33" s="18">
        <f t="shared" si="7"/>
        <v>12</v>
      </c>
    </row>
    <row r="34" spans="1:51" s="236" customFormat="1" ht="26.4">
      <c r="A34" s="40">
        <f t="shared" si="4"/>
        <v>28</v>
      </c>
      <c r="B34" s="199"/>
      <c r="C34" s="199"/>
      <c r="D34" s="199"/>
      <c r="E34" s="199"/>
      <c r="F34" s="199"/>
      <c r="G34" s="199"/>
      <c r="H34" s="199"/>
      <c r="I34" s="199"/>
      <c r="J34" s="234" t="s">
        <v>1602</v>
      </c>
      <c r="K34" s="204" t="s">
        <v>140</v>
      </c>
      <c r="L34" s="204" t="s">
        <v>754</v>
      </c>
      <c r="M34" s="204"/>
      <c r="N34" s="40" t="s">
        <v>504</v>
      </c>
      <c r="O34" s="199"/>
      <c r="P34" s="199"/>
      <c r="Q34" s="40"/>
      <c r="R34" s="40"/>
      <c r="S34" s="40" t="s">
        <v>6</v>
      </c>
      <c r="T34" s="126" t="s">
        <v>6</v>
      </c>
      <c r="U34" s="244" t="s">
        <v>752</v>
      </c>
      <c r="V34" s="204"/>
      <c r="W34" s="204" t="s">
        <v>140</v>
      </c>
      <c r="X34" s="199"/>
      <c r="Y34" s="199"/>
      <c r="Z34" s="40" t="s">
        <v>6</v>
      </c>
      <c r="AA34" s="40" t="s">
        <v>6</v>
      </c>
      <c r="AB34" s="218"/>
      <c r="AC34" s="199"/>
      <c r="AD34" s="218" t="s">
        <v>709</v>
      </c>
      <c r="AE34" s="204" t="s">
        <v>137</v>
      </c>
      <c r="AF34" s="199"/>
      <c r="AG34" s="199"/>
      <c r="AH34" s="199"/>
      <c r="AI34" s="40" t="s">
        <v>6</v>
      </c>
      <c r="AJ34" s="218"/>
      <c r="AK34" s="199"/>
      <c r="AL34" s="218" t="s">
        <v>709</v>
      </c>
      <c r="AM34" s="199"/>
      <c r="AN34" s="199"/>
      <c r="AO34" s="199"/>
      <c r="AP34" s="199"/>
      <c r="AQ34" s="199"/>
      <c r="AR34" s="199"/>
      <c r="AS34" s="199"/>
      <c r="AT34" s="199"/>
      <c r="AU34" s="199"/>
      <c r="AV34" s="199"/>
      <c r="AW34" s="155">
        <f t="shared" si="7"/>
        <v>12</v>
      </c>
    </row>
    <row r="35" spans="1:51" s="20" customFormat="1" ht="15">
      <c r="A35" s="40">
        <f t="shared" si="4"/>
        <v>29</v>
      </c>
      <c r="B35" s="59"/>
      <c r="C35" s="59"/>
      <c r="D35" s="59"/>
      <c r="E35" s="59"/>
      <c r="F35" s="59"/>
      <c r="G35" s="59"/>
      <c r="H35" s="59"/>
      <c r="I35" s="59"/>
      <c r="J35" s="218" t="s">
        <v>1603</v>
      </c>
      <c r="K35" s="232" t="s">
        <v>117</v>
      </c>
      <c r="L35" s="204" t="s">
        <v>759</v>
      </c>
      <c r="M35" s="204"/>
      <c r="N35" s="126" t="s">
        <v>504</v>
      </c>
      <c r="O35" s="126"/>
      <c r="P35" s="126"/>
      <c r="Q35" s="40" t="s">
        <v>6</v>
      </c>
      <c r="R35" s="40" t="s">
        <v>6</v>
      </c>
      <c r="S35" s="126" t="s">
        <v>6</v>
      </c>
      <c r="T35" s="40" t="s">
        <v>6</v>
      </c>
      <c r="U35" s="204"/>
      <c r="V35" s="206"/>
      <c r="W35" s="232" t="s">
        <v>125</v>
      </c>
      <c r="X35" s="126"/>
      <c r="Y35" s="126"/>
      <c r="Z35" s="126"/>
      <c r="AA35" s="126" t="s">
        <v>6</v>
      </c>
      <c r="AB35" s="15"/>
      <c r="AC35" s="59"/>
      <c r="AD35" s="59"/>
      <c r="AE35" s="232" t="s">
        <v>125</v>
      </c>
      <c r="AF35" s="126"/>
      <c r="AG35" s="126"/>
      <c r="AH35" s="126"/>
      <c r="AI35" s="126" t="s">
        <v>6</v>
      </c>
      <c r="AJ35" s="15"/>
      <c r="AK35" s="59"/>
      <c r="AL35" s="59"/>
      <c r="AM35" s="59"/>
      <c r="AN35" s="59"/>
      <c r="AO35" s="59"/>
      <c r="AP35" s="59"/>
      <c r="AQ35" s="59"/>
      <c r="AR35" s="59"/>
      <c r="AS35" s="59"/>
      <c r="AT35" s="59"/>
      <c r="AU35" s="59"/>
      <c r="AV35" s="59"/>
      <c r="AW35" s="18">
        <f t="shared" si="7"/>
        <v>33</v>
      </c>
    </row>
    <row r="36" spans="1:51" s="236" customFormat="1" ht="15">
      <c r="A36" s="40">
        <f t="shared" si="4"/>
        <v>30</v>
      </c>
      <c r="B36" s="199"/>
      <c r="C36" s="199"/>
      <c r="D36" s="199"/>
      <c r="E36" s="199"/>
      <c r="F36" s="199"/>
      <c r="G36" s="199"/>
      <c r="H36" s="199"/>
      <c r="I36" s="199" t="s">
        <v>868</v>
      </c>
      <c r="J36" s="234" t="s">
        <v>1604</v>
      </c>
      <c r="K36" s="232" t="s">
        <v>117</v>
      </c>
      <c r="L36" s="204" t="s">
        <v>1402</v>
      </c>
      <c r="M36" s="204"/>
      <c r="N36" s="126" t="s">
        <v>504</v>
      </c>
      <c r="O36" s="126"/>
      <c r="P36" s="126"/>
      <c r="Q36" s="40" t="s">
        <v>6</v>
      </c>
      <c r="R36" s="40" t="s">
        <v>6</v>
      </c>
      <c r="S36" s="126" t="s">
        <v>6</v>
      </c>
      <c r="T36" s="40" t="s">
        <v>6</v>
      </c>
      <c r="U36" s="204"/>
      <c r="V36" s="204"/>
      <c r="W36" s="232" t="s">
        <v>125</v>
      </c>
      <c r="X36" s="211"/>
      <c r="Y36" s="211"/>
      <c r="Z36" s="211"/>
      <c r="AA36" s="126" t="s">
        <v>6</v>
      </c>
      <c r="AB36" s="198"/>
      <c r="AC36" s="199"/>
      <c r="AD36" s="199"/>
      <c r="AE36" s="232" t="s">
        <v>125</v>
      </c>
      <c r="AF36" s="211"/>
      <c r="AG36" s="211"/>
      <c r="AH36" s="211"/>
      <c r="AI36" s="126" t="s">
        <v>6</v>
      </c>
      <c r="AJ36" s="198"/>
      <c r="AK36" s="199"/>
      <c r="AL36" s="199"/>
      <c r="AM36" s="199"/>
      <c r="AN36" s="199"/>
      <c r="AO36" s="199"/>
      <c r="AP36" s="199"/>
      <c r="AQ36" s="199"/>
      <c r="AR36" s="199"/>
      <c r="AS36" s="199"/>
      <c r="AT36" s="199"/>
      <c r="AU36" s="199"/>
      <c r="AV36" s="199"/>
      <c r="AW36" s="155">
        <f t="shared" si="7"/>
        <v>30</v>
      </c>
    </row>
    <row r="37" spans="1:51" s="236" customFormat="1" ht="15">
      <c r="A37" s="40">
        <f t="shared" si="4"/>
        <v>31</v>
      </c>
      <c r="B37" s="199"/>
      <c r="C37" s="199"/>
      <c r="D37" s="199"/>
      <c r="E37" s="199"/>
      <c r="F37" s="199"/>
      <c r="G37" s="199"/>
      <c r="H37" s="199"/>
      <c r="I37" s="199" t="s">
        <v>868</v>
      </c>
      <c r="J37" s="218" t="s">
        <v>1605</v>
      </c>
      <c r="K37" s="232" t="s">
        <v>117</v>
      </c>
      <c r="L37" s="204" t="s">
        <v>763</v>
      </c>
      <c r="M37" s="204"/>
      <c r="N37" s="126" t="s">
        <v>504</v>
      </c>
      <c r="O37" s="126"/>
      <c r="P37" s="126"/>
      <c r="Q37" s="40" t="s">
        <v>6</v>
      </c>
      <c r="R37" s="40" t="s">
        <v>6</v>
      </c>
      <c r="S37" s="126" t="s">
        <v>6</v>
      </c>
      <c r="T37" s="40" t="s">
        <v>6</v>
      </c>
      <c r="U37" s="204"/>
      <c r="V37" s="204"/>
      <c r="W37" s="204" t="s">
        <v>133</v>
      </c>
      <c r="X37" s="211"/>
      <c r="Y37" s="211"/>
      <c r="Z37" s="211"/>
      <c r="AA37" s="126" t="s">
        <v>6</v>
      </c>
      <c r="AB37" s="198"/>
      <c r="AC37" s="199"/>
      <c r="AD37" s="199"/>
      <c r="AE37" s="232" t="s">
        <v>125</v>
      </c>
      <c r="AF37" s="211"/>
      <c r="AG37" s="211"/>
      <c r="AH37" s="211"/>
      <c r="AI37" s="126" t="s">
        <v>6</v>
      </c>
      <c r="AJ37" s="198"/>
      <c r="AK37" s="199"/>
      <c r="AL37" s="199"/>
      <c r="AM37" s="199"/>
      <c r="AN37" s="199"/>
      <c r="AO37" s="199"/>
      <c r="AP37" s="199"/>
      <c r="AQ37" s="199"/>
      <c r="AR37" s="199"/>
      <c r="AS37" s="199"/>
      <c r="AT37" s="199"/>
      <c r="AU37" s="199"/>
      <c r="AV37" s="199"/>
      <c r="AW37" s="155">
        <f t="shared" si="7"/>
        <v>24</v>
      </c>
    </row>
    <row r="38" spans="1:51" s="236" customFormat="1" ht="15">
      <c r="A38" s="40">
        <f t="shared" si="4"/>
        <v>32</v>
      </c>
      <c r="B38" s="199"/>
      <c r="C38" s="199"/>
      <c r="D38" s="199"/>
      <c r="E38" s="199"/>
      <c r="F38" s="199"/>
      <c r="G38" s="199"/>
      <c r="H38" s="199"/>
      <c r="I38" s="199" t="s">
        <v>868</v>
      </c>
      <c r="J38" s="218" t="s">
        <v>1606</v>
      </c>
      <c r="K38" s="232" t="s">
        <v>117</v>
      </c>
      <c r="L38" s="204" t="s">
        <v>765</v>
      </c>
      <c r="M38" s="204"/>
      <c r="N38" s="126" t="s">
        <v>504</v>
      </c>
      <c r="O38" s="126"/>
      <c r="P38" s="126"/>
      <c r="Q38" s="40" t="s">
        <v>6</v>
      </c>
      <c r="R38" s="40" t="s">
        <v>6</v>
      </c>
      <c r="S38" s="126" t="s">
        <v>6</v>
      </c>
      <c r="T38" s="40" t="s">
        <v>6</v>
      </c>
      <c r="U38" s="200"/>
      <c r="V38" s="204"/>
      <c r="W38" s="204" t="s">
        <v>133</v>
      </c>
      <c r="X38" s="199"/>
      <c r="Y38" s="199"/>
      <c r="Z38" s="199"/>
      <c r="AA38" s="126" t="s">
        <v>6</v>
      </c>
      <c r="AB38" s="198"/>
      <c r="AC38" s="199"/>
      <c r="AD38" s="199"/>
      <c r="AE38" s="232" t="s">
        <v>125</v>
      </c>
      <c r="AF38" s="199"/>
      <c r="AG38" s="199"/>
      <c r="AH38" s="199"/>
      <c r="AI38" s="126" t="s">
        <v>6</v>
      </c>
      <c r="AJ38" s="198"/>
      <c r="AK38" s="199"/>
      <c r="AL38" s="199"/>
      <c r="AM38" s="199"/>
      <c r="AN38" s="199"/>
      <c r="AO38" s="199"/>
      <c r="AP38" s="199"/>
      <c r="AQ38" s="199"/>
      <c r="AR38" s="199"/>
      <c r="AS38" s="199"/>
      <c r="AT38" s="199"/>
      <c r="AU38" s="199"/>
      <c r="AV38" s="199"/>
      <c r="AW38" s="155">
        <f t="shared" si="7"/>
        <v>25</v>
      </c>
    </row>
    <row r="39" spans="1:51" s="236" customFormat="1" ht="15">
      <c r="A39" s="40">
        <f t="shared" si="4"/>
        <v>33</v>
      </c>
      <c r="B39" s="199"/>
      <c r="C39" s="199"/>
      <c r="D39" s="199"/>
      <c r="E39" s="199"/>
      <c r="F39" s="199"/>
      <c r="G39" s="199"/>
      <c r="H39" s="199"/>
      <c r="I39" s="199" t="s">
        <v>868</v>
      </c>
      <c r="J39" s="218" t="s">
        <v>1607</v>
      </c>
      <c r="K39" s="232" t="s">
        <v>117</v>
      </c>
      <c r="L39" s="204" t="s">
        <v>767</v>
      </c>
      <c r="M39" s="204"/>
      <c r="N39" s="126" t="s">
        <v>504</v>
      </c>
      <c r="O39" s="126"/>
      <c r="P39" s="126"/>
      <c r="Q39" s="40" t="s">
        <v>6</v>
      </c>
      <c r="R39" s="40" t="s">
        <v>6</v>
      </c>
      <c r="S39" s="126" t="s">
        <v>6</v>
      </c>
      <c r="T39" s="40" t="s">
        <v>6</v>
      </c>
      <c r="U39" s="200"/>
      <c r="V39" s="204"/>
      <c r="W39" s="204" t="s">
        <v>133</v>
      </c>
      <c r="X39" s="199"/>
      <c r="Y39" s="199"/>
      <c r="Z39" s="199"/>
      <c r="AA39" s="126" t="s">
        <v>6</v>
      </c>
      <c r="AB39" s="198"/>
      <c r="AC39" s="199"/>
      <c r="AD39" s="199"/>
      <c r="AE39" s="232" t="s">
        <v>125</v>
      </c>
      <c r="AF39" s="199"/>
      <c r="AG39" s="199"/>
      <c r="AH39" s="199"/>
      <c r="AI39" s="126" t="s">
        <v>6</v>
      </c>
      <c r="AJ39" s="198"/>
      <c r="AK39" s="199"/>
      <c r="AL39" s="199"/>
      <c r="AM39" s="199"/>
      <c r="AN39" s="199"/>
      <c r="AO39" s="199"/>
      <c r="AP39" s="199"/>
      <c r="AQ39" s="199"/>
      <c r="AR39" s="199"/>
      <c r="AS39" s="199"/>
      <c r="AT39" s="199"/>
      <c r="AU39" s="199"/>
      <c r="AV39" s="199"/>
      <c r="AW39" s="155">
        <f t="shared" si="7"/>
        <v>25</v>
      </c>
    </row>
    <row r="40" spans="1:51" s="236" customFormat="1" ht="15">
      <c r="A40" s="40">
        <f t="shared" si="4"/>
        <v>34</v>
      </c>
      <c r="B40" s="199"/>
      <c r="C40" s="199"/>
      <c r="D40" s="199"/>
      <c r="E40" s="199"/>
      <c r="F40" s="199"/>
      <c r="G40" s="199"/>
      <c r="H40" s="199"/>
      <c r="I40" s="199"/>
      <c r="J40" s="218" t="s">
        <v>3368</v>
      </c>
      <c r="K40" s="232" t="s">
        <v>117</v>
      </c>
      <c r="L40" s="204" t="s">
        <v>3333</v>
      </c>
      <c r="M40" s="204"/>
      <c r="N40" s="126" t="s">
        <v>504</v>
      </c>
      <c r="O40" s="126"/>
      <c r="P40" s="126"/>
      <c r="Q40" s="40"/>
      <c r="R40" s="40" t="s">
        <v>6</v>
      </c>
      <c r="S40" s="126" t="s">
        <v>6</v>
      </c>
      <c r="T40" s="40" t="s">
        <v>6</v>
      </c>
      <c r="U40" s="200"/>
      <c r="V40" s="204"/>
      <c r="W40" s="204" t="s">
        <v>133</v>
      </c>
      <c r="X40" s="199"/>
      <c r="Y40" s="199"/>
      <c r="Z40" s="40" t="s">
        <v>6</v>
      </c>
      <c r="AA40" s="126" t="s">
        <v>6</v>
      </c>
      <c r="AB40" s="198"/>
      <c r="AC40" s="199"/>
      <c r="AD40" s="199"/>
      <c r="AE40" s="232" t="s">
        <v>125</v>
      </c>
      <c r="AF40" s="199"/>
      <c r="AG40" s="199"/>
      <c r="AH40" s="199"/>
      <c r="AI40" s="126" t="s">
        <v>6</v>
      </c>
      <c r="AJ40" s="198"/>
      <c r="AK40" s="199"/>
      <c r="AL40" s="199"/>
      <c r="AM40" s="199"/>
      <c r="AN40" s="199"/>
      <c r="AO40" s="199"/>
      <c r="AP40" s="199"/>
      <c r="AQ40" s="199"/>
      <c r="AR40" s="199"/>
      <c r="AS40" s="199"/>
      <c r="AT40" s="199"/>
      <c r="AU40" s="199"/>
      <c r="AV40" s="199"/>
      <c r="AW40" s="155">
        <f t="shared" si="7"/>
        <v>32</v>
      </c>
    </row>
    <row r="41" spans="1:51" s="236" customFormat="1" ht="15">
      <c r="A41" s="40">
        <f t="shared" si="4"/>
        <v>35</v>
      </c>
      <c r="B41" s="199"/>
      <c r="C41" s="199"/>
      <c r="D41" s="199"/>
      <c r="E41" s="199"/>
      <c r="F41" s="199"/>
      <c r="G41" s="199"/>
      <c r="H41" s="199"/>
      <c r="I41" s="199"/>
      <c r="J41" s="218" t="s">
        <v>3369</v>
      </c>
      <c r="K41" s="232" t="s">
        <v>117</v>
      </c>
      <c r="L41" s="204" t="s">
        <v>3335</v>
      </c>
      <c r="M41" s="204"/>
      <c r="N41" s="126" t="s">
        <v>504</v>
      </c>
      <c r="O41" s="126"/>
      <c r="P41" s="126"/>
      <c r="Q41" s="40"/>
      <c r="R41" s="40" t="s">
        <v>6</v>
      </c>
      <c r="S41" s="126" t="s">
        <v>6</v>
      </c>
      <c r="T41" s="40" t="s">
        <v>6</v>
      </c>
      <c r="U41" s="200"/>
      <c r="V41" s="204"/>
      <c r="W41" s="204" t="s">
        <v>133</v>
      </c>
      <c r="X41" s="199"/>
      <c r="Y41" s="199"/>
      <c r="Z41" s="40" t="s">
        <v>6</v>
      </c>
      <c r="AA41" s="126" t="s">
        <v>6</v>
      </c>
      <c r="AB41" s="198"/>
      <c r="AC41" s="199"/>
      <c r="AD41" s="199"/>
      <c r="AE41" s="232" t="s">
        <v>125</v>
      </c>
      <c r="AF41" s="199"/>
      <c r="AG41" s="199"/>
      <c r="AH41" s="199"/>
      <c r="AI41" s="126" t="s">
        <v>6</v>
      </c>
      <c r="AJ41" s="198"/>
      <c r="AK41" s="199"/>
      <c r="AL41" s="199"/>
      <c r="AM41" s="199"/>
      <c r="AN41" s="199"/>
      <c r="AO41" s="199"/>
      <c r="AP41" s="199"/>
      <c r="AQ41" s="199"/>
      <c r="AR41" s="199"/>
      <c r="AS41" s="199"/>
      <c r="AT41" s="199"/>
      <c r="AU41" s="199"/>
      <c r="AV41" s="199"/>
      <c r="AW41" s="155">
        <f t="shared" si="7"/>
        <v>32</v>
      </c>
    </row>
    <row r="42" spans="1:51" s="236" customFormat="1" ht="15">
      <c r="A42" s="40">
        <f t="shared" si="4"/>
        <v>36</v>
      </c>
      <c r="B42" s="199"/>
      <c r="C42" s="199"/>
      <c r="D42" s="199"/>
      <c r="E42" s="199"/>
      <c r="F42" s="199"/>
      <c r="G42" s="199"/>
      <c r="H42" s="199"/>
      <c r="I42" s="199"/>
      <c r="J42" s="218" t="s">
        <v>3370</v>
      </c>
      <c r="K42" s="232" t="s">
        <v>117</v>
      </c>
      <c r="L42" s="204" t="s">
        <v>3337</v>
      </c>
      <c r="M42" s="204"/>
      <c r="N42" s="126" t="s">
        <v>504</v>
      </c>
      <c r="O42" s="126"/>
      <c r="P42" s="126"/>
      <c r="Q42" s="40"/>
      <c r="R42" s="40" t="s">
        <v>6</v>
      </c>
      <c r="S42" s="126" t="s">
        <v>6</v>
      </c>
      <c r="T42" s="40" t="s">
        <v>6</v>
      </c>
      <c r="U42" s="200"/>
      <c r="V42" s="204"/>
      <c r="W42" s="204" t="s">
        <v>133</v>
      </c>
      <c r="X42" s="199"/>
      <c r="Y42" s="199"/>
      <c r="Z42" s="40" t="s">
        <v>6</v>
      </c>
      <c r="AA42" s="126" t="s">
        <v>6</v>
      </c>
      <c r="AB42" s="198"/>
      <c r="AC42" s="199"/>
      <c r="AD42" s="199"/>
      <c r="AE42" s="232" t="s">
        <v>125</v>
      </c>
      <c r="AF42" s="199"/>
      <c r="AG42" s="199"/>
      <c r="AH42" s="199"/>
      <c r="AI42" s="126" t="s">
        <v>6</v>
      </c>
      <c r="AJ42" s="198"/>
      <c r="AK42" s="199"/>
      <c r="AL42" s="199"/>
      <c r="AM42" s="199"/>
      <c r="AN42" s="199"/>
      <c r="AO42" s="199"/>
      <c r="AP42" s="199"/>
      <c r="AQ42" s="199"/>
      <c r="AR42" s="199"/>
      <c r="AS42" s="199"/>
      <c r="AT42" s="199"/>
      <c r="AU42" s="199"/>
      <c r="AV42" s="199"/>
      <c r="AW42" s="155">
        <f t="shared" si="7"/>
        <v>32</v>
      </c>
    </row>
    <row r="43" spans="1:51" s="20" customFormat="1" ht="32.25" customHeight="1">
      <c r="A43" s="40">
        <f t="shared" si="4"/>
        <v>37</v>
      </c>
      <c r="B43" s="59"/>
      <c r="C43" s="59"/>
      <c r="D43" s="59"/>
      <c r="E43" s="59"/>
      <c r="F43" s="59"/>
      <c r="G43" s="59"/>
      <c r="H43" s="59"/>
      <c r="I43" s="59"/>
      <c r="J43" s="218" t="s">
        <v>1608</v>
      </c>
      <c r="K43" s="232" t="s">
        <v>117</v>
      </c>
      <c r="L43" s="204" t="s">
        <v>1379</v>
      </c>
      <c r="M43" s="204"/>
      <c r="N43" s="126" t="s">
        <v>504</v>
      </c>
      <c r="O43" s="126"/>
      <c r="P43" s="126"/>
      <c r="Q43" s="126" t="s">
        <v>6</v>
      </c>
      <c r="R43" s="126" t="s">
        <v>6</v>
      </c>
      <c r="S43" s="126" t="s">
        <v>6</v>
      </c>
      <c r="T43" s="40" t="s">
        <v>6</v>
      </c>
      <c r="U43" s="204"/>
      <c r="V43" s="204"/>
      <c r="W43" s="204" t="s">
        <v>133</v>
      </c>
      <c r="X43" s="126"/>
      <c r="Y43" s="126"/>
      <c r="Z43" s="126"/>
      <c r="AA43" s="126" t="s">
        <v>6</v>
      </c>
      <c r="AB43" s="15"/>
      <c r="AC43" s="59"/>
      <c r="AD43" s="59"/>
      <c r="AE43" s="232" t="s">
        <v>125</v>
      </c>
      <c r="AF43" s="126"/>
      <c r="AG43" s="126"/>
      <c r="AH43" s="126"/>
      <c r="AI43" s="126" t="s">
        <v>6</v>
      </c>
      <c r="AJ43" s="15"/>
      <c r="AK43" s="59"/>
      <c r="AL43" s="59"/>
      <c r="AM43" s="59"/>
      <c r="AN43" s="59"/>
      <c r="AO43" s="59"/>
      <c r="AP43" s="59"/>
      <c r="AQ43" s="59"/>
      <c r="AR43" s="59"/>
      <c r="AS43" s="59"/>
      <c r="AT43" s="59"/>
      <c r="AU43" s="59"/>
      <c r="AV43" s="59"/>
      <c r="AW43" s="18">
        <f t="shared" si="5"/>
        <v>33</v>
      </c>
    </row>
    <row r="44" spans="1:51" s="236" customFormat="1" ht="15">
      <c r="A44" s="40">
        <f t="shared" si="4"/>
        <v>38</v>
      </c>
      <c r="B44" s="199"/>
      <c r="C44" s="199"/>
      <c r="D44" s="199"/>
      <c r="E44" s="199"/>
      <c r="F44" s="199"/>
      <c r="G44" s="199"/>
      <c r="H44" s="199"/>
      <c r="I44" s="199"/>
      <c r="J44" s="218" t="s">
        <v>1609</v>
      </c>
      <c r="K44" s="399" t="s">
        <v>128</v>
      </c>
      <c r="L44" s="204" t="s">
        <v>703</v>
      </c>
      <c r="M44" s="204"/>
      <c r="N44" s="126" t="s">
        <v>504</v>
      </c>
      <c r="O44" s="126"/>
      <c r="P44" s="126"/>
      <c r="Q44" s="40" t="s">
        <v>6</v>
      </c>
      <c r="R44" s="40" t="s">
        <v>6</v>
      </c>
      <c r="S44" s="126" t="s">
        <v>6</v>
      </c>
      <c r="T44" s="40" t="s">
        <v>6</v>
      </c>
      <c r="U44" s="204"/>
      <c r="V44" s="204"/>
      <c r="W44" s="232" t="s">
        <v>125</v>
      </c>
      <c r="X44" s="199"/>
      <c r="Y44" s="199"/>
      <c r="Z44" s="199"/>
      <c r="AA44" s="126" t="s">
        <v>6</v>
      </c>
      <c r="AB44" s="198"/>
      <c r="AC44" s="199"/>
      <c r="AD44" s="199"/>
      <c r="AE44" s="232" t="s">
        <v>125</v>
      </c>
      <c r="AF44" s="199"/>
      <c r="AG44" s="199"/>
      <c r="AH44" s="199"/>
      <c r="AI44" s="126" t="s">
        <v>6</v>
      </c>
      <c r="AJ44" s="198"/>
      <c r="AK44" s="199"/>
      <c r="AL44" s="199"/>
      <c r="AM44" s="199"/>
      <c r="AN44" s="199"/>
      <c r="AO44" s="199"/>
      <c r="AP44" s="199"/>
      <c r="AQ44" s="199"/>
      <c r="AR44" s="199"/>
      <c r="AS44" s="199"/>
      <c r="AT44" s="199"/>
      <c r="AU44" s="199"/>
      <c r="AV44" s="199"/>
      <c r="AW44" s="155">
        <f t="shared" ref="AW44:AW45" si="8">LEN(L44)</f>
        <v>19</v>
      </c>
    </row>
    <row r="45" spans="1:51" s="12" customFormat="1" ht="15">
      <c r="A45" s="40">
        <f t="shared" si="4"/>
        <v>39</v>
      </c>
      <c r="B45" s="19"/>
      <c r="C45" s="41"/>
      <c r="D45" s="19"/>
      <c r="E45" s="19"/>
      <c r="F45" s="19"/>
      <c r="G45" s="19"/>
      <c r="H45" s="13"/>
      <c r="I45" s="13"/>
      <c r="J45" s="399" t="s">
        <v>1610</v>
      </c>
      <c r="K45" s="399" t="s">
        <v>132</v>
      </c>
      <c r="L45" s="399" t="s">
        <v>1611</v>
      </c>
      <c r="M45" s="472" t="s">
        <v>4930</v>
      </c>
      <c r="N45" s="404" t="s">
        <v>504</v>
      </c>
      <c r="O45" s="40"/>
      <c r="P45" s="40"/>
      <c r="Q45" s="404" t="s">
        <v>6</v>
      </c>
      <c r="R45" s="404" t="s">
        <v>6</v>
      </c>
      <c r="S45" s="40" t="s">
        <v>6</v>
      </c>
      <c r="T45" s="404" t="s">
        <v>6</v>
      </c>
      <c r="U45" s="202"/>
      <c r="V45" s="13"/>
      <c r="W45" s="399" t="s">
        <v>133</v>
      </c>
      <c r="X45" s="403"/>
      <c r="Y45" s="400"/>
      <c r="Z45" s="404" t="s">
        <v>6</v>
      </c>
      <c r="AA45" s="13" t="s">
        <v>6</v>
      </c>
      <c r="AB45" s="45"/>
      <c r="AC45" s="403"/>
      <c r="AD45" s="403"/>
      <c r="AE45" s="399" t="s">
        <v>133</v>
      </c>
      <c r="AF45" s="403"/>
      <c r="AG45" s="400"/>
      <c r="AH45" s="404" t="s">
        <v>6</v>
      </c>
      <c r="AI45" s="13" t="s">
        <v>6</v>
      </c>
      <c r="AJ45" s="45"/>
      <c r="AK45" s="403"/>
      <c r="AL45" s="403"/>
      <c r="AM45" s="43"/>
      <c r="AN45" s="13"/>
      <c r="AO45" s="15"/>
      <c r="AP45" s="15"/>
      <c r="AQ45" s="15"/>
      <c r="AR45" s="15"/>
      <c r="AS45" s="15"/>
      <c r="AT45" s="15"/>
      <c r="AU45" s="13"/>
      <c r="AV45" s="15"/>
      <c r="AW45" s="18">
        <f t="shared" si="8"/>
        <v>38</v>
      </c>
      <c r="AX45" s="16"/>
      <c r="AY45" s="17"/>
    </row>
    <row r="46" spans="1:51" s="14" customFormat="1" ht="15">
      <c r="A46" s="40">
        <f>ROW() - 6</f>
        <v>40</v>
      </c>
      <c r="B46" s="38"/>
      <c r="C46" s="42"/>
      <c r="D46" s="19"/>
      <c r="E46" s="19"/>
      <c r="F46" s="35"/>
      <c r="G46" s="35"/>
      <c r="H46" s="414"/>
      <c r="I46" s="13"/>
      <c r="J46" s="412" t="s">
        <v>4836</v>
      </c>
      <c r="K46" s="232" t="s">
        <v>132</v>
      </c>
      <c r="L46" s="204" t="s">
        <v>4456</v>
      </c>
      <c r="M46" s="204" t="s">
        <v>4378</v>
      </c>
      <c r="N46" s="40" t="s">
        <v>504</v>
      </c>
      <c r="O46" s="126"/>
      <c r="P46" s="126"/>
      <c r="Q46" s="126"/>
      <c r="R46" s="126" t="s">
        <v>6</v>
      </c>
      <c r="S46" s="126" t="s">
        <v>6</v>
      </c>
      <c r="T46" s="126"/>
      <c r="U46" s="204" t="s">
        <v>4488</v>
      </c>
      <c r="V46" s="204"/>
      <c r="W46" s="232" t="s">
        <v>125</v>
      </c>
      <c r="X46" s="126"/>
      <c r="Y46" s="126"/>
      <c r="Z46" s="126"/>
      <c r="AA46" s="126" t="s">
        <v>6</v>
      </c>
      <c r="AB46" s="413"/>
      <c r="AC46" s="415"/>
      <c r="AD46" s="415"/>
      <c r="AE46" s="232" t="s">
        <v>125</v>
      </c>
      <c r="AF46" s="126"/>
      <c r="AG46" s="126"/>
      <c r="AH46" s="126"/>
      <c r="AI46" s="126" t="s">
        <v>6</v>
      </c>
      <c r="AJ46" s="413"/>
      <c r="AK46" s="415"/>
      <c r="AL46" s="415"/>
      <c r="AM46" s="43"/>
      <c r="AN46" s="44"/>
      <c r="AO46" s="13"/>
      <c r="AP46" s="13"/>
      <c r="AQ46" s="13"/>
      <c r="AR46" s="13"/>
      <c r="AS46" s="13"/>
      <c r="AT46" s="13"/>
      <c r="AU46" s="13"/>
      <c r="AV46" s="13"/>
      <c r="AW46" s="18"/>
    </row>
    <row r="47" spans="1:51" s="12" customFormat="1" ht="15">
      <c r="A47" s="40">
        <f t="shared" ref="A47:A110" si="9">ROW() - 6</f>
        <v>41</v>
      </c>
      <c r="B47" s="38"/>
      <c r="C47" s="42"/>
      <c r="D47" s="38"/>
      <c r="E47" s="46"/>
      <c r="F47" s="46"/>
      <c r="G47" s="46"/>
      <c r="H47" s="13"/>
      <c r="I47" s="40"/>
      <c r="J47" s="412" t="s">
        <v>4837</v>
      </c>
      <c r="K47" s="232" t="s">
        <v>132</v>
      </c>
      <c r="L47" s="204" t="s">
        <v>4838</v>
      </c>
      <c r="M47" s="204" t="s">
        <v>4378</v>
      </c>
      <c r="N47" s="40" t="s">
        <v>504</v>
      </c>
      <c r="O47" s="126"/>
      <c r="P47" s="126"/>
      <c r="Q47" s="126"/>
      <c r="R47" s="126" t="s">
        <v>6</v>
      </c>
      <c r="S47" s="126" t="s">
        <v>6</v>
      </c>
      <c r="T47" s="126"/>
      <c r="U47" s="204" t="s">
        <v>4488</v>
      </c>
      <c r="V47" s="204"/>
      <c r="W47" s="232" t="s">
        <v>125</v>
      </c>
      <c r="X47" s="126"/>
      <c r="Y47" s="126"/>
      <c r="Z47" s="126"/>
      <c r="AA47" s="126" t="s">
        <v>6</v>
      </c>
      <c r="AB47" s="413"/>
      <c r="AC47" s="413"/>
      <c r="AD47" s="413"/>
      <c r="AE47" s="232" t="s">
        <v>125</v>
      </c>
      <c r="AF47" s="126"/>
      <c r="AG47" s="126"/>
      <c r="AH47" s="126"/>
      <c r="AI47" s="126" t="s">
        <v>6</v>
      </c>
      <c r="AJ47" s="413"/>
      <c r="AK47" s="413"/>
      <c r="AL47" s="413"/>
      <c r="AM47" s="43"/>
      <c r="AN47" s="47"/>
      <c r="AO47" s="15"/>
      <c r="AP47" s="15"/>
      <c r="AQ47" s="15"/>
      <c r="AR47" s="15"/>
      <c r="AS47" s="15"/>
      <c r="AT47" s="15"/>
      <c r="AU47" s="15"/>
      <c r="AV47" s="13"/>
      <c r="AW47" s="18"/>
    </row>
    <row r="48" spans="1:51" s="12" customFormat="1" ht="15">
      <c r="A48" s="40">
        <f t="shared" si="9"/>
        <v>42</v>
      </c>
      <c r="B48" s="19"/>
      <c r="C48" s="41"/>
      <c r="D48" s="19"/>
      <c r="E48" s="19"/>
      <c r="F48" s="19"/>
      <c r="G48" s="19"/>
      <c r="H48" s="13"/>
      <c r="I48" s="13"/>
      <c r="J48" s="412" t="s">
        <v>4839</v>
      </c>
      <c r="K48" s="232" t="s">
        <v>132</v>
      </c>
      <c r="L48" s="204" t="s">
        <v>4840</v>
      </c>
      <c r="M48" s="204" t="s">
        <v>4378</v>
      </c>
      <c r="N48" s="40" t="s">
        <v>504</v>
      </c>
      <c r="O48" s="126"/>
      <c r="P48" s="126"/>
      <c r="Q48" s="126"/>
      <c r="R48" s="126" t="s">
        <v>6</v>
      </c>
      <c r="S48" s="126" t="s">
        <v>6</v>
      </c>
      <c r="T48" s="126"/>
      <c r="U48" s="204" t="s">
        <v>4488</v>
      </c>
      <c r="V48" s="204"/>
      <c r="W48" s="232" t="s">
        <v>125</v>
      </c>
      <c r="X48" s="126"/>
      <c r="Y48" s="126"/>
      <c r="Z48" s="126"/>
      <c r="AA48" s="126" t="s">
        <v>6</v>
      </c>
      <c r="AB48" s="413"/>
      <c r="AC48" s="415"/>
      <c r="AD48" s="415"/>
      <c r="AE48" s="232" t="s">
        <v>125</v>
      </c>
      <c r="AF48" s="126"/>
      <c r="AG48" s="126"/>
      <c r="AH48" s="126"/>
      <c r="AI48" s="126" t="s">
        <v>6</v>
      </c>
      <c r="AJ48" s="413"/>
      <c r="AK48" s="415"/>
      <c r="AL48" s="415"/>
      <c r="AM48" s="43"/>
      <c r="AN48" s="19"/>
      <c r="AO48" s="15"/>
      <c r="AP48" s="15"/>
      <c r="AQ48" s="15"/>
      <c r="AR48" s="15"/>
      <c r="AS48" s="15"/>
      <c r="AT48" s="15"/>
      <c r="AU48" s="13"/>
      <c r="AV48" s="15"/>
      <c r="AW48" s="18"/>
    </row>
    <row r="49" spans="1:49" s="12" customFormat="1" ht="15">
      <c r="A49" s="40">
        <f t="shared" si="9"/>
        <v>43</v>
      </c>
      <c r="B49" s="38"/>
      <c r="C49" s="41"/>
      <c r="D49" s="19"/>
      <c r="E49" s="19"/>
      <c r="F49" s="19"/>
      <c r="G49" s="19"/>
      <c r="H49" s="13"/>
      <c r="I49" s="13"/>
      <c r="J49" s="412" t="s">
        <v>4841</v>
      </c>
      <c r="K49" s="232" t="s">
        <v>122</v>
      </c>
      <c r="L49" s="473" t="s">
        <v>4842</v>
      </c>
      <c r="M49" s="204" t="s">
        <v>4843</v>
      </c>
      <c r="N49" s="40" t="s">
        <v>873</v>
      </c>
      <c r="O49" s="126"/>
      <c r="P49" s="126"/>
      <c r="Q49" s="126" t="s">
        <v>6</v>
      </c>
      <c r="R49" s="126" t="s">
        <v>6</v>
      </c>
      <c r="S49" s="126" t="s">
        <v>6</v>
      </c>
      <c r="T49" s="126"/>
      <c r="U49" s="215" t="s">
        <v>4140</v>
      </c>
      <c r="V49" s="204"/>
      <c r="W49" s="232" t="s">
        <v>123</v>
      </c>
      <c r="X49" s="126"/>
      <c r="Y49" s="126"/>
      <c r="Z49" s="126" t="s">
        <v>6</v>
      </c>
      <c r="AA49" s="126" t="s">
        <v>6</v>
      </c>
      <c r="AB49" s="413"/>
      <c r="AC49" s="415"/>
      <c r="AD49" s="415"/>
      <c r="AE49" s="232" t="s">
        <v>123</v>
      </c>
      <c r="AF49" s="126"/>
      <c r="AG49" s="126"/>
      <c r="AH49" s="126" t="s">
        <v>6</v>
      </c>
      <c r="AI49" s="126" t="s">
        <v>6</v>
      </c>
      <c r="AJ49" s="413"/>
      <c r="AK49" s="415"/>
      <c r="AL49" s="415"/>
      <c r="AM49" s="43"/>
      <c r="AN49" s="19"/>
      <c r="AO49" s="15"/>
      <c r="AP49" s="15"/>
      <c r="AQ49" s="15"/>
      <c r="AR49" s="15"/>
      <c r="AS49" s="15"/>
      <c r="AT49" s="15"/>
      <c r="AU49" s="15"/>
      <c r="AV49" s="13"/>
      <c r="AW49" s="18"/>
    </row>
    <row r="50" spans="1:49" s="20" customFormat="1" ht="26.4">
      <c r="A50" s="40">
        <f t="shared" si="9"/>
        <v>44</v>
      </c>
      <c r="B50" s="59"/>
      <c r="C50" s="59"/>
      <c r="D50" s="59"/>
      <c r="E50" s="59"/>
      <c r="F50" s="59"/>
      <c r="G50" s="59"/>
      <c r="H50" s="59"/>
      <c r="I50" s="59"/>
      <c r="J50" s="412" t="s">
        <v>4844</v>
      </c>
      <c r="K50" s="232" t="s">
        <v>122</v>
      </c>
      <c r="L50" s="457" t="s">
        <v>4845</v>
      </c>
      <c r="M50" s="204" t="s">
        <v>4033</v>
      </c>
      <c r="N50" s="40" t="s">
        <v>873</v>
      </c>
      <c r="O50" s="126"/>
      <c r="P50" s="126"/>
      <c r="Q50" s="126" t="s">
        <v>6</v>
      </c>
      <c r="R50" s="126" t="s">
        <v>6</v>
      </c>
      <c r="S50" s="126" t="s">
        <v>6</v>
      </c>
      <c r="T50" s="126"/>
      <c r="U50" s="215" t="s">
        <v>4140</v>
      </c>
      <c r="V50" s="412"/>
      <c r="W50" s="232" t="s">
        <v>123</v>
      </c>
      <c r="X50" s="126"/>
      <c r="Y50" s="126"/>
      <c r="Z50" s="126" t="s">
        <v>6</v>
      </c>
      <c r="AA50" s="126" t="s">
        <v>6</v>
      </c>
      <c r="AB50" s="15"/>
      <c r="AC50" s="59"/>
      <c r="AD50" s="59"/>
      <c r="AE50" s="232" t="s">
        <v>123</v>
      </c>
      <c r="AF50" s="126"/>
      <c r="AG50" s="126"/>
      <c r="AH50" s="126" t="s">
        <v>6</v>
      </c>
      <c r="AI50" s="126" t="s">
        <v>6</v>
      </c>
      <c r="AJ50" s="15"/>
      <c r="AK50" s="59"/>
      <c r="AL50" s="59"/>
      <c r="AM50" s="59"/>
      <c r="AN50" s="59"/>
      <c r="AO50" s="59"/>
      <c r="AP50" s="59"/>
      <c r="AQ50" s="59"/>
      <c r="AR50" s="59"/>
      <c r="AS50" s="59"/>
      <c r="AT50" s="59"/>
      <c r="AU50" s="59"/>
      <c r="AV50" s="59"/>
      <c r="AW50" s="18"/>
    </row>
    <row r="51" spans="1:49" s="20" customFormat="1" ht="26.4">
      <c r="A51" s="40">
        <f t="shared" si="9"/>
        <v>45</v>
      </c>
      <c r="B51" s="59"/>
      <c r="C51" s="59"/>
      <c r="D51" s="59"/>
      <c r="E51" s="59"/>
      <c r="F51" s="59"/>
      <c r="G51" s="59"/>
      <c r="H51" s="59"/>
      <c r="I51" s="59"/>
      <c r="J51" s="412" t="s">
        <v>4846</v>
      </c>
      <c r="K51" s="232" t="s">
        <v>122</v>
      </c>
      <c r="L51" s="457" t="s">
        <v>4847</v>
      </c>
      <c r="M51" s="204" t="s">
        <v>4033</v>
      </c>
      <c r="N51" s="40" t="s">
        <v>873</v>
      </c>
      <c r="O51" s="126"/>
      <c r="P51" s="126"/>
      <c r="Q51" s="126" t="s">
        <v>6</v>
      </c>
      <c r="R51" s="126" t="s">
        <v>6</v>
      </c>
      <c r="S51" s="126" t="s">
        <v>6</v>
      </c>
      <c r="T51" s="126"/>
      <c r="U51" s="215" t="s">
        <v>4140</v>
      </c>
      <c r="V51" s="412"/>
      <c r="W51" s="232" t="s">
        <v>123</v>
      </c>
      <c r="X51" s="126"/>
      <c r="Y51" s="126"/>
      <c r="Z51" s="126" t="s">
        <v>6</v>
      </c>
      <c r="AA51" s="126" t="s">
        <v>6</v>
      </c>
      <c r="AB51" s="15"/>
      <c r="AC51" s="59"/>
      <c r="AD51" s="59"/>
      <c r="AE51" s="232" t="s">
        <v>123</v>
      </c>
      <c r="AF51" s="126"/>
      <c r="AG51" s="126"/>
      <c r="AH51" s="126" t="s">
        <v>6</v>
      </c>
      <c r="AI51" s="126" t="s">
        <v>6</v>
      </c>
      <c r="AJ51" s="15"/>
      <c r="AK51" s="59"/>
      <c r="AL51" s="59"/>
      <c r="AM51" s="59"/>
      <c r="AN51" s="59"/>
      <c r="AO51" s="59"/>
      <c r="AP51" s="59"/>
      <c r="AQ51" s="59"/>
      <c r="AR51" s="59"/>
      <c r="AS51" s="59"/>
      <c r="AT51" s="59"/>
      <c r="AU51" s="59"/>
      <c r="AV51" s="59"/>
      <c r="AW51" s="18"/>
    </row>
    <row r="52" spans="1:49" s="20" customFormat="1" ht="26.4">
      <c r="A52" s="40">
        <f t="shared" si="9"/>
        <v>46</v>
      </c>
      <c r="B52" s="59"/>
      <c r="C52" s="59"/>
      <c r="D52" s="59"/>
      <c r="E52" s="59"/>
      <c r="F52" s="59"/>
      <c r="G52" s="59"/>
      <c r="H52" s="59"/>
      <c r="I52" s="59"/>
      <c r="J52" s="412" t="s">
        <v>4848</v>
      </c>
      <c r="K52" s="232" t="s">
        <v>132</v>
      </c>
      <c r="L52" s="457" t="s">
        <v>4849</v>
      </c>
      <c r="M52" s="204" t="s">
        <v>4034</v>
      </c>
      <c r="N52" s="40" t="s">
        <v>504</v>
      </c>
      <c r="O52" s="126"/>
      <c r="P52" s="126"/>
      <c r="Q52" s="126" t="s">
        <v>6</v>
      </c>
      <c r="R52" s="126" t="s">
        <v>6</v>
      </c>
      <c r="S52" s="126" t="s">
        <v>6</v>
      </c>
      <c r="T52" s="126"/>
      <c r="U52" s="215" t="s">
        <v>4140</v>
      </c>
      <c r="V52" s="412"/>
      <c r="W52" s="232" t="s">
        <v>133</v>
      </c>
      <c r="X52" s="126"/>
      <c r="Y52" s="126"/>
      <c r="Z52" s="126" t="s">
        <v>6</v>
      </c>
      <c r="AA52" s="126" t="s">
        <v>6</v>
      </c>
      <c r="AB52" s="15"/>
      <c r="AC52" s="59"/>
      <c r="AD52" s="59"/>
      <c r="AE52" s="232" t="s">
        <v>133</v>
      </c>
      <c r="AF52" s="126"/>
      <c r="AG52" s="126"/>
      <c r="AH52" s="126" t="s">
        <v>6</v>
      </c>
      <c r="AI52" s="126" t="s">
        <v>6</v>
      </c>
      <c r="AJ52" s="15"/>
      <c r="AK52" s="59"/>
      <c r="AL52" s="59"/>
      <c r="AM52" s="59"/>
      <c r="AN52" s="59"/>
      <c r="AO52" s="59"/>
      <c r="AP52" s="59"/>
      <c r="AQ52" s="59"/>
      <c r="AR52" s="59"/>
      <c r="AS52" s="59"/>
      <c r="AT52" s="59"/>
      <c r="AU52" s="59"/>
      <c r="AV52" s="59"/>
      <c r="AW52" s="18"/>
    </row>
    <row r="53" spans="1:49" s="20" customFormat="1" ht="26.4">
      <c r="A53" s="40">
        <f t="shared" si="9"/>
        <v>47</v>
      </c>
      <c r="B53" s="59"/>
      <c r="C53" s="59"/>
      <c r="D53" s="59"/>
      <c r="E53" s="59"/>
      <c r="F53" s="59"/>
      <c r="G53" s="59"/>
      <c r="H53" s="59"/>
      <c r="I53" s="59"/>
      <c r="J53" s="412" t="s">
        <v>4850</v>
      </c>
      <c r="K53" s="232" t="s">
        <v>132</v>
      </c>
      <c r="L53" s="457" t="s">
        <v>4851</v>
      </c>
      <c r="M53" s="204" t="s">
        <v>4034</v>
      </c>
      <c r="N53" s="40" t="s">
        <v>504</v>
      </c>
      <c r="O53" s="126"/>
      <c r="P53" s="126"/>
      <c r="Q53" s="126" t="s">
        <v>6</v>
      </c>
      <c r="R53" s="126" t="s">
        <v>6</v>
      </c>
      <c r="S53" s="126" t="s">
        <v>6</v>
      </c>
      <c r="T53" s="126"/>
      <c r="U53" s="215" t="s">
        <v>4140</v>
      </c>
      <c r="V53" s="412"/>
      <c r="W53" s="232" t="s">
        <v>133</v>
      </c>
      <c r="X53" s="126"/>
      <c r="Y53" s="126"/>
      <c r="Z53" s="126" t="s">
        <v>6</v>
      </c>
      <c r="AA53" s="126" t="s">
        <v>6</v>
      </c>
      <c r="AB53" s="15"/>
      <c r="AC53" s="59"/>
      <c r="AD53" s="59"/>
      <c r="AE53" s="232" t="s">
        <v>133</v>
      </c>
      <c r="AF53" s="126"/>
      <c r="AG53" s="126"/>
      <c r="AH53" s="126" t="s">
        <v>6</v>
      </c>
      <c r="AI53" s="126" t="s">
        <v>6</v>
      </c>
      <c r="AJ53" s="15"/>
      <c r="AK53" s="59"/>
      <c r="AL53" s="59"/>
      <c r="AM53" s="59"/>
      <c r="AN53" s="59"/>
      <c r="AO53" s="59"/>
      <c r="AP53" s="59"/>
      <c r="AQ53" s="59"/>
      <c r="AR53" s="59"/>
      <c r="AS53" s="59"/>
      <c r="AT53" s="59"/>
      <c r="AU53" s="59"/>
      <c r="AV53" s="59"/>
      <c r="AW53" s="18"/>
    </row>
    <row r="54" spans="1:49" s="20" customFormat="1" ht="26.4">
      <c r="A54" s="40">
        <f t="shared" si="9"/>
        <v>48</v>
      </c>
      <c r="B54" s="59"/>
      <c r="C54" s="59"/>
      <c r="D54" s="59"/>
      <c r="E54" s="59"/>
      <c r="F54" s="59"/>
      <c r="G54" s="59"/>
      <c r="H54" s="59"/>
      <c r="I54" s="59"/>
      <c r="J54" s="412" t="s">
        <v>4852</v>
      </c>
      <c r="K54" s="232" t="s">
        <v>122</v>
      </c>
      <c r="L54" s="204" t="s">
        <v>992</v>
      </c>
      <c r="M54" s="204" t="s">
        <v>4033</v>
      </c>
      <c r="N54" s="40" t="s">
        <v>873</v>
      </c>
      <c r="O54" s="126"/>
      <c r="P54" s="126"/>
      <c r="Q54" s="126"/>
      <c r="R54" s="126" t="s">
        <v>6</v>
      </c>
      <c r="S54" s="126" t="s">
        <v>6</v>
      </c>
      <c r="T54" s="40"/>
      <c r="U54" s="215"/>
      <c r="V54" s="412"/>
      <c r="W54" s="232" t="s">
        <v>125</v>
      </c>
      <c r="X54" s="126"/>
      <c r="Y54" s="126"/>
      <c r="Z54" s="126"/>
      <c r="AA54" s="126" t="s">
        <v>6</v>
      </c>
      <c r="AB54" s="15"/>
      <c r="AC54" s="59"/>
      <c r="AD54" s="412" t="s">
        <v>4853</v>
      </c>
      <c r="AE54" s="232" t="s">
        <v>125</v>
      </c>
      <c r="AF54" s="126"/>
      <c r="AG54" s="126"/>
      <c r="AH54" s="126"/>
      <c r="AI54" s="126" t="s">
        <v>6</v>
      </c>
      <c r="AJ54" s="15"/>
      <c r="AK54" s="59"/>
      <c r="AL54" s="412" t="s">
        <v>4853</v>
      </c>
      <c r="AM54" s="59"/>
      <c r="AN54" s="59"/>
      <c r="AO54" s="59"/>
      <c r="AP54" s="59"/>
      <c r="AQ54" s="59"/>
      <c r="AR54" s="59"/>
      <c r="AS54" s="59"/>
      <c r="AT54" s="59"/>
      <c r="AU54" s="59"/>
      <c r="AV54" s="59"/>
      <c r="AW54" s="18"/>
    </row>
    <row r="55" spans="1:49" s="20" customFormat="1" ht="26.4">
      <c r="A55" s="40">
        <f t="shared" si="9"/>
        <v>49</v>
      </c>
      <c r="B55" s="59"/>
      <c r="C55" s="59"/>
      <c r="D55" s="59"/>
      <c r="E55" s="59"/>
      <c r="F55" s="59"/>
      <c r="G55" s="59"/>
      <c r="H55" s="59"/>
      <c r="I55" s="59"/>
      <c r="J55" s="412" t="s">
        <v>4854</v>
      </c>
      <c r="K55" s="232" t="s">
        <v>122</v>
      </c>
      <c r="L55" s="204" t="s">
        <v>4255</v>
      </c>
      <c r="M55" s="204" t="s">
        <v>4033</v>
      </c>
      <c r="N55" s="40" t="s">
        <v>873</v>
      </c>
      <c r="O55" s="126"/>
      <c r="P55" s="126"/>
      <c r="Q55" s="126"/>
      <c r="R55" s="126" t="s">
        <v>6</v>
      </c>
      <c r="S55" s="126" t="s">
        <v>6</v>
      </c>
      <c r="T55" s="126"/>
      <c r="U55" s="215" t="s">
        <v>4140</v>
      </c>
      <c r="V55" s="412"/>
      <c r="W55" s="232" t="s">
        <v>125</v>
      </c>
      <c r="X55" s="126"/>
      <c r="Y55" s="126"/>
      <c r="Z55" s="126"/>
      <c r="AA55" s="126" t="s">
        <v>6</v>
      </c>
      <c r="AB55" s="15"/>
      <c r="AC55" s="59"/>
      <c r="AD55" s="412" t="s">
        <v>4853</v>
      </c>
      <c r="AE55" s="232" t="s">
        <v>125</v>
      </c>
      <c r="AF55" s="126"/>
      <c r="AG55" s="126"/>
      <c r="AH55" s="126"/>
      <c r="AI55" s="126" t="s">
        <v>6</v>
      </c>
      <c r="AJ55" s="15"/>
      <c r="AK55" s="59"/>
      <c r="AL55" s="412" t="s">
        <v>4853</v>
      </c>
      <c r="AM55" s="59"/>
      <c r="AN55" s="59"/>
      <c r="AO55" s="59"/>
      <c r="AP55" s="59"/>
      <c r="AQ55" s="59"/>
      <c r="AR55" s="59"/>
      <c r="AS55" s="59"/>
      <c r="AT55" s="59"/>
      <c r="AU55" s="59"/>
      <c r="AV55" s="59"/>
      <c r="AW55" s="18"/>
    </row>
    <row r="56" spans="1:49" s="20" customFormat="1" ht="26.4">
      <c r="A56" s="40">
        <f t="shared" si="9"/>
        <v>50</v>
      </c>
      <c r="B56" s="59"/>
      <c r="C56" s="59"/>
      <c r="D56" s="59"/>
      <c r="E56" s="59"/>
      <c r="F56" s="59"/>
      <c r="G56" s="59"/>
      <c r="H56" s="59"/>
      <c r="I56" s="59"/>
      <c r="J56" s="412" t="s">
        <v>4855</v>
      </c>
      <c r="K56" s="232" t="s">
        <v>122</v>
      </c>
      <c r="L56" s="204" t="s">
        <v>995</v>
      </c>
      <c r="M56" s="204" t="s">
        <v>4033</v>
      </c>
      <c r="N56" s="40" t="s">
        <v>873</v>
      </c>
      <c r="O56" s="126"/>
      <c r="P56" s="126"/>
      <c r="Q56" s="126"/>
      <c r="R56" s="126" t="s">
        <v>6</v>
      </c>
      <c r="S56" s="126" t="s">
        <v>6</v>
      </c>
      <c r="T56" s="40"/>
      <c r="U56" s="215"/>
      <c r="V56" s="412"/>
      <c r="W56" s="232" t="s">
        <v>125</v>
      </c>
      <c r="X56" s="126"/>
      <c r="Y56" s="126"/>
      <c r="Z56" s="126"/>
      <c r="AA56" s="126" t="s">
        <v>6</v>
      </c>
      <c r="AB56" s="15"/>
      <c r="AC56" s="59"/>
      <c r="AD56" s="412" t="s">
        <v>4853</v>
      </c>
      <c r="AE56" s="232" t="s">
        <v>125</v>
      </c>
      <c r="AF56" s="126"/>
      <c r="AG56" s="126"/>
      <c r="AH56" s="126"/>
      <c r="AI56" s="126" t="s">
        <v>6</v>
      </c>
      <c r="AJ56" s="15"/>
      <c r="AK56" s="59"/>
      <c r="AL56" s="412" t="s">
        <v>4853</v>
      </c>
      <c r="AM56" s="59"/>
      <c r="AN56" s="59"/>
      <c r="AO56" s="59"/>
      <c r="AP56" s="59"/>
      <c r="AQ56" s="59"/>
      <c r="AR56" s="59"/>
      <c r="AS56" s="59"/>
      <c r="AT56" s="59"/>
      <c r="AU56" s="59"/>
      <c r="AV56" s="59"/>
      <c r="AW56" s="18"/>
    </row>
    <row r="57" spans="1:49" s="20" customFormat="1" ht="26.4">
      <c r="A57" s="40">
        <f t="shared" si="9"/>
        <v>51</v>
      </c>
      <c r="B57" s="59"/>
      <c r="C57" s="59"/>
      <c r="D57" s="59"/>
      <c r="E57" s="59"/>
      <c r="F57" s="59"/>
      <c r="G57" s="59"/>
      <c r="H57" s="59"/>
      <c r="I57" s="59"/>
      <c r="J57" s="412" t="s">
        <v>4856</v>
      </c>
      <c r="K57" s="232" t="s">
        <v>122</v>
      </c>
      <c r="L57" s="204" t="s">
        <v>4257</v>
      </c>
      <c r="M57" s="204" t="s">
        <v>4033</v>
      </c>
      <c r="N57" s="40" t="s">
        <v>873</v>
      </c>
      <c r="O57" s="126"/>
      <c r="P57" s="126"/>
      <c r="Q57" s="126"/>
      <c r="R57" s="126" t="s">
        <v>6</v>
      </c>
      <c r="S57" s="126" t="s">
        <v>6</v>
      </c>
      <c r="T57" s="126"/>
      <c r="U57" s="215" t="s">
        <v>4140</v>
      </c>
      <c r="V57" s="412"/>
      <c r="W57" s="232" t="s">
        <v>125</v>
      </c>
      <c r="X57" s="126"/>
      <c r="Y57" s="126"/>
      <c r="Z57" s="126"/>
      <c r="AA57" s="126" t="s">
        <v>6</v>
      </c>
      <c r="AB57" s="15"/>
      <c r="AC57" s="59"/>
      <c r="AD57" s="412" t="s">
        <v>4853</v>
      </c>
      <c r="AE57" s="232" t="s">
        <v>125</v>
      </c>
      <c r="AF57" s="126"/>
      <c r="AG57" s="126"/>
      <c r="AH57" s="126"/>
      <c r="AI57" s="126" t="s">
        <v>6</v>
      </c>
      <c r="AJ57" s="15"/>
      <c r="AK57" s="59"/>
      <c r="AL57" s="412" t="s">
        <v>4853</v>
      </c>
      <c r="AM57" s="59"/>
      <c r="AN57" s="59"/>
      <c r="AO57" s="59"/>
      <c r="AP57" s="59"/>
      <c r="AQ57" s="59"/>
      <c r="AR57" s="59"/>
      <c r="AS57" s="59"/>
      <c r="AT57" s="59"/>
      <c r="AU57" s="59"/>
      <c r="AV57" s="59"/>
      <c r="AW57" s="18"/>
    </row>
    <row r="58" spans="1:49" s="20" customFormat="1" ht="26.4">
      <c r="A58" s="40">
        <f t="shared" si="9"/>
        <v>52</v>
      </c>
      <c r="B58" s="59"/>
      <c r="C58" s="59"/>
      <c r="D58" s="59"/>
      <c r="E58" s="59"/>
      <c r="F58" s="59"/>
      <c r="G58" s="59"/>
      <c r="H58" s="59"/>
      <c r="I58" s="59"/>
      <c r="J58" s="412" t="s">
        <v>4857</v>
      </c>
      <c r="K58" s="232" t="s">
        <v>122</v>
      </c>
      <c r="L58" s="204" t="s">
        <v>997</v>
      </c>
      <c r="M58" s="204" t="s">
        <v>4033</v>
      </c>
      <c r="N58" s="40" t="s">
        <v>873</v>
      </c>
      <c r="O58" s="126"/>
      <c r="P58" s="126"/>
      <c r="Q58" s="126"/>
      <c r="R58" s="126" t="s">
        <v>6</v>
      </c>
      <c r="S58" s="126" t="s">
        <v>6</v>
      </c>
      <c r="T58" s="40"/>
      <c r="U58" s="215"/>
      <c r="V58" s="412"/>
      <c r="W58" s="232" t="s">
        <v>125</v>
      </c>
      <c r="X58" s="126"/>
      <c r="Y58" s="126"/>
      <c r="Z58" s="126"/>
      <c r="AA58" s="126" t="s">
        <v>6</v>
      </c>
      <c r="AB58" s="15"/>
      <c r="AC58" s="59"/>
      <c r="AD58" s="412" t="s">
        <v>4853</v>
      </c>
      <c r="AE58" s="232" t="s">
        <v>125</v>
      </c>
      <c r="AF58" s="126"/>
      <c r="AG58" s="126"/>
      <c r="AH58" s="126"/>
      <c r="AI58" s="126" t="s">
        <v>6</v>
      </c>
      <c r="AJ58" s="15"/>
      <c r="AK58" s="59"/>
      <c r="AL58" s="412" t="s">
        <v>4853</v>
      </c>
      <c r="AM58" s="59"/>
      <c r="AN58" s="59"/>
      <c r="AO58" s="59"/>
      <c r="AP58" s="59"/>
      <c r="AQ58" s="59"/>
      <c r="AR58" s="59"/>
      <c r="AS58" s="59"/>
      <c r="AT58" s="59"/>
      <c r="AU58" s="59"/>
      <c r="AV58" s="59"/>
      <c r="AW58" s="18"/>
    </row>
    <row r="59" spans="1:49" s="20" customFormat="1" ht="26.4">
      <c r="A59" s="40">
        <f t="shared" si="9"/>
        <v>53</v>
      </c>
      <c r="B59" s="59"/>
      <c r="C59" s="59"/>
      <c r="D59" s="59"/>
      <c r="E59" s="59"/>
      <c r="F59" s="59"/>
      <c r="G59" s="59"/>
      <c r="H59" s="59"/>
      <c r="I59" s="59"/>
      <c r="J59" s="412" t="s">
        <v>4858</v>
      </c>
      <c r="K59" s="232" t="s">
        <v>122</v>
      </c>
      <c r="L59" s="204" t="s">
        <v>4859</v>
      </c>
      <c r="M59" s="204" t="s">
        <v>4033</v>
      </c>
      <c r="N59" s="40" t="s">
        <v>873</v>
      </c>
      <c r="O59" s="126"/>
      <c r="P59" s="126"/>
      <c r="Q59" s="126"/>
      <c r="R59" s="126" t="s">
        <v>6</v>
      </c>
      <c r="S59" s="126" t="s">
        <v>6</v>
      </c>
      <c r="T59" s="126"/>
      <c r="U59" s="215" t="s">
        <v>4140</v>
      </c>
      <c r="V59" s="412"/>
      <c r="W59" s="232" t="s">
        <v>125</v>
      </c>
      <c r="X59" s="126"/>
      <c r="Y59" s="126"/>
      <c r="Z59" s="126"/>
      <c r="AA59" s="126" t="s">
        <v>6</v>
      </c>
      <c r="AB59" s="15"/>
      <c r="AC59" s="59"/>
      <c r="AD59" s="412" t="s">
        <v>4853</v>
      </c>
      <c r="AE59" s="232" t="s">
        <v>125</v>
      </c>
      <c r="AF59" s="126"/>
      <c r="AG59" s="126"/>
      <c r="AH59" s="126"/>
      <c r="AI59" s="126" t="s">
        <v>6</v>
      </c>
      <c r="AJ59" s="15"/>
      <c r="AK59" s="59"/>
      <c r="AL59" s="412" t="s">
        <v>4853</v>
      </c>
      <c r="AM59" s="59"/>
      <c r="AN59" s="59"/>
      <c r="AO59" s="59"/>
      <c r="AP59" s="59"/>
      <c r="AQ59" s="59"/>
      <c r="AR59" s="59"/>
      <c r="AS59" s="59"/>
      <c r="AT59" s="59"/>
      <c r="AU59" s="59"/>
      <c r="AV59" s="59"/>
      <c r="AW59" s="18"/>
    </row>
    <row r="60" spans="1:49" s="20" customFormat="1" ht="39.6">
      <c r="A60" s="40">
        <f t="shared" si="9"/>
        <v>54</v>
      </c>
      <c r="B60" s="59"/>
      <c r="C60" s="59"/>
      <c r="D60" s="59"/>
      <c r="E60" s="59"/>
      <c r="F60" s="59"/>
      <c r="G60" s="59"/>
      <c r="H60" s="59"/>
      <c r="I60" s="59"/>
      <c r="J60" s="412" t="s">
        <v>4853</v>
      </c>
      <c r="K60" s="232" t="s">
        <v>122</v>
      </c>
      <c r="L60" s="204" t="s">
        <v>4860</v>
      </c>
      <c r="M60" s="204" t="s">
        <v>4033</v>
      </c>
      <c r="N60" s="40" t="s">
        <v>873</v>
      </c>
      <c r="O60" s="126"/>
      <c r="P60" s="126"/>
      <c r="Q60" s="126" t="s">
        <v>6</v>
      </c>
      <c r="R60" s="126" t="s">
        <v>6</v>
      </c>
      <c r="S60" s="126" t="s">
        <v>6</v>
      </c>
      <c r="T60" s="126"/>
      <c r="U60" s="215" t="s">
        <v>4140</v>
      </c>
      <c r="V60" s="215"/>
      <c r="W60" s="232" t="s">
        <v>123</v>
      </c>
      <c r="X60" s="126"/>
      <c r="Y60" s="126"/>
      <c r="Z60" s="126" t="s">
        <v>6</v>
      </c>
      <c r="AA60" s="126" t="s">
        <v>6</v>
      </c>
      <c r="AB60" s="215"/>
      <c r="AC60" s="59"/>
      <c r="AD60" s="59"/>
      <c r="AE60" s="232" t="s">
        <v>123</v>
      </c>
      <c r="AF60" s="126"/>
      <c r="AG60" s="126"/>
      <c r="AH60" s="126" t="s">
        <v>6</v>
      </c>
      <c r="AI60" s="126" t="s">
        <v>6</v>
      </c>
      <c r="AJ60" s="215" t="s">
        <v>4861</v>
      </c>
      <c r="AK60" s="59"/>
      <c r="AL60" s="59"/>
      <c r="AM60" s="59"/>
      <c r="AN60" s="59"/>
      <c r="AO60" s="59"/>
      <c r="AP60" s="59"/>
      <c r="AQ60" s="59"/>
      <c r="AR60" s="59"/>
      <c r="AS60" s="59"/>
      <c r="AT60" s="59"/>
      <c r="AU60" s="59"/>
      <c r="AV60" s="59"/>
      <c r="AW60" s="18"/>
    </row>
    <row r="61" spans="1:49" s="20" customFormat="1" ht="26.4">
      <c r="A61" s="40">
        <f t="shared" si="9"/>
        <v>55</v>
      </c>
      <c r="B61" s="59"/>
      <c r="C61" s="59"/>
      <c r="D61" s="59"/>
      <c r="E61" s="59"/>
      <c r="F61" s="59"/>
      <c r="G61" s="59"/>
      <c r="H61" s="59"/>
      <c r="I61" s="59"/>
      <c r="J61" s="412" t="s">
        <v>4862</v>
      </c>
      <c r="K61" s="232" t="s">
        <v>132</v>
      </c>
      <c r="L61" s="204" t="s">
        <v>4863</v>
      </c>
      <c r="M61" s="204" t="s">
        <v>4034</v>
      </c>
      <c r="N61" s="40" t="s">
        <v>504</v>
      </c>
      <c r="O61" s="126"/>
      <c r="P61" s="126"/>
      <c r="Q61" s="126" t="s">
        <v>6</v>
      </c>
      <c r="R61" s="126" t="s">
        <v>6</v>
      </c>
      <c r="S61" s="126" t="s">
        <v>6</v>
      </c>
      <c r="T61" s="126"/>
      <c r="U61" s="215" t="s">
        <v>4140</v>
      </c>
      <c r="V61" s="412"/>
      <c r="W61" s="232" t="s">
        <v>133</v>
      </c>
      <c r="X61" s="126"/>
      <c r="Y61" s="126"/>
      <c r="Z61" s="126" t="s">
        <v>6</v>
      </c>
      <c r="AA61" s="126" t="s">
        <v>6</v>
      </c>
      <c r="AB61" s="15"/>
      <c r="AC61" s="59"/>
      <c r="AD61" s="59"/>
      <c r="AE61" s="232" t="s">
        <v>133</v>
      </c>
      <c r="AF61" s="126"/>
      <c r="AG61" s="126"/>
      <c r="AH61" s="126" t="s">
        <v>6</v>
      </c>
      <c r="AI61" s="126" t="s">
        <v>6</v>
      </c>
      <c r="AJ61" s="15"/>
      <c r="AK61" s="59"/>
      <c r="AL61" s="59"/>
      <c r="AM61" s="59"/>
      <c r="AN61" s="59"/>
      <c r="AO61" s="59"/>
      <c r="AP61" s="59"/>
      <c r="AQ61" s="59"/>
      <c r="AR61" s="59"/>
      <c r="AS61" s="59"/>
      <c r="AT61" s="59"/>
      <c r="AU61" s="59"/>
      <c r="AV61" s="59"/>
      <c r="AW61" s="18"/>
    </row>
    <row r="62" spans="1:49" s="20" customFormat="1" ht="15">
      <c r="A62" s="40">
        <f t="shared" si="9"/>
        <v>56</v>
      </c>
      <c r="B62" s="19"/>
      <c r="C62" s="48"/>
      <c r="D62" s="19"/>
      <c r="E62" s="19"/>
      <c r="F62" s="19"/>
      <c r="G62" s="19"/>
      <c r="H62" s="13"/>
      <c r="I62" s="13"/>
      <c r="J62" s="412" t="s">
        <v>4864</v>
      </c>
      <c r="K62" s="232" t="s">
        <v>122</v>
      </c>
      <c r="L62" s="204" t="s">
        <v>674</v>
      </c>
      <c r="M62" s="204" t="s">
        <v>4037</v>
      </c>
      <c r="N62" s="40" t="s">
        <v>873</v>
      </c>
      <c r="O62" s="126"/>
      <c r="P62" s="126"/>
      <c r="Q62" s="126" t="s">
        <v>6</v>
      </c>
      <c r="R62" s="126" t="s">
        <v>6</v>
      </c>
      <c r="S62" s="126" t="s">
        <v>6</v>
      </c>
      <c r="T62" s="40"/>
      <c r="U62" s="215"/>
      <c r="V62" s="215"/>
      <c r="W62" s="232" t="s">
        <v>123</v>
      </c>
      <c r="X62" s="126"/>
      <c r="Y62" s="126"/>
      <c r="Z62" s="126" t="s">
        <v>6</v>
      </c>
      <c r="AA62" s="126" t="s">
        <v>6</v>
      </c>
      <c r="AB62" s="45"/>
      <c r="AC62" s="415"/>
      <c r="AD62" s="415"/>
      <c r="AE62" s="232" t="s">
        <v>123</v>
      </c>
      <c r="AF62" s="126"/>
      <c r="AG62" s="126"/>
      <c r="AH62" s="126" t="s">
        <v>6</v>
      </c>
      <c r="AI62" s="126" t="s">
        <v>6</v>
      </c>
      <c r="AJ62" s="45"/>
      <c r="AK62" s="415"/>
      <c r="AL62" s="415"/>
      <c r="AM62" s="43"/>
      <c r="AN62" s="19"/>
      <c r="AO62" s="13"/>
      <c r="AP62" s="13"/>
      <c r="AQ62" s="13"/>
      <c r="AR62" s="13"/>
      <c r="AS62" s="13"/>
      <c r="AT62" s="13"/>
      <c r="AU62" s="15"/>
      <c r="AV62" s="15"/>
      <c r="AW62" s="18"/>
    </row>
    <row r="63" spans="1:49" s="20" customFormat="1" ht="15">
      <c r="A63" s="40">
        <f t="shared" si="9"/>
        <v>57</v>
      </c>
      <c r="B63" s="19"/>
      <c r="C63" s="48"/>
      <c r="D63" s="19"/>
      <c r="E63" s="19"/>
      <c r="F63" s="19"/>
      <c r="G63" s="19"/>
      <c r="H63" s="13"/>
      <c r="I63" s="13"/>
      <c r="J63" s="412" t="s">
        <v>4865</v>
      </c>
      <c r="K63" s="232" t="s">
        <v>122</v>
      </c>
      <c r="L63" s="204" t="s">
        <v>674</v>
      </c>
      <c r="M63" s="204" t="s">
        <v>4037</v>
      </c>
      <c r="N63" s="40" t="s">
        <v>873</v>
      </c>
      <c r="O63" s="126"/>
      <c r="P63" s="126"/>
      <c r="Q63" s="126" t="s">
        <v>6</v>
      </c>
      <c r="R63" s="126" t="s">
        <v>6</v>
      </c>
      <c r="S63" s="126" t="s">
        <v>6</v>
      </c>
      <c r="T63" s="126"/>
      <c r="U63" s="215"/>
      <c r="V63" s="215"/>
      <c r="W63" s="232" t="s">
        <v>123</v>
      </c>
      <c r="X63" s="126"/>
      <c r="Y63" s="126"/>
      <c r="Z63" s="126" t="s">
        <v>6</v>
      </c>
      <c r="AA63" s="126" t="s">
        <v>6</v>
      </c>
      <c r="AB63" s="45"/>
      <c r="AC63" s="415"/>
      <c r="AD63" s="415"/>
      <c r="AE63" s="232" t="s">
        <v>123</v>
      </c>
      <c r="AF63" s="126"/>
      <c r="AG63" s="126"/>
      <c r="AH63" s="126" t="s">
        <v>6</v>
      </c>
      <c r="AI63" s="126" t="s">
        <v>6</v>
      </c>
      <c r="AJ63" s="45"/>
      <c r="AK63" s="415"/>
      <c r="AL63" s="415"/>
      <c r="AM63" s="43"/>
      <c r="AN63" s="19"/>
      <c r="AO63" s="13"/>
      <c r="AP63" s="13"/>
      <c r="AQ63" s="13"/>
      <c r="AR63" s="13"/>
      <c r="AS63" s="13"/>
      <c r="AT63" s="13"/>
      <c r="AU63" s="15"/>
      <c r="AV63" s="15"/>
      <c r="AW63" s="18"/>
    </row>
    <row r="64" spans="1:49" s="20" customFormat="1" ht="15">
      <c r="A64" s="40">
        <f t="shared" si="9"/>
        <v>58</v>
      </c>
      <c r="B64" s="59"/>
      <c r="C64" s="59"/>
      <c r="D64" s="59"/>
      <c r="E64" s="59"/>
      <c r="F64" s="59"/>
      <c r="G64" s="59"/>
      <c r="H64" s="59"/>
      <c r="I64" s="59"/>
      <c r="J64" s="412" t="s">
        <v>4866</v>
      </c>
      <c r="K64" s="232" t="s">
        <v>122</v>
      </c>
      <c r="L64" s="232" t="s">
        <v>4305</v>
      </c>
      <c r="M64" s="232"/>
      <c r="N64" s="40" t="s">
        <v>873</v>
      </c>
      <c r="O64" s="126"/>
      <c r="P64" s="126"/>
      <c r="Q64" s="126" t="s">
        <v>6</v>
      </c>
      <c r="R64" s="126" t="s">
        <v>6</v>
      </c>
      <c r="S64" s="126" t="s">
        <v>6</v>
      </c>
      <c r="T64" s="126"/>
      <c r="U64" s="242"/>
      <c r="V64" s="242"/>
      <c r="W64" s="232" t="s">
        <v>123</v>
      </c>
      <c r="X64" s="126"/>
      <c r="Y64" s="126"/>
      <c r="Z64" s="126" t="s">
        <v>6</v>
      </c>
      <c r="AA64" s="126" t="s">
        <v>6</v>
      </c>
      <c r="AB64" s="15"/>
      <c r="AC64" s="59"/>
      <c r="AD64" s="59"/>
      <c r="AE64" s="232" t="s">
        <v>123</v>
      </c>
      <c r="AF64" s="126"/>
      <c r="AG64" s="126"/>
      <c r="AH64" s="126" t="s">
        <v>6</v>
      </c>
      <c r="AI64" s="126" t="s">
        <v>6</v>
      </c>
      <c r="AJ64" s="15"/>
      <c r="AK64" s="59"/>
      <c r="AL64" s="59"/>
      <c r="AM64" s="59"/>
      <c r="AN64" s="59"/>
      <c r="AO64" s="59"/>
      <c r="AP64" s="59"/>
      <c r="AQ64" s="59"/>
      <c r="AR64" s="59"/>
      <c r="AS64" s="59"/>
      <c r="AT64" s="59"/>
      <c r="AU64" s="59"/>
      <c r="AV64" s="59"/>
      <c r="AW64" s="18"/>
    </row>
    <row r="65" spans="1:49" s="20" customFormat="1" ht="15">
      <c r="A65" s="40">
        <f t="shared" si="9"/>
        <v>59</v>
      </c>
      <c r="B65" s="59"/>
      <c r="C65" s="59"/>
      <c r="D65" s="59"/>
      <c r="E65" s="59"/>
      <c r="F65" s="59"/>
      <c r="G65" s="59"/>
      <c r="H65" s="59"/>
      <c r="I65" s="59"/>
      <c r="J65" s="412" t="s">
        <v>4867</v>
      </c>
      <c r="K65" s="232" t="s">
        <v>117</v>
      </c>
      <c r="L65" s="204" t="s">
        <v>4320</v>
      </c>
      <c r="M65" s="204"/>
      <c r="N65" s="40" t="s">
        <v>504</v>
      </c>
      <c r="O65" s="40"/>
      <c r="P65" s="40"/>
      <c r="Q65" s="126" t="s">
        <v>6</v>
      </c>
      <c r="R65" s="126" t="s">
        <v>6</v>
      </c>
      <c r="S65" s="126" t="s">
        <v>6</v>
      </c>
      <c r="T65" s="126"/>
      <c r="U65" s="204"/>
      <c r="V65" s="204"/>
      <c r="W65" s="232" t="s">
        <v>133</v>
      </c>
      <c r="X65" s="40"/>
      <c r="Y65" s="40"/>
      <c r="Z65" s="126" t="s">
        <v>6</v>
      </c>
      <c r="AA65" s="126" t="s">
        <v>6</v>
      </c>
      <c r="AB65" s="15"/>
      <c r="AC65" s="59"/>
      <c r="AD65" s="59"/>
      <c r="AE65" s="232" t="s">
        <v>133</v>
      </c>
      <c r="AF65" s="40"/>
      <c r="AG65" s="40"/>
      <c r="AH65" s="126" t="s">
        <v>6</v>
      </c>
      <c r="AI65" s="126" t="s">
        <v>6</v>
      </c>
      <c r="AJ65" s="15"/>
      <c r="AK65" s="59"/>
      <c r="AL65" s="59"/>
      <c r="AM65" s="59"/>
      <c r="AN65" s="59"/>
      <c r="AO65" s="59"/>
      <c r="AP65" s="59"/>
      <c r="AQ65" s="59"/>
      <c r="AR65" s="59"/>
      <c r="AS65" s="59"/>
      <c r="AT65" s="59"/>
      <c r="AU65" s="59"/>
      <c r="AV65" s="59"/>
      <c r="AW65" s="18"/>
    </row>
    <row r="66" spans="1:49" s="20" customFormat="1" ht="15">
      <c r="A66" s="40">
        <f t="shared" si="9"/>
        <v>60</v>
      </c>
      <c r="B66" s="59"/>
      <c r="C66" s="59"/>
      <c r="D66" s="59"/>
      <c r="E66" s="59"/>
      <c r="F66" s="59"/>
      <c r="G66" s="59"/>
      <c r="H66" s="59"/>
      <c r="I66" s="59"/>
      <c r="J66" s="412" t="s">
        <v>4868</v>
      </c>
      <c r="K66" s="232" t="s">
        <v>117</v>
      </c>
      <c r="L66" s="204" t="s">
        <v>4360</v>
      </c>
      <c r="M66" s="204"/>
      <c r="N66" s="40" t="s">
        <v>504</v>
      </c>
      <c r="O66" s="40"/>
      <c r="P66" s="40"/>
      <c r="Q66" s="126" t="s">
        <v>6</v>
      </c>
      <c r="R66" s="126" t="s">
        <v>6</v>
      </c>
      <c r="S66" s="126" t="s">
        <v>6</v>
      </c>
      <c r="T66" s="126"/>
      <c r="U66" s="204"/>
      <c r="V66" s="204"/>
      <c r="W66" s="232" t="s">
        <v>133</v>
      </c>
      <c r="X66" s="40"/>
      <c r="Y66" s="40"/>
      <c r="Z66" s="126" t="s">
        <v>6</v>
      </c>
      <c r="AA66" s="126" t="s">
        <v>6</v>
      </c>
      <c r="AB66" s="15"/>
      <c r="AC66" s="59"/>
      <c r="AD66" s="59"/>
      <c r="AE66" s="232" t="s">
        <v>133</v>
      </c>
      <c r="AF66" s="40"/>
      <c r="AG66" s="40"/>
      <c r="AH66" s="126" t="s">
        <v>6</v>
      </c>
      <c r="AI66" s="126" t="s">
        <v>6</v>
      </c>
      <c r="AJ66" s="15"/>
      <c r="AK66" s="59"/>
      <c r="AL66" s="59"/>
      <c r="AM66" s="59"/>
      <c r="AN66" s="59"/>
      <c r="AO66" s="59"/>
      <c r="AP66" s="59"/>
      <c r="AQ66" s="59"/>
      <c r="AR66" s="59"/>
      <c r="AS66" s="59"/>
      <c r="AT66" s="59"/>
      <c r="AU66" s="59"/>
      <c r="AV66" s="59"/>
      <c r="AW66" s="18"/>
    </row>
    <row r="67" spans="1:49" s="20" customFormat="1" ht="15">
      <c r="A67" s="40">
        <f t="shared" si="9"/>
        <v>61</v>
      </c>
      <c r="B67" s="59"/>
      <c r="C67" s="59"/>
      <c r="D67" s="59"/>
      <c r="E67" s="59"/>
      <c r="F67" s="59"/>
      <c r="G67" s="59"/>
      <c r="H67" s="59"/>
      <c r="I67" s="59"/>
      <c r="J67" s="412" t="s">
        <v>4869</v>
      </c>
      <c r="K67" s="232" t="s">
        <v>117</v>
      </c>
      <c r="L67" s="204" t="s">
        <v>4370</v>
      </c>
      <c r="M67" s="204"/>
      <c r="N67" s="40" t="s">
        <v>504</v>
      </c>
      <c r="O67" s="40"/>
      <c r="P67" s="40"/>
      <c r="Q67" s="126" t="s">
        <v>6</v>
      </c>
      <c r="R67" s="126" t="s">
        <v>6</v>
      </c>
      <c r="S67" s="126" t="s">
        <v>6</v>
      </c>
      <c r="T67" s="126"/>
      <c r="U67" s="204"/>
      <c r="V67" s="204"/>
      <c r="W67" s="232" t="s">
        <v>133</v>
      </c>
      <c r="X67" s="40"/>
      <c r="Y67" s="40"/>
      <c r="Z67" s="126" t="s">
        <v>6</v>
      </c>
      <c r="AA67" s="126" t="s">
        <v>6</v>
      </c>
      <c r="AB67" s="15"/>
      <c r="AC67" s="59"/>
      <c r="AD67" s="59"/>
      <c r="AE67" s="232" t="s">
        <v>133</v>
      </c>
      <c r="AF67" s="40"/>
      <c r="AG67" s="40"/>
      <c r="AH67" s="126" t="s">
        <v>6</v>
      </c>
      <c r="AI67" s="126" t="s">
        <v>6</v>
      </c>
      <c r="AJ67" s="15"/>
      <c r="AK67" s="59"/>
      <c r="AL67" s="59"/>
      <c r="AM67" s="59"/>
      <c r="AN67" s="59"/>
      <c r="AO67" s="59"/>
      <c r="AP67" s="59"/>
      <c r="AQ67" s="59"/>
      <c r="AR67" s="59"/>
      <c r="AS67" s="59"/>
      <c r="AT67" s="59"/>
      <c r="AU67" s="59"/>
      <c r="AV67" s="59"/>
      <c r="AW67" s="18"/>
    </row>
    <row r="68" spans="1:49" s="20" customFormat="1" ht="26.4">
      <c r="A68" s="40">
        <f t="shared" si="9"/>
        <v>62</v>
      </c>
      <c r="B68" s="59"/>
      <c r="C68" s="59"/>
      <c r="D68" s="59"/>
      <c r="E68" s="59"/>
      <c r="F68" s="59"/>
      <c r="G68" s="59"/>
      <c r="H68" s="59"/>
      <c r="I68" s="59"/>
      <c r="J68" s="412" t="s">
        <v>4870</v>
      </c>
      <c r="K68" s="232" t="s">
        <v>117</v>
      </c>
      <c r="L68" s="204" t="s">
        <v>4373</v>
      </c>
      <c r="M68" s="204"/>
      <c r="N68" s="40" t="s">
        <v>504</v>
      </c>
      <c r="O68" s="40"/>
      <c r="P68" s="40"/>
      <c r="Q68" s="40" t="s">
        <v>6</v>
      </c>
      <c r="R68" s="40" t="s">
        <v>6</v>
      </c>
      <c r="S68" s="126" t="s">
        <v>6</v>
      </c>
      <c r="T68" s="126"/>
      <c r="U68" s="218" t="s">
        <v>4871</v>
      </c>
      <c r="V68" s="246"/>
      <c r="W68" s="232" t="s">
        <v>133</v>
      </c>
      <c r="X68" s="40"/>
      <c r="Y68" s="40"/>
      <c r="Z68" s="40" t="s">
        <v>6</v>
      </c>
      <c r="AA68" s="40" t="s">
        <v>6</v>
      </c>
      <c r="AB68" s="204" t="s">
        <v>1100</v>
      </c>
      <c r="AC68" s="59"/>
      <c r="AD68" s="59"/>
      <c r="AE68" s="232" t="s">
        <v>133</v>
      </c>
      <c r="AF68" s="40"/>
      <c r="AG68" s="40"/>
      <c r="AH68" s="126"/>
      <c r="AI68" s="126"/>
      <c r="AJ68" s="204" t="s">
        <v>1100</v>
      </c>
      <c r="AK68" s="59"/>
      <c r="AL68" s="59"/>
      <c r="AM68" s="59"/>
      <c r="AN68" s="59"/>
      <c r="AO68" s="59"/>
      <c r="AP68" s="59"/>
      <c r="AQ68" s="59"/>
      <c r="AR68" s="59"/>
      <c r="AS68" s="59"/>
      <c r="AT68" s="59"/>
      <c r="AU68" s="59"/>
      <c r="AV68" s="59"/>
      <c r="AW68" s="18"/>
    </row>
    <row r="69" spans="1:49" s="20" customFormat="1" ht="15">
      <c r="A69" s="40">
        <f t="shared" si="9"/>
        <v>63</v>
      </c>
      <c r="B69" s="59"/>
      <c r="C69" s="59"/>
      <c r="D69" s="59"/>
      <c r="E69" s="59"/>
      <c r="F69" s="59"/>
      <c r="G69" s="59"/>
      <c r="H69" s="59"/>
      <c r="I69" s="59"/>
      <c r="J69" s="412" t="s">
        <v>4872</v>
      </c>
      <c r="K69" s="232" t="s">
        <v>117</v>
      </c>
      <c r="L69" s="204" t="s">
        <v>4441</v>
      </c>
      <c r="M69" s="204"/>
      <c r="N69" s="40" t="s">
        <v>504</v>
      </c>
      <c r="O69" s="40"/>
      <c r="P69" s="40"/>
      <c r="Q69" s="126" t="s">
        <v>6</v>
      </c>
      <c r="R69" s="126" t="s">
        <v>6</v>
      </c>
      <c r="S69" s="126" t="s">
        <v>6</v>
      </c>
      <c r="T69" s="474"/>
      <c r="U69" s="204"/>
      <c r="V69" s="475"/>
      <c r="W69" s="232" t="s">
        <v>133</v>
      </c>
      <c r="X69" s="40"/>
      <c r="Y69" s="40"/>
      <c r="Z69" s="126" t="s">
        <v>6</v>
      </c>
      <c r="AA69" s="126" t="s">
        <v>6</v>
      </c>
      <c r="AB69" s="15"/>
      <c r="AC69" s="59"/>
      <c r="AD69" s="59"/>
      <c r="AE69" s="232" t="s">
        <v>133</v>
      </c>
      <c r="AF69" s="40"/>
      <c r="AG69" s="40"/>
      <c r="AH69" s="126" t="s">
        <v>6</v>
      </c>
      <c r="AI69" s="126" t="s">
        <v>6</v>
      </c>
      <c r="AJ69" s="15"/>
      <c r="AK69" s="59"/>
      <c r="AL69" s="59"/>
      <c r="AM69" s="59"/>
      <c r="AN69" s="59"/>
      <c r="AO69" s="59"/>
      <c r="AP69" s="59"/>
      <c r="AQ69" s="59"/>
      <c r="AR69" s="59"/>
      <c r="AS69" s="59"/>
      <c r="AT69" s="59"/>
      <c r="AU69" s="59"/>
      <c r="AV69" s="59"/>
      <c r="AW69" s="18"/>
    </row>
    <row r="70" spans="1:49" s="20" customFormat="1" ht="15">
      <c r="A70" s="40">
        <f t="shared" si="9"/>
        <v>64</v>
      </c>
      <c r="B70" s="59"/>
      <c r="C70" s="59"/>
      <c r="D70" s="59"/>
      <c r="E70" s="59"/>
      <c r="F70" s="59"/>
      <c r="G70" s="59"/>
      <c r="H70" s="59"/>
      <c r="I70" s="59"/>
      <c r="J70" s="412" t="s">
        <v>4873</v>
      </c>
      <c r="K70" s="232" t="s">
        <v>117</v>
      </c>
      <c r="L70" s="204" t="s">
        <v>4874</v>
      </c>
      <c r="M70" s="204" t="s">
        <v>4378</v>
      </c>
      <c r="N70" s="40" t="s">
        <v>504</v>
      </c>
      <c r="O70" s="40"/>
      <c r="P70" s="40"/>
      <c r="Q70" s="126" t="s">
        <v>6</v>
      </c>
      <c r="R70" s="126" t="s">
        <v>6</v>
      </c>
      <c r="S70" s="126" t="s">
        <v>6</v>
      </c>
      <c r="T70" s="474"/>
      <c r="U70" s="204"/>
      <c r="V70" s="475"/>
      <c r="W70" s="232" t="s">
        <v>133</v>
      </c>
      <c r="X70" s="40"/>
      <c r="Y70" s="40"/>
      <c r="Z70" s="126" t="s">
        <v>6</v>
      </c>
      <c r="AA70" s="126" t="s">
        <v>6</v>
      </c>
      <c r="AB70" s="15"/>
      <c r="AC70" s="59"/>
      <c r="AD70" s="59"/>
      <c r="AE70" s="232" t="s">
        <v>133</v>
      </c>
      <c r="AF70" s="40"/>
      <c r="AG70" s="40"/>
      <c r="AH70" s="126" t="s">
        <v>6</v>
      </c>
      <c r="AI70" s="126" t="s">
        <v>6</v>
      </c>
      <c r="AJ70" s="15"/>
      <c r="AK70" s="59"/>
      <c r="AL70" s="59"/>
      <c r="AM70" s="59"/>
      <c r="AN70" s="59"/>
      <c r="AO70" s="59"/>
      <c r="AP70" s="59"/>
      <c r="AQ70" s="59"/>
      <c r="AR70" s="59"/>
      <c r="AS70" s="59"/>
      <c r="AT70" s="59"/>
      <c r="AU70" s="59"/>
      <c r="AV70" s="59"/>
      <c r="AW70" s="18"/>
    </row>
    <row r="71" spans="1:49" s="20" customFormat="1" ht="15">
      <c r="A71" s="40">
        <f t="shared" si="9"/>
        <v>65</v>
      </c>
      <c r="B71" s="59"/>
      <c r="C71" s="59"/>
      <c r="D71" s="59"/>
      <c r="E71" s="59"/>
      <c r="F71" s="59"/>
      <c r="G71" s="59"/>
      <c r="H71" s="59"/>
      <c r="I71" s="59"/>
      <c r="J71" s="412" t="s">
        <v>4875</v>
      </c>
      <c r="K71" s="232" t="s">
        <v>117</v>
      </c>
      <c r="L71" s="204" t="s">
        <v>4876</v>
      </c>
      <c r="M71" s="204" t="s">
        <v>4378</v>
      </c>
      <c r="N71" s="40" t="s">
        <v>504</v>
      </c>
      <c r="O71" s="40"/>
      <c r="P71" s="40"/>
      <c r="Q71" s="126" t="s">
        <v>6</v>
      </c>
      <c r="R71" s="126" t="s">
        <v>6</v>
      </c>
      <c r="S71" s="126" t="s">
        <v>6</v>
      </c>
      <c r="T71" s="474"/>
      <c r="U71" s="204"/>
      <c r="V71" s="475"/>
      <c r="W71" s="232" t="s">
        <v>133</v>
      </c>
      <c r="X71" s="40"/>
      <c r="Y71" s="40"/>
      <c r="Z71" s="126" t="s">
        <v>6</v>
      </c>
      <c r="AA71" s="126" t="s">
        <v>6</v>
      </c>
      <c r="AB71" s="15"/>
      <c r="AC71" s="59"/>
      <c r="AD71" s="59"/>
      <c r="AE71" s="232" t="s">
        <v>133</v>
      </c>
      <c r="AF71" s="40"/>
      <c r="AG71" s="40"/>
      <c r="AH71" s="126" t="s">
        <v>6</v>
      </c>
      <c r="AI71" s="126" t="s">
        <v>6</v>
      </c>
      <c r="AJ71" s="15"/>
      <c r="AK71" s="59"/>
      <c r="AL71" s="59"/>
      <c r="AM71" s="59"/>
      <c r="AN71" s="59"/>
      <c r="AO71" s="59"/>
      <c r="AP71" s="59"/>
      <c r="AQ71" s="59"/>
      <c r="AR71" s="59"/>
      <c r="AS71" s="59"/>
      <c r="AT71" s="59"/>
      <c r="AU71" s="59"/>
      <c r="AV71" s="59"/>
      <c r="AW71" s="18"/>
    </row>
    <row r="72" spans="1:49" s="20" customFormat="1" ht="26.4">
      <c r="A72" s="40">
        <f t="shared" si="9"/>
        <v>66</v>
      </c>
      <c r="B72" s="59"/>
      <c r="C72" s="59"/>
      <c r="D72" s="59"/>
      <c r="E72" s="59"/>
      <c r="F72" s="59"/>
      <c r="G72" s="59"/>
      <c r="H72" s="59"/>
      <c r="I72" s="59"/>
      <c r="J72" s="412" t="s">
        <v>4877</v>
      </c>
      <c r="K72" s="232" t="s">
        <v>117</v>
      </c>
      <c r="L72" s="204" t="s">
        <v>4444</v>
      </c>
      <c r="M72" s="204" t="s">
        <v>4378</v>
      </c>
      <c r="N72" s="40" t="s">
        <v>504</v>
      </c>
      <c r="O72" s="126"/>
      <c r="P72" s="126"/>
      <c r="Q72" s="126" t="s">
        <v>6</v>
      </c>
      <c r="R72" s="126" t="s">
        <v>6</v>
      </c>
      <c r="S72" s="126" t="s">
        <v>6</v>
      </c>
      <c r="T72" s="474"/>
      <c r="U72" s="218" t="s">
        <v>4878</v>
      </c>
      <c r="V72" s="246"/>
      <c r="W72" s="232" t="s">
        <v>133</v>
      </c>
      <c r="X72" s="40"/>
      <c r="Y72" s="40"/>
      <c r="Z72" s="40" t="s">
        <v>6</v>
      </c>
      <c r="AA72" s="40" t="s">
        <v>6</v>
      </c>
      <c r="AB72" s="204" t="s">
        <v>1100</v>
      </c>
      <c r="AC72" s="59"/>
      <c r="AD72" s="59"/>
      <c r="AE72" s="232" t="s">
        <v>133</v>
      </c>
      <c r="AF72" s="40"/>
      <c r="AG72" s="40"/>
      <c r="AH72" s="40"/>
      <c r="AI72" s="126"/>
      <c r="AJ72" s="204" t="s">
        <v>1100</v>
      </c>
      <c r="AK72" s="59"/>
      <c r="AL72" s="59"/>
      <c r="AM72" s="59"/>
      <c r="AN72" s="59"/>
      <c r="AO72" s="59"/>
      <c r="AP72" s="59"/>
      <c r="AQ72" s="59"/>
      <c r="AR72" s="59"/>
      <c r="AS72" s="59"/>
      <c r="AT72" s="59"/>
      <c r="AU72" s="59"/>
      <c r="AV72" s="59"/>
      <c r="AW72" s="18"/>
    </row>
    <row r="73" spans="1:49" s="20" customFormat="1" ht="15">
      <c r="A73" s="40">
        <f t="shared" si="9"/>
        <v>67</v>
      </c>
      <c r="B73" s="59"/>
      <c r="C73" s="59"/>
      <c r="D73" s="59"/>
      <c r="E73" s="59"/>
      <c r="F73" s="59"/>
      <c r="G73" s="59"/>
      <c r="H73" s="59"/>
      <c r="I73" s="59"/>
      <c r="J73" s="412" t="s">
        <v>4879</v>
      </c>
      <c r="K73" s="232" t="s">
        <v>117</v>
      </c>
      <c r="L73" s="204" t="s">
        <v>1080</v>
      </c>
      <c r="M73" s="204"/>
      <c r="N73" s="40" t="s">
        <v>504</v>
      </c>
      <c r="O73" s="126"/>
      <c r="P73" s="126"/>
      <c r="Q73" s="126" t="s">
        <v>6</v>
      </c>
      <c r="R73" s="126" t="s">
        <v>6</v>
      </c>
      <c r="S73" s="126" t="s">
        <v>6</v>
      </c>
      <c r="T73" s="474"/>
      <c r="U73" s="204"/>
      <c r="V73" s="475"/>
      <c r="W73" s="232" t="s">
        <v>133</v>
      </c>
      <c r="X73" s="126"/>
      <c r="Y73" s="126"/>
      <c r="Z73" s="126" t="s">
        <v>6</v>
      </c>
      <c r="AA73" s="126" t="s">
        <v>6</v>
      </c>
      <c r="AB73" s="15"/>
      <c r="AC73" s="59"/>
      <c r="AD73" s="59"/>
      <c r="AE73" s="232" t="s">
        <v>133</v>
      </c>
      <c r="AF73" s="126"/>
      <c r="AG73" s="126"/>
      <c r="AH73" s="126" t="s">
        <v>6</v>
      </c>
      <c r="AI73" s="126" t="s">
        <v>6</v>
      </c>
      <c r="AJ73" s="15"/>
      <c r="AK73" s="59"/>
      <c r="AL73" s="59"/>
      <c r="AM73" s="59"/>
      <c r="AN73" s="59"/>
      <c r="AO73" s="59"/>
      <c r="AP73" s="59"/>
      <c r="AQ73" s="59"/>
      <c r="AR73" s="59"/>
      <c r="AS73" s="59"/>
      <c r="AT73" s="59"/>
      <c r="AU73" s="59"/>
      <c r="AV73" s="59"/>
      <c r="AW73" s="18"/>
    </row>
    <row r="74" spans="1:49" s="20" customFormat="1" ht="15">
      <c r="A74" s="40">
        <f t="shared" si="9"/>
        <v>68</v>
      </c>
      <c r="B74" s="59"/>
      <c r="C74" s="59"/>
      <c r="D74" s="59"/>
      <c r="E74" s="59"/>
      <c r="F74" s="59"/>
      <c r="G74" s="59"/>
      <c r="H74" s="59"/>
      <c r="I74" s="59"/>
      <c r="J74" s="412" t="s">
        <v>4880</v>
      </c>
      <c r="K74" s="232" t="s">
        <v>117</v>
      </c>
      <c r="L74" s="204" t="s">
        <v>4509</v>
      </c>
      <c r="M74" s="204"/>
      <c r="N74" s="40" t="s">
        <v>504</v>
      </c>
      <c r="O74" s="126"/>
      <c r="P74" s="126"/>
      <c r="Q74" s="126" t="s">
        <v>6</v>
      </c>
      <c r="R74" s="126" t="s">
        <v>6</v>
      </c>
      <c r="S74" s="126" t="s">
        <v>6</v>
      </c>
      <c r="T74" s="474"/>
      <c r="U74" s="204"/>
      <c r="V74" s="475"/>
      <c r="W74" s="232" t="s">
        <v>133</v>
      </c>
      <c r="X74" s="126"/>
      <c r="Y74" s="126"/>
      <c r="Z74" s="126" t="s">
        <v>6</v>
      </c>
      <c r="AA74" s="126" t="s">
        <v>6</v>
      </c>
      <c r="AB74" s="15"/>
      <c r="AC74" s="59"/>
      <c r="AD74" s="59"/>
      <c r="AE74" s="232" t="s">
        <v>133</v>
      </c>
      <c r="AF74" s="126"/>
      <c r="AG74" s="126"/>
      <c r="AH74" s="126" t="s">
        <v>6</v>
      </c>
      <c r="AI74" s="126" t="s">
        <v>6</v>
      </c>
      <c r="AJ74" s="15"/>
      <c r="AK74" s="59"/>
      <c r="AL74" s="59"/>
      <c r="AM74" s="59"/>
      <c r="AN74" s="59"/>
      <c r="AO74" s="59"/>
      <c r="AP74" s="59"/>
      <c r="AQ74" s="59"/>
      <c r="AR74" s="59"/>
      <c r="AS74" s="59"/>
      <c r="AT74" s="59"/>
      <c r="AU74" s="59"/>
      <c r="AV74" s="59"/>
      <c r="AW74" s="18"/>
    </row>
    <row r="75" spans="1:49" s="20" customFormat="1" ht="15">
      <c r="A75" s="40">
        <f t="shared" si="9"/>
        <v>69</v>
      </c>
      <c r="B75" s="59"/>
      <c r="C75" s="59"/>
      <c r="D75" s="59"/>
      <c r="E75" s="59"/>
      <c r="F75" s="59"/>
      <c r="G75" s="59"/>
      <c r="H75" s="59"/>
      <c r="I75" s="59"/>
      <c r="J75" s="412" t="s">
        <v>4881</v>
      </c>
      <c r="K75" s="232" t="s">
        <v>117</v>
      </c>
      <c r="L75" s="204" t="s">
        <v>4518</v>
      </c>
      <c r="M75" s="204" t="s">
        <v>4882</v>
      </c>
      <c r="N75" s="40" t="s">
        <v>504</v>
      </c>
      <c r="O75" s="126"/>
      <c r="P75" s="126"/>
      <c r="Q75" s="126" t="s">
        <v>6</v>
      </c>
      <c r="R75" s="126" t="s">
        <v>6</v>
      </c>
      <c r="S75" s="126" t="s">
        <v>6</v>
      </c>
      <c r="T75" s="474"/>
      <c r="U75" s="204"/>
      <c r="V75" s="475"/>
      <c r="W75" s="232" t="s">
        <v>133</v>
      </c>
      <c r="X75" s="126"/>
      <c r="Y75" s="126"/>
      <c r="Z75" s="126" t="s">
        <v>6</v>
      </c>
      <c r="AA75" s="126" t="s">
        <v>6</v>
      </c>
      <c r="AB75" s="15"/>
      <c r="AC75" s="59"/>
      <c r="AD75" s="59"/>
      <c r="AE75" s="232" t="s">
        <v>133</v>
      </c>
      <c r="AF75" s="126"/>
      <c r="AG75" s="126"/>
      <c r="AH75" s="126" t="s">
        <v>6</v>
      </c>
      <c r="AI75" s="126" t="s">
        <v>6</v>
      </c>
      <c r="AJ75" s="15"/>
      <c r="AK75" s="59"/>
      <c r="AL75" s="59"/>
      <c r="AM75" s="59"/>
      <c r="AN75" s="59"/>
      <c r="AO75" s="59"/>
      <c r="AP75" s="59"/>
      <c r="AQ75" s="59"/>
      <c r="AR75" s="59"/>
      <c r="AS75" s="59"/>
      <c r="AT75" s="59"/>
      <c r="AU75" s="59"/>
      <c r="AV75" s="59"/>
      <c r="AW75" s="18"/>
    </row>
    <row r="76" spans="1:49" s="20" customFormat="1" ht="15">
      <c r="A76" s="40">
        <f t="shared" si="9"/>
        <v>70</v>
      </c>
      <c r="B76" s="59"/>
      <c r="C76" s="59"/>
      <c r="D76" s="59"/>
      <c r="E76" s="59"/>
      <c r="F76" s="59"/>
      <c r="G76" s="59"/>
      <c r="H76" s="59"/>
      <c r="I76" s="59"/>
      <c r="J76" s="412" t="s">
        <v>4883</v>
      </c>
      <c r="K76" s="232" t="s">
        <v>117</v>
      </c>
      <c r="L76" s="204" t="s">
        <v>4884</v>
      </c>
      <c r="M76" s="204"/>
      <c r="N76" s="40" t="s">
        <v>504</v>
      </c>
      <c r="O76" s="126"/>
      <c r="P76" s="126"/>
      <c r="Q76" s="126" t="s">
        <v>6</v>
      </c>
      <c r="R76" s="126" t="s">
        <v>6</v>
      </c>
      <c r="S76" s="126" t="s">
        <v>6</v>
      </c>
      <c r="T76" s="140"/>
      <c r="U76" s="218" t="s">
        <v>4522</v>
      </c>
      <c r="V76" s="462"/>
      <c r="W76" s="232" t="s">
        <v>133</v>
      </c>
      <c r="X76" s="40"/>
      <c r="Y76" s="40"/>
      <c r="Z76" s="40" t="s">
        <v>6</v>
      </c>
      <c r="AA76" s="40" t="s">
        <v>6</v>
      </c>
      <c r="AB76" s="204" t="s">
        <v>1100</v>
      </c>
      <c r="AC76" s="59"/>
      <c r="AD76" s="59"/>
      <c r="AE76" s="232" t="s">
        <v>133</v>
      </c>
      <c r="AF76" s="40"/>
      <c r="AG76" s="40"/>
      <c r="AH76" s="126"/>
      <c r="AI76" s="126"/>
      <c r="AJ76" s="204" t="s">
        <v>1100</v>
      </c>
      <c r="AK76" s="59"/>
      <c r="AL76" s="59"/>
      <c r="AM76" s="59"/>
      <c r="AN76" s="59"/>
      <c r="AO76" s="59"/>
      <c r="AP76" s="59"/>
      <c r="AQ76" s="59"/>
      <c r="AR76" s="59"/>
      <c r="AS76" s="59"/>
      <c r="AT76" s="59"/>
      <c r="AU76" s="59"/>
      <c r="AV76" s="59"/>
      <c r="AW76" s="18"/>
    </row>
    <row r="77" spans="1:49" s="20" customFormat="1" ht="15">
      <c r="A77" s="40">
        <f t="shared" si="9"/>
        <v>71</v>
      </c>
      <c r="B77" s="59"/>
      <c r="C77" s="59"/>
      <c r="D77" s="59"/>
      <c r="E77" s="59"/>
      <c r="F77" s="59"/>
      <c r="G77" s="59"/>
      <c r="H77" s="59"/>
      <c r="I77" s="59"/>
      <c r="J77" s="412" t="s">
        <v>4885</v>
      </c>
      <c r="K77" s="232" t="s">
        <v>117</v>
      </c>
      <c r="L77" s="204" t="s">
        <v>4524</v>
      </c>
      <c r="M77" s="204"/>
      <c r="N77" s="40" t="s">
        <v>504</v>
      </c>
      <c r="O77" s="126"/>
      <c r="P77" s="126"/>
      <c r="Q77" s="126" t="s">
        <v>6</v>
      </c>
      <c r="R77" s="126" t="s">
        <v>6</v>
      </c>
      <c r="S77" s="126" t="s">
        <v>6</v>
      </c>
      <c r="T77" s="474"/>
      <c r="U77" s="215"/>
      <c r="V77" s="476"/>
      <c r="W77" s="232" t="s">
        <v>133</v>
      </c>
      <c r="X77" s="126"/>
      <c r="Y77" s="126"/>
      <c r="Z77" s="126" t="s">
        <v>6</v>
      </c>
      <c r="AA77" s="126" t="s">
        <v>6</v>
      </c>
      <c r="AB77" s="15"/>
      <c r="AC77" s="59"/>
      <c r="AD77" s="59"/>
      <c r="AE77" s="232" t="s">
        <v>133</v>
      </c>
      <c r="AF77" s="126"/>
      <c r="AG77" s="126"/>
      <c r="AH77" s="126" t="s">
        <v>6</v>
      </c>
      <c r="AI77" s="126" t="s">
        <v>6</v>
      </c>
      <c r="AJ77" s="15"/>
      <c r="AK77" s="59"/>
      <c r="AL77" s="59"/>
      <c r="AM77" s="59"/>
      <c r="AN77" s="59"/>
      <c r="AO77" s="59"/>
      <c r="AP77" s="59"/>
      <c r="AQ77" s="59"/>
      <c r="AR77" s="59"/>
      <c r="AS77" s="59"/>
      <c r="AT77" s="59"/>
      <c r="AU77" s="59"/>
      <c r="AV77" s="59"/>
      <c r="AW77" s="18"/>
    </row>
    <row r="78" spans="1:49" s="20" customFormat="1" ht="15">
      <c r="A78" s="40">
        <f t="shared" si="9"/>
        <v>72</v>
      </c>
      <c r="B78" s="59"/>
      <c r="C78" s="59"/>
      <c r="D78" s="59"/>
      <c r="E78" s="59"/>
      <c r="F78" s="59"/>
      <c r="G78" s="59"/>
      <c r="H78" s="59"/>
      <c r="I78" s="59"/>
      <c r="J78" s="412" t="s">
        <v>4886</v>
      </c>
      <c r="K78" s="232" t="s">
        <v>117</v>
      </c>
      <c r="L78" s="204" t="s">
        <v>1110</v>
      </c>
      <c r="M78" s="204" t="s">
        <v>4540</v>
      </c>
      <c r="N78" s="40" t="s">
        <v>504</v>
      </c>
      <c r="O78" s="126"/>
      <c r="P78" s="126"/>
      <c r="Q78" s="126" t="s">
        <v>6</v>
      </c>
      <c r="R78" s="126" t="s">
        <v>6</v>
      </c>
      <c r="S78" s="126" t="s">
        <v>6</v>
      </c>
      <c r="T78" s="474"/>
      <c r="U78" s="242"/>
      <c r="V78" s="477"/>
      <c r="W78" s="232" t="s">
        <v>133</v>
      </c>
      <c r="X78" s="126"/>
      <c r="Y78" s="126"/>
      <c r="Z78" s="126" t="s">
        <v>6</v>
      </c>
      <c r="AA78" s="126" t="s">
        <v>6</v>
      </c>
      <c r="AB78" s="15"/>
      <c r="AC78" s="59"/>
      <c r="AD78" s="59"/>
      <c r="AE78" s="232" t="s">
        <v>133</v>
      </c>
      <c r="AF78" s="126"/>
      <c r="AG78" s="126"/>
      <c r="AH78" s="126" t="s">
        <v>6</v>
      </c>
      <c r="AI78" s="126" t="s">
        <v>6</v>
      </c>
      <c r="AJ78" s="15"/>
      <c r="AK78" s="59"/>
      <c r="AL78" s="59"/>
      <c r="AM78" s="59"/>
      <c r="AN78" s="59"/>
      <c r="AO78" s="59"/>
      <c r="AP78" s="59"/>
      <c r="AQ78" s="59"/>
      <c r="AR78" s="59"/>
      <c r="AS78" s="59"/>
      <c r="AT78" s="59"/>
      <c r="AU78" s="59"/>
      <c r="AV78" s="59"/>
      <c r="AW78" s="18"/>
    </row>
    <row r="79" spans="1:49" s="20" customFormat="1" ht="15">
      <c r="A79" s="40">
        <f t="shared" si="9"/>
        <v>73</v>
      </c>
      <c r="B79" s="59"/>
      <c r="C79" s="59"/>
      <c r="D79" s="59"/>
      <c r="E79" s="59"/>
      <c r="F79" s="59"/>
      <c r="G79" s="59"/>
      <c r="H79" s="59"/>
      <c r="I79" s="59"/>
      <c r="J79" s="412" t="s">
        <v>4887</v>
      </c>
      <c r="K79" s="232" t="s">
        <v>117</v>
      </c>
      <c r="L79" s="204" t="s">
        <v>1131</v>
      </c>
      <c r="M79" s="204"/>
      <c r="N79" s="40" t="s">
        <v>504</v>
      </c>
      <c r="O79" s="126"/>
      <c r="P79" s="126"/>
      <c r="Q79" s="126" t="s">
        <v>6</v>
      </c>
      <c r="R79" s="126" t="s">
        <v>6</v>
      </c>
      <c r="S79" s="126" t="s">
        <v>6</v>
      </c>
      <c r="T79" s="474"/>
      <c r="U79" s="204"/>
      <c r="V79" s="475"/>
      <c r="W79" s="232" t="s">
        <v>133</v>
      </c>
      <c r="X79" s="126"/>
      <c r="Y79" s="126"/>
      <c r="Z79" s="40" t="s">
        <v>6</v>
      </c>
      <c r="AA79" s="40" t="s">
        <v>6</v>
      </c>
      <c r="AB79" s="258" t="s">
        <v>1100</v>
      </c>
      <c r="AC79" s="59"/>
      <c r="AD79" s="59"/>
      <c r="AE79" s="232" t="s">
        <v>133</v>
      </c>
      <c r="AF79" s="126"/>
      <c r="AG79" s="126"/>
      <c r="AH79" s="126"/>
      <c r="AI79" s="126"/>
      <c r="AJ79" s="258" t="s">
        <v>1100</v>
      </c>
      <c r="AK79" s="59"/>
      <c r="AL79" s="59"/>
      <c r="AM79" s="59"/>
      <c r="AN79" s="59"/>
      <c r="AO79" s="59"/>
      <c r="AP79" s="59"/>
      <c r="AQ79" s="59"/>
      <c r="AR79" s="59"/>
      <c r="AS79" s="59"/>
      <c r="AT79" s="59"/>
      <c r="AU79" s="59"/>
      <c r="AV79" s="59"/>
      <c r="AW79" s="18"/>
    </row>
    <row r="80" spans="1:49" s="20" customFormat="1" ht="15">
      <c r="A80" s="40">
        <f t="shared" si="9"/>
        <v>74</v>
      </c>
      <c r="B80" s="59"/>
      <c r="C80" s="59"/>
      <c r="D80" s="59"/>
      <c r="E80" s="59"/>
      <c r="F80" s="59"/>
      <c r="G80" s="59"/>
      <c r="H80" s="59"/>
      <c r="I80" s="59"/>
      <c r="J80" s="412" t="s">
        <v>4888</v>
      </c>
      <c r="K80" s="232" t="s">
        <v>117</v>
      </c>
      <c r="L80" s="204" t="s">
        <v>1139</v>
      </c>
      <c r="M80" s="204"/>
      <c r="N80" s="40" t="s">
        <v>504</v>
      </c>
      <c r="O80" s="126"/>
      <c r="P80" s="126"/>
      <c r="Q80" s="126" t="s">
        <v>6</v>
      </c>
      <c r="R80" s="126" t="s">
        <v>6</v>
      </c>
      <c r="S80" s="126" t="s">
        <v>6</v>
      </c>
      <c r="T80" s="474"/>
      <c r="U80" s="204"/>
      <c r="V80" s="475"/>
      <c r="W80" s="232" t="s">
        <v>133</v>
      </c>
      <c r="X80" s="126"/>
      <c r="Y80" s="126"/>
      <c r="Z80" s="40" t="s">
        <v>6</v>
      </c>
      <c r="AA80" s="40" t="s">
        <v>6</v>
      </c>
      <c r="AB80" s="258" t="s">
        <v>1100</v>
      </c>
      <c r="AC80" s="59"/>
      <c r="AD80" s="59"/>
      <c r="AE80" s="232" t="s">
        <v>133</v>
      </c>
      <c r="AF80" s="126"/>
      <c r="AG80" s="126"/>
      <c r="AH80" s="126"/>
      <c r="AI80" s="126"/>
      <c r="AJ80" s="258" t="s">
        <v>1100</v>
      </c>
      <c r="AK80" s="59"/>
      <c r="AL80" s="59"/>
      <c r="AM80" s="59"/>
      <c r="AN80" s="59"/>
      <c r="AO80" s="59"/>
      <c r="AP80" s="59"/>
      <c r="AQ80" s="59"/>
      <c r="AR80" s="59"/>
      <c r="AS80" s="59"/>
      <c r="AT80" s="59"/>
      <c r="AU80" s="59"/>
      <c r="AV80" s="59"/>
      <c r="AW80" s="18"/>
    </row>
    <row r="81" spans="1:49" s="20" customFormat="1" ht="15">
      <c r="A81" s="40">
        <f t="shared" si="9"/>
        <v>75</v>
      </c>
      <c r="B81" s="59"/>
      <c r="C81" s="59"/>
      <c r="D81" s="59"/>
      <c r="E81" s="59"/>
      <c r="F81" s="59"/>
      <c r="G81" s="59"/>
      <c r="H81" s="59"/>
      <c r="I81" s="59"/>
      <c r="J81" s="215" t="s">
        <v>1592</v>
      </c>
      <c r="K81" s="232" t="s">
        <v>117</v>
      </c>
      <c r="L81" s="204" t="s">
        <v>863</v>
      </c>
      <c r="M81" s="204"/>
      <c r="N81" s="40" t="s">
        <v>504</v>
      </c>
      <c r="O81" s="40"/>
      <c r="P81" s="40"/>
      <c r="Q81" s="40"/>
      <c r="R81" s="126" t="s">
        <v>6</v>
      </c>
      <c r="S81" s="126" t="s">
        <v>6</v>
      </c>
      <c r="T81" s="474"/>
      <c r="U81" s="204"/>
      <c r="V81" s="475"/>
      <c r="W81" s="232" t="s">
        <v>133</v>
      </c>
      <c r="X81" s="40"/>
      <c r="Y81" s="40"/>
      <c r="Z81" s="126" t="s">
        <v>6</v>
      </c>
      <c r="AA81" s="126" t="s">
        <v>6</v>
      </c>
      <c r="AB81" s="15"/>
      <c r="AC81" s="59"/>
      <c r="AD81" s="59"/>
      <c r="AE81" s="232" t="s">
        <v>133</v>
      </c>
      <c r="AF81" s="40"/>
      <c r="AG81" s="40"/>
      <c r="AH81" s="126" t="s">
        <v>6</v>
      </c>
      <c r="AI81" s="126" t="s">
        <v>6</v>
      </c>
      <c r="AJ81" s="15"/>
      <c r="AK81" s="59"/>
      <c r="AL81" s="59"/>
      <c r="AM81" s="59"/>
      <c r="AN81" s="59"/>
      <c r="AO81" s="59"/>
      <c r="AP81" s="59"/>
      <c r="AQ81" s="59"/>
      <c r="AR81" s="59"/>
      <c r="AS81" s="59"/>
      <c r="AT81" s="59"/>
      <c r="AU81" s="59"/>
      <c r="AV81" s="59"/>
      <c r="AW81" s="18"/>
    </row>
    <row r="82" spans="1:49" s="20" customFormat="1" ht="15">
      <c r="A82" s="40">
        <f t="shared" si="9"/>
        <v>76</v>
      </c>
      <c r="B82" s="59"/>
      <c r="C82" s="59"/>
      <c r="D82" s="59"/>
      <c r="E82" s="59"/>
      <c r="F82" s="59"/>
      <c r="G82" s="59"/>
      <c r="H82" s="59"/>
      <c r="I82" s="59"/>
      <c r="J82" s="412" t="s">
        <v>4889</v>
      </c>
      <c r="K82" s="232" t="s">
        <v>117</v>
      </c>
      <c r="L82" s="204" t="s">
        <v>4890</v>
      </c>
      <c r="M82" s="204" t="s">
        <v>4891</v>
      </c>
      <c r="N82" s="40" t="s">
        <v>504</v>
      </c>
      <c r="O82" s="126"/>
      <c r="P82" s="126"/>
      <c r="Q82" s="126" t="s">
        <v>6</v>
      </c>
      <c r="R82" s="126" t="s">
        <v>6</v>
      </c>
      <c r="S82" s="126" t="s">
        <v>6</v>
      </c>
      <c r="T82" s="474"/>
      <c r="U82" s="204"/>
      <c r="V82" s="478"/>
      <c r="W82" s="232" t="s">
        <v>133</v>
      </c>
      <c r="X82" s="126"/>
      <c r="Y82" s="126"/>
      <c r="Z82" s="126" t="s">
        <v>6</v>
      </c>
      <c r="AA82" s="126" t="s">
        <v>6</v>
      </c>
      <c r="AB82" s="15"/>
      <c r="AC82" s="59"/>
      <c r="AD82" s="59"/>
      <c r="AE82" s="232" t="s">
        <v>133</v>
      </c>
      <c r="AF82" s="126"/>
      <c r="AG82" s="126"/>
      <c r="AH82" s="126" t="s">
        <v>6</v>
      </c>
      <c r="AI82" s="126" t="s">
        <v>6</v>
      </c>
      <c r="AJ82" s="15"/>
      <c r="AK82" s="59"/>
      <c r="AL82" s="59"/>
      <c r="AM82" s="59"/>
      <c r="AN82" s="59"/>
      <c r="AO82" s="59"/>
      <c r="AP82" s="59"/>
      <c r="AQ82" s="59"/>
      <c r="AR82" s="59"/>
      <c r="AS82" s="59"/>
      <c r="AT82" s="59"/>
      <c r="AU82" s="59"/>
      <c r="AV82" s="59"/>
      <c r="AW82" s="18"/>
    </row>
    <row r="83" spans="1:49" s="20" customFormat="1" ht="15">
      <c r="A83" s="40">
        <f t="shared" si="9"/>
        <v>77</v>
      </c>
      <c r="B83" s="59"/>
      <c r="C83" s="59"/>
      <c r="D83" s="59"/>
      <c r="E83" s="59"/>
      <c r="F83" s="59"/>
      <c r="G83" s="59"/>
      <c r="H83" s="59"/>
      <c r="I83" s="59"/>
      <c r="J83" s="412" t="s">
        <v>4892</v>
      </c>
      <c r="K83" s="232" t="s">
        <v>117</v>
      </c>
      <c r="L83" s="204" t="s">
        <v>4893</v>
      </c>
      <c r="M83" s="204" t="s">
        <v>4891</v>
      </c>
      <c r="N83" s="40" t="s">
        <v>504</v>
      </c>
      <c r="O83" s="126"/>
      <c r="P83" s="126"/>
      <c r="Q83" s="126" t="s">
        <v>6</v>
      </c>
      <c r="R83" s="126" t="s">
        <v>6</v>
      </c>
      <c r="S83" s="126" t="s">
        <v>6</v>
      </c>
      <c r="T83" s="474"/>
      <c r="U83" s="204"/>
      <c r="V83" s="478"/>
      <c r="W83" s="232" t="s">
        <v>133</v>
      </c>
      <c r="X83" s="126"/>
      <c r="Y83" s="126"/>
      <c r="Z83" s="126" t="s">
        <v>6</v>
      </c>
      <c r="AA83" s="126" t="s">
        <v>6</v>
      </c>
      <c r="AB83" s="15"/>
      <c r="AC83" s="59"/>
      <c r="AD83" s="59"/>
      <c r="AE83" s="232" t="s">
        <v>133</v>
      </c>
      <c r="AF83" s="126"/>
      <c r="AG83" s="126"/>
      <c r="AH83" s="126" t="s">
        <v>6</v>
      </c>
      <c r="AI83" s="126" t="s">
        <v>6</v>
      </c>
      <c r="AJ83" s="15"/>
      <c r="AK83" s="59"/>
      <c r="AL83" s="59"/>
      <c r="AM83" s="59"/>
      <c r="AN83" s="59"/>
      <c r="AO83" s="59"/>
      <c r="AP83" s="59"/>
      <c r="AQ83" s="59"/>
      <c r="AR83" s="59"/>
      <c r="AS83" s="59"/>
      <c r="AT83" s="59"/>
      <c r="AU83" s="59"/>
      <c r="AV83" s="59"/>
      <c r="AW83" s="18"/>
    </row>
    <row r="84" spans="1:49" s="20" customFormat="1" ht="26.4">
      <c r="A84" s="40">
        <f t="shared" si="9"/>
        <v>78</v>
      </c>
      <c r="B84" s="59"/>
      <c r="C84" s="59"/>
      <c r="D84" s="59"/>
      <c r="E84" s="59"/>
      <c r="F84" s="59"/>
      <c r="G84" s="59"/>
      <c r="H84" s="59"/>
      <c r="I84" s="59"/>
      <c r="J84" s="218" t="s">
        <v>4894</v>
      </c>
      <c r="K84" s="232" t="s">
        <v>117</v>
      </c>
      <c r="L84" s="204" t="s">
        <v>729</v>
      </c>
      <c r="M84" s="204"/>
      <c r="N84" s="40" t="s">
        <v>504</v>
      </c>
      <c r="O84" s="126"/>
      <c r="P84" s="126"/>
      <c r="Q84" s="126" t="s">
        <v>6</v>
      </c>
      <c r="R84" s="126" t="s">
        <v>6</v>
      </c>
      <c r="S84" s="126" t="s">
        <v>6</v>
      </c>
      <c r="T84" s="474"/>
      <c r="U84" s="204" t="s">
        <v>742</v>
      </c>
      <c r="V84" s="479"/>
      <c r="W84" s="232" t="s">
        <v>125</v>
      </c>
      <c r="X84" s="126"/>
      <c r="Y84" s="126"/>
      <c r="Z84" s="126"/>
      <c r="AA84" s="126" t="s">
        <v>6</v>
      </c>
      <c r="AB84" s="15"/>
      <c r="AC84" s="59"/>
      <c r="AD84" s="59"/>
      <c r="AE84" s="232" t="s">
        <v>125</v>
      </c>
      <c r="AF84" s="126"/>
      <c r="AG84" s="126"/>
      <c r="AH84" s="126"/>
      <c r="AI84" s="126" t="s">
        <v>6</v>
      </c>
      <c r="AJ84" s="15"/>
      <c r="AK84" s="59"/>
      <c r="AL84" s="59"/>
      <c r="AM84" s="59"/>
      <c r="AN84" s="59"/>
      <c r="AO84" s="59"/>
      <c r="AP84" s="59"/>
      <c r="AQ84" s="59"/>
      <c r="AR84" s="59"/>
      <c r="AS84" s="59"/>
      <c r="AT84" s="59"/>
      <c r="AU84" s="59"/>
      <c r="AV84" s="59"/>
      <c r="AW84" s="18"/>
    </row>
    <row r="85" spans="1:49" s="20" customFormat="1" ht="26.4">
      <c r="A85" s="40">
        <f t="shared" si="9"/>
        <v>79</v>
      </c>
      <c r="B85" s="59"/>
      <c r="C85" s="59"/>
      <c r="D85" s="59"/>
      <c r="E85" s="59"/>
      <c r="F85" s="59"/>
      <c r="G85" s="59"/>
      <c r="H85" s="59"/>
      <c r="I85" s="59"/>
      <c r="J85" s="218" t="s">
        <v>4895</v>
      </c>
      <c r="K85" s="232" t="s">
        <v>117</v>
      </c>
      <c r="L85" s="204" t="s">
        <v>3933</v>
      </c>
      <c r="M85" s="204"/>
      <c r="N85" s="40" t="s">
        <v>504</v>
      </c>
      <c r="O85" s="126"/>
      <c r="P85" s="126"/>
      <c r="Q85" s="126" t="s">
        <v>6</v>
      </c>
      <c r="R85" s="126" t="s">
        <v>6</v>
      </c>
      <c r="S85" s="126" t="s">
        <v>6</v>
      </c>
      <c r="T85" s="474"/>
      <c r="U85" s="204" t="s">
        <v>742</v>
      </c>
      <c r="V85" s="479"/>
      <c r="W85" s="232" t="s">
        <v>125</v>
      </c>
      <c r="X85" s="126"/>
      <c r="Y85" s="126"/>
      <c r="Z85" s="126"/>
      <c r="AA85" s="126" t="s">
        <v>6</v>
      </c>
      <c r="AB85" s="15"/>
      <c r="AC85" s="59"/>
      <c r="AD85" s="59"/>
      <c r="AE85" s="232" t="s">
        <v>125</v>
      </c>
      <c r="AF85" s="126"/>
      <c r="AG85" s="126"/>
      <c r="AH85" s="126"/>
      <c r="AI85" s="126" t="s">
        <v>6</v>
      </c>
      <c r="AJ85" s="15"/>
      <c r="AK85" s="59"/>
      <c r="AL85" s="59"/>
      <c r="AM85" s="59"/>
      <c r="AN85" s="59"/>
      <c r="AO85" s="59"/>
      <c r="AP85" s="59"/>
      <c r="AQ85" s="59"/>
      <c r="AR85" s="59"/>
      <c r="AS85" s="59"/>
      <c r="AT85" s="59"/>
      <c r="AU85" s="59"/>
      <c r="AV85" s="59"/>
      <c r="AW85" s="18"/>
    </row>
    <row r="86" spans="1:49" s="20" customFormat="1" ht="15">
      <c r="A86" s="40">
        <f t="shared" si="9"/>
        <v>80</v>
      </c>
      <c r="B86" s="59"/>
      <c r="C86" s="59"/>
      <c r="D86" s="59"/>
      <c r="E86" s="59"/>
      <c r="F86" s="59"/>
      <c r="G86" s="59"/>
      <c r="H86" s="59"/>
      <c r="I86" s="59"/>
      <c r="J86" s="218" t="s">
        <v>4896</v>
      </c>
      <c r="K86" s="204" t="s">
        <v>117</v>
      </c>
      <c r="L86" s="204" t="s">
        <v>4897</v>
      </c>
      <c r="M86" s="204"/>
      <c r="N86" s="40" t="s">
        <v>504</v>
      </c>
      <c r="O86" s="126"/>
      <c r="P86" s="126"/>
      <c r="Q86" s="40" t="s">
        <v>6</v>
      </c>
      <c r="R86" s="40" t="s">
        <v>6</v>
      </c>
      <c r="S86" s="40" t="s">
        <v>6</v>
      </c>
      <c r="T86" s="224"/>
      <c r="U86" s="204" t="s">
        <v>730</v>
      </c>
      <c r="V86" s="479"/>
      <c r="W86" s="204" t="s">
        <v>125</v>
      </c>
      <c r="X86" s="126"/>
      <c r="Y86" s="126"/>
      <c r="Z86" s="126"/>
      <c r="AA86" s="40" t="s">
        <v>6</v>
      </c>
      <c r="AB86" s="218"/>
      <c r="AC86" s="59"/>
      <c r="AD86" s="218"/>
      <c r="AE86" s="204" t="s">
        <v>125</v>
      </c>
      <c r="AF86" s="126"/>
      <c r="AG86" s="126"/>
      <c r="AH86" s="126"/>
      <c r="AI86" s="40" t="s">
        <v>6</v>
      </c>
      <c r="AJ86" s="218"/>
      <c r="AK86" s="59"/>
      <c r="AL86" s="218"/>
      <c r="AM86" s="59"/>
      <c r="AN86" s="59"/>
      <c r="AO86" s="59"/>
      <c r="AP86" s="59"/>
      <c r="AQ86" s="59"/>
      <c r="AR86" s="59"/>
      <c r="AS86" s="59"/>
      <c r="AT86" s="59"/>
      <c r="AU86" s="59"/>
      <c r="AV86" s="59"/>
      <c r="AW86" s="18"/>
    </row>
    <row r="87" spans="1:49" s="20" customFormat="1" ht="26.4">
      <c r="A87" s="40">
        <f t="shared" si="9"/>
        <v>81</v>
      </c>
      <c r="B87" s="59"/>
      <c r="C87" s="59"/>
      <c r="D87" s="59"/>
      <c r="E87" s="59"/>
      <c r="F87" s="59"/>
      <c r="G87" s="59"/>
      <c r="H87" s="59"/>
      <c r="I87" s="59"/>
      <c r="J87" s="218" t="s">
        <v>4898</v>
      </c>
      <c r="K87" s="204" t="s">
        <v>117</v>
      </c>
      <c r="L87" s="204" t="s">
        <v>4899</v>
      </c>
      <c r="M87" s="204"/>
      <c r="N87" s="40" t="s">
        <v>504</v>
      </c>
      <c r="O87" s="126"/>
      <c r="P87" s="126"/>
      <c r="Q87" s="40" t="s">
        <v>6</v>
      </c>
      <c r="R87" s="40" t="s">
        <v>6</v>
      </c>
      <c r="S87" s="40" t="s">
        <v>6</v>
      </c>
      <c r="T87" s="40"/>
      <c r="U87" s="204" t="s">
        <v>738</v>
      </c>
      <c r="V87" s="206"/>
      <c r="W87" s="204" t="s">
        <v>125</v>
      </c>
      <c r="X87" s="126"/>
      <c r="Y87" s="126"/>
      <c r="Z87" s="126"/>
      <c r="AA87" s="40" t="s">
        <v>6</v>
      </c>
      <c r="AB87" s="15"/>
      <c r="AC87" s="59"/>
      <c r="AD87" s="59"/>
      <c r="AE87" s="204" t="s">
        <v>125</v>
      </c>
      <c r="AF87" s="126"/>
      <c r="AG87" s="126"/>
      <c r="AH87" s="126"/>
      <c r="AI87" s="40" t="s">
        <v>6</v>
      </c>
      <c r="AJ87" s="15"/>
      <c r="AK87" s="59"/>
      <c r="AL87" s="59"/>
      <c r="AM87" s="59"/>
      <c r="AN87" s="59"/>
      <c r="AO87" s="59"/>
      <c r="AP87" s="59"/>
      <c r="AQ87" s="59"/>
      <c r="AR87" s="59"/>
      <c r="AS87" s="59"/>
      <c r="AT87" s="59"/>
      <c r="AU87" s="59"/>
      <c r="AV87" s="59"/>
      <c r="AW87" s="18"/>
    </row>
    <row r="88" spans="1:49" s="20" customFormat="1" ht="52.8">
      <c r="A88" s="40">
        <f t="shared" si="9"/>
        <v>82</v>
      </c>
      <c r="B88" s="59"/>
      <c r="C88" s="59"/>
      <c r="D88" s="59"/>
      <c r="E88" s="59"/>
      <c r="F88" s="59"/>
      <c r="G88" s="59"/>
      <c r="H88" s="59"/>
      <c r="I88" s="59"/>
      <c r="J88" s="218" t="s">
        <v>4900</v>
      </c>
      <c r="K88" s="232" t="s">
        <v>117</v>
      </c>
      <c r="L88" s="204" t="s">
        <v>4901</v>
      </c>
      <c r="M88" s="204"/>
      <c r="N88" s="40" t="s">
        <v>504</v>
      </c>
      <c r="O88" s="126"/>
      <c r="P88" s="126"/>
      <c r="Q88" s="40" t="s">
        <v>6</v>
      </c>
      <c r="R88" s="40" t="s">
        <v>6</v>
      </c>
      <c r="S88" s="40" t="s">
        <v>6</v>
      </c>
      <c r="T88" s="40"/>
      <c r="U88" s="204" t="s">
        <v>4902</v>
      </c>
      <c r="V88" s="206"/>
      <c r="W88" s="232" t="s">
        <v>125</v>
      </c>
      <c r="X88" s="126"/>
      <c r="Y88" s="126"/>
      <c r="Z88" s="126"/>
      <c r="AA88" s="40" t="s">
        <v>6</v>
      </c>
      <c r="AB88" s="15"/>
      <c r="AC88" s="59"/>
      <c r="AD88" s="59"/>
      <c r="AE88" s="232" t="s">
        <v>125</v>
      </c>
      <c r="AF88" s="126"/>
      <c r="AG88" s="126"/>
      <c r="AH88" s="126"/>
      <c r="AI88" s="40" t="s">
        <v>6</v>
      </c>
      <c r="AJ88" s="15"/>
      <c r="AK88" s="59"/>
      <c r="AL88" s="59"/>
      <c r="AM88" s="59"/>
      <c r="AN88" s="59"/>
      <c r="AO88" s="59"/>
      <c r="AP88" s="59"/>
      <c r="AQ88" s="59"/>
      <c r="AR88" s="59"/>
      <c r="AS88" s="59"/>
      <c r="AT88" s="59"/>
      <c r="AU88" s="59"/>
      <c r="AV88" s="59"/>
      <c r="AW88" s="18"/>
    </row>
    <row r="89" spans="1:49" s="20" customFormat="1" ht="26.4">
      <c r="A89" s="40">
        <f t="shared" si="9"/>
        <v>83</v>
      </c>
      <c r="B89" s="59"/>
      <c r="C89" s="59"/>
      <c r="D89" s="59"/>
      <c r="E89" s="59"/>
      <c r="F89" s="59"/>
      <c r="G89" s="59"/>
      <c r="H89" s="59"/>
      <c r="I89" s="59"/>
      <c r="J89" s="218" t="s">
        <v>4903</v>
      </c>
      <c r="K89" s="232" t="s">
        <v>117</v>
      </c>
      <c r="L89" s="204" t="s">
        <v>3949</v>
      </c>
      <c r="M89" s="204"/>
      <c r="N89" s="40" t="s">
        <v>504</v>
      </c>
      <c r="O89" s="126"/>
      <c r="P89" s="126"/>
      <c r="Q89" s="40" t="s">
        <v>6</v>
      </c>
      <c r="R89" s="40" t="s">
        <v>6</v>
      </c>
      <c r="S89" s="40" t="s">
        <v>6</v>
      </c>
      <c r="T89" s="40"/>
      <c r="U89" s="204" t="s">
        <v>742</v>
      </c>
      <c r="V89" s="206"/>
      <c r="W89" s="232" t="s">
        <v>125</v>
      </c>
      <c r="X89" s="126"/>
      <c r="Y89" s="126"/>
      <c r="Z89" s="126"/>
      <c r="AA89" s="40" t="s">
        <v>6</v>
      </c>
      <c r="AB89" s="15"/>
      <c r="AC89" s="59"/>
      <c r="AD89" s="59"/>
      <c r="AE89" s="232" t="s">
        <v>125</v>
      </c>
      <c r="AF89" s="126"/>
      <c r="AG89" s="126"/>
      <c r="AH89" s="126"/>
      <c r="AI89" s="40" t="s">
        <v>6</v>
      </c>
      <c r="AJ89" s="15"/>
      <c r="AK89" s="59"/>
      <c r="AL89" s="59"/>
      <c r="AM89" s="59"/>
      <c r="AN89" s="59"/>
      <c r="AO89" s="59"/>
      <c r="AP89" s="59"/>
      <c r="AQ89" s="59"/>
      <c r="AR89" s="59"/>
      <c r="AS89" s="59"/>
      <c r="AT89" s="59"/>
      <c r="AU89" s="59"/>
      <c r="AV89" s="59"/>
      <c r="AW89" s="18"/>
    </row>
    <row r="90" spans="1:49" s="20" customFormat="1" ht="26.4">
      <c r="A90" s="40">
        <f t="shared" si="9"/>
        <v>84</v>
      </c>
      <c r="B90" s="59"/>
      <c r="C90" s="59"/>
      <c r="D90" s="59"/>
      <c r="E90" s="59"/>
      <c r="F90" s="59"/>
      <c r="G90" s="59"/>
      <c r="H90" s="59"/>
      <c r="I90" s="59"/>
      <c r="J90" s="218" t="s">
        <v>4904</v>
      </c>
      <c r="K90" s="232" t="s">
        <v>134</v>
      </c>
      <c r="L90" s="204" t="s">
        <v>744</v>
      </c>
      <c r="M90" s="204"/>
      <c r="N90" s="40" t="s">
        <v>504</v>
      </c>
      <c r="O90" s="126"/>
      <c r="P90" s="126"/>
      <c r="Q90" s="40" t="s">
        <v>6</v>
      </c>
      <c r="R90" s="40" t="s">
        <v>6</v>
      </c>
      <c r="S90" s="40" t="s">
        <v>6</v>
      </c>
      <c r="T90" s="40"/>
      <c r="U90" s="204" t="s">
        <v>742</v>
      </c>
      <c r="V90" s="206"/>
      <c r="W90" s="232" t="s">
        <v>137</v>
      </c>
      <c r="X90" s="126"/>
      <c r="Y90" s="126"/>
      <c r="Z90" s="126"/>
      <c r="AA90" s="40" t="s">
        <v>6</v>
      </c>
      <c r="AB90" s="15"/>
      <c r="AC90" s="59"/>
      <c r="AD90" s="59"/>
      <c r="AE90" s="232" t="s">
        <v>137</v>
      </c>
      <c r="AF90" s="126"/>
      <c r="AG90" s="126"/>
      <c r="AH90" s="126"/>
      <c r="AI90" s="40" t="s">
        <v>6</v>
      </c>
      <c r="AJ90" s="15"/>
      <c r="AK90" s="59"/>
      <c r="AL90" s="59"/>
      <c r="AM90" s="59"/>
      <c r="AN90" s="59"/>
      <c r="AO90" s="59"/>
      <c r="AP90" s="59"/>
      <c r="AQ90" s="59"/>
      <c r="AR90" s="59"/>
      <c r="AS90" s="59"/>
      <c r="AT90" s="59"/>
      <c r="AU90" s="59"/>
      <c r="AV90" s="59"/>
      <c r="AW90" s="18"/>
    </row>
    <row r="91" spans="1:49" s="236" customFormat="1" ht="26.4">
      <c r="A91" s="40">
        <f t="shared" si="9"/>
        <v>85</v>
      </c>
      <c r="B91" s="199"/>
      <c r="C91" s="199"/>
      <c r="D91" s="199"/>
      <c r="E91" s="199"/>
      <c r="F91" s="199"/>
      <c r="G91" s="199"/>
      <c r="H91" s="199"/>
      <c r="I91" s="199"/>
      <c r="J91" s="218" t="s">
        <v>4905</v>
      </c>
      <c r="K91" s="204" t="s">
        <v>117</v>
      </c>
      <c r="L91" s="204" t="s">
        <v>1406</v>
      </c>
      <c r="M91" s="204"/>
      <c r="N91" s="40" t="s">
        <v>504</v>
      </c>
      <c r="O91" s="199"/>
      <c r="P91" s="199"/>
      <c r="Q91" s="40" t="s">
        <v>6</v>
      </c>
      <c r="R91" s="40" t="s">
        <v>6</v>
      </c>
      <c r="S91" s="40" t="s">
        <v>6</v>
      </c>
      <c r="T91" s="40"/>
      <c r="U91" s="204" t="s">
        <v>3961</v>
      </c>
      <c r="V91" s="204"/>
      <c r="W91" s="204" t="s">
        <v>125</v>
      </c>
      <c r="X91" s="199"/>
      <c r="Y91" s="199"/>
      <c r="Z91" s="199"/>
      <c r="AA91" s="40" t="s">
        <v>6</v>
      </c>
      <c r="AB91" s="218"/>
      <c r="AC91" s="199"/>
      <c r="AD91" s="218" t="s">
        <v>709</v>
      </c>
      <c r="AE91" s="204" t="s">
        <v>125</v>
      </c>
      <c r="AF91" s="199"/>
      <c r="AG91" s="199"/>
      <c r="AH91" s="199"/>
      <c r="AI91" s="40" t="s">
        <v>6</v>
      </c>
      <c r="AJ91" s="218"/>
      <c r="AK91" s="199"/>
      <c r="AL91" s="218" t="s">
        <v>709</v>
      </c>
      <c r="AM91" s="199"/>
      <c r="AN91" s="199"/>
      <c r="AO91" s="199"/>
      <c r="AP91" s="199"/>
      <c r="AQ91" s="199"/>
      <c r="AR91" s="199"/>
      <c r="AS91" s="199"/>
      <c r="AT91" s="199"/>
      <c r="AU91" s="199"/>
      <c r="AV91" s="199"/>
      <c r="AW91" s="155"/>
    </row>
    <row r="92" spans="1:49" s="20" customFormat="1" ht="15">
      <c r="A92" s="40">
        <f t="shared" si="9"/>
        <v>86</v>
      </c>
      <c r="B92" s="59"/>
      <c r="C92" s="59"/>
      <c r="D92" s="59"/>
      <c r="E92" s="59"/>
      <c r="F92" s="59"/>
      <c r="G92" s="59"/>
      <c r="H92" s="59"/>
      <c r="I92" s="59"/>
      <c r="J92" s="218" t="s">
        <v>4906</v>
      </c>
      <c r="K92" s="232" t="s">
        <v>140</v>
      </c>
      <c r="L92" s="204" t="s">
        <v>749</v>
      </c>
      <c r="M92" s="204"/>
      <c r="N92" s="40" t="s">
        <v>504</v>
      </c>
      <c r="O92" s="126"/>
      <c r="P92" s="126"/>
      <c r="Q92" s="40" t="s">
        <v>6</v>
      </c>
      <c r="R92" s="40" t="s">
        <v>6</v>
      </c>
      <c r="S92" s="40" t="s">
        <v>6</v>
      </c>
      <c r="T92" s="40"/>
      <c r="U92" s="204"/>
      <c r="V92" s="206"/>
      <c r="W92" s="232" t="s">
        <v>140</v>
      </c>
      <c r="X92" s="126"/>
      <c r="Y92" s="126"/>
      <c r="Z92" s="126"/>
      <c r="AA92" s="40" t="s">
        <v>6</v>
      </c>
      <c r="AB92" s="15"/>
      <c r="AC92" s="59"/>
      <c r="AD92" s="59"/>
      <c r="AE92" s="232" t="s">
        <v>140</v>
      </c>
      <c r="AF92" s="126"/>
      <c r="AG92" s="126"/>
      <c r="AH92" s="126"/>
      <c r="AI92" s="40" t="s">
        <v>6</v>
      </c>
      <c r="AJ92" s="15"/>
      <c r="AK92" s="59"/>
      <c r="AL92" s="59"/>
      <c r="AM92" s="59"/>
      <c r="AN92" s="59"/>
      <c r="AO92" s="59"/>
      <c r="AP92" s="59"/>
      <c r="AQ92" s="59"/>
      <c r="AR92" s="59"/>
      <c r="AS92" s="59"/>
      <c r="AT92" s="59"/>
      <c r="AU92" s="59"/>
      <c r="AV92" s="59"/>
      <c r="AW92" s="18"/>
    </row>
    <row r="93" spans="1:49" s="20" customFormat="1" ht="15">
      <c r="A93" s="40">
        <f t="shared" si="9"/>
        <v>87</v>
      </c>
      <c r="B93" s="59"/>
      <c r="C93" s="59"/>
      <c r="D93" s="59"/>
      <c r="E93" s="59"/>
      <c r="F93" s="59"/>
      <c r="G93" s="59"/>
      <c r="H93" s="59"/>
      <c r="I93" s="59"/>
      <c r="J93" s="218" t="s">
        <v>4907</v>
      </c>
      <c r="K93" s="232" t="s">
        <v>140</v>
      </c>
      <c r="L93" s="204" t="s">
        <v>749</v>
      </c>
      <c r="M93" s="204"/>
      <c r="N93" s="40" t="s">
        <v>504</v>
      </c>
      <c r="O93" s="126"/>
      <c r="P93" s="126"/>
      <c r="Q93" s="40" t="s">
        <v>6</v>
      </c>
      <c r="R93" s="40" t="s">
        <v>6</v>
      </c>
      <c r="S93" s="40" t="s">
        <v>6</v>
      </c>
      <c r="T93" s="40"/>
      <c r="U93" s="204" t="s">
        <v>3963</v>
      </c>
      <c r="V93" s="206"/>
      <c r="W93" s="232" t="s">
        <v>140</v>
      </c>
      <c r="X93" s="126"/>
      <c r="Y93" s="126"/>
      <c r="Z93" s="126"/>
      <c r="AA93" s="40" t="s">
        <v>6</v>
      </c>
      <c r="AB93" s="15"/>
      <c r="AC93" s="59"/>
      <c r="AD93" s="59"/>
      <c r="AE93" s="232" t="s">
        <v>140</v>
      </c>
      <c r="AF93" s="126"/>
      <c r="AG93" s="126"/>
      <c r="AH93" s="126"/>
      <c r="AI93" s="40" t="s">
        <v>6</v>
      </c>
      <c r="AJ93" s="15"/>
      <c r="AK93" s="59"/>
      <c r="AL93" s="59"/>
      <c r="AM93" s="59"/>
      <c r="AN93" s="59"/>
      <c r="AO93" s="59"/>
      <c r="AP93" s="59"/>
      <c r="AQ93" s="59"/>
      <c r="AR93" s="59"/>
      <c r="AS93" s="59"/>
      <c r="AT93" s="59"/>
      <c r="AU93" s="59"/>
      <c r="AV93" s="59"/>
      <c r="AW93" s="18"/>
    </row>
    <row r="94" spans="1:49" s="20" customFormat="1" ht="15">
      <c r="A94" s="40">
        <f t="shared" si="9"/>
        <v>88</v>
      </c>
      <c r="B94" s="59"/>
      <c r="C94" s="59"/>
      <c r="D94" s="59"/>
      <c r="E94" s="59"/>
      <c r="F94" s="59"/>
      <c r="G94" s="59"/>
      <c r="H94" s="59"/>
      <c r="I94" s="59"/>
      <c r="J94" s="218" t="s">
        <v>4908</v>
      </c>
      <c r="K94" s="232" t="s">
        <v>140</v>
      </c>
      <c r="L94" s="204" t="s">
        <v>754</v>
      </c>
      <c r="M94" s="204"/>
      <c r="N94" s="40" t="s">
        <v>504</v>
      </c>
      <c r="O94" s="126"/>
      <c r="P94" s="126"/>
      <c r="Q94" s="40" t="s">
        <v>6</v>
      </c>
      <c r="R94" s="40" t="s">
        <v>6</v>
      </c>
      <c r="S94" s="40" t="s">
        <v>6</v>
      </c>
      <c r="T94" s="40"/>
      <c r="U94" s="200" t="s">
        <v>3965</v>
      </c>
      <c r="V94" s="206"/>
      <c r="W94" s="232" t="s">
        <v>140</v>
      </c>
      <c r="X94" s="126"/>
      <c r="Y94" s="126"/>
      <c r="Z94" s="126"/>
      <c r="AA94" s="40" t="s">
        <v>6</v>
      </c>
      <c r="AB94" s="15"/>
      <c r="AC94" s="59"/>
      <c r="AD94" s="59"/>
      <c r="AE94" s="232" t="s">
        <v>140</v>
      </c>
      <c r="AF94" s="126"/>
      <c r="AG94" s="126"/>
      <c r="AH94" s="126"/>
      <c r="AI94" s="40" t="s">
        <v>6</v>
      </c>
      <c r="AJ94" s="15"/>
      <c r="AK94" s="59"/>
      <c r="AL94" s="59"/>
      <c r="AM94" s="59"/>
      <c r="AN94" s="59"/>
      <c r="AO94" s="59"/>
      <c r="AP94" s="59"/>
      <c r="AQ94" s="59"/>
      <c r="AR94" s="59"/>
      <c r="AS94" s="59"/>
      <c r="AT94" s="59"/>
      <c r="AU94" s="59"/>
      <c r="AV94" s="59"/>
      <c r="AW94" s="18"/>
    </row>
    <row r="95" spans="1:49" s="20" customFormat="1" ht="15">
      <c r="A95" s="40">
        <f t="shared" si="9"/>
        <v>89</v>
      </c>
      <c r="B95" s="59"/>
      <c r="C95" s="59"/>
      <c r="D95" s="59"/>
      <c r="E95" s="59"/>
      <c r="F95" s="59"/>
      <c r="G95" s="59"/>
      <c r="H95" s="59"/>
      <c r="I95" s="59"/>
      <c r="J95" s="218" t="s">
        <v>4909</v>
      </c>
      <c r="K95" s="232" t="s">
        <v>117</v>
      </c>
      <c r="L95" s="204" t="s">
        <v>759</v>
      </c>
      <c r="M95" s="204"/>
      <c r="N95" s="40" t="s">
        <v>504</v>
      </c>
      <c r="O95" s="126"/>
      <c r="P95" s="126"/>
      <c r="Q95" s="40" t="s">
        <v>6</v>
      </c>
      <c r="R95" s="40" t="s">
        <v>6</v>
      </c>
      <c r="S95" s="126" t="s">
        <v>6</v>
      </c>
      <c r="T95" s="126"/>
      <c r="U95" s="204" t="s">
        <v>3963</v>
      </c>
      <c r="V95" s="206"/>
      <c r="W95" s="232" t="s">
        <v>125</v>
      </c>
      <c r="X95" s="126"/>
      <c r="Y95" s="126"/>
      <c r="Z95" s="126"/>
      <c r="AA95" s="126" t="s">
        <v>6</v>
      </c>
      <c r="AB95" s="15"/>
      <c r="AC95" s="59"/>
      <c r="AD95" s="59"/>
      <c r="AE95" s="232" t="s">
        <v>125</v>
      </c>
      <c r="AF95" s="126"/>
      <c r="AG95" s="126"/>
      <c r="AH95" s="126"/>
      <c r="AI95" s="126" t="s">
        <v>6</v>
      </c>
      <c r="AJ95" s="15"/>
      <c r="AK95" s="59"/>
      <c r="AL95" s="59"/>
      <c r="AM95" s="59"/>
      <c r="AN95" s="59"/>
      <c r="AO95" s="59"/>
      <c r="AP95" s="59"/>
      <c r="AQ95" s="59"/>
      <c r="AR95" s="59"/>
      <c r="AS95" s="59"/>
      <c r="AT95" s="59"/>
      <c r="AU95" s="59"/>
      <c r="AV95" s="59"/>
      <c r="AW95" s="18"/>
    </row>
    <row r="96" spans="1:49" s="20" customFormat="1" ht="15">
      <c r="A96" s="40">
        <f t="shared" si="9"/>
        <v>90</v>
      </c>
      <c r="B96" s="59"/>
      <c r="C96" s="59"/>
      <c r="D96" s="59"/>
      <c r="E96" s="59"/>
      <c r="F96" s="59"/>
      <c r="G96" s="59"/>
      <c r="H96" s="59"/>
      <c r="I96" s="59"/>
      <c r="J96" s="218" t="s">
        <v>4910</v>
      </c>
      <c r="K96" s="232" t="s">
        <v>117</v>
      </c>
      <c r="L96" s="204" t="s">
        <v>3968</v>
      </c>
      <c r="M96" s="204"/>
      <c r="N96" s="40" t="s">
        <v>504</v>
      </c>
      <c r="O96" s="126"/>
      <c r="P96" s="126"/>
      <c r="Q96" s="40" t="s">
        <v>6</v>
      </c>
      <c r="R96" s="40" t="s">
        <v>6</v>
      </c>
      <c r="S96" s="126" t="s">
        <v>6</v>
      </c>
      <c r="T96" s="126"/>
      <c r="U96" s="200" t="s">
        <v>3965</v>
      </c>
      <c r="V96" s="206"/>
      <c r="W96" s="232" t="s">
        <v>125</v>
      </c>
      <c r="X96" s="126"/>
      <c r="Y96" s="126"/>
      <c r="Z96" s="126"/>
      <c r="AA96" s="126" t="s">
        <v>6</v>
      </c>
      <c r="AB96" s="15"/>
      <c r="AC96" s="59"/>
      <c r="AD96" s="59"/>
      <c r="AE96" s="232" t="s">
        <v>125</v>
      </c>
      <c r="AF96" s="126"/>
      <c r="AG96" s="126"/>
      <c r="AH96" s="126"/>
      <c r="AI96" s="126" t="s">
        <v>6</v>
      </c>
      <c r="AJ96" s="15"/>
      <c r="AK96" s="59"/>
      <c r="AL96" s="59"/>
      <c r="AM96" s="59"/>
      <c r="AN96" s="59"/>
      <c r="AO96" s="59"/>
      <c r="AP96" s="59"/>
      <c r="AQ96" s="59"/>
      <c r="AR96" s="59"/>
      <c r="AS96" s="59"/>
      <c r="AT96" s="59"/>
      <c r="AU96" s="59"/>
      <c r="AV96" s="59"/>
      <c r="AW96" s="18"/>
    </row>
    <row r="97" spans="1:87" s="20" customFormat="1" ht="15">
      <c r="A97" s="40">
        <f t="shared" si="9"/>
        <v>91</v>
      </c>
      <c r="B97" s="59"/>
      <c r="C97" s="59"/>
      <c r="D97" s="59"/>
      <c r="E97" s="59"/>
      <c r="F97" s="59"/>
      <c r="G97" s="59"/>
      <c r="H97" s="59"/>
      <c r="I97" s="59"/>
      <c r="J97" s="218" t="s">
        <v>4911</v>
      </c>
      <c r="K97" s="232" t="s">
        <v>117</v>
      </c>
      <c r="L97" s="204" t="s">
        <v>3970</v>
      </c>
      <c r="M97" s="204"/>
      <c r="N97" s="40" t="s">
        <v>504</v>
      </c>
      <c r="O97" s="126"/>
      <c r="P97" s="126"/>
      <c r="Q97" s="40" t="s">
        <v>6</v>
      </c>
      <c r="R97" s="40" t="s">
        <v>6</v>
      </c>
      <c r="S97" s="126" t="s">
        <v>6</v>
      </c>
      <c r="T97" s="126"/>
      <c r="U97" s="204" t="s">
        <v>3963</v>
      </c>
      <c r="V97" s="206"/>
      <c r="W97" s="232" t="s">
        <v>125</v>
      </c>
      <c r="X97" s="126"/>
      <c r="Y97" s="126"/>
      <c r="Z97" s="126"/>
      <c r="AA97" s="126" t="s">
        <v>6</v>
      </c>
      <c r="AB97" s="15"/>
      <c r="AC97" s="59"/>
      <c r="AD97" s="59"/>
      <c r="AE97" s="232" t="s">
        <v>125</v>
      </c>
      <c r="AF97" s="126"/>
      <c r="AG97" s="126"/>
      <c r="AH97" s="126"/>
      <c r="AI97" s="126" t="s">
        <v>6</v>
      </c>
      <c r="AJ97" s="15"/>
      <c r="AK97" s="59"/>
      <c r="AL97" s="59"/>
      <c r="AM97" s="59"/>
      <c r="AN97" s="59"/>
      <c r="AO97" s="59"/>
      <c r="AP97" s="59"/>
      <c r="AQ97" s="59"/>
      <c r="AR97" s="59"/>
      <c r="AS97" s="59"/>
      <c r="AT97" s="59"/>
      <c r="AU97" s="59"/>
      <c r="AV97" s="59"/>
      <c r="AW97" s="18"/>
    </row>
    <row r="98" spans="1:87" s="20" customFormat="1" ht="15">
      <c r="A98" s="40">
        <f t="shared" si="9"/>
        <v>92</v>
      </c>
      <c r="B98" s="59"/>
      <c r="C98" s="59"/>
      <c r="D98" s="59"/>
      <c r="E98" s="59"/>
      <c r="F98" s="59"/>
      <c r="G98" s="59"/>
      <c r="H98" s="59"/>
      <c r="I98" s="59"/>
      <c r="J98" s="218" t="s">
        <v>4912</v>
      </c>
      <c r="K98" s="232" t="s">
        <v>117</v>
      </c>
      <c r="L98" s="204" t="s">
        <v>3973</v>
      </c>
      <c r="M98" s="204"/>
      <c r="N98" s="40" t="s">
        <v>504</v>
      </c>
      <c r="O98" s="126"/>
      <c r="P98" s="126"/>
      <c r="Q98" s="40" t="s">
        <v>6</v>
      </c>
      <c r="R98" s="40" t="s">
        <v>6</v>
      </c>
      <c r="S98" s="126" t="s">
        <v>6</v>
      </c>
      <c r="T98" s="126"/>
      <c r="U98" s="200" t="s">
        <v>3965</v>
      </c>
      <c r="V98" s="206"/>
      <c r="W98" s="232" t="s">
        <v>125</v>
      </c>
      <c r="X98" s="126"/>
      <c r="Y98" s="126"/>
      <c r="Z98" s="126"/>
      <c r="AA98" s="126" t="s">
        <v>6</v>
      </c>
      <c r="AB98" s="15"/>
      <c r="AC98" s="59"/>
      <c r="AD98" s="59"/>
      <c r="AE98" s="232" t="s">
        <v>125</v>
      </c>
      <c r="AF98" s="126"/>
      <c r="AG98" s="126"/>
      <c r="AH98" s="126"/>
      <c r="AI98" s="126" t="s">
        <v>6</v>
      </c>
      <c r="AJ98" s="15"/>
      <c r="AK98" s="59"/>
      <c r="AL98" s="59"/>
      <c r="AM98" s="59"/>
      <c r="AN98" s="59"/>
      <c r="AO98" s="59"/>
      <c r="AP98" s="59"/>
      <c r="AQ98" s="59"/>
      <c r="AR98" s="59"/>
      <c r="AS98" s="59"/>
      <c r="AT98" s="59"/>
      <c r="AU98" s="59"/>
      <c r="AV98" s="59"/>
      <c r="AW98" s="18"/>
    </row>
    <row r="99" spans="1:87" s="20" customFormat="1" ht="15">
      <c r="A99" s="40">
        <f t="shared" si="9"/>
        <v>93</v>
      </c>
      <c r="B99" s="59"/>
      <c r="C99" s="59"/>
      <c r="D99" s="59"/>
      <c r="E99" s="59"/>
      <c r="F99" s="59"/>
      <c r="G99" s="59"/>
      <c r="H99" s="59"/>
      <c r="I99" s="59"/>
      <c r="J99" s="218" t="s">
        <v>4913</v>
      </c>
      <c r="K99" s="232" t="s">
        <v>117</v>
      </c>
      <c r="L99" s="204" t="s">
        <v>3975</v>
      </c>
      <c r="M99" s="204"/>
      <c r="N99" s="40" t="s">
        <v>504</v>
      </c>
      <c r="O99" s="126"/>
      <c r="P99" s="126"/>
      <c r="Q99" s="40" t="s">
        <v>6</v>
      </c>
      <c r="R99" s="40" t="s">
        <v>6</v>
      </c>
      <c r="S99" s="126" t="s">
        <v>6</v>
      </c>
      <c r="T99" s="126"/>
      <c r="U99" s="204" t="s">
        <v>3963</v>
      </c>
      <c r="V99" s="206"/>
      <c r="W99" s="232" t="s">
        <v>125</v>
      </c>
      <c r="X99" s="126"/>
      <c r="Y99" s="126"/>
      <c r="Z99" s="126"/>
      <c r="AA99" s="126" t="s">
        <v>6</v>
      </c>
      <c r="AB99" s="15"/>
      <c r="AC99" s="59"/>
      <c r="AD99" s="59"/>
      <c r="AE99" s="232" t="s">
        <v>125</v>
      </c>
      <c r="AF99" s="126"/>
      <c r="AG99" s="126"/>
      <c r="AH99" s="126"/>
      <c r="AI99" s="126" t="s">
        <v>6</v>
      </c>
      <c r="AJ99" s="15"/>
      <c r="AK99" s="59"/>
      <c r="AL99" s="59"/>
      <c r="AM99" s="59"/>
      <c r="AN99" s="59"/>
      <c r="AO99" s="59"/>
      <c r="AP99" s="59"/>
      <c r="AQ99" s="59"/>
      <c r="AR99" s="59"/>
      <c r="AS99" s="59"/>
      <c r="AT99" s="59"/>
      <c r="AU99" s="59"/>
      <c r="AV99" s="59"/>
      <c r="AW99" s="18"/>
    </row>
    <row r="100" spans="1:87" s="20" customFormat="1" ht="15">
      <c r="A100" s="40">
        <f t="shared" si="9"/>
        <v>94</v>
      </c>
      <c r="B100" s="59"/>
      <c r="C100" s="59"/>
      <c r="D100" s="59"/>
      <c r="E100" s="59"/>
      <c r="F100" s="59"/>
      <c r="G100" s="59"/>
      <c r="H100" s="59"/>
      <c r="I100" s="59"/>
      <c r="J100" s="218" t="s">
        <v>4914</v>
      </c>
      <c r="K100" s="232" t="s">
        <v>117</v>
      </c>
      <c r="L100" s="204" t="s">
        <v>3977</v>
      </c>
      <c r="M100" s="204"/>
      <c r="N100" s="40" t="s">
        <v>504</v>
      </c>
      <c r="O100" s="126"/>
      <c r="P100" s="126"/>
      <c r="Q100" s="40" t="s">
        <v>6</v>
      </c>
      <c r="R100" s="40" t="s">
        <v>6</v>
      </c>
      <c r="S100" s="126" t="s">
        <v>6</v>
      </c>
      <c r="T100" s="126"/>
      <c r="U100" s="200" t="s">
        <v>3965</v>
      </c>
      <c r="V100" s="206"/>
      <c r="W100" s="232" t="s">
        <v>125</v>
      </c>
      <c r="X100" s="126"/>
      <c r="Y100" s="126"/>
      <c r="Z100" s="126"/>
      <c r="AA100" s="126" t="s">
        <v>6</v>
      </c>
      <c r="AB100" s="15"/>
      <c r="AC100" s="59"/>
      <c r="AD100" s="59"/>
      <c r="AE100" s="232" t="s">
        <v>125</v>
      </c>
      <c r="AF100" s="126"/>
      <c r="AG100" s="126"/>
      <c r="AH100" s="126"/>
      <c r="AI100" s="126" t="s">
        <v>6</v>
      </c>
      <c r="AJ100" s="15"/>
      <c r="AK100" s="59"/>
      <c r="AL100" s="59"/>
      <c r="AM100" s="59"/>
      <c r="AN100" s="59"/>
      <c r="AO100" s="59"/>
      <c r="AP100" s="59"/>
      <c r="AQ100" s="59"/>
      <c r="AR100" s="59"/>
      <c r="AS100" s="59"/>
      <c r="AT100" s="59"/>
      <c r="AU100" s="59"/>
      <c r="AV100" s="59"/>
      <c r="AW100" s="18"/>
    </row>
    <row r="101" spans="1:87" s="20" customFormat="1" ht="15">
      <c r="A101" s="40">
        <f t="shared" si="9"/>
        <v>95</v>
      </c>
      <c r="B101" s="59"/>
      <c r="C101" s="59"/>
      <c r="D101" s="59"/>
      <c r="E101" s="59"/>
      <c r="F101" s="59"/>
      <c r="G101" s="59"/>
      <c r="H101" s="59"/>
      <c r="I101" s="59"/>
      <c r="J101" s="218" t="s">
        <v>4915</v>
      </c>
      <c r="K101" s="232" t="s">
        <v>117</v>
      </c>
      <c r="L101" s="204" t="s">
        <v>3979</v>
      </c>
      <c r="M101" s="204"/>
      <c r="N101" s="40" t="s">
        <v>504</v>
      </c>
      <c r="O101" s="126"/>
      <c r="P101" s="126"/>
      <c r="Q101" s="40" t="s">
        <v>6</v>
      </c>
      <c r="R101" s="40" t="s">
        <v>6</v>
      </c>
      <c r="S101" s="126" t="s">
        <v>6</v>
      </c>
      <c r="T101" s="126"/>
      <c r="U101" s="204" t="s">
        <v>3963</v>
      </c>
      <c r="V101" s="206"/>
      <c r="W101" s="232" t="s">
        <v>125</v>
      </c>
      <c r="X101" s="126"/>
      <c r="Y101" s="126"/>
      <c r="Z101" s="126"/>
      <c r="AA101" s="126" t="s">
        <v>6</v>
      </c>
      <c r="AB101" s="15"/>
      <c r="AC101" s="59"/>
      <c r="AD101" s="59"/>
      <c r="AE101" s="232" t="s">
        <v>125</v>
      </c>
      <c r="AF101" s="126"/>
      <c r="AG101" s="126"/>
      <c r="AH101" s="126"/>
      <c r="AI101" s="126" t="s">
        <v>6</v>
      </c>
      <c r="AJ101" s="15"/>
      <c r="AK101" s="59"/>
      <c r="AL101" s="59"/>
      <c r="AM101" s="59"/>
      <c r="AN101" s="59"/>
      <c r="AO101" s="59"/>
      <c r="AP101" s="59"/>
      <c r="AQ101" s="59"/>
      <c r="AR101" s="59"/>
      <c r="AS101" s="59"/>
      <c r="AT101" s="59"/>
      <c r="AU101" s="59"/>
      <c r="AV101" s="59"/>
      <c r="AW101" s="18"/>
    </row>
    <row r="102" spans="1:87" s="20" customFormat="1" ht="15">
      <c r="A102" s="40">
        <f t="shared" si="9"/>
        <v>96</v>
      </c>
      <c r="B102" s="59"/>
      <c r="C102" s="59"/>
      <c r="D102" s="59"/>
      <c r="E102" s="59"/>
      <c r="F102" s="59"/>
      <c r="G102" s="59"/>
      <c r="H102" s="59"/>
      <c r="I102" s="59"/>
      <c r="J102" s="218" t="s">
        <v>4916</v>
      </c>
      <c r="K102" s="232" t="s">
        <v>117</v>
      </c>
      <c r="L102" s="204" t="s">
        <v>3981</v>
      </c>
      <c r="M102" s="204"/>
      <c r="N102" s="40" t="s">
        <v>504</v>
      </c>
      <c r="O102" s="126"/>
      <c r="P102" s="126"/>
      <c r="Q102" s="40" t="s">
        <v>6</v>
      </c>
      <c r="R102" s="40" t="s">
        <v>6</v>
      </c>
      <c r="S102" s="126" t="s">
        <v>6</v>
      </c>
      <c r="T102" s="126"/>
      <c r="U102" s="200" t="s">
        <v>3965</v>
      </c>
      <c r="V102" s="206"/>
      <c r="W102" s="232" t="s">
        <v>125</v>
      </c>
      <c r="X102" s="126"/>
      <c r="Y102" s="126"/>
      <c r="Z102" s="126"/>
      <c r="AA102" s="126" t="s">
        <v>6</v>
      </c>
      <c r="AB102" s="15"/>
      <c r="AC102" s="59"/>
      <c r="AD102" s="59"/>
      <c r="AE102" s="232" t="s">
        <v>125</v>
      </c>
      <c r="AF102" s="126"/>
      <c r="AG102" s="126"/>
      <c r="AH102" s="126"/>
      <c r="AI102" s="126" t="s">
        <v>6</v>
      </c>
      <c r="AJ102" s="15"/>
      <c r="AK102" s="59"/>
      <c r="AL102" s="59"/>
      <c r="AM102" s="59"/>
      <c r="AN102" s="59"/>
      <c r="AO102" s="59"/>
      <c r="AP102" s="59"/>
      <c r="AQ102" s="59"/>
      <c r="AR102" s="59"/>
      <c r="AS102" s="59"/>
      <c r="AT102" s="59"/>
      <c r="AU102" s="59"/>
      <c r="AV102" s="59"/>
      <c r="AW102" s="18"/>
    </row>
    <row r="103" spans="1:87" s="20" customFormat="1" ht="26.4">
      <c r="A103" s="40">
        <f t="shared" si="9"/>
        <v>97</v>
      </c>
      <c r="B103" s="59"/>
      <c r="C103" s="59"/>
      <c r="D103" s="59"/>
      <c r="E103" s="59"/>
      <c r="F103" s="59"/>
      <c r="G103" s="59"/>
      <c r="H103" s="59"/>
      <c r="I103" s="59"/>
      <c r="J103" s="218" t="s">
        <v>4917</v>
      </c>
      <c r="K103" s="232" t="s">
        <v>117</v>
      </c>
      <c r="L103" s="204" t="s">
        <v>3983</v>
      </c>
      <c r="M103" s="204"/>
      <c r="N103" s="40" t="s">
        <v>504</v>
      </c>
      <c r="O103" s="126"/>
      <c r="P103" s="126"/>
      <c r="Q103" s="40" t="s">
        <v>6</v>
      </c>
      <c r="R103" s="40" t="s">
        <v>6</v>
      </c>
      <c r="S103" s="126" t="s">
        <v>6</v>
      </c>
      <c r="T103" s="126"/>
      <c r="U103" s="204" t="s">
        <v>3921</v>
      </c>
      <c r="V103" s="206"/>
      <c r="W103" s="232" t="s">
        <v>125</v>
      </c>
      <c r="X103" s="213"/>
      <c r="Y103" s="213"/>
      <c r="Z103" s="213"/>
      <c r="AA103" s="126" t="s">
        <v>6</v>
      </c>
      <c r="AB103" s="15"/>
      <c r="AC103" s="59"/>
      <c r="AD103" s="59"/>
      <c r="AE103" s="232" t="s">
        <v>125</v>
      </c>
      <c r="AF103" s="213"/>
      <c r="AG103" s="213"/>
      <c r="AH103" s="213"/>
      <c r="AI103" s="126" t="s">
        <v>6</v>
      </c>
      <c r="AJ103" s="15"/>
      <c r="AK103" s="59"/>
      <c r="AL103" s="59"/>
      <c r="AM103" s="59"/>
      <c r="AN103" s="59"/>
      <c r="AO103" s="59"/>
      <c r="AP103" s="59"/>
      <c r="AQ103" s="59"/>
      <c r="AR103" s="59"/>
      <c r="AS103" s="59"/>
      <c r="AT103" s="59"/>
      <c r="AU103" s="59"/>
      <c r="AV103" s="59"/>
      <c r="AW103" s="18"/>
    </row>
    <row r="104" spans="1:87" s="20" customFormat="1" ht="26.4">
      <c r="A104" s="40">
        <f t="shared" si="9"/>
        <v>98</v>
      </c>
      <c r="B104" s="59"/>
      <c r="C104" s="59"/>
      <c r="D104" s="59"/>
      <c r="E104" s="59"/>
      <c r="F104" s="59"/>
      <c r="G104" s="59"/>
      <c r="H104" s="59"/>
      <c r="I104" s="59"/>
      <c r="J104" s="218" t="s">
        <v>4918</v>
      </c>
      <c r="K104" s="232" t="s">
        <v>117</v>
      </c>
      <c r="L104" s="204" t="s">
        <v>3987</v>
      </c>
      <c r="M104" s="204"/>
      <c r="N104" s="40" t="s">
        <v>504</v>
      </c>
      <c r="O104" s="126"/>
      <c r="P104" s="126"/>
      <c r="Q104" s="40" t="s">
        <v>6</v>
      </c>
      <c r="R104" s="40" t="s">
        <v>6</v>
      </c>
      <c r="S104" s="126" t="s">
        <v>6</v>
      </c>
      <c r="T104" s="126"/>
      <c r="U104" s="204" t="s">
        <v>4919</v>
      </c>
      <c r="V104" s="206"/>
      <c r="W104" s="232" t="s">
        <v>125</v>
      </c>
      <c r="X104" s="213"/>
      <c r="Y104" s="213"/>
      <c r="Z104" s="213"/>
      <c r="AA104" s="126" t="s">
        <v>6</v>
      </c>
      <c r="AB104" s="15"/>
      <c r="AC104" s="59"/>
      <c r="AD104" s="59"/>
      <c r="AE104" s="232" t="s">
        <v>125</v>
      </c>
      <c r="AF104" s="213"/>
      <c r="AG104" s="213"/>
      <c r="AH104" s="213"/>
      <c r="AI104" s="126" t="s">
        <v>6</v>
      </c>
      <c r="AJ104" s="15"/>
      <c r="AK104" s="59"/>
      <c r="AL104" s="59"/>
      <c r="AM104" s="59"/>
      <c r="AN104" s="59"/>
      <c r="AO104" s="59"/>
      <c r="AP104" s="59"/>
      <c r="AQ104" s="59"/>
      <c r="AR104" s="59"/>
      <c r="AS104" s="59"/>
      <c r="AT104" s="59"/>
      <c r="AU104" s="59"/>
      <c r="AV104" s="59"/>
      <c r="AW104" s="18"/>
    </row>
    <row r="105" spans="1:87" s="20" customFormat="1" ht="26.4">
      <c r="A105" s="40">
        <f t="shared" si="9"/>
        <v>99</v>
      </c>
      <c r="B105" s="59"/>
      <c r="C105" s="59"/>
      <c r="D105" s="59"/>
      <c r="E105" s="59"/>
      <c r="F105" s="59"/>
      <c r="G105" s="59"/>
      <c r="H105" s="59"/>
      <c r="I105" s="59"/>
      <c r="J105" s="218" t="s">
        <v>4920</v>
      </c>
      <c r="K105" s="232" t="s">
        <v>117</v>
      </c>
      <c r="L105" s="204" t="s">
        <v>3992</v>
      </c>
      <c r="M105" s="204"/>
      <c r="N105" s="40" t="s">
        <v>504</v>
      </c>
      <c r="O105" s="126"/>
      <c r="P105" s="126"/>
      <c r="Q105" s="40" t="s">
        <v>6</v>
      </c>
      <c r="R105" s="40" t="s">
        <v>6</v>
      </c>
      <c r="S105" s="126" t="s">
        <v>6</v>
      </c>
      <c r="T105" s="126"/>
      <c r="U105" s="204" t="s">
        <v>4919</v>
      </c>
      <c r="V105" s="206"/>
      <c r="W105" s="232" t="s">
        <v>125</v>
      </c>
      <c r="X105" s="213"/>
      <c r="Y105" s="213"/>
      <c r="Z105" s="213"/>
      <c r="AA105" s="126" t="s">
        <v>6</v>
      </c>
      <c r="AB105" s="15"/>
      <c r="AC105" s="59"/>
      <c r="AD105" s="59"/>
      <c r="AE105" s="232" t="s">
        <v>125</v>
      </c>
      <c r="AF105" s="213"/>
      <c r="AG105" s="213"/>
      <c r="AH105" s="213"/>
      <c r="AI105" s="126" t="s">
        <v>6</v>
      </c>
      <c r="AJ105" s="15"/>
      <c r="AK105" s="59"/>
      <c r="AL105" s="59"/>
      <c r="AM105" s="59"/>
      <c r="AN105" s="59"/>
      <c r="AO105" s="59"/>
      <c r="AP105" s="59"/>
      <c r="AQ105" s="59"/>
      <c r="AR105" s="59"/>
      <c r="AS105" s="59"/>
      <c r="AT105" s="59"/>
      <c r="AU105" s="59"/>
      <c r="AV105" s="59"/>
      <c r="AW105" s="18"/>
    </row>
    <row r="106" spans="1:87" s="20" customFormat="1" ht="26.4">
      <c r="A106" s="40">
        <f t="shared" si="9"/>
        <v>100</v>
      </c>
      <c r="B106" s="59"/>
      <c r="C106" s="59"/>
      <c r="D106" s="59"/>
      <c r="E106" s="59"/>
      <c r="F106" s="59"/>
      <c r="G106" s="59"/>
      <c r="H106" s="59"/>
      <c r="I106" s="59"/>
      <c r="J106" s="218" t="s">
        <v>4921</v>
      </c>
      <c r="K106" s="232" t="s">
        <v>117</v>
      </c>
      <c r="L106" s="204" t="s">
        <v>3994</v>
      </c>
      <c r="M106" s="204"/>
      <c r="N106" s="40" t="s">
        <v>504</v>
      </c>
      <c r="O106" s="126"/>
      <c r="P106" s="126"/>
      <c r="Q106" s="40" t="s">
        <v>6</v>
      </c>
      <c r="R106" s="40" t="s">
        <v>6</v>
      </c>
      <c r="S106" s="126" t="s">
        <v>6</v>
      </c>
      <c r="T106" s="126"/>
      <c r="U106" s="204" t="s">
        <v>4919</v>
      </c>
      <c r="V106" s="206"/>
      <c r="W106" s="232" t="s">
        <v>125</v>
      </c>
      <c r="X106" s="213"/>
      <c r="Y106" s="213"/>
      <c r="Z106" s="213"/>
      <c r="AA106" s="126" t="s">
        <v>6</v>
      </c>
      <c r="AB106" s="15"/>
      <c r="AC106" s="59"/>
      <c r="AD106" s="59"/>
      <c r="AE106" s="232" t="s">
        <v>125</v>
      </c>
      <c r="AF106" s="213"/>
      <c r="AG106" s="213"/>
      <c r="AH106" s="213"/>
      <c r="AI106" s="126" t="s">
        <v>6</v>
      </c>
      <c r="AJ106" s="15"/>
      <c r="AK106" s="59"/>
      <c r="AL106" s="59"/>
      <c r="AM106" s="59"/>
      <c r="AN106" s="59"/>
      <c r="AO106" s="59"/>
      <c r="AP106" s="59"/>
      <c r="AQ106" s="59"/>
      <c r="AR106" s="59"/>
      <c r="AS106" s="59"/>
      <c r="AT106" s="59"/>
      <c r="AU106" s="59"/>
      <c r="AV106" s="59"/>
      <c r="AW106" s="18"/>
    </row>
    <row r="107" spans="1:87" s="20" customFormat="1" ht="26.4">
      <c r="A107" s="40">
        <f t="shared" si="9"/>
        <v>101</v>
      </c>
      <c r="B107" s="59"/>
      <c r="C107" s="59"/>
      <c r="D107" s="59"/>
      <c r="E107" s="59"/>
      <c r="F107" s="59"/>
      <c r="G107" s="59"/>
      <c r="H107" s="59"/>
      <c r="I107" s="59"/>
      <c r="J107" s="218" t="s">
        <v>4922</v>
      </c>
      <c r="K107" s="232" t="s">
        <v>117</v>
      </c>
      <c r="L107" s="204" t="s">
        <v>3998</v>
      </c>
      <c r="M107" s="204"/>
      <c r="N107" s="40" t="s">
        <v>504</v>
      </c>
      <c r="O107" s="126"/>
      <c r="P107" s="126"/>
      <c r="Q107" s="40" t="s">
        <v>6</v>
      </c>
      <c r="R107" s="40" t="s">
        <v>6</v>
      </c>
      <c r="S107" s="126" t="s">
        <v>6</v>
      </c>
      <c r="T107" s="126"/>
      <c r="U107" s="204" t="s">
        <v>4919</v>
      </c>
      <c r="V107" s="206"/>
      <c r="W107" s="232" t="s">
        <v>125</v>
      </c>
      <c r="X107" s="126"/>
      <c r="Y107" s="126"/>
      <c r="Z107" s="126"/>
      <c r="AA107" s="126" t="s">
        <v>6</v>
      </c>
      <c r="AB107" s="15"/>
      <c r="AC107" s="59"/>
      <c r="AD107" s="59"/>
      <c r="AE107" s="232" t="s">
        <v>125</v>
      </c>
      <c r="AF107" s="126"/>
      <c r="AG107" s="126"/>
      <c r="AH107" s="126"/>
      <c r="AI107" s="126" t="s">
        <v>6</v>
      </c>
      <c r="AJ107" s="15"/>
      <c r="AK107" s="59"/>
      <c r="AL107" s="59"/>
      <c r="AM107" s="59"/>
      <c r="AN107" s="59"/>
      <c r="AO107" s="59"/>
      <c r="AP107" s="59"/>
      <c r="AQ107" s="59"/>
      <c r="AR107" s="59"/>
      <c r="AS107" s="59"/>
      <c r="AT107" s="59"/>
      <c r="AU107" s="59"/>
      <c r="AV107" s="59"/>
      <c r="AW107" s="18"/>
    </row>
    <row r="108" spans="1:87" s="20" customFormat="1" ht="15">
      <c r="A108" s="40">
        <f t="shared" si="9"/>
        <v>102</v>
      </c>
      <c r="B108" s="59"/>
      <c r="C108" s="59"/>
      <c r="D108" s="59"/>
      <c r="E108" s="59"/>
      <c r="F108" s="59"/>
      <c r="G108" s="59"/>
      <c r="H108" s="59"/>
      <c r="I108" s="59"/>
      <c r="J108" s="218" t="s">
        <v>4923</v>
      </c>
      <c r="K108" s="59" t="s">
        <v>117</v>
      </c>
      <c r="L108" s="204" t="s">
        <v>1409</v>
      </c>
      <c r="M108" s="204"/>
      <c r="N108" s="40" t="s">
        <v>504</v>
      </c>
      <c r="O108" s="126"/>
      <c r="P108" s="126"/>
      <c r="Q108" s="40"/>
      <c r="R108" s="40" t="s">
        <v>6</v>
      </c>
      <c r="S108" s="126" t="s">
        <v>6</v>
      </c>
      <c r="T108" s="140"/>
      <c r="U108" s="218" t="s">
        <v>4924</v>
      </c>
      <c r="V108" s="214"/>
      <c r="W108" s="59" t="s">
        <v>133</v>
      </c>
      <c r="X108" s="126"/>
      <c r="Y108" s="126"/>
      <c r="Z108" s="40" t="s">
        <v>6</v>
      </c>
      <c r="AA108" s="126" t="s">
        <v>6</v>
      </c>
      <c r="AB108" s="215"/>
      <c r="AC108" s="59"/>
      <c r="AD108" s="59"/>
      <c r="AE108" s="59" t="s">
        <v>133</v>
      </c>
      <c r="AF108" s="126"/>
      <c r="AG108" s="126"/>
      <c r="AH108" s="40" t="s">
        <v>6</v>
      </c>
      <c r="AI108" s="126" t="s">
        <v>6</v>
      </c>
      <c r="AJ108" s="215"/>
      <c r="AK108" s="59"/>
      <c r="AL108" s="59"/>
      <c r="AM108" s="59"/>
      <c r="AN108" s="59"/>
      <c r="AO108" s="59"/>
      <c r="AP108" s="59"/>
      <c r="AQ108" s="59"/>
      <c r="AR108" s="59"/>
      <c r="AS108" s="59"/>
      <c r="AT108" s="59"/>
      <c r="AU108" s="59"/>
      <c r="AV108" s="59"/>
      <c r="AW108" s="18"/>
    </row>
    <row r="109" spans="1:87" s="20" customFormat="1" ht="26.4">
      <c r="A109" s="40">
        <f t="shared" si="9"/>
        <v>103</v>
      </c>
      <c r="B109" s="59"/>
      <c r="C109" s="59"/>
      <c r="D109" s="59"/>
      <c r="E109" s="59"/>
      <c r="F109" s="59"/>
      <c r="G109" s="59"/>
      <c r="H109" s="59"/>
      <c r="I109" s="59"/>
      <c r="J109" s="218" t="s">
        <v>4925</v>
      </c>
      <c r="K109" s="412" t="s">
        <v>128</v>
      </c>
      <c r="L109" s="204" t="s">
        <v>703</v>
      </c>
      <c r="M109" s="204"/>
      <c r="N109" s="40" t="s">
        <v>504</v>
      </c>
      <c r="O109" s="126"/>
      <c r="P109" s="126"/>
      <c r="Q109" s="40" t="s">
        <v>6</v>
      </c>
      <c r="R109" s="40" t="s">
        <v>6</v>
      </c>
      <c r="S109" s="126" t="s">
        <v>6</v>
      </c>
      <c r="T109" s="126"/>
      <c r="U109" s="200" t="s">
        <v>3921</v>
      </c>
      <c r="V109" s="206"/>
      <c r="W109" s="232" t="s">
        <v>125</v>
      </c>
      <c r="X109" s="126"/>
      <c r="Y109" s="126"/>
      <c r="Z109" s="126"/>
      <c r="AA109" s="126" t="s">
        <v>6</v>
      </c>
      <c r="AB109" s="15"/>
      <c r="AC109" s="59"/>
      <c r="AD109" s="59"/>
      <c r="AE109" s="232" t="s">
        <v>125</v>
      </c>
      <c r="AF109" s="126"/>
      <c r="AG109" s="126"/>
      <c r="AH109" s="126"/>
      <c r="AI109" s="126" t="s">
        <v>6</v>
      </c>
      <c r="AJ109" s="15"/>
      <c r="AK109" s="59"/>
      <c r="AL109" s="59"/>
      <c r="AM109" s="59"/>
      <c r="AN109" s="59"/>
      <c r="AO109" s="59"/>
      <c r="AP109" s="59"/>
      <c r="AQ109" s="59"/>
      <c r="AR109" s="59"/>
      <c r="AS109" s="59"/>
      <c r="AT109" s="59"/>
      <c r="AU109" s="59"/>
      <c r="AV109" s="59"/>
      <c r="AW109" s="18"/>
    </row>
    <row r="110" spans="1:87" s="18" customFormat="1" ht="26.4">
      <c r="A110" s="40">
        <f t="shared" si="9"/>
        <v>104</v>
      </c>
      <c r="B110" s="38"/>
      <c r="C110" s="42"/>
      <c r="D110" s="38"/>
      <c r="E110" s="46"/>
      <c r="F110" s="46"/>
      <c r="G110" s="46"/>
      <c r="H110" s="13"/>
      <c r="I110" s="40"/>
      <c r="J110" s="218" t="s">
        <v>4926</v>
      </c>
      <c r="K110" s="412" t="s">
        <v>117</v>
      </c>
      <c r="L110" s="204" t="s">
        <v>794</v>
      </c>
      <c r="M110" s="367"/>
      <c r="N110" s="416" t="s">
        <v>504</v>
      </c>
      <c r="O110" s="126"/>
      <c r="P110" s="126"/>
      <c r="Q110" s="416" t="s">
        <v>6</v>
      </c>
      <c r="R110" s="416" t="s">
        <v>6</v>
      </c>
      <c r="S110" s="40" t="s">
        <v>6</v>
      </c>
      <c r="T110" s="40"/>
      <c r="U110" s="204" t="s">
        <v>795</v>
      </c>
      <c r="V110" s="206"/>
      <c r="W110" s="412" t="s">
        <v>125</v>
      </c>
      <c r="X110" s="59"/>
      <c r="Y110" s="59"/>
      <c r="Z110" s="59"/>
      <c r="AA110" s="40" t="s">
        <v>6</v>
      </c>
      <c r="AB110" s="413"/>
      <c r="AC110" s="413"/>
      <c r="AD110" s="413"/>
      <c r="AE110" s="412" t="s">
        <v>125</v>
      </c>
      <c r="AF110" s="59"/>
      <c r="AG110" s="59"/>
      <c r="AH110" s="59"/>
      <c r="AI110" s="40" t="s">
        <v>6</v>
      </c>
      <c r="AJ110" s="413"/>
      <c r="AK110" s="413"/>
      <c r="AL110" s="413"/>
      <c r="AM110" s="43"/>
      <c r="AN110" s="19"/>
      <c r="AO110" s="15"/>
      <c r="AP110" s="15"/>
      <c r="AQ110" s="15"/>
      <c r="AR110" s="15"/>
      <c r="AS110" s="15"/>
      <c r="AT110" s="15"/>
      <c r="AU110" s="15"/>
      <c r="AV110" s="13"/>
      <c r="AX110" s="12"/>
      <c r="AY110" s="12"/>
      <c r="AZ110" s="12"/>
      <c r="BA110" s="12"/>
      <c r="BB110" s="12"/>
      <c r="BC110" s="12"/>
      <c r="BD110" s="12"/>
      <c r="BE110" s="12"/>
      <c r="BF110" s="12"/>
      <c r="BG110" s="12"/>
      <c r="BH110" s="12"/>
      <c r="BI110" s="12"/>
      <c r="BJ110" s="12"/>
      <c r="BK110" s="12"/>
      <c r="BL110" s="12"/>
      <c r="BM110" s="12"/>
      <c r="BN110" s="12"/>
      <c r="BO110" s="12"/>
      <c r="BP110" s="12"/>
      <c r="BQ110" s="12"/>
      <c r="BR110" s="12"/>
      <c r="BS110" s="12"/>
      <c r="BT110" s="12"/>
      <c r="BU110" s="12"/>
      <c r="BV110" s="12"/>
      <c r="BW110" s="12"/>
      <c r="BX110" s="12"/>
      <c r="BY110" s="12"/>
      <c r="BZ110" s="12"/>
      <c r="CA110" s="12"/>
      <c r="CB110" s="12"/>
      <c r="CC110" s="12"/>
      <c r="CD110" s="12"/>
      <c r="CE110" s="12"/>
      <c r="CF110" s="12"/>
      <c r="CG110" s="12"/>
      <c r="CH110" s="12"/>
      <c r="CI110" s="12"/>
    </row>
    <row r="111" spans="1:87" s="20" customFormat="1" ht="15">
      <c r="A111" s="40">
        <f t="shared" ref="A111:A112" si="10">ROW() - 6</f>
        <v>105</v>
      </c>
      <c r="B111" s="59"/>
      <c r="C111" s="59"/>
      <c r="D111" s="59"/>
      <c r="E111" s="59"/>
      <c r="F111" s="59"/>
      <c r="G111" s="59"/>
      <c r="H111" s="59"/>
      <c r="I111" s="59"/>
      <c r="J111" s="215" t="s">
        <v>4927</v>
      </c>
      <c r="K111" s="204" t="s">
        <v>65</v>
      </c>
      <c r="L111" s="204" t="s">
        <v>1612</v>
      </c>
      <c r="M111" s="367"/>
      <c r="N111" s="416" t="s">
        <v>504</v>
      </c>
      <c r="O111" s="126"/>
      <c r="P111" s="126"/>
      <c r="Q111" s="40" t="s">
        <v>6</v>
      </c>
      <c r="R111" s="40" t="s">
        <v>6</v>
      </c>
      <c r="S111" s="40" t="s">
        <v>6</v>
      </c>
      <c r="T111" s="416"/>
      <c r="U111" s="204"/>
      <c r="V111" s="206"/>
      <c r="W111" s="204" t="s">
        <v>65</v>
      </c>
      <c r="X111" s="59"/>
      <c r="Y111" s="59"/>
      <c r="Z111" s="226" t="s">
        <v>6</v>
      </c>
      <c r="AA111" s="416" t="s">
        <v>6</v>
      </c>
      <c r="AB111" s="361"/>
      <c r="AC111" s="260"/>
      <c r="AD111" s="260"/>
      <c r="AE111" s="204" t="s">
        <v>65</v>
      </c>
      <c r="AF111" s="59"/>
      <c r="AG111" s="59"/>
      <c r="AH111" s="226" t="s">
        <v>6</v>
      </c>
      <c r="AI111" s="416" t="s">
        <v>6</v>
      </c>
      <c r="AJ111" s="361"/>
      <c r="AK111" s="260"/>
      <c r="AL111" s="260"/>
      <c r="AM111" s="59"/>
      <c r="AN111" s="59"/>
      <c r="AO111" s="59"/>
      <c r="AP111" s="59"/>
      <c r="AQ111" s="59"/>
      <c r="AR111" s="59"/>
      <c r="AS111" s="59"/>
      <c r="AT111" s="59"/>
      <c r="AU111" s="59"/>
      <c r="AV111" s="59"/>
      <c r="AW111" s="18"/>
    </row>
    <row r="112" spans="1:87" s="20" customFormat="1" ht="26.4">
      <c r="A112" s="40">
        <f t="shared" si="10"/>
        <v>106</v>
      </c>
      <c r="B112" s="59"/>
      <c r="C112" s="59"/>
      <c r="D112" s="59"/>
      <c r="E112" s="59"/>
      <c r="F112" s="59"/>
      <c r="G112" s="59"/>
      <c r="H112" s="59"/>
      <c r="I112" s="59"/>
      <c r="J112" s="480" t="s">
        <v>4928</v>
      </c>
      <c r="K112" s="361" t="s">
        <v>132</v>
      </c>
      <c r="L112" s="361" t="s">
        <v>4929</v>
      </c>
      <c r="M112" s="461"/>
      <c r="N112" s="460" t="s">
        <v>504</v>
      </c>
      <c r="O112" s="213"/>
      <c r="P112" s="213"/>
      <c r="Q112" s="415" t="s">
        <v>6</v>
      </c>
      <c r="R112" s="415" t="s">
        <v>6</v>
      </c>
      <c r="S112" s="415" t="s">
        <v>6</v>
      </c>
      <c r="T112" s="460"/>
      <c r="U112" s="361"/>
      <c r="V112" s="481"/>
      <c r="W112" s="361" t="s">
        <v>133</v>
      </c>
      <c r="X112" s="260"/>
      <c r="Y112" s="260"/>
      <c r="Z112" s="482" t="s">
        <v>6</v>
      </c>
      <c r="AA112" s="460" t="s">
        <v>6</v>
      </c>
      <c r="AB112" s="361"/>
      <c r="AC112" s="260"/>
      <c r="AD112" s="260"/>
      <c r="AE112" s="361" t="s">
        <v>133</v>
      </c>
      <c r="AF112" s="260"/>
      <c r="AG112" s="260"/>
      <c r="AH112" s="482" t="s">
        <v>6</v>
      </c>
      <c r="AI112" s="460" t="s">
        <v>6</v>
      </c>
      <c r="AJ112" s="361"/>
      <c r="AK112" s="260"/>
      <c r="AL112" s="260"/>
      <c r="AM112" s="260"/>
      <c r="AN112" s="260"/>
      <c r="AO112" s="260"/>
      <c r="AP112" s="260"/>
      <c r="AQ112" s="260"/>
      <c r="AR112" s="260"/>
      <c r="AS112" s="260"/>
      <c r="AT112" s="260"/>
      <c r="AU112" s="260"/>
      <c r="AV112" s="260"/>
      <c r="AW112" s="18"/>
    </row>
    <row r="113" spans="1:49" ht="15">
      <c r="A113" s="452">
        <f>ROW() - 6</f>
        <v>107</v>
      </c>
      <c r="B113" s="62"/>
      <c r="C113" s="62"/>
      <c r="D113" s="62"/>
      <c r="E113" s="62"/>
      <c r="F113" s="62"/>
      <c r="G113" s="62"/>
      <c r="H113" s="62"/>
      <c r="I113" s="62"/>
      <c r="J113" s="483" t="s">
        <v>858</v>
      </c>
      <c r="K113" s="63"/>
      <c r="L113" s="63"/>
      <c r="M113" s="63"/>
      <c r="N113" s="139"/>
      <c r="O113" s="139"/>
      <c r="P113" s="139"/>
      <c r="Q113" s="139"/>
      <c r="R113" s="139"/>
      <c r="S113" s="139"/>
      <c r="T113" s="139"/>
      <c r="U113" s="354"/>
      <c r="V113" s="311"/>
      <c r="W113" s="63"/>
      <c r="X113" s="139"/>
      <c r="Y113" s="139"/>
      <c r="Z113" s="139"/>
      <c r="AA113" s="139"/>
      <c r="AB113" s="312"/>
      <c r="AC113" s="63"/>
      <c r="AD113" s="63"/>
      <c r="AE113" s="63"/>
      <c r="AF113" s="139"/>
      <c r="AG113" s="139"/>
      <c r="AH113" s="139"/>
      <c r="AI113" s="139"/>
      <c r="AJ113" s="312"/>
      <c r="AK113" s="63"/>
      <c r="AL113" s="63"/>
      <c r="AM113" s="63"/>
      <c r="AN113" s="63"/>
      <c r="AO113" s="63"/>
      <c r="AP113" s="63"/>
      <c r="AQ113" s="63"/>
      <c r="AR113" s="63"/>
      <c r="AS113" s="63"/>
      <c r="AT113" s="63"/>
      <c r="AU113" s="63"/>
      <c r="AV113" s="63"/>
      <c r="AW113" s="18">
        <f t="shared" si="5"/>
        <v>0</v>
      </c>
    </row>
    <row r="114" spans="1:49" s="20" customFormat="1" ht="15">
      <c r="A114" s="40">
        <f>ROW() - 6</f>
        <v>108</v>
      </c>
      <c r="B114" s="59"/>
      <c r="C114" s="59"/>
      <c r="D114" s="59"/>
      <c r="E114" s="59"/>
      <c r="F114" s="59"/>
      <c r="G114" s="59"/>
      <c r="H114" s="59"/>
      <c r="I114" s="59"/>
      <c r="J114" s="215" t="s">
        <v>1592</v>
      </c>
      <c r="K114" s="204"/>
      <c r="L114" s="204" t="s">
        <v>863</v>
      </c>
      <c r="M114" s="204"/>
      <c r="N114" s="40" t="s">
        <v>413</v>
      </c>
      <c r="O114" s="40" t="s">
        <v>862</v>
      </c>
      <c r="P114" s="40"/>
      <c r="Q114" s="40" t="s">
        <v>6</v>
      </c>
      <c r="R114" s="40"/>
      <c r="S114" s="40"/>
      <c r="T114" s="40" t="s">
        <v>6</v>
      </c>
      <c r="U114" s="204"/>
      <c r="V114" s="204"/>
      <c r="W114" s="204"/>
      <c r="X114" s="40" t="s">
        <v>862</v>
      </c>
      <c r="Y114" s="40"/>
      <c r="Z114" s="126"/>
      <c r="AA114" s="126"/>
      <c r="AB114" s="15"/>
      <c r="AC114" s="59"/>
      <c r="AD114" s="59"/>
      <c r="AE114" s="204"/>
      <c r="AF114" s="40" t="s">
        <v>862</v>
      </c>
      <c r="AG114" s="40"/>
      <c r="AH114" s="126"/>
      <c r="AI114" s="126"/>
      <c r="AJ114" s="15"/>
      <c r="AK114" s="59"/>
      <c r="AL114" s="59"/>
      <c r="AM114" s="59"/>
      <c r="AN114" s="59"/>
      <c r="AO114" s="59"/>
      <c r="AP114" s="59"/>
      <c r="AQ114" s="59"/>
      <c r="AR114" s="59"/>
      <c r="AS114" s="59"/>
      <c r="AT114" s="59"/>
      <c r="AU114" s="59"/>
      <c r="AV114" s="59"/>
      <c r="AW114" s="18">
        <f t="shared" si="5"/>
        <v>26</v>
      </c>
    </row>
    <row r="115" spans="1:49" s="236" customFormat="1" ht="15">
      <c r="A115" s="40">
        <f>ROW() - 6</f>
        <v>109</v>
      </c>
      <c r="B115" s="199"/>
      <c r="C115" s="199"/>
      <c r="D115" s="199"/>
      <c r="E115" s="199"/>
      <c r="F115" s="199"/>
      <c r="G115" s="199"/>
      <c r="H115" s="199"/>
      <c r="I115" s="199"/>
      <c r="J115" s="399" t="s">
        <v>1613</v>
      </c>
      <c r="K115" s="217"/>
      <c r="L115" s="253" t="s">
        <v>1563</v>
      </c>
      <c r="M115" s="253"/>
      <c r="N115" s="126" t="s">
        <v>407</v>
      </c>
      <c r="O115" s="40" t="s">
        <v>861</v>
      </c>
      <c r="P115" s="40"/>
      <c r="Q115" s="40" t="s">
        <v>6</v>
      </c>
      <c r="R115" s="126"/>
      <c r="S115" s="126"/>
      <c r="T115" s="126" t="s">
        <v>6</v>
      </c>
      <c r="U115" s="215"/>
      <c r="V115" s="399"/>
      <c r="W115" s="217"/>
      <c r="X115" s="40" t="s">
        <v>861</v>
      </c>
      <c r="Y115" s="126"/>
      <c r="Z115" s="199"/>
      <c r="AA115" s="199"/>
      <c r="AB115" s="198"/>
      <c r="AC115" s="199"/>
      <c r="AD115" s="199"/>
      <c r="AE115" s="217"/>
      <c r="AF115" s="40" t="s">
        <v>861</v>
      </c>
      <c r="AG115" s="126"/>
      <c r="AH115" s="199"/>
      <c r="AI115" s="199"/>
      <c r="AJ115" s="198"/>
      <c r="AK115" s="199"/>
      <c r="AL115" s="199"/>
      <c r="AM115" s="199"/>
      <c r="AN115" s="199"/>
      <c r="AO115" s="199"/>
      <c r="AP115" s="199"/>
      <c r="AQ115" s="199"/>
      <c r="AR115" s="199"/>
      <c r="AS115" s="199"/>
      <c r="AT115" s="199"/>
      <c r="AU115" s="199"/>
      <c r="AV115" s="199"/>
      <c r="AW115" s="155">
        <f t="shared" si="5"/>
        <v>41</v>
      </c>
    </row>
    <row r="116" spans="1:49" ht="15">
      <c r="AW116" s="18">
        <f t="shared" si="5"/>
        <v>0</v>
      </c>
    </row>
    <row r="117" spans="1:49" ht="15">
      <c r="AW117" s="18">
        <f t="shared" si="5"/>
        <v>0</v>
      </c>
    </row>
    <row r="118" spans="1:49" ht="15">
      <c r="AW118" s="18">
        <f t="shared" si="5"/>
        <v>0</v>
      </c>
    </row>
    <row r="119" spans="1:49" ht="15">
      <c r="AW119" s="18">
        <f t="shared" si="5"/>
        <v>0</v>
      </c>
    </row>
    <row r="120" spans="1:49" ht="15">
      <c r="AW120" s="18">
        <f t="shared" ref="AW120:AW183" si="11">LEN(L120)</f>
        <v>0</v>
      </c>
    </row>
    <row r="121" spans="1:49" ht="15">
      <c r="AW121" s="18">
        <f t="shared" si="11"/>
        <v>0</v>
      </c>
    </row>
    <row r="122" spans="1:49" ht="15">
      <c r="AW122" s="18">
        <f t="shared" si="11"/>
        <v>0</v>
      </c>
    </row>
    <row r="123" spans="1:49" ht="15">
      <c r="AW123" s="18">
        <f t="shared" si="11"/>
        <v>0</v>
      </c>
    </row>
    <row r="124" spans="1:49" ht="15">
      <c r="AW124" s="18">
        <f t="shared" si="11"/>
        <v>0</v>
      </c>
    </row>
    <row r="125" spans="1:49" ht="15">
      <c r="AW125" s="18">
        <f t="shared" si="11"/>
        <v>0</v>
      </c>
    </row>
    <row r="126" spans="1:49" ht="15">
      <c r="AW126" s="18">
        <f t="shared" si="11"/>
        <v>0</v>
      </c>
    </row>
    <row r="127" spans="1:49" ht="15">
      <c r="AW127" s="18">
        <f t="shared" si="11"/>
        <v>0</v>
      </c>
    </row>
    <row r="128" spans="1:49" ht="15">
      <c r="AW128" s="18">
        <f t="shared" si="11"/>
        <v>0</v>
      </c>
    </row>
    <row r="129" spans="49:49" ht="15">
      <c r="AW129" s="18">
        <f t="shared" si="11"/>
        <v>0</v>
      </c>
    </row>
    <row r="130" spans="49:49" ht="15">
      <c r="AW130" s="18">
        <f t="shared" si="11"/>
        <v>0</v>
      </c>
    </row>
    <row r="131" spans="49:49" ht="15">
      <c r="AW131" s="18">
        <f t="shared" si="11"/>
        <v>0</v>
      </c>
    </row>
    <row r="132" spans="49:49" ht="15">
      <c r="AW132" s="18">
        <f t="shared" si="11"/>
        <v>0</v>
      </c>
    </row>
    <row r="133" spans="49:49" ht="15">
      <c r="AW133" s="18">
        <f t="shared" si="11"/>
        <v>0</v>
      </c>
    </row>
    <row r="134" spans="49:49" ht="15">
      <c r="AW134" s="18">
        <f t="shared" si="11"/>
        <v>0</v>
      </c>
    </row>
    <row r="135" spans="49:49" ht="15">
      <c r="AW135" s="18">
        <f t="shared" si="11"/>
        <v>0</v>
      </c>
    </row>
    <row r="136" spans="49:49" ht="15">
      <c r="AW136" s="18">
        <f t="shared" si="11"/>
        <v>0</v>
      </c>
    </row>
    <row r="137" spans="49:49" ht="15">
      <c r="AW137" s="18">
        <f t="shared" si="11"/>
        <v>0</v>
      </c>
    </row>
    <row r="138" spans="49:49" ht="15">
      <c r="AW138" s="18">
        <f t="shared" si="11"/>
        <v>0</v>
      </c>
    </row>
    <row r="139" spans="49:49" ht="15">
      <c r="AW139" s="18">
        <f t="shared" si="11"/>
        <v>0</v>
      </c>
    </row>
    <row r="140" spans="49:49" ht="15">
      <c r="AW140" s="18">
        <f t="shared" si="11"/>
        <v>0</v>
      </c>
    </row>
    <row r="141" spans="49:49" ht="15">
      <c r="AW141" s="18">
        <f t="shared" si="11"/>
        <v>0</v>
      </c>
    </row>
    <row r="142" spans="49:49" ht="15">
      <c r="AW142" s="18">
        <f t="shared" si="11"/>
        <v>0</v>
      </c>
    </row>
    <row r="143" spans="49:49" ht="15">
      <c r="AW143" s="18">
        <f t="shared" si="11"/>
        <v>0</v>
      </c>
    </row>
    <row r="144" spans="49:49" ht="15">
      <c r="AW144" s="18">
        <f t="shared" si="11"/>
        <v>0</v>
      </c>
    </row>
    <row r="145" spans="49:49" ht="15">
      <c r="AW145" s="18">
        <f t="shared" si="11"/>
        <v>0</v>
      </c>
    </row>
    <row r="146" spans="49:49" ht="15">
      <c r="AW146" s="18">
        <f t="shared" si="11"/>
        <v>0</v>
      </c>
    </row>
    <row r="147" spans="49:49" ht="15">
      <c r="AW147" s="18">
        <f t="shared" si="11"/>
        <v>0</v>
      </c>
    </row>
    <row r="148" spans="49:49" ht="15">
      <c r="AW148" s="18">
        <f t="shared" si="11"/>
        <v>0</v>
      </c>
    </row>
    <row r="149" spans="49:49" ht="15">
      <c r="AW149" s="18">
        <f t="shared" si="11"/>
        <v>0</v>
      </c>
    </row>
    <row r="150" spans="49:49" ht="15">
      <c r="AW150" s="18">
        <f t="shared" si="11"/>
        <v>0</v>
      </c>
    </row>
    <row r="151" spans="49:49" ht="15">
      <c r="AW151" s="18">
        <f t="shared" si="11"/>
        <v>0</v>
      </c>
    </row>
    <row r="152" spans="49:49" ht="15">
      <c r="AW152" s="18">
        <f t="shared" si="11"/>
        <v>0</v>
      </c>
    </row>
    <row r="153" spans="49:49" ht="15">
      <c r="AW153" s="18">
        <f t="shared" si="11"/>
        <v>0</v>
      </c>
    </row>
    <row r="154" spans="49:49" ht="15">
      <c r="AW154" s="18">
        <f t="shared" si="11"/>
        <v>0</v>
      </c>
    </row>
    <row r="155" spans="49:49" ht="15">
      <c r="AW155" s="18">
        <f t="shared" si="11"/>
        <v>0</v>
      </c>
    </row>
    <row r="156" spans="49:49" ht="15">
      <c r="AW156" s="18">
        <f t="shared" si="11"/>
        <v>0</v>
      </c>
    </row>
    <row r="157" spans="49:49" ht="15">
      <c r="AW157" s="18">
        <f t="shared" si="11"/>
        <v>0</v>
      </c>
    </row>
    <row r="158" spans="49:49" ht="15">
      <c r="AW158" s="18">
        <f t="shared" si="11"/>
        <v>0</v>
      </c>
    </row>
    <row r="159" spans="49:49" ht="15">
      <c r="AW159" s="18">
        <f t="shared" si="11"/>
        <v>0</v>
      </c>
    </row>
    <row r="160" spans="49:49" ht="15">
      <c r="AW160" s="18">
        <f t="shared" si="11"/>
        <v>0</v>
      </c>
    </row>
    <row r="161" spans="49:49" ht="15">
      <c r="AW161" s="18">
        <f t="shared" si="11"/>
        <v>0</v>
      </c>
    </row>
    <row r="162" spans="49:49" ht="15">
      <c r="AW162" s="18">
        <f t="shared" si="11"/>
        <v>0</v>
      </c>
    </row>
    <row r="163" spans="49:49" ht="15">
      <c r="AW163" s="18">
        <f t="shared" si="11"/>
        <v>0</v>
      </c>
    </row>
    <row r="164" spans="49:49" ht="15">
      <c r="AW164" s="18">
        <f t="shared" si="11"/>
        <v>0</v>
      </c>
    </row>
    <row r="165" spans="49:49" ht="15">
      <c r="AW165" s="18">
        <f t="shared" si="11"/>
        <v>0</v>
      </c>
    </row>
    <row r="166" spans="49:49" ht="15">
      <c r="AW166" s="18">
        <f t="shared" si="11"/>
        <v>0</v>
      </c>
    </row>
    <row r="167" spans="49:49" ht="15">
      <c r="AW167" s="18">
        <f t="shared" si="11"/>
        <v>0</v>
      </c>
    </row>
    <row r="168" spans="49:49" ht="15">
      <c r="AW168" s="18">
        <f t="shared" si="11"/>
        <v>0</v>
      </c>
    </row>
    <row r="169" spans="49:49" ht="15">
      <c r="AW169" s="18">
        <f t="shared" si="11"/>
        <v>0</v>
      </c>
    </row>
    <row r="170" spans="49:49" ht="15">
      <c r="AW170" s="18">
        <f t="shared" si="11"/>
        <v>0</v>
      </c>
    </row>
    <row r="171" spans="49:49" ht="15">
      <c r="AW171" s="18">
        <f t="shared" si="11"/>
        <v>0</v>
      </c>
    </row>
    <row r="172" spans="49:49" ht="15">
      <c r="AW172" s="18">
        <f t="shared" si="11"/>
        <v>0</v>
      </c>
    </row>
    <row r="173" spans="49:49" ht="15">
      <c r="AW173" s="18">
        <f t="shared" si="11"/>
        <v>0</v>
      </c>
    </row>
    <row r="174" spans="49:49" ht="15">
      <c r="AW174" s="18">
        <f t="shared" si="11"/>
        <v>0</v>
      </c>
    </row>
    <row r="175" spans="49:49" ht="15">
      <c r="AW175" s="18">
        <f t="shared" si="11"/>
        <v>0</v>
      </c>
    </row>
    <row r="176" spans="49:49" ht="15">
      <c r="AW176" s="18">
        <f t="shared" si="11"/>
        <v>0</v>
      </c>
    </row>
    <row r="177" spans="49:49" ht="15">
      <c r="AW177" s="18">
        <f t="shared" si="11"/>
        <v>0</v>
      </c>
    </row>
    <row r="178" spans="49:49" ht="15">
      <c r="AW178" s="18">
        <f t="shared" si="11"/>
        <v>0</v>
      </c>
    </row>
    <row r="179" spans="49:49" ht="15">
      <c r="AW179" s="18">
        <f t="shared" si="11"/>
        <v>0</v>
      </c>
    </row>
    <row r="180" spans="49:49" ht="15">
      <c r="AW180" s="18">
        <f t="shared" si="11"/>
        <v>0</v>
      </c>
    </row>
    <row r="181" spans="49:49" ht="15">
      <c r="AW181" s="18">
        <f t="shared" si="11"/>
        <v>0</v>
      </c>
    </row>
    <row r="182" spans="49:49" ht="15">
      <c r="AW182" s="18">
        <f t="shared" si="11"/>
        <v>0</v>
      </c>
    </row>
    <row r="183" spans="49:49" ht="15">
      <c r="AW183" s="18">
        <f t="shared" si="11"/>
        <v>0</v>
      </c>
    </row>
    <row r="184" spans="49:49" ht="15">
      <c r="AW184" s="18">
        <f t="shared" ref="AW184:AW247" si="12">LEN(L184)</f>
        <v>0</v>
      </c>
    </row>
    <row r="185" spans="49:49" ht="15">
      <c r="AW185" s="18">
        <f t="shared" si="12"/>
        <v>0</v>
      </c>
    </row>
    <row r="186" spans="49:49" ht="15">
      <c r="AW186" s="18">
        <f t="shared" si="12"/>
        <v>0</v>
      </c>
    </row>
    <row r="187" spans="49:49" ht="15">
      <c r="AW187" s="18">
        <f t="shared" si="12"/>
        <v>0</v>
      </c>
    </row>
    <row r="188" spans="49:49" ht="15">
      <c r="AW188" s="18">
        <f t="shared" si="12"/>
        <v>0</v>
      </c>
    </row>
    <row r="189" spans="49:49" ht="15">
      <c r="AW189" s="18">
        <f t="shared" si="12"/>
        <v>0</v>
      </c>
    </row>
    <row r="190" spans="49:49" ht="15">
      <c r="AW190" s="18">
        <f t="shared" si="12"/>
        <v>0</v>
      </c>
    </row>
    <row r="191" spans="49:49" ht="15">
      <c r="AW191" s="18">
        <f t="shared" si="12"/>
        <v>0</v>
      </c>
    </row>
    <row r="192" spans="49:49" ht="15">
      <c r="AW192" s="18">
        <f t="shared" si="12"/>
        <v>0</v>
      </c>
    </row>
    <row r="193" spans="49:49" ht="15">
      <c r="AW193" s="18">
        <f t="shared" si="12"/>
        <v>0</v>
      </c>
    </row>
    <row r="194" spans="49:49" ht="15">
      <c r="AW194" s="18">
        <f t="shared" si="12"/>
        <v>0</v>
      </c>
    </row>
    <row r="195" spans="49:49" ht="15">
      <c r="AW195" s="18">
        <f t="shared" si="12"/>
        <v>0</v>
      </c>
    </row>
    <row r="196" spans="49:49" ht="15">
      <c r="AW196" s="18">
        <f t="shared" si="12"/>
        <v>0</v>
      </c>
    </row>
    <row r="197" spans="49:49" ht="15">
      <c r="AW197" s="18">
        <f t="shared" si="12"/>
        <v>0</v>
      </c>
    </row>
    <row r="198" spans="49:49" ht="15">
      <c r="AW198" s="18">
        <f t="shared" si="12"/>
        <v>0</v>
      </c>
    </row>
    <row r="199" spans="49:49" ht="15">
      <c r="AW199" s="18">
        <f t="shared" si="12"/>
        <v>0</v>
      </c>
    </row>
    <row r="200" spans="49:49" ht="15">
      <c r="AW200" s="18">
        <f t="shared" si="12"/>
        <v>0</v>
      </c>
    </row>
    <row r="201" spans="49:49" ht="15">
      <c r="AW201" s="18">
        <f t="shared" si="12"/>
        <v>0</v>
      </c>
    </row>
    <row r="202" spans="49:49" ht="15">
      <c r="AW202" s="18">
        <f t="shared" si="12"/>
        <v>0</v>
      </c>
    </row>
    <row r="203" spans="49:49" ht="15">
      <c r="AW203" s="18">
        <f t="shared" si="12"/>
        <v>0</v>
      </c>
    </row>
    <row r="204" spans="49:49" ht="15">
      <c r="AW204" s="18">
        <f t="shared" si="12"/>
        <v>0</v>
      </c>
    </row>
    <row r="205" spans="49:49" ht="15">
      <c r="AW205" s="18">
        <f t="shared" si="12"/>
        <v>0</v>
      </c>
    </row>
    <row r="206" spans="49:49" ht="15">
      <c r="AW206" s="18">
        <f t="shared" si="12"/>
        <v>0</v>
      </c>
    </row>
    <row r="207" spans="49:49" ht="15">
      <c r="AW207" s="18">
        <f t="shared" si="12"/>
        <v>0</v>
      </c>
    </row>
    <row r="208" spans="49:49" ht="15">
      <c r="AW208" s="18">
        <f t="shared" si="12"/>
        <v>0</v>
      </c>
    </row>
    <row r="209" spans="49:49" ht="15">
      <c r="AW209" s="18">
        <f t="shared" si="12"/>
        <v>0</v>
      </c>
    </row>
    <row r="210" spans="49:49" ht="15">
      <c r="AW210" s="18">
        <f t="shared" si="12"/>
        <v>0</v>
      </c>
    </row>
    <row r="211" spans="49:49" ht="15">
      <c r="AW211" s="18">
        <f t="shared" si="12"/>
        <v>0</v>
      </c>
    </row>
    <row r="212" spans="49:49" ht="15">
      <c r="AW212" s="18">
        <f t="shared" si="12"/>
        <v>0</v>
      </c>
    </row>
    <row r="213" spans="49:49" ht="15">
      <c r="AW213" s="18">
        <f t="shared" si="12"/>
        <v>0</v>
      </c>
    </row>
    <row r="214" spans="49:49" ht="15">
      <c r="AW214" s="18">
        <f t="shared" si="12"/>
        <v>0</v>
      </c>
    </row>
    <row r="215" spans="49:49" ht="15">
      <c r="AW215" s="18">
        <f t="shared" si="12"/>
        <v>0</v>
      </c>
    </row>
    <row r="216" spans="49:49" ht="15">
      <c r="AW216" s="18">
        <f t="shared" si="12"/>
        <v>0</v>
      </c>
    </row>
    <row r="217" spans="49:49" ht="15">
      <c r="AW217" s="18">
        <f t="shared" si="12"/>
        <v>0</v>
      </c>
    </row>
    <row r="218" spans="49:49" ht="15">
      <c r="AW218" s="18">
        <f t="shared" si="12"/>
        <v>0</v>
      </c>
    </row>
    <row r="219" spans="49:49" ht="15">
      <c r="AW219" s="18">
        <f t="shared" si="12"/>
        <v>0</v>
      </c>
    </row>
    <row r="220" spans="49:49" ht="15">
      <c r="AW220" s="18">
        <f t="shared" si="12"/>
        <v>0</v>
      </c>
    </row>
    <row r="221" spans="49:49" ht="15">
      <c r="AW221" s="18">
        <f t="shared" si="12"/>
        <v>0</v>
      </c>
    </row>
    <row r="222" spans="49:49" ht="15">
      <c r="AW222" s="18">
        <f t="shared" si="12"/>
        <v>0</v>
      </c>
    </row>
    <row r="223" spans="49:49" ht="15">
      <c r="AW223" s="18">
        <f t="shared" si="12"/>
        <v>0</v>
      </c>
    </row>
    <row r="224" spans="49:49" ht="15">
      <c r="AW224" s="18">
        <f t="shared" si="12"/>
        <v>0</v>
      </c>
    </row>
    <row r="225" spans="49:49" ht="15">
      <c r="AW225" s="18">
        <f t="shared" si="12"/>
        <v>0</v>
      </c>
    </row>
    <row r="226" spans="49:49" ht="15">
      <c r="AW226" s="18">
        <f t="shared" si="12"/>
        <v>0</v>
      </c>
    </row>
    <row r="227" spans="49:49" ht="15">
      <c r="AW227" s="18">
        <f t="shared" si="12"/>
        <v>0</v>
      </c>
    </row>
    <row r="228" spans="49:49" ht="15">
      <c r="AW228" s="18">
        <f t="shared" si="12"/>
        <v>0</v>
      </c>
    </row>
    <row r="229" spans="49:49" ht="15">
      <c r="AW229" s="18">
        <f t="shared" si="12"/>
        <v>0</v>
      </c>
    </row>
    <row r="230" spans="49:49" ht="15">
      <c r="AW230" s="18">
        <f t="shared" si="12"/>
        <v>0</v>
      </c>
    </row>
    <row r="231" spans="49:49" ht="15">
      <c r="AW231" s="18">
        <f t="shared" si="12"/>
        <v>0</v>
      </c>
    </row>
    <row r="232" spans="49:49" ht="15">
      <c r="AW232" s="18">
        <f t="shared" si="12"/>
        <v>0</v>
      </c>
    </row>
    <row r="233" spans="49:49" ht="15">
      <c r="AW233" s="18">
        <f t="shared" si="12"/>
        <v>0</v>
      </c>
    </row>
    <row r="234" spans="49:49" ht="15">
      <c r="AW234" s="18">
        <f t="shared" si="12"/>
        <v>0</v>
      </c>
    </row>
    <row r="235" spans="49:49" ht="15">
      <c r="AW235" s="18">
        <f t="shared" si="12"/>
        <v>0</v>
      </c>
    </row>
    <row r="236" spans="49:49" ht="15">
      <c r="AW236" s="18">
        <f t="shared" si="12"/>
        <v>0</v>
      </c>
    </row>
    <row r="237" spans="49:49" ht="15">
      <c r="AW237" s="18">
        <f t="shared" si="12"/>
        <v>0</v>
      </c>
    </row>
    <row r="238" spans="49:49" ht="15">
      <c r="AW238" s="18">
        <f t="shared" si="12"/>
        <v>0</v>
      </c>
    </row>
    <row r="239" spans="49:49" ht="15">
      <c r="AW239" s="18">
        <f t="shared" si="12"/>
        <v>0</v>
      </c>
    </row>
    <row r="240" spans="49:49" ht="15">
      <c r="AW240" s="18">
        <f t="shared" si="12"/>
        <v>0</v>
      </c>
    </row>
    <row r="241" spans="49:49" ht="15">
      <c r="AW241" s="18">
        <f t="shared" si="12"/>
        <v>0</v>
      </c>
    </row>
    <row r="242" spans="49:49" ht="15">
      <c r="AW242" s="18">
        <f t="shared" si="12"/>
        <v>0</v>
      </c>
    </row>
    <row r="243" spans="49:49" ht="15">
      <c r="AW243" s="18">
        <f t="shared" si="12"/>
        <v>0</v>
      </c>
    </row>
    <row r="244" spans="49:49" ht="15">
      <c r="AW244" s="18">
        <f t="shared" si="12"/>
        <v>0</v>
      </c>
    </row>
    <row r="245" spans="49:49" ht="15">
      <c r="AW245" s="18">
        <f t="shared" si="12"/>
        <v>0</v>
      </c>
    </row>
    <row r="246" spans="49:49" ht="15">
      <c r="AW246" s="18">
        <f t="shared" si="12"/>
        <v>0</v>
      </c>
    </row>
    <row r="247" spans="49:49" ht="15">
      <c r="AW247" s="18">
        <f t="shared" si="12"/>
        <v>0</v>
      </c>
    </row>
    <row r="248" spans="49:49" ht="15">
      <c r="AW248" s="18">
        <f t="shared" ref="AW248:AW311" si="13">LEN(L248)</f>
        <v>0</v>
      </c>
    </row>
    <row r="249" spans="49:49" ht="15">
      <c r="AW249" s="18">
        <f t="shared" si="13"/>
        <v>0</v>
      </c>
    </row>
    <row r="250" spans="49:49" ht="15">
      <c r="AW250" s="18">
        <f t="shared" si="13"/>
        <v>0</v>
      </c>
    </row>
    <row r="251" spans="49:49" ht="15">
      <c r="AW251" s="18">
        <f t="shared" si="13"/>
        <v>0</v>
      </c>
    </row>
    <row r="252" spans="49:49" ht="15">
      <c r="AW252" s="18">
        <f t="shared" si="13"/>
        <v>0</v>
      </c>
    </row>
    <row r="253" spans="49:49" ht="15">
      <c r="AW253" s="18">
        <f t="shared" si="13"/>
        <v>0</v>
      </c>
    </row>
    <row r="254" spans="49:49" ht="15">
      <c r="AW254" s="18">
        <f t="shared" si="13"/>
        <v>0</v>
      </c>
    </row>
    <row r="255" spans="49:49" ht="15">
      <c r="AW255" s="18">
        <f t="shared" si="13"/>
        <v>0</v>
      </c>
    </row>
    <row r="256" spans="49:49" ht="15">
      <c r="AW256" s="18">
        <f t="shared" si="13"/>
        <v>0</v>
      </c>
    </row>
    <row r="257" spans="49:49" ht="15">
      <c r="AW257" s="18">
        <f t="shared" si="13"/>
        <v>0</v>
      </c>
    </row>
    <row r="258" spans="49:49" ht="15">
      <c r="AW258" s="18">
        <f t="shared" si="13"/>
        <v>0</v>
      </c>
    </row>
    <row r="259" spans="49:49" ht="15">
      <c r="AW259" s="18">
        <f t="shared" si="13"/>
        <v>0</v>
      </c>
    </row>
    <row r="260" spans="49:49" ht="15">
      <c r="AW260" s="18">
        <f t="shared" si="13"/>
        <v>0</v>
      </c>
    </row>
    <row r="261" spans="49:49" ht="15">
      <c r="AW261" s="18">
        <f t="shared" si="13"/>
        <v>0</v>
      </c>
    </row>
    <row r="262" spans="49:49" ht="15">
      <c r="AW262" s="18">
        <f t="shared" si="13"/>
        <v>0</v>
      </c>
    </row>
    <row r="263" spans="49:49" ht="15">
      <c r="AW263" s="18">
        <f t="shared" si="13"/>
        <v>0</v>
      </c>
    </row>
    <row r="264" spans="49:49" ht="15">
      <c r="AW264" s="18">
        <f t="shared" si="13"/>
        <v>0</v>
      </c>
    </row>
    <row r="265" spans="49:49" ht="15">
      <c r="AW265" s="18">
        <f t="shared" si="13"/>
        <v>0</v>
      </c>
    </row>
    <row r="266" spans="49:49" ht="15">
      <c r="AW266" s="18">
        <f t="shared" si="13"/>
        <v>0</v>
      </c>
    </row>
    <row r="267" spans="49:49" ht="15">
      <c r="AW267" s="18">
        <f t="shared" si="13"/>
        <v>0</v>
      </c>
    </row>
    <row r="268" spans="49:49" ht="15">
      <c r="AW268" s="18">
        <f t="shared" si="13"/>
        <v>0</v>
      </c>
    </row>
    <row r="269" spans="49:49" ht="15">
      <c r="AW269" s="18">
        <f t="shared" si="13"/>
        <v>0</v>
      </c>
    </row>
    <row r="270" spans="49:49" ht="15">
      <c r="AW270" s="18">
        <f t="shared" si="13"/>
        <v>0</v>
      </c>
    </row>
    <row r="271" spans="49:49" ht="15">
      <c r="AW271" s="18">
        <f t="shared" si="13"/>
        <v>0</v>
      </c>
    </row>
    <row r="272" spans="49:49" ht="15">
      <c r="AW272" s="18">
        <f t="shared" si="13"/>
        <v>0</v>
      </c>
    </row>
    <row r="273" spans="49:49" ht="15">
      <c r="AW273" s="18">
        <f t="shared" si="13"/>
        <v>0</v>
      </c>
    </row>
    <row r="274" spans="49:49" ht="15">
      <c r="AW274" s="18">
        <f t="shared" si="13"/>
        <v>0</v>
      </c>
    </row>
    <row r="275" spans="49:49" ht="15">
      <c r="AW275" s="18">
        <f t="shared" si="13"/>
        <v>0</v>
      </c>
    </row>
    <row r="276" spans="49:49" ht="15">
      <c r="AW276" s="18">
        <f t="shared" si="13"/>
        <v>0</v>
      </c>
    </row>
    <row r="277" spans="49:49" ht="15">
      <c r="AW277" s="18">
        <f t="shared" si="13"/>
        <v>0</v>
      </c>
    </row>
    <row r="278" spans="49:49" ht="15">
      <c r="AW278" s="18">
        <f t="shared" si="13"/>
        <v>0</v>
      </c>
    </row>
    <row r="279" spans="49:49" ht="15">
      <c r="AW279" s="18">
        <f t="shared" si="13"/>
        <v>0</v>
      </c>
    </row>
    <row r="280" spans="49:49" ht="15">
      <c r="AW280" s="18">
        <f t="shared" si="13"/>
        <v>0</v>
      </c>
    </row>
    <row r="281" spans="49:49" ht="15">
      <c r="AW281" s="18">
        <f t="shared" si="13"/>
        <v>0</v>
      </c>
    </row>
    <row r="282" spans="49:49" ht="15">
      <c r="AW282" s="18">
        <f t="shared" si="13"/>
        <v>0</v>
      </c>
    </row>
    <row r="283" spans="49:49" ht="15">
      <c r="AW283" s="18">
        <f t="shared" si="13"/>
        <v>0</v>
      </c>
    </row>
    <row r="284" spans="49:49" ht="15">
      <c r="AW284" s="18">
        <f t="shared" si="13"/>
        <v>0</v>
      </c>
    </row>
    <row r="285" spans="49:49" ht="15">
      <c r="AW285" s="18">
        <f t="shared" si="13"/>
        <v>0</v>
      </c>
    </row>
    <row r="286" spans="49:49" ht="15">
      <c r="AW286" s="18">
        <f t="shared" si="13"/>
        <v>0</v>
      </c>
    </row>
    <row r="287" spans="49:49" ht="15">
      <c r="AW287" s="18">
        <f t="shared" si="13"/>
        <v>0</v>
      </c>
    </row>
    <row r="288" spans="49:49" ht="15">
      <c r="AW288" s="18">
        <f t="shared" si="13"/>
        <v>0</v>
      </c>
    </row>
    <row r="289" spans="49:49" ht="15">
      <c r="AW289" s="18">
        <f t="shared" si="13"/>
        <v>0</v>
      </c>
    </row>
    <row r="290" spans="49:49" ht="15">
      <c r="AW290" s="18">
        <f t="shared" si="13"/>
        <v>0</v>
      </c>
    </row>
    <row r="291" spans="49:49" ht="15">
      <c r="AW291" s="18">
        <f t="shared" si="13"/>
        <v>0</v>
      </c>
    </row>
    <row r="292" spans="49:49" ht="15">
      <c r="AW292" s="18">
        <f t="shared" si="13"/>
        <v>0</v>
      </c>
    </row>
    <row r="293" spans="49:49" ht="15">
      <c r="AW293" s="18">
        <f t="shared" si="13"/>
        <v>0</v>
      </c>
    </row>
    <row r="294" spans="49:49" ht="15">
      <c r="AW294" s="18">
        <f t="shared" si="13"/>
        <v>0</v>
      </c>
    </row>
    <row r="295" spans="49:49" ht="15">
      <c r="AW295" s="18">
        <f t="shared" si="13"/>
        <v>0</v>
      </c>
    </row>
    <row r="296" spans="49:49" ht="15">
      <c r="AW296" s="18">
        <f t="shared" si="13"/>
        <v>0</v>
      </c>
    </row>
    <row r="297" spans="49:49" ht="15">
      <c r="AW297" s="18">
        <f t="shared" si="13"/>
        <v>0</v>
      </c>
    </row>
    <row r="298" spans="49:49" ht="15">
      <c r="AW298" s="18">
        <f t="shared" si="13"/>
        <v>0</v>
      </c>
    </row>
    <row r="299" spans="49:49" ht="15">
      <c r="AW299" s="18">
        <f t="shared" si="13"/>
        <v>0</v>
      </c>
    </row>
    <row r="300" spans="49:49" ht="15">
      <c r="AW300" s="18">
        <f t="shared" si="13"/>
        <v>0</v>
      </c>
    </row>
    <row r="301" spans="49:49" ht="15">
      <c r="AW301" s="18">
        <f t="shared" si="13"/>
        <v>0</v>
      </c>
    </row>
    <row r="302" spans="49:49" ht="15">
      <c r="AW302" s="18">
        <f t="shared" si="13"/>
        <v>0</v>
      </c>
    </row>
    <row r="303" spans="49:49" ht="15">
      <c r="AW303" s="18">
        <f t="shared" si="13"/>
        <v>0</v>
      </c>
    </row>
    <row r="304" spans="49:49" ht="15">
      <c r="AW304" s="18">
        <f t="shared" si="13"/>
        <v>0</v>
      </c>
    </row>
    <row r="305" spans="49:49" ht="15">
      <c r="AW305" s="18">
        <f t="shared" si="13"/>
        <v>0</v>
      </c>
    </row>
    <row r="306" spans="49:49" ht="15">
      <c r="AW306" s="18">
        <f t="shared" si="13"/>
        <v>0</v>
      </c>
    </row>
    <row r="307" spans="49:49" ht="15">
      <c r="AW307" s="18">
        <f t="shared" si="13"/>
        <v>0</v>
      </c>
    </row>
    <row r="308" spans="49:49" ht="15">
      <c r="AW308" s="18">
        <f t="shared" si="13"/>
        <v>0</v>
      </c>
    </row>
    <row r="309" spans="49:49" ht="15">
      <c r="AW309" s="18">
        <f t="shared" si="13"/>
        <v>0</v>
      </c>
    </row>
    <row r="310" spans="49:49" ht="15">
      <c r="AW310" s="18">
        <f t="shared" si="13"/>
        <v>0</v>
      </c>
    </row>
    <row r="311" spans="49:49" ht="15">
      <c r="AW311" s="18">
        <f t="shared" si="13"/>
        <v>0</v>
      </c>
    </row>
    <row r="312" spans="49:49" ht="15">
      <c r="AW312" s="18">
        <f t="shared" ref="AW312:AW375" si="14">LEN(L312)</f>
        <v>0</v>
      </c>
    </row>
    <row r="313" spans="49:49" ht="15">
      <c r="AW313" s="18">
        <f t="shared" si="14"/>
        <v>0</v>
      </c>
    </row>
    <row r="314" spans="49:49" ht="15">
      <c r="AW314" s="18">
        <f t="shared" si="14"/>
        <v>0</v>
      </c>
    </row>
    <row r="315" spans="49:49" ht="15">
      <c r="AW315" s="18">
        <f t="shared" si="14"/>
        <v>0</v>
      </c>
    </row>
    <row r="316" spans="49:49" ht="15">
      <c r="AW316" s="18">
        <f t="shared" si="14"/>
        <v>0</v>
      </c>
    </row>
    <row r="317" spans="49:49" ht="15">
      <c r="AW317" s="18">
        <f t="shared" si="14"/>
        <v>0</v>
      </c>
    </row>
    <row r="318" spans="49:49" ht="15">
      <c r="AW318" s="18">
        <f t="shared" si="14"/>
        <v>0</v>
      </c>
    </row>
    <row r="319" spans="49:49" ht="15">
      <c r="AW319" s="18">
        <f t="shared" si="14"/>
        <v>0</v>
      </c>
    </row>
    <row r="320" spans="49:49" ht="15">
      <c r="AW320" s="18">
        <f t="shared" si="14"/>
        <v>0</v>
      </c>
    </row>
    <row r="321" spans="49:49" ht="15">
      <c r="AW321" s="18">
        <f t="shared" si="14"/>
        <v>0</v>
      </c>
    </row>
    <row r="322" spans="49:49" ht="15">
      <c r="AW322" s="18">
        <f t="shared" si="14"/>
        <v>0</v>
      </c>
    </row>
    <row r="323" spans="49:49" ht="15">
      <c r="AW323" s="18">
        <f t="shared" si="14"/>
        <v>0</v>
      </c>
    </row>
    <row r="324" spans="49:49" ht="15">
      <c r="AW324" s="18">
        <f t="shared" si="14"/>
        <v>0</v>
      </c>
    </row>
    <row r="325" spans="49:49" ht="15">
      <c r="AW325" s="18">
        <f t="shared" si="14"/>
        <v>0</v>
      </c>
    </row>
    <row r="326" spans="49:49" ht="15">
      <c r="AW326" s="18">
        <f t="shared" si="14"/>
        <v>0</v>
      </c>
    </row>
    <row r="327" spans="49:49" ht="15">
      <c r="AW327" s="18">
        <f t="shared" si="14"/>
        <v>0</v>
      </c>
    </row>
    <row r="328" spans="49:49" ht="15">
      <c r="AW328" s="18">
        <f t="shared" si="14"/>
        <v>0</v>
      </c>
    </row>
    <row r="329" spans="49:49" ht="15">
      <c r="AW329" s="18">
        <f t="shared" si="14"/>
        <v>0</v>
      </c>
    </row>
    <row r="330" spans="49:49" ht="15">
      <c r="AW330" s="18">
        <f t="shared" si="14"/>
        <v>0</v>
      </c>
    </row>
    <row r="331" spans="49:49" ht="15">
      <c r="AW331" s="18">
        <f t="shared" si="14"/>
        <v>0</v>
      </c>
    </row>
    <row r="332" spans="49:49" ht="15">
      <c r="AW332" s="18">
        <f t="shared" si="14"/>
        <v>0</v>
      </c>
    </row>
    <row r="333" spans="49:49" ht="15">
      <c r="AW333" s="18">
        <f t="shared" si="14"/>
        <v>0</v>
      </c>
    </row>
    <row r="334" spans="49:49" ht="15">
      <c r="AW334" s="18">
        <f t="shared" si="14"/>
        <v>0</v>
      </c>
    </row>
    <row r="335" spans="49:49" ht="15">
      <c r="AW335" s="18">
        <f t="shared" si="14"/>
        <v>0</v>
      </c>
    </row>
    <row r="336" spans="49:49" ht="15">
      <c r="AW336" s="18">
        <f t="shared" si="14"/>
        <v>0</v>
      </c>
    </row>
    <row r="337" spans="49:49" ht="15">
      <c r="AW337" s="18">
        <f t="shared" si="14"/>
        <v>0</v>
      </c>
    </row>
    <row r="338" spans="49:49" ht="15">
      <c r="AW338" s="18">
        <f t="shared" si="14"/>
        <v>0</v>
      </c>
    </row>
    <row r="339" spans="49:49" ht="15">
      <c r="AW339" s="18">
        <f t="shared" si="14"/>
        <v>0</v>
      </c>
    </row>
    <row r="340" spans="49:49" ht="15">
      <c r="AW340" s="18">
        <f t="shared" si="14"/>
        <v>0</v>
      </c>
    </row>
    <row r="341" spans="49:49" ht="15">
      <c r="AW341" s="18">
        <f t="shared" si="14"/>
        <v>0</v>
      </c>
    </row>
    <row r="342" spans="49:49" ht="15">
      <c r="AW342" s="18">
        <f t="shared" si="14"/>
        <v>0</v>
      </c>
    </row>
    <row r="343" spans="49:49" ht="15">
      <c r="AW343" s="18">
        <f t="shared" si="14"/>
        <v>0</v>
      </c>
    </row>
    <row r="344" spans="49:49" ht="15">
      <c r="AW344" s="18">
        <f t="shared" si="14"/>
        <v>0</v>
      </c>
    </row>
    <row r="345" spans="49:49" ht="15">
      <c r="AW345" s="18">
        <f t="shared" si="14"/>
        <v>0</v>
      </c>
    </row>
    <row r="346" spans="49:49" ht="15">
      <c r="AW346" s="18">
        <f t="shared" si="14"/>
        <v>0</v>
      </c>
    </row>
    <row r="347" spans="49:49" ht="15">
      <c r="AW347" s="18">
        <f t="shared" si="14"/>
        <v>0</v>
      </c>
    </row>
    <row r="348" spans="49:49" ht="15">
      <c r="AW348" s="18">
        <f t="shared" si="14"/>
        <v>0</v>
      </c>
    </row>
    <row r="349" spans="49:49" ht="15">
      <c r="AW349" s="18">
        <f t="shared" si="14"/>
        <v>0</v>
      </c>
    </row>
    <row r="350" spans="49:49" ht="15">
      <c r="AW350" s="18">
        <f t="shared" si="14"/>
        <v>0</v>
      </c>
    </row>
    <row r="351" spans="49:49" ht="15">
      <c r="AW351" s="18">
        <f t="shared" si="14"/>
        <v>0</v>
      </c>
    </row>
    <row r="352" spans="49:49" ht="15">
      <c r="AW352" s="18">
        <f t="shared" si="14"/>
        <v>0</v>
      </c>
    </row>
    <row r="353" spans="49:49" ht="15">
      <c r="AW353" s="18">
        <f t="shared" si="14"/>
        <v>0</v>
      </c>
    </row>
    <row r="354" spans="49:49" ht="15">
      <c r="AW354" s="18">
        <f t="shared" si="14"/>
        <v>0</v>
      </c>
    </row>
    <row r="355" spans="49:49" ht="15">
      <c r="AW355" s="18">
        <f t="shared" si="14"/>
        <v>0</v>
      </c>
    </row>
    <row r="356" spans="49:49" ht="15">
      <c r="AW356" s="18">
        <f t="shared" si="14"/>
        <v>0</v>
      </c>
    </row>
    <row r="357" spans="49:49" ht="15">
      <c r="AW357" s="18">
        <f t="shared" si="14"/>
        <v>0</v>
      </c>
    </row>
    <row r="358" spans="49:49" ht="15">
      <c r="AW358" s="18">
        <f t="shared" si="14"/>
        <v>0</v>
      </c>
    </row>
    <row r="359" spans="49:49" ht="15">
      <c r="AW359" s="18">
        <f t="shared" si="14"/>
        <v>0</v>
      </c>
    </row>
    <row r="360" spans="49:49" ht="15">
      <c r="AW360" s="18">
        <f t="shared" si="14"/>
        <v>0</v>
      </c>
    </row>
    <row r="361" spans="49:49" ht="15">
      <c r="AW361" s="18">
        <f t="shared" si="14"/>
        <v>0</v>
      </c>
    </row>
    <row r="362" spans="49:49" ht="15">
      <c r="AW362" s="18">
        <f t="shared" si="14"/>
        <v>0</v>
      </c>
    </row>
    <row r="363" spans="49:49" ht="15">
      <c r="AW363" s="18">
        <f t="shared" si="14"/>
        <v>0</v>
      </c>
    </row>
    <row r="364" spans="49:49" ht="15">
      <c r="AW364" s="18">
        <f t="shared" si="14"/>
        <v>0</v>
      </c>
    </row>
    <row r="365" spans="49:49" ht="15">
      <c r="AW365" s="18">
        <f t="shared" si="14"/>
        <v>0</v>
      </c>
    </row>
    <row r="366" spans="49:49" ht="15">
      <c r="AW366" s="18">
        <f t="shared" si="14"/>
        <v>0</v>
      </c>
    </row>
    <row r="367" spans="49:49" ht="15">
      <c r="AW367" s="18">
        <f t="shared" si="14"/>
        <v>0</v>
      </c>
    </row>
    <row r="368" spans="49:49" ht="15">
      <c r="AW368" s="18">
        <f t="shared" si="14"/>
        <v>0</v>
      </c>
    </row>
    <row r="369" spans="49:49" ht="15">
      <c r="AW369" s="18">
        <f t="shared" si="14"/>
        <v>0</v>
      </c>
    </row>
    <row r="370" spans="49:49" ht="15">
      <c r="AW370" s="18">
        <f t="shared" si="14"/>
        <v>0</v>
      </c>
    </row>
    <row r="371" spans="49:49" ht="15">
      <c r="AW371" s="18">
        <f t="shared" si="14"/>
        <v>0</v>
      </c>
    </row>
    <row r="372" spans="49:49" ht="15">
      <c r="AW372" s="18">
        <f t="shared" si="14"/>
        <v>0</v>
      </c>
    </row>
    <row r="373" spans="49:49" ht="15">
      <c r="AW373" s="18">
        <f t="shared" si="14"/>
        <v>0</v>
      </c>
    </row>
    <row r="374" spans="49:49" ht="15">
      <c r="AW374" s="18">
        <f t="shared" si="14"/>
        <v>0</v>
      </c>
    </row>
    <row r="375" spans="49:49" ht="15">
      <c r="AW375" s="18">
        <f t="shared" si="14"/>
        <v>0</v>
      </c>
    </row>
    <row r="376" spans="49:49" ht="15">
      <c r="AW376" s="18">
        <f t="shared" ref="AW376:AW439" si="15">LEN(L376)</f>
        <v>0</v>
      </c>
    </row>
    <row r="377" spans="49:49" ht="15">
      <c r="AW377" s="18">
        <f t="shared" si="15"/>
        <v>0</v>
      </c>
    </row>
    <row r="378" spans="49:49" ht="15">
      <c r="AW378" s="18">
        <f t="shared" si="15"/>
        <v>0</v>
      </c>
    </row>
    <row r="379" spans="49:49" ht="15">
      <c r="AW379" s="18">
        <f t="shared" si="15"/>
        <v>0</v>
      </c>
    </row>
    <row r="380" spans="49:49" ht="15">
      <c r="AW380" s="18">
        <f t="shared" si="15"/>
        <v>0</v>
      </c>
    </row>
    <row r="381" spans="49:49" ht="15">
      <c r="AW381" s="18">
        <f t="shared" si="15"/>
        <v>0</v>
      </c>
    </row>
    <row r="382" spans="49:49" ht="15">
      <c r="AW382" s="18">
        <f t="shared" si="15"/>
        <v>0</v>
      </c>
    </row>
    <row r="383" spans="49:49" ht="15">
      <c r="AW383" s="18">
        <f t="shared" si="15"/>
        <v>0</v>
      </c>
    </row>
    <row r="384" spans="49:49" ht="15">
      <c r="AW384" s="18">
        <f t="shared" si="15"/>
        <v>0</v>
      </c>
    </row>
    <row r="385" spans="49:49" ht="15">
      <c r="AW385" s="18">
        <f t="shared" si="15"/>
        <v>0</v>
      </c>
    </row>
    <row r="386" spans="49:49" ht="15">
      <c r="AW386" s="18">
        <f t="shared" si="15"/>
        <v>0</v>
      </c>
    </row>
    <row r="387" spans="49:49" ht="15">
      <c r="AW387" s="18">
        <f t="shared" si="15"/>
        <v>0</v>
      </c>
    </row>
    <row r="388" spans="49:49" ht="15">
      <c r="AW388" s="18">
        <f t="shared" si="15"/>
        <v>0</v>
      </c>
    </row>
    <row r="389" spans="49:49" ht="15">
      <c r="AW389" s="18">
        <f t="shared" si="15"/>
        <v>0</v>
      </c>
    </row>
    <row r="390" spans="49:49" ht="15">
      <c r="AW390" s="18">
        <f t="shared" si="15"/>
        <v>0</v>
      </c>
    </row>
    <row r="391" spans="49:49" ht="15">
      <c r="AW391" s="18">
        <f t="shared" si="15"/>
        <v>0</v>
      </c>
    </row>
    <row r="392" spans="49:49" ht="15">
      <c r="AW392" s="18">
        <f t="shared" si="15"/>
        <v>0</v>
      </c>
    </row>
    <row r="393" spans="49:49" ht="15">
      <c r="AW393" s="18">
        <f t="shared" si="15"/>
        <v>0</v>
      </c>
    </row>
    <row r="394" spans="49:49" ht="15">
      <c r="AW394" s="18">
        <f t="shared" si="15"/>
        <v>0</v>
      </c>
    </row>
    <row r="395" spans="49:49" ht="15">
      <c r="AW395" s="18">
        <f t="shared" si="15"/>
        <v>0</v>
      </c>
    </row>
    <row r="396" spans="49:49" ht="15">
      <c r="AW396" s="18">
        <f t="shared" si="15"/>
        <v>0</v>
      </c>
    </row>
    <row r="397" spans="49:49" ht="15">
      <c r="AW397" s="18">
        <f t="shared" si="15"/>
        <v>0</v>
      </c>
    </row>
    <row r="398" spans="49:49" ht="15">
      <c r="AW398" s="18">
        <f t="shared" si="15"/>
        <v>0</v>
      </c>
    </row>
    <row r="399" spans="49:49" ht="15">
      <c r="AW399" s="18">
        <f t="shared" si="15"/>
        <v>0</v>
      </c>
    </row>
    <row r="400" spans="49:49" ht="15">
      <c r="AW400" s="18">
        <f t="shared" si="15"/>
        <v>0</v>
      </c>
    </row>
    <row r="401" spans="49:49" ht="15">
      <c r="AW401" s="18">
        <f t="shared" si="15"/>
        <v>0</v>
      </c>
    </row>
    <row r="402" spans="49:49" ht="15">
      <c r="AW402" s="18">
        <f t="shared" si="15"/>
        <v>0</v>
      </c>
    </row>
    <row r="403" spans="49:49" ht="15">
      <c r="AW403" s="18">
        <f t="shared" si="15"/>
        <v>0</v>
      </c>
    </row>
    <row r="404" spans="49:49" ht="15">
      <c r="AW404" s="18">
        <f t="shared" si="15"/>
        <v>0</v>
      </c>
    </row>
    <row r="405" spans="49:49" ht="15">
      <c r="AW405" s="18">
        <f t="shared" si="15"/>
        <v>0</v>
      </c>
    </row>
    <row r="406" spans="49:49" ht="15">
      <c r="AW406" s="18">
        <f t="shared" si="15"/>
        <v>0</v>
      </c>
    </row>
    <row r="407" spans="49:49" ht="15">
      <c r="AW407" s="18">
        <f t="shared" si="15"/>
        <v>0</v>
      </c>
    </row>
    <row r="408" spans="49:49" ht="15">
      <c r="AW408" s="18">
        <f t="shared" si="15"/>
        <v>0</v>
      </c>
    </row>
    <row r="409" spans="49:49" ht="15">
      <c r="AW409" s="18">
        <f t="shared" si="15"/>
        <v>0</v>
      </c>
    </row>
    <row r="410" spans="49:49" ht="15">
      <c r="AW410" s="18">
        <f t="shared" si="15"/>
        <v>0</v>
      </c>
    </row>
    <row r="411" spans="49:49" ht="15">
      <c r="AW411" s="18">
        <f t="shared" si="15"/>
        <v>0</v>
      </c>
    </row>
    <row r="412" spans="49:49" ht="15">
      <c r="AW412" s="18">
        <f t="shared" si="15"/>
        <v>0</v>
      </c>
    </row>
    <row r="413" spans="49:49" ht="15">
      <c r="AW413" s="18">
        <f t="shared" si="15"/>
        <v>0</v>
      </c>
    </row>
    <row r="414" spans="49:49" ht="15">
      <c r="AW414" s="18">
        <f t="shared" si="15"/>
        <v>0</v>
      </c>
    </row>
    <row r="415" spans="49:49" ht="15">
      <c r="AW415" s="18">
        <f t="shared" si="15"/>
        <v>0</v>
      </c>
    </row>
    <row r="416" spans="49:49" ht="15">
      <c r="AW416" s="18">
        <f t="shared" si="15"/>
        <v>0</v>
      </c>
    </row>
    <row r="417" spans="49:49" ht="15">
      <c r="AW417" s="18">
        <f t="shared" si="15"/>
        <v>0</v>
      </c>
    </row>
    <row r="418" spans="49:49" ht="15">
      <c r="AW418" s="18">
        <f t="shared" si="15"/>
        <v>0</v>
      </c>
    </row>
    <row r="419" spans="49:49" ht="15">
      <c r="AW419" s="18">
        <f t="shared" si="15"/>
        <v>0</v>
      </c>
    </row>
    <row r="420" spans="49:49" ht="15">
      <c r="AW420" s="18">
        <f t="shared" si="15"/>
        <v>0</v>
      </c>
    </row>
    <row r="421" spans="49:49" ht="15">
      <c r="AW421" s="18">
        <f t="shared" si="15"/>
        <v>0</v>
      </c>
    </row>
    <row r="422" spans="49:49" ht="15">
      <c r="AW422" s="18">
        <f t="shared" si="15"/>
        <v>0</v>
      </c>
    </row>
    <row r="423" spans="49:49" ht="15">
      <c r="AW423" s="18">
        <f t="shared" si="15"/>
        <v>0</v>
      </c>
    </row>
    <row r="424" spans="49:49" ht="15">
      <c r="AW424" s="18">
        <f t="shared" si="15"/>
        <v>0</v>
      </c>
    </row>
    <row r="425" spans="49:49" ht="15">
      <c r="AW425" s="18">
        <f t="shared" si="15"/>
        <v>0</v>
      </c>
    </row>
    <row r="426" spans="49:49" ht="15">
      <c r="AW426" s="18">
        <f t="shared" si="15"/>
        <v>0</v>
      </c>
    </row>
    <row r="427" spans="49:49" ht="15">
      <c r="AW427" s="18">
        <f t="shared" si="15"/>
        <v>0</v>
      </c>
    </row>
    <row r="428" spans="49:49" ht="15">
      <c r="AW428" s="18">
        <f t="shared" si="15"/>
        <v>0</v>
      </c>
    </row>
    <row r="429" spans="49:49" ht="15">
      <c r="AW429" s="18">
        <f t="shared" si="15"/>
        <v>0</v>
      </c>
    </row>
    <row r="430" spans="49:49" ht="15">
      <c r="AW430" s="18">
        <f t="shared" si="15"/>
        <v>0</v>
      </c>
    </row>
    <row r="431" spans="49:49" ht="15">
      <c r="AW431" s="18">
        <f t="shared" si="15"/>
        <v>0</v>
      </c>
    </row>
    <row r="432" spans="49:49" ht="15">
      <c r="AW432" s="18">
        <f t="shared" si="15"/>
        <v>0</v>
      </c>
    </row>
    <row r="433" spans="49:49" ht="15">
      <c r="AW433" s="18">
        <f t="shared" si="15"/>
        <v>0</v>
      </c>
    </row>
    <row r="434" spans="49:49" ht="15">
      <c r="AW434" s="18">
        <f t="shared" si="15"/>
        <v>0</v>
      </c>
    </row>
    <row r="435" spans="49:49" ht="15">
      <c r="AW435" s="18">
        <f t="shared" si="15"/>
        <v>0</v>
      </c>
    </row>
    <row r="436" spans="49:49" ht="15">
      <c r="AW436" s="18">
        <f t="shared" si="15"/>
        <v>0</v>
      </c>
    </row>
    <row r="437" spans="49:49" ht="15">
      <c r="AW437" s="18">
        <f t="shared" si="15"/>
        <v>0</v>
      </c>
    </row>
    <row r="438" spans="49:49" ht="15">
      <c r="AW438" s="18">
        <f t="shared" si="15"/>
        <v>0</v>
      </c>
    </row>
    <row r="439" spans="49:49" ht="15">
      <c r="AW439" s="18">
        <f t="shared" si="15"/>
        <v>0</v>
      </c>
    </row>
    <row r="440" spans="49:49" ht="15">
      <c r="AW440" s="18">
        <f t="shared" ref="AW440:AW494" si="16">LEN(L440)</f>
        <v>0</v>
      </c>
    </row>
    <row r="441" spans="49:49" ht="15">
      <c r="AW441" s="18">
        <f t="shared" si="16"/>
        <v>0</v>
      </c>
    </row>
    <row r="442" spans="49:49" ht="15">
      <c r="AW442" s="18">
        <f t="shared" si="16"/>
        <v>0</v>
      </c>
    </row>
    <row r="443" spans="49:49" ht="15">
      <c r="AW443" s="18">
        <f t="shared" si="16"/>
        <v>0</v>
      </c>
    </row>
    <row r="444" spans="49:49" ht="15">
      <c r="AW444" s="18">
        <f t="shared" si="16"/>
        <v>0</v>
      </c>
    </row>
    <row r="445" spans="49:49" ht="15">
      <c r="AW445" s="18">
        <f t="shared" si="16"/>
        <v>0</v>
      </c>
    </row>
    <row r="446" spans="49:49" ht="15">
      <c r="AW446" s="18">
        <f t="shared" si="16"/>
        <v>0</v>
      </c>
    </row>
    <row r="447" spans="49:49" ht="15">
      <c r="AW447" s="18">
        <f t="shared" si="16"/>
        <v>0</v>
      </c>
    </row>
    <row r="448" spans="49:49" ht="15">
      <c r="AW448" s="18">
        <f t="shared" si="16"/>
        <v>0</v>
      </c>
    </row>
    <row r="449" spans="49:49" ht="15">
      <c r="AW449" s="18">
        <f t="shared" si="16"/>
        <v>0</v>
      </c>
    </row>
    <row r="450" spans="49:49" ht="15">
      <c r="AW450" s="18">
        <f t="shared" si="16"/>
        <v>0</v>
      </c>
    </row>
    <row r="451" spans="49:49" ht="15">
      <c r="AW451" s="18">
        <f t="shared" si="16"/>
        <v>0</v>
      </c>
    </row>
    <row r="452" spans="49:49" ht="15">
      <c r="AW452" s="18">
        <f t="shared" si="16"/>
        <v>0</v>
      </c>
    </row>
    <row r="453" spans="49:49" ht="15">
      <c r="AW453" s="18">
        <f t="shared" si="16"/>
        <v>0</v>
      </c>
    </row>
    <row r="454" spans="49:49" ht="15">
      <c r="AW454" s="18">
        <f t="shared" si="16"/>
        <v>0</v>
      </c>
    </row>
    <row r="455" spans="49:49" ht="15">
      <c r="AW455" s="18">
        <f t="shared" si="16"/>
        <v>0</v>
      </c>
    </row>
    <row r="456" spans="49:49" ht="15">
      <c r="AW456" s="18">
        <f t="shared" si="16"/>
        <v>0</v>
      </c>
    </row>
    <row r="457" spans="49:49" ht="15">
      <c r="AW457" s="18">
        <f t="shared" si="16"/>
        <v>0</v>
      </c>
    </row>
    <row r="458" spans="49:49" ht="15">
      <c r="AW458" s="18">
        <f t="shared" si="16"/>
        <v>0</v>
      </c>
    </row>
    <row r="459" spans="49:49" ht="15">
      <c r="AW459" s="18">
        <f t="shared" si="16"/>
        <v>0</v>
      </c>
    </row>
    <row r="460" spans="49:49" ht="15">
      <c r="AW460" s="18">
        <f t="shared" si="16"/>
        <v>0</v>
      </c>
    </row>
    <row r="461" spans="49:49" ht="15">
      <c r="AW461" s="18">
        <f t="shared" si="16"/>
        <v>0</v>
      </c>
    </row>
    <row r="462" spans="49:49" ht="15">
      <c r="AW462" s="18">
        <f t="shared" si="16"/>
        <v>0</v>
      </c>
    </row>
    <row r="463" spans="49:49" ht="15">
      <c r="AW463" s="18">
        <f t="shared" si="16"/>
        <v>0</v>
      </c>
    </row>
    <row r="464" spans="49:49" ht="15">
      <c r="AW464" s="18">
        <f t="shared" si="16"/>
        <v>0</v>
      </c>
    </row>
    <row r="465" spans="49:49" ht="15">
      <c r="AW465" s="18">
        <f t="shared" si="16"/>
        <v>0</v>
      </c>
    </row>
    <row r="466" spans="49:49" ht="15">
      <c r="AW466" s="18">
        <f t="shared" si="16"/>
        <v>0</v>
      </c>
    </row>
    <row r="467" spans="49:49" ht="15">
      <c r="AW467" s="18">
        <f t="shared" si="16"/>
        <v>0</v>
      </c>
    </row>
    <row r="468" spans="49:49" ht="15">
      <c r="AW468" s="18">
        <f t="shared" si="16"/>
        <v>0</v>
      </c>
    </row>
    <row r="469" spans="49:49" ht="15">
      <c r="AW469" s="18">
        <f t="shared" si="16"/>
        <v>0</v>
      </c>
    </row>
    <row r="470" spans="49:49" ht="15">
      <c r="AW470" s="18">
        <f t="shared" si="16"/>
        <v>0</v>
      </c>
    </row>
    <row r="471" spans="49:49" ht="15">
      <c r="AW471" s="18">
        <f t="shared" si="16"/>
        <v>0</v>
      </c>
    </row>
    <row r="472" spans="49:49" ht="15">
      <c r="AW472" s="18">
        <f t="shared" si="16"/>
        <v>0</v>
      </c>
    </row>
    <row r="473" spans="49:49" ht="15">
      <c r="AW473" s="18">
        <f t="shared" si="16"/>
        <v>0</v>
      </c>
    </row>
    <row r="474" spans="49:49" ht="15">
      <c r="AW474" s="18">
        <f t="shared" si="16"/>
        <v>0</v>
      </c>
    </row>
    <row r="475" spans="49:49" ht="15">
      <c r="AW475" s="18">
        <f t="shared" si="16"/>
        <v>0</v>
      </c>
    </row>
    <row r="476" spans="49:49" ht="15">
      <c r="AW476" s="18">
        <f t="shared" si="16"/>
        <v>0</v>
      </c>
    </row>
    <row r="477" spans="49:49" ht="15">
      <c r="AW477" s="18">
        <f t="shared" si="16"/>
        <v>0</v>
      </c>
    </row>
    <row r="478" spans="49:49" ht="15">
      <c r="AW478" s="18">
        <f t="shared" si="16"/>
        <v>0</v>
      </c>
    </row>
    <row r="479" spans="49:49" ht="15">
      <c r="AW479" s="18">
        <f t="shared" si="16"/>
        <v>0</v>
      </c>
    </row>
    <row r="480" spans="49:49" ht="15">
      <c r="AW480" s="18">
        <f t="shared" si="16"/>
        <v>0</v>
      </c>
    </row>
    <row r="481" spans="49:49" ht="15">
      <c r="AW481" s="18">
        <f t="shared" si="16"/>
        <v>0</v>
      </c>
    </row>
    <row r="482" spans="49:49" ht="15">
      <c r="AW482" s="18">
        <f t="shared" si="16"/>
        <v>0</v>
      </c>
    </row>
    <row r="483" spans="49:49" ht="15">
      <c r="AW483" s="18">
        <f t="shared" si="16"/>
        <v>0</v>
      </c>
    </row>
    <row r="484" spans="49:49" ht="15">
      <c r="AW484" s="18">
        <f t="shared" si="16"/>
        <v>0</v>
      </c>
    </row>
    <row r="485" spans="49:49" ht="15">
      <c r="AW485" s="18">
        <f t="shared" si="16"/>
        <v>0</v>
      </c>
    </row>
    <row r="486" spans="49:49" ht="15">
      <c r="AW486" s="18">
        <f t="shared" si="16"/>
        <v>0</v>
      </c>
    </row>
    <row r="487" spans="49:49" ht="15">
      <c r="AW487" s="18">
        <f t="shared" si="16"/>
        <v>0</v>
      </c>
    </row>
    <row r="488" spans="49:49" ht="15">
      <c r="AW488" s="18">
        <f t="shared" si="16"/>
        <v>0</v>
      </c>
    </row>
    <row r="489" spans="49:49" ht="15">
      <c r="AW489" s="18">
        <f t="shared" si="16"/>
        <v>0</v>
      </c>
    </row>
    <row r="490" spans="49:49" ht="15">
      <c r="AW490" s="18">
        <f t="shared" si="16"/>
        <v>0</v>
      </c>
    </row>
    <row r="491" spans="49:49" ht="15">
      <c r="AW491" s="18">
        <f t="shared" si="16"/>
        <v>0</v>
      </c>
    </row>
    <row r="492" spans="49:49" ht="15">
      <c r="AW492" s="18">
        <f t="shared" si="16"/>
        <v>0</v>
      </c>
    </row>
    <row r="493" spans="49:49" ht="15">
      <c r="AW493" s="18">
        <f t="shared" si="16"/>
        <v>0</v>
      </c>
    </row>
    <row r="494" spans="49:49" ht="15">
      <c r="AW494" s="18">
        <f t="shared" si="16"/>
        <v>0</v>
      </c>
    </row>
  </sheetData>
  <mergeCells count="54">
    <mergeCell ref="AK5:AK6"/>
    <mergeCell ref="P5:P6"/>
    <mergeCell ref="I5:I6"/>
    <mergeCell ref="B5:B6"/>
    <mergeCell ref="D5:D6"/>
    <mergeCell ref="E5:E6"/>
    <mergeCell ref="H5:H6"/>
    <mergeCell ref="C5:C6"/>
    <mergeCell ref="V5:V6"/>
    <mergeCell ref="W5:W6"/>
    <mergeCell ref="X5:X6"/>
    <mergeCell ref="T5:T6"/>
    <mergeCell ref="Q5:Q6"/>
    <mergeCell ref="U5:U6"/>
    <mergeCell ref="R5:R6"/>
    <mergeCell ref="S5:S6"/>
    <mergeCell ref="B4:C4"/>
    <mergeCell ref="L5:L6"/>
    <mergeCell ref="K5:K6"/>
    <mergeCell ref="J5:J6"/>
    <mergeCell ref="O5:O6"/>
    <mergeCell ref="N5:N6"/>
    <mergeCell ref="AO4:AU4"/>
    <mergeCell ref="AL5:AL6"/>
    <mergeCell ref="Y5:Y6"/>
    <mergeCell ref="Z5:Z6"/>
    <mergeCell ref="AA5:AA6"/>
    <mergeCell ref="AF5:AF6"/>
    <mergeCell ref="AG5:AG6"/>
    <mergeCell ref="AU5:AU6"/>
    <mergeCell ref="AQ5:AQ6"/>
    <mergeCell ref="AE4:AL4"/>
    <mergeCell ref="AT5:AT6"/>
    <mergeCell ref="AO5:AO6"/>
    <mergeCell ref="W4:AD4"/>
    <mergeCell ref="AB5:AB6"/>
    <mergeCell ref="AC5:AC6"/>
    <mergeCell ref="AH5:AH6"/>
    <mergeCell ref="AD5:AD6"/>
    <mergeCell ref="CC5:CD5"/>
    <mergeCell ref="BZ5:CB5"/>
    <mergeCell ref="BX5:BY5"/>
    <mergeCell ref="BF5:BS5"/>
    <mergeCell ref="BT5:BW5"/>
    <mergeCell ref="BA5:BE5"/>
    <mergeCell ref="AZ5:AZ6"/>
    <mergeCell ref="AR5:AR6"/>
    <mergeCell ref="AJ5:AJ6"/>
    <mergeCell ref="AV5:AV6"/>
    <mergeCell ref="AX5:AX6"/>
    <mergeCell ref="AP5:AP6"/>
    <mergeCell ref="AS5:AS6"/>
    <mergeCell ref="AI5:AI6"/>
    <mergeCell ref="AE5:AE6"/>
  </mergeCells>
  <phoneticPr fontId="13" type="noConversion"/>
  <conditionalFormatting sqref="AW35 AW12:AW24 AW1:AW10 AW37:AW39 AW26:AW27 AW43:AW65538 AW29:AW33">
    <cfRule type="cellIs" dxfId="341" priority="29" stopIfTrue="1" operator="greaterThan">
      <formula>42</formula>
    </cfRule>
  </conditionalFormatting>
  <conditionalFormatting sqref="AW36">
    <cfRule type="cellIs" dxfId="340" priority="11" stopIfTrue="1" operator="greaterThan">
      <formula>42</formula>
    </cfRule>
  </conditionalFormatting>
  <conditionalFormatting sqref="AW11">
    <cfRule type="cellIs" dxfId="339" priority="9" stopIfTrue="1" operator="greaterThan">
      <formula>42</formula>
    </cfRule>
  </conditionalFormatting>
  <conditionalFormatting sqref="AW25">
    <cfRule type="cellIs" dxfId="338" priority="8" stopIfTrue="1" operator="greaterThan">
      <formula>42</formula>
    </cfRule>
  </conditionalFormatting>
  <conditionalFormatting sqref="AW34">
    <cfRule type="cellIs" dxfId="337" priority="7" stopIfTrue="1" operator="greaterThan">
      <formula>42</formula>
    </cfRule>
  </conditionalFormatting>
  <conditionalFormatting sqref="AW40">
    <cfRule type="cellIs" dxfId="336" priority="6" stopIfTrue="1" operator="greaterThan">
      <formula>42</formula>
    </cfRule>
  </conditionalFormatting>
  <conditionalFormatting sqref="AW41">
    <cfRule type="cellIs" dxfId="335" priority="5" stopIfTrue="1" operator="greaterThan">
      <formula>42</formula>
    </cfRule>
  </conditionalFormatting>
  <conditionalFormatting sqref="AW42">
    <cfRule type="cellIs" dxfId="334" priority="4" stopIfTrue="1" operator="greaterThan">
      <formula>42</formula>
    </cfRule>
  </conditionalFormatting>
  <conditionalFormatting sqref="AW28">
    <cfRule type="cellIs" dxfId="333" priority="3" stopIfTrue="1" operator="greaterThan">
      <formula>42</formula>
    </cfRule>
  </conditionalFormatting>
  <conditionalFormatting sqref="AW46:AW112">
    <cfRule type="cellIs" dxfId="332" priority="2" stopIfTrue="1" operator="greaterThan">
      <formula>42</formula>
    </cfRule>
  </conditionalFormatting>
  <conditionalFormatting sqref="AW46:AW112">
    <cfRule type="cellIs" dxfId="331" priority="1" stopIfTrue="1" operator="greaterThan">
      <formula>42</formula>
    </cfRule>
  </conditionalFormatting>
  <dataValidations count="3">
    <dataValidation type="textLength" operator="lessThanOrEqual" allowBlank="1" showInputMessage="1" showErrorMessage="1" sqref="AO46:AT46" xr:uid="{00000000-0002-0000-0500-000000000000}">
      <formula1>4</formula1>
    </dataValidation>
    <dataValidation type="textLength" allowBlank="1" showInputMessage="1" showErrorMessage="1" sqref="AO47:AT49 AO62:AT63 AO110:AT110" xr:uid="{00000000-0002-0000-0500-000001000000}">
      <formula1>0</formula1>
      <formula2>4</formula2>
    </dataValidation>
    <dataValidation type="textLength" operator="lessThan" allowBlank="1" showInputMessage="1" showErrorMessage="1" error="text length exceeded" prompt="max. 64 charcters" sqref="B48:B49 C47:C48 B62:B63 B110:C110" xr:uid="{00000000-0002-0000-0500-000002000000}">
      <formula1>65</formula1>
    </dataValidation>
  </dataValidations>
  <pageMargins left="0.78740157499999996" right="0.78740157499999996" top="0.984251969" bottom="0.984251969" header="0.49212598499999999" footer="0.49212598499999999"/>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8"/>
  <dimension ref="A1:CI484"/>
  <sheetViews>
    <sheetView showGridLines="0" showRuler="0" topLeftCell="A4" zoomScale="60" zoomScaleNormal="60" zoomScalePageLayoutView="80" workbookViewId="0">
      <pane ySplit="3" topLeftCell="A7" activePane="bottomLeft" state="frozenSplit"/>
      <selection activeCell="A4" sqref="A4"/>
      <selection pane="bottomLeft" activeCell="J47" sqref="J47"/>
    </sheetView>
  </sheetViews>
  <sheetFormatPr defaultColWidth="8.88671875" defaultRowHeight="13.2"/>
  <cols>
    <col min="1" max="1" width="5.6640625" style="144" customWidth="1"/>
    <col min="2" max="2" width="46.44140625" hidden="1" customWidth="1"/>
    <col min="3" max="3" width="8.6640625" hidden="1" customWidth="1"/>
    <col min="4" max="4" width="0" hidden="1" customWidth="1"/>
    <col min="5" max="7" width="10" hidden="1" customWidth="1"/>
    <col min="8" max="9" width="0" hidden="1" customWidth="1"/>
    <col min="10" max="10" width="37.6640625" customWidth="1"/>
    <col min="11" max="11" width="18.33203125" customWidth="1"/>
    <col min="12" max="12" width="40.109375" bestFit="1" customWidth="1"/>
    <col min="13" max="13" width="40.109375" customWidth="1"/>
    <col min="14" max="14" width="8.6640625" style="138" bestFit="1" customWidth="1"/>
    <col min="15" max="16" width="5.6640625" style="138" customWidth="1"/>
    <col min="17" max="20" width="4.6640625" style="138" customWidth="1"/>
    <col min="21" max="21" width="84.109375" style="431" customWidth="1"/>
    <col min="22" max="22" width="32.6640625" customWidth="1"/>
    <col min="23" max="23" width="18.33203125" customWidth="1"/>
    <col min="24" max="25" width="5.6640625" customWidth="1"/>
    <col min="26" max="27" width="4.6640625" customWidth="1"/>
    <col min="28" max="28" width="19.109375" customWidth="1"/>
    <col min="29" max="29" width="16.109375" customWidth="1"/>
    <col min="30" max="30" width="22.109375" customWidth="1"/>
    <col min="31" max="31" width="18.33203125" customWidth="1"/>
    <col min="32" max="33" width="5.6640625" customWidth="1"/>
    <col min="34" max="35" width="4.6640625" customWidth="1"/>
    <col min="36" max="36" width="33.6640625" customWidth="1"/>
    <col min="37" max="37" width="8.88671875" customWidth="1"/>
    <col min="38" max="38" width="24.44140625" customWidth="1"/>
    <col min="39" max="39" width="12.109375" customWidth="1"/>
    <col min="40" max="40" width="30.6640625" customWidth="1"/>
    <col min="48" max="48" width="30.6640625" customWidth="1"/>
    <col min="49" max="49" width="0" hidden="1" customWidth="1"/>
  </cols>
  <sheetData>
    <row r="1" spans="1:87" ht="13.8" hidden="1" thickBot="1">
      <c r="AM1" s="422"/>
      <c r="AN1" s="423"/>
    </row>
    <row r="2" spans="1:87" ht="13.8" hidden="1" thickBot="1">
      <c r="AM2" s="424"/>
      <c r="AN2" s="425"/>
    </row>
    <row r="3" spans="1:87" s="1" customFormat="1" ht="13.8" hidden="1" thickBot="1">
      <c r="A3" s="146"/>
      <c r="C3" s="2"/>
      <c r="E3" s="3"/>
      <c r="F3" s="3"/>
      <c r="G3" s="3"/>
      <c r="H3" s="3"/>
      <c r="I3" s="3"/>
      <c r="J3" s="3"/>
      <c r="K3" s="3"/>
      <c r="L3" s="3"/>
      <c r="M3" s="3"/>
      <c r="N3" s="136"/>
      <c r="O3" s="136"/>
      <c r="P3" s="136"/>
      <c r="Q3" s="136"/>
      <c r="R3" s="136"/>
      <c r="S3" s="136"/>
      <c r="T3" s="136"/>
      <c r="U3" s="3"/>
      <c r="V3" s="3"/>
      <c r="W3" s="3"/>
      <c r="X3" s="4"/>
      <c r="Y3" s="5"/>
      <c r="Z3" s="5"/>
      <c r="AA3" s="3"/>
      <c r="AB3" s="3"/>
      <c r="AC3" s="3"/>
      <c r="AD3" s="3"/>
      <c r="AE3" s="3"/>
      <c r="AF3" s="4"/>
      <c r="AG3" s="5"/>
      <c r="AH3" s="5"/>
      <c r="AI3" s="3"/>
      <c r="AJ3" s="3"/>
      <c r="AK3" s="2"/>
      <c r="AL3" s="2"/>
      <c r="AM3" s="426"/>
      <c r="AN3" s="427"/>
      <c r="AO3" s="2"/>
      <c r="AP3" s="2"/>
      <c r="AQ3" s="2"/>
    </row>
    <row r="4" spans="1:87" s="1" customFormat="1" ht="16.5" customHeight="1" thickBot="1">
      <c r="A4" s="149"/>
      <c r="B4" s="679" t="s">
        <v>462</v>
      </c>
      <c r="C4" s="680"/>
      <c r="D4" s="22" t="s">
        <v>463</v>
      </c>
      <c r="E4" s="23"/>
      <c r="F4" s="23"/>
      <c r="G4" s="23"/>
      <c r="H4" s="23"/>
      <c r="I4" s="23"/>
      <c r="J4" s="24" t="s">
        <v>865</v>
      </c>
      <c r="K4" s="25"/>
      <c r="L4" s="25"/>
      <c r="M4" s="25"/>
      <c r="N4" s="81"/>
      <c r="O4" s="81"/>
      <c r="P4" s="81"/>
      <c r="Q4" s="81"/>
      <c r="R4" s="81"/>
      <c r="S4" s="81"/>
      <c r="T4" s="81"/>
      <c r="U4" s="26"/>
      <c r="V4" s="25"/>
      <c r="W4" s="666" t="s">
        <v>465</v>
      </c>
      <c r="X4" s="667"/>
      <c r="Y4" s="667"/>
      <c r="Z4" s="667"/>
      <c r="AA4" s="667"/>
      <c r="AB4" s="667"/>
      <c r="AC4" s="667"/>
      <c r="AD4" s="668"/>
      <c r="AE4" s="669" t="s">
        <v>466</v>
      </c>
      <c r="AF4" s="639"/>
      <c r="AG4" s="639"/>
      <c r="AH4" s="639"/>
      <c r="AI4" s="639"/>
      <c r="AJ4" s="639"/>
      <c r="AK4" s="639"/>
      <c r="AL4" s="639"/>
      <c r="AM4" s="421" t="s">
        <v>467</v>
      </c>
      <c r="AN4" s="27"/>
      <c r="AO4" s="662"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7" s="1" customFormat="1" ht="24" customHeight="1" thickBot="1">
      <c r="A5" s="159"/>
      <c r="B5" s="654" t="s">
        <v>469</v>
      </c>
      <c r="C5" s="654" t="s">
        <v>470</v>
      </c>
      <c r="D5" s="637" t="s">
        <v>471</v>
      </c>
      <c r="E5" s="637" t="s">
        <v>472</v>
      </c>
      <c r="F5" s="466"/>
      <c r="G5" s="466"/>
      <c r="H5" s="637" t="s">
        <v>475</v>
      </c>
      <c r="I5" s="646" t="s">
        <v>476</v>
      </c>
      <c r="J5" s="648" t="s">
        <v>477</v>
      </c>
      <c r="K5" s="648" t="s">
        <v>478</v>
      </c>
      <c r="L5" s="648" t="s">
        <v>479</v>
      </c>
      <c r="M5" s="468"/>
      <c r="N5" s="648" t="s">
        <v>480</v>
      </c>
      <c r="O5" s="648" t="s">
        <v>481</v>
      </c>
      <c r="P5" s="648" t="s">
        <v>482</v>
      </c>
      <c r="Q5" s="648" t="s">
        <v>483</v>
      </c>
      <c r="R5" s="648" t="s">
        <v>484</v>
      </c>
      <c r="S5" s="648" t="s">
        <v>485</v>
      </c>
      <c r="T5" s="648" t="s">
        <v>486</v>
      </c>
      <c r="U5" s="683" t="s">
        <v>487</v>
      </c>
      <c r="V5" s="648" t="s">
        <v>488</v>
      </c>
      <c r="W5" s="682" t="s">
        <v>478</v>
      </c>
      <c r="X5" s="682" t="s">
        <v>489</v>
      </c>
      <c r="Y5" s="682" t="s">
        <v>482</v>
      </c>
      <c r="Z5" s="681" t="s">
        <v>490</v>
      </c>
      <c r="AA5" s="682" t="s">
        <v>485</v>
      </c>
      <c r="AB5" s="682" t="s">
        <v>487</v>
      </c>
      <c r="AC5" s="682" t="s">
        <v>866</v>
      </c>
      <c r="AD5" s="682" t="s">
        <v>488</v>
      </c>
      <c r="AE5" s="675" t="s">
        <v>478</v>
      </c>
      <c r="AF5" s="675" t="s">
        <v>489</v>
      </c>
      <c r="AG5" s="675" t="s">
        <v>482</v>
      </c>
      <c r="AH5" s="637" t="s">
        <v>490</v>
      </c>
      <c r="AI5" s="677" t="s">
        <v>485</v>
      </c>
      <c r="AJ5" s="637" t="s">
        <v>487</v>
      </c>
      <c r="AK5" s="637" t="s">
        <v>866</v>
      </c>
      <c r="AL5" s="637" t="s">
        <v>488</v>
      </c>
      <c r="AM5" s="30" t="s">
        <v>867</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7" s="7" customFormat="1" ht="109.5" customHeight="1" thickBot="1">
      <c r="A6" s="58" t="s">
        <v>501</v>
      </c>
      <c r="B6" s="655"/>
      <c r="C6" s="655"/>
      <c r="D6" s="638"/>
      <c r="E6" s="638"/>
      <c r="F6" s="467" t="s">
        <v>473</v>
      </c>
      <c r="G6" s="467" t="s">
        <v>474</v>
      </c>
      <c r="H6" s="638"/>
      <c r="I6" s="647"/>
      <c r="J6" s="649"/>
      <c r="K6" s="649"/>
      <c r="L6" s="649"/>
      <c r="M6" s="469" t="s">
        <v>3506</v>
      </c>
      <c r="N6" s="649"/>
      <c r="O6" s="649"/>
      <c r="P6" s="649"/>
      <c r="Q6" s="649"/>
      <c r="R6" s="649"/>
      <c r="S6" s="649"/>
      <c r="T6" s="649"/>
      <c r="U6" s="684"/>
      <c r="V6" s="649"/>
      <c r="W6" s="636"/>
      <c r="X6" s="636"/>
      <c r="Y6" s="636"/>
      <c r="Z6" s="641"/>
      <c r="AA6" s="636"/>
      <c r="AB6" s="636"/>
      <c r="AC6" s="636"/>
      <c r="AD6" s="636"/>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7" ht="15">
      <c r="A7" s="525">
        <f>ROW() - 6</f>
        <v>1</v>
      </c>
      <c r="B7" s="65"/>
      <c r="C7" s="65"/>
      <c r="D7" s="65"/>
      <c r="E7" s="65"/>
      <c r="F7" s="65"/>
      <c r="G7" s="65"/>
      <c r="H7" s="65"/>
      <c r="I7" s="65"/>
      <c r="J7" s="508" t="s">
        <v>503</v>
      </c>
      <c r="K7" s="65"/>
      <c r="L7" s="65"/>
      <c r="M7" s="65"/>
      <c r="N7" s="137"/>
      <c r="O7" s="137"/>
      <c r="P7" s="137"/>
      <c r="Q7" s="137"/>
      <c r="R7" s="137"/>
      <c r="S7" s="137"/>
      <c r="T7" s="137"/>
      <c r="U7" s="432"/>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65"/>
      <c r="AW7" s="18">
        <f t="shared" ref="AW7:AW36" si="0">LEN(L7)</f>
        <v>0</v>
      </c>
    </row>
    <row r="8" spans="1:87" s="12" customFormat="1" ht="15">
      <c r="A8" s="40">
        <f>ROW() - 6</f>
        <v>2</v>
      </c>
      <c r="B8" s="38"/>
      <c r="C8" s="41"/>
      <c r="D8" s="38"/>
      <c r="E8" s="38"/>
      <c r="F8" s="38"/>
      <c r="G8" s="38"/>
      <c r="H8" s="13"/>
      <c r="I8" s="40"/>
      <c r="J8" s="248" t="s">
        <v>1614</v>
      </c>
      <c r="K8" s="412" t="s">
        <v>122</v>
      </c>
      <c r="L8" s="412" t="s">
        <v>1615</v>
      </c>
      <c r="M8" s="412" t="s">
        <v>3809</v>
      </c>
      <c r="N8" s="349" t="s">
        <v>873</v>
      </c>
      <c r="O8" s="126"/>
      <c r="P8" s="126"/>
      <c r="Q8" s="126" t="s">
        <v>6</v>
      </c>
      <c r="R8" s="126" t="s">
        <v>6</v>
      </c>
      <c r="S8" s="126" t="s">
        <v>6</v>
      </c>
      <c r="T8" s="40" t="s">
        <v>6</v>
      </c>
      <c r="U8" s="257"/>
      <c r="V8" s="257"/>
      <c r="W8" s="412" t="s">
        <v>133</v>
      </c>
      <c r="X8" s="59"/>
      <c r="Y8" s="59"/>
      <c r="Z8" s="61" t="s">
        <v>6</v>
      </c>
      <c r="AA8" s="61" t="s">
        <v>6</v>
      </c>
      <c r="AB8" s="59"/>
      <c r="AC8" s="59"/>
      <c r="AD8" s="199" t="s">
        <v>1616</v>
      </c>
      <c r="AE8" s="412" t="s">
        <v>133</v>
      </c>
      <c r="AF8" s="59"/>
      <c r="AG8" s="59"/>
      <c r="AH8" s="61" t="s">
        <v>6</v>
      </c>
      <c r="AI8" s="61" t="s">
        <v>6</v>
      </c>
      <c r="AJ8" s="59"/>
      <c r="AK8" s="59"/>
      <c r="AL8" s="199" t="s">
        <v>1616</v>
      </c>
      <c r="AM8" s="257" t="s">
        <v>1617</v>
      </c>
      <c r="AN8" s="19"/>
      <c r="AO8" s="37"/>
      <c r="AP8" s="37"/>
      <c r="AQ8" s="37"/>
      <c r="AR8" s="37"/>
      <c r="AS8" s="37"/>
      <c r="AT8" s="37"/>
      <c r="AU8" s="13"/>
      <c r="AV8" s="13"/>
      <c r="AW8" s="18">
        <f t="shared" si="0"/>
        <v>39</v>
      </c>
    </row>
    <row r="9" spans="1:87" s="12" customFormat="1" ht="15">
      <c r="A9" s="40">
        <f t="shared" ref="A9:A102" si="1">ROW() - 6</f>
        <v>3</v>
      </c>
      <c r="B9" s="38"/>
      <c r="C9" s="34"/>
      <c r="D9" s="33"/>
      <c r="E9" s="39"/>
      <c r="F9" s="39"/>
      <c r="G9" s="39"/>
      <c r="H9" s="414"/>
      <c r="I9" s="40"/>
      <c r="J9" s="362" t="s">
        <v>1618</v>
      </c>
      <c r="K9" s="412" t="s">
        <v>122</v>
      </c>
      <c r="L9" s="215" t="s">
        <v>661</v>
      </c>
      <c r="M9" s="215" t="s">
        <v>4033</v>
      </c>
      <c r="N9" s="349" t="s">
        <v>873</v>
      </c>
      <c r="O9" s="126"/>
      <c r="P9" s="126"/>
      <c r="Q9" s="126" t="s">
        <v>6</v>
      </c>
      <c r="R9" s="126" t="s">
        <v>6</v>
      </c>
      <c r="S9" s="126" t="s">
        <v>6</v>
      </c>
      <c r="T9" s="40" t="s">
        <v>6</v>
      </c>
      <c r="U9" s="257"/>
      <c r="V9" s="257"/>
      <c r="W9" s="412" t="s">
        <v>123</v>
      </c>
      <c r="X9" s="59"/>
      <c r="Y9" s="59"/>
      <c r="Z9" s="61" t="s">
        <v>6</v>
      </c>
      <c r="AA9" s="61" t="s">
        <v>6</v>
      </c>
      <c r="AB9" s="59"/>
      <c r="AC9" s="59"/>
      <c r="AD9" s="207" t="s">
        <v>1616</v>
      </c>
      <c r="AE9" s="412" t="s">
        <v>123</v>
      </c>
      <c r="AF9" s="59"/>
      <c r="AG9" s="59"/>
      <c r="AH9" s="61" t="s">
        <v>6</v>
      </c>
      <c r="AI9" s="61" t="s">
        <v>6</v>
      </c>
      <c r="AJ9" s="59"/>
      <c r="AK9" s="59"/>
      <c r="AL9" s="207" t="s">
        <v>1616</v>
      </c>
      <c r="AM9" s="261" t="s">
        <v>1619</v>
      </c>
      <c r="AN9" s="35"/>
      <c r="AO9" s="37"/>
      <c r="AP9" s="37"/>
      <c r="AQ9" s="37"/>
      <c r="AR9" s="37"/>
      <c r="AS9" s="37"/>
      <c r="AT9" s="37"/>
      <c r="AU9" s="13"/>
      <c r="AV9" s="13"/>
      <c r="AW9" s="18">
        <f t="shared" si="0"/>
        <v>30</v>
      </c>
    </row>
    <row r="10" spans="1:87" s="12" customFormat="1" ht="15">
      <c r="A10" s="40">
        <f t="shared" si="1"/>
        <v>4</v>
      </c>
      <c r="B10" s="38"/>
      <c r="C10" s="34"/>
      <c r="D10" s="33"/>
      <c r="E10" s="39"/>
      <c r="F10" s="39"/>
      <c r="G10" s="39"/>
      <c r="H10" s="414"/>
      <c r="I10" s="40"/>
      <c r="J10" s="362" t="s">
        <v>1620</v>
      </c>
      <c r="K10" s="412" t="s">
        <v>122</v>
      </c>
      <c r="L10" s="215" t="s">
        <v>651</v>
      </c>
      <c r="M10" s="215" t="s">
        <v>4033</v>
      </c>
      <c r="N10" s="349" t="s">
        <v>873</v>
      </c>
      <c r="O10" s="126"/>
      <c r="P10" s="126"/>
      <c r="Q10" s="126"/>
      <c r="R10" s="126" t="s">
        <v>6</v>
      </c>
      <c r="S10" s="126" t="s">
        <v>6</v>
      </c>
      <c r="T10" s="40" t="s">
        <v>6</v>
      </c>
      <c r="U10" s="257"/>
      <c r="V10" s="257"/>
      <c r="W10" s="412" t="s">
        <v>123</v>
      </c>
      <c r="X10" s="59"/>
      <c r="Y10" s="59"/>
      <c r="Z10" s="61" t="s">
        <v>6</v>
      </c>
      <c r="AA10" s="61" t="s">
        <v>6</v>
      </c>
      <c r="AB10" s="59"/>
      <c r="AC10" s="59"/>
      <c r="AD10" s="207" t="s">
        <v>1616</v>
      </c>
      <c r="AE10" s="412" t="s">
        <v>123</v>
      </c>
      <c r="AF10" s="59"/>
      <c r="AG10" s="59"/>
      <c r="AH10" s="61" t="s">
        <v>6</v>
      </c>
      <c r="AI10" s="61" t="s">
        <v>6</v>
      </c>
      <c r="AJ10" s="59"/>
      <c r="AK10" s="59"/>
      <c r="AL10" s="207" t="s">
        <v>1616</v>
      </c>
      <c r="AM10" s="261" t="s">
        <v>1619</v>
      </c>
      <c r="AN10" s="35"/>
      <c r="AO10" s="37"/>
      <c r="AP10" s="37"/>
      <c r="AQ10" s="37"/>
      <c r="AR10" s="37"/>
      <c r="AS10" s="37"/>
      <c r="AT10" s="37"/>
      <c r="AU10" s="13"/>
      <c r="AV10" s="13"/>
      <c r="AW10" s="18">
        <f t="shared" si="0"/>
        <v>31</v>
      </c>
    </row>
    <row r="11" spans="1:87" s="12" customFormat="1" ht="15">
      <c r="A11" s="40">
        <f t="shared" si="1"/>
        <v>5</v>
      </c>
      <c r="B11" s="38"/>
      <c r="C11" s="41"/>
      <c r="D11" s="33"/>
      <c r="E11" s="39"/>
      <c r="F11" s="39"/>
      <c r="G11" s="39"/>
      <c r="H11" s="414"/>
      <c r="I11" s="40"/>
      <c r="J11" s="362" t="s">
        <v>1621</v>
      </c>
      <c r="K11" s="412" t="s">
        <v>122</v>
      </c>
      <c r="L11" s="215" t="s">
        <v>655</v>
      </c>
      <c r="M11" s="215" t="s">
        <v>4033</v>
      </c>
      <c r="N11" s="349" t="s">
        <v>873</v>
      </c>
      <c r="O11" s="126"/>
      <c r="P11" s="126"/>
      <c r="Q11" s="126"/>
      <c r="R11" s="126" t="s">
        <v>6</v>
      </c>
      <c r="S11" s="126" t="s">
        <v>6</v>
      </c>
      <c r="T11" s="40" t="s">
        <v>6</v>
      </c>
      <c r="U11" s="363"/>
      <c r="V11" s="363"/>
      <c r="W11" s="412" t="s">
        <v>123</v>
      </c>
      <c r="X11" s="59"/>
      <c r="Y11" s="59"/>
      <c r="Z11" s="61" t="s">
        <v>6</v>
      </c>
      <c r="AA11" s="61" t="s">
        <v>6</v>
      </c>
      <c r="AB11" s="59"/>
      <c r="AC11" s="59"/>
      <c r="AD11" s="207" t="s">
        <v>1616</v>
      </c>
      <c r="AE11" s="412" t="s">
        <v>123</v>
      </c>
      <c r="AF11" s="59"/>
      <c r="AG11" s="59"/>
      <c r="AH11" s="61" t="s">
        <v>6</v>
      </c>
      <c r="AI11" s="61" t="s">
        <v>6</v>
      </c>
      <c r="AJ11" s="59"/>
      <c r="AK11" s="59"/>
      <c r="AL11" s="207" t="s">
        <v>1616</v>
      </c>
      <c r="AM11" s="261" t="s">
        <v>1619</v>
      </c>
      <c r="AN11" s="35"/>
      <c r="AO11" s="37"/>
      <c r="AP11" s="37"/>
      <c r="AQ11" s="37"/>
      <c r="AR11" s="37"/>
      <c r="AS11" s="37"/>
      <c r="AT11" s="37"/>
      <c r="AU11" s="13"/>
      <c r="AV11" s="13"/>
      <c r="AW11" s="18">
        <f t="shared" si="0"/>
        <v>31</v>
      </c>
    </row>
    <row r="12" spans="1:87" s="14" customFormat="1" ht="15">
      <c r="A12" s="40">
        <f t="shared" si="1"/>
        <v>6</v>
      </c>
      <c r="B12" s="38"/>
      <c r="C12" s="42"/>
      <c r="D12" s="19"/>
      <c r="E12" s="19"/>
      <c r="F12" s="35"/>
      <c r="G12" s="35"/>
      <c r="H12" s="414"/>
      <c r="I12" s="13"/>
      <c r="J12" s="362" t="s">
        <v>1622</v>
      </c>
      <c r="K12" s="412" t="s">
        <v>122</v>
      </c>
      <c r="L12" s="215" t="s">
        <v>657</v>
      </c>
      <c r="M12" s="215" t="s">
        <v>4033</v>
      </c>
      <c r="N12" s="349" t="s">
        <v>873</v>
      </c>
      <c r="O12" s="126"/>
      <c r="P12" s="126"/>
      <c r="Q12" s="126"/>
      <c r="R12" s="126" t="s">
        <v>6</v>
      </c>
      <c r="S12" s="126" t="s">
        <v>6</v>
      </c>
      <c r="T12" s="40" t="s">
        <v>6</v>
      </c>
      <c r="U12" s="257"/>
      <c r="V12" s="59"/>
      <c r="W12" s="412" t="s">
        <v>123</v>
      </c>
      <c r="X12" s="59"/>
      <c r="Y12" s="59"/>
      <c r="Z12" s="61" t="s">
        <v>6</v>
      </c>
      <c r="AA12" s="61" t="s">
        <v>6</v>
      </c>
      <c r="AB12" s="59"/>
      <c r="AC12" s="59"/>
      <c r="AD12" s="207" t="s">
        <v>1616</v>
      </c>
      <c r="AE12" s="412" t="s">
        <v>123</v>
      </c>
      <c r="AF12" s="59"/>
      <c r="AG12" s="59"/>
      <c r="AH12" s="61" t="s">
        <v>6</v>
      </c>
      <c r="AI12" s="61" t="s">
        <v>6</v>
      </c>
      <c r="AJ12" s="59"/>
      <c r="AK12" s="59"/>
      <c r="AL12" s="207" t="s">
        <v>1616</v>
      </c>
      <c r="AM12" s="261" t="s">
        <v>1619</v>
      </c>
      <c r="AN12" s="44"/>
      <c r="AO12" s="13"/>
      <c r="AP12" s="13"/>
      <c r="AQ12" s="13"/>
      <c r="AR12" s="13"/>
      <c r="AS12" s="13"/>
      <c r="AT12" s="13"/>
      <c r="AU12" s="13"/>
      <c r="AV12" s="13"/>
      <c r="AW12" s="18">
        <f t="shared" si="0"/>
        <v>31</v>
      </c>
    </row>
    <row r="13" spans="1:87" s="12" customFormat="1" ht="15">
      <c r="A13" s="40">
        <f t="shared" si="1"/>
        <v>7</v>
      </c>
      <c r="B13" s="38"/>
      <c r="C13" s="42"/>
      <c r="D13" s="19"/>
      <c r="E13" s="19"/>
      <c r="F13" s="35"/>
      <c r="G13" s="35"/>
      <c r="H13" s="414"/>
      <c r="I13" s="13"/>
      <c r="J13" s="43" t="s">
        <v>1623</v>
      </c>
      <c r="K13" s="412" t="s">
        <v>122</v>
      </c>
      <c r="L13" s="215" t="s">
        <v>659</v>
      </c>
      <c r="M13" s="215" t="s">
        <v>4034</v>
      </c>
      <c r="N13" s="349" t="s">
        <v>873</v>
      </c>
      <c r="O13" s="126"/>
      <c r="P13" s="126"/>
      <c r="Q13" s="126" t="s">
        <v>6</v>
      </c>
      <c r="R13" s="126" t="s">
        <v>6</v>
      </c>
      <c r="S13" s="126" t="s">
        <v>6</v>
      </c>
      <c r="T13" s="40" t="s">
        <v>6</v>
      </c>
      <c r="U13" s="257"/>
      <c r="V13" s="59"/>
      <c r="W13" s="412" t="s">
        <v>123</v>
      </c>
      <c r="X13" s="59"/>
      <c r="Y13" s="59"/>
      <c r="Z13" s="61" t="s">
        <v>6</v>
      </c>
      <c r="AA13" s="61" t="s">
        <v>6</v>
      </c>
      <c r="AB13" s="59"/>
      <c r="AC13" s="59"/>
      <c r="AD13" s="207" t="s">
        <v>1616</v>
      </c>
      <c r="AE13" s="412" t="s">
        <v>123</v>
      </c>
      <c r="AF13" s="59"/>
      <c r="AG13" s="59"/>
      <c r="AH13" s="61" t="s">
        <v>6</v>
      </c>
      <c r="AI13" s="61" t="s">
        <v>6</v>
      </c>
      <c r="AJ13" s="59"/>
      <c r="AK13" s="59"/>
      <c r="AL13" s="207" t="s">
        <v>1616</v>
      </c>
      <c r="AM13" s="261" t="s">
        <v>1619</v>
      </c>
      <c r="AN13" s="44"/>
      <c r="AO13" s="13"/>
      <c r="AP13" s="13"/>
      <c r="AQ13" s="13"/>
      <c r="AR13" s="13"/>
      <c r="AS13" s="13"/>
      <c r="AT13" s="13"/>
      <c r="AU13" s="13"/>
      <c r="AV13" s="13"/>
      <c r="AW13" s="18">
        <f t="shared" si="0"/>
        <v>31</v>
      </c>
    </row>
    <row r="14" spans="1:87" s="263" customFormat="1" ht="15">
      <c r="A14" s="40">
        <f t="shared" si="1"/>
        <v>8</v>
      </c>
      <c r="B14" s="38"/>
      <c r="C14" s="42"/>
      <c r="D14" s="38"/>
      <c r="E14" s="46"/>
      <c r="F14" s="46"/>
      <c r="G14" s="46"/>
      <c r="H14" s="13"/>
      <c r="I14" s="40"/>
      <c r="J14" s="362" t="s">
        <v>1624</v>
      </c>
      <c r="K14" s="412" t="s">
        <v>117</v>
      </c>
      <c r="L14" s="215" t="s">
        <v>1625</v>
      </c>
      <c r="M14" s="215" t="s">
        <v>4944</v>
      </c>
      <c r="N14" s="126" t="s">
        <v>504</v>
      </c>
      <c r="O14" s="126"/>
      <c r="P14" s="126"/>
      <c r="Q14" s="126" t="s">
        <v>6</v>
      </c>
      <c r="R14" s="126" t="s">
        <v>6</v>
      </c>
      <c r="S14" s="126" t="s">
        <v>6</v>
      </c>
      <c r="T14" s="40" t="s">
        <v>6</v>
      </c>
      <c r="U14" s="500"/>
      <c r="V14" s="262"/>
      <c r="W14" s="412" t="s">
        <v>133</v>
      </c>
      <c r="X14" s="59"/>
      <c r="Y14" s="59"/>
      <c r="Z14" s="61" t="s">
        <v>6</v>
      </c>
      <c r="AA14" s="61" t="s">
        <v>6</v>
      </c>
      <c r="AB14" s="59"/>
      <c r="AC14" s="59"/>
      <c r="AD14" s="59"/>
      <c r="AE14" s="412" t="s">
        <v>133</v>
      </c>
      <c r="AF14" s="59"/>
      <c r="AG14" s="59"/>
      <c r="AH14" s="61" t="s">
        <v>6</v>
      </c>
      <c r="AI14" s="61" t="s">
        <v>6</v>
      </c>
      <c r="AJ14" s="59"/>
      <c r="AK14" s="59"/>
      <c r="AL14" s="59"/>
      <c r="AM14" s="43"/>
      <c r="AN14" s="19"/>
      <c r="AO14" s="15"/>
      <c r="AP14" s="15"/>
      <c r="AQ14" s="15"/>
      <c r="AR14" s="15"/>
      <c r="AS14" s="15"/>
      <c r="AT14" s="15"/>
      <c r="AU14" s="15"/>
      <c r="AV14" s="13"/>
      <c r="AW14" s="18">
        <f t="shared" si="0"/>
        <v>22</v>
      </c>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row>
    <row r="15" spans="1:87" s="18" customFormat="1" ht="15">
      <c r="A15" s="40">
        <f t="shared" si="1"/>
        <v>9</v>
      </c>
      <c r="B15" s="38"/>
      <c r="C15" s="42"/>
      <c r="D15" s="38"/>
      <c r="E15" s="46"/>
      <c r="F15" s="46"/>
      <c r="G15" s="46"/>
      <c r="H15" s="13"/>
      <c r="I15" s="40"/>
      <c r="J15" s="362" t="s">
        <v>1626</v>
      </c>
      <c r="K15" s="412" t="s">
        <v>132</v>
      </c>
      <c r="L15" s="215" t="s">
        <v>1627</v>
      </c>
      <c r="M15" s="215" t="s">
        <v>4944</v>
      </c>
      <c r="N15" s="126" t="s">
        <v>504</v>
      </c>
      <c r="O15" s="126"/>
      <c r="P15" s="126"/>
      <c r="Q15" s="126" t="s">
        <v>6</v>
      </c>
      <c r="R15" s="126" t="s">
        <v>6</v>
      </c>
      <c r="S15" s="126" t="s">
        <v>6</v>
      </c>
      <c r="T15" s="40" t="s">
        <v>6</v>
      </c>
      <c r="U15" s="500"/>
      <c r="V15" s="262"/>
      <c r="W15" s="412" t="s">
        <v>133</v>
      </c>
      <c r="X15" s="59"/>
      <c r="Y15" s="59"/>
      <c r="Z15" s="61" t="s">
        <v>6</v>
      </c>
      <c r="AA15" s="61" t="s">
        <v>6</v>
      </c>
      <c r="AB15" s="59"/>
      <c r="AC15" s="59"/>
      <c r="AD15" s="59"/>
      <c r="AE15" s="412" t="s">
        <v>133</v>
      </c>
      <c r="AF15" s="59"/>
      <c r="AG15" s="59"/>
      <c r="AH15" s="61" t="s">
        <v>6</v>
      </c>
      <c r="AI15" s="61" t="s">
        <v>6</v>
      </c>
      <c r="AJ15" s="59"/>
      <c r="AK15" s="59"/>
      <c r="AL15" s="59"/>
      <c r="AM15" s="43"/>
      <c r="AN15" s="19"/>
      <c r="AO15" s="15"/>
      <c r="AP15" s="15"/>
      <c r="AQ15" s="15"/>
      <c r="AR15" s="15"/>
      <c r="AS15" s="15"/>
      <c r="AT15" s="15"/>
      <c r="AU15" s="15"/>
      <c r="AV15" s="13"/>
      <c r="AW15" s="18">
        <f t="shared" si="0"/>
        <v>33</v>
      </c>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c r="CH15" s="12"/>
      <c r="CI15" s="12"/>
    </row>
    <row r="16" spans="1:87" s="12" customFormat="1" ht="15">
      <c r="A16" s="40">
        <f t="shared" si="1"/>
        <v>10</v>
      </c>
      <c r="B16" s="38"/>
      <c r="C16" s="42"/>
      <c r="D16" s="19"/>
      <c r="E16" s="19"/>
      <c r="F16" s="19"/>
      <c r="G16" s="19"/>
      <c r="H16" s="13"/>
      <c r="I16" s="13"/>
      <c r="J16" s="264" t="s">
        <v>1628</v>
      </c>
      <c r="K16" s="412" t="s">
        <v>132</v>
      </c>
      <c r="L16" s="248" t="s">
        <v>1042</v>
      </c>
      <c r="M16" s="248" t="s">
        <v>4301</v>
      </c>
      <c r="N16" s="126" t="s">
        <v>504</v>
      </c>
      <c r="O16" s="126"/>
      <c r="P16" s="126"/>
      <c r="Q16" s="126" t="s">
        <v>6</v>
      </c>
      <c r="R16" s="126" t="s">
        <v>6</v>
      </c>
      <c r="S16" s="126" t="s">
        <v>6</v>
      </c>
      <c r="T16" s="40" t="s">
        <v>6</v>
      </c>
      <c r="U16" s="500"/>
      <c r="V16" s="262"/>
      <c r="W16" s="412" t="s">
        <v>133</v>
      </c>
      <c r="X16" s="59"/>
      <c r="Y16" s="59"/>
      <c r="Z16" s="61" t="s">
        <v>6</v>
      </c>
      <c r="AA16" s="61" t="s">
        <v>6</v>
      </c>
      <c r="AB16" s="59"/>
      <c r="AC16" s="59"/>
      <c r="AD16" s="59"/>
      <c r="AE16" s="412" t="s">
        <v>133</v>
      </c>
      <c r="AF16" s="59"/>
      <c r="AG16" s="59"/>
      <c r="AH16" s="61" t="s">
        <v>6</v>
      </c>
      <c r="AI16" s="61" t="s">
        <v>6</v>
      </c>
      <c r="AJ16" s="59"/>
      <c r="AK16" s="59"/>
      <c r="AL16" s="59"/>
      <c r="AM16" s="43"/>
      <c r="AN16" s="13"/>
      <c r="AO16" s="13"/>
      <c r="AP16" s="13"/>
      <c r="AQ16" s="13"/>
      <c r="AR16" s="13"/>
      <c r="AS16" s="13"/>
      <c r="AT16" s="13"/>
      <c r="AU16" s="13"/>
      <c r="AV16" s="13"/>
      <c r="AW16" s="18">
        <f t="shared" si="0"/>
        <v>19</v>
      </c>
    </row>
    <row r="17" spans="1:87" s="12" customFormat="1" ht="15">
      <c r="A17" s="40">
        <f t="shared" si="1"/>
        <v>11</v>
      </c>
      <c r="B17" s="38"/>
      <c r="C17" s="42"/>
      <c r="D17" s="19"/>
      <c r="E17" s="19"/>
      <c r="F17" s="19"/>
      <c r="G17" s="19"/>
      <c r="H17" s="13"/>
      <c r="I17" s="13"/>
      <c r="J17" s="264" t="s">
        <v>1630</v>
      </c>
      <c r="K17" s="412" t="s">
        <v>132</v>
      </c>
      <c r="L17" s="248" t="s">
        <v>1631</v>
      </c>
      <c r="M17" s="248" t="s">
        <v>3781</v>
      </c>
      <c r="N17" s="126" t="s">
        <v>504</v>
      </c>
      <c r="O17" s="126"/>
      <c r="P17" s="126"/>
      <c r="Q17" s="126" t="s">
        <v>6</v>
      </c>
      <c r="R17" s="126" t="s">
        <v>6</v>
      </c>
      <c r="S17" s="126" t="s">
        <v>6</v>
      </c>
      <c r="T17" s="40" t="s">
        <v>6</v>
      </c>
      <c r="U17" s="220" t="str">
        <f>"Atende também ao agrupamento dos itens "&amp;A18&amp;" a "&amp;A19&amp;" para ONS."</f>
        <v>Atende também ao agrupamento dos itens 12 a 13 para ONS.</v>
      </c>
      <c r="V17" s="204"/>
      <c r="W17" s="412" t="s">
        <v>133</v>
      </c>
      <c r="X17" s="59"/>
      <c r="Y17" s="59"/>
      <c r="Z17" s="61" t="s">
        <v>6</v>
      </c>
      <c r="AA17" s="61" t="s">
        <v>6</v>
      </c>
      <c r="AB17" s="59"/>
      <c r="AC17" s="59"/>
      <c r="AD17" s="258"/>
      <c r="AE17" s="412" t="s">
        <v>133</v>
      </c>
      <c r="AF17" s="59"/>
      <c r="AG17" s="59"/>
      <c r="AH17" s="61" t="s">
        <v>6</v>
      </c>
      <c r="AI17" s="61" t="s">
        <v>6</v>
      </c>
      <c r="AJ17" s="59"/>
      <c r="AK17" s="59"/>
      <c r="AL17" s="258"/>
      <c r="AM17" s="36" t="s">
        <v>1632</v>
      </c>
      <c r="AN17" s="13"/>
      <c r="AO17" s="13"/>
      <c r="AP17" s="13"/>
      <c r="AQ17" s="13"/>
      <c r="AR17" s="13"/>
      <c r="AS17" s="13"/>
      <c r="AT17" s="13"/>
      <c r="AU17" s="13"/>
      <c r="AV17" s="13"/>
      <c r="AW17" s="18">
        <f t="shared" si="0"/>
        <v>21</v>
      </c>
    </row>
    <row r="18" spans="1:87" s="12" customFormat="1" ht="15">
      <c r="A18" s="40">
        <f t="shared" si="1"/>
        <v>12</v>
      </c>
      <c r="B18" s="38"/>
      <c r="C18" s="42"/>
      <c r="D18" s="19"/>
      <c r="E18" s="19"/>
      <c r="F18" s="19"/>
      <c r="G18" s="19"/>
      <c r="H18" s="13"/>
      <c r="I18" s="13"/>
      <c r="J18" s="362" t="s">
        <v>1633</v>
      </c>
      <c r="K18" s="412" t="s">
        <v>132</v>
      </c>
      <c r="L18" s="412" t="s">
        <v>1634</v>
      </c>
      <c r="M18" s="248" t="s">
        <v>3781</v>
      </c>
      <c r="N18" s="126" t="s">
        <v>504</v>
      </c>
      <c r="O18" s="126"/>
      <c r="P18" s="126"/>
      <c r="Q18" s="126"/>
      <c r="R18" s="126" t="s">
        <v>6</v>
      </c>
      <c r="S18" s="126" t="s">
        <v>6</v>
      </c>
      <c r="T18" s="40" t="s">
        <v>6</v>
      </c>
      <c r="U18" s="500"/>
      <c r="V18" s="262"/>
      <c r="W18" s="412" t="s">
        <v>133</v>
      </c>
      <c r="X18" s="59"/>
      <c r="Y18" s="59"/>
      <c r="Z18" s="61" t="s">
        <v>6</v>
      </c>
      <c r="AA18" s="61" t="s">
        <v>6</v>
      </c>
      <c r="AB18" s="59"/>
      <c r="AC18" s="59"/>
      <c r="AD18" s="258"/>
      <c r="AE18" s="412" t="s">
        <v>133</v>
      </c>
      <c r="AF18" s="59"/>
      <c r="AG18" s="59"/>
      <c r="AH18" s="61" t="s">
        <v>6</v>
      </c>
      <c r="AI18" s="61" t="s">
        <v>6</v>
      </c>
      <c r="AJ18" s="59"/>
      <c r="AK18" s="59"/>
      <c r="AL18" s="258"/>
      <c r="AM18" s="36"/>
      <c r="AN18" s="13"/>
      <c r="AO18" s="13"/>
      <c r="AP18" s="13"/>
      <c r="AQ18" s="13"/>
      <c r="AR18" s="13"/>
      <c r="AS18" s="13"/>
      <c r="AT18" s="13"/>
      <c r="AU18" s="13"/>
      <c r="AV18" s="13"/>
      <c r="AW18" s="18">
        <f t="shared" si="0"/>
        <v>26</v>
      </c>
    </row>
    <row r="19" spans="1:87" s="12" customFormat="1" ht="15">
      <c r="A19" s="40">
        <f t="shared" si="1"/>
        <v>13</v>
      </c>
      <c r="B19" s="38"/>
      <c r="C19" s="42"/>
      <c r="D19" s="19"/>
      <c r="E19" s="19"/>
      <c r="F19" s="19"/>
      <c r="G19" s="19"/>
      <c r="H19" s="13"/>
      <c r="I19" s="13"/>
      <c r="J19" s="362" t="s">
        <v>1635</v>
      </c>
      <c r="K19" s="412" t="s">
        <v>132</v>
      </c>
      <c r="L19" s="412" t="s">
        <v>1636</v>
      </c>
      <c r="M19" s="248" t="s">
        <v>3781</v>
      </c>
      <c r="N19" s="126" t="s">
        <v>504</v>
      </c>
      <c r="O19" s="126"/>
      <c r="P19" s="126"/>
      <c r="Q19" s="126"/>
      <c r="R19" s="126" t="s">
        <v>6</v>
      </c>
      <c r="S19" s="126" t="s">
        <v>6</v>
      </c>
      <c r="T19" s="126" t="s">
        <v>6</v>
      </c>
      <c r="U19" s="500"/>
      <c r="V19" s="262"/>
      <c r="W19" s="412" t="s">
        <v>133</v>
      </c>
      <c r="X19" s="59"/>
      <c r="Y19" s="59"/>
      <c r="Z19" s="61" t="s">
        <v>6</v>
      </c>
      <c r="AA19" s="61" t="s">
        <v>6</v>
      </c>
      <c r="AB19" s="59"/>
      <c r="AC19" s="59"/>
      <c r="AD19" s="258"/>
      <c r="AE19" s="412" t="s">
        <v>133</v>
      </c>
      <c r="AF19" s="59"/>
      <c r="AG19" s="59"/>
      <c r="AH19" s="61" t="s">
        <v>6</v>
      </c>
      <c r="AI19" s="61" t="s">
        <v>6</v>
      </c>
      <c r="AJ19" s="59"/>
      <c r="AK19" s="59"/>
      <c r="AL19" s="258"/>
      <c r="AM19" s="36"/>
      <c r="AN19" s="13"/>
      <c r="AO19" s="13"/>
      <c r="AP19" s="13"/>
      <c r="AQ19" s="13"/>
      <c r="AR19" s="13"/>
      <c r="AS19" s="13"/>
      <c r="AT19" s="13"/>
      <c r="AU19" s="13"/>
      <c r="AV19" s="13"/>
      <c r="AW19" s="18">
        <f t="shared" si="0"/>
        <v>31</v>
      </c>
    </row>
    <row r="20" spans="1:87" s="12" customFormat="1" ht="15">
      <c r="A20" s="40">
        <f t="shared" si="1"/>
        <v>14</v>
      </c>
      <c r="B20" s="38"/>
      <c r="C20" s="42"/>
      <c r="D20" s="19"/>
      <c r="E20" s="19"/>
      <c r="F20" s="19"/>
      <c r="G20" s="19"/>
      <c r="H20" s="13"/>
      <c r="I20" s="13"/>
      <c r="J20" s="412" t="s">
        <v>1637</v>
      </c>
      <c r="K20" s="412" t="s">
        <v>117</v>
      </c>
      <c r="L20" s="215" t="s">
        <v>1638</v>
      </c>
      <c r="M20" s="215"/>
      <c r="N20" s="126" t="s">
        <v>504</v>
      </c>
      <c r="O20" s="126"/>
      <c r="P20" s="126"/>
      <c r="Q20" s="126" t="s">
        <v>6</v>
      </c>
      <c r="R20" s="126" t="s">
        <v>6</v>
      </c>
      <c r="S20" s="126" t="s">
        <v>6</v>
      </c>
      <c r="T20" s="126" t="s">
        <v>6</v>
      </c>
      <c r="U20" s="501"/>
      <c r="V20" s="239"/>
      <c r="W20" s="412" t="s">
        <v>133</v>
      </c>
      <c r="X20" s="59"/>
      <c r="Y20" s="59"/>
      <c r="Z20" s="61" t="s">
        <v>6</v>
      </c>
      <c r="AA20" s="61" t="s">
        <v>6</v>
      </c>
      <c r="AB20" s="59"/>
      <c r="AC20" s="59"/>
      <c r="AD20" s="59"/>
      <c r="AE20" s="412" t="s">
        <v>133</v>
      </c>
      <c r="AF20" s="59"/>
      <c r="AG20" s="59"/>
      <c r="AH20" s="61" t="s">
        <v>6</v>
      </c>
      <c r="AI20" s="61" t="s">
        <v>6</v>
      </c>
      <c r="AJ20" s="59"/>
      <c r="AK20" s="59"/>
      <c r="AL20" s="59"/>
      <c r="AM20" s="43"/>
      <c r="AN20" s="13"/>
      <c r="AO20" s="13"/>
      <c r="AP20" s="13"/>
      <c r="AQ20" s="13"/>
      <c r="AR20" s="13"/>
      <c r="AS20" s="13"/>
      <c r="AT20" s="13"/>
      <c r="AU20" s="13"/>
      <c r="AV20" s="13"/>
      <c r="AW20" s="18">
        <f t="shared" si="0"/>
        <v>40</v>
      </c>
      <c r="AX20" s="16"/>
      <c r="AY20" s="17"/>
    </row>
    <row r="21" spans="1:87" s="12" customFormat="1" ht="15">
      <c r="A21" s="40">
        <f t="shared" si="1"/>
        <v>15</v>
      </c>
      <c r="B21" s="38"/>
      <c r="C21" s="42"/>
      <c r="D21" s="38"/>
      <c r="E21" s="46"/>
      <c r="F21" s="46"/>
      <c r="G21" s="46"/>
      <c r="H21" s="13"/>
      <c r="I21" s="40"/>
      <c r="J21" s="412" t="s">
        <v>1639</v>
      </c>
      <c r="K21" s="412" t="s">
        <v>117</v>
      </c>
      <c r="L21" s="364" t="s">
        <v>1640</v>
      </c>
      <c r="M21" s="364"/>
      <c r="N21" s="126" t="s">
        <v>504</v>
      </c>
      <c r="O21" s="126"/>
      <c r="P21" s="126"/>
      <c r="Q21" s="126" t="s">
        <v>6</v>
      </c>
      <c r="R21" s="126" t="s">
        <v>6</v>
      </c>
      <c r="S21" s="126" t="s">
        <v>6</v>
      </c>
      <c r="T21" s="40" t="s">
        <v>6</v>
      </c>
      <c r="U21" s="502"/>
      <c r="V21" s="265"/>
      <c r="W21" s="412" t="s">
        <v>133</v>
      </c>
      <c r="X21" s="59"/>
      <c r="Y21" s="59"/>
      <c r="Z21" s="61" t="s">
        <v>6</v>
      </c>
      <c r="AA21" s="61" t="s">
        <v>6</v>
      </c>
      <c r="AB21" s="59"/>
      <c r="AC21" s="59"/>
      <c r="AD21" s="59"/>
      <c r="AE21" s="412" t="s">
        <v>133</v>
      </c>
      <c r="AF21" s="59"/>
      <c r="AG21" s="59"/>
      <c r="AH21" s="61" t="s">
        <v>6</v>
      </c>
      <c r="AI21" s="61" t="s">
        <v>6</v>
      </c>
      <c r="AJ21" s="59"/>
      <c r="AK21" s="59"/>
      <c r="AL21" s="59"/>
      <c r="AM21" s="43"/>
      <c r="AN21" s="47"/>
      <c r="AO21" s="15"/>
      <c r="AP21" s="15"/>
      <c r="AQ21" s="15"/>
      <c r="AR21" s="15"/>
      <c r="AS21" s="15"/>
      <c r="AT21" s="15"/>
      <c r="AU21" s="15"/>
      <c r="AV21" s="13"/>
      <c r="AW21" s="18">
        <f t="shared" si="0"/>
        <v>36</v>
      </c>
    </row>
    <row r="22" spans="1:87" s="236" customFormat="1" ht="15">
      <c r="A22" s="40">
        <f t="shared" si="1"/>
        <v>16</v>
      </c>
      <c r="B22" s="199"/>
      <c r="C22" s="199"/>
      <c r="D22" s="199"/>
      <c r="E22" s="199"/>
      <c r="F22" s="199"/>
      <c r="G22" s="199"/>
      <c r="H22" s="199"/>
      <c r="I22" s="199"/>
      <c r="J22" s="218" t="s">
        <v>1642</v>
      </c>
      <c r="K22" s="412" t="s">
        <v>128</v>
      </c>
      <c r="L22" s="204" t="s">
        <v>703</v>
      </c>
      <c r="M22" s="204"/>
      <c r="N22" s="126" t="s">
        <v>504</v>
      </c>
      <c r="O22" s="126"/>
      <c r="P22" s="126"/>
      <c r="Q22" s="40" t="s">
        <v>6</v>
      </c>
      <c r="R22" s="40" t="s">
        <v>6</v>
      </c>
      <c r="S22" s="126" t="s">
        <v>6</v>
      </c>
      <c r="T22" s="40" t="s">
        <v>6</v>
      </c>
      <c r="U22" s="220"/>
      <c r="V22" s="204"/>
      <c r="W22" s="232" t="s">
        <v>125</v>
      </c>
      <c r="X22" s="199"/>
      <c r="Y22" s="199"/>
      <c r="Z22" s="199"/>
      <c r="AA22" s="126" t="s">
        <v>6</v>
      </c>
      <c r="AB22" s="198"/>
      <c r="AC22" s="199"/>
      <c r="AD22" s="199"/>
      <c r="AE22" s="232" t="s">
        <v>125</v>
      </c>
      <c r="AF22" s="199"/>
      <c r="AG22" s="199"/>
      <c r="AH22" s="199"/>
      <c r="AI22" s="126" t="s">
        <v>6</v>
      </c>
      <c r="AJ22" s="198"/>
      <c r="AK22" s="199"/>
      <c r="AL22" s="199"/>
      <c r="AM22" s="199"/>
      <c r="AN22" s="199"/>
      <c r="AO22" s="199"/>
      <c r="AP22" s="199"/>
      <c r="AQ22" s="199"/>
      <c r="AR22" s="199"/>
      <c r="AS22" s="199"/>
      <c r="AT22" s="199"/>
      <c r="AU22" s="199"/>
      <c r="AV22" s="199"/>
      <c r="AW22" s="155">
        <f t="shared" si="0"/>
        <v>19</v>
      </c>
    </row>
    <row r="23" spans="1:87" s="12" customFormat="1" ht="15">
      <c r="A23" s="40">
        <f t="shared" si="1"/>
        <v>17</v>
      </c>
      <c r="B23" s="19"/>
      <c r="C23" s="41"/>
      <c r="D23" s="19"/>
      <c r="E23" s="19"/>
      <c r="F23" s="19"/>
      <c r="G23" s="19"/>
      <c r="H23" s="13"/>
      <c r="I23" s="13"/>
      <c r="J23" s="218" t="s">
        <v>1643</v>
      </c>
      <c r="K23" s="412" t="s">
        <v>117</v>
      </c>
      <c r="L23" s="204" t="s">
        <v>729</v>
      </c>
      <c r="M23" s="204"/>
      <c r="N23" s="126" t="s">
        <v>504</v>
      </c>
      <c r="O23" s="126"/>
      <c r="P23" s="40"/>
      <c r="Q23" s="126" t="s">
        <v>6</v>
      </c>
      <c r="R23" s="126" t="s">
        <v>6</v>
      </c>
      <c r="S23" s="126" t="s">
        <v>6</v>
      </c>
      <c r="T23" s="40" t="s">
        <v>6</v>
      </c>
      <c r="U23" s="220" t="s">
        <v>730</v>
      </c>
      <c r="V23" s="206"/>
      <c r="W23" s="412" t="s">
        <v>125</v>
      </c>
      <c r="X23" s="59"/>
      <c r="Y23" s="59"/>
      <c r="Z23" s="59"/>
      <c r="AA23" s="61" t="s">
        <v>6</v>
      </c>
      <c r="AB23" s="79"/>
      <c r="AC23" s="59"/>
      <c r="AD23" s="218" t="s">
        <v>809</v>
      </c>
      <c r="AE23" s="412" t="s">
        <v>125</v>
      </c>
      <c r="AF23" s="59"/>
      <c r="AG23" s="59"/>
      <c r="AH23" s="59"/>
      <c r="AI23" s="61" t="s">
        <v>6</v>
      </c>
      <c r="AJ23" s="79"/>
      <c r="AK23" s="59"/>
      <c r="AL23" s="218" t="s">
        <v>809</v>
      </c>
      <c r="AM23" s="43"/>
      <c r="AN23" s="19"/>
      <c r="AO23" s="15"/>
      <c r="AP23" s="15"/>
      <c r="AQ23" s="15"/>
      <c r="AR23" s="15"/>
      <c r="AS23" s="15"/>
      <c r="AT23" s="15"/>
      <c r="AU23" s="13"/>
      <c r="AV23" s="15"/>
      <c r="AW23" s="18">
        <f t="shared" si="0"/>
        <v>18</v>
      </c>
    </row>
    <row r="24" spans="1:87" s="12" customFormat="1" ht="15">
      <c r="A24" s="40">
        <f t="shared" si="1"/>
        <v>18</v>
      </c>
      <c r="B24" s="19"/>
      <c r="C24" s="41"/>
      <c r="D24" s="19"/>
      <c r="E24" s="19"/>
      <c r="F24" s="19"/>
      <c r="G24" s="19"/>
      <c r="H24" s="13"/>
      <c r="I24" s="13"/>
      <c r="J24" s="218" t="s">
        <v>1644</v>
      </c>
      <c r="K24" s="412" t="s">
        <v>117</v>
      </c>
      <c r="L24" s="204" t="s">
        <v>729</v>
      </c>
      <c r="M24" s="204"/>
      <c r="N24" s="126" t="s">
        <v>504</v>
      </c>
      <c r="O24" s="126"/>
      <c r="P24" s="40"/>
      <c r="Q24" s="126" t="s">
        <v>6</v>
      </c>
      <c r="R24" s="126" t="s">
        <v>6</v>
      </c>
      <c r="S24" s="126" t="s">
        <v>6</v>
      </c>
      <c r="T24" s="40" t="s">
        <v>6</v>
      </c>
      <c r="U24" s="220" t="s">
        <v>730</v>
      </c>
      <c r="V24" s="206"/>
      <c r="W24" s="412" t="s">
        <v>125</v>
      </c>
      <c r="X24" s="59"/>
      <c r="Y24" s="59"/>
      <c r="Z24" s="59"/>
      <c r="AA24" s="61" t="s">
        <v>6</v>
      </c>
      <c r="AB24" s="79"/>
      <c r="AC24" s="59"/>
      <c r="AD24" s="218" t="s">
        <v>809</v>
      </c>
      <c r="AE24" s="412" t="s">
        <v>125</v>
      </c>
      <c r="AF24" s="59"/>
      <c r="AG24" s="59"/>
      <c r="AH24" s="59"/>
      <c r="AI24" s="61" t="s">
        <v>6</v>
      </c>
      <c r="AJ24" s="79"/>
      <c r="AK24" s="59"/>
      <c r="AL24" s="218" t="s">
        <v>809</v>
      </c>
      <c r="AM24" s="43"/>
      <c r="AN24" s="19"/>
      <c r="AO24" s="15"/>
      <c r="AP24" s="15"/>
      <c r="AQ24" s="15"/>
      <c r="AR24" s="15"/>
      <c r="AS24" s="15"/>
      <c r="AT24" s="15"/>
      <c r="AU24" s="13"/>
      <c r="AV24" s="15"/>
      <c r="AW24" s="18">
        <f t="shared" si="0"/>
        <v>18</v>
      </c>
    </row>
    <row r="25" spans="1:87" s="236" customFormat="1" ht="15">
      <c r="A25" s="40"/>
      <c r="B25" s="199"/>
      <c r="C25" s="199"/>
      <c r="D25" s="199"/>
      <c r="E25" s="199"/>
      <c r="F25" s="199"/>
      <c r="G25" s="199"/>
      <c r="H25" s="199"/>
      <c r="I25" s="199"/>
      <c r="J25" s="218" t="s">
        <v>3373</v>
      </c>
      <c r="K25" s="204" t="s">
        <v>117</v>
      </c>
      <c r="L25" s="204" t="s">
        <v>732</v>
      </c>
      <c r="M25" s="204"/>
      <c r="N25" s="40" t="s">
        <v>504</v>
      </c>
      <c r="O25" s="199"/>
      <c r="P25" s="199"/>
      <c r="Q25" s="40" t="s">
        <v>6</v>
      </c>
      <c r="R25" s="40" t="s">
        <v>6</v>
      </c>
      <c r="S25" s="40" t="s">
        <v>6</v>
      </c>
      <c r="T25" s="40" t="s">
        <v>6</v>
      </c>
      <c r="U25" s="220" t="s">
        <v>733</v>
      </c>
      <c r="V25" s="204"/>
      <c r="W25" s="204"/>
      <c r="X25" s="199"/>
      <c r="Y25" s="199"/>
      <c r="Z25" s="40"/>
      <c r="AA25" s="40"/>
      <c r="AB25" s="218"/>
      <c r="AC25" s="199"/>
      <c r="AD25" s="218"/>
      <c r="AE25" s="204"/>
      <c r="AF25" s="199"/>
      <c r="AG25" s="199"/>
      <c r="AH25" s="199"/>
      <c r="AI25" s="40"/>
      <c r="AJ25" s="218"/>
      <c r="AK25" s="199"/>
      <c r="AL25" s="218"/>
      <c r="AM25" s="199"/>
      <c r="AN25" s="199"/>
      <c r="AO25" s="199"/>
      <c r="AP25" s="199"/>
      <c r="AQ25" s="199"/>
      <c r="AR25" s="199"/>
      <c r="AS25" s="199"/>
      <c r="AT25" s="199"/>
      <c r="AU25" s="199"/>
      <c r="AV25" s="199"/>
      <c r="AW25" s="155">
        <f t="shared" si="0"/>
        <v>29</v>
      </c>
    </row>
    <row r="26" spans="1:87" s="20" customFormat="1" ht="15">
      <c r="A26" s="40">
        <f t="shared" si="1"/>
        <v>20</v>
      </c>
      <c r="B26" s="59"/>
      <c r="C26" s="59"/>
      <c r="D26" s="59"/>
      <c r="E26" s="59"/>
      <c r="F26" s="59"/>
      <c r="G26" s="59"/>
      <c r="H26" s="59"/>
      <c r="I26" s="59"/>
      <c r="J26" s="218" t="s">
        <v>1645</v>
      </c>
      <c r="K26" s="204" t="s">
        <v>117</v>
      </c>
      <c r="L26" s="204" t="s">
        <v>735</v>
      </c>
      <c r="M26" s="204"/>
      <c r="N26" s="126" t="s">
        <v>504</v>
      </c>
      <c r="O26" s="126"/>
      <c r="P26" s="126"/>
      <c r="Q26" s="40" t="s">
        <v>6</v>
      </c>
      <c r="R26" s="40" t="s">
        <v>6</v>
      </c>
      <c r="S26" s="40" t="s">
        <v>6</v>
      </c>
      <c r="T26" s="40" t="s">
        <v>6</v>
      </c>
      <c r="U26" s="220" t="s">
        <v>730</v>
      </c>
      <c r="V26" s="206"/>
      <c r="W26" s="204" t="s">
        <v>125</v>
      </c>
      <c r="X26" s="59"/>
      <c r="Y26" s="59"/>
      <c r="Z26" s="59"/>
      <c r="AA26" s="40" t="s">
        <v>6</v>
      </c>
      <c r="AB26" s="218"/>
      <c r="AC26" s="59"/>
      <c r="AD26" s="218" t="s">
        <v>809</v>
      </c>
      <c r="AE26" s="204" t="s">
        <v>125</v>
      </c>
      <c r="AF26" s="59"/>
      <c r="AG26" s="59"/>
      <c r="AH26" s="59"/>
      <c r="AI26" s="40" t="s">
        <v>6</v>
      </c>
      <c r="AJ26" s="218"/>
      <c r="AK26" s="59"/>
      <c r="AL26" s="218" t="s">
        <v>809</v>
      </c>
      <c r="AM26" s="59"/>
      <c r="AN26" s="59"/>
      <c r="AO26" s="59"/>
      <c r="AP26" s="59"/>
      <c r="AQ26" s="59"/>
      <c r="AR26" s="59"/>
      <c r="AS26" s="59"/>
      <c r="AT26" s="59"/>
      <c r="AU26" s="59"/>
      <c r="AV26" s="59"/>
      <c r="AW26" s="18">
        <f t="shared" si="0"/>
        <v>14</v>
      </c>
    </row>
    <row r="27" spans="1:87" s="20" customFormat="1" ht="15">
      <c r="A27" s="40">
        <f t="shared" si="1"/>
        <v>21</v>
      </c>
      <c r="B27" s="59"/>
      <c r="C27" s="59"/>
      <c r="D27" s="59"/>
      <c r="E27" s="59"/>
      <c r="F27" s="59"/>
      <c r="G27" s="59"/>
      <c r="H27" s="59"/>
      <c r="I27" s="59"/>
      <c r="J27" s="218" t="s">
        <v>1646</v>
      </c>
      <c r="K27" s="204" t="s">
        <v>117</v>
      </c>
      <c r="L27" s="204" t="s">
        <v>737</v>
      </c>
      <c r="M27" s="204"/>
      <c r="N27" s="126" t="s">
        <v>504</v>
      </c>
      <c r="O27" s="126"/>
      <c r="P27" s="126"/>
      <c r="Q27" s="40" t="s">
        <v>6</v>
      </c>
      <c r="R27" s="40" t="s">
        <v>6</v>
      </c>
      <c r="S27" s="40" t="s">
        <v>6</v>
      </c>
      <c r="T27" s="40" t="s">
        <v>6</v>
      </c>
      <c r="U27" s="220" t="s">
        <v>738</v>
      </c>
      <c r="V27" s="206"/>
      <c r="W27" s="204" t="s">
        <v>125</v>
      </c>
      <c r="X27" s="59"/>
      <c r="Y27" s="59"/>
      <c r="Z27" s="59"/>
      <c r="AA27" s="40" t="s">
        <v>6</v>
      </c>
      <c r="AB27" s="15"/>
      <c r="AC27" s="59"/>
      <c r="AD27" s="218" t="s">
        <v>809</v>
      </c>
      <c r="AE27" s="204" t="s">
        <v>125</v>
      </c>
      <c r="AF27" s="59"/>
      <c r="AG27" s="59"/>
      <c r="AH27" s="59"/>
      <c r="AI27" s="40" t="s">
        <v>6</v>
      </c>
      <c r="AJ27" s="15"/>
      <c r="AK27" s="59"/>
      <c r="AL27" s="218" t="s">
        <v>809</v>
      </c>
      <c r="AM27" s="59"/>
      <c r="AN27" s="59"/>
      <c r="AO27" s="59"/>
      <c r="AP27" s="59"/>
      <c r="AQ27" s="59"/>
      <c r="AR27" s="59"/>
      <c r="AS27" s="59"/>
      <c r="AT27" s="59"/>
      <c r="AU27" s="59"/>
      <c r="AV27" s="59"/>
      <c r="AW27" s="18">
        <f t="shared" si="0"/>
        <v>28</v>
      </c>
    </row>
    <row r="28" spans="1:87" s="18" customFormat="1" ht="26.4">
      <c r="A28" s="40">
        <f t="shared" si="1"/>
        <v>22</v>
      </c>
      <c r="B28" s="19"/>
      <c r="C28" s="41"/>
      <c r="D28" s="19"/>
      <c r="E28" s="19"/>
      <c r="F28" s="19"/>
      <c r="G28" s="19"/>
      <c r="H28" s="13"/>
      <c r="I28" s="13"/>
      <c r="J28" s="218" t="s">
        <v>3316</v>
      </c>
      <c r="K28" s="412" t="s">
        <v>117</v>
      </c>
      <c r="L28" s="204" t="s">
        <v>740</v>
      </c>
      <c r="M28" s="204"/>
      <c r="N28" s="126" t="s">
        <v>504</v>
      </c>
      <c r="O28" s="126"/>
      <c r="P28" s="40"/>
      <c r="Q28" s="126" t="s">
        <v>6</v>
      </c>
      <c r="R28" s="126" t="s">
        <v>6</v>
      </c>
      <c r="S28" s="126" t="s">
        <v>6</v>
      </c>
      <c r="T28" s="40" t="s">
        <v>6</v>
      </c>
      <c r="U28" s="220" t="s">
        <v>741</v>
      </c>
      <c r="V28" s="204"/>
      <c r="W28" s="204" t="s">
        <v>125</v>
      </c>
      <c r="X28" s="199"/>
      <c r="Y28" s="199"/>
      <c r="Z28" s="40" t="s">
        <v>6</v>
      </c>
      <c r="AA28" s="40" t="s">
        <v>6</v>
      </c>
      <c r="AB28" s="218"/>
      <c r="AC28" s="199"/>
      <c r="AD28" s="218" t="s">
        <v>709</v>
      </c>
      <c r="AE28" s="204" t="s">
        <v>125</v>
      </c>
      <c r="AF28" s="199"/>
      <c r="AG28" s="199"/>
      <c r="AH28" s="199"/>
      <c r="AI28" s="40" t="s">
        <v>6</v>
      </c>
      <c r="AJ28" s="218"/>
      <c r="AK28" s="199"/>
      <c r="AL28" s="218" t="s">
        <v>709</v>
      </c>
      <c r="AM28" s="199"/>
      <c r="AN28" s="199"/>
      <c r="AO28" s="199"/>
      <c r="AP28" s="199"/>
      <c r="AQ28" s="199"/>
      <c r="AR28" s="199"/>
      <c r="AS28" s="199"/>
      <c r="AT28" s="199"/>
      <c r="AU28" s="199"/>
      <c r="AV28" s="199"/>
      <c r="AW28" s="18">
        <f t="shared" si="0"/>
        <v>26</v>
      </c>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row>
    <row r="29" spans="1:87" s="20" customFormat="1" ht="15">
      <c r="A29" s="40">
        <f t="shared" si="1"/>
        <v>23</v>
      </c>
      <c r="B29" s="59"/>
      <c r="C29" s="59"/>
      <c r="D29" s="59"/>
      <c r="E29" s="59"/>
      <c r="F29" s="59"/>
      <c r="G29" s="59"/>
      <c r="H29" s="59"/>
      <c r="I29" s="59"/>
      <c r="J29" s="218" t="s">
        <v>1647</v>
      </c>
      <c r="K29" s="232" t="s">
        <v>134</v>
      </c>
      <c r="L29" s="204" t="s">
        <v>744</v>
      </c>
      <c r="M29" s="204"/>
      <c r="N29" s="126" t="s">
        <v>504</v>
      </c>
      <c r="O29" s="126"/>
      <c r="P29" s="126"/>
      <c r="Q29" s="40" t="s">
        <v>6</v>
      </c>
      <c r="R29" s="40" t="s">
        <v>6</v>
      </c>
      <c r="S29" s="40" t="s">
        <v>6</v>
      </c>
      <c r="T29" s="40" t="s">
        <v>6</v>
      </c>
      <c r="U29" s="216"/>
      <c r="V29" s="206"/>
      <c r="W29" s="232" t="s">
        <v>137</v>
      </c>
      <c r="X29" s="59"/>
      <c r="Y29" s="59"/>
      <c r="Z29" s="59"/>
      <c r="AA29" s="40" t="s">
        <v>6</v>
      </c>
      <c r="AB29" s="15"/>
      <c r="AC29" s="59"/>
      <c r="AD29" s="218" t="s">
        <v>809</v>
      </c>
      <c r="AE29" s="232" t="s">
        <v>137</v>
      </c>
      <c r="AF29" s="59"/>
      <c r="AG29" s="59"/>
      <c r="AH29" s="59"/>
      <c r="AI29" s="40" t="s">
        <v>6</v>
      </c>
      <c r="AJ29" s="15"/>
      <c r="AK29" s="59"/>
      <c r="AL29" s="218" t="s">
        <v>809</v>
      </c>
      <c r="AM29" s="59"/>
      <c r="AN29" s="59"/>
      <c r="AO29" s="59"/>
      <c r="AP29" s="59"/>
      <c r="AQ29" s="59"/>
      <c r="AR29" s="59"/>
      <c r="AS29" s="59"/>
      <c r="AT29" s="59"/>
      <c r="AU29" s="59"/>
      <c r="AV29" s="59"/>
      <c r="AW29" s="18">
        <f t="shared" si="0"/>
        <v>17</v>
      </c>
    </row>
    <row r="30" spans="1:87" s="20" customFormat="1" ht="25.5" customHeight="1">
      <c r="A30" s="40">
        <f t="shared" si="1"/>
        <v>24</v>
      </c>
      <c r="B30" s="59"/>
      <c r="C30" s="59"/>
      <c r="D30" s="59"/>
      <c r="E30" s="59"/>
      <c r="F30" s="59"/>
      <c r="G30" s="59"/>
      <c r="H30" s="59"/>
      <c r="I30" s="59"/>
      <c r="J30" s="218" t="s">
        <v>1648</v>
      </c>
      <c r="K30" s="412" t="s">
        <v>117</v>
      </c>
      <c r="L30" s="204" t="s">
        <v>759</v>
      </c>
      <c r="M30" s="204"/>
      <c r="N30" s="126" t="s">
        <v>504</v>
      </c>
      <c r="O30" s="126"/>
      <c r="P30" s="126"/>
      <c r="Q30" s="40" t="s">
        <v>6</v>
      </c>
      <c r="R30" s="40" t="s">
        <v>6</v>
      </c>
      <c r="S30" s="40" t="s">
        <v>6</v>
      </c>
      <c r="T30" s="40" t="s">
        <v>6</v>
      </c>
      <c r="U30" s="220"/>
      <c r="V30" s="206"/>
      <c r="W30" s="412" t="s">
        <v>125</v>
      </c>
      <c r="X30" s="59"/>
      <c r="Y30" s="59"/>
      <c r="Z30" s="59"/>
      <c r="AA30" s="40" t="s">
        <v>6</v>
      </c>
      <c r="AB30" s="15"/>
      <c r="AC30" s="59"/>
      <c r="AD30" s="218" t="s">
        <v>809</v>
      </c>
      <c r="AE30" s="412" t="s">
        <v>125</v>
      </c>
      <c r="AF30" s="59"/>
      <c r="AG30" s="59"/>
      <c r="AH30" s="59"/>
      <c r="AI30" s="40" t="s">
        <v>6</v>
      </c>
      <c r="AJ30" s="15"/>
      <c r="AK30" s="59"/>
      <c r="AL30" s="218" t="s">
        <v>809</v>
      </c>
      <c r="AM30" s="59"/>
      <c r="AN30" s="59"/>
      <c r="AO30" s="59"/>
      <c r="AP30" s="59"/>
      <c r="AQ30" s="59"/>
      <c r="AR30" s="59"/>
      <c r="AS30" s="59"/>
      <c r="AT30" s="59"/>
      <c r="AU30" s="59"/>
      <c r="AV30" s="59"/>
      <c r="AW30" s="18">
        <f t="shared" si="0"/>
        <v>33</v>
      </c>
    </row>
    <row r="31" spans="1:87" s="236" customFormat="1" ht="15">
      <c r="A31" s="40">
        <f t="shared" si="1"/>
        <v>25</v>
      </c>
      <c r="B31" s="199"/>
      <c r="C31" s="199"/>
      <c r="D31" s="199"/>
      <c r="E31" s="199"/>
      <c r="F31" s="199"/>
      <c r="G31" s="199"/>
      <c r="H31" s="199"/>
      <c r="I31" s="199" t="s">
        <v>868</v>
      </c>
      <c r="J31" s="218" t="s">
        <v>1649</v>
      </c>
      <c r="K31" s="232" t="s">
        <v>117</v>
      </c>
      <c r="L31" s="204" t="s">
        <v>763</v>
      </c>
      <c r="M31" s="204"/>
      <c r="N31" s="126" t="s">
        <v>504</v>
      </c>
      <c r="O31" s="126"/>
      <c r="P31" s="126"/>
      <c r="Q31" s="40" t="s">
        <v>6</v>
      </c>
      <c r="R31" s="40" t="s">
        <v>6</v>
      </c>
      <c r="S31" s="126" t="s">
        <v>6</v>
      </c>
      <c r="T31" s="40" t="s">
        <v>6</v>
      </c>
      <c r="U31" s="220"/>
      <c r="V31" s="204"/>
      <c r="W31" s="232" t="s">
        <v>125</v>
      </c>
      <c r="X31" s="211"/>
      <c r="Y31" s="211"/>
      <c r="Z31" s="211"/>
      <c r="AA31" s="126" t="s">
        <v>6</v>
      </c>
      <c r="AB31" s="198"/>
      <c r="AC31" s="199"/>
      <c r="AD31" s="199"/>
      <c r="AE31" s="232" t="s">
        <v>125</v>
      </c>
      <c r="AF31" s="211"/>
      <c r="AG31" s="211"/>
      <c r="AH31" s="211"/>
      <c r="AI31" s="126" t="s">
        <v>6</v>
      </c>
      <c r="AJ31" s="198"/>
      <c r="AK31" s="199"/>
      <c r="AL31" s="199"/>
      <c r="AM31" s="199"/>
      <c r="AN31" s="199"/>
      <c r="AO31" s="199"/>
      <c r="AP31" s="199"/>
      <c r="AQ31" s="199"/>
      <c r="AR31" s="199"/>
      <c r="AS31" s="199"/>
      <c r="AT31" s="199"/>
      <c r="AU31" s="199"/>
      <c r="AV31" s="199"/>
      <c r="AW31" s="155">
        <f t="shared" si="0"/>
        <v>24</v>
      </c>
    </row>
    <row r="32" spans="1:87" s="236" customFormat="1" ht="15">
      <c r="A32" s="40">
        <f t="shared" si="1"/>
        <v>26</v>
      </c>
      <c r="B32" s="199"/>
      <c r="C32" s="199"/>
      <c r="D32" s="199"/>
      <c r="E32" s="199"/>
      <c r="F32" s="199"/>
      <c r="G32" s="199"/>
      <c r="H32" s="199"/>
      <c r="I32" s="199" t="s">
        <v>868</v>
      </c>
      <c r="J32" s="218" t="s">
        <v>1650</v>
      </c>
      <c r="K32" s="232" t="s">
        <v>117</v>
      </c>
      <c r="L32" s="204" t="s">
        <v>765</v>
      </c>
      <c r="M32" s="204"/>
      <c r="N32" s="126" t="s">
        <v>504</v>
      </c>
      <c r="O32" s="126"/>
      <c r="P32" s="126"/>
      <c r="Q32" s="40" t="s">
        <v>6</v>
      </c>
      <c r="R32" s="40" t="s">
        <v>6</v>
      </c>
      <c r="S32" s="126" t="s">
        <v>6</v>
      </c>
      <c r="T32" s="40" t="s">
        <v>6</v>
      </c>
      <c r="U32" s="216"/>
      <c r="V32" s="204"/>
      <c r="W32" s="232" t="s">
        <v>125</v>
      </c>
      <c r="X32" s="199"/>
      <c r="Y32" s="199"/>
      <c r="Z32" s="199"/>
      <c r="AA32" s="126" t="s">
        <v>6</v>
      </c>
      <c r="AB32" s="198"/>
      <c r="AC32" s="199"/>
      <c r="AD32" s="199"/>
      <c r="AE32" s="232" t="s">
        <v>125</v>
      </c>
      <c r="AF32" s="199"/>
      <c r="AG32" s="199"/>
      <c r="AH32" s="199"/>
      <c r="AI32" s="126" t="s">
        <v>6</v>
      </c>
      <c r="AJ32" s="198"/>
      <c r="AK32" s="199"/>
      <c r="AL32" s="199"/>
      <c r="AM32" s="199"/>
      <c r="AN32" s="199"/>
      <c r="AO32" s="199"/>
      <c r="AP32" s="199"/>
      <c r="AQ32" s="199"/>
      <c r="AR32" s="199"/>
      <c r="AS32" s="199"/>
      <c r="AT32" s="199"/>
      <c r="AU32" s="199"/>
      <c r="AV32" s="199"/>
      <c r="AW32" s="155">
        <f t="shared" si="0"/>
        <v>25</v>
      </c>
    </row>
    <row r="33" spans="1:87" s="236" customFormat="1" ht="15">
      <c r="A33" s="40">
        <f t="shared" si="1"/>
        <v>27</v>
      </c>
      <c r="B33" s="199"/>
      <c r="C33" s="199"/>
      <c r="D33" s="199"/>
      <c r="E33" s="199"/>
      <c r="F33" s="199"/>
      <c r="G33" s="199"/>
      <c r="H33" s="199"/>
      <c r="I33" s="199" t="s">
        <v>868</v>
      </c>
      <c r="J33" s="218" t="s">
        <v>1651</v>
      </c>
      <c r="K33" s="232" t="s">
        <v>117</v>
      </c>
      <c r="L33" s="204" t="s">
        <v>767</v>
      </c>
      <c r="M33" s="204"/>
      <c r="N33" s="126" t="s">
        <v>504</v>
      </c>
      <c r="O33" s="126"/>
      <c r="P33" s="126"/>
      <c r="Q33" s="40" t="s">
        <v>6</v>
      </c>
      <c r="R33" s="40" t="s">
        <v>6</v>
      </c>
      <c r="S33" s="126" t="s">
        <v>6</v>
      </c>
      <c r="T33" s="40" t="s">
        <v>6</v>
      </c>
      <c r="U33" s="216"/>
      <c r="V33" s="204"/>
      <c r="W33" s="232" t="s">
        <v>125</v>
      </c>
      <c r="X33" s="199"/>
      <c r="Y33" s="199"/>
      <c r="Z33" s="199"/>
      <c r="AA33" s="126" t="s">
        <v>6</v>
      </c>
      <c r="AB33" s="198"/>
      <c r="AC33" s="199"/>
      <c r="AD33" s="199"/>
      <c r="AE33" s="232" t="s">
        <v>125</v>
      </c>
      <c r="AF33" s="199"/>
      <c r="AG33" s="199"/>
      <c r="AH33" s="199"/>
      <c r="AI33" s="126" t="s">
        <v>6</v>
      </c>
      <c r="AJ33" s="198"/>
      <c r="AK33" s="199"/>
      <c r="AL33" s="199"/>
      <c r="AM33" s="199"/>
      <c r="AN33" s="199"/>
      <c r="AO33" s="199"/>
      <c r="AP33" s="199"/>
      <c r="AQ33" s="199"/>
      <c r="AR33" s="199"/>
      <c r="AS33" s="199"/>
      <c r="AT33" s="199"/>
      <c r="AU33" s="199"/>
      <c r="AV33" s="199"/>
      <c r="AW33" s="155">
        <f t="shared" si="0"/>
        <v>25</v>
      </c>
    </row>
    <row r="34" spans="1:87" s="236" customFormat="1" ht="15">
      <c r="A34" s="40">
        <f t="shared" si="1"/>
        <v>28</v>
      </c>
      <c r="B34" s="199"/>
      <c r="C34" s="199"/>
      <c r="D34" s="199"/>
      <c r="E34" s="199"/>
      <c r="F34" s="199"/>
      <c r="G34" s="199"/>
      <c r="H34" s="199"/>
      <c r="I34" s="199"/>
      <c r="J34" s="218" t="s">
        <v>3341</v>
      </c>
      <c r="K34" s="232" t="s">
        <v>117</v>
      </c>
      <c r="L34" s="204" t="s">
        <v>3333</v>
      </c>
      <c r="M34" s="204"/>
      <c r="N34" s="126" t="s">
        <v>504</v>
      </c>
      <c r="O34" s="126"/>
      <c r="P34" s="126"/>
      <c r="Q34" s="40"/>
      <c r="R34" s="40" t="s">
        <v>6</v>
      </c>
      <c r="S34" s="126" t="s">
        <v>6</v>
      </c>
      <c r="T34" s="40" t="s">
        <v>6</v>
      </c>
      <c r="U34" s="216"/>
      <c r="V34" s="204"/>
      <c r="W34" s="204" t="s">
        <v>133</v>
      </c>
      <c r="X34" s="199"/>
      <c r="Y34" s="199"/>
      <c r="Z34" s="40" t="s">
        <v>6</v>
      </c>
      <c r="AA34" s="126" t="s">
        <v>6</v>
      </c>
      <c r="AB34" s="198"/>
      <c r="AC34" s="199"/>
      <c r="AD34" s="199"/>
      <c r="AE34" s="232" t="s">
        <v>125</v>
      </c>
      <c r="AF34" s="199"/>
      <c r="AG34" s="199"/>
      <c r="AH34" s="199"/>
      <c r="AI34" s="126" t="s">
        <v>6</v>
      </c>
      <c r="AJ34" s="198"/>
      <c r="AK34" s="199"/>
      <c r="AL34" s="199"/>
      <c r="AM34" s="199"/>
      <c r="AN34" s="199"/>
      <c r="AO34" s="199"/>
      <c r="AP34" s="199"/>
      <c r="AQ34" s="199"/>
      <c r="AR34" s="199"/>
      <c r="AS34" s="199"/>
      <c r="AT34" s="199"/>
      <c r="AU34" s="199"/>
      <c r="AV34" s="199"/>
      <c r="AW34" s="155">
        <f t="shared" si="0"/>
        <v>32</v>
      </c>
    </row>
    <row r="35" spans="1:87" s="236" customFormat="1" ht="15">
      <c r="A35" s="40">
        <f t="shared" si="1"/>
        <v>29</v>
      </c>
      <c r="B35" s="199"/>
      <c r="C35" s="199"/>
      <c r="D35" s="199"/>
      <c r="E35" s="199"/>
      <c r="F35" s="199"/>
      <c r="G35" s="199"/>
      <c r="H35" s="199"/>
      <c r="I35" s="199"/>
      <c r="J35" s="218" t="s">
        <v>3342</v>
      </c>
      <c r="K35" s="232" t="s">
        <v>117</v>
      </c>
      <c r="L35" s="204" t="s">
        <v>3335</v>
      </c>
      <c r="M35" s="204"/>
      <c r="N35" s="126" t="s">
        <v>504</v>
      </c>
      <c r="O35" s="126"/>
      <c r="P35" s="126"/>
      <c r="Q35" s="40"/>
      <c r="R35" s="40" t="s">
        <v>6</v>
      </c>
      <c r="S35" s="126" t="s">
        <v>6</v>
      </c>
      <c r="T35" s="40" t="s">
        <v>6</v>
      </c>
      <c r="U35" s="216"/>
      <c r="V35" s="204"/>
      <c r="W35" s="204" t="s">
        <v>133</v>
      </c>
      <c r="X35" s="199"/>
      <c r="Y35" s="199"/>
      <c r="Z35" s="40" t="s">
        <v>6</v>
      </c>
      <c r="AA35" s="126" t="s">
        <v>6</v>
      </c>
      <c r="AB35" s="198"/>
      <c r="AC35" s="199"/>
      <c r="AD35" s="199"/>
      <c r="AE35" s="232" t="s">
        <v>125</v>
      </c>
      <c r="AF35" s="199"/>
      <c r="AG35" s="199"/>
      <c r="AH35" s="199"/>
      <c r="AI35" s="126" t="s">
        <v>6</v>
      </c>
      <c r="AJ35" s="198"/>
      <c r="AK35" s="199"/>
      <c r="AL35" s="199"/>
      <c r="AM35" s="199"/>
      <c r="AN35" s="199"/>
      <c r="AO35" s="199"/>
      <c r="AP35" s="199"/>
      <c r="AQ35" s="199"/>
      <c r="AR35" s="199"/>
      <c r="AS35" s="199"/>
      <c r="AT35" s="199"/>
      <c r="AU35" s="199"/>
      <c r="AV35" s="199"/>
      <c r="AW35" s="155">
        <f t="shared" si="0"/>
        <v>32</v>
      </c>
    </row>
    <row r="36" spans="1:87" s="236" customFormat="1" ht="15">
      <c r="A36" s="40">
        <f t="shared" si="1"/>
        <v>30</v>
      </c>
      <c r="B36" s="199"/>
      <c r="C36" s="199"/>
      <c r="D36" s="199"/>
      <c r="E36" s="199"/>
      <c r="F36" s="199"/>
      <c r="G36" s="199"/>
      <c r="H36" s="199"/>
      <c r="I36" s="199"/>
      <c r="J36" s="218" t="s">
        <v>3343</v>
      </c>
      <c r="K36" s="232" t="s">
        <v>117</v>
      </c>
      <c r="L36" s="204" t="s">
        <v>3337</v>
      </c>
      <c r="M36" s="204"/>
      <c r="N36" s="126" t="s">
        <v>504</v>
      </c>
      <c r="O36" s="126"/>
      <c r="P36" s="126"/>
      <c r="Q36" s="40"/>
      <c r="R36" s="40" t="s">
        <v>6</v>
      </c>
      <c r="S36" s="126" t="s">
        <v>6</v>
      </c>
      <c r="T36" s="40" t="s">
        <v>6</v>
      </c>
      <c r="U36" s="216"/>
      <c r="V36" s="204"/>
      <c r="W36" s="204" t="s">
        <v>133</v>
      </c>
      <c r="X36" s="199"/>
      <c r="Y36" s="199"/>
      <c r="Z36" s="40" t="s">
        <v>6</v>
      </c>
      <c r="AA36" s="126" t="s">
        <v>6</v>
      </c>
      <c r="AB36" s="198"/>
      <c r="AC36" s="199"/>
      <c r="AD36" s="199"/>
      <c r="AE36" s="232" t="s">
        <v>125</v>
      </c>
      <c r="AF36" s="199"/>
      <c r="AG36" s="199"/>
      <c r="AH36" s="199"/>
      <c r="AI36" s="126" t="s">
        <v>6</v>
      </c>
      <c r="AJ36" s="198"/>
      <c r="AK36" s="199"/>
      <c r="AL36" s="199"/>
      <c r="AM36" s="199"/>
      <c r="AN36" s="199"/>
      <c r="AO36" s="199"/>
      <c r="AP36" s="199"/>
      <c r="AQ36" s="199"/>
      <c r="AR36" s="199"/>
      <c r="AS36" s="199"/>
      <c r="AT36" s="199"/>
      <c r="AU36" s="199"/>
      <c r="AV36" s="199"/>
      <c r="AW36" s="155">
        <f t="shared" si="0"/>
        <v>32</v>
      </c>
    </row>
    <row r="37" spans="1:87" s="20" customFormat="1" ht="15">
      <c r="A37" s="40">
        <f t="shared" si="1"/>
        <v>31</v>
      </c>
      <c r="B37" s="38"/>
      <c r="C37" s="41"/>
      <c r="D37" s="19"/>
      <c r="E37" s="43"/>
      <c r="F37" s="43"/>
      <c r="G37" s="43"/>
      <c r="H37" s="13"/>
      <c r="I37" s="13"/>
      <c r="J37" s="412" t="s">
        <v>1652</v>
      </c>
      <c r="K37" s="412" t="s">
        <v>117</v>
      </c>
      <c r="L37" s="412" t="s">
        <v>695</v>
      </c>
      <c r="M37" s="412"/>
      <c r="N37" s="126" t="s">
        <v>504</v>
      </c>
      <c r="O37" s="126"/>
      <c r="P37" s="126"/>
      <c r="Q37" s="126"/>
      <c r="R37" s="40" t="s">
        <v>6</v>
      </c>
      <c r="S37" s="126" t="s">
        <v>6</v>
      </c>
      <c r="T37" s="416" t="s">
        <v>6</v>
      </c>
      <c r="U37" s="79" t="s">
        <v>802</v>
      </c>
      <c r="V37" s="232"/>
      <c r="W37" s="412" t="s">
        <v>125</v>
      </c>
      <c r="X37" s="59"/>
      <c r="Y37" s="59"/>
      <c r="Z37" s="59"/>
      <c r="AA37" s="61" t="s">
        <v>6</v>
      </c>
      <c r="AB37" s="59"/>
      <c r="AC37" s="59"/>
      <c r="AD37" s="59"/>
      <c r="AE37" s="412" t="s">
        <v>125</v>
      </c>
      <c r="AF37" s="59"/>
      <c r="AG37" s="59"/>
      <c r="AH37" s="59"/>
      <c r="AI37" s="61" t="s">
        <v>6</v>
      </c>
      <c r="AJ37" s="59"/>
      <c r="AK37" s="59"/>
      <c r="AL37" s="59"/>
      <c r="AM37" s="43"/>
      <c r="AN37" s="13"/>
      <c r="AO37" s="15"/>
      <c r="AP37" s="15"/>
      <c r="AQ37" s="15"/>
      <c r="AR37" s="15"/>
      <c r="AS37" s="15"/>
      <c r="AT37" s="15"/>
      <c r="AU37" s="15"/>
      <c r="AV37" s="19"/>
      <c r="AW37" s="18">
        <f t="shared" ref="AW37:AW109" si="2">LEN(L37)</f>
        <v>23</v>
      </c>
    </row>
    <row r="38" spans="1:87" s="20" customFormat="1" ht="15">
      <c r="A38" s="40">
        <f t="shared" si="1"/>
        <v>32</v>
      </c>
      <c r="B38" s="19"/>
      <c r="C38" s="41"/>
      <c r="D38" s="19"/>
      <c r="E38" s="19"/>
      <c r="F38" s="19"/>
      <c r="G38" s="19"/>
      <c r="H38" s="13"/>
      <c r="I38" s="13"/>
      <c r="J38" s="412" t="s">
        <v>1653</v>
      </c>
      <c r="K38" s="412" t="s">
        <v>128</v>
      </c>
      <c r="L38" s="412" t="s">
        <v>693</v>
      </c>
      <c r="M38" s="412"/>
      <c r="N38" s="126" t="s">
        <v>504</v>
      </c>
      <c r="O38" s="126"/>
      <c r="P38" s="126"/>
      <c r="Q38" s="126"/>
      <c r="R38" s="126" t="s">
        <v>6</v>
      </c>
      <c r="S38" s="126" t="s">
        <v>6</v>
      </c>
      <c r="T38" s="416" t="s">
        <v>6</v>
      </c>
      <c r="U38" s="79" t="s">
        <v>802</v>
      </c>
      <c r="V38" s="232"/>
      <c r="W38" s="412" t="s">
        <v>125</v>
      </c>
      <c r="X38" s="59"/>
      <c r="Y38" s="59"/>
      <c r="Z38" s="59"/>
      <c r="AA38" s="61" t="s">
        <v>6</v>
      </c>
      <c r="AB38" s="59"/>
      <c r="AC38" s="59"/>
      <c r="AD38" s="59"/>
      <c r="AE38" s="412" t="s">
        <v>125</v>
      </c>
      <c r="AF38" s="59"/>
      <c r="AG38" s="59"/>
      <c r="AH38" s="59"/>
      <c r="AI38" s="61" t="s">
        <v>6</v>
      </c>
      <c r="AJ38" s="59"/>
      <c r="AK38" s="59"/>
      <c r="AL38" s="59"/>
      <c r="AM38" s="43"/>
      <c r="AN38" s="13"/>
      <c r="AO38" s="15"/>
      <c r="AP38" s="15"/>
      <c r="AQ38" s="15"/>
      <c r="AR38" s="15"/>
      <c r="AS38" s="15"/>
      <c r="AT38" s="15"/>
      <c r="AU38" s="15"/>
      <c r="AV38" s="19"/>
      <c r="AW38" s="18">
        <f t="shared" si="2"/>
        <v>23</v>
      </c>
    </row>
    <row r="39" spans="1:87" s="20" customFormat="1" ht="15">
      <c r="A39" s="40">
        <f t="shared" si="1"/>
        <v>33</v>
      </c>
      <c r="B39" s="19"/>
      <c r="C39" s="41"/>
      <c r="D39" s="19"/>
      <c r="E39" s="19"/>
      <c r="F39" s="19"/>
      <c r="G39" s="19"/>
      <c r="H39" s="13"/>
      <c r="I39" s="13"/>
      <c r="J39" s="412" t="s">
        <v>1654</v>
      </c>
      <c r="K39" s="412" t="s">
        <v>117</v>
      </c>
      <c r="L39" s="412" t="s">
        <v>697</v>
      </c>
      <c r="M39" s="412"/>
      <c r="N39" s="126" t="s">
        <v>504</v>
      </c>
      <c r="O39" s="126"/>
      <c r="P39" s="126"/>
      <c r="Q39" s="126"/>
      <c r="R39" s="126" t="s">
        <v>6</v>
      </c>
      <c r="S39" s="126" t="s">
        <v>6</v>
      </c>
      <c r="T39" s="416" t="s">
        <v>6</v>
      </c>
      <c r="U39" s="79" t="s">
        <v>802</v>
      </c>
      <c r="V39" s="232"/>
      <c r="W39" s="412" t="s">
        <v>125</v>
      </c>
      <c r="X39" s="59"/>
      <c r="Y39" s="59"/>
      <c r="Z39" s="59"/>
      <c r="AA39" s="61" t="s">
        <v>6</v>
      </c>
      <c r="AB39" s="59"/>
      <c r="AC39" s="59"/>
      <c r="AD39" s="59"/>
      <c r="AE39" s="412" t="s">
        <v>125</v>
      </c>
      <c r="AF39" s="59"/>
      <c r="AG39" s="59"/>
      <c r="AH39" s="59"/>
      <c r="AI39" s="61" t="s">
        <v>6</v>
      </c>
      <c r="AJ39" s="59"/>
      <c r="AK39" s="59"/>
      <c r="AL39" s="59"/>
      <c r="AM39" s="43"/>
      <c r="AN39" s="19"/>
      <c r="AO39" s="13"/>
      <c r="AP39" s="13"/>
      <c r="AQ39" s="13"/>
      <c r="AR39" s="13"/>
      <c r="AS39" s="13"/>
      <c r="AT39" s="13"/>
      <c r="AU39" s="15"/>
      <c r="AV39" s="15"/>
      <c r="AW39" s="18">
        <f t="shared" si="2"/>
        <v>28</v>
      </c>
    </row>
    <row r="40" spans="1:87" s="236" customFormat="1" ht="15">
      <c r="A40" s="40">
        <f t="shared" si="1"/>
        <v>34</v>
      </c>
      <c r="B40" s="199"/>
      <c r="C40" s="199"/>
      <c r="D40" s="199"/>
      <c r="E40" s="199"/>
      <c r="F40" s="199"/>
      <c r="G40" s="199"/>
      <c r="H40" s="199"/>
      <c r="I40" s="199"/>
      <c r="J40" s="218" t="s">
        <v>1655</v>
      </c>
      <c r="K40" s="412" t="s">
        <v>117</v>
      </c>
      <c r="L40" s="204" t="s">
        <v>699</v>
      </c>
      <c r="M40" s="204"/>
      <c r="N40" s="40" t="s">
        <v>504</v>
      </c>
      <c r="O40" s="199"/>
      <c r="P40" s="199"/>
      <c r="Q40" s="40"/>
      <c r="R40" s="40" t="s">
        <v>6</v>
      </c>
      <c r="S40" s="40" t="s">
        <v>6</v>
      </c>
      <c r="T40" s="126" t="s">
        <v>6</v>
      </c>
      <c r="U40" s="79" t="s">
        <v>802</v>
      </c>
      <c r="V40" s="198"/>
      <c r="W40" s="204" t="s">
        <v>125</v>
      </c>
      <c r="X40" s="199"/>
      <c r="Y40" s="199"/>
      <c r="Z40" s="199"/>
      <c r="AA40" s="40" t="s">
        <v>6</v>
      </c>
      <c r="AB40" s="198"/>
      <c r="AC40" s="199"/>
      <c r="AD40" s="199"/>
      <c r="AE40" s="204" t="s">
        <v>125</v>
      </c>
      <c r="AF40" s="199"/>
      <c r="AG40" s="199"/>
      <c r="AH40" s="199"/>
      <c r="AI40" s="40" t="s">
        <v>6</v>
      </c>
      <c r="AJ40" s="198"/>
      <c r="AK40" s="199"/>
      <c r="AL40" s="199"/>
      <c r="AM40" s="199"/>
      <c r="AN40" s="199"/>
      <c r="AO40" s="199"/>
      <c r="AP40" s="199"/>
      <c r="AQ40" s="199"/>
      <c r="AR40" s="199"/>
      <c r="AS40" s="199"/>
      <c r="AT40" s="199"/>
      <c r="AU40" s="199"/>
      <c r="AV40" s="199"/>
      <c r="AW40" s="155">
        <f>LEN(L40)</f>
        <v>32</v>
      </c>
    </row>
    <row r="41" spans="1:87" s="20" customFormat="1" ht="15">
      <c r="A41" s="40">
        <f t="shared" si="1"/>
        <v>35</v>
      </c>
      <c r="B41" s="59"/>
      <c r="C41" s="59"/>
      <c r="D41" s="59"/>
      <c r="E41" s="59"/>
      <c r="F41" s="59"/>
      <c r="G41" s="59"/>
      <c r="H41" s="59"/>
      <c r="I41" s="59"/>
      <c r="J41" s="218" t="s">
        <v>1616</v>
      </c>
      <c r="K41" s="204" t="s">
        <v>125</v>
      </c>
      <c r="L41" s="204" t="s">
        <v>798</v>
      </c>
      <c r="M41" s="204"/>
      <c r="N41" s="126" t="s">
        <v>504</v>
      </c>
      <c r="O41" s="126"/>
      <c r="P41" s="126"/>
      <c r="Q41" s="40"/>
      <c r="R41" s="40"/>
      <c r="S41" s="40" t="s">
        <v>6</v>
      </c>
      <c r="T41" s="416" t="s">
        <v>6</v>
      </c>
      <c r="U41" s="503"/>
      <c r="V41" s="216"/>
      <c r="W41" s="204" t="s">
        <v>125</v>
      </c>
      <c r="X41" s="59"/>
      <c r="Y41" s="59"/>
      <c r="Z41" s="59"/>
      <c r="AA41" s="40" t="s">
        <v>6</v>
      </c>
      <c r="AB41" s="216" t="e">
        <f>"Agrupamento itens "&amp;#REF!&amp;" a "&amp;#REF!</f>
        <v>#REF!</v>
      </c>
      <c r="AC41" s="59"/>
      <c r="AD41" s="59"/>
      <c r="AE41" s="204" t="s">
        <v>125</v>
      </c>
      <c r="AF41" s="59"/>
      <c r="AG41" s="59"/>
      <c r="AH41" s="59"/>
      <c r="AI41" s="40" t="s">
        <v>6</v>
      </c>
      <c r="AJ41" s="15"/>
      <c r="AK41" s="59"/>
      <c r="AL41" s="59"/>
      <c r="AM41" s="199" t="s">
        <v>1656</v>
      </c>
      <c r="AN41" s="59"/>
      <c r="AO41" s="59"/>
      <c r="AP41" s="59"/>
      <c r="AQ41" s="59"/>
      <c r="AR41" s="59"/>
      <c r="AS41" s="59"/>
      <c r="AT41" s="59"/>
      <c r="AU41" s="59"/>
      <c r="AV41" s="59"/>
      <c r="AW41" s="18">
        <f t="shared" si="2"/>
        <v>29</v>
      </c>
    </row>
    <row r="42" spans="1:87" s="236" customFormat="1" ht="26.4">
      <c r="A42" s="40">
        <f t="shared" si="1"/>
        <v>36</v>
      </c>
      <c r="B42" s="199"/>
      <c r="C42" s="199"/>
      <c r="D42" s="199"/>
      <c r="E42" s="199"/>
      <c r="F42" s="199"/>
      <c r="G42" s="199"/>
      <c r="H42" s="199"/>
      <c r="I42" s="199"/>
      <c r="J42" s="218" t="s">
        <v>1657</v>
      </c>
      <c r="K42" s="204" t="s">
        <v>140</v>
      </c>
      <c r="L42" s="204" t="s">
        <v>749</v>
      </c>
      <c r="M42" s="204"/>
      <c r="N42" s="40" t="s">
        <v>504</v>
      </c>
      <c r="O42" s="199"/>
      <c r="P42" s="199"/>
      <c r="Q42" s="40" t="s">
        <v>6</v>
      </c>
      <c r="R42" s="40" t="s">
        <v>6</v>
      </c>
      <c r="S42" s="40" t="s">
        <v>6</v>
      </c>
      <c r="T42" s="126" t="s">
        <v>6</v>
      </c>
      <c r="U42" s="220"/>
      <c r="V42" s="204"/>
      <c r="W42" s="204" t="s">
        <v>140</v>
      </c>
      <c r="X42" s="199"/>
      <c r="Y42" s="199"/>
      <c r="Z42" s="40" t="s">
        <v>6</v>
      </c>
      <c r="AA42" s="40" t="s">
        <v>6</v>
      </c>
      <c r="AB42" s="218"/>
      <c r="AC42" s="199"/>
      <c r="AD42" s="218" t="s">
        <v>709</v>
      </c>
      <c r="AE42" s="204" t="s">
        <v>140</v>
      </c>
      <c r="AF42" s="199"/>
      <c r="AG42" s="199"/>
      <c r="AH42" s="199"/>
      <c r="AI42" s="40" t="s">
        <v>6</v>
      </c>
      <c r="AJ42" s="218"/>
      <c r="AK42" s="199"/>
      <c r="AL42" s="218" t="s">
        <v>709</v>
      </c>
      <c r="AM42" s="199"/>
      <c r="AN42" s="199"/>
      <c r="AO42" s="199"/>
      <c r="AP42" s="199"/>
      <c r="AQ42" s="199"/>
      <c r="AR42" s="199"/>
      <c r="AS42" s="199"/>
      <c r="AT42" s="199"/>
      <c r="AU42" s="199"/>
      <c r="AV42" s="199"/>
      <c r="AW42" s="155">
        <f t="shared" ref="AW42:AW50" si="3">LEN(L42)</f>
        <v>28</v>
      </c>
    </row>
    <row r="43" spans="1:87" s="236" customFormat="1" ht="26.4">
      <c r="A43" s="40">
        <f t="shared" si="1"/>
        <v>37</v>
      </c>
      <c r="B43" s="199"/>
      <c r="C43" s="199"/>
      <c r="D43" s="199"/>
      <c r="E43" s="199"/>
      <c r="F43" s="199"/>
      <c r="G43" s="199"/>
      <c r="H43" s="199"/>
      <c r="I43" s="199"/>
      <c r="J43" s="234" t="s">
        <v>1658</v>
      </c>
      <c r="K43" s="204" t="s">
        <v>140</v>
      </c>
      <c r="L43" s="204" t="s">
        <v>749</v>
      </c>
      <c r="M43" s="204"/>
      <c r="N43" s="40" t="s">
        <v>504</v>
      </c>
      <c r="O43" s="199"/>
      <c r="P43" s="199"/>
      <c r="Q43" s="40"/>
      <c r="R43" s="40"/>
      <c r="S43" s="40" t="s">
        <v>6</v>
      </c>
      <c r="T43" s="126" t="s">
        <v>6</v>
      </c>
      <c r="U43" s="504" t="s">
        <v>752</v>
      </c>
      <c r="V43" s="204"/>
      <c r="W43" s="204" t="s">
        <v>140</v>
      </c>
      <c r="X43" s="199"/>
      <c r="Y43" s="199"/>
      <c r="Z43" s="40" t="s">
        <v>6</v>
      </c>
      <c r="AA43" s="40" t="s">
        <v>6</v>
      </c>
      <c r="AB43" s="218"/>
      <c r="AC43" s="199"/>
      <c r="AD43" s="218" t="s">
        <v>709</v>
      </c>
      <c r="AE43" s="204" t="s">
        <v>137</v>
      </c>
      <c r="AF43" s="199"/>
      <c r="AG43" s="199"/>
      <c r="AH43" s="199"/>
      <c r="AI43" s="40" t="s">
        <v>6</v>
      </c>
      <c r="AJ43" s="218"/>
      <c r="AK43" s="199"/>
      <c r="AL43" s="218" t="s">
        <v>709</v>
      </c>
      <c r="AM43" s="199"/>
      <c r="AN43" s="199"/>
      <c r="AO43" s="199"/>
      <c r="AP43" s="199"/>
      <c r="AQ43" s="199"/>
      <c r="AR43" s="199"/>
      <c r="AS43" s="199"/>
      <c r="AT43" s="199"/>
      <c r="AU43" s="199"/>
      <c r="AV43" s="199"/>
      <c r="AW43" s="155">
        <f>LEN(L43)</f>
        <v>28</v>
      </c>
    </row>
    <row r="44" spans="1:87" s="243" customFormat="1" ht="15">
      <c r="A44" s="40">
        <f t="shared" si="1"/>
        <v>38</v>
      </c>
      <c r="B44" s="198"/>
      <c r="C44" s="198"/>
      <c r="D44" s="198"/>
      <c r="E44" s="198"/>
      <c r="F44" s="198"/>
      <c r="G44" s="198"/>
      <c r="H44" s="198"/>
      <c r="I44" s="198"/>
      <c r="J44" s="204" t="s">
        <v>1659</v>
      </c>
      <c r="K44" s="204" t="s">
        <v>132</v>
      </c>
      <c r="L44" s="212" t="s">
        <v>701</v>
      </c>
      <c r="M44" s="212" t="s">
        <v>3919</v>
      </c>
      <c r="N44" s="40" t="s">
        <v>504</v>
      </c>
      <c r="O44" s="232"/>
      <c r="P44" s="232"/>
      <c r="Q44" s="40" t="s">
        <v>6</v>
      </c>
      <c r="R44" s="40" t="s">
        <v>6</v>
      </c>
      <c r="S44" s="40" t="s">
        <v>6</v>
      </c>
      <c r="T44" s="126" t="s">
        <v>6</v>
      </c>
      <c r="U44" s="505"/>
      <c r="V44" s="209"/>
      <c r="W44" s="204" t="s">
        <v>133</v>
      </c>
      <c r="X44" s="198"/>
      <c r="Y44" s="198"/>
      <c r="Z44" s="40" t="s">
        <v>6</v>
      </c>
      <c r="AA44" s="40" t="s">
        <v>6</v>
      </c>
      <c r="AB44" s="198"/>
      <c r="AC44" s="198"/>
      <c r="AD44" s="198"/>
      <c r="AE44" s="204" t="s">
        <v>133</v>
      </c>
      <c r="AF44" s="198"/>
      <c r="AG44" s="198"/>
      <c r="AH44" s="40" t="s">
        <v>6</v>
      </c>
      <c r="AI44" s="40" t="s">
        <v>6</v>
      </c>
      <c r="AJ44" s="198"/>
      <c r="AK44" s="198"/>
      <c r="AL44" s="198"/>
      <c r="AM44" s="198" t="s">
        <v>516</v>
      </c>
      <c r="AN44" s="198"/>
      <c r="AO44" s="198"/>
      <c r="AP44" s="198"/>
      <c r="AQ44" s="198"/>
      <c r="AR44" s="198"/>
      <c r="AS44" s="198"/>
      <c r="AT44" s="198"/>
      <c r="AU44" s="198"/>
      <c r="AV44" s="198"/>
      <c r="AW44" s="155">
        <f t="shared" si="3"/>
        <v>18</v>
      </c>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row>
    <row r="45" spans="1:87" s="12" customFormat="1" ht="27" customHeight="1">
      <c r="A45" s="40">
        <f t="shared" si="1"/>
        <v>39</v>
      </c>
      <c r="B45" s="38"/>
      <c r="C45" s="42"/>
      <c r="D45" s="19"/>
      <c r="E45" s="19"/>
      <c r="F45" s="19"/>
      <c r="G45" s="19"/>
      <c r="H45" s="13"/>
      <c r="I45" s="13"/>
      <c r="J45" s="218" t="s">
        <v>1660</v>
      </c>
      <c r="K45" s="412" t="s">
        <v>117</v>
      </c>
      <c r="L45" s="204" t="s">
        <v>801</v>
      </c>
      <c r="M45" s="367"/>
      <c r="N45" s="416" t="s">
        <v>504</v>
      </c>
      <c r="O45" s="126"/>
      <c r="P45" s="126"/>
      <c r="Q45" s="416" t="s">
        <v>6</v>
      </c>
      <c r="R45" s="416" t="s">
        <v>6</v>
      </c>
      <c r="S45" s="40" t="s">
        <v>6</v>
      </c>
      <c r="T45" s="416" t="s">
        <v>6</v>
      </c>
      <c r="U45" s="216" t="s">
        <v>802</v>
      </c>
      <c r="V45" s="206"/>
      <c r="W45" s="412" t="s">
        <v>125</v>
      </c>
      <c r="X45" s="59"/>
      <c r="Y45" s="59"/>
      <c r="Z45" s="59"/>
      <c r="AA45" s="40" t="s">
        <v>6</v>
      </c>
      <c r="AB45" s="413"/>
      <c r="AC45" s="415"/>
      <c r="AD45" s="415"/>
      <c r="AE45" s="412" t="s">
        <v>125</v>
      </c>
      <c r="AF45" s="59"/>
      <c r="AG45" s="59"/>
      <c r="AH45" s="59"/>
      <c r="AI45" s="40" t="s">
        <v>6</v>
      </c>
      <c r="AJ45" s="413"/>
      <c r="AK45" s="415"/>
      <c r="AL45" s="415"/>
      <c r="AM45" s="43"/>
      <c r="AN45" s="44"/>
      <c r="AO45" s="13"/>
      <c r="AP45" s="13"/>
      <c r="AQ45" s="13"/>
      <c r="AR45" s="13"/>
      <c r="AS45" s="13"/>
      <c r="AT45" s="13"/>
      <c r="AU45" s="13"/>
      <c r="AV45" s="13"/>
      <c r="AW45" s="18">
        <f t="shared" si="3"/>
        <v>21</v>
      </c>
      <c r="AX45" s="16"/>
      <c r="AY45" s="17"/>
    </row>
    <row r="46" spans="1:87" s="18" customFormat="1" ht="15">
      <c r="A46" s="40">
        <f t="shared" si="1"/>
        <v>40</v>
      </c>
      <c r="B46" s="38"/>
      <c r="C46" s="42"/>
      <c r="D46" s="38"/>
      <c r="E46" s="46"/>
      <c r="F46" s="46"/>
      <c r="G46" s="46"/>
      <c r="H46" s="13"/>
      <c r="I46" s="40"/>
      <c r="J46" s="218" t="s">
        <v>1661</v>
      </c>
      <c r="K46" s="412" t="s">
        <v>117</v>
      </c>
      <c r="L46" s="204" t="s">
        <v>804</v>
      </c>
      <c r="M46" s="367"/>
      <c r="N46" s="416" t="s">
        <v>504</v>
      </c>
      <c r="O46" s="126"/>
      <c r="P46" s="126"/>
      <c r="Q46" s="416" t="s">
        <v>6</v>
      </c>
      <c r="R46" s="416" t="s">
        <v>6</v>
      </c>
      <c r="S46" s="40" t="s">
        <v>6</v>
      </c>
      <c r="T46" s="416" t="s">
        <v>6</v>
      </c>
      <c r="U46" s="216" t="s">
        <v>802</v>
      </c>
      <c r="V46" s="206"/>
      <c r="W46" s="412" t="s">
        <v>125</v>
      </c>
      <c r="X46" s="59"/>
      <c r="Y46" s="59"/>
      <c r="Z46" s="59"/>
      <c r="AA46" s="40" t="s">
        <v>6</v>
      </c>
      <c r="AB46" s="413"/>
      <c r="AC46" s="413"/>
      <c r="AD46" s="413"/>
      <c r="AE46" s="412" t="s">
        <v>125</v>
      </c>
      <c r="AF46" s="59"/>
      <c r="AG46" s="59"/>
      <c r="AH46" s="59"/>
      <c r="AI46" s="40" t="s">
        <v>6</v>
      </c>
      <c r="AJ46" s="413"/>
      <c r="AK46" s="413"/>
      <c r="AL46" s="413"/>
      <c r="AM46" s="43"/>
      <c r="AN46" s="19"/>
      <c r="AO46" s="15"/>
      <c r="AP46" s="15"/>
      <c r="AQ46" s="15"/>
      <c r="AR46" s="15"/>
      <c r="AS46" s="15"/>
      <c r="AT46" s="15"/>
      <c r="AU46" s="15"/>
      <c r="AV46" s="13"/>
      <c r="AW46" s="18">
        <f t="shared" si="3"/>
        <v>25</v>
      </c>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row>
    <row r="47" spans="1:87" s="236" customFormat="1" ht="15">
      <c r="A47" s="40"/>
      <c r="B47" s="199"/>
      <c r="C47" s="199"/>
      <c r="D47" s="199"/>
      <c r="E47" s="199"/>
      <c r="F47" s="199"/>
      <c r="G47" s="199"/>
      <c r="H47" s="199"/>
      <c r="I47" s="199"/>
      <c r="J47" s="218" t="s">
        <v>3371</v>
      </c>
      <c r="K47" s="204" t="s">
        <v>117</v>
      </c>
      <c r="L47" s="204" t="s">
        <v>732</v>
      </c>
      <c r="M47" s="204"/>
      <c r="N47" s="40" t="s">
        <v>504</v>
      </c>
      <c r="O47" s="199"/>
      <c r="P47" s="199"/>
      <c r="Q47" s="40" t="s">
        <v>6</v>
      </c>
      <c r="R47" s="40" t="s">
        <v>6</v>
      </c>
      <c r="S47" s="40" t="s">
        <v>6</v>
      </c>
      <c r="T47" s="40" t="s">
        <v>6</v>
      </c>
      <c r="U47" s="220" t="s">
        <v>733</v>
      </c>
      <c r="V47" s="204"/>
      <c r="W47" s="204"/>
      <c r="X47" s="199"/>
      <c r="Y47" s="199"/>
      <c r="Z47" s="40"/>
      <c r="AA47" s="40"/>
      <c r="AB47" s="218"/>
      <c r="AC47" s="199"/>
      <c r="AD47" s="218"/>
      <c r="AE47" s="204"/>
      <c r="AF47" s="199"/>
      <c r="AG47" s="199"/>
      <c r="AH47" s="199"/>
      <c r="AI47" s="40"/>
      <c r="AJ47" s="218"/>
      <c r="AK47" s="199"/>
      <c r="AL47" s="218"/>
      <c r="AM47" s="199"/>
      <c r="AN47" s="199"/>
      <c r="AO47" s="199"/>
      <c r="AP47" s="199"/>
      <c r="AQ47" s="199"/>
      <c r="AR47" s="199"/>
      <c r="AS47" s="199"/>
      <c r="AT47" s="199"/>
      <c r="AU47" s="199"/>
      <c r="AV47" s="199"/>
      <c r="AW47" s="155">
        <f t="shared" si="3"/>
        <v>29</v>
      </c>
    </row>
    <row r="48" spans="1:87" s="20" customFormat="1" ht="15">
      <c r="A48" s="40">
        <f t="shared" si="1"/>
        <v>42</v>
      </c>
      <c r="B48" s="59"/>
      <c r="C48" s="59"/>
      <c r="D48" s="59"/>
      <c r="E48" s="59"/>
      <c r="F48" s="59"/>
      <c r="G48" s="59"/>
      <c r="H48" s="59"/>
      <c r="I48" s="59"/>
      <c r="J48" s="218" t="s">
        <v>1662</v>
      </c>
      <c r="K48" s="232" t="s">
        <v>134</v>
      </c>
      <c r="L48" s="204" t="s">
        <v>744</v>
      </c>
      <c r="M48" s="367"/>
      <c r="N48" s="416" t="s">
        <v>504</v>
      </c>
      <c r="O48" s="126"/>
      <c r="P48" s="126"/>
      <c r="Q48" s="40" t="s">
        <v>6</v>
      </c>
      <c r="R48" s="40" t="s">
        <v>6</v>
      </c>
      <c r="S48" s="40" t="s">
        <v>6</v>
      </c>
      <c r="T48" s="416" t="s">
        <v>6</v>
      </c>
      <c r="U48" s="216" t="s">
        <v>802</v>
      </c>
      <c r="V48" s="206"/>
      <c r="W48" s="232" t="s">
        <v>137</v>
      </c>
      <c r="X48" s="59"/>
      <c r="Y48" s="59"/>
      <c r="Z48" s="59"/>
      <c r="AA48" s="40" t="s">
        <v>6</v>
      </c>
      <c r="AB48" s="15"/>
      <c r="AC48" s="59"/>
      <c r="AD48" s="59"/>
      <c r="AE48" s="232" t="s">
        <v>137</v>
      </c>
      <c r="AF48" s="59"/>
      <c r="AG48" s="59"/>
      <c r="AH48" s="59"/>
      <c r="AI48" s="40" t="s">
        <v>6</v>
      </c>
      <c r="AJ48" s="15"/>
      <c r="AK48" s="59"/>
      <c r="AL48" s="59"/>
      <c r="AM48" s="59"/>
      <c r="AN48" s="59"/>
      <c r="AO48" s="59"/>
      <c r="AP48" s="59"/>
      <c r="AQ48" s="59"/>
      <c r="AR48" s="59"/>
      <c r="AS48" s="59"/>
      <c r="AT48" s="59"/>
      <c r="AU48" s="59"/>
      <c r="AV48" s="59"/>
      <c r="AW48" s="18">
        <f t="shared" si="3"/>
        <v>17</v>
      </c>
    </row>
    <row r="49" spans="1:87" s="20" customFormat="1" ht="15">
      <c r="A49" s="40"/>
      <c r="B49" s="59"/>
      <c r="C49" s="59"/>
      <c r="D49" s="59"/>
      <c r="E49" s="59"/>
      <c r="F49" s="59"/>
      <c r="G49" s="59"/>
      <c r="H49" s="59"/>
      <c r="I49" s="59"/>
      <c r="J49" s="218" t="s">
        <v>3372</v>
      </c>
      <c r="K49" s="232" t="s">
        <v>117</v>
      </c>
      <c r="L49" s="204" t="s">
        <v>3362</v>
      </c>
      <c r="M49" s="204"/>
      <c r="N49" s="40" t="s">
        <v>504</v>
      </c>
      <c r="O49" s="126"/>
      <c r="P49" s="126"/>
      <c r="Q49" s="40" t="s">
        <v>6</v>
      </c>
      <c r="R49" s="40" t="s">
        <v>6</v>
      </c>
      <c r="S49" s="40" t="s">
        <v>6</v>
      </c>
      <c r="T49" s="40" t="s">
        <v>6</v>
      </c>
      <c r="U49" s="216" t="s">
        <v>747</v>
      </c>
      <c r="V49" s="206"/>
      <c r="W49" s="204"/>
      <c r="X49" s="59"/>
      <c r="Y49" s="59"/>
      <c r="Z49" s="40"/>
      <c r="AA49" s="40"/>
      <c r="AB49" s="15"/>
      <c r="AC49" s="59"/>
      <c r="AD49" s="59"/>
      <c r="AE49" s="232"/>
      <c r="AF49" s="59"/>
      <c r="AG49" s="59"/>
      <c r="AH49" s="59"/>
      <c r="AI49" s="40"/>
      <c r="AJ49" s="15"/>
      <c r="AK49" s="59"/>
      <c r="AL49" s="59"/>
      <c r="AM49" s="59"/>
      <c r="AN49" s="59"/>
      <c r="AO49" s="59"/>
      <c r="AP49" s="59"/>
      <c r="AQ49" s="59"/>
      <c r="AR49" s="59"/>
      <c r="AS49" s="59"/>
      <c r="AT49" s="59"/>
      <c r="AU49" s="59"/>
      <c r="AV49" s="59"/>
      <c r="AW49" s="18"/>
    </row>
    <row r="50" spans="1:87" s="20" customFormat="1" ht="15">
      <c r="A50" s="40">
        <f t="shared" si="1"/>
        <v>44</v>
      </c>
      <c r="B50" s="59"/>
      <c r="C50" s="59"/>
      <c r="D50" s="59"/>
      <c r="E50" s="59"/>
      <c r="F50" s="59"/>
      <c r="G50" s="59"/>
      <c r="H50" s="59"/>
      <c r="I50" s="59"/>
      <c r="J50" s="218" t="s">
        <v>1663</v>
      </c>
      <c r="K50" s="204" t="s">
        <v>117</v>
      </c>
      <c r="L50" s="204" t="s">
        <v>737</v>
      </c>
      <c r="M50" s="367"/>
      <c r="N50" s="416" t="s">
        <v>504</v>
      </c>
      <c r="O50" s="126"/>
      <c r="P50" s="126"/>
      <c r="Q50" s="40" t="s">
        <v>6</v>
      </c>
      <c r="R50" s="40" t="s">
        <v>6</v>
      </c>
      <c r="S50" s="40" t="s">
        <v>6</v>
      </c>
      <c r="T50" s="416" t="s">
        <v>6</v>
      </c>
      <c r="U50" s="216" t="s">
        <v>802</v>
      </c>
      <c r="V50" s="206"/>
      <c r="W50" s="204" t="s">
        <v>125</v>
      </c>
      <c r="X50" s="59"/>
      <c r="Y50" s="59"/>
      <c r="Z50" s="59"/>
      <c r="AA50" s="40" t="s">
        <v>6</v>
      </c>
      <c r="AB50" s="15"/>
      <c r="AC50" s="59"/>
      <c r="AD50" s="59"/>
      <c r="AE50" s="204" t="s">
        <v>125</v>
      </c>
      <c r="AF50" s="59"/>
      <c r="AG50" s="59"/>
      <c r="AH50" s="59"/>
      <c r="AI50" s="40" t="s">
        <v>6</v>
      </c>
      <c r="AJ50" s="15"/>
      <c r="AK50" s="59"/>
      <c r="AL50" s="59"/>
      <c r="AM50" s="59"/>
      <c r="AN50" s="59"/>
      <c r="AO50" s="59"/>
      <c r="AP50" s="59"/>
      <c r="AQ50" s="59"/>
      <c r="AR50" s="59"/>
      <c r="AS50" s="59"/>
      <c r="AT50" s="59"/>
      <c r="AU50" s="59"/>
      <c r="AV50" s="59"/>
      <c r="AW50" s="18">
        <f t="shared" si="3"/>
        <v>28</v>
      </c>
    </row>
    <row r="51" spans="1:87" s="20" customFormat="1" ht="15">
      <c r="A51" s="40">
        <v>47</v>
      </c>
      <c r="B51" s="59"/>
      <c r="C51" s="59"/>
      <c r="D51" s="59"/>
      <c r="E51" s="59"/>
      <c r="F51" s="59"/>
      <c r="G51" s="59"/>
      <c r="H51" s="59"/>
      <c r="I51" s="59"/>
      <c r="J51" s="218" t="s">
        <v>1664</v>
      </c>
      <c r="K51" s="204" t="s">
        <v>117</v>
      </c>
      <c r="L51" s="204" t="s">
        <v>735</v>
      </c>
      <c r="M51" s="204"/>
      <c r="N51" s="126" t="s">
        <v>504</v>
      </c>
      <c r="O51" s="126"/>
      <c r="P51" s="126"/>
      <c r="Q51" s="40" t="s">
        <v>6</v>
      </c>
      <c r="R51" s="40" t="s">
        <v>6</v>
      </c>
      <c r="S51" s="40" t="s">
        <v>6</v>
      </c>
      <c r="T51" s="40" t="s">
        <v>6</v>
      </c>
      <c r="U51" s="216" t="s">
        <v>802</v>
      </c>
      <c r="V51" s="206"/>
      <c r="W51" s="204" t="s">
        <v>125</v>
      </c>
      <c r="X51" s="59"/>
      <c r="Y51" s="59"/>
      <c r="Z51" s="59"/>
      <c r="AA51" s="40" t="s">
        <v>6</v>
      </c>
      <c r="AB51" s="218"/>
      <c r="AC51" s="59"/>
      <c r="AD51" s="218"/>
      <c r="AE51" s="204" t="s">
        <v>125</v>
      </c>
      <c r="AF51" s="59"/>
      <c r="AG51" s="59"/>
      <c r="AH51" s="59"/>
      <c r="AI51" s="40" t="s">
        <v>6</v>
      </c>
      <c r="AJ51" s="218"/>
      <c r="AK51" s="59"/>
      <c r="AL51" s="218"/>
      <c r="AM51" s="59"/>
      <c r="AN51" s="59"/>
      <c r="AO51" s="59"/>
      <c r="AP51" s="59"/>
      <c r="AQ51" s="59"/>
      <c r="AR51" s="59"/>
      <c r="AS51" s="59"/>
      <c r="AT51" s="59"/>
      <c r="AU51" s="59"/>
      <c r="AV51" s="59"/>
      <c r="AW51" s="18">
        <v>14</v>
      </c>
    </row>
    <row r="52" spans="1:87" s="18" customFormat="1" ht="26.4">
      <c r="A52" s="40">
        <v>50</v>
      </c>
      <c r="B52" s="19"/>
      <c r="C52" s="41"/>
      <c r="D52" s="19"/>
      <c r="E52" s="19"/>
      <c r="F52" s="19"/>
      <c r="G52" s="19"/>
      <c r="H52" s="13"/>
      <c r="I52" s="13"/>
      <c r="J52" s="218" t="s">
        <v>3317</v>
      </c>
      <c r="K52" s="412" t="s">
        <v>117</v>
      </c>
      <c r="L52" s="204" t="s">
        <v>740</v>
      </c>
      <c r="M52" s="204"/>
      <c r="N52" s="126" t="s">
        <v>504</v>
      </c>
      <c r="O52" s="126"/>
      <c r="P52" s="40"/>
      <c r="Q52" s="126" t="s">
        <v>6</v>
      </c>
      <c r="R52" s="126" t="s">
        <v>6</v>
      </c>
      <c r="S52" s="126" t="s">
        <v>6</v>
      </c>
      <c r="T52" s="40" t="s">
        <v>6</v>
      </c>
      <c r="U52" s="220" t="s">
        <v>741</v>
      </c>
      <c r="V52" s="204"/>
      <c r="W52" s="204" t="s">
        <v>125</v>
      </c>
      <c r="X52" s="199"/>
      <c r="Y52" s="199"/>
      <c r="Z52" s="40" t="s">
        <v>6</v>
      </c>
      <c r="AA52" s="40" t="s">
        <v>6</v>
      </c>
      <c r="AB52" s="218"/>
      <c r="AC52" s="199"/>
      <c r="AD52" s="218" t="s">
        <v>709</v>
      </c>
      <c r="AE52" s="204" t="s">
        <v>125</v>
      </c>
      <c r="AF52" s="199"/>
      <c r="AG52" s="199"/>
      <c r="AH52" s="199"/>
      <c r="AI52" s="40" t="s">
        <v>6</v>
      </c>
      <c r="AJ52" s="218"/>
      <c r="AK52" s="199"/>
      <c r="AL52" s="218" t="s">
        <v>709</v>
      </c>
      <c r="AM52" s="199"/>
      <c r="AN52" s="199"/>
      <c r="AO52" s="199"/>
      <c r="AP52" s="199"/>
      <c r="AQ52" s="199"/>
      <c r="AR52" s="199"/>
      <c r="AS52" s="199"/>
      <c r="AT52" s="199"/>
      <c r="AU52" s="199"/>
      <c r="AV52" s="199"/>
      <c r="AW52" s="18">
        <v>18</v>
      </c>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row>
    <row r="53" spans="1:87" s="12" customFormat="1" ht="26.4">
      <c r="A53" s="416">
        <f t="shared" ref="A53:A96" si="4">ROW() - 6</f>
        <v>47</v>
      </c>
      <c r="B53" s="33"/>
      <c r="C53" s="34"/>
      <c r="D53" s="33"/>
      <c r="E53" s="33"/>
      <c r="F53" s="33"/>
      <c r="G53" s="33"/>
      <c r="H53" s="414"/>
      <c r="I53" s="416"/>
      <c r="J53" s="412" t="s">
        <v>4931</v>
      </c>
      <c r="K53" s="412" t="s">
        <v>132</v>
      </c>
      <c r="L53" s="412" t="s">
        <v>4932</v>
      </c>
      <c r="M53" s="412" t="s">
        <v>4803</v>
      </c>
      <c r="N53" s="40" t="s">
        <v>504</v>
      </c>
      <c r="O53" s="126"/>
      <c r="P53" s="126"/>
      <c r="Q53" s="126" t="s">
        <v>6</v>
      </c>
      <c r="R53" s="126" t="s">
        <v>6</v>
      </c>
      <c r="S53" s="126" t="s">
        <v>6</v>
      </c>
      <c r="T53" s="126"/>
      <c r="U53" s="257"/>
      <c r="V53" s="257"/>
      <c r="W53" s="412" t="s">
        <v>133</v>
      </c>
      <c r="X53" s="59"/>
      <c r="Y53" s="59"/>
      <c r="Z53" s="61" t="s">
        <v>6</v>
      </c>
      <c r="AA53" s="61" t="s">
        <v>6</v>
      </c>
      <c r="AB53" s="59"/>
      <c r="AC53" s="59"/>
      <c r="AD53" s="207" t="s">
        <v>1616</v>
      </c>
      <c r="AE53" s="412" t="s">
        <v>133</v>
      </c>
      <c r="AF53" s="59"/>
      <c r="AG53" s="59"/>
      <c r="AH53" s="61" t="s">
        <v>6</v>
      </c>
      <c r="AI53" s="61" t="s">
        <v>6</v>
      </c>
      <c r="AJ53" s="59"/>
      <c r="AK53" s="59"/>
      <c r="AL53" s="207" t="s">
        <v>1616</v>
      </c>
      <c r="AM53" s="261" t="s">
        <v>1617</v>
      </c>
      <c r="AN53" s="35"/>
      <c r="AO53" s="37"/>
      <c r="AP53" s="37"/>
      <c r="AQ53" s="37"/>
      <c r="AR53" s="37"/>
      <c r="AS53" s="37"/>
      <c r="AT53" s="37"/>
      <c r="AU53" s="13"/>
      <c r="AV53" s="414"/>
      <c r="AW53" s="18"/>
    </row>
    <row r="54" spans="1:87" s="12" customFormat="1" ht="15">
      <c r="A54" s="416">
        <f t="shared" si="4"/>
        <v>48</v>
      </c>
      <c r="B54" s="38"/>
      <c r="C54" s="34"/>
      <c r="D54" s="33"/>
      <c r="E54" s="39"/>
      <c r="F54" s="39"/>
      <c r="G54" s="39"/>
      <c r="H54" s="414"/>
      <c r="I54" s="40"/>
      <c r="J54" s="362" t="s">
        <v>4933</v>
      </c>
      <c r="K54" s="412" t="s">
        <v>122</v>
      </c>
      <c r="L54" s="215" t="s">
        <v>661</v>
      </c>
      <c r="M54" s="215" t="s">
        <v>4033</v>
      </c>
      <c r="N54" s="40" t="s">
        <v>873</v>
      </c>
      <c r="O54" s="126"/>
      <c r="P54" s="126"/>
      <c r="Q54" s="126" t="s">
        <v>6</v>
      </c>
      <c r="R54" s="126" t="s">
        <v>6</v>
      </c>
      <c r="S54" s="126" t="s">
        <v>6</v>
      </c>
      <c r="T54" s="126"/>
      <c r="U54" s="257"/>
      <c r="V54" s="257"/>
      <c r="W54" s="412" t="s">
        <v>123</v>
      </c>
      <c r="X54" s="59"/>
      <c r="Y54" s="59"/>
      <c r="Z54" s="61" t="s">
        <v>6</v>
      </c>
      <c r="AA54" s="61" t="s">
        <v>6</v>
      </c>
      <c r="AB54" s="59"/>
      <c r="AC54" s="59"/>
      <c r="AD54" s="207" t="s">
        <v>1616</v>
      </c>
      <c r="AE54" s="412" t="s">
        <v>123</v>
      </c>
      <c r="AF54" s="59"/>
      <c r="AG54" s="59"/>
      <c r="AH54" s="61" t="s">
        <v>6</v>
      </c>
      <c r="AI54" s="61" t="s">
        <v>6</v>
      </c>
      <c r="AJ54" s="59"/>
      <c r="AK54" s="59"/>
      <c r="AL54" s="207" t="s">
        <v>1616</v>
      </c>
      <c r="AM54" s="261" t="s">
        <v>1619</v>
      </c>
      <c r="AN54" s="35"/>
      <c r="AO54" s="37"/>
      <c r="AP54" s="37"/>
      <c r="AQ54" s="37"/>
      <c r="AR54" s="37"/>
      <c r="AS54" s="37"/>
      <c r="AT54" s="37"/>
      <c r="AU54" s="13"/>
      <c r="AV54" s="13"/>
      <c r="AW54" s="18"/>
    </row>
    <row r="55" spans="1:87" s="12" customFormat="1" ht="15">
      <c r="A55" s="416">
        <f t="shared" si="4"/>
        <v>49</v>
      </c>
      <c r="B55" s="38"/>
      <c r="C55" s="34"/>
      <c r="D55" s="33"/>
      <c r="E55" s="39"/>
      <c r="F55" s="39"/>
      <c r="G55" s="39"/>
      <c r="H55" s="414"/>
      <c r="I55" s="40"/>
      <c r="J55" s="362" t="s">
        <v>4934</v>
      </c>
      <c r="K55" s="412" t="s">
        <v>122</v>
      </c>
      <c r="L55" s="215" t="s">
        <v>651</v>
      </c>
      <c r="M55" s="215" t="s">
        <v>4033</v>
      </c>
      <c r="N55" s="40" t="s">
        <v>873</v>
      </c>
      <c r="O55" s="126"/>
      <c r="P55" s="126"/>
      <c r="Q55" s="126"/>
      <c r="R55" s="126" t="s">
        <v>6</v>
      </c>
      <c r="S55" s="126" t="s">
        <v>6</v>
      </c>
      <c r="T55" s="126"/>
      <c r="U55" s="257"/>
      <c r="V55" s="257"/>
      <c r="W55" s="412" t="s">
        <v>123</v>
      </c>
      <c r="X55" s="59"/>
      <c r="Y55" s="59"/>
      <c r="Z55" s="61" t="s">
        <v>6</v>
      </c>
      <c r="AA55" s="61" t="s">
        <v>6</v>
      </c>
      <c r="AB55" s="59"/>
      <c r="AC55" s="59"/>
      <c r="AD55" s="207" t="s">
        <v>1616</v>
      </c>
      <c r="AE55" s="412" t="s">
        <v>123</v>
      </c>
      <c r="AF55" s="59"/>
      <c r="AG55" s="59"/>
      <c r="AH55" s="61" t="s">
        <v>6</v>
      </c>
      <c r="AI55" s="61" t="s">
        <v>6</v>
      </c>
      <c r="AJ55" s="59"/>
      <c r="AK55" s="59"/>
      <c r="AL55" s="207" t="s">
        <v>1616</v>
      </c>
      <c r="AM55" s="261" t="s">
        <v>1619</v>
      </c>
      <c r="AN55" s="35"/>
      <c r="AO55" s="37"/>
      <c r="AP55" s="37"/>
      <c r="AQ55" s="37"/>
      <c r="AR55" s="37"/>
      <c r="AS55" s="37"/>
      <c r="AT55" s="37"/>
      <c r="AU55" s="13"/>
      <c r="AV55" s="13"/>
      <c r="AW55" s="18"/>
    </row>
    <row r="56" spans="1:87" s="12" customFormat="1" ht="15">
      <c r="A56" s="416">
        <f t="shared" si="4"/>
        <v>50</v>
      </c>
      <c r="B56" s="38"/>
      <c r="C56" s="41"/>
      <c r="D56" s="33"/>
      <c r="E56" s="39"/>
      <c r="F56" s="39"/>
      <c r="G56" s="39"/>
      <c r="H56" s="414"/>
      <c r="I56" s="40"/>
      <c r="J56" s="362" t="s">
        <v>4935</v>
      </c>
      <c r="K56" s="412" t="s">
        <v>122</v>
      </c>
      <c r="L56" s="215" t="s">
        <v>655</v>
      </c>
      <c r="M56" s="215" t="s">
        <v>4033</v>
      </c>
      <c r="N56" s="40" t="s">
        <v>873</v>
      </c>
      <c r="O56" s="126"/>
      <c r="P56" s="126"/>
      <c r="Q56" s="126"/>
      <c r="R56" s="126" t="s">
        <v>6</v>
      </c>
      <c r="S56" s="126" t="s">
        <v>6</v>
      </c>
      <c r="T56" s="126"/>
      <c r="U56" s="363"/>
      <c r="V56" s="363"/>
      <c r="W56" s="412" t="s">
        <v>123</v>
      </c>
      <c r="X56" s="59"/>
      <c r="Y56" s="59"/>
      <c r="Z56" s="61" t="s">
        <v>6</v>
      </c>
      <c r="AA56" s="61" t="s">
        <v>6</v>
      </c>
      <c r="AB56" s="59"/>
      <c r="AC56" s="59"/>
      <c r="AD56" s="207" t="s">
        <v>1616</v>
      </c>
      <c r="AE56" s="412" t="s">
        <v>123</v>
      </c>
      <c r="AF56" s="59"/>
      <c r="AG56" s="59"/>
      <c r="AH56" s="61" t="s">
        <v>6</v>
      </c>
      <c r="AI56" s="61" t="s">
        <v>6</v>
      </c>
      <c r="AJ56" s="59"/>
      <c r="AK56" s="59"/>
      <c r="AL56" s="207" t="s">
        <v>1616</v>
      </c>
      <c r="AM56" s="261" t="s">
        <v>1619</v>
      </c>
      <c r="AN56" s="35"/>
      <c r="AO56" s="37"/>
      <c r="AP56" s="37"/>
      <c r="AQ56" s="37"/>
      <c r="AR56" s="37"/>
      <c r="AS56" s="37"/>
      <c r="AT56" s="37"/>
      <c r="AU56" s="13"/>
      <c r="AV56" s="13"/>
      <c r="AW56" s="18"/>
    </row>
    <row r="57" spans="1:87" s="14" customFormat="1" ht="15">
      <c r="A57" s="416">
        <f t="shared" si="4"/>
        <v>51</v>
      </c>
      <c r="B57" s="38"/>
      <c r="C57" s="42"/>
      <c r="D57" s="19"/>
      <c r="E57" s="19"/>
      <c r="F57" s="35"/>
      <c r="G57" s="35"/>
      <c r="H57" s="414"/>
      <c r="I57" s="13"/>
      <c r="J57" s="362" t="s">
        <v>4936</v>
      </c>
      <c r="K57" s="412" t="s">
        <v>122</v>
      </c>
      <c r="L57" s="215" t="s">
        <v>657</v>
      </c>
      <c r="M57" s="215" t="s">
        <v>4033</v>
      </c>
      <c r="N57" s="40" t="s">
        <v>873</v>
      </c>
      <c r="O57" s="126"/>
      <c r="P57" s="126"/>
      <c r="Q57" s="126"/>
      <c r="R57" s="126" t="s">
        <v>6</v>
      </c>
      <c r="S57" s="126" t="s">
        <v>6</v>
      </c>
      <c r="T57" s="126"/>
      <c r="U57" s="257"/>
      <c r="V57" s="59"/>
      <c r="W57" s="412" t="s">
        <v>123</v>
      </c>
      <c r="X57" s="59"/>
      <c r="Y57" s="59"/>
      <c r="Z57" s="61" t="s">
        <v>6</v>
      </c>
      <c r="AA57" s="61" t="s">
        <v>6</v>
      </c>
      <c r="AB57" s="59"/>
      <c r="AC57" s="59"/>
      <c r="AD57" s="207" t="s">
        <v>1616</v>
      </c>
      <c r="AE57" s="412" t="s">
        <v>123</v>
      </c>
      <c r="AF57" s="59"/>
      <c r="AG57" s="59"/>
      <c r="AH57" s="61" t="s">
        <v>6</v>
      </c>
      <c r="AI57" s="61" t="s">
        <v>6</v>
      </c>
      <c r="AJ57" s="59"/>
      <c r="AK57" s="59"/>
      <c r="AL57" s="207" t="s">
        <v>1616</v>
      </c>
      <c r="AM57" s="261" t="s">
        <v>1619</v>
      </c>
      <c r="AN57" s="44"/>
      <c r="AO57" s="13"/>
      <c r="AP57" s="13"/>
      <c r="AQ57" s="13"/>
      <c r="AR57" s="13"/>
      <c r="AS57" s="13"/>
      <c r="AT57" s="13"/>
      <c r="AU57" s="13"/>
      <c r="AV57" s="13"/>
      <c r="AW57" s="18"/>
    </row>
    <row r="58" spans="1:87" s="12" customFormat="1" ht="15">
      <c r="A58" s="416">
        <f t="shared" si="4"/>
        <v>52</v>
      </c>
      <c r="B58" s="38"/>
      <c r="C58" s="42"/>
      <c r="D58" s="19"/>
      <c r="E58" s="19"/>
      <c r="F58" s="35"/>
      <c r="G58" s="35"/>
      <c r="H58" s="414"/>
      <c r="I58" s="13"/>
      <c r="J58" s="43" t="s">
        <v>4937</v>
      </c>
      <c r="K58" s="412" t="s">
        <v>122</v>
      </c>
      <c r="L58" s="215" t="s">
        <v>659</v>
      </c>
      <c r="M58" s="215" t="s">
        <v>4034</v>
      </c>
      <c r="N58" s="40" t="s">
        <v>873</v>
      </c>
      <c r="O58" s="126"/>
      <c r="P58" s="126"/>
      <c r="Q58" s="126" t="s">
        <v>6</v>
      </c>
      <c r="R58" s="126" t="s">
        <v>6</v>
      </c>
      <c r="S58" s="126" t="s">
        <v>6</v>
      </c>
      <c r="T58" s="126"/>
      <c r="U58" s="257"/>
      <c r="V58" s="59"/>
      <c r="W58" s="412" t="s">
        <v>123</v>
      </c>
      <c r="X58" s="59"/>
      <c r="Y58" s="59"/>
      <c r="Z58" s="61" t="s">
        <v>6</v>
      </c>
      <c r="AA58" s="61" t="s">
        <v>6</v>
      </c>
      <c r="AB58" s="59"/>
      <c r="AC58" s="59"/>
      <c r="AD58" s="207" t="s">
        <v>1616</v>
      </c>
      <c r="AE58" s="412" t="s">
        <v>123</v>
      </c>
      <c r="AF58" s="59"/>
      <c r="AG58" s="59"/>
      <c r="AH58" s="61" t="s">
        <v>6</v>
      </c>
      <c r="AI58" s="61" t="s">
        <v>6</v>
      </c>
      <c r="AJ58" s="59"/>
      <c r="AK58" s="59"/>
      <c r="AL58" s="207" t="s">
        <v>1616</v>
      </c>
      <c r="AM58" s="261" t="s">
        <v>1619</v>
      </c>
      <c r="AN58" s="44"/>
      <c r="AO58" s="13"/>
      <c r="AP58" s="13"/>
      <c r="AQ58" s="13"/>
      <c r="AR58" s="13"/>
      <c r="AS58" s="13"/>
      <c r="AT58" s="13"/>
      <c r="AU58" s="13"/>
      <c r="AV58" s="13"/>
      <c r="AW58" s="18"/>
    </row>
    <row r="59" spans="1:87" s="12" customFormat="1" ht="15">
      <c r="A59" s="416">
        <f t="shared" si="4"/>
        <v>53</v>
      </c>
      <c r="B59" s="19"/>
      <c r="C59" s="41"/>
      <c r="D59" s="19"/>
      <c r="E59" s="19"/>
      <c r="F59" s="19"/>
      <c r="G59" s="19"/>
      <c r="H59" s="13"/>
      <c r="I59" s="13"/>
      <c r="J59" s="15" t="s">
        <v>4938</v>
      </c>
      <c r="K59" s="412" t="s">
        <v>122</v>
      </c>
      <c r="L59" s="215" t="s">
        <v>674</v>
      </c>
      <c r="M59" s="215" t="s">
        <v>4037</v>
      </c>
      <c r="N59" s="40" t="s">
        <v>873</v>
      </c>
      <c r="O59" s="126"/>
      <c r="P59" s="126"/>
      <c r="Q59" s="126" t="s">
        <v>6</v>
      </c>
      <c r="R59" s="126" t="s">
        <v>6</v>
      </c>
      <c r="S59" s="126" t="s">
        <v>6</v>
      </c>
      <c r="T59" s="126"/>
      <c r="U59" s="363"/>
      <c r="V59" s="363"/>
      <c r="W59" s="412" t="s">
        <v>123</v>
      </c>
      <c r="X59" s="59"/>
      <c r="Y59" s="59"/>
      <c r="Z59" s="61" t="s">
        <v>6</v>
      </c>
      <c r="AA59" s="61" t="s">
        <v>6</v>
      </c>
      <c r="AB59" s="59"/>
      <c r="AC59" s="59"/>
      <c r="AD59" s="59"/>
      <c r="AE59" s="412" t="s">
        <v>123</v>
      </c>
      <c r="AF59" s="59"/>
      <c r="AG59" s="59"/>
      <c r="AH59" s="61" t="s">
        <v>6</v>
      </c>
      <c r="AI59" s="61" t="s">
        <v>6</v>
      </c>
      <c r="AJ59" s="59"/>
      <c r="AK59" s="59"/>
      <c r="AL59" s="59"/>
      <c r="AM59" s="43"/>
      <c r="AN59" s="13"/>
      <c r="AO59" s="15"/>
      <c r="AP59" s="15"/>
      <c r="AQ59" s="15"/>
      <c r="AR59" s="15"/>
      <c r="AS59" s="15"/>
      <c r="AT59" s="15"/>
      <c r="AU59" s="13"/>
      <c r="AV59" s="15"/>
      <c r="AW59" s="18"/>
      <c r="AX59" s="16"/>
      <c r="AY59" s="17"/>
    </row>
    <row r="60" spans="1:87" s="12" customFormat="1" ht="15">
      <c r="A60" s="416">
        <f t="shared" si="4"/>
        <v>54</v>
      </c>
      <c r="B60" s="19"/>
      <c r="C60" s="41"/>
      <c r="D60" s="19"/>
      <c r="E60" s="19"/>
      <c r="F60" s="19"/>
      <c r="G60" s="19"/>
      <c r="H60" s="13"/>
      <c r="I60" s="13"/>
      <c r="J60" s="15" t="s">
        <v>4939</v>
      </c>
      <c r="K60" s="412" t="s">
        <v>122</v>
      </c>
      <c r="L60" s="215" t="s">
        <v>889</v>
      </c>
      <c r="M60" s="215" t="s">
        <v>4037</v>
      </c>
      <c r="N60" s="40" t="s">
        <v>873</v>
      </c>
      <c r="O60" s="126"/>
      <c r="P60" s="126"/>
      <c r="Q60" s="126"/>
      <c r="R60" s="126" t="s">
        <v>6</v>
      </c>
      <c r="S60" s="126" t="s">
        <v>6</v>
      </c>
      <c r="T60" s="126"/>
      <c r="U60" s="363"/>
      <c r="V60" s="363"/>
      <c r="W60" s="412" t="s">
        <v>123</v>
      </c>
      <c r="X60" s="59"/>
      <c r="Y60" s="59"/>
      <c r="Z60" s="61" t="s">
        <v>6</v>
      </c>
      <c r="AA60" s="61" t="s">
        <v>6</v>
      </c>
      <c r="AB60" s="59"/>
      <c r="AC60" s="59"/>
      <c r="AD60" s="59"/>
      <c r="AE60" s="412" t="s">
        <v>123</v>
      </c>
      <c r="AF60" s="59"/>
      <c r="AG60" s="59"/>
      <c r="AH60" s="61" t="s">
        <v>6</v>
      </c>
      <c r="AI60" s="61" t="s">
        <v>6</v>
      </c>
      <c r="AJ60" s="59"/>
      <c r="AK60" s="59"/>
      <c r="AL60" s="59"/>
      <c r="AM60" s="43"/>
      <c r="AN60" s="13"/>
      <c r="AO60" s="15"/>
      <c r="AP60" s="15"/>
      <c r="AQ60" s="15"/>
      <c r="AR60" s="15"/>
      <c r="AS60" s="15"/>
      <c r="AT60" s="15"/>
      <c r="AU60" s="13"/>
      <c r="AV60" s="15"/>
      <c r="AW60" s="18"/>
      <c r="AX60" s="16"/>
      <c r="AY60" s="17"/>
    </row>
    <row r="61" spans="1:87" s="12" customFormat="1" ht="15">
      <c r="A61" s="416">
        <f t="shared" si="4"/>
        <v>55</v>
      </c>
      <c r="B61" s="38"/>
      <c r="C61" s="42"/>
      <c r="D61" s="19"/>
      <c r="E61" s="19"/>
      <c r="F61" s="19"/>
      <c r="G61" s="19"/>
      <c r="H61" s="13"/>
      <c r="I61" s="13"/>
      <c r="J61" s="15" t="s">
        <v>4940</v>
      </c>
      <c r="K61" s="412" t="s">
        <v>122</v>
      </c>
      <c r="L61" s="215" t="s">
        <v>4941</v>
      </c>
      <c r="M61" s="215" t="s">
        <v>4037</v>
      </c>
      <c r="N61" s="40" t="s">
        <v>873</v>
      </c>
      <c r="O61" s="126"/>
      <c r="P61" s="126"/>
      <c r="Q61" s="126"/>
      <c r="R61" s="126" t="s">
        <v>6</v>
      </c>
      <c r="S61" s="126" t="s">
        <v>6</v>
      </c>
      <c r="T61" s="126"/>
      <c r="U61" s="257"/>
      <c r="V61" s="59"/>
      <c r="W61" s="412" t="s">
        <v>123</v>
      </c>
      <c r="X61" s="59"/>
      <c r="Y61" s="59"/>
      <c r="Z61" s="61" t="s">
        <v>6</v>
      </c>
      <c r="AA61" s="61" t="s">
        <v>6</v>
      </c>
      <c r="AB61" s="59"/>
      <c r="AC61" s="59"/>
      <c r="AD61" s="59"/>
      <c r="AE61" s="412" t="s">
        <v>123</v>
      </c>
      <c r="AF61" s="59"/>
      <c r="AG61" s="59"/>
      <c r="AH61" s="61" t="s">
        <v>6</v>
      </c>
      <c r="AI61" s="61" t="s">
        <v>6</v>
      </c>
      <c r="AJ61" s="59"/>
      <c r="AK61" s="59"/>
      <c r="AL61" s="59"/>
      <c r="AM61" s="43"/>
      <c r="AN61" s="44"/>
      <c r="AO61" s="13"/>
      <c r="AP61" s="13"/>
      <c r="AQ61" s="13"/>
      <c r="AR61" s="13"/>
      <c r="AS61" s="13"/>
      <c r="AT61" s="13"/>
      <c r="AU61" s="13"/>
      <c r="AV61" s="13"/>
      <c r="AW61" s="18"/>
      <c r="AX61" s="16"/>
      <c r="AY61" s="17"/>
    </row>
    <row r="62" spans="1:87" s="18" customFormat="1" ht="15">
      <c r="A62" s="416">
        <f t="shared" si="4"/>
        <v>56</v>
      </c>
      <c r="B62" s="38"/>
      <c r="C62" s="42"/>
      <c r="D62" s="38"/>
      <c r="E62" s="46"/>
      <c r="F62" s="46"/>
      <c r="G62" s="46"/>
      <c r="H62" s="13"/>
      <c r="I62" s="40"/>
      <c r="J62" s="15" t="s">
        <v>4942</v>
      </c>
      <c r="K62" s="412" t="s">
        <v>122</v>
      </c>
      <c r="L62" s="215" t="s">
        <v>672</v>
      </c>
      <c r="M62" s="215" t="s">
        <v>4037</v>
      </c>
      <c r="N62" s="40" t="s">
        <v>873</v>
      </c>
      <c r="O62" s="126"/>
      <c r="P62" s="126"/>
      <c r="Q62" s="126"/>
      <c r="R62" s="126" t="s">
        <v>6</v>
      </c>
      <c r="S62" s="126" t="s">
        <v>6</v>
      </c>
      <c r="T62" s="126"/>
      <c r="U62" s="257"/>
      <c r="V62" s="59"/>
      <c r="W62" s="412" t="s">
        <v>123</v>
      </c>
      <c r="X62" s="59"/>
      <c r="Y62" s="59"/>
      <c r="Z62" s="61" t="s">
        <v>6</v>
      </c>
      <c r="AA62" s="61" t="s">
        <v>6</v>
      </c>
      <c r="AB62" s="59"/>
      <c r="AC62" s="59"/>
      <c r="AD62" s="59"/>
      <c r="AE62" s="412" t="s">
        <v>123</v>
      </c>
      <c r="AF62" s="59"/>
      <c r="AG62" s="59"/>
      <c r="AH62" s="61" t="s">
        <v>6</v>
      </c>
      <c r="AI62" s="61" t="s">
        <v>6</v>
      </c>
      <c r="AJ62" s="59"/>
      <c r="AK62" s="59"/>
      <c r="AL62" s="59"/>
      <c r="AM62" s="43"/>
      <c r="AN62" s="19"/>
      <c r="AO62" s="15"/>
      <c r="AP62" s="15"/>
      <c r="AQ62" s="15"/>
      <c r="AR62" s="15"/>
      <c r="AS62" s="15"/>
      <c r="AT62" s="15"/>
      <c r="AU62" s="15"/>
      <c r="AV62" s="13"/>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row>
    <row r="63" spans="1:87" s="18" customFormat="1" ht="15">
      <c r="A63" s="416">
        <f t="shared" si="4"/>
        <v>57</v>
      </c>
      <c r="B63" s="38"/>
      <c r="C63" s="42"/>
      <c r="D63" s="38"/>
      <c r="E63" s="46"/>
      <c r="F63" s="46"/>
      <c r="G63" s="46"/>
      <c r="H63" s="13"/>
      <c r="I63" s="40"/>
      <c r="J63" s="362" t="s">
        <v>4943</v>
      </c>
      <c r="K63" s="412" t="s">
        <v>132</v>
      </c>
      <c r="L63" s="215" t="s">
        <v>1627</v>
      </c>
      <c r="M63" s="215" t="s">
        <v>4944</v>
      </c>
      <c r="N63" s="40" t="s">
        <v>504</v>
      </c>
      <c r="O63" s="126"/>
      <c r="P63" s="126"/>
      <c r="Q63" s="126" t="s">
        <v>6</v>
      </c>
      <c r="R63" s="126" t="s">
        <v>6</v>
      </c>
      <c r="S63" s="126" t="s">
        <v>6</v>
      </c>
      <c r="T63" s="126"/>
      <c r="U63" s="500"/>
      <c r="V63" s="262"/>
      <c r="W63" s="412" t="s">
        <v>133</v>
      </c>
      <c r="X63" s="59"/>
      <c r="Y63" s="59"/>
      <c r="Z63" s="61" t="s">
        <v>6</v>
      </c>
      <c r="AA63" s="61" t="s">
        <v>6</v>
      </c>
      <c r="AB63" s="59"/>
      <c r="AC63" s="59"/>
      <c r="AD63" s="59"/>
      <c r="AE63" s="412" t="s">
        <v>133</v>
      </c>
      <c r="AF63" s="59"/>
      <c r="AG63" s="59"/>
      <c r="AH63" s="61" t="s">
        <v>6</v>
      </c>
      <c r="AI63" s="61" t="s">
        <v>6</v>
      </c>
      <c r="AJ63" s="59"/>
      <c r="AK63" s="59"/>
      <c r="AL63" s="59"/>
      <c r="AM63" s="43"/>
      <c r="AN63" s="19"/>
      <c r="AO63" s="15"/>
      <c r="AP63" s="15"/>
      <c r="AQ63" s="15"/>
      <c r="AR63" s="15"/>
      <c r="AS63" s="15"/>
      <c r="AT63" s="15"/>
      <c r="AU63" s="15"/>
      <c r="AV63" s="13"/>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row>
    <row r="64" spans="1:87" s="12" customFormat="1" ht="15">
      <c r="A64" s="416">
        <f t="shared" si="4"/>
        <v>58</v>
      </c>
      <c r="B64" s="38"/>
      <c r="C64" s="42"/>
      <c r="D64" s="19"/>
      <c r="E64" s="19"/>
      <c r="F64" s="19"/>
      <c r="G64" s="19"/>
      <c r="H64" s="13"/>
      <c r="I64" s="13"/>
      <c r="J64" s="362" t="s">
        <v>4945</v>
      </c>
      <c r="K64" s="412" t="s">
        <v>132</v>
      </c>
      <c r="L64" s="412" t="s">
        <v>1629</v>
      </c>
      <c r="M64" s="412" t="s">
        <v>4301</v>
      </c>
      <c r="N64" s="40" t="s">
        <v>504</v>
      </c>
      <c r="O64" s="126"/>
      <c r="P64" s="126"/>
      <c r="Q64" s="126" t="s">
        <v>6</v>
      </c>
      <c r="R64" s="126" t="s">
        <v>6</v>
      </c>
      <c r="S64" s="126" t="s">
        <v>6</v>
      </c>
      <c r="T64" s="126"/>
      <c r="U64" s="500"/>
      <c r="V64" s="262"/>
      <c r="W64" s="412" t="s">
        <v>133</v>
      </c>
      <c r="X64" s="59"/>
      <c r="Y64" s="59"/>
      <c r="Z64" s="61" t="s">
        <v>6</v>
      </c>
      <c r="AA64" s="61" t="s">
        <v>6</v>
      </c>
      <c r="AB64" s="59"/>
      <c r="AC64" s="59"/>
      <c r="AD64" s="59"/>
      <c r="AE64" s="412" t="s">
        <v>133</v>
      </c>
      <c r="AF64" s="59"/>
      <c r="AG64" s="59"/>
      <c r="AH64" s="61" t="s">
        <v>6</v>
      </c>
      <c r="AI64" s="61" t="s">
        <v>6</v>
      </c>
      <c r="AJ64" s="59"/>
      <c r="AK64" s="59"/>
      <c r="AL64" s="59"/>
      <c r="AM64" s="43"/>
      <c r="AN64" s="13"/>
      <c r="AO64" s="13"/>
      <c r="AP64" s="13"/>
      <c r="AQ64" s="13"/>
      <c r="AR64" s="13"/>
      <c r="AS64" s="13"/>
      <c r="AT64" s="13"/>
      <c r="AU64" s="13"/>
      <c r="AV64" s="13"/>
      <c r="AW64" s="18"/>
    </row>
    <row r="65" spans="1:87" s="12" customFormat="1" ht="15">
      <c r="A65" s="416">
        <f t="shared" si="4"/>
        <v>59</v>
      </c>
      <c r="B65" s="38"/>
      <c r="C65" s="42"/>
      <c r="D65" s="19"/>
      <c r="E65" s="19"/>
      <c r="F65" s="19"/>
      <c r="G65" s="19"/>
      <c r="H65" s="13"/>
      <c r="I65" s="13"/>
      <c r="J65" s="362" t="s">
        <v>4946</v>
      </c>
      <c r="K65" s="412" t="s">
        <v>132</v>
      </c>
      <c r="L65" s="412" t="s">
        <v>4947</v>
      </c>
      <c r="M65" s="412" t="s">
        <v>3781</v>
      </c>
      <c r="N65" s="40" t="s">
        <v>504</v>
      </c>
      <c r="O65" s="126"/>
      <c r="P65" s="126"/>
      <c r="Q65" s="126" t="s">
        <v>6</v>
      </c>
      <c r="R65" s="126" t="s">
        <v>6</v>
      </c>
      <c r="S65" s="126" t="s">
        <v>6</v>
      </c>
      <c r="T65" s="126"/>
      <c r="U65" s="220" t="s">
        <v>4948</v>
      </c>
      <c r="V65" s="204"/>
      <c r="W65" s="412" t="s">
        <v>133</v>
      </c>
      <c r="X65" s="59"/>
      <c r="Y65" s="59"/>
      <c r="Z65" s="61" t="s">
        <v>6</v>
      </c>
      <c r="AA65" s="61" t="s">
        <v>6</v>
      </c>
      <c r="AB65" s="59"/>
      <c r="AC65" s="59"/>
      <c r="AD65" s="258"/>
      <c r="AE65" s="412" t="s">
        <v>133</v>
      </c>
      <c r="AF65" s="59"/>
      <c r="AG65" s="59"/>
      <c r="AH65" s="61" t="s">
        <v>6</v>
      </c>
      <c r="AI65" s="61" t="s">
        <v>6</v>
      </c>
      <c r="AJ65" s="59"/>
      <c r="AK65" s="59"/>
      <c r="AL65" s="258"/>
      <c r="AM65" s="36" t="s">
        <v>1632</v>
      </c>
      <c r="AN65" s="13"/>
      <c r="AO65" s="13"/>
      <c r="AP65" s="13"/>
      <c r="AQ65" s="13"/>
      <c r="AR65" s="13"/>
      <c r="AS65" s="13"/>
      <c r="AT65" s="13"/>
      <c r="AU65" s="13"/>
      <c r="AV65" s="13"/>
      <c r="AW65" s="18"/>
    </row>
    <row r="66" spans="1:87" s="12" customFormat="1" ht="15">
      <c r="A66" s="416">
        <f t="shared" si="4"/>
        <v>60</v>
      </c>
      <c r="B66" s="38"/>
      <c r="C66" s="42"/>
      <c r="D66" s="19"/>
      <c r="E66" s="19"/>
      <c r="F66" s="19"/>
      <c r="G66" s="19"/>
      <c r="H66" s="13"/>
      <c r="I66" s="13"/>
      <c r="J66" s="362" t="s">
        <v>4949</v>
      </c>
      <c r="K66" s="412" t="s">
        <v>132</v>
      </c>
      <c r="L66" s="412" t="s">
        <v>4950</v>
      </c>
      <c r="M66" s="412" t="s">
        <v>3781</v>
      </c>
      <c r="N66" s="40" t="s">
        <v>504</v>
      </c>
      <c r="O66" s="126"/>
      <c r="P66" s="126"/>
      <c r="Q66" s="126" t="s">
        <v>6</v>
      </c>
      <c r="R66" s="126" t="s">
        <v>6</v>
      </c>
      <c r="S66" s="126" t="s">
        <v>6</v>
      </c>
      <c r="T66" s="126"/>
      <c r="U66" s="500"/>
      <c r="V66" s="262"/>
      <c r="W66" s="412" t="s">
        <v>133</v>
      </c>
      <c r="X66" s="59"/>
      <c r="Y66" s="59"/>
      <c r="Z66" s="61" t="s">
        <v>6</v>
      </c>
      <c r="AA66" s="61" t="s">
        <v>6</v>
      </c>
      <c r="AB66" s="59"/>
      <c r="AC66" s="59"/>
      <c r="AD66" s="258"/>
      <c r="AE66" s="412" t="s">
        <v>133</v>
      </c>
      <c r="AF66" s="59"/>
      <c r="AG66" s="59"/>
      <c r="AH66" s="61" t="s">
        <v>6</v>
      </c>
      <c r="AI66" s="61" t="s">
        <v>6</v>
      </c>
      <c r="AJ66" s="59"/>
      <c r="AK66" s="59"/>
      <c r="AL66" s="258"/>
      <c r="AM66" s="36"/>
      <c r="AN66" s="13"/>
      <c r="AO66" s="13"/>
      <c r="AP66" s="13"/>
      <c r="AQ66" s="13"/>
      <c r="AR66" s="13"/>
      <c r="AS66" s="13"/>
      <c r="AT66" s="13"/>
      <c r="AU66" s="13"/>
      <c r="AV66" s="13"/>
      <c r="AW66" s="18"/>
    </row>
    <row r="67" spans="1:87" s="12" customFormat="1" ht="15">
      <c r="A67" s="416">
        <f t="shared" si="4"/>
        <v>61</v>
      </c>
      <c r="B67" s="38"/>
      <c r="C67" s="42"/>
      <c r="D67" s="19"/>
      <c r="E67" s="19"/>
      <c r="F67" s="19"/>
      <c r="G67" s="19"/>
      <c r="H67" s="13"/>
      <c r="I67" s="13"/>
      <c r="J67" s="362" t="s">
        <v>4951</v>
      </c>
      <c r="K67" s="412" t="s">
        <v>132</v>
      </c>
      <c r="L67" s="412" t="s">
        <v>4952</v>
      </c>
      <c r="M67" s="412" t="s">
        <v>3781</v>
      </c>
      <c r="N67" s="40" t="s">
        <v>504</v>
      </c>
      <c r="O67" s="126"/>
      <c r="P67" s="126"/>
      <c r="Q67" s="126" t="s">
        <v>6</v>
      </c>
      <c r="R67" s="126" t="s">
        <v>6</v>
      </c>
      <c r="S67" s="126" t="s">
        <v>6</v>
      </c>
      <c r="T67" s="126"/>
      <c r="U67" s="500"/>
      <c r="V67" s="262"/>
      <c r="W67" s="412" t="s">
        <v>133</v>
      </c>
      <c r="X67" s="59"/>
      <c r="Y67" s="59"/>
      <c r="Z67" s="61" t="s">
        <v>6</v>
      </c>
      <c r="AA67" s="61" t="s">
        <v>6</v>
      </c>
      <c r="AB67" s="59"/>
      <c r="AC67" s="59"/>
      <c r="AD67" s="258"/>
      <c r="AE67" s="412" t="s">
        <v>133</v>
      </c>
      <c r="AF67" s="59"/>
      <c r="AG67" s="59"/>
      <c r="AH67" s="61" t="s">
        <v>6</v>
      </c>
      <c r="AI67" s="61" t="s">
        <v>6</v>
      </c>
      <c r="AJ67" s="59"/>
      <c r="AK67" s="59"/>
      <c r="AL67" s="258"/>
      <c r="AM67" s="36"/>
      <c r="AN67" s="13"/>
      <c r="AO67" s="13"/>
      <c r="AP67" s="13"/>
      <c r="AQ67" s="13"/>
      <c r="AR67" s="13"/>
      <c r="AS67" s="13"/>
      <c r="AT67" s="13"/>
      <c r="AU67" s="13"/>
      <c r="AV67" s="13"/>
      <c r="AW67" s="18"/>
    </row>
    <row r="68" spans="1:87" s="12" customFormat="1" ht="15">
      <c r="A68" s="416">
        <f t="shared" si="4"/>
        <v>62</v>
      </c>
      <c r="B68" s="38"/>
      <c r="C68" s="42"/>
      <c r="D68" s="19"/>
      <c r="E68" s="19"/>
      <c r="F68" s="19"/>
      <c r="G68" s="19"/>
      <c r="H68" s="13"/>
      <c r="I68" s="13"/>
      <c r="J68" s="15" t="s">
        <v>4953</v>
      </c>
      <c r="K68" s="412" t="s">
        <v>117</v>
      </c>
      <c r="L68" s="215" t="s">
        <v>691</v>
      </c>
      <c r="M68" s="215" t="s">
        <v>4954</v>
      </c>
      <c r="N68" s="40" t="s">
        <v>504</v>
      </c>
      <c r="O68" s="126"/>
      <c r="P68" s="126"/>
      <c r="Q68" s="126" t="s">
        <v>6</v>
      </c>
      <c r="R68" s="126" t="s">
        <v>6</v>
      </c>
      <c r="S68" s="126" t="s">
        <v>6</v>
      </c>
      <c r="T68" s="126"/>
      <c r="U68" s="220" t="s">
        <v>4955</v>
      </c>
      <c r="V68" s="204"/>
      <c r="W68" s="412" t="s">
        <v>133</v>
      </c>
      <c r="X68" s="59"/>
      <c r="Y68" s="59"/>
      <c r="Z68" s="61" t="s">
        <v>6</v>
      </c>
      <c r="AA68" s="61" t="s">
        <v>6</v>
      </c>
      <c r="AB68" s="59"/>
      <c r="AC68" s="59"/>
      <c r="AD68" s="258"/>
      <c r="AE68" s="412" t="s">
        <v>133</v>
      </c>
      <c r="AF68" s="59"/>
      <c r="AG68" s="59"/>
      <c r="AH68" s="61" t="s">
        <v>6</v>
      </c>
      <c r="AI68" s="61" t="s">
        <v>6</v>
      </c>
      <c r="AJ68" s="59"/>
      <c r="AK68" s="59"/>
      <c r="AL68" s="258"/>
      <c r="AM68" s="36" t="s">
        <v>4956</v>
      </c>
      <c r="AN68" s="13"/>
      <c r="AO68" s="13"/>
      <c r="AP68" s="13"/>
      <c r="AQ68" s="13"/>
      <c r="AR68" s="13"/>
      <c r="AS68" s="13"/>
      <c r="AT68" s="13"/>
      <c r="AU68" s="13"/>
      <c r="AV68" s="13"/>
      <c r="AW68" s="18"/>
    </row>
    <row r="69" spans="1:87" s="18" customFormat="1" ht="15">
      <c r="A69" s="416">
        <f t="shared" si="4"/>
        <v>63</v>
      </c>
      <c r="B69" s="19"/>
      <c r="C69" s="41"/>
      <c r="D69" s="19"/>
      <c r="E69" s="19"/>
      <c r="F69" s="19"/>
      <c r="G69" s="19"/>
      <c r="H69" s="13"/>
      <c r="I69" s="13"/>
      <c r="J69" s="412" t="s">
        <v>4957</v>
      </c>
      <c r="K69" s="412" t="s">
        <v>117</v>
      </c>
      <c r="L69" s="215" t="s">
        <v>4890</v>
      </c>
      <c r="M69" s="215" t="s">
        <v>4954</v>
      </c>
      <c r="N69" s="40" t="s">
        <v>504</v>
      </c>
      <c r="O69" s="126"/>
      <c r="P69" s="126"/>
      <c r="Q69" s="126" t="s">
        <v>6</v>
      </c>
      <c r="R69" s="126" t="s">
        <v>6</v>
      </c>
      <c r="S69" s="126" t="s">
        <v>6</v>
      </c>
      <c r="T69" s="126"/>
      <c r="U69" s="502"/>
      <c r="V69" s="265"/>
      <c r="W69" s="412" t="s">
        <v>133</v>
      </c>
      <c r="X69" s="59"/>
      <c r="Y69" s="59"/>
      <c r="Z69" s="61" t="s">
        <v>6</v>
      </c>
      <c r="AA69" s="61" t="s">
        <v>6</v>
      </c>
      <c r="AB69" s="59"/>
      <c r="AC69" s="59"/>
      <c r="AD69" s="258"/>
      <c r="AE69" s="412" t="s">
        <v>133</v>
      </c>
      <c r="AF69" s="59"/>
      <c r="AG69" s="59"/>
      <c r="AH69" s="61" t="s">
        <v>6</v>
      </c>
      <c r="AI69" s="61" t="s">
        <v>6</v>
      </c>
      <c r="AJ69" s="59"/>
      <c r="AK69" s="59"/>
      <c r="AL69" s="258"/>
      <c r="AM69" s="36"/>
      <c r="AN69" s="13"/>
      <c r="AO69" s="15"/>
      <c r="AP69" s="15"/>
      <c r="AQ69" s="15"/>
      <c r="AR69" s="15"/>
      <c r="AS69" s="15"/>
      <c r="AT69" s="15"/>
      <c r="AU69" s="13"/>
      <c r="AV69" s="15"/>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row>
    <row r="70" spans="1:87" s="18" customFormat="1" ht="15">
      <c r="A70" s="416">
        <f t="shared" si="4"/>
        <v>64</v>
      </c>
      <c r="B70" s="19"/>
      <c r="C70" s="41"/>
      <c r="D70" s="19"/>
      <c r="E70" s="19"/>
      <c r="F70" s="19"/>
      <c r="G70" s="19"/>
      <c r="H70" s="13"/>
      <c r="I70" s="13"/>
      <c r="J70" s="412" t="s">
        <v>4958</v>
      </c>
      <c r="K70" s="412" t="s">
        <v>117</v>
      </c>
      <c r="L70" s="215" t="s">
        <v>4893</v>
      </c>
      <c r="M70" s="215" t="s">
        <v>4954</v>
      </c>
      <c r="N70" s="40" t="s">
        <v>504</v>
      </c>
      <c r="O70" s="126"/>
      <c r="P70" s="126"/>
      <c r="Q70" s="126" t="s">
        <v>6</v>
      </c>
      <c r="R70" s="126" t="s">
        <v>6</v>
      </c>
      <c r="S70" s="126" t="s">
        <v>6</v>
      </c>
      <c r="T70" s="126"/>
      <c r="U70" s="502"/>
      <c r="V70" s="265"/>
      <c r="W70" s="412" t="s">
        <v>133</v>
      </c>
      <c r="X70" s="59"/>
      <c r="Y70" s="59"/>
      <c r="Z70" s="61" t="s">
        <v>6</v>
      </c>
      <c r="AA70" s="61" t="s">
        <v>6</v>
      </c>
      <c r="AB70" s="59"/>
      <c r="AC70" s="59"/>
      <c r="AD70" s="258"/>
      <c r="AE70" s="412" t="s">
        <v>133</v>
      </c>
      <c r="AF70" s="59"/>
      <c r="AG70" s="59"/>
      <c r="AH70" s="61" t="s">
        <v>6</v>
      </c>
      <c r="AI70" s="61" t="s">
        <v>6</v>
      </c>
      <c r="AJ70" s="59"/>
      <c r="AK70" s="59"/>
      <c r="AL70" s="258"/>
      <c r="AM70" s="36"/>
      <c r="AN70" s="13"/>
      <c r="AO70" s="15"/>
      <c r="AP70" s="15"/>
      <c r="AQ70" s="15"/>
      <c r="AR70" s="15"/>
      <c r="AS70" s="15"/>
      <c r="AT70" s="15"/>
      <c r="AU70" s="13"/>
      <c r="AV70" s="15"/>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row>
    <row r="71" spans="1:87" s="12" customFormat="1" ht="15">
      <c r="A71" s="416">
        <f t="shared" si="4"/>
        <v>65</v>
      </c>
      <c r="B71" s="38"/>
      <c r="C71" s="42"/>
      <c r="D71" s="19"/>
      <c r="E71" s="19"/>
      <c r="F71" s="19"/>
      <c r="G71" s="19"/>
      <c r="H71" s="13"/>
      <c r="I71" s="13"/>
      <c r="J71" s="412" t="s">
        <v>4959</v>
      </c>
      <c r="K71" s="412" t="s">
        <v>117</v>
      </c>
      <c r="L71" s="215" t="s">
        <v>1638</v>
      </c>
      <c r="M71" s="215"/>
      <c r="N71" s="40" t="s">
        <v>504</v>
      </c>
      <c r="O71" s="126"/>
      <c r="P71" s="126"/>
      <c r="Q71" s="126" t="s">
        <v>6</v>
      </c>
      <c r="R71" s="126" t="s">
        <v>6</v>
      </c>
      <c r="S71" s="126" t="s">
        <v>6</v>
      </c>
      <c r="T71" s="126"/>
      <c r="U71" s="501"/>
      <c r="V71" s="239"/>
      <c r="W71" s="412" t="s">
        <v>133</v>
      </c>
      <c r="X71" s="59"/>
      <c r="Y71" s="59"/>
      <c r="Z71" s="61" t="s">
        <v>6</v>
      </c>
      <c r="AA71" s="61" t="s">
        <v>6</v>
      </c>
      <c r="AB71" s="59"/>
      <c r="AC71" s="59"/>
      <c r="AD71" s="59"/>
      <c r="AE71" s="412" t="s">
        <v>133</v>
      </c>
      <c r="AF71" s="59"/>
      <c r="AG71" s="59"/>
      <c r="AH71" s="61" t="s">
        <v>6</v>
      </c>
      <c r="AI71" s="61" t="s">
        <v>6</v>
      </c>
      <c r="AJ71" s="59"/>
      <c r="AK71" s="59"/>
      <c r="AL71" s="59"/>
      <c r="AM71" s="43"/>
      <c r="AN71" s="13"/>
      <c r="AO71" s="13"/>
      <c r="AP71" s="13"/>
      <c r="AQ71" s="13"/>
      <c r="AR71" s="13"/>
      <c r="AS71" s="13"/>
      <c r="AT71" s="13"/>
      <c r="AU71" s="13"/>
      <c r="AV71" s="13"/>
      <c r="AW71" s="18"/>
      <c r="AX71" s="16"/>
      <c r="AY71" s="17"/>
    </row>
    <row r="72" spans="1:87" s="12" customFormat="1" ht="15">
      <c r="A72" s="416">
        <f t="shared" si="4"/>
        <v>66</v>
      </c>
      <c r="B72" s="38"/>
      <c r="C72" s="42"/>
      <c r="D72" s="38"/>
      <c r="E72" s="46"/>
      <c r="F72" s="46"/>
      <c r="G72" s="46"/>
      <c r="H72" s="13"/>
      <c r="I72" s="40"/>
      <c r="J72" s="412" t="s">
        <v>4960</v>
      </c>
      <c r="K72" s="412" t="s">
        <v>117</v>
      </c>
      <c r="L72" s="492" t="s">
        <v>4961</v>
      </c>
      <c r="M72" s="492"/>
      <c r="N72" s="40" t="s">
        <v>504</v>
      </c>
      <c r="O72" s="126"/>
      <c r="P72" s="126"/>
      <c r="Q72" s="126" t="s">
        <v>6</v>
      </c>
      <c r="R72" s="126" t="s">
        <v>6</v>
      </c>
      <c r="S72" s="126" t="s">
        <v>6</v>
      </c>
      <c r="T72" s="126"/>
      <c r="U72" s="502"/>
      <c r="V72" s="265"/>
      <c r="W72" s="412" t="s">
        <v>133</v>
      </c>
      <c r="X72" s="59"/>
      <c r="Y72" s="59"/>
      <c r="Z72" s="61" t="s">
        <v>6</v>
      </c>
      <c r="AA72" s="61" t="s">
        <v>6</v>
      </c>
      <c r="AB72" s="59"/>
      <c r="AC72" s="59"/>
      <c r="AD72" s="59"/>
      <c r="AE72" s="412" t="s">
        <v>133</v>
      </c>
      <c r="AF72" s="59"/>
      <c r="AG72" s="59"/>
      <c r="AH72" s="61" t="s">
        <v>6</v>
      </c>
      <c r="AI72" s="61" t="s">
        <v>6</v>
      </c>
      <c r="AJ72" s="59"/>
      <c r="AK72" s="59"/>
      <c r="AL72" s="59"/>
      <c r="AM72" s="43"/>
      <c r="AN72" s="47"/>
      <c r="AO72" s="15"/>
      <c r="AP72" s="15"/>
      <c r="AQ72" s="15"/>
      <c r="AR72" s="15"/>
      <c r="AS72" s="15"/>
      <c r="AT72" s="15"/>
      <c r="AU72" s="15"/>
      <c r="AV72" s="13"/>
      <c r="AW72" s="18"/>
    </row>
    <row r="73" spans="1:87" s="12" customFormat="1" ht="15">
      <c r="A73" s="416">
        <f t="shared" si="4"/>
        <v>67</v>
      </c>
      <c r="B73" s="38"/>
      <c r="C73" s="42"/>
      <c r="D73" s="38"/>
      <c r="E73" s="46"/>
      <c r="F73" s="46"/>
      <c r="G73" s="46"/>
      <c r="H73" s="13"/>
      <c r="I73" s="40"/>
      <c r="J73" s="412" t="s">
        <v>4962</v>
      </c>
      <c r="K73" s="412" t="s">
        <v>117</v>
      </c>
      <c r="L73" s="412" t="s">
        <v>1641</v>
      </c>
      <c r="M73" s="412"/>
      <c r="N73" s="40" t="s">
        <v>504</v>
      </c>
      <c r="O73" s="126"/>
      <c r="P73" s="126"/>
      <c r="Q73" s="126"/>
      <c r="R73" s="126" t="s">
        <v>6</v>
      </c>
      <c r="S73" s="126" t="s">
        <v>6</v>
      </c>
      <c r="T73" s="40"/>
      <c r="U73" s="19"/>
      <c r="V73" s="232"/>
      <c r="W73" s="412" t="s">
        <v>133</v>
      </c>
      <c r="X73" s="59"/>
      <c r="Y73" s="59"/>
      <c r="Z73" s="61" t="s">
        <v>6</v>
      </c>
      <c r="AA73" s="61" t="s">
        <v>6</v>
      </c>
      <c r="AB73" s="59"/>
      <c r="AC73" s="59"/>
      <c r="AD73" s="59"/>
      <c r="AE73" s="412" t="s">
        <v>133</v>
      </c>
      <c r="AF73" s="59"/>
      <c r="AG73" s="59"/>
      <c r="AH73" s="61" t="s">
        <v>6</v>
      </c>
      <c r="AI73" s="61" t="s">
        <v>6</v>
      </c>
      <c r="AJ73" s="59"/>
      <c r="AK73" s="59"/>
      <c r="AL73" s="59"/>
      <c r="AM73" s="43"/>
      <c r="AN73" s="19"/>
      <c r="AO73" s="15"/>
      <c r="AP73" s="15"/>
      <c r="AQ73" s="15"/>
      <c r="AR73" s="15"/>
      <c r="AS73" s="15"/>
      <c r="AT73" s="15"/>
      <c r="AU73" s="15"/>
      <c r="AV73" s="13"/>
      <c r="AW73" s="18"/>
    </row>
    <row r="74" spans="1:87" s="12" customFormat="1" ht="15">
      <c r="A74" s="416">
        <f t="shared" si="4"/>
        <v>68</v>
      </c>
      <c r="B74" s="19"/>
      <c r="C74" s="41"/>
      <c r="D74" s="19"/>
      <c r="E74" s="19"/>
      <c r="F74" s="19"/>
      <c r="G74" s="19"/>
      <c r="H74" s="13"/>
      <c r="I74" s="13"/>
      <c r="J74" s="412" t="s">
        <v>4963</v>
      </c>
      <c r="K74" s="412" t="s">
        <v>117</v>
      </c>
      <c r="L74" s="412" t="s">
        <v>1641</v>
      </c>
      <c r="M74" s="412"/>
      <c r="N74" s="40" t="s">
        <v>504</v>
      </c>
      <c r="O74" s="126"/>
      <c r="P74" s="126"/>
      <c r="Q74" s="126"/>
      <c r="R74" s="126" t="s">
        <v>6</v>
      </c>
      <c r="S74" s="126" t="s">
        <v>6</v>
      </c>
      <c r="T74" s="126"/>
      <c r="U74" s="19"/>
      <c r="V74" s="232"/>
      <c r="W74" s="412" t="s">
        <v>133</v>
      </c>
      <c r="X74" s="59"/>
      <c r="Y74" s="59"/>
      <c r="Z74" s="61" t="s">
        <v>6</v>
      </c>
      <c r="AA74" s="61" t="s">
        <v>6</v>
      </c>
      <c r="AB74" s="59"/>
      <c r="AC74" s="59"/>
      <c r="AD74" s="59"/>
      <c r="AE74" s="412" t="s">
        <v>133</v>
      </c>
      <c r="AF74" s="59"/>
      <c r="AG74" s="59"/>
      <c r="AH74" s="61" t="s">
        <v>6</v>
      </c>
      <c r="AI74" s="61" t="s">
        <v>6</v>
      </c>
      <c r="AJ74" s="59"/>
      <c r="AK74" s="59"/>
      <c r="AL74" s="59"/>
      <c r="AM74" s="43"/>
      <c r="AN74" s="19"/>
      <c r="AO74" s="15"/>
      <c r="AP74" s="15"/>
      <c r="AQ74" s="15"/>
      <c r="AR74" s="15"/>
      <c r="AS74" s="15"/>
      <c r="AT74" s="15"/>
      <c r="AU74" s="15"/>
      <c r="AV74" s="15"/>
      <c r="AW74" s="18"/>
      <c r="AX74" s="16"/>
      <c r="AY74" s="17"/>
    </row>
    <row r="75" spans="1:87" s="20" customFormat="1" ht="15">
      <c r="A75" s="416">
        <f t="shared" si="4"/>
        <v>69</v>
      </c>
      <c r="B75" s="38"/>
      <c r="C75" s="41"/>
      <c r="D75" s="38"/>
      <c r="E75" s="46"/>
      <c r="F75" s="46"/>
      <c r="G75" s="46"/>
      <c r="H75" s="13"/>
      <c r="I75" s="40"/>
      <c r="J75" s="218" t="s">
        <v>4964</v>
      </c>
      <c r="K75" s="412" t="s">
        <v>128</v>
      </c>
      <c r="L75" s="204" t="s">
        <v>703</v>
      </c>
      <c r="M75" s="204"/>
      <c r="N75" s="40" t="s">
        <v>504</v>
      </c>
      <c r="O75" s="126"/>
      <c r="P75" s="40"/>
      <c r="Q75" s="126" t="s">
        <v>6</v>
      </c>
      <c r="R75" s="126" t="s">
        <v>6</v>
      </c>
      <c r="S75" s="126" t="s">
        <v>6</v>
      </c>
      <c r="T75" s="126"/>
      <c r="U75" s="220" t="s">
        <v>768</v>
      </c>
      <c r="V75" s="206"/>
      <c r="W75" s="412" t="s">
        <v>125</v>
      </c>
      <c r="X75" s="59"/>
      <c r="Y75" s="59"/>
      <c r="Z75" s="59"/>
      <c r="AA75" s="61" t="s">
        <v>6</v>
      </c>
      <c r="AB75" s="79"/>
      <c r="AC75" s="59"/>
      <c r="AD75" s="59"/>
      <c r="AE75" s="412" t="s">
        <v>125</v>
      </c>
      <c r="AF75" s="59"/>
      <c r="AG75" s="59"/>
      <c r="AH75" s="59"/>
      <c r="AI75" s="61" t="s">
        <v>6</v>
      </c>
      <c r="AJ75" s="79"/>
      <c r="AK75" s="59"/>
      <c r="AL75" s="59"/>
      <c r="AM75" s="43"/>
      <c r="AN75" s="19"/>
      <c r="AO75" s="13"/>
      <c r="AP75" s="13"/>
      <c r="AQ75" s="13"/>
      <c r="AR75" s="13"/>
      <c r="AS75" s="13"/>
      <c r="AT75" s="13"/>
      <c r="AU75" s="13"/>
      <c r="AV75" s="19"/>
      <c r="AW75" s="18"/>
    </row>
    <row r="76" spans="1:87" s="12" customFormat="1" ht="15">
      <c r="A76" s="416">
        <f t="shared" si="4"/>
        <v>70</v>
      </c>
      <c r="B76" s="19"/>
      <c r="C76" s="41"/>
      <c r="D76" s="19"/>
      <c r="E76" s="19"/>
      <c r="F76" s="19"/>
      <c r="G76" s="19"/>
      <c r="H76" s="13"/>
      <c r="I76" s="13"/>
      <c r="J76" s="218" t="s">
        <v>4965</v>
      </c>
      <c r="K76" s="412" t="s">
        <v>117</v>
      </c>
      <c r="L76" s="204" t="s">
        <v>729</v>
      </c>
      <c r="M76" s="204"/>
      <c r="N76" s="40" t="s">
        <v>504</v>
      </c>
      <c r="O76" s="126"/>
      <c r="P76" s="40"/>
      <c r="Q76" s="126" t="s">
        <v>6</v>
      </c>
      <c r="R76" s="126" t="s">
        <v>6</v>
      </c>
      <c r="S76" s="126" t="s">
        <v>6</v>
      </c>
      <c r="T76" s="126"/>
      <c r="U76" s="220" t="s">
        <v>730</v>
      </c>
      <c r="V76" s="206"/>
      <c r="W76" s="412" t="s">
        <v>125</v>
      </c>
      <c r="X76" s="59"/>
      <c r="Y76" s="59"/>
      <c r="Z76" s="59"/>
      <c r="AA76" s="61" t="s">
        <v>6</v>
      </c>
      <c r="AB76" s="79"/>
      <c r="AC76" s="59"/>
      <c r="AD76" s="218" t="s">
        <v>809</v>
      </c>
      <c r="AE76" s="412" t="s">
        <v>125</v>
      </c>
      <c r="AF76" s="59"/>
      <c r="AG76" s="59"/>
      <c r="AH76" s="59"/>
      <c r="AI76" s="61" t="s">
        <v>6</v>
      </c>
      <c r="AJ76" s="79"/>
      <c r="AK76" s="59"/>
      <c r="AL76" s="218" t="s">
        <v>809</v>
      </c>
      <c r="AM76" s="43"/>
      <c r="AN76" s="19"/>
      <c r="AO76" s="15"/>
      <c r="AP76" s="15"/>
      <c r="AQ76" s="15"/>
      <c r="AR76" s="15"/>
      <c r="AS76" s="15"/>
      <c r="AT76" s="15"/>
      <c r="AU76" s="13"/>
      <c r="AV76" s="15"/>
      <c r="AW76" s="18"/>
    </row>
    <row r="77" spans="1:87" s="18" customFormat="1" ht="15">
      <c r="A77" s="416">
        <f t="shared" si="4"/>
        <v>71</v>
      </c>
      <c r="B77" s="19"/>
      <c r="C77" s="41"/>
      <c r="D77" s="19"/>
      <c r="E77" s="19"/>
      <c r="F77" s="19"/>
      <c r="G77" s="19"/>
      <c r="H77" s="13"/>
      <c r="I77" s="13"/>
      <c r="J77" s="218" t="s">
        <v>4966</v>
      </c>
      <c r="K77" s="412" t="s">
        <v>117</v>
      </c>
      <c r="L77" s="204" t="s">
        <v>3933</v>
      </c>
      <c r="M77" s="204"/>
      <c r="N77" s="40" t="s">
        <v>504</v>
      </c>
      <c r="O77" s="126"/>
      <c r="P77" s="40"/>
      <c r="Q77" s="126" t="s">
        <v>6</v>
      </c>
      <c r="R77" s="126" t="s">
        <v>6</v>
      </c>
      <c r="S77" s="126" t="s">
        <v>6</v>
      </c>
      <c r="T77" s="126"/>
      <c r="U77" s="220" t="s">
        <v>730</v>
      </c>
      <c r="V77" s="206"/>
      <c r="W77" s="412" t="s">
        <v>125</v>
      </c>
      <c r="X77" s="59"/>
      <c r="Y77" s="59"/>
      <c r="Z77" s="59"/>
      <c r="AA77" s="61" t="s">
        <v>6</v>
      </c>
      <c r="AB77" s="79"/>
      <c r="AC77" s="59"/>
      <c r="AD77" s="218" t="s">
        <v>809</v>
      </c>
      <c r="AE77" s="412" t="s">
        <v>125</v>
      </c>
      <c r="AF77" s="59"/>
      <c r="AG77" s="59"/>
      <c r="AH77" s="59"/>
      <c r="AI77" s="61" t="s">
        <v>6</v>
      </c>
      <c r="AJ77" s="79"/>
      <c r="AK77" s="59"/>
      <c r="AL77" s="218" t="s">
        <v>809</v>
      </c>
      <c r="AM77" s="43"/>
      <c r="AN77" s="19"/>
      <c r="AO77" s="15"/>
      <c r="AP77" s="15"/>
      <c r="AQ77" s="15"/>
      <c r="AR77" s="15"/>
      <c r="AS77" s="15"/>
      <c r="AT77" s="15"/>
      <c r="AU77" s="15"/>
      <c r="AV77" s="15"/>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row>
    <row r="78" spans="1:87" s="18" customFormat="1" ht="15">
      <c r="A78" s="416">
        <f t="shared" si="4"/>
        <v>72</v>
      </c>
      <c r="B78" s="19"/>
      <c r="C78" s="41"/>
      <c r="D78" s="19"/>
      <c r="E78" s="19"/>
      <c r="F78" s="19"/>
      <c r="G78" s="19"/>
      <c r="H78" s="13"/>
      <c r="I78" s="13"/>
      <c r="J78" s="218" t="s">
        <v>4967</v>
      </c>
      <c r="K78" s="412" t="s">
        <v>117</v>
      </c>
      <c r="L78" s="204" t="s">
        <v>1391</v>
      </c>
      <c r="M78" s="204"/>
      <c r="N78" s="40" t="s">
        <v>504</v>
      </c>
      <c r="O78" s="126"/>
      <c r="P78" s="40"/>
      <c r="Q78" s="126" t="s">
        <v>6</v>
      </c>
      <c r="R78" s="126" t="s">
        <v>6</v>
      </c>
      <c r="S78" s="126" t="s">
        <v>6</v>
      </c>
      <c r="T78" s="40"/>
      <c r="U78" s="220" t="s">
        <v>730</v>
      </c>
      <c r="V78" s="206"/>
      <c r="W78" s="412" t="s">
        <v>125</v>
      </c>
      <c r="X78" s="59"/>
      <c r="Y78" s="59"/>
      <c r="Z78" s="59"/>
      <c r="AA78" s="61" t="s">
        <v>6</v>
      </c>
      <c r="AB78" s="79"/>
      <c r="AC78" s="59"/>
      <c r="AD78" s="218" t="s">
        <v>809</v>
      </c>
      <c r="AE78" s="412" t="s">
        <v>125</v>
      </c>
      <c r="AF78" s="59"/>
      <c r="AG78" s="59"/>
      <c r="AH78" s="59"/>
      <c r="AI78" s="61" t="s">
        <v>6</v>
      </c>
      <c r="AJ78" s="79"/>
      <c r="AK78" s="59"/>
      <c r="AL78" s="218" t="s">
        <v>809</v>
      </c>
      <c r="AM78" s="43"/>
      <c r="AN78" s="19"/>
      <c r="AO78" s="15"/>
      <c r="AP78" s="15"/>
      <c r="AQ78" s="15"/>
      <c r="AR78" s="15"/>
      <c r="AS78" s="15"/>
      <c r="AT78" s="15"/>
      <c r="AU78" s="13"/>
      <c r="AV78" s="15"/>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row>
    <row r="79" spans="1:87" s="20" customFormat="1" ht="15">
      <c r="A79" s="416">
        <f t="shared" si="4"/>
        <v>73</v>
      </c>
      <c r="B79" s="59"/>
      <c r="C79" s="59"/>
      <c r="D79" s="59"/>
      <c r="E79" s="59"/>
      <c r="F79" s="59"/>
      <c r="G79" s="59"/>
      <c r="H79" s="59"/>
      <c r="I79" s="59"/>
      <c r="J79" s="218" t="s">
        <v>4968</v>
      </c>
      <c r="K79" s="204" t="s">
        <v>117</v>
      </c>
      <c r="L79" s="204" t="s">
        <v>4969</v>
      </c>
      <c r="M79" s="204"/>
      <c r="N79" s="40" t="s">
        <v>504</v>
      </c>
      <c r="O79" s="126"/>
      <c r="P79" s="126"/>
      <c r="Q79" s="40" t="s">
        <v>6</v>
      </c>
      <c r="R79" s="40" t="s">
        <v>6</v>
      </c>
      <c r="S79" s="40" t="s">
        <v>6</v>
      </c>
      <c r="T79" s="40"/>
      <c r="U79" s="220" t="s">
        <v>730</v>
      </c>
      <c r="V79" s="206"/>
      <c r="W79" s="204" t="s">
        <v>125</v>
      </c>
      <c r="X79" s="59"/>
      <c r="Y79" s="59"/>
      <c r="Z79" s="59"/>
      <c r="AA79" s="40" t="s">
        <v>6</v>
      </c>
      <c r="AB79" s="218"/>
      <c r="AC79" s="59"/>
      <c r="AD79" s="218" t="s">
        <v>809</v>
      </c>
      <c r="AE79" s="204" t="s">
        <v>125</v>
      </c>
      <c r="AF79" s="59"/>
      <c r="AG79" s="59"/>
      <c r="AH79" s="59"/>
      <c r="AI79" s="40" t="s">
        <v>6</v>
      </c>
      <c r="AJ79" s="218"/>
      <c r="AK79" s="59"/>
      <c r="AL79" s="218" t="s">
        <v>809</v>
      </c>
      <c r="AM79" s="59"/>
      <c r="AN79" s="59"/>
      <c r="AO79" s="59"/>
      <c r="AP79" s="59"/>
      <c r="AQ79" s="59"/>
      <c r="AR79" s="59"/>
      <c r="AS79" s="59"/>
      <c r="AT79" s="59"/>
      <c r="AU79" s="59"/>
      <c r="AV79" s="59"/>
      <c r="AW79" s="18"/>
    </row>
    <row r="80" spans="1:87" s="20" customFormat="1" ht="15">
      <c r="A80" s="416">
        <f t="shared" si="4"/>
        <v>74</v>
      </c>
      <c r="B80" s="59"/>
      <c r="C80" s="59"/>
      <c r="D80" s="59"/>
      <c r="E80" s="59"/>
      <c r="F80" s="59"/>
      <c r="G80" s="59"/>
      <c r="H80" s="59"/>
      <c r="I80" s="59"/>
      <c r="J80" s="218" t="s">
        <v>4970</v>
      </c>
      <c r="K80" s="204" t="s">
        <v>117</v>
      </c>
      <c r="L80" s="204" t="s">
        <v>4971</v>
      </c>
      <c r="M80" s="204"/>
      <c r="N80" s="40" t="s">
        <v>504</v>
      </c>
      <c r="O80" s="126"/>
      <c r="P80" s="126"/>
      <c r="Q80" s="40" t="s">
        <v>6</v>
      </c>
      <c r="R80" s="40" t="s">
        <v>6</v>
      </c>
      <c r="S80" s="40" t="s">
        <v>6</v>
      </c>
      <c r="T80" s="40"/>
      <c r="U80" s="220" t="s">
        <v>738</v>
      </c>
      <c r="V80" s="206"/>
      <c r="W80" s="204" t="s">
        <v>125</v>
      </c>
      <c r="X80" s="59"/>
      <c r="Y80" s="59"/>
      <c r="Z80" s="59"/>
      <c r="AA80" s="40" t="s">
        <v>6</v>
      </c>
      <c r="AB80" s="15"/>
      <c r="AC80" s="59"/>
      <c r="AD80" s="218" t="s">
        <v>809</v>
      </c>
      <c r="AE80" s="204" t="s">
        <v>125</v>
      </c>
      <c r="AF80" s="59"/>
      <c r="AG80" s="59"/>
      <c r="AH80" s="59"/>
      <c r="AI80" s="40" t="s">
        <v>6</v>
      </c>
      <c r="AJ80" s="15"/>
      <c r="AK80" s="59"/>
      <c r="AL80" s="218" t="s">
        <v>809</v>
      </c>
      <c r="AM80" s="59"/>
      <c r="AN80" s="59"/>
      <c r="AO80" s="59"/>
      <c r="AP80" s="59"/>
      <c r="AQ80" s="59"/>
      <c r="AR80" s="59"/>
      <c r="AS80" s="59"/>
      <c r="AT80" s="59"/>
      <c r="AU80" s="59"/>
      <c r="AV80" s="59"/>
      <c r="AW80" s="18"/>
    </row>
    <row r="81" spans="1:87" s="18" customFormat="1" ht="39.6">
      <c r="A81" s="416">
        <f t="shared" si="4"/>
        <v>75</v>
      </c>
      <c r="B81" s="19"/>
      <c r="C81" s="41"/>
      <c r="D81" s="19"/>
      <c r="E81" s="19"/>
      <c r="F81" s="19"/>
      <c r="G81" s="19"/>
      <c r="H81" s="13"/>
      <c r="I81" s="13"/>
      <c r="J81" s="218" t="s">
        <v>4972</v>
      </c>
      <c r="K81" s="412" t="s">
        <v>117</v>
      </c>
      <c r="L81" s="204" t="s">
        <v>4973</v>
      </c>
      <c r="M81" s="204"/>
      <c r="N81" s="40" t="s">
        <v>504</v>
      </c>
      <c r="O81" s="126"/>
      <c r="P81" s="40"/>
      <c r="Q81" s="126" t="s">
        <v>6</v>
      </c>
      <c r="R81" s="126" t="s">
        <v>6</v>
      </c>
      <c r="S81" s="126" t="s">
        <v>6</v>
      </c>
      <c r="T81" s="126"/>
      <c r="U81" s="220" t="s">
        <v>4902</v>
      </c>
      <c r="V81" s="206"/>
      <c r="W81" s="412" t="s">
        <v>125</v>
      </c>
      <c r="X81" s="59"/>
      <c r="Y81" s="59"/>
      <c r="Z81" s="59"/>
      <c r="AA81" s="61" t="s">
        <v>6</v>
      </c>
      <c r="AB81" s="79"/>
      <c r="AC81" s="59"/>
      <c r="AD81" s="218" t="s">
        <v>809</v>
      </c>
      <c r="AE81" s="412" t="s">
        <v>125</v>
      </c>
      <c r="AF81" s="59"/>
      <c r="AG81" s="59"/>
      <c r="AH81" s="59"/>
      <c r="AI81" s="61" t="s">
        <v>6</v>
      </c>
      <c r="AJ81" s="79"/>
      <c r="AK81" s="59"/>
      <c r="AL81" s="218" t="s">
        <v>809</v>
      </c>
      <c r="AM81" s="43"/>
      <c r="AN81" s="19"/>
      <c r="AO81" s="15"/>
      <c r="AP81" s="15"/>
      <c r="AQ81" s="15"/>
      <c r="AR81" s="15"/>
      <c r="AS81" s="15"/>
      <c r="AT81" s="15"/>
      <c r="AU81" s="13"/>
      <c r="AV81" s="15"/>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row>
    <row r="82" spans="1:87" s="18" customFormat="1" ht="15">
      <c r="A82" s="416">
        <f t="shared" si="4"/>
        <v>76</v>
      </c>
      <c r="B82" s="19"/>
      <c r="C82" s="41"/>
      <c r="D82" s="19"/>
      <c r="E82" s="19"/>
      <c r="F82" s="19"/>
      <c r="G82" s="19"/>
      <c r="H82" s="13"/>
      <c r="I82" s="13"/>
      <c r="J82" s="218" t="s">
        <v>4974</v>
      </c>
      <c r="K82" s="412" t="s">
        <v>117</v>
      </c>
      <c r="L82" s="204" t="s">
        <v>3949</v>
      </c>
      <c r="M82" s="204"/>
      <c r="N82" s="40" t="s">
        <v>504</v>
      </c>
      <c r="O82" s="126"/>
      <c r="P82" s="40"/>
      <c r="Q82" s="126" t="s">
        <v>6</v>
      </c>
      <c r="R82" s="126" t="s">
        <v>6</v>
      </c>
      <c r="S82" s="126" t="s">
        <v>6</v>
      </c>
      <c r="T82" s="126"/>
      <c r="U82" s="220" t="s">
        <v>730</v>
      </c>
      <c r="V82" s="206"/>
      <c r="W82" s="412" t="s">
        <v>125</v>
      </c>
      <c r="X82" s="59"/>
      <c r="Y82" s="59"/>
      <c r="Z82" s="59"/>
      <c r="AA82" s="61" t="s">
        <v>6</v>
      </c>
      <c r="AB82" s="79"/>
      <c r="AC82" s="59"/>
      <c r="AD82" s="218" t="s">
        <v>809</v>
      </c>
      <c r="AE82" s="412" t="s">
        <v>125</v>
      </c>
      <c r="AF82" s="59"/>
      <c r="AG82" s="59"/>
      <c r="AH82" s="59"/>
      <c r="AI82" s="61" t="s">
        <v>6</v>
      </c>
      <c r="AJ82" s="79"/>
      <c r="AK82" s="59"/>
      <c r="AL82" s="218" t="s">
        <v>809</v>
      </c>
      <c r="AM82" s="43"/>
      <c r="AN82" s="19"/>
      <c r="AO82" s="15"/>
      <c r="AP82" s="15"/>
      <c r="AQ82" s="15"/>
      <c r="AR82" s="15"/>
      <c r="AS82" s="15"/>
      <c r="AT82" s="15"/>
      <c r="AU82" s="13"/>
      <c r="AV82" s="15"/>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row>
    <row r="83" spans="1:87" s="20" customFormat="1" ht="26.4">
      <c r="A83" s="416">
        <f t="shared" si="4"/>
        <v>77</v>
      </c>
      <c r="B83" s="59"/>
      <c r="C83" s="59"/>
      <c r="D83" s="59"/>
      <c r="E83" s="59"/>
      <c r="F83" s="59"/>
      <c r="G83" s="59"/>
      <c r="H83" s="59"/>
      <c r="I83" s="59"/>
      <c r="J83" s="218" t="s">
        <v>4975</v>
      </c>
      <c r="K83" s="232" t="s">
        <v>134</v>
      </c>
      <c r="L83" s="204" t="s">
        <v>744</v>
      </c>
      <c r="M83" s="204"/>
      <c r="N83" s="40" t="s">
        <v>504</v>
      </c>
      <c r="O83" s="126"/>
      <c r="P83" s="126"/>
      <c r="Q83" s="40" t="s">
        <v>6</v>
      </c>
      <c r="R83" s="40" t="s">
        <v>6</v>
      </c>
      <c r="S83" s="40" t="s">
        <v>6</v>
      </c>
      <c r="T83" s="40"/>
      <c r="U83" s="216" t="s">
        <v>742</v>
      </c>
      <c r="V83" s="206"/>
      <c r="W83" s="232" t="s">
        <v>137</v>
      </c>
      <c r="X83" s="59"/>
      <c r="Y83" s="59"/>
      <c r="Z83" s="59"/>
      <c r="AA83" s="40" t="s">
        <v>6</v>
      </c>
      <c r="AB83" s="15"/>
      <c r="AC83" s="59"/>
      <c r="AD83" s="218" t="s">
        <v>809</v>
      </c>
      <c r="AE83" s="232" t="s">
        <v>137</v>
      </c>
      <c r="AF83" s="59"/>
      <c r="AG83" s="59"/>
      <c r="AH83" s="59"/>
      <c r="AI83" s="40" t="s">
        <v>6</v>
      </c>
      <c r="AJ83" s="15"/>
      <c r="AK83" s="59"/>
      <c r="AL83" s="218" t="s">
        <v>809</v>
      </c>
      <c r="AM83" s="59"/>
      <c r="AN83" s="59"/>
      <c r="AO83" s="59"/>
      <c r="AP83" s="59"/>
      <c r="AQ83" s="59"/>
      <c r="AR83" s="59"/>
      <c r="AS83" s="59"/>
      <c r="AT83" s="59"/>
      <c r="AU83" s="59"/>
      <c r="AV83" s="59"/>
      <c r="AW83" s="18"/>
    </row>
    <row r="84" spans="1:87" s="20" customFormat="1" ht="15">
      <c r="A84" s="416">
        <f t="shared" si="4"/>
        <v>78</v>
      </c>
      <c r="B84" s="59"/>
      <c r="C84" s="59"/>
      <c r="D84" s="59"/>
      <c r="E84" s="59"/>
      <c r="F84" s="59"/>
      <c r="G84" s="59"/>
      <c r="H84" s="59"/>
      <c r="I84" s="59"/>
      <c r="J84" s="218" t="s">
        <v>4976</v>
      </c>
      <c r="K84" s="412" t="s">
        <v>117</v>
      </c>
      <c r="L84" s="204" t="s">
        <v>759</v>
      </c>
      <c r="M84" s="204"/>
      <c r="N84" s="40" t="s">
        <v>504</v>
      </c>
      <c r="O84" s="126"/>
      <c r="P84" s="126"/>
      <c r="Q84" s="40" t="s">
        <v>6</v>
      </c>
      <c r="R84" s="40" t="s">
        <v>6</v>
      </c>
      <c r="S84" s="40" t="s">
        <v>6</v>
      </c>
      <c r="T84" s="40"/>
      <c r="U84" s="220" t="s">
        <v>3963</v>
      </c>
      <c r="V84" s="206"/>
      <c r="W84" s="412" t="s">
        <v>125</v>
      </c>
      <c r="X84" s="59"/>
      <c r="Y84" s="59"/>
      <c r="Z84" s="59"/>
      <c r="AA84" s="40" t="s">
        <v>6</v>
      </c>
      <c r="AB84" s="15"/>
      <c r="AC84" s="59"/>
      <c r="AD84" s="218" t="s">
        <v>809</v>
      </c>
      <c r="AE84" s="412" t="s">
        <v>125</v>
      </c>
      <c r="AF84" s="59"/>
      <c r="AG84" s="59"/>
      <c r="AH84" s="59"/>
      <c r="AI84" s="40" t="s">
        <v>6</v>
      </c>
      <c r="AJ84" s="15"/>
      <c r="AK84" s="59"/>
      <c r="AL84" s="218" t="s">
        <v>809</v>
      </c>
      <c r="AM84" s="59"/>
      <c r="AN84" s="59"/>
      <c r="AO84" s="59"/>
      <c r="AP84" s="59"/>
      <c r="AQ84" s="59"/>
      <c r="AR84" s="59"/>
      <c r="AS84" s="59"/>
      <c r="AT84" s="59"/>
      <c r="AU84" s="59"/>
      <c r="AV84" s="59"/>
      <c r="AW84" s="18"/>
    </row>
    <row r="85" spans="1:87" s="20" customFormat="1" ht="15">
      <c r="A85" s="416">
        <f t="shared" si="4"/>
        <v>79</v>
      </c>
      <c r="B85" s="59"/>
      <c r="C85" s="59"/>
      <c r="D85" s="59"/>
      <c r="E85" s="59"/>
      <c r="F85" s="59"/>
      <c r="G85" s="59"/>
      <c r="H85" s="59"/>
      <c r="I85" s="59"/>
      <c r="J85" s="218" t="s">
        <v>4977</v>
      </c>
      <c r="K85" s="412" t="s">
        <v>117</v>
      </c>
      <c r="L85" s="204" t="s">
        <v>3970</v>
      </c>
      <c r="M85" s="204"/>
      <c r="N85" s="40" t="s">
        <v>504</v>
      </c>
      <c r="O85" s="126"/>
      <c r="P85" s="126"/>
      <c r="Q85" s="40" t="s">
        <v>6</v>
      </c>
      <c r="R85" s="40" t="s">
        <v>6</v>
      </c>
      <c r="S85" s="40" t="s">
        <v>6</v>
      </c>
      <c r="T85" s="40"/>
      <c r="U85" s="220" t="s">
        <v>3963</v>
      </c>
      <c r="V85" s="206"/>
      <c r="W85" s="412" t="s">
        <v>125</v>
      </c>
      <c r="X85" s="59"/>
      <c r="Y85" s="59"/>
      <c r="Z85" s="59"/>
      <c r="AA85" s="40" t="s">
        <v>6</v>
      </c>
      <c r="AB85" s="15"/>
      <c r="AC85" s="59"/>
      <c r="AD85" s="218" t="s">
        <v>809</v>
      </c>
      <c r="AE85" s="412" t="s">
        <v>125</v>
      </c>
      <c r="AF85" s="59"/>
      <c r="AG85" s="59"/>
      <c r="AH85" s="59"/>
      <c r="AI85" s="40" t="s">
        <v>6</v>
      </c>
      <c r="AJ85" s="15"/>
      <c r="AK85" s="59"/>
      <c r="AL85" s="218" t="s">
        <v>809</v>
      </c>
      <c r="AM85" s="59"/>
      <c r="AN85" s="59"/>
      <c r="AO85" s="59"/>
      <c r="AP85" s="59"/>
      <c r="AQ85" s="59"/>
      <c r="AR85" s="59"/>
      <c r="AS85" s="59"/>
      <c r="AT85" s="59"/>
      <c r="AU85" s="59"/>
      <c r="AV85" s="59"/>
      <c r="AW85" s="18"/>
    </row>
    <row r="86" spans="1:87" s="20" customFormat="1" ht="15">
      <c r="A86" s="416">
        <f t="shared" si="4"/>
        <v>80</v>
      </c>
      <c r="B86" s="59"/>
      <c r="C86" s="59"/>
      <c r="D86" s="59"/>
      <c r="E86" s="59"/>
      <c r="F86" s="59"/>
      <c r="G86" s="59"/>
      <c r="H86" s="59"/>
      <c r="I86" s="59"/>
      <c r="J86" s="218" t="s">
        <v>4978</v>
      </c>
      <c r="K86" s="412" t="s">
        <v>117</v>
      </c>
      <c r="L86" s="204" t="s">
        <v>3975</v>
      </c>
      <c r="M86" s="204"/>
      <c r="N86" s="40" t="s">
        <v>504</v>
      </c>
      <c r="O86" s="126"/>
      <c r="P86" s="126"/>
      <c r="Q86" s="40" t="s">
        <v>6</v>
      </c>
      <c r="R86" s="40" t="s">
        <v>6</v>
      </c>
      <c r="S86" s="40" t="s">
        <v>6</v>
      </c>
      <c r="T86" s="40"/>
      <c r="U86" s="220" t="s">
        <v>3963</v>
      </c>
      <c r="V86" s="206"/>
      <c r="W86" s="412" t="s">
        <v>125</v>
      </c>
      <c r="X86" s="59"/>
      <c r="Y86" s="59"/>
      <c r="Z86" s="59"/>
      <c r="AA86" s="40" t="s">
        <v>6</v>
      </c>
      <c r="AB86" s="15"/>
      <c r="AC86" s="59"/>
      <c r="AD86" s="218" t="s">
        <v>809</v>
      </c>
      <c r="AE86" s="412" t="s">
        <v>125</v>
      </c>
      <c r="AF86" s="59"/>
      <c r="AG86" s="59"/>
      <c r="AH86" s="59"/>
      <c r="AI86" s="40" t="s">
        <v>6</v>
      </c>
      <c r="AJ86" s="15"/>
      <c r="AK86" s="59"/>
      <c r="AL86" s="218" t="s">
        <v>809</v>
      </c>
      <c r="AM86" s="59"/>
      <c r="AN86" s="59"/>
      <c r="AO86" s="59"/>
      <c r="AP86" s="59"/>
      <c r="AQ86" s="59"/>
      <c r="AR86" s="59"/>
      <c r="AS86" s="59"/>
      <c r="AT86" s="59"/>
      <c r="AU86" s="59"/>
      <c r="AV86" s="59"/>
      <c r="AW86" s="18"/>
    </row>
    <row r="87" spans="1:87" s="20" customFormat="1" ht="15">
      <c r="A87" s="416">
        <f t="shared" si="4"/>
        <v>81</v>
      </c>
      <c r="B87" s="59"/>
      <c r="C87" s="59"/>
      <c r="D87" s="59"/>
      <c r="E87" s="59"/>
      <c r="F87" s="59"/>
      <c r="G87" s="59"/>
      <c r="H87" s="59"/>
      <c r="I87" s="59"/>
      <c r="J87" s="218" t="s">
        <v>4979</v>
      </c>
      <c r="K87" s="412" t="s">
        <v>117</v>
      </c>
      <c r="L87" s="204" t="s">
        <v>3979</v>
      </c>
      <c r="M87" s="204"/>
      <c r="N87" s="40" t="s">
        <v>504</v>
      </c>
      <c r="O87" s="126"/>
      <c r="P87" s="126"/>
      <c r="Q87" s="40" t="s">
        <v>6</v>
      </c>
      <c r="R87" s="40" t="s">
        <v>6</v>
      </c>
      <c r="S87" s="40" t="s">
        <v>6</v>
      </c>
      <c r="T87" s="40"/>
      <c r="U87" s="220" t="s">
        <v>3963</v>
      </c>
      <c r="V87" s="206"/>
      <c r="W87" s="412" t="s">
        <v>125</v>
      </c>
      <c r="X87" s="59"/>
      <c r="Y87" s="59"/>
      <c r="Z87" s="59"/>
      <c r="AA87" s="40" t="s">
        <v>6</v>
      </c>
      <c r="AB87" s="15"/>
      <c r="AC87" s="59"/>
      <c r="AD87" s="218" t="s">
        <v>809</v>
      </c>
      <c r="AE87" s="412" t="s">
        <v>125</v>
      </c>
      <c r="AF87" s="59"/>
      <c r="AG87" s="59"/>
      <c r="AH87" s="59"/>
      <c r="AI87" s="40" t="s">
        <v>6</v>
      </c>
      <c r="AJ87" s="15"/>
      <c r="AK87" s="59"/>
      <c r="AL87" s="218" t="s">
        <v>809</v>
      </c>
      <c r="AM87" s="59"/>
      <c r="AN87" s="59"/>
      <c r="AO87" s="59"/>
      <c r="AP87" s="59"/>
      <c r="AQ87" s="59"/>
      <c r="AR87" s="59"/>
      <c r="AS87" s="59"/>
      <c r="AT87" s="59"/>
      <c r="AU87" s="59"/>
      <c r="AV87" s="59"/>
      <c r="AW87" s="18"/>
    </row>
    <row r="88" spans="1:87" s="20" customFormat="1" ht="15">
      <c r="A88" s="416">
        <f t="shared" si="4"/>
        <v>82</v>
      </c>
      <c r="B88" s="38"/>
      <c r="C88" s="41"/>
      <c r="D88" s="38"/>
      <c r="E88" s="46"/>
      <c r="F88" s="46"/>
      <c r="G88" s="46"/>
      <c r="H88" s="13"/>
      <c r="I88" s="40"/>
      <c r="J88" s="218" t="s">
        <v>4980</v>
      </c>
      <c r="K88" s="412" t="s">
        <v>117</v>
      </c>
      <c r="L88" s="204" t="s">
        <v>3983</v>
      </c>
      <c r="M88" s="204"/>
      <c r="N88" s="40" t="s">
        <v>504</v>
      </c>
      <c r="O88" s="126"/>
      <c r="P88" s="40"/>
      <c r="Q88" s="126" t="s">
        <v>6</v>
      </c>
      <c r="R88" s="126" t="s">
        <v>6</v>
      </c>
      <c r="S88" s="126" t="s">
        <v>6</v>
      </c>
      <c r="T88" s="126"/>
      <c r="U88" s="220" t="s">
        <v>768</v>
      </c>
      <c r="V88" s="206"/>
      <c r="W88" s="412" t="s">
        <v>125</v>
      </c>
      <c r="X88" s="260"/>
      <c r="Y88" s="260"/>
      <c r="Z88" s="260"/>
      <c r="AA88" s="61" t="s">
        <v>6</v>
      </c>
      <c r="AB88" s="79"/>
      <c r="AC88" s="59"/>
      <c r="AD88" s="218" t="s">
        <v>809</v>
      </c>
      <c r="AE88" s="412" t="s">
        <v>125</v>
      </c>
      <c r="AF88" s="260"/>
      <c r="AG88" s="260"/>
      <c r="AH88" s="260"/>
      <c r="AI88" s="61" t="s">
        <v>6</v>
      </c>
      <c r="AJ88" s="79"/>
      <c r="AK88" s="59"/>
      <c r="AL88" s="218" t="s">
        <v>809</v>
      </c>
      <c r="AM88" s="43"/>
      <c r="AN88" s="19"/>
      <c r="AO88" s="13"/>
      <c r="AP88" s="13"/>
      <c r="AQ88" s="13"/>
      <c r="AR88" s="13"/>
      <c r="AS88" s="13"/>
      <c r="AT88" s="13"/>
      <c r="AU88" s="13"/>
      <c r="AV88" s="19"/>
      <c r="AW88" s="18"/>
    </row>
    <row r="89" spans="1:87" s="20" customFormat="1" ht="15">
      <c r="A89" s="416">
        <f t="shared" si="4"/>
        <v>83</v>
      </c>
      <c r="B89" s="38"/>
      <c r="C89" s="41"/>
      <c r="D89" s="38"/>
      <c r="E89" s="46"/>
      <c r="F89" s="46"/>
      <c r="G89" s="46"/>
      <c r="H89" s="13"/>
      <c r="I89" s="40"/>
      <c r="J89" s="218" t="s">
        <v>4981</v>
      </c>
      <c r="K89" s="412" t="s">
        <v>117</v>
      </c>
      <c r="L89" s="204" t="s">
        <v>4982</v>
      </c>
      <c r="M89" s="204"/>
      <c r="N89" s="40" t="s">
        <v>504</v>
      </c>
      <c r="O89" s="126"/>
      <c r="P89" s="40"/>
      <c r="Q89" s="126" t="s">
        <v>6</v>
      </c>
      <c r="R89" s="126" t="s">
        <v>6</v>
      </c>
      <c r="S89" s="126" t="s">
        <v>6</v>
      </c>
      <c r="T89" s="126"/>
      <c r="U89" s="220"/>
      <c r="V89" s="206"/>
      <c r="W89" s="412" t="s">
        <v>125</v>
      </c>
      <c r="X89" s="260"/>
      <c r="Y89" s="260"/>
      <c r="Z89" s="260"/>
      <c r="AA89" s="61" t="s">
        <v>6</v>
      </c>
      <c r="AB89" s="79"/>
      <c r="AC89" s="59"/>
      <c r="AD89" s="218" t="s">
        <v>809</v>
      </c>
      <c r="AE89" s="412" t="s">
        <v>125</v>
      </c>
      <c r="AF89" s="260"/>
      <c r="AG89" s="260"/>
      <c r="AH89" s="260"/>
      <c r="AI89" s="61" t="s">
        <v>6</v>
      </c>
      <c r="AJ89" s="79"/>
      <c r="AK89" s="59"/>
      <c r="AL89" s="218" t="s">
        <v>809</v>
      </c>
      <c r="AM89" s="43"/>
      <c r="AN89" s="19"/>
      <c r="AO89" s="13"/>
      <c r="AP89" s="13"/>
      <c r="AQ89" s="13"/>
      <c r="AR89" s="13"/>
      <c r="AS89" s="13"/>
      <c r="AT89" s="13"/>
      <c r="AU89" s="13"/>
      <c r="AV89" s="19"/>
      <c r="AW89" s="18"/>
    </row>
    <row r="90" spans="1:87" s="20" customFormat="1" ht="26.4">
      <c r="A90" s="416">
        <f t="shared" si="4"/>
        <v>84</v>
      </c>
      <c r="B90" s="38"/>
      <c r="C90" s="41"/>
      <c r="D90" s="38"/>
      <c r="E90" s="46"/>
      <c r="F90" s="46"/>
      <c r="G90" s="46"/>
      <c r="H90" s="13"/>
      <c r="I90" s="13"/>
      <c r="J90" s="218" t="s">
        <v>4983</v>
      </c>
      <c r="K90" s="412" t="s">
        <v>117</v>
      </c>
      <c r="L90" s="204" t="s">
        <v>3987</v>
      </c>
      <c r="M90" s="204"/>
      <c r="N90" s="40" t="s">
        <v>504</v>
      </c>
      <c r="O90" s="126"/>
      <c r="P90" s="40"/>
      <c r="Q90" s="126" t="s">
        <v>6</v>
      </c>
      <c r="R90" s="126" t="s">
        <v>6</v>
      </c>
      <c r="S90" s="126" t="s">
        <v>6</v>
      </c>
      <c r="T90" s="126"/>
      <c r="U90" s="220" t="s">
        <v>4919</v>
      </c>
      <c r="V90" s="206"/>
      <c r="W90" s="412" t="s">
        <v>125</v>
      </c>
      <c r="X90" s="260"/>
      <c r="Y90" s="260"/>
      <c r="Z90" s="260"/>
      <c r="AA90" s="61" t="s">
        <v>6</v>
      </c>
      <c r="AB90" s="79"/>
      <c r="AC90" s="59"/>
      <c r="AD90" s="218" t="s">
        <v>809</v>
      </c>
      <c r="AE90" s="412" t="s">
        <v>125</v>
      </c>
      <c r="AF90" s="260"/>
      <c r="AG90" s="260"/>
      <c r="AH90" s="260"/>
      <c r="AI90" s="61" t="s">
        <v>6</v>
      </c>
      <c r="AJ90" s="79"/>
      <c r="AK90" s="59"/>
      <c r="AL90" s="218" t="s">
        <v>809</v>
      </c>
      <c r="AM90" s="43"/>
      <c r="AN90" s="19"/>
      <c r="AO90" s="43"/>
      <c r="AP90" s="43"/>
      <c r="AQ90" s="43"/>
      <c r="AR90" s="43"/>
      <c r="AS90" s="43"/>
      <c r="AT90" s="43"/>
      <c r="AU90" s="43"/>
      <c r="AV90" s="19"/>
      <c r="AW90" s="18"/>
    </row>
    <row r="91" spans="1:87" s="20" customFormat="1" ht="26.4">
      <c r="A91" s="416">
        <f t="shared" si="4"/>
        <v>85</v>
      </c>
      <c r="B91" s="38"/>
      <c r="C91" s="41"/>
      <c r="D91" s="38"/>
      <c r="E91" s="46"/>
      <c r="F91" s="46"/>
      <c r="G91" s="46"/>
      <c r="H91" s="13"/>
      <c r="I91" s="40"/>
      <c r="J91" s="218" t="s">
        <v>4984</v>
      </c>
      <c r="K91" s="412" t="s">
        <v>117</v>
      </c>
      <c r="L91" s="204" t="s">
        <v>3992</v>
      </c>
      <c r="M91" s="204"/>
      <c r="N91" s="40" t="s">
        <v>504</v>
      </c>
      <c r="O91" s="126"/>
      <c r="P91" s="40"/>
      <c r="Q91" s="126" t="s">
        <v>6</v>
      </c>
      <c r="R91" s="126" t="s">
        <v>6</v>
      </c>
      <c r="S91" s="126" t="s">
        <v>6</v>
      </c>
      <c r="T91" s="126"/>
      <c r="U91" s="220" t="s">
        <v>4919</v>
      </c>
      <c r="V91" s="206"/>
      <c r="W91" s="412" t="s">
        <v>125</v>
      </c>
      <c r="X91" s="260"/>
      <c r="Y91" s="260"/>
      <c r="Z91" s="260"/>
      <c r="AA91" s="61" t="s">
        <v>6</v>
      </c>
      <c r="AB91" s="79"/>
      <c r="AC91" s="59"/>
      <c r="AD91" s="218" t="s">
        <v>809</v>
      </c>
      <c r="AE91" s="412" t="s">
        <v>125</v>
      </c>
      <c r="AF91" s="260"/>
      <c r="AG91" s="260"/>
      <c r="AH91" s="260"/>
      <c r="AI91" s="61" t="s">
        <v>6</v>
      </c>
      <c r="AJ91" s="79"/>
      <c r="AK91" s="59"/>
      <c r="AL91" s="218" t="s">
        <v>809</v>
      </c>
      <c r="AM91" s="43"/>
      <c r="AN91" s="19"/>
      <c r="AO91" s="13"/>
      <c r="AP91" s="13"/>
      <c r="AQ91" s="13"/>
      <c r="AR91" s="13"/>
      <c r="AS91" s="13"/>
      <c r="AT91" s="13"/>
      <c r="AU91" s="13"/>
      <c r="AV91" s="19"/>
      <c r="AW91" s="18"/>
    </row>
    <row r="92" spans="1:87" s="12" customFormat="1" ht="26.4">
      <c r="A92" s="416">
        <f t="shared" si="4"/>
        <v>86</v>
      </c>
      <c r="B92" s="38"/>
      <c r="C92" s="41"/>
      <c r="D92" s="19"/>
      <c r="E92" s="19"/>
      <c r="F92" s="19"/>
      <c r="G92" s="19"/>
      <c r="H92" s="13"/>
      <c r="I92" s="13"/>
      <c r="J92" s="218" t="s">
        <v>4985</v>
      </c>
      <c r="K92" s="412" t="s">
        <v>117</v>
      </c>
      <c r="L92" s="204" t="s">
        <v>3994</v>
      </c>
      <c r="M92" s="204"/>
      <c r="N92" s="40" t="s">
        <v>504</v>
      </c>
      <c r="O92" s="126"/>
      <c r="P92" s="40"/>
      <c r="Q92" s="126" t="s">
        <v>6</v>
      </c>
      <c r="R92" s="126" t="s">
        <v>6</v>
      </c>
      <c r="S92" s="126" t="s">
        <v>6</v>
      </c>
      <c r="T92" s="126"/>
      <c r="U92" s="220" t="s">
        <v>4919</v>
      </c>
      <c r="V92" s="206"/>
      <c r="W92" s="412" t="s">
        <v>125</v>
      </c>
      <c r="X92" s="260"/>
      <c r="Y92" s="260"/>
      <c r="Z92" s="260"/>
      <c r="AA92" s="61" t="s">
        <v>6</v>
      </c>
      <c r="AB92" s="79"/>
      <c r="AC92" s="59"/>
      <c r="AD92" s="218" t="s">
        <v>809</v>
      </c>
      <c r="AE92" s="412" t="s">
        <v>125</v>
      </c>
      <c r="AF92" s="260"/>
      <c r="AG92" s="260"/>
      <c r="AH92" s="260"/>
      <c r="AI92" s="61" t="s">
        <v>6</v>
      </c>
      <c r="AJ92" s="79"/>
      <c r="AK92" s="59"/>
      <c r="AL92" s="218" t="s">
        <v>809</v>
      </c>
      <c r="AM92" s="43"/>
      <c r="AN92" s="13"/>
      <c r="AO92" s="15"/>
      <c r="AP92" s="15"/>
      <c r="AQ92" s="15"/>
      <c r="AR92" s="15"/>
      <c r="AS92" s="15"/>
      <c r="AT92" s="15"/>
      <c r="AU92" s="15"/>
      <c r="AV92" s="15"/>
      <c r="AW92" s="18"/>
      <c r="AX92" s="16"/>
      <c r="AY92" s="17"/>
    </row>
    <row r="93" spans="1:87" s="20" customFormat="1" ht="26.4">
      <c r="A93" s="416">
        <f t="shared" si="4"/>
        <v>87</v>
      </c>
      <c r="B93" s="19"/>
      <c r="C93" s="41"/>
      <c r="D93" s="19"/>
      <c r="E93" s="19"/>
      <c r="F93" s="19"/>
      <c r="G93" s="19"/>
      <c r="H93" s="13"/>
      <c r="I93" s="13"/>
      <c r="J93" s="218" t="s">
        <v>4986</v>
      </c>
      <c r="K93" s="412" t="s">
        <v>117</v>
      </c>
      <c r="L93" s="204" t="s">
        <v>3998</v>
      </c>
      <c r="M93" s="204"/>
      <c r="N93" s="40" t="s">
        <v>504</v>
      </c>
      <c r="O93" s="126"/>
      <c r="P93" s="40"/>
      <c r="Q93" s="126" t="s">
        <v>6</v>
      </c>
      <c r="R93" s="126" t="s">
        <v>6</v>
      </c>
      <c r="S93" s="126" t="s">
        <v>6</v>
      </c>
      <c r="T93" s="126"/>
      <c r="U93" s="220" t="s">
        <v>4919</v>
      </c>
      <c r="V93" s="206"/>
      <c r="W93" s="412" t="s">
        <v>125</v>
      </c>
      <c r="X93" s="59"/>
      <c r="Y93" s="59"/>
      <c r="Z93" s="59"/>
      <c r="AA93" s="61" t="s">
        <v>6</v>
      </c>
      <c r="AB93" s="79"/>
      <c r="AC93" s="59"/>
      <c r="AD93" s="218" t="s">
        <v>809</v>
      </c>
      <c r="AE93" s="412" t="s">
        <v>125</v>
      </c>
      <c r="AF93" s="59"/>
      <c r="AG93" s="59"/>
      <c r="AH93" s="59"/>
      <c r="AI93" s="61" t="s">
        <v>6</v>
      </c>
      <c r="AJ93" s="79"/>
      <c r="AK93" s="59"/>
      <c r="AL93" s="218" t="s">
        <v>809</v>
      </c>
      <c r="AM93" s="43"/>
      <c r="AN93" s="13"/>
      <c r="AO93" s="15"/>
      <c r="AP93" s="15"/>
      <c r="AQ93" s="15"/>
      <c r="AR93" s="15"/>
      <c r="AS93" s="15"/>
      <c r="AT93" s="15"/>
      <c r="AU93" s="13"/>
      <c r="AV93" s="15"/>
      <c r="AW93" s="18"/>
    </row>
    <row r="94" spans="1:87" s="20" customFormat="1" ht="15">
      <c r="A94" s="416">
        <f t="shared" si="4"/>
        <v>88</v>
      </c>
      <c r="B94" s="59"/>
      <c r="C94" s="59"/>
      <c r="D94" s="59"/>
      <c r="E94" s="59"/>
      <c r="F94" s="59"/>
      <c r="G94" s="59"/>
      <c r="H94" s="59"/>
      <c r="I94" s="59"/>
      <c r="J94" s="215" t="s">
        <v>4987</v>
      </c>
      <c r="K94" s="204" t="s">
        <v>117</v>
      </c>
      <c r="L94" s="204" t="s">
        <v>725</v>
      </c>
      <c r="M94" s="204"/>
      <c r="N94" s="40" t="s">
        <v>504</v>
      </c>
      <c r="O94" s="126"/>
      <c r="P94" s="126"/>
      <c r="Q94" s="40" t="s">
        <v>6</v>
      </c>
      <c r="R94" s="40" t="s">
        <v>6</v>
      </c>
      <c r="S94" s="40" t="s">
        <v>6</v>
      </c>
      <c r="T94" s="40"/>
      <c r="U94" s="220"/>
      <c r="V94" s="206"/>
      <c r="W94" s="204" t="s">
        <v>125</v>
      </c>
      <c r="X94" s="59"/>
      <c r="Y94" s="59"/>
      <c r="Z94" s="61"/>
      <c r="AA94" s="40" t="s">
        <v>6</v>
      </c>
      <c r="AB94" s="218"/>
      <c r="AC94" s="59"/>
      <c r="AD94" s="218" t="s">
        <v>809</v>
      </c>
      <c r="AE94" s="204" t="s">
        <v>125</v>
      </c>
      <c r="AF94" s="59"/>
      <c r="AG94" s="59"/>
      <c r="AH94" s="61"/>
      <c r="AI94" s="40" t="s">
        <v>6</v>
      </c>
      <c r="AJ94" s="218"/>
      <c r="AK94" s="59"/>
      <c r="AL94" s="218" t="s">
        <v>809</v>
      </c>
      <c r="AM94" s="59"/>
      <c r="AN94" s="59"/>
      <c r="AO94" s="59"/>
      <c r="AP94" s="59"/>
      <c r="AQ94" s="59"/>
      <c r="AR94" s="59"/>
      <c r="AS94" s="59"/>
      <c r="AT94" s="59"/>
      <c r="AU94" s="59"/>
      <c r="AV94" s="59"/>
      <c r="AW94" s="18"/>
    </row>
    <row r="95" spans="1:87" s="20" customFormat="1" ht="15">
      <c r="A95" s="416">
        <f t="shared" si="4"/>
        <v>89</v>
      </c>
      <c r="B95" s="19"/>
      <c r="C95" s="41"/>
      <c r="D95" s="19"/>
      <c r="E95" s="19"/>
      <c r="F95" s="19"/>
      <c r="G95" s="19"/>
      <c r="H95" s="13"/>
      <c r="I95" s="13"/>
      <c r="J95" s="218" t="s">
        <v>809</v>
      </c>
      <c r="K95" s="204" t="s">
        <v>117</v>
      </c>
      <c r="L95" s="204" t="s">
        <v>1409</v>
      </c>
      <c r="M95" s="204"/>
      <c r="N95" s="40" t="s">
        <v>504</v>
      </c>
      <c r="O95" s="126"/>
      <c r="P95" s="40"/>
      <c r="Q95" s="126"/>
      <c r="R95" s="40" t="s">
        <v>6</v>
      </c>
      <c r="S95" s="40" t="s">
        <v>6</v>
      </c>
      <c r="T95" s="40"/>
      <c r="U95" s="368" t="s">
        <v>4988</v>
      </c>
      <c r="V95" s="215"/>
      <c r="W95" s="59" t="s">
        <v>133</v>
      </c>
      <c r="X95" s="59"/>
      <c r="Y95" s="59"/>
      <c r="Z95" s="61" t="s">
        <v>6</v>
      </c>
      <c r="AA95" s="61"/>
      <c r="AB95" s="215"/>
      <c r="AC95" s="59"/>
      <c r="AD95" s="59"/>
      <c r="AE95" s="59" t="s">
        <v>133</v>
      </c>
      <c r="AF95" s="59"/>
      <c r="AG95" s="59"/>
      <c r="AH95" s="61" t="s">
        <v>6</v>
      </c>
      <c r="AI95" s="61"/>
      <c r="AJ95" s="215"/>
      <c r="AK95" s="59"/>
      <c r="AL95" s="59"/>
      <c r="AM95" s="43"/>
      <c r="AN95" s="13"/>
      <c r="AO95" s="15"/>
      <c r="AP95" s="15"/>
      <c r="AQ95" s="15"/>
      <c r="AR95" s="15"/>
      <c r="AS95" s="15"/>
      <c r="AT95" s="15"/>
      <c r="AU95" s="15"/>
      <c r="AV95" s="15"/>
      <c r="AW95" s="18"/>
    </row>
    <row r="96" spans="1:87" s="18" customFormat="1" ht="26.4">
      <c r="A96" s="416">
        <f t="shared" si="4"/>
        <v>90</v>
      </c>
      <c r="B96" s="38"/>
      <c r="C96" s="42"/>
      <c r="D96" s="38"/>
      <c r="E96" s="46"/>
      <c r="F96" s="46"/>
      <c r="G96" s="46"/>
      <c r="H96" s="13"/>
      <c r="I96" s="40"/>
      <c r="J96" s="310" t="s">
        <v>4989</v>
      </c>
      <c r="K96" s="493" t="s">
        <v>117</v>
      </c>
      <c r="L96" s="361" t="s">
        <v>794</v>
      </c>
      <c r="M96" s="461"/>
      <c r="N96" s="460" t="s">
        <v>504</v>
      </c>
      <c r="O96" s="213"/>
      <c r="P96" s="213"/>
      <c r="Q96" s="460" t="s">
        <v>6</v>
      </c>
      <c r="R96" s="460" t="s">
        <v>6</v>
      </c>
      <c r="S96" s="415" t="s">
        <v>6</v>
      </c>
      <c r="T96" s="415"/>
      <c r="U96" s="506" t="s">
        <v>795</v>
      </c>
      <c r="V96" s="481"/>
      <c r="W96" s="493" t="s">
        <v>125</v>
      </c>
      <c r="X96" s="260"/>
      <c r="Y96" s="260"/>
      <c r="Z96" s="260"/>
      <c r="AA96" s="415" t="s">
        <v>6</v>
      </c>
      <c r="AB96" s="413"/>
      <c r="AC96" s="413"/>
      <c r="AD96" s="413"/>
      <c r="AE96" s="493" t="s">
        <v>125</v>
      </c>
      <c r="AF96" s="260"/>
      <c r="AG96" s="260"/>
      <c r="AH96" s="260"/>
      <c r="AI96" s="415" t="s">
        <v>6</v>
      </c>
      <c r="AJ96" s="413"/>
      <c r="AK96" s="413"/>
      <c r="AL96" s="413"/>
      <c r="AM96" s="45"/>
      <c r="AN96" s="53"/>
      <c r="AO96" s="266"/>
      <c r="AP96" s="266"/>
      <c r="AQ96" s="266"/>
      <c r="AR96" s="266"/>
      <c r="AS96" s="266"/>
      <c r="AT96" s="266"/>
      <c r="AU96" s="266"/>
      <c r="AV96" s="413"/>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row>
    <row r="97" spans="1:49" ht="15">
      <c r="A97" s="452">
        <f t="shared" si="1"/>
        <v>91</v>
      </c>
      <c r="B97" s="62"/>
      <c r="C97" s="62"/>
      <c r="D97" s="62"/>
      <c r="E97" s="62"/>
      <c r="F97" s="62"/>
      <c r="G97" s="62"/>
      <c r="H97" s="62"/>
      <c r="I97" s="62"/>
      <c r="J97" s="499" t="s">
        <v>821</v>
      </c>
      <c r="K97" s="63"/>
      <c r="L97" s="63"/>
      <c r="M97" s="63"/>
      <c r="N97" s="139"/>
      <c r="O97" s="139"/>
      <c r="P97" s="139"/>
      <c r="Q97" s="139"/>
      <c r="R97" s="139"/>
      <c r="S97" s="139"/>
      <c r="T97" s="139"/>
      <c r="U97" s="434"/>
      <c r="V97" s="311"/>
      <c r="W97" s="63"/>
      <c r="X97" s="63"/>
      <c r="Y97" s="63"/>
      <c r="Z97" s="63"/>
      <c r="AA97" s="63"/>
      <c r="AB97" s="312"/>
      <c r="AC97" s="63"/>
      <c r="AD97" s="63"/>
      <c r="AE97" s="63"/>
      <c r="AF97" s="63"/>
      <c r="AG97" s="63"/>
      <c r="AH97" s="63"/>
      <c r="AI97" s="63"/>
      <c r="AJ97" s="312"/>
      <c r="AK97" s="63"/>
      <c r="AL97" s="63"/>
      <c r="AM97" s="63"/>
      <c r="AN97" s="63"/>
      <c r="AO97" s="63"/>
      <c r="AP97" s="63"/>
      <c r="AQ97" s="63"/>
      <c r="AR97" s="63"/>
      <c r="AS97" s="63"/>
      <c r="AT97" s="63"/>
      <c r="AU97" s="63"/>
      <c r="AV97" s="63"/>
      <c r="AW97" s="18">
        <f t="shared" si="2"/>
        <v>0</v>
      </c>
    </row>
    <row r="98" spans="1:49" s="20" customFormat="1" ht="15">
      <c r="A98" s="40">
        <f t="shared" si="1"/>
        <v>92</v>
      </c>
      <c r="B98" s="59"/>
      <c r="C98" s="59"/>
      <c r="D98" s="59"/>
      <c r="E98" s="59"/>
      <c r="F98" s="59"/>
      <c r="G98" s="59"/>
      <c r="H98" s="59"/>
      <c r="I98" s="59"/>
      <c r="J98" s="215" t="s">
        <v>1665</v>
      </c>
      <c r="K98" s="204" t="s">
        <v>163</v>
      </c>
      <c r="L98" s="204" t="s">
        <v>1666</v>
      </c>
      <c r="M98" s="204"/>
      <c r="N98" s="40" t="s">
        <v>829</v>
      </c>
      <c r="O98" s="40"/>
      <c r="P98" s="40" t="s">
        <v>829</v>
      </c>
      <c r="Q98" s="40" t="s">
        <v>6</v>
      </c>
      <c r="R98" s="40"/>
      <c r="S98" s="40"/>
      <c r="T98" s="404" t="s">
        <v>6</v>
      </c>
      <c r="U98" s="220"/>
      <c r="V98" s="204"/>
      <c r="W98" s="204" t="s">
        <v>163</v>
      </c>
      <c r="X98" s="13"/>
      <c r="Y98" s="13" t="s">
        <v>829</v>
      </c>
      <c r="Z98" s="59"/>
      <c r="AA98" s="59"/>
      <c r="AB98" s="15"/>
      <c r="AC98" s="59"/>
      <c r="AD98" s="59"/>
      <c r="AE98" s="204" t="s">
        <v>163</v>
      </c>
      <c r="AF98" s="13"/>
      <c r="AG98" s="13" t="s">
        <v>829</v>
      </c>
      <c r="AH98" s="59"/>
      <c r="AI98" s="59"/>
      <c r="AJ98" s="15"/>
      <c r="AK98" s="59"/>
      <c r="AL98" s="59"/>
      <c r="AM98" s="59"/>
      <c r="AN98" s="59"/>
      <c r="AO98" s="59"/>
      <c r="AP98" s="59"/>
      <c r="AQ98" s="59"/>
      <c r="AR98" s="59"/>
      <c r="AS98" s="59"/>
      <c r="AT98" s="59"/>
      <c r="AU98" s="59"/>
      <c r="AV98" s="59"/>
      <c r="AW98" s="18">
        <f t="shared" si="2"/>
        <v>16</v>
      </c>
    </row>
    <row r="99" spans="1:49" s="20" customFormat="1" ht="26.4">
      <c r="A99" s="40">
        <f t="shared" si="1"/>
        <v>93</v>
      </c>
      <c r="B99" s="59"/>
      <c r="C99" s="59"/>
      <c r="D99" s="59"/>
      <c r="E99" s="59"/>
      <c r="F99" s="59"/>
      <c r="G99" s="59"/>
      <c r="H99" s="59"/>
      <c r="I99" s="59"/>
      <c r="J99" s="215" t="s">
        <v>1667</v>
      </c>
      <c r="K99" s="204" t="s">
        <v>163</v>
      </c>
      <c r="L99" s="204" t="s">
        <v>1668</v>
      </c>
      <c r="M99" s="204"/>
      <c r="N99" s="40" t="s">
        <v>845</v>
      </c>
      <c r="O99" s="40"/>
      <c r="P99" s="40" t="s">
        <v>846</v>
      </c>
      <c r="Q99" s="40" t="s">
        <v>6</v>
      </c>
      <c r="R99" s="40"/>
      <c r="S99" s="40"/>
      <c r="T99" s="404" t="s">
        <v>6</v>
      </c>
      <c r="U99" s="220"/>
      <c r="V99" s="204"/>
      <c r="W99" s="204" t="s">
        <v>163</v>
      </c>
      <c r="X99" s="13"/>
      <c r="Y99" s="40" t="s">
        <v>846</v>
      </c>
      <c r="Z99" s="59"/>
      <c r="AA99" s="59"/>
      <c r="AB99" s="253" t="s">
        <v>835</v>
      </c>
      <c r="AC99" s="59"/>
      <c r="AD99" s="59"/>
      <c r="AE99" s="204" t="s">
        <v>163</v>
      </c>
      <c r="AF99" s="13"/>
      <c r="AG99" s="40" t="s">
        <v>846</v>
      </c>
      <c r="AH99" s="59"/>
      <c r="AI99" s="59"/>
      <c r="AJ99" s="253" t="s">
        <v>835</v>
      </c>
      <c r="AK99" s="59"/>
      <c r="AL99" s="59"/>
      <c r="AM99" s="59"/>
      <c r="AN99" s="59"/>
      <c r="AO99" s="59"/>
      <c r="AP99" s="59"/>
      <c r="AQ99" s="59"/>
      <c r="AR99" s="59"/>
      <c r="AS99" s="59"/>
      <c r="AT99" s="59"/>
      <c r="AU99" s="59"/>
      <c r="AV99" s="59"/>
      <c r="AW99" s="18">
        <f t="shared" si="2"/>
        <v>28</v>
      </c>
    </row>
    <row r="100" spans="1:49" s="20" customFormat="1" ht="26.4">
      <c r="A100" s="40">
        <f t="shared" si="1"/>
        <v>94</v>
      </c>
      <c r="B100" s="59"/>
      <c r="C100" s="59"/>
      <c r="D100" s="59"/>
      <c r="E100" s="59"/>
      <c r="F100" s="59"/>
      <c r="G100" s="59"/>
      <c r="H100" s="59"/>
      <c r="I100" s="59"/>
      <c r="J100" s="215" t="s">
        <v>1669</v>
      </c>
      <c r="K100" s="204" t="s">
        <v>163</v>
      </c>
      <c r="L100" s="204" t="s">
        <v>1670</v>
      </c>
      <c r="M100" s="204"/>
      <c r="N100" s="40" t="s">
        <v>849</v>
      </c>
      <c r="O100" s="40"/>
      <c r="P100" s="40" t="s">
        <v>846</v>
      </c>
      <c r="Q100" s="40" t="s">
        <v>6</v>
      </c>
      <c r="R100" s="40"/>
      <c r="S100" s="40"/>
      <c r="T100" s="404" t="s">
        <v>6</v>
      </c>
      <c r="U100" s="220"/>
      <c r="V100" s="204"/>
      <c r="W100" s="204" t="s">
        <v>163</v>
      </c>
      <c r="X100" s="13"/>
      <c r="Y100" s="40" t="s">
        <v>846</v>
      </c>
      <c r="Z100" s="59"/>
      <c r="AA100" s="59"/>
      <c r="AB100" s="253" t="s">
        <v>835</v>
      </c>
      <c r="AC100" s="59"/>
      <c r="AD100" s="59"/>
      <c r="AE100" s="204" t="s">
        <v>163</v>
      </c>
      <c r="AF100" s="13"/>
      <c r="AG100" s="40" t="s">
        <v>846</v>
      </c>
      <c r="AH100" s="59"/>
      <c r="AI100" s="59"/>
      <c r="AJ100" s="253" t="s">
        <v>835</v>
      </c>
      <c r="AK100" s="59"/>
      <c r="AL100" s="59"/>
      <c r="AM100" s="59"/>
      <c r="AN100" s="59"/>
      <c r="AO100" s="59"/>
      <c r="AP100" s="59"/>
      <c r="AQ100" s="59"/>
      <c r="AR100" s="59"/>
      <c r="AS100" s="59"/>
      <c r="AT100" s="59"/>
      <c r="AU100" s="59"/>
      <c r="AV100" s="59"/>
      <c r="AW100" s="18">
        <f t="shared" si="2"/>
        <v>27</v>
      </c>
    </row>
    <row r="101" spans="1:49" s="20" customFormat="1" ht="26.4">
      <c r="A101" s="40">
        <f t="shared" si="1"/>
        <v>95</v>
      </c>
      <c r="B101" s="59"/>
      <c r="C101" s="59"/>
      <c r="D101" s="59"/>
      <c r="E101" s="59"/>
      <c r="F101" s="59"/>
      <c r="G101" s="59"/>
      <c r="H101" s="59"/>
      <c r="I101" s="59"/>
      <c r="J101" s="215" t="s">
        <v>1671</v>
      </c>
      <c r="K101" s="204" t="s">
        <v>163</v>
      </c>
      <c r="L101" s="204" t="s">
        <v>1672</v>
      </c>
      <c r="M101" s="204"/>
      <c r="N101" s="40" t="s">
        <v>853</v>
      </c>
      <c r="O101" s="40"/>
      <c r="P101" s="40" t="s">
        <v>846</v>
      </c>
      <c r="Q101" s="40" t="s">
        <v>6</v>
      </c>
      <c r="R101" s="40"/>
      <c r="S101" s="40"/>
      <c r="T101" s="404" t="s">
        <v>6</v>
      </c>
      <c r="U101" s="220"/>
      <c r="V101" s="204"/>
      <c r="W101" s="204" t="s">
        <v>163</v>
      </c>
      <c r="X101" s="13"/>
      <c r="Y101" s="40" t="s">
        <v>846</v>
      </c>
      <c r="Z101" s="59"/>
      <c r="AA101" s="59"/>
      <c r="AB101" s="253" t="s">
        <v>835</v>
      </c>
      <c r="AC101" s="59"/>
      <c r="AD101" s="59"/>
      <c r="AE101" s="204" t="s">
        <v>163</v>
      </c>
      <c r="AF101" s="13"/>
      <c r="AG101" s="40" t="s">
        <v>846</v>
      </c>
      <c r="AH101" s="59"/>
      <c r="AI101" s="59"/>
      <c r="AJ101" s="253" t="s">
        <v>835</v>
      </c>
      <c r="AK101" s="59"/>
      <c r="AL101" s="59"/>
      <c r="AM101" s="59"/>
      <c r="AN101" s="59"/>
      <c r="AO101" s="59"/>
      <c r="AP101" s="59"/>
      <c r="AQ101" s="59"/>
      <c r="AR101" s="59"/>
      <c r="AS101" s="59"/>
      <c r="AT101" s="59"/>
      <c r="AU101" s="59"/>
      <c r="AV101" s="59"/>
      <c r="AW101" s="18">
        <f t="shared" si="2"/>
        <v>27</v>
      </c>
    </row>
    <row r="102" spans="1:49" ht="15">
      <c r="A102" s="452">
        <f t="shared" si="1"/>
        <v>96</v>
      </c>
      <c r="B102" s="62"/>
      <c r="C102" s="62"/>
      <c r="D102" s="62"/>
      <c r="E102" s="62"/>
      <c r="F102" s="62"/>
      <c r="G102" s="62"/>
      <c r="H102" s="62"/>
      <c r="I102" s="62"/>
      <c r="J102" s="499" t="s">
        <v>858</v>
      </c>
      <c r="K102" s="63"/>
      <c r="L102" s="63"/>
      <c r="M102" s="63"/>
      <c r="N102" s="139"/>
      <c r="O102" s="139"/>
      <c r="P102" s="139"/>
      <c r="Q102" s="139"/>
      <c r="R102" s="139"/>
      <c r="S102" s="139"/>
      <c r="T102" s="139"/>
      <c r="U102" s="434"/>
      <c r="V102" s="311"/>
      <c r="W102" s="63"/>
      <c r="X102" s="63"/>
      <c r="Y102" s="63"/>
      <c r="Z102" s="63"/>
      <c r="AA102" s="63"/>
      <c r="AB102" s="312"/>
      <c r="AC102" s="63"/>
      <c r="AD102" s="63"/>
      <c r="AE102" s="63"/>
      <c r="AF102" s="63"/>
      <c r="AG102" s="63"/>
      <c r="AH102" s="63"/>
      <c r="AI102" s="63"/>
      <c r="AJ102" s="312"/>
      <c r="AK102" s="63"/>
      <c r="AL102" s="63"/>
      <c r="AM102" s="63"/>
      <c r="AN102" s="63"/>
      <c r="AO102" s="63"/>
      <c r="AP102" s="63"/>
      <c r="AQ102" s="63"/>
      <c r="AR102" s="63"/>
      <c r="AS102" s="63"/>
      <c r="AT102" s="63"/>
      <c r="AU102" s="63"/>
      <c r="AV102" s="63"/>
      <c r="AW102" s="18">
        <f t="shared" si="2"/>
        <v>0</v>
      </c>
    </row>
    <row r="103" spans="1:49" s="193" customFormat="1" ht="15">
      <c r="A103" s="416">
        <f t="shared" ref="A103:A104" si="5">ROW() - 6</f>
        <v>97</v>
      </c>
      <c r="B103" s="494"/>
      <c r="C103" s="494"/>
      <c r="D103" s="494"/>
      <c r="E103" s="494"/>
      <c r="F103" s="494"/>
      <c r="G103" s="494"/>
      <c r="H103" s="494"/>
      <c r="I103" s="494"/>
      <c r="J103" s="495" t="s">
        <v>4962</v>
      </c>
      <c r="K103" s="496"/>
      <c r="L103" s="496" t="s">
        <v>863</v>
      </c>
      <c r="M103" s="496"/>
      <c r="N103" s="169" t="s">
        <v>413</v>
      </c>
      <c r="O103" s="169" t="s">
        <v>862</v>
      </c>
      <c r="P103" s="169"/>
      <c r="Q103" s="169"/>
      <c r="R103" s="169"/>
      <c r="S103" s="169"/>
      <c r="T103" s="169"/>
      <c r="U103" s="507"/>
      <c r="V103" s="496"/>
      <c r="W103" s="496"/>
      <c r="X103" s="169" t="s">
        <v>862</v>
      </c>
      <c r="Y103" s="182"/>
      <c r="Z103" s="497"/>
      <c r="AA103" s="497"/>
      <c r="AB103" s="498"/>
      <c r="AC103" s="497"/>
      <c r="AD103" s="497"/>
      <c r="AE103" s="496"/>
      <c r="AF103" s="169" t="s">
        <v>862</v>
      </c>
      <c r="AG103" s="182"/>
      <c r="AH103" s="497"/>
      <c r="AI103" s="497"/>
      <c r="AJ103" s="498"/>
      <c r="AK103" s="497"/>
      <c r="AL103" s="497"/>
      <c r="AM103" s="497"/>
      <c r="AN103" s="497"/>
      <c r="AO103" s="497"/>
      <c r="AP103" s="497"/>
      <c r="AQ103" s="497"/>
      <c r="AR103" s="497"/>
      <c r="AS103" s="497"/>
      <c r="AT103" s="497"/>
      <c r="AU103" s="497"/>
      <c r="AV103" s="497"/>
      <c r="AW103" s="179"/>
    </row>
    <row r="104" spans="1:49" s="193" customFormat="1" ht="15">
      <c r="A104" s="416">
        <f t="shared" si="5"/>
        <v>98</v>
      </c>
      <c r="B104" s="494"/>
      <c r="C104" s="494"/>
      <c r="D104" s="494"/>
      <c r="E104" s="494"/>
      <c r="F104" s="494"/>
      <c r="G104" s="494"/>
      <c r="H104" s="494"/>
      <c r="I104" s="494"/>
      <c r="J104" s="365" t="s">
        <v>4963</v>
      </c>
      <c r="K104" s="352"/>
      <c r="L104" s="352" t="s">
        <v>863</v>
      </c>
      <c r="M104" s="352"/>
      <c r="N104" s="164" t="s">
        <v>413</v>
      </c>
      <c r="O104" s="164" t="s">
        <v>862</v>
      </c>
      <c r="P104" s="164"/>
      <c r="Q104" s="164"/>
      <c r="R104" s="164"/>
      <c r="S104" s="164"/>
      <c r="T104" s="164"/>
      <c r="U104" s="433"/>
      <c r="V104" s="352"/>
      <c r="W104" s="352"/>
      <c r="X104" s="164" t="s">
        <v>862</v>
      </c>
      <c r="Y104" s="173"/>
      <c r="Z104" s="494"/>
      <c r="AA104" s="494"/>
      <c r="AB104" s="178"/>
      <c r="AC104" s="494"/>
      <c r="AD104" s="494"/>
      <c r="AE104" s="352"/>
      <c r="AF104" s="164" t="s">
        <v>862</v>
      </c>
      <c r="AG104" s="173"/>
      <c r="AH104" s="494"/>
      <c r="AI104" s="494"/>
      <c r="AJ104" s="178"/>
      <c r="AK104" s="494"/>
      <c r="AL104" s="494"/>
      <c r="AM104" s="494"/>
      <c r="AN104" s="494"/>
      <c r="AO104" s="494"/>
      <c r="AP104" s="494"/>
      <c r="AQ104" s="494"/>
      <c r="AR104" s="494"/>
      <c r="AS104" s="494"/>
      <c r="AT104" s="494"/>
      <c r="AU104" s="494"/>
      <c r="AV104" s="494"/>
      <c r="AW104" s="179"/>
    </row>
    <row r="105" spans="1:49" ht="15">
      <c r="J105" s="398"/>
      <c r="K105" s="54"/>
      <c r="L105" s="398"/>
      <c r="M105" s="471"/>
      <c r="N105" s="68"/>
      <c r="O105" s="68"/>
      <c r="P105" s="68"/>
      <c r="Q105" s="68"/>
      <c r="R105" s="68"/>
      <c r="S105" s="68"/>
      <c r="T105" s="68"/>
      <c r="U105" s="435"/>
      <c r="V105" s="54"/>
      <c r="W105" s="54"/>
      <c r="X105" s="54"/>
      <c r="Y105" s="54"/>
      <c r="Z105" s="54"/>
      <c r="AA105" s="55"/>
      <c r="AB105" s="55"/>
      <c r="AC105" s="55"/>
      <c r="AD105" s="55"/>
      <c r="AE105" s="54"/>
      <c r="AF105" s="54"/>
      <c r="AG105" s="54"/>
      <c r="AH105" s="54"/>
      <c r="AI105" s="55"/>
      <c r="AJ105" s="54"/>
      <c r="AW105" s="18">
        <f t="shared" si="2"/>
        <v>0</v>
      </c>
    </row>
    <row r="106" spans="1:49" ht="15">
      <c r="J106" s="398"/>
      <c r="K106" s="54"/>
      <c r="L106" s="398"/>
      <c r="M106" s="471"/>
      <c r="N106" s="68"/>
      <c r="O106" s="68"/>
      <c r="P106" s="68"/>
      <c r="Q106" s="68"/>
      <c r="R106" s="68"/>
      <c r="S106" s="68"/>
      <c r="T106" s="68"/>
      <c r="U106" s="435"/>
      <c r="V106" s="54"/>
      <c r="W106" s="54"/>
      <c r="X106" s="54"/>
      <c r="Y106" s="54"/>
      <c r="Z106" s="54"/>
      <c r="AA106" s="55"/>
      <c r="AB106" s="55"/>
      <c r="AC106" s="55"/>
      <c r="AD106" s="55"/>
      <c r="AE106" s="54"/>
      <c r="AF106" s="54"/>
      <c r="AG106" s="54"/>
      <c r="AH106" s="54"/>
      <c r="AI106" s="55"/>
      <c r="AJ106" s="54"/>
      <c r="AW106" s="18">
        <f t="shared" si="2"/>
        <v>0</v>
      </c>
    </row>
    <row r="107" spans="1:49" ht="15">
      <c r="J107" s="398"/>
      <c r="K107" s="54"/>
      <c r="L107" s="398"/>
      <c r="M107" s="471"/>
      <c r="N107" s="68"/>
      <c r="O107" s="68"/>
      <c r="P107" s="68"/>
      <c r="Q107" s="68"/>
      <c r="R107" s="68"/>
      <c r="S107" s="68"/>
      <c r="T107" s="68"/>
      <c r="U107" s="435"/>
      <c r="V107" s="54"/>
      <c r="W107" s="54"/>
      <c r="X107" s="54"/>
      <c r="Y107" s="54"/>
      <c r="Z107" s="54"/>
      <c r="AA107" s="55"/>
      <c r="AB107" s="55"/>
      <c r="AC107" s="55"/>
      <c r="AD107" s="55"/>
      <c r="AE107" s="54"/>
      <c r="AF107" s="54"/>
      <c r="AG107" s="54"/>
      <c r="AH107" s="54"/>
      <c r="AI107" s="55"/>
      <c r="AJ107" s="54"/>
      <c r="AW107" s="18">
        <f t="shared" si="2"/>
        <v>0</v>
      </c>
    </row>
    <row r="108" spans="1:49" ht="15">
      <c r="J108" s="398"/>
      <c r="K108" s="54"/>
      <c r="L108" s="398"/>
      <c r="M108" s="471"/>
      <c r="N108" s="68"/>
      <c r="O108" s="68"/>
      <c r="P108" s="68"/>
      <c r="Q108" s="68"/>
      <c r="R108" s="68"/>
      <c r="S108" s="68"/>
      <c r="T108" s="68"/>
      <c r="U108" s="435"/>
      <c r="V108" s="54"/>
      <c r="W108" s="54"/>
      <c r="X108" s="54"/>
      <c r="Y108" s="54"/>
      <c r="Z108" s="54"/>
      <c r="AA108" s="55"/>
      <c r="AB108" s="55"/>
      <c r="AC108" s="55"/>
      <c r="AD108" s="55"/>
      <c r="AE108" s="54"/>
      <c r="AF108" s="54"/>
      <c r="AG108" s="54"/>
      <c r="AH108" s="54"/>
      <c r="AI108" s="55"/>
      <c r="AJ108" s="54"/>
      <c r="AW108" s="18">
        <f t="shared" si="2"/>
        <v>0</v>
      </c>
    </row>
    <row r="109" spans="1:49" ht="15">
      <c r="J109" s="398"/>
      <c r="K109" s="54"/>
      <c r="L109" s="398"/>
      <c r="M109" s="471"/>
      <c r="N109" s="68"/>
      <c r="O109" s="68"/>
      <c r="P109" s="68"/>
      <c r="Q109" s="68"/>
      <c r="R109" s="68"/>
      <c r="S109" s="68"/>
      <c r="T109" s="68"/>
      <c r="U109" s="435"/>
      <c r="V109" s="54"/>
      <c r="W109" s="54"/>
      <c r="X109" s="54"/>
      <c r="Y109" s="54"/>
      <c r="Z109" s="54"/>
      <c r="AA109" s="55"/>
      <c r="AB109" s="55"/>
      <c r="AC109" s="55"/>
      <c r="AD109" s="55"/>
      <c r="AE109" s="54"/>
      <c r="AF109" s="54"/>
      <c r="AG109" s="54"/>
      <c r="AH109" s="54"/>
      <c r="AI109" s="55"/>
      <c r="AJ109" s="54"/>
      <c r="AW109" s="18">
        <f t="shared" si="2"/>
        <v>0</v>
      </c>
    </row>
    <row r="110" spans="1:49" ht="15">
      <c r="J110" s="398"/>
      <c r="K110" s="54"/>
      <c r="L110" s="398"/>
      <c r="M110" s="471"/>
      <c r="N110" s="68"/>
      <c r="O110" s="68"/>
      <c r="P110" s="68"/>
      <c r="Q110" s="68"/>
      <c r="R110" s="68"/>
      <c r="S110" s="68"/>
      <c r="T110" s="68"/>
      <c r="U110" s="435"/>
      <c r="V110" s="54"/>
      <c r="W110" s="54"/>
      <c r="X110" s="54"/>
      <c r="Y110" s="54"/>
      <c r="Z110" s="54"/>
      <c r="AA110" s="55"/>
      <c r="AB110" s="55"/>
      <c r="AC110" s="55"/>
      <c r="AD110" s="55"/>
      <c r="AE110" s="54"/>
      <c r="AF110" s="54"/>
      <c r="AG110" s="54"/>
      <c r="AH110" s="54"/>
      <c r="AI110" s="55"/>
      <c r="AJ110" s="54"/>
      <c r="AW110" s="18">
        <f t="shared" ref="AW110:AW173" si="6">LEN(L110)</f>
        <v>0</v>
      </c>
    </row>
    <row r="111" spans="1:49" ht="15">
      <c r="J111" s="398"/>
      <c r="K111" s="54"/>
      <c r="L111" s="398"/>
      <c r="M111" s="471"/>
      <c r="N111" s="68"/>
      <c r="O111" s="68"/>
      <c r="P111" s="68"/>
      <c r="Q111" s="68"/>
      <c r="R111" s="68"/>
      <c r="S111" s="68"/>
      <c r="T111" s="68"/>
      <c r="U111" s="435"/>
      <c r="V111" s="54"/>
      <c r="W111" s="54"/>
      <c r="X111" s="54"/>
      <c r="Y111" s="54"/>
      <c r="Z111" s="54"/>
      <c r="AA111" s="55"/>
      <c r="AB111" s="55"/>
      <c r="AC111" s="55"/>
      <c r="AD111" s="55"/>
      <c r="AE111" s="54"/>
      <c r="AF111" s="54"/>
      <c r="AG111" s="54"/>
      <c r="AH111" s="54"/>
      <c r="AI111" s="55"/>
      <c r="AJ111" s="54"/>
      <c r="AW111" s="18">
        <f t="shared" si="6"/>
        <v>0</v>
      </c>
    </row>
    <row r="112" spans="1:49" ht="15">
      <c r="J112" s="398"/>
      <c r="K112" s="54"/>
      <c r="L112" s="398"/>
      <c r="M112" s="471"/>
      <c r="N112" s="68"/>
      <c r="O112" s="68"/>
      <c r="P112" s="68"/>
      <c r="Q112" s="68"/>
      <c r="R112" s="68"/>
      <c r="S112" s="68"/>
      <c r="T112" s="68"/>
      <c r="U112" s="435"/>
      <c r="V112" s="54"/>
      <c r="W112" s="54"/>
      <c r="X112" s="54"/>
      <c r="Y112" s="54"/>
      <c r="Z112" s="54"/>
      <c r="AA112" s="55"/>
      <c r="AB112" s="55"/>
      <c r="AC112" s="55"/>
      <c r="AD112" s="55"/>
      <c r="AE112" s="54"/>
      <c r="AF112" s="54"/>
      <c r="AG112" s="54"/>
      <c r="AH112" s="54"/>
      <c r="AI112" s="55"/>
      <c r="AJ112" s="54"/>
      <c r="AW112" s="18">
        <f t="shared" si="6"/>
        <v>0</v>
      </c>
    </row>
    <row r="113" spans="10:49" ht="15">
      <c r="J113" s="398"/>
      <c r="K113" s="54"/>
      <c r="L113" s="398"/>
      <c r="M113" s="471"/>
      <c r="N113" s="68"/>
      <c r="O113" s="68"/>
      <c r="P113" s="68"/>
      <c r="Q113" s="68"/>
      <c r="R113" s="68"/>
      <c r="S113" s="68"/>
      <c r="T113" s="68"/>
      <c r="U113" s="435"/>
      <c r="V113" s="54"/>
      <c r="W113" s="54"/>
      <c r="X113" s="54"/>
      <c r="Y113" s="54"/>
      <c r="Z113" s="54"/>
      <c r="AA113" s="55"/>
      <c r="AB113" s="55"/>
      <c r="AC113" s="55"/>
      <c r="AD113" s="55"/>
      <c r="AE113" s="54"/>
      <c r="AF113" s="54"/>
      <c r="AG113" s="54"/>
      <c r="AH113" s="54"/>
      <c r="AI113" s="55"/>
      <c r="AJ113" s="54"/>
      <c r="AW113" s="18">
        <f t="shared" si="6"/>
        <v>0</v>
      </c>
    </row>
    <row r="114" spans="10:49" ht="15">
      <c r="J114" s="398"/>
      <c r="K114" s="54"/>
      <c r="L114" s="398"/>
      <c r="M114" s="471"/>
      <c r="N114" s="68"/>
      <c r="O114" s="68"/>
      <c r="P114" s="68"/>
      <c r="Q114" s="68"/>
      <c r="R114" s="68"/>
      <c r="S114" s="68"/>
      <c r="T114" s="68"/>
      <c r="U114" s="435"/>
      <c r="V114" s="54"/>
      <c r="W114" s="54"/>
      <c r="X114" s="54"/>
      <c r="Y114" s="54"/>
      <c r="Z114" s="54"/>
      <c r="AA114" s="55"/>
      <c r="AB114" s="55"/>
      <c r="AC114" s="55"/>
      <c r="AD114" s="55"/>
      <c r="AE114" s="54"/>
      <c r="AF114" s="54"/>
      <c r="AG114" s="54"/>
      <c r="AH114" s="54"/>
      <c r="AI114" s="55"/>
      <c r="AJ114" s="54"/>
      <c r="AW114" s="18">
        <f t="shared" si="6"/>
        <v>0</v>
      </c>
    </row>
    <row r="115" spans="10:49" ht="15">
      <c r="J115" s="398"/>
      <c r="K115" s="54"/>
      <c r="L115" s="398"/>
      <c r="M115" s="471"/>
      <c r="N115" s="68"/>
      <c r="O115" s="68"/>
      <c r="P115" s="68"/>
      <c r="Q115" s="68"/>
      <c r="R115" s="68"/>
      <c r="S115" s="68"/>
      <c r="T115" s="68"/>
      <c r="U115" s="435"/>
      <c r="V115" s="54"/>
      <c r="W115" s="54"/>
      <c r="X115" s="54"/>
      <c r="Y115" s="54"/>
      <c r="Z115" s="54"/>
      <c r="AA115" s="55"/>
      <c r="AB115" s="55"/>
      <c r="AC115" s="55"/>
      <c r="AD115" s="55"/>
      <c r="AE115" s="54"/>
      <c r="AF115" s="54"/>
      <c r="AG115" s="54"/>
      <c r="AH115" s="54"/>
      <c r="AI115" s="55"/>
      <c r="AJ115" s="54"/>
      <c r="AW115" s="18">
        <f t="shared" si="6"/>
        <v>0</v>
      </c>
    </row>
    <row r="116" spans="10:49" ht="15">
      <c r="J116" s="398"/>
      <c r="K116" s="54"/>
      <c r="L116" s="398"/>
      <c r="M116" s="471"/>
      <c r="N116" s="68"/>
      <c r="O116" s="68"/>
      <c r="P116" s="68"/>
      <c r="Q116" s="68"/>
      <c r="R116" s="68"/>
      <c r="S116" s="68"/>
      <c r="T116" s="68"/>
      <c r="U116" s="435"/>
      <c r="V116" s="54"/>
      <c r="W116" s="54"/>
      <c r="X116" s="54"/>
      <c r="Y116" s="54"/>
      <c r="Z116" s="54"/>
      <c r="AA116" s="55"/>
      <c r="AB116" s="55"/>
      <c r="AC116" s="55"/>
      <c r="AD116" s="55"/>
      <c r="AE116" s="54"/>
      <c r="AF116" s="54"/>
      <c r="AG116" s="54"/>
      <c r="AH116" s="54"/>
      <c r="AI116" s="55"/>
      <c r="AJ116" s="54"/>
      <c r="AW116" s="18">
        <f t="shared" si="6"/>
        <v>0</v>
      </c>
    </row>
    <row r="117" spans="10:49" ht="15">
      <c r="J117" s="398"/>
      <c r="K117" s="54"/>
      <c r="L117" s="398"/>
      <c r="M117" s="471"/>
      <c r="N117" s="68"/>
      <c r="O117" s="68"/>
      <c r="P117" s="68"/>
      <c r="Q117" s="68"/>
      <c r="R117" s="68"/>
      <c r="S117" s="68"/>
      <c r="T117" s="68"/>
      <c r="U117" s="435"/>
      <c r="V117" s="54"/>
      <c r="W117" s="54"/>
      <c r="X117" s="54"/>
      <c r="Y117" s="54"/>
      <c r="Z117" s="54"/>
      <c r="AA117" s="55"/>
      <c r="AB117" s="55"/>
      <c r="AC117" s="55"/>
      <c r="AD117" s="55"/>
      <c r="AE117" s="54"/>
      <c r="AF117" s="54"/>
      <c r="AG117" s="54"/>
      <c r="AH117" s="54"/>
      <c r="AI117" s="55"/>
      <c r="AJ117" s="54"/>
      <c r="AW117" s="18">
        <f t="shared" si="6"/>
        <v>0</v>
      </c>
    </row>
    <row r="118" spans="10:49" ht="15">
      <c r="J118" s="398"/>
      <c r="K118" s="54"/>
      <c r="L118" s="398"/>
      <c r="M118" s="471"/>
      <c r="N118" s="68"/>
      <c r="O118" s="68"/>
      <c r="P118" s="68"/>
      <c r="Q118" s="68"/>
      <c r="R118" s="68"/>
      <c r="S118" s="68"/>
      <c r="T118" s="68"/>
      <c r="U118" s="435"/>
      <c r="V118" s="54"/>
      <c r="W118" s="54"/>
      <c r="X118" s="54"/>
      <c r="Y118" s="54"/>
      <c r="Z118" s="54"/>
      <c r="AA118" s="55"/>
      <c r="AB118" s="55"/>
      <c r="AC118" s="55"/>
      <c r="AD118" s="55"/>
      <c r="AE118" s="54"/>
      <c r="AF118" s="54"/>
      <c r="AG118" s="54"/>
      <c r="AH118" s="54"/>
      <c r="AI118" s="55"/>
      <c r="AJ118" s="54"/>
      <c r="AW118" s="18">
        <f t="shared" si="6"/>
        <v>0</v>
      </c>
    </row>
    <row r="119" spans="10:49" ht="15">
      <c r="J119" s="398"/>
      <c r="K119" s="54"/>
      <c r="L119" s="398"/>
      <c r="M119" s="471"/>
      <c r="N119" s="68"/>
      <c r="O119" s="68"/>
      <c r="P119" s="68"/>
      <c r="Q119" s="68"/>
      <c r="R119" s="68"/>
      <c r="S119" s="68"/>
      <c r="T119" s="68"/>
      <c r="U119" s="435"/>
      <c r="V119" s="54"/>
      <c r="W119" s="54"/>
      <c r="X119" s="54"/>
      <c r="Y119" s="54"/>
      <c r="Z119" s="54"/>
      <c r="AA119" s="55"/>
      <c r="AB119" s="55"/>
      <c r="AC119" s="55"/>
      <c r="AD119" s="55"/>
      <c r="AE119" s="54"/>
      <c r="AF119" s="54"/>
      <c r="AG119" s="54"/>
      <c r="AH119" s="54"/>
      <c r="AI119" s="55"/>
      <c r="AJ119" s="54"/>
      <c r="AW119" s="18">
        <f t="shared" si="6"/>
        <v>0</v>
      </c>
    </row>
    <row r="120" spans="10:49" ht="15">
      <c r="J120" s="398"/>
      <c r="K120" s="54"/>
      <c r="L120" s="398"/>
      <c r="M120" s="471"/>
      <c r="N120" s="68"/>
      <c r="O120" s="68"/>
      <c r="P120" s="68"/>
      <c r="Q120" s="68"/>
      <c r="R120" s="68"/>
      <c r="S120" s="68"/>
      <c r="T120" s="68"/>
      <c r="U120" s="435"/>
      <c r="V120" s="54"/>
      <c r="W120" s="54"/>
      <c r="X120" s="54"/>
      <c r="Y120" s="54"/>
      <c r="Z120" s="54"/>
      <c r="AA120" s="55"/>
      <c r="AB120" s="55"/>
      <c r="AC120" s="55"/>
      <c r="AD120" s="55"/>
      <c r="AE120" s="54"/>
      <c r="AF120" s="54"/>
      <c r="AG120" s="54"/>
      <c r="AH120" s="54"/>
      <c r="AI120" s="55"/>
      <c r="AJ120" s="54"/>
      <c r="AW120" s="18">
        <f t="shared" si="6"/>
        <v>0</v>
      </c>
    </row>
    <row r="121" spans="10:49" ht="15">
      <c r="J121" s="398"/>
      <c r="K121" s="54"/>
      <c r="L121" s="398"/>
      <c r="M121" s="471"/>
      <c r="N121" s="68"/>
      <c r="O121" s="68"/>
      <c r="P121" s="68"/>
      <c r="Q121" s="68"/>
      <c r="R121" s="68"/>
      <c r="S121" s="68"/>
      <c r="T121" s="68"/>
      <c r="U121" s="435"/>
      <c r="V121" s="54"/>
      <c r="W121" s="54"/>
      <c r="X121" s="54"/>
      <c r="Y121" s="54"/>
      <c r="Z121" s="54"/>
      <c r="AA121" s="55"/>
      <c r="AB121" s="55"/>
      <c r="AC121" s="55"/>
      <c r="AD121" s="55"/>
      <c r="AE121" s="54"/>
      <c r="AF121" s="54"/>
      <c r="AG121" s="54"/>
      <c r="AH121" s="54"/>
      <c r="AI121" s="55"/>
      <c r="AJ121" s="54"/>
      <c r="AW121" s="18">
        <f t="shared" si="6"/>
        <v>0</v>
      </c>
    </row>
    <row r="122" spans="10:49" ht="15">
      <c r="J122" s="398"/>
      <c r="K122" s="54"/>
      <c r="L122" s="398"/>
      <c r="M122" s="471"/>
      <c r="N122" s="68"/>
      <c r="O122" s="68"/>
      <c r="P122" s="68"/>
      <c r="Q122" s="68"/>
      <c r="R122" s="68"/>
      <c r="S122" s="68"/>
      <c r="T122" s="68"/>
      <c r="U122" s="435"/>
      <c r="V122" s="54"/>
      <c r="W122" s="54"/>
      <c r="X122" s="54"/>
      <c r="Y122" s="54"/>
      <c r="Z122" s="54"/>
      <c r="AA122" s="55"/>
      <c r="AB122" s="55"/>
      <c r="AC122" s="55"/>
      <c r="AD122" s="55"/>
      <c r="AE122" s="54"/>
      <c r="AF122" s="54"/>
      <c r="AG122" s="54"/>
      <c r="AH122" s="54"/>
      <c r="AI122" s="55"/>
      <c r="AJ122" s="54"/>
      <c r="AW122" s="18">
        <f t="shared" si="6"/>
        <v>0</v>
      </c>
    </row>
    <row r="123" spans="10:49" ht="15">
      <c r="J123" s="398"/>
      <c r="K123" s="54"/>
      <c r="L123" s="398"/>
      <c r="M123" s="471"/>
      <c r="N123" s="68"/>
      <c r="O123" s="68"/>
      <c r="P123" s="68"/>
      <c r="Q123" s="68"/>
      <c r="R123" s="68"/>
      <c r="S123" s="68"/>
      <c r="T123" s="68"/>
      <c r="U123" s="435"/>
      <c r="V123" s="54"/>
      <c r="W123" s="54"/>
      <c r="X123" s="54"/>
      <c r="Y123" s="54"/>
      <c r="Z123" s="54"/>
      <c r="AA123" s="55"/>
      <c r="AB123" s="55"/>
      <c r="AC123" s="55"/>
      <c r="AD123" s="55"/>
      <c r="AE123" s="54"/>
      <c r="AF123" s="54"/>
      <c r="AG123" s="54"/>
      <c r="AH123" s="54"/>
      <c r="AI123" s="55"/>
      <c r="AJ123" s="54"/>
      <c r="AW123" s="18">
        <f t="shared" si="6"/>
        <v>0</v>
      </c>
    </row>
    <row r="124" spans="10:49" ht="15">
      <c r="J124" s="398"/>
      <c r="K124" s="54"/>
      <c r="L124" s="398"/>
      <c r="M124" s="471"/>
      <c r="N124" s="68"/>
      <c r="O124" s="68"/>
      <c r="P124" s="68"/>
      <c r="Q124" s="68"/>
      <c r="R124" s="68"/>
      <c r="S124" s="68"/>
      <c r="T124" s="68"/>
      <c r="U124" s="435"/>
      <c r="V124" s="54"/>
      <c r="W124" s="54"/>
      <c r="X124" s="54"/>
      <c r="Y124" s="54"/>
      <c r="Z124" s="54"/>
      <c r="AA124" s="55"/>
      <c r="AB124" s="55"/>
      <c r="AC124" s="55"/>
      <c r="AD124" s="55"/>
      <c r="AE124" s="54"/>
      <c r="AF124" s="54"/>
      <c r="AG124" s="54"/>
      <c r="AH124" s="54"/>
      <c r="AI124" s="55"/>
      <c r="AJ124" s="54"/>
      <c r="AW124" s="18">
        <f t="shared" si="6"/>
        <v>0</v>
      </c>
    </row>
    <row r="125" spans="10:49" ht="15">
      <c r="J125" s="398"/>
      <c r="K125" s="54"/>
      <c r="L125" s="398"/>
      <c r="M125" s="471"/>
      <c r="N125" s="68"/>
      <c r="O125" s="68"/>
      <c r="P125" s="68"/>
      <c r="Q125" s="68"/>
      <c r="R125" s="68"/>
      <c r="S125" s="68"/>
      <c r="T125" s="68"/>
      <c r="U125" s="435"/>
      <c r="V125" s="54"/>
      <c r="W125" s="54"/>
      <c r="X125" s="54"/>
      <c r="Y125" s="54"/>
      <c r="Z125" s="54"/>
      <c r="AA125" s="55"/>
      <c r="AB125" s="55"/>
      <c r="AC125" s="55"/>
      <c r="AD125" s="55"/>
      <c r="AE125" s="54"/>
      <c r="AF125" s="54"/>
      <c r="AG125" s="54"/>
      <c r="AH125" s="54"/>
      <c r="AI125" s="55"/>
      <c r="AJ125" s="54"/>
      <c r="AW125" s="18">
        <f t="shared" si="6"/>
        <v>0</v>
      </c>
    </row>
    <row r="126" spans="10:49" ht="15">
      <c r="J126" s="398"/>
      <c r="K126" s="54"/>
      <c r="L126" s="398"/>
      <c r="M126" s="471"/>
      <c r="N126" s="68"/>
      <c r="O126" s="68"/>
      <c r="P126" s="68"/>
      <c r="Q126" s="68"/>
      <c r="R126" s="68"/>
      <c r="S126" s="68"/>
      <c r="T126" s="68"/>
      <c r="U126" s="435"/>
      <c r="V126" s="54"/>
      <c r="W126" s="54"/>
      <c r="X126" s="54"/>
      <c r="Y126" s="54"/>
      <c r="Z126" s="54"/>
      <c r="AA126" s="55"/>
      <c r="AB126" s="55"/>
      <c r="AC126" s="55"/>
      <c r="AD126" s="55"/>
      <c r="AE126" s="54"/>
      <c r="AF126" s="54"/>
      <c r="AG126" s="54"/>
      <c r="AH126" s="54"/>
      <c r="AI126" s="55"/>
      <c r="AJ126" s="54"/>
      <c r="AW126" s="18">
        <f t="shared" si="6"/>
        <v>0</v>
      </c>
    </row>
    <row r="127" spans="10:49" ht="15">
      <c r="J127" s="398"/>
      <c r="K127" s="54"/>
      <c r="L127" s="398"/>
      <c r="M127" s="471"/>
      <c r="N127" s="68"/>
      <c r="O127" s="68"/>
      <c r="P127" s="68"/>
      <c r="Q127" s="68"/>
      <c r="R127" s="68"/>
      <c r="S127" s="68"/>
      <c r="T127" s="68"/>
      <c r="U127" s="435"/>
      <c r="V127" s="54"/>
      <c r="W127" s="54"/>
      <c r="X127" s="54"/>
      <c r="Y127" s="54"/>
      <c r="Z127" s="54"/>
      <c r="AA127" s="55"/>
      <c r="AB127" s="55"/>
      <c r="AC127" s="55"/>
      <c r="AD127" s="55"/>
      <c r="AE127" s="54"/>
      <c r="AF127" s="54"/>
      <c r="AG127" s="54"/>
      <c r="AH127" s="54"/>
      <c r="AI127" s="55"/>
      <c r="AJ127" s="54"/>
      <c r="AW127" s="18">
        <f t="shared" si="6"/>
        <v>0</v>
      </c>
    </row>
    <row r="128" spans="10:49" ht="15">
      <c r="J128" s="398"/>
      <c r="K128" s="54"/>
      <c r="L128" s="398"/>
      <c r="M128" s="471"/>
      <c r="N128" s="68"/>
      <c r="O128" s="68"/>
      <c r="P128" s="68"/>
      <c r="Q128" s="68"/>
      <c r="R128" s="68"/>
      <c r="S128" s="68"/>
      <c r="T128" s="68"/>
      <c r="U128" s="435"/>
      <c r="V128" s="54"/>
      <c r="W128" s="54"/>
      <c r="X128" s="54"/>
      <c r="Y128" s="54"/>
      <c r="Z128" s="54"/>
      <c r="AA128" s="55"/>
      <c r="AB128" s="55"/>
      <c r="AC128" s="55"/>
      <c r="AD128" s="55"/>
      <c r="AE128" s="54"/>
      <c r="AF128" s="54"/>
      <c r="AG128" s="54"/>
      <c r="AH128" s="54"/>
      <c r="AI128" s="55"/>
      <c r="AJ128" s="54"/>
      <c r="AW128" s="18">
        <f t="shared" si="6"/>
        <v>0</v>
      </c>
    </row>
    <row r="129" spans="10:49" ht="15">
      <c r="J129" s="398"/>
      <c r="K129" s="54"/>
      <c r="L129" s="398"/>
      <c r="M129" s="471"/>
      <c r="N129" s="68"/>
      <c r="O129" s="68"/>
      <c r="P129" s="68"/>
      <c r="Q129" s="68"/>
      <c r="R129" s="68"/>
      <c r="S129" s="68"/>
      <c r="T129" s="68"/>
      <c r="U129" s="435"/>
      <c r="V129" s="54"/>
      <c r="W129" s="54"/>
      <c r="X129" s="54"/>
      <c r="Y129" s="54"/>
      <c r="Z129" s="54"/>
      <c r="AA129" s="55"/>
      <c r="AB129" s="55"/>
      <c r="AC129" s="55"/>
      <c r="AD129" s="55"/>
      <c r="AE129" s="54"/>
      <c r="AF129" s="54"/>
      <c r="AG129" s="54"/>
      <c r="AH129" s="54"/>
      <c r="AI129" s="55"/>
      <c r="AJ129" s="54"/>
      <c r="AW129" s="18">
        <f t="shared" si="6"/>
        <v>0</v>
      </c>
    </row>
    <row r="130" spans="10:49" ht="15">
      <c r="J130" s="398"/>
      <c r="K130" s="54"/>
      <c r="L130" s="398"/>
      <c r="M130" s="471"/>
      <c r="N130" s="68"/>
      <c r="O130" s="68"/>
      <c r="P130" s="68"/>
      <c r="Q130" s="68"/>
      <c r="R130" s="68"/>
      <c r="S130" s="68"/>
      <c r="T130" s="68"/>
      <c r="U130" s="435"/>
      <c r="V130" s="54"/>
      <c r="W130" s="54"/>
      <c r="X130" s="54"/>
      <c r="Y130" s="54"/>
      <c r="Z130" s="54"/>
      <c r="AA130" s="55"/>
      <c r="AB130" s="55"/>
      <c r="AC130" s="55"/>
      <c r="AD130" s="55"/>
      <c r="AE130" s="54"/>
      <c r="AF130" s="54"/>
      <c r="AG130" s="54"/>
      <c r="AH130" s="54"/>
      <c r="AI130" s="55"/>
      <c r="AJ130" s="54"/>
      <c r="AW130" s="18">
        <f t="shared" si="6"/>
        <v>0</v>
      </c>
    </row>
    <row r="131" spans="10:49" ht="15">
      <c r="J131" s="398"/>
      <c r="K131" s="54"/>
      <c r="L131" s="398"/>
      <c r="M131" s="471"/>
      <c r="N131" s="68"/>
      <c r="O131" s="68"/>
      <c r="P131" s="68"/>
      <c r="Q131" s="68"/>
      <c r="R131" s="68"/>
      <c r="S131" s="68"/>
      <c r="T131" s="68"/>
      <c r="U131" s="435"/>
      <c r="V131" s="54"/>
      <c r="W131" s="54"/>
      <c r="X131" s="54"/>
      <c r="Y131" s="54"/>
      <c r="Z131" s="54"/>
      <c r="AA131" s="55"/>
      <c r="AB131" s="55"/>
      <c r="AC131" s="55"/>
      <c r="AD131" s="55"/>
      <c r="AE131" s="54"/>
      <c r="AF131" s="54"/>
      <c r="AG131" s="54"/>
      <c r="AH131" s="54"/>
      <c r="AI131" s="55"/>
      <c r="AJ131" s="54"/>
      <c r="AW131" s="18">
        <f t="shared" si="6"/>
        <v>0</v>
      </c>
    </row>
    <row r="132" spans="10:49" ht="15">
      <c r="J132" s="398"/>
      <c r="K132" s="54"/>
      <c r="L132" s="398"/>
      <c r="M132" s="471"/>
      <c r="N132" s="68"/>
      <c r="O132" s="68"/>
      <c r="P132" s="68"/>
      <c r="Q132" s="68"/>
      <c r="R132" s="68"/>
      <c r="S132" s="68"/>
      <c r="T132" s="68"/>
      <c r="U132" s="435"/>
      <c r="V132" s="54"/>
      <c r="W132" s="54"/>
      <c r="X132" s="54"/>
      <c r="Y132" s="54"/>
      <c r="Z132" s="54"/>
      <c r="AA132" s="55"/>
      <c r="AB132" s="55"/>
      <c r="AC132" s="55"/>
      <c r="AD132" s="55"/>
      <c r="AE132" s="54"/>
      <c r="AF132" s="54"/>
      <c r="AG132" s="54"/>
      <c r="AH132" s="54"/>
      <c r="AI132" s="55"/>
      <c r="AJ132" s="54"/>
      <c r="AW132" s="18">
        <f t="shared" si="6"/>
        <v>0</v>
      </c>
    </row>
    <row r="133" spans="10:49" ht="15">
      <c r="J133" s="398"/>
      <c r="K133" s="54"/>
      <c r="L133" s="398"/>
      <c r="M133" s="471"/>
      <c r="N133" s="68"/>
      <c r="O133" s="68"/>
      <c r="P133" s="68"/>
      <c r="Q133" s="68"/>
      <c r="R133" s="68"/>
      <c r="S133" s="68"/>
      <c r="T133" s="68"/>
      <c r="U133" s="435"/>
      <c r="V133" s="54"/>
      <c r="W133" s="54"/>
      <c r="X133" s="54"/>
      <c r="Y133" s="54"/>
      <c r="Z133" s="54"/>
      <c r="AA133" s="55"/>
      <c r="AB133" s="55"/>
      <c r="AC133" s="55"/>
      <c r="AD133" s="55"/>
      <c r="AE133" s="54"/>
      <c r="AF133" s="54"/>
      <c r="AG133" s="54"/>
      <c r="AH133" s="54"/>
      <c r="AI133" s="55"/>
      <c r="AJ133" s="54"/>
      <c r="AW133" s="18">
        <f t="shared" si="6"/>
        <v>0</v>
      </c>
    </row>
    <row r="134" spans="10:49" ht="15">
      <c r="J134" s="398"/>
      <c r="K134" s="54"/>
      <c r="L134" s="398"/>
      <c r="M134" s="471"/>
      <c r="N134" s="68"/>
      <c r="O134" s="68"/>
      <c r="P134" s="68"/>
      <c r="Q134" s="68"/>
      <c r="R134" s="68"/>
      <c r="S134" s="68"/>
      <c r="T134" s="68"/>
      <c r="U134" s="435"/>
      <c r="V134" s="54"/>
      <c r="W134" s="54"/>
      <c r="X134" s="54"/>
      <c r="Y134" s="54"/>
      <c r="Z134" s="54"/>
      <c r="AA134" s="55"/>
      <c r="AB134" s="55"/>
      <c r="AC134" s="55"/>
      <c r="AD134" s="55"/>
      <c r="AE134" s="54"/>
      <c r="AF134" s="54"/>
      <c r="AG134" s="54"/>
      <c r="AH134" s="54"/>
      <c r="AI134" s="55"/>
      <c r="AJ134" s="54"/>
      <c r="AW134" s="18">
        <f t="shared" si="6"/>
        <v>0</v>
      </c>
    </row>
    <row r="135" spans="10:49" ht="15">
      <c r="J135" s="398"/>
      <c r="K135" s="54"/>
      <c r="L135" s="398"/>
      <c r="M135" s="471"/>
      <c r="N135" s="68"/>
      <c r="O135" s="68"/>
      <c r="P135" s="68"/>
      <c r="Q135" s="68"/>
      <c r="R135" s="68"/>
      <c r="S135" s="68"/>
      <c r="T135" s="68"/>
      <c r="U135" s="435"/>
      <c r="V135" s="54"/>
      <c r="W135" s="54"/>
      <c r="X135" s="54"/>
      <c r="Y135" s="54"/>
      <c r="Z135" s="54"/>
      <c r="AA135" s="55"/>
      <c r="AB135" s="55"/>
      <c r="AC135" s="55"/>
      <c r="AD135" s="55"/>
      <c r="AE135" s="54"/>
      <c r="AF135" s="54"/>
      <c r="AG135" s="54"/>
      <c r="AH135" s="54"/>
      <c r="AI135" s="55"/>
      <c r="AJ135" s="54"/>
      <c r="AW135" s="18">
        <f t="shared" si="6"/>
        <v>0</v>
      </c>
    </row>
    <row r="136" spans="10:49" ht="15">
      <c r="J136" s="398"/>
      <c r="K136" s="54"/>
      <c r="L136" s="398"/>
      <c r="M136" s="471"/>
      <c r="N136" s="68"/>
      <c r="O136" s="68"/>
      <c r="P136" s="68"/>
      <c r="Q136" s="68"/>
      <c r="R136" s="68"/>
      <c r="S136" s="68"/>
      <c r="T136" s="68"/>
      <c r="U136" s="435"/>
      <c r="V136" s="54"/>
      <c r="W136" s="54"/>
      <c r="X136" s="54"/>
      <c r="Y136" s="54"/>
      <c r="Z136" s="54"/>
      <c r="AA136" s="55"/>
      <c r="AB136" s="55"/>
      <c r="AC136" s="55"/>
      <c r="AD136" s="55"/>
      <c r="AE136" s="54"/>
      <c r="AF136" s="54"/>
      <c r="AG136" s="54"/>
      <c r="AH136" s="54"/>
      <c r="AI136" s="55"/>
      <c r="AJ136" s="54"/>
      <c r="AW136" s="18">
        <f t="shared" si="6"/>
        <v>0</v>
      </c>
    </row>
    <row r="137" spans="10:49" ht="15">
      <c r="J137" s="398"/>
      <c r="K137" s="54"/>
      <c r="L137" s="398"/>
      <c r="M137" s="471"/>
      <c r="N137" s="68"/>
      <c r="O137" s="68"/>
      <c r="P137" s="68"/>
      <c r="Q137" s="68"/>
      <c r="R137" s="68"/>
      <c r="S137" s="68"/>
      <c r="T137" s="68"/>
      <c r="U137" s="435"/>
      <c r="V137" s="54"/>
      <c r="W137" s="54"/>
      <c r="X137" s="54"/>
      <c r="Y137" s="54"/>
      <c r="Z137" s="54"/>
      <c r="AA137" s="55"/>
      <c r="AB137" s="55"/>
      <c r="AC137" s="55"/>
      <c r="AD137" s="55"/>
      <c r="AE137" s="54"/>
      <c r="AF137" s="54"/>
      <c r="AG137" s="54"/>
      <c r="AH137" s="54"/>
      <c r="AI137" s="55"/>
      <c r="AJ137" s="54"/>
      <c r="AW137" s="18">
        <f t="shared" si="6"/>
        <v>0</v>
      </c>
    </row>
    <row r="138" spans="10:49" ht="15">
      <c r="J138" s="398"/>
      <c r="K138" s="54"/>
      <c r="L138" s="398"/>
      <c r="M138" s="471"/>
      <c r="N138" s="68"/>
      <c r="O138" s="68"/>
      <c r="P138" s="68"/>
      <c r="Q138" s="68"/>
      <c r="R138" s="68"/>
      <c r="S138" s="68"/>
      <c r="T138" s="68"/>
      <c r="U138" s="435"/>
      <c r="V138" s="54"/>
      <c r="W138" s="54"/>
      <c r="X138" s="54"/>
      <c r="Y138" s="54"/>
      <c r="Z138" s="54"/>
      <c r="AA138" s="55"/>
      <c r="AB138" s="55"/>
      <c r="AC138" s="55"/>
      <c r="AD138" s="55"/>
      <c r="AE138" s="54"/>
      <c r="AF138" s="54"/>
      <c r="AG138" s="54"/>
      <c r="AH138" s="54"/>
      <c r="AI138" s="55"/>
      <c r="AJ138" s="54"/>
      <c r="AW138" s="18">
        <f t="shared" si="6"/>
        <v>0</v>
      </c>
    </row>
    <row r="139" spans="10:49" ht="15">
      <c r="J139" s="398"/>
      <c r="K139" s="54"/>
      <c r="L139" s="56"/>
      <c r="M139" s="56"/>
      <c r="N139" s="68"/>
      <c r="O139" s="68"/>
      <c r="P139" s="68"/>
      <c r="Q139" s="68"/>
      <c r="R139" s="68"/>
      <c r="S139" s="68"/>
      <c r="T139" s="68"/>
      <c r="U139" s="435"/>
      <c r="V139" s="54"/>
      <c r="W139" s="54"/>
      <c r="X139" s="54"/>
      <c r="Y139" s="54"/>
      <c r="Z139" s="54"/>
      <c r="AA139" s="55"/>
      <c r="AB139" s="55"/>
      <c r="AC139" s="55"/>
      <c r="AD139" s="55"/>
      <c r="AE139" s="54"/>
      <c r="AF139" s="54"/>
      <c r="AG139" s="54"/>
      <c r="AH139" s="54"/>
      <c r="AI139" s="55"/>
      <c r="AJ139" s="54"/>
      <c r="AW139" s="18">
        <f t="shared" si="6"/>
        <v>0</v>
      </c>
    </row>
    <row r="140" spans="10:49" ht="15">
      <c r="J140" s="398"/>
      <c r="K140" s="54"/>
      <c r="L140" s="56"/>
      <c r="M140" s="56"/>
      <c r="N140" s="68"/>
      <c r="O140" s="68"/>
      <c r="P140" s="68"/>
      <c r="Q140" s="68"/>
      <c r="R140" s="68"/>
      <c r="S140" s="68"/>
      <c r="T140" s="68"/>
      <c r="U140" s="435"/>
      <c r="V140" s="54"/>
      <c r="W140" s="54"/>
      <c r="X140" s="54"/>
      <c r="Y140" s="54"/>
      <c r="Z140" s="54"/>
      <c r="AA140" s="55"/>
      <c r="AB140" s="55"/>
      <c r="AC140" s="55"/>
      <c r="AD140" s="55"/>
      <c r="AE140" s="54"/>
      <c r="AF140" s="54"/>
      <c r="AG140" s="54"/>
      <c r="AH140" s="54"/>
      <c r="AI140" s="55"/>
      <c r="AJ140" s="54"/>
      <c r="AW140" s="18">
        <f t="shared" si="6"/>
        <v>0</v>
      </c>
    </row>
    <row r="141" spans="10:49" ht="15">
      <c r="J141" s="398"/>
      <c r="K141" s="54"/>
      <c r="L141" s="398"/>
      <c r="M141" s="471"/>
      <c r="N141" s="68"/>
      <c r="O141" s="68"/>
      <c r="P141" s="68"/>
      <c r="Q141" s="68"/>
      <c r="R141" s="68"/>
      <c r="S141" s="68"/>
      <c r="T141" s="68"/>
      <c r="U141" s="435"/>
      <c r="V141" s="54"/>
      <c r="W141" s="54"/>
      <c r="X141" s="54"/>
      <c r="Y141" s="54"/>
      <c r="Z141" s="54"/>
      <c r="AA141" s="55"/>
      <c r="AB141" s="55"/>
      <c r="AC141" s="55"/>
      <c r="AD141" s="55"/>
      <c r="AE141" s="54"/>
      <c r="AF141" s="54"/>
      <c r="AG141" s="54"/>
      <c r="AH141" s="54"/>
      <c r="AI141" s="55"/>
      <c r="AJ141" s="54"/>
      <c r="AW141" s="18">
        <f t="shared" si="6"/>
        <v>0</v>
      </c>
    </row>
    <row r="142" spans="10:49" ht="15">
      <c r="J142" s="398"/>
      <c r="K142" s="54"/>
      <c r="L142" s="398"/>
      <c r="M142" s="471"/>
      <c r="N142" s="68"/>
      <c r="O142" s="68"/>
      <c r="P142" s="68"/>
      <c r="Q142" s="68"/>
      <c r="R142" s="68"/>
      <c r="S142" s="68"/>
      <c r="T142" s="68"/>
      <c r="U142" s="435"/>
      <c r="V142" s="54"/>
      <c r="W142" s="54"/>
      <c r="X142" s="54"/>
      <c r="Y142" s="54"/>
      <c r="Z142" s="54"/>
      <c r="AA142" s="55"/>
      <c r="AB142" s="55"/>
      <c r="AC142" s="55"/>
      <c r="AD142" s="55"/>
      <c r="AE142" s="54"/>
      <c r="AF142" s="54"/>
      <c r="AG142" s="54"/>
      <c r="AH142" s="54"/>
      <c r="AI142" s="55"/>
      <c r="AJ142" s="54"/>
      <c r="AW142" s="18">
        <f t="shared" si="6"/>
        <v>0</v>
      </c>
    </row>
    <row r="143" spans="10:49" ht="15">
      <c r="J143" s="398"/>
      <c r="K143" s="54"/>
      <c r="L143" s="398"/>
      <c r="M143" s="471"/>
      <c r="N143" s="68"/>
      <c r="O143" s="68"/>
      <c r="P143" s="68"/>
      <c r="Q143" s="68"/>
      <c r="R143" s="68"/>
      <c r="S143" s="68"/>
      <c r="T143" s="68"/>
      <c r="U143" s="435"/>
      <c r="V143" s="54"/>
      <c r="W143" s="54"/>
      <c r="X143" s="54"/>
      <c r="Y143" s="54"/>
      <c r="Z143" s="54"/>
      <c r="AA143" s="55"/>
      <c r="AB143" s="55"/>
      <c r="AC143" s="55"/>
      <c r="AD143" s="55"/>
      <c r="AE143" s="54"/>
      <c r="AF143" s="54"/>
      <c r="AG143" s="54"/>
      <c r="AH143" s="54"/>
      <c r="AI143" s="55"/>
      <c r="AJ143" s="54"/>
      <c r="AW143" s="18">
        <f t="shared" si="6"/>
        <v>0</v>
      </c>
    </row>
    <row r="144" spans="10:49" ht="15">
      <c r="J144" s="398"/>
      <c r="K144" s="54"/>
      <c r="L144" s="398"/>
      <c r="M144" s="471"/>
      <c r="N144" s="68"/>
      <c r="O144" s="68"/>
      <c r="P144" s="68"/>
      <c r="Q144" s="68"/>
      <c r="R144" s="68"/>
      <c r="S144" s="68"/>
      <c r="T144" s="68"/>
      <c r="U144" s="435"/>
      <c r="V144" s="54"/>
      <c r="W144" s="54"/>
      <c r="X144" s="54"/>
      <c r="Y144" s="54"/>
      <c r="Z144" s="54"/>
      <c r="AA144" s="55"/>
      <c r="AB144" s="55"/>
      <c r="AC144" s="55"/>
      <c r="AD144" s="55"/>
      <c r="AE144" s="54"/>
      <c r="AF144" s="54"/>
      <c r="AG144" s="54"/>
      <c r="AH144" s="54"/>
      <c r="AI144" s="55"/>
      <c r="AJ144" s="54"/>
      <c r="AW144" s="18">
        <f t="shared" si="6"/>
        <v>0</v>
      </c>
    </row>
    <row r="145" spans="10:49" ht="15">
      <c r="J145" s="398"/>
      <c r="K145" s="54"/>
      <c r="L145" s="398"/>
      <c r="M145" s="471"/>
      <c r="N145" s="68"/>
      <c r="O145" s="68"/>
      <c r="P145" s="68"/>
      <c r="Q145" s="68"/>
      <c r="R145" s="68"/>
      <c r="S145" s="68"/>
      <c r="T145" s="68"/>
      <c r="U145" s="435"/>
      <c r="V145" s="54"/>
      <c r="W145" s="54"/>
      <c r="X145" s="54"/>
      <c r="Y145" s="54"/>
      <c r="Z145" s="54"/>
      <c r="AA145" s="55"/>
      <c r="AB145" s="55"/>
      <c r="AC145" s="55"/>
      <c r="AD145" s="55"/>
      <c r="AE145" s="54"/>
      <c r="AF145" s="54"/>
      <c r="AG145" s="54"/>
      <c r="AH145" s="54"/>
      <c r="AI145" s="55"/>
      <c r="AJ145" s="54"/>
      <c r="AW145" s="18">
        <f t="shared" si="6"/>
        <v>0</v>
      </c>
    </row>
    <row r="146" spans="10:49" ht="15">
      <c r="J146" s="398"/>
      <c r="K146" s="54"/>
      <c r="L146" s="398"/>
      <c r="M146" s="471"/>
      <c r="N146" s="68"/>
      <c r="O146" s="68"/>
      <c r="P146" s="68"/>
      <c r="Q146" s="68"/>
      <c r="R146" s="68"/>
      <c r="S146" s="68"/>
      <c r="T146" s="68"/>
      <c r="U146" s="435"/>
      <c r="V146" s="54"/>
      <c r="W146" s="54"/>
      <c r="X146" s="54"/>
      <c r="Y146" s="54"/>
      <c r="Z146" s="54"/>
      <c r="AA146" s="55"/>
      <c r="AB146" s="55"/>
      <c r="AC146" s="55"/>
      <c r="AD146" s="55"/>
      <c r="AE146" s="54"/>
      <c r="AF146" s="54"/>
      <c r="AG146" s="54"/>
      <c r="AH146" s="54"/>
      <c r="AI146" s="55"/>
      <c r="AJ146" s="54"/>
      <c r="AW146" s="18">
        <f t="shared" si="6"/>
        <v>0</v>
      </c>
    </row>
    <row r="147" spans="10:49" ht="15">
      <c r="J147" s="314"/>
      <c r="K147" s="80"/>
      <c r="L147" s="314"/>
      <c r="M147" s="314"/>
      <c r="N147" s="140"/>
      <c r="O147" s="140"/>
      <c r="P147" s="68"/>
      <c r="Q147" s="68"/>
      <c r="R147" s="68"/>
      <c r="S147" s="68"/>
      <c r="T147" s="68"/>
      <c r="U147" s="435"/>
      <c r="V147" s="54"/>
      <c r="W147" s="80"/>
      <c r="X147" s="54"/>
      <c r="Y147" s="54"/>
      <c r="Z147" s="54"/>
      <c r="AA147" s="55"/>
      <c r="AB147" s="55"/>
      <c r="AC147" s="55"/>
      <c r="AD147" s="55"/>
      <c r="AE147" s="80"/>
      <c r="AF147" s="54"/>
      <c r="AG147" s="54"/>
      <c r="AH147" s="54"/>
      <c r="AI147" s="55"/>
      <c r="AJ147" s="54"/>
      <c r="AW147" s="18">
        <f t="shared" si="6"/>
        <v>0</v>
      </c>
    </row>
    <row r="148" spans="10:49" ht="15">
      <c r="J148" s="314"/>
      <c r="K148" s="80"/>
      <c r="L148" s="314"/>
      <c r="M148" s="314"/>
      <c r="N148" s="140"/>
      <c r="O148" s="140"/>
      <c r="P148" s="68"/>
      <c r="Q148" s="68"/>
      <c r="R148" s="68"/>
      <c r="S148" s="68"/>
      <c r="T148" s="68"/>
      <c r="U148" s="435"/>
      <c r="V148" s="54"/>
      <c r="W148" s="80"/>
      <c r="X148" s="54"/>
      <c r="Y148" s="54"/>
      <c r="Z148" s="54"/>
      <c r="AA148" s="55"/>
      <c r="AB148" s="55"/>
      <c r="AC148" s="55"/>
      <c r="AD148" s="55"/>
      <c r="AE148" s="80"/>
      <c r="AF148" s="54"/>
      <c r="AG148" s="54"/>
      <c r="AH148" s="54"/>
      <c r="AI148" s="55"/>
      <c r="AJ148" s="54"/>
      <c r="AW148" s="18">
        <f t="shared" si="6"/>
        <v>0</v>
      </c>
    </row>
    <row r="149" spans="10:49" ht="15">
      <c r="J149" s="398"/>
      <c r="K149" s="54"/>
      <c r="L149" s="398"/>
      <c r="M149" s="471"/>
      <c r="N149" s="68"/>
      <c r="O149" s="68"/>
      <c r="P149" s="68"/>
      <c r="Q149" s="68"/>
      <c r="R149" s="68"/>
      <c r="S149" s="68"/>
      <c r="T149" s="68"/>
      <c r="U149" s="435"/>
      <c r="V149" s="54"/>
      <c r="W149" s="54"/>
      <c r="X149" s="54"/>
      <c r="Y149" s="54"/>
      <c r="Z149" s="54"/>
      <c r="AA149" s="55"/>
      <c r="AB149" s="55"/>
      <c r="AC149" s="55"/>
      <c r="AD149" s="55"/>
      <c r="AE149" s="54"/>
      <c r="AF149" s="54"/>
      <c r="AG149" s="54"/>
      <c r="AH149" s="54"/>
      <c r="AI149" s="55"/>
      <c r="AJ149" s="54"/>
      <c r="AW149" s="18">
        <f t="shared" si="6"/>
        <v>0</v>
      </c>
    </row>
    <row r="150" spans="10:49" ht="15">
      <c r="J150" s="398"/>
      <c r="K150" s="54"/>
      <c r="L150" s="398"/>
      <c r="M150" s="471"/>
      <c r="N150" s="68"/>
      <c r="O150" s="68"/>
      <c r="P150" s="68"/>
      <c r="Q150" s="68"/>
      <c r="R150" s="68"/>
      <c r="S150" s="68"/>
      <c r="T150" s="68"/>
      <c r="U150" s="435"/>
      <c r="V150" s="54"/>
      <c r="W150" s="54"/>
      <c r="X150" s="54"/>
      <c r="Y150" s="54"/>
      <c r="Z150" s="54"/>
      <c r="AA150" s="55"/>
      <c r="AB150" s="55"/>
      <c r="AC150" s="55"/>
      <c r="AD150" s="55"/>
      <c r="AE150" s="54"/>
      <c r="AF150" s="54"/>
      <c r="AG150" s="54"/>
      <c r="AH150" s="54"/>
      <c r="AI150" s="55"/>
      <c r="AJ150" s="54"/>
      <c r="AW150" s="18">
        <f t="shared" si="6"/>
        <v>0</v>
      </c>
    </row>
    <row r="151" spans="10:49" ht="15">
      <c r="J151" s="398"/>
      <c r="K151" s="54"/>
      <c r="L151" s="398"/>
      <c r="M151" s="471"/>
      <c r="N151" s="68"/>
      <c r="O151" s="68"/>
      <c r="P151" s="68"/>
      <c r="Q151" s="68"/>
      <c r="R151" s="68"/>
      <c r="S151" s="68"/>
      <c r="T151" s="68"/>
      <c r="U151" s="435"/>
      <c r="V151" s="54"/>
      <c r="W151" s="54"/>
      <c r="X151" s="54"/>
      <c r="Y151" s="54"/>
      <c r="Z151" s="54"/>
      <c r="AA151" s="55"/>
      <c r="AB151" s="55"/>
      <c r="AC151" s="55"/>
      <c r="AD151" s="55"/>
      <c r="AE151" s="54"/>
      <c r="AF151" s="54"/>
      <c r="AG151" s="54"/>
      <c r="AH151" s="54"/>
      <c r="AI151" s="55"/>
      <c r="AJ151" s="54"/>
      <c r="AW151" s="18">
        <f t="shared" si="6"/>
        <v>0</v>
      </c>
    </row>
    <row r="152" spans="10:49" ht="15">
      <c r="J152" s="398"/>
      <c r="K152" s="54"/>
      <c r="L152" s="398"/>
      <c r="M152" s="471"/>
      <c r="N152" s="68"/>
      <c r="O152" s="68"/>
      <c r="P152" s="68"/>
      <c r="Q152" s="68"/>
      <c r="R152" s="68"/>
      <c r="S152" s="68"/>
      <c r="T152" s="68"/>
      <c r="U152" s="435"/>
      <c r="V152" s="54"/>
      <c r="W152" s="54"/>
      <c r="X152" s="54"/>
      <c r="Y152" s="54"/>
      <c r="Z152" s="54"/>
      <c r="AA152" s="55"/>
      <c r="AB152" s="55"/>
      <c r="AC152" s="55"/>
      <c r="AD152" s="55"/>
      <c r="AE152" s="54"/>
      <c r="AF152" s="54"/>
      <c r="AG152" s="54"/>
      <c r="AH152" s="54"/>
      <c r="AI152" s="55"/>
      <c r="AJ152" s="54"/>
      <c r="AW152" s="18">
        <f t="shared" si="6"/>
        <v>0</v>
      </c>
    </row>
    <row r="153" spans="10:49" ht="15">
      <c r="J153" s="398"/>
      <c r="K153" s="54"/>
      <c r="L153" s="398"/>
      <c r="M153" s="471"/>
      <c r="N153" s="68"/>
      <c r="O153" s="68"/>
      <c r="P153" s="68"/>
      <c r="Q153" s="68"/>
      <c r="R153" s="68"/>
      <c r="S153" s="68"/>
      <c r="T153" s="68"/>
      <c r="U153" s="435"/>
      <c r="V153" s="54"/>
      <c r="W153" s="54"/>
      <c r="X153" s="54"/>
      <c r="Y153" s="54"/>
      <c r="Z153" s="54"/>
      <c r="AA153" s="55"/>
      <c r="AB153" s="55"/>
      <c r="AC153" s="55"/>
      <c r="AD153" s="55"/>
      <c r="AE153" s="54"/>
      <c r="AF153" s="54"/>
      <c r="AG153" s="54"/>
      <c r="AH153" s="54"/>
      <c r="AI153" s="55"/>
      <c r="AJ153" s="54"/>
      <c r="AW153" s="18">
        <f t="shared" si="6"/>
        <v>0</v>
      </c>
    </row>
    <row r="154" spans="10:49" ht="15">
      <c r="J154" s="398"/>
      <c r="K154" s="54"/>
      <c r="L154" s="398"/>
      <c r="M154" s="471"/>
      <c r="N154" s="68"/>
      <c r="O154" s="68"/>
      <c r="P154" s="68"/>
      <c r="Q154" s="68"/>
      <c r="R154" s="68"/>
      <c r="S154" s="68"/>
      <c r="T154" s="68"/>
      <c r="U154" s="435"/>
      <c r="V154" s="54"/>
      <c r="W154" s="54"/>
      <c r="X154" s="54"/>
      <c r="Y154" s="54"/>
      <c r="Z154" s="54"/>
      <c r="AA154" s="55"/>
      <c r="AB154" s="55"/>
      <c r="AC154" s="55"/>
      <c r="AD154" s="55"/>
      <c r="AE154" s="54"/>
      <c r="AF154" s="54"/>
      <c r="AG154" s="54"/>
      <c r="AH154" s="54"/>
      <c r="AI154" s="55"/>
      <c r="AJ154" s="54"/>
      <c r="AW154" s="18">
        <f t="shared" si="6"/>
        <v>0</v>
      </c>
    </row>
    <row r="155" spans="10:49" ht="15">
      <c r="J155" s="398"/>
      <c r="K155" s="54"/>
      <c r="L155" s="398"/>
      <c r="M155" s="471"/>
      <c r="N155" s="68"/>
      <c r="O155" s="68"/>
      <c r="P155" s="68"/>
      <c r="Q155" s="68"/>
      <c r="R155" s="68"/>
      <c r="S155" s="68"/>
      <c r="T155" s="68"/>
      <c r="U155" s="435"/>
      <c r="V155" s="54"/>
      <c r="W155" s="54"/>
      <c r="X155" s="54"/>
      <c r="Y155" s="54"/>
      <c r="Z155" s="54"/>
      <c r="AA155" s="55"/>
      <c r="AB155" s="55"/>
      <c r="AC155" s="55"/>
      <c r="AD155" s="55"/>
      <c r="AE155" s="54"/>
      <c r="AF155" s="54"/>
      <c r="AG155" s="54"/>
      <c r="AH155" s="54"/>
      <c r="AI155" s="55"/>
      <c r="AJ155" s="54"/>
      <c r="AW155" s="18">
        <f t="shared" si="6"/>
        <v>0</v>
      </c>
    </row>
    <row r="156" spans="10:49" ht="15">
      <c r="J156" s="398"/>
      <c r="K156" s="54"/>
      <c r="L156" s="398"/>
      <c r="M156" s="471"/>
      <c r="N156" s="68"/>
      <c r="O156" s="68"/>
      <c r="P156" s="68"/>
      <c r="Q156" s="68"/>
      <c r="R156" s="68"/>
      <c r="S156" s="68"/>
      <c r="T156" s="68"/>
      <c r="U156" s="435"/>
      <c r="V156" s="54"/>
      <c r="W156" s="54"/>
      <c r="X156" s="54"/>
      <c r="Y156" s="54"/>
      <c r="Z156" s="54"/>
      <c r="AA156" s="55"/>
      <c r="AB156" s="55"/>
      <c r="AC156" s="55"/>
      <c r="AD156" s="55"/>
      <c r="AE156" s="54"/>
      <c r="AF156" s="54"/>
      <c r="AG156" s="54"/>
      <c r="AH156" s="54"/>
      <c r="AI156" s="55"/>
      <c r="AJ156" s="54"/>
      <c r="AW156" s="18">
        <f t="shared" si="6"/>
        <v>0</v>
      </c>
    </row>
    <row r="157" spans="10:49" ht="15">
      <c r="J157" s="398"/>
      <c r="K157" s="54"/>
      <c r="L157" s="398"/>
      <c r="M157" s="471"/>
      <c r="N157" s="68"/>
      <c r="O157" s="68"/>
      <c r="P157" s="68"/>
      <c r="Q157" s="68"/>
      <c r="R157" s="68"/>
      <c r="S157" s="68"/>
      <c r="T157" s="68"/>
      <c r="U157" s="435"/>
      <c r="V157" s="54"/>
      <c r="W157" s="54"/>
      <c r="X157" s="54"/>
      <c r="Y157" s="54"/>
      <c r="Z157" s="54"/>
      <c r="AA157" s="55"/>
      <c r="AB157" s="55"/>
      <c r="AC157" s="55"/>
      <c r="AD157" s="55"/>
      <c r="AE157" s="54"/>
      <c r="AF157" s="54"/>
      <c r="AG157" s="54"/>
      <c r="AH157" s="54"/>
      <c r="AI157" s="55"/>
      <c r="AJ157" s="54"/>
      <c r="AW157" s="18">
        <f t="shared" si="6"/>
        <v>0</v>
      </c>
    </row>
    <row r="158" spans="10:49" ht="15">
      <c r="J158" s="398"/>
      <c r="K158" s="54"/>
      <c r="L158" s="398"/>
      <c r="M158" s="471"/>
      <c r="N158" s="68"/>
      <c r="O158" s="68"/>
      <c r="P158" s="68"/>
      <c r="Q158" s="68"/>
      <c r="R158" s="68"/>
      <c r="S158" s="68"/>
      <c r="T158" s="68"/>
      <c r="U158" s="435"/>
      <c r="V158" s="54"/>
      <c r="W158" s="54"/>
      <c r="X158" s="54"/>
      <c r="Y158" s="54"/>
      <c r="Z158" s="54"/>
      <c r="AA158" s="55"/>
      <c r="AB158" s="55"/>
      <c r="AC158" s="55"/>
      <c r="AD158" s="55"/>
      <c r="AE158" s="54"/>
      <c r="AF158" s="54"/>
      <c r="AG158" s="54"/>
      <c r="AH158" s="54"/>
      <c r="AI158" s="55"/>
      <c r="AJ158" s="54"/>
      <c r="AW158" s="18">
        <f t="shared" si="6"/>
        <v>0</v>
      </c>
    </row>
    <row r="159" spans="10:49" ht="15">
      <c r="J159" s="398"/>
      <c r="K159" s="54"/>
      <c r="L159" s="398"/>
      <c r="M159" s="471"/>
      <c r="N159" s="68"/>
      <c r="O159" s="68"/>
      <c r="P159" s="68"/>
      <c r="Q159" s="68"/>
      <c r="R159" s="68"/>
      <c r="S159" s="68"/>
      <c r="T159" s="68"/>
      <c r="U159" s="435"/>
      <c r="V159" s="54"/>
      <c r="W159" s="54"/>
      <c r="X159" s="54"/>
      <c r="Y159" s="54"/>
      <c r="Z159" s="54"/>
      <c r="AA159" s="55"/>
      <c r="AB159" s="55"/>
      <c r="AC159" s="55"/>
      <c r="AD159" s="55"/>
      <c r="AE159" s="54"/>
      <c r="AF159" s="54"/>
      <c r="AG159" s="54"/>
      <c r="AH159" s="54"/>
      <c r="AI159" s="55"/>
      <c r="AJ159" s="54"/>
      <c r="AW159" s="18">
        <f t="shared" si="6"/>
        <v>0</v>
      </c>
    </row>
    <row r="160" spans="10:49" ht="15">
      <c r="J160" s="398"/>
      <c r="K160" s="54"/>
      <c r="L160" s="398"/>
      <c r="M160" s="471"/>
      <c r="N160" s="68"/>
      <c r="O160" s="68"/>
      <c r="P160" s="68"/>
      <c r="Q160" s="68"/>
      <c r="R160" s="68"/>
      <c r="S160" s="68"/>
      <c r="T160" s="68"/>
      <c r="U160" s="435"/>
      <c r="V160" s="54"/>
      <c r="W160" s="54"/>
      <c r="X160" s="54"/>
      <c r="Y160" s="54"/>
      <c r="Z160" s="54"/>
      <c r="AA160" s="55"/>
      <c r="AB160" s="55"/>
      <c r="AC160" s="55"/>
      <c r="AD160" s="55"/>
      <c r="AE160" s="54"/>
      <c r="AF160" s="54"/>
      <c r="AG160" s="54"/>
      <c r="AH160" s="54"/>
      <c r="AI160" s="55"/>
      <c r="AJ160" s="54"/>
      <c r="AW160" s="18">
        <f t="shared" si="6"/>
        <v>0</v>
      </c>
    </row>
    <row r="161" spans="10:49" ht="15">
      <c r="J161" s="398"/>
      <c r="K161" s="54"/>
      <c r="L161" s="398"/>
      <c r="M161" s="471"/>
      <c r="N161" s="68"/>
      <c r="O161" s="68"/>
      <c r="P161" s="68"/>
      <c r="Q161" s="68"/>
      <c r="R161" s="68"/>
      <c r="S161" s="68"/>
      <c r="T161" s="68"/>
      <c r="U161" s="435"/>
      <c r="V161" s="54"/>
      <c r="W161" s="54"/>
      <c r="X161" s="54"/>
      <c r="Y161" s="54"/>
      <c r="Z161" s="54"/>
      <c r="AA161" s="55"/>
      <c r="AB161" s="55"/>
      <c r="AC161" s="55"/>
      <c r="AD161" s="55"/>
      <c r="AE161" s="54"/>
      <c r="AF161" s="54"/>
      <c r="AG161" s="54"/>
      <c r="AH161" s="54"/>
      <c r="AI161" s="55"/>
      <c r="AJ161" s="54"/>
      <c r="AW161" s="18">
        <f t="shared" si="6"/>
        <v>0</v>
      </c>
    </row>
    <row r="162" spans="10:49" ht="15">
      <c r="J162" s="398"/>
      <c r="K162" s="54"/>
      <c r="L162" s="398"/>
      <c r="M162" s="471"/>
      <c r="N162" s="68"/>
      <c r="O162" s="68"/>
      <c r="P162" s="68"/>
      <c r="Q162" s="68"/>
      <c r="R162" s="68"/>
      <c r="S162" s="68"/>
      <c r="T162" s="68"/>
      <c r="U162" s="435"/>
      <c r="V162" s="54"/>
      <c r="W162" s="54"/>
      <c r="X162" s="54"/>
      <c r="Y162" s="54"/>
      <c r="Z162" s="54"/>
      <c r="AA162" s="55"/>
      <c r="AB162" s="55"/>
      <c r="AC162" s="55"/>
      <c r="AD162" s="55"/>
      <c r="AE162" s="54"/>
      <c r="AF162" s="54"/>
      <c r="AG162" s="54"/>
      <c r="AH162" s="54"/>
      <c r="AI162" s="55"/>
      <c r="AJ162" s="54"/>
      <c r="AW162" s="18">
        <f t="shared" si="6"/>
        <v>0</v>
      </c>
    </row>
    <row r="163" spans="10:49" ht="15">
      <c r="J163" s="398"/>
      <c r="K163" s="54"/>
      <c r="L163" s="56"/>
      <c r="M163" s="56"/>
      <c r="N163" s="68"/>
      <c r="O163" s="68"/>
      <c r="P163" s="68"/>
      <c r="Q163" s="68"/>
      <c r="R163" s="68"/>
      <c r="S163" s="68"/>
      <c r="T163" s="68"/>
      <c r="U163" s="435"/>
      <c r="V163" s="54"/>
      <c r="W163" s="54"/>
      <c r="X163" s="54"/>
      <c r="Y163" s="54"/>
      <c r="Z163" s="54"/>
      <c r="AA163" s="55"/>
      <c r="AB163" s="55"/>
      <c r="AC163" s="55"/>
      <c r="AD163" s="55"/>
      <c r="AE163" s="54"/>
      <c r="AF163" s="54"/>
      <c r="AG163" s="54"/>
      <c r="AH163" s="54"/>
      <c r="AI163" s="55"/>
      <c r="AJ163" s="54"/>
      <c r="AW163" s="18">
        <f t="shared" si="6"/>
        <v>0</v>
      </c>
    </row>
    <row r="164" spans="10:49" ht="15">
      <c r="J164" s="398"/>
      <c r="K164" s="54"/>
      <c r="L164" s="56"/>
      <c r="M164" s="56"/>
      <c r="N164" s="68"/>
      <c r="O164" s="68"/>
      <c r="P164" s="68"/>
      <c r="Q164" s="68"/>
      <c r="R164" s="68"/>
      <c r="S164" s="68"/>
      <c r="T164" s="68"/>
      <c r="U164" s="435"/>
      <c r="V164" s="54"/>
      <c r="W164" s="54"/>
      <c r="X164" s="54"/>
      <c r="Y164" s="54"/>
      <c r="Z164" s="54"/>
      <c r="AA164" s="55"/>
      <c r="AB164" s="55"/>
      <c r="AC164" s="55"/>
      <c r="AD164" s="55"/>
      <c r="AE164" s="54"/>
      <c r="AF164" s="54"/>
      <c r="AG164" s="54"/>
      <c r="AH164" s="54"/>
      <c r="AI164" s="55"/>
      <c r="AJ164" s="54"/>
      <c r="AW164" s="18">
        <f t="shared" si="6"/>
        <v>0</v>
      </c>
    </row>
    <row r="165" spans="10:49" ht="15">
      <c r="J165" s="398"/>
      <c r="K165" s="54"/>
      <c r="L165" s="398"/>
      <c r="M165" s="471"/>
      <c r="N165" s="68"/>
      <c r="O165" s="68"/>
      <c r="P165" s="68"/>
      <c r="Q165" s="68"/>
      <c r="R165" s="68"/>
      <c r="S165" s="68"/>
      <c r="T165" s="68"/>
      <c r="U165" s="435"/>
      <c r="V165" s="54"/>
      <c r="W165" s="54"/>
      <c r="X165" s="54"/>
      <c r="Y165" s="54"/>
      <c r="Z165" s="54"/>
      <c r="AA165" s="55"/>
      <c r="AB165" s="55"/>
      <c r="AC165" s="55"/>
      <c r="AD165" s="55"/>
      <c r="AE165" s="54"/>
      <c r="AF165" s="54"/>
      <c r="AG165" s="54"/>
      <c r="AH165" s="54"/>
      <c r="AI165" s="55"/>
      <c r="AJ165" s="54"/>
      <c r="AW165" s="18">
        <f t="shared" si="6"/>
        <v>0</v>
      </c>
    </row>
    <row r="166" spans="10:49" ht="15">
      <c r="J166" s="687"/>
      <c r="K166" s="54"/>
      <c r="L166" s="687"/>
      <c r="M166" s="471"/>
      <c r="N166" s="68"/>
      <c r="O166" s="68"/>
      <c r="P166" s="68"/>
      <c r="Q166" s="68"/>
      <c r="R166" s="68"/>
      <c r="S166" s="68"/>
      <c r="T166" s="68"/>
      <c r="U166" s="435"/>
      <c r="V166" s="54"/>
      <c r="W166" s="54"/>
      <c r="X166" s="54"/>
      <c r="Y166" s="54"/>
      <c r="Z166" s="54"/>
      <c r="AA166" s="54"/>
      <c r="AB166" s="54"/>
      <c r="AC166" s="54"/>
      <c r="AD166" s="54"/>
      <c r="AE166" s="54"/>
      <c r="AF166" s="54"/>
      <c r="AG166" s="54"/>
      <c r="AH166" s="54"/>
      <c r="AI166" s="54"/>
      <c r="AJ166" s="54"/>
      <c r="AW166" s="18">
        <f t="shared" si="6"/>
        <v>0</v>
      </c>
    </row>
    <row r="167" spans="10:49" ht="15">
      <c r="J167" s="687"/>
      <c r="K167" s="54"/>
      <c r="L167" s="687"/>
      <c r="M167" s="471"/>
      <c r="N167" s="68"/>
      <c r="O167" s="68"/>
      <c r="P167" s="68"/>
      <c r="Q167" s="68"/>
      <c r="R167" s="68"/>
      <c r="S167" s="68"/>
      <c r="T167" s="68"/>
      <c r="U167" s="435"/>
      <c r="V167" s="54"/>
      <c r="W167" s="54"/>
      <c r="X167" s="54"/>
      <c r="Y167" s="54"/>
      <c r="Z167" s="54"/>
      <c r="AA167" s="54"/>
      <c r="AB167" s="54"/>
      <c r="AC167" s="54"/>
      <c r="AD167" s="54"/>
      <c r="AE167" s="54"/>
      <c r="AF167" s="54"/>
      <c r="AG167" s="54"/>
      <c r="AH167" s="54"/>
      <c r="AI167" s="54"/>
      <c r="AJ167" s="54"/>
      <c r="AW167" s="18">
        <f t="shared" si="6"/>
        <v>0</v>
      </c>
    </row>
    <row r="168" spans="10:49" ht="15">
      <c r="J168" s="687"/>
      <c r="K168" s="54"/>
      <c r="L168" s="687"/>
      <c r="M168" s="471"/>
      <c r="N168" s="68"/>
      <c r="O168" s="68"/>
      <c r="P168" s="68"/>
      <c r="Q168" s="68"/>
      <c r="R168" s="68"/>
      <c r="S168" s="68"/>
      <c r="T168" s="68"/>
      <c r="U168" s="435"/>
      <c r="V168" s="54"/>
      <c r="W168" s="54"/>
      <c r="X168" s="54"/>
      <c r="Y168" s="54"/>
      <c r="Z168" s="54"/>
      <c r="AA168" s="54"/>
      <c r="AB168" s="54"/>
      <c r="AC168" s="54"/>
      <c r="AD168" s="54"/>
      <c r="AE168" s="54"/>
      <c r="AF168" s="54"/>
      <c r="AG168" s="54"/>
      <c r="AH168" s="54"/>
      <c r="AI168" s="54"/>
      <c r="AJ168" s="54"/>
      <c r="AW168" s="18">
        <f t="shared" si="6"/>
        <v>0</v>
      </c>
    </row>
    <row r="169" spans="10:49" ht="15">
      <c r="J169" s="687"/>
      <c r="K169" s="54"/>
      <c r="L169" s="687"/>
      <c r="M169" s="471"/>
      <c r="N169" s="68"/>
      <c r="O169" s="68"/>
      <c r="P169" s="68"/>
      <c r="Q169" s="68"/>
      <c r="R169" s="68"/>
      <c r="S169" s="68"/>
      <c r="T169" s="68"/>
      <c r="U169" s="435"/>
      <c r="V169" s="54"/>
      <c r="W169" s="54"/>
      <c r="X169" s="54"/>
      <c r="Y169" s="54"/>
      <c r="Z169" s="54"/>
      <c r="AA169" s="54"/>
      <c r="AB169" s="54"/>
      <c r="AC169" s="54"/>
      <c r="AD169" s="54"/>
      <c r="AE169" s="54"/>
      <c r="AF169" s="54"/>
      <c r="AG169" s="54"/>
      <c r="AH169" s="54"/>
      <c r="AI169" s="54"/>
      <c r="AJ169" s="54"/>
      <c r="AW169" s="18">
        <f t="shared" si="6"/>
        <v>0</v>
      </c>
    </row>
    <row r="170" spans="10:49" ht="15">
      <c r="J170" s="687"/>
      <c r="K170" s="54"/>
      <c r="L170" s="687"/>
      <c r="M170" s="471"/>
      <c r="N170" s="68"/>
      <c r="O170" s="68"/>
      <c r="P170" s="68"/>
      <c r="Q170" s="68"/>
      <c r="R170" s="68"/>
      <c r="S170" s="68"/>
      <c r="T170" s="68"/>
      <c r="U170" s="435"/>
      <c r="V170" s="54"/>
      <c r="W170" s="54"/>
      <c r="X170" s="54"/>
      <c r="Y170" s="54"/>
      <c r="Z170" s="54"/>
      <c r="AA170" s="54"/>
      <c r="AB170" s="54"/>
      <c r="AC170" s="54"/>
      <c r="AD170" s="54"/>
      <c r="AE170" s="54"/>
      <c r="AF170" s="54"/>
      <c r="AG170" s="54"/>
      <c r="AH170" s="54"/>
      <c r="AI170" s="54"/>
      <c r="AJ170" s="54"/>
      <c r="AW170" s="18">
        <f t="shared" si="6"/>
        <v>0</v>
      </c>
    </row>
    <row r="171" spans="10:49" ht="15">
      <c r="J171" s="687"/>
      <c r="K171" s="54"/>
      <c r="L171" s="687"/>
      <c r="M171" s="471"/>
      <c r="N171" s="68"/>
      <c r="O171" s="68"/>
      <c r="P171" s="68"/>
      <c r="Q171" s="68"/>
      <c r="R171" s="68"/>
      <c r="S171" s="68"/>
      <c r="T171" s="68"/>
      <c r="U171" s="435"/>
      <c r="V171" s="54"/>
      <c r="W171" s="54"/>
      <c r="X171" s="54"/>
      <c r="Y171" s="54"/>
      <c r="Z171" s="54"/>
      <c r="AA171" s="54"/>
      <c r="AB171" s="54"/>
      <c r="AC171" s="54"/>
      <c r="AD171" s="54"/>
      <c r="AE171" s="54"/>
      <c r="AF171" s="54"/>
      <c r="AG171" s="54"/>
      <c r="AH171" s="54"/>
      <c r="AI171" s="54"/>
      <c r="AJ171" s="54"/>
      <c r="AW171" s="18">
        <f t="shared" si="6"/>
        <v>0</v>
      </c>
    </row>
    <row r="172" spans="10:49" ht="15">
      <c r="J172" s="687"/>
      <c r="K172" s="54"/>
      <c r="L172" s="687"/>
      <c r="M172" s="471"/>
      <c r="N172" s="68"/>
      <c r="O172" s="68"/>
      <c r="P172" s="68"/>
      <c r="Q172" s="68"/>
      <c r="R172" s="68"/>
      <c r="S172" s="68"/>
      <c r="T172" s="68"/>
      <c r="U172" s="435"/>
      <c r="V172" s="54"/>
      <c r="W172" s="54"/>
      <c r="X172" s="54"/>
      <c r="Y172" s="54"/>
      <c r="Z172" s="54"/>
      <c r="AA172" s="54"/>
      <c r="AB172" s="54"/>
      <c r="AC172" s="54"/>
      <c r="AD172" s="54"/>
      <c r="AE172" s="54"/>
      <c r="AF172" s="54"/>
      <c r="AG172" s="54"/>
      <c r="AH172" s="54"/>
      <c r="AI172" s="54"/>
      <c r="AJ172" s="54"/>
      <c r="AW172" s="18">
        <f t="shared" si="6"/>
        <v>0</v>
      </c>
    </row>
    <row r="173" spans="10:49" ht="15">
      <c r="J173" s="687"/>
      <c r="K173" s="54"/>
      <c r="L173" s="687"/>
      <c r="M173" s="471"/>
      <c r="N173" s="68"/>
      <c r="O173" s="68"/>
      <c r="P173" s="68"/>
      <c r="Q173" s="68"/>
      <c r="R173" s="68"/>
      <c r="S173" s="68"/>
      <c r="T173" s="68"/>
      <c r="U173" s="435"/>
      <c r="V173" s="54"/>
      <c r="W173" s="54"/>
      <c r="X173" s="54"/>
      <c r="Y173" s="54"/>
      <c r="Z173" s="54"/>
      <c r="AA173" s="54"/>
      <c r="AB173" s="54"/>
      <c r="AC173" s="54"/>
      <c r="AD173" s="54"/>
      <c r="AE173" s="54"/>
      <c r="AF173" s="54"/>
      <c r="AG173" s="54"/>
      <c r="AH173" s="54"/>
      <c r="AI173" s="54"/>
      <c r="AJ173" s="54"/>
      <c r="AW173" s="18">
        <f t="shared" si="6"/>
        <v>0</v>
      </c>
    </row>
    <row r="174" spans="10:49" ht="15">
      <c r="J174" s="687"/>
      <c r="K174" s="54"/>
      <c r="L174" s="687"/>
      <c r="M174" s="471"/>
      <c r="N174" s="68"/>
      <c r="O174" s="68"/>
      <c r="P174" s="68"/>
      <c r="Q174" s="68"/>
      <c r="R174" s="68"/>
      <c r="S174" s="68"/>
      <c r="T174" s="68"/>
      <c r="U174" s="435"/>
      <c r="V174" s="54"/>
      <c r="W174" s="54"/>
      <c r="X174" s="54"/>
      <c r="Y174" s="54"/>
      <c r="Z174" s="54"/>
      <c r="AA174" s="54"/>
      <c r="AB174" s="54"/>
      <c r="AC174" s="54"/>
      <c r="AD174" s="54"/>
      <c r="AE174" s="54"/>
      <c r="AF174" s="54"/>
      <c r="AG174" s="54"/>
      <c r="AH174" s="54"/>
      <c r="AI174" s="54"/>
      <c r="AJ174" s="54"/>
      <c r="AW174" s="18">
        <f t="shared" ref="AW174:AW237" si="7">LEN(L174)</f>
        <v>0</v>
      </c>
    </row>
    <row r="175" spans="10:49" ht="15">
      <c r="J175" s="687"/>
      <c r="K175" s="54"/>
      <c r="L175" s="687"/>
      <c r="M175" s="471"/>
      <c r="N175" s="68"/>
      <c r="O175" s="68"/>
      <c r="P175" s="68"/>
      <c r="Q175" s="68"/>
      <c r="R175" s="68"/>
      <c r="S175" s="68"/>
      <c r="T175" s="68"/>
      <c r="U175" s="435"/>
      <c r="V175" s="54"/>
      <c r="W175" s="54"/>
      <c r="X175" s="54"/>
      <c r="Y175" s="54"/>
      <c r="Z175" s="54"/>
      <c r="AA175" s="54"/>
      <c r="AB175" s="54"/>
      <c r="AC175" s="54"/>
      <c r="AD175" s="54"/>
      <c r="AE175" s="54"/>
      <c r="AF175" s="54"/>
      <c r="AG175" s="54"/>
      <c r="AH175" s="54"/>
      <c r="AI175" s="54"/>
      <c r="AJ175" s="54"/>
      <c r="AW175" s="18">
        <f t="shared" si="7"/>
        <v>0</v>
      </c>
    </row>
    <row r="176" spans="10:49" ht="15">
      <c r="J176" s="687"/>
      <c r="K176" s="54"/>
      <c r="L176" s="687"/>
      <c r="M176" s="471"/>
      <c r="N176" s="68"/>
      <c r="O176" s="68"/>
      <c r="P176" s="68"/>
      <c r="Q176" s="68"/>
      <c r="R176" s="68"/>
      <c r="S176" s="68"/>
      <c r="T176" s="68"/>
      <c r="U176" s="435"/>
      <c r="V176" s="54"/>
      <c r="W176" s="54"/>
      <c r="X176" s="54"/>
      <c r="Y176" s="54"/>
      <c r="Z176" s="54"/>
      <c r="AA176" s="54"/>
      <c r="AB176" s="54"/>
      <c r="AC176" s="54"/>
      <c r="AD176" s="54"/>
      <c r="AE176" s="54"/>
      <c r="AF176" s="54"/>
      <c r="AG176" s="54"/>
      <c r="AH176" s="54"/>
      <c r="AI176" s="54"/>
      <c r="AJ176" s="54"/>
      <c r="AW176" s="18">
        <f t="shared" si="7"/>
        <v>0</v>
      </c>
    </row>
    <row r="177" spans="10:49" ht="15">
      <c r="J177" s="687"/>
      <c r="K177" s="54"/>
      <c r="L177" s="687"/>
      <c r="M177" s="471"/>
      <c r="N177" s="68"/>
      <c r="O177" s="68"/>
      <c r="P177" s="68"/>
      <c r="Q177" s="68"/>
      <c r="R177" s="68"/>
      <c r="S177" s="68"/>
      <c r="T177" s="68"/>
      <c r="U177" s="435"/>
      <c r="V177" s="54"/>
      <c r="W177" s="54"/>
      <c r="X177" s="54"/>
      <c r="Y177" s="54"/>
      <c r="Z177" s="54"/>
      <c r="AA177" s="54"/>
      <c r="AB177" s="54"/>
      <c r="AC177" s="54"/>
      <c r="AD177" s="54"/>
      <c r="AE177" s="54"/>
      <c r="AF177" s="54"/>
      <c r="AG177" s="54"/>
      <c r="AH177" s="54"/>
      <c r="AI177" s="54"/>
      <c r="AJ177" s="54"/>
      <c r="AW177" s="18">
        <f t="shared" si="7"/>
        <v>0</v>
      </c>
    </row>
    <row r="178" spans="10:49" ht="15">
      <c r="J178" s="687"/>
      <c r="K178" s="54"/>
      <c r="L178" s="687"/>
      <c r="M178" s="471"/>
      <c r="N178" s="68"/>
      <c r="O178" s="68"/>
      <c r="P178" s="68"/>
      <c r="Q178" s="68"/>
      <c r="R178" s="68"/>
      <c r="S178" s="68"/>
      <c r="T178" s="68"/>
      <c r="U178" s="435"/>
      <c r="V178" s="54"/>
      <c r="W178" s="54"/>
      <c r="X178" s="54"/>
      <c r="Y178" s="54"/>
      <c r="Z178" s="54"/>
      <c r="AA178" s="54"/>
      <c r="AB178" s="54"/>
      <c r="AC178" s="54"/>
      <c r="AD178" s="54"/>
      <c r="AE178" s="54"/>
      <c r="AF178" s="54"/>
      <c r="AG178" s="54"/>
      <c r="AH178" s="54"/>
      <c r="AI178" s="54"/>
      <c r="AJ178" s="54"/>
      <c r="AW178" s="18">
        <f t="shared" si="7"/>
        <v>0</v>
      </c>
    </row>
    <row r="179" spans="10:49" ht="15">
      <c r="J179" s="687"/>
      <c r="K179" s="54"/>
      <c r="L179" s="687"/>
      <c r="M179" s="471"/>
      <c r="N179" s="68"/>
      <c r="O179" s="68"/>
      <c r="P179" s="68"/>
      <c r="Q179" s="68"/>
      <c r="R179" s="68"/>
      <c r="S179" s="68"/>
      <c r="T179" s="68"/>
      <c r="U179" s="435"/>
      <c r="V179" s="54"/>
      <c r="W179" s="54"/>
      <c r="X179" s="54"/>
      <c r="Y179" s="54"/>
      <c r="Z179" s="54"/>
      <c r="AA179" s="54"/>
      <c r="AB179" s="54"/>
      <c r="AC179" s="54"/>
      <c r="AD179" s="54"/>
      <c r="AE179" s="54"/>
      <c r="AF179" s="54"/>
      <c r="AG179" s="54"/>
      <c r="AH179" s="54"/>
      <c r="AI179" s="54"/>
      <c r="AJ179" s="54"/>
      <c r="AW179" s="18">
        <f t="shared" si="7"/>
        <v>0</v>
      </c>
    </row>
    <row r="180" spans="10:49" ht="15">
      <c r="J180" s="687"/>
      <c r="K180" s="54"/>
      <c r="L180" s="687"/>
      <c r="M180" s="471"/>
      <c r="N180" s="68"/>
      <c r="O180" s="68"/>
      <c r="P180" s="68"/>
      <c r="Q180" s="68"/>
      <c r="R180" s="68"/>
      <c r="S180" s="68"/>
      <c r="T180" s="68"/>
      <c r="U180" s="435"/>
      <c r="V180" s="54"/>
      <c r="W180" s="54"/>
      <c r="X180" s="54"/>
      <c r="Y180" s="54"/>
      <c r="Z180" s="54"/>
      <c r="AA180" s="54"/>
      <c r="AB180" s="54"/>
      <c r="AC180" s="54"/>
      <c r="AD180" s="54"/>
      <c r="AE180" s="54"/>
      <c r="AF180" s="54"/>
      <c r="AG180" s="54"/>
      <c r="AH180" s="54"/>
      <c r="AI180" s="54"/>
      <c r="AJ180" s="54"/>
      <c r="AW180" s="18">
        <f t="shared" si="7"/>
        <v>0</v>
      </c>
    </row>
    <row r="181" spans="10:49" ht="15">
      <c r="J181" s="687"/>
      <c r="K181" s="54"/>
      <c r="L181" s="687"/>
      <c r="M181" s="471"/>
      <c r="N181" s="68"/>
      <c r="O181" s="68"/>
      <c r="P181" s="68"/>
      <c r="Q181" s="68"/>
      <c r="R181" s="68"/>
      <c r="S181" s="68"/>
      <c r="T181" s="68"/>
      <c r="U181" s="435"/>
      <c r="V181" s="54"/>
      <c r="W181" s="54"/>
      <c r="X181" s="54"/>
      <c r="Y181" s="54"/>
      <c r="Z181" s="54"/>
      <c r="AA181" s="54"/>
      <c r="AB181" s="54"/>
      <c r="AC181" s="54"/>
      <c r="AD181" s="54"/>
      <c r="AE181" s="54"/>
      <c r="AF181" s="54"/>
      <c r="AG181" s="54"/>
      <c r="AH181" s="54"/>
      <c r="AI181" s="54"/>
      <c r="AJ181" s="54"/>
      <c r="AW181" s="18">
        <f t="shared" si="7"/>
        <v>0</v>
      </c>
    </row>
    <row r="182" spans="10:49" ht="15">
      <c r="J182" s="687"/>
      <c r="K182" s="54"/>
      <c r="L182" s="687"/>
      <c r="M182" s="471"/>
      <c r="N182" s="68"/>
      <c r="O182" s="68"/>
      <c r="P182" s="68"/>
      <c r="Q182" s="68"/>
      <c r="R182" s="68"/>
      <c r="S182" s="68"/>
      <c r="T182" s="68"/>
      <c r="U182" s="435"/>
      <c r="V182" s="54"/>
      <c r="W182" s="54"/>
      <c r="X182" s="54"/>
      <c r="Y182" s="54"/>
      <c r="Z182" s="54"/>
      <c r="AA182" s="54"/>
      <c r="AB182" s="54"/>
      <c r="AC182" s="54"/>
      <c r="AD182" s="54"/>
      <c r="AE182" s="54"/>
      <c r="AF182" s="54"/>
      <c r="AG182" s="54"/>
      <c r="AH182" s="54"/>
      <c r="AI182" s="54"/>
      <c r="AJ182" s="54"/>
      <c r="AW182" s="18">
        <f t="shared" si="7"/>
        <v>0</v>
      </c>
    </row>
    <row r="183" spans="10:49" ht="15">
      <c r="J183" s="687"/>
      <c r="K183" s="54"/>
      <c r="L183" s="687"/>
      <c r="M183" s="471"/>
      <c r="N183" s="68"/>
      <c r="O183" s="68"/>
      <c r="P183" s="68"/>
      <c r="Q183" s="68"/>
      <c r="R183" s="68"/>
      <c r="S183" s="68"/>
      <c r="T183" s="68"/>
      <c r="U183" s="435"/>
      <c r="V183" s="54"/>
      <c r="W183" s="54"/>
      <c r="X183" s="54"/>
      <c r="Y183" s="54"/>
      <c r="Z183" s="54"/>
      <c r="AA183" s="54"/>
      <c r="AB183" s="54"/>
      <c r="AC183" s="54"/>
      <c r="AD183" s="54"/>
      <c r="AE183" s="54"/>
      <c r="AF183" s="54"/>
      <c r="AG183" s="54"/>
      <c r="AH183" s="54"/>
      <c r="AI183" s="54"/>
      <c r="AJ183" s="54"/>
      <c r="AW183" s="18">
        <f t="shared" si="7"/>
        <v>0</v>
      </c>
    </row>
    <row r="184" spans="10:49" ht="15">
      <c r="J184" s="687"/>
      <c r="K184" s="54"/>
      <c r="L184" s="687"/>
      <c r="M184" s="471"/>
      <c r="N184" s="68"/>
      <c r="O184" s="68"/>
      <c r="P184" s="68"/>
      <c r="Q184" s="68"/>
      <c r="R184" s="68"/>
      <c r="S184" s="68"/>
      <c r="T184" s="68"/>
      <c r="U184" s="435"/>
      <c r="V184" s="54"/>
      <c r="W184" s="54"/>
      <c r="X184" s="54"/>
      <c r="Y184" s="54"/>
      <c r="Z184" s="54"/>
      <c r="AA184" s="54"/>
      <c r="AB184" s="54"/>
      <c r="AC184" s="54"/>
      <c r="AD184" s="54"/>
      <c r="AE184" s="54"/>
      <c r="AF184" s="54"/>
      <c r="AG184" s="54"/>
      <c r="AH184" s="54"/>
      <c r="AI184" s="54"/>
      <c r="AJ184" s="54"/>
      <c r="AW184" s="18">
        <f t="shared" si="7"/>
        <v>0</v>
      </c>
    </row>
    <row r="185" spans="10:49" ht="15">
      <c r="J185" s="687"/>
      <c r="K185" s="54"/>
      <c r="L185" s="687"/>
      <c r="M185" s="471"/>
      <c r="N185" s="68"/>
      <c r="O185" s="68"/>
      <c r="P185" s="68"/>
      <c r="Q185" s="68"/>
      <c r="R185" s="68"/>
      <c r="S185" s="68"/>
      <c r="T185" s="68"/>
      <c r="U185" s="435"/>
      <c r="V185" s="54"/>
      <c r="W185" s="54"/>
      <c r="X185" s="54"/>
      <c r="Y185" s="54"/>
      <c r="Z185" s="54"/>
      <c r="AA185" s="54"/>
      <c r="AB185" s="54"/>
      <c r="AC185" s="54"/>
      <c r="AD185" s="54"/>
      <c r="AE185" s="54"/>
      <c r="AF185" s="54"/>
      <c r="AG185" s="54"/>
      <c r="AH185" s="54"/>
      <c r="AI185" s="54"/>
      <c r="AJ185" s="54"/>
      <c r="AW185" s="18">
        <f t="shared" si="7"/>
        <v>0</v>
      </c>
    </row>
    <row r="186" spans="10:49" ht="15">
      <c r="J186" s="687"/>
      <c r="K186" s="54"/>
      <c r="L186" s="687"/>
      <c r="M186" s="471"/>
      <c r="N186" s="68"/>
      <c r="O186" s="68"/>
      <c r="P186" s="68"/>
      <c r="Q186" s="68"/>
      <c r="R186" s="68"/>
      <c r="S186" s="68"/>
      <c r="T186" s="68"/>
      <c r="U186" s="435"/>
      <c r="V186" s="54"/>
      <c r="W186" s="54"/>
      <c r="X186" s="54"/>
      <c r="Y186" s="54"/>
      <c r="Z186" s="54"/>
      <c r="AA186" s="54"/>
      <c r="AB186" s="54"/>
      <c r="AC186" s="54"/>
      <c r="AD186" s="54"/>
      <c r="AE186" s="54"/>
      <c r="AF186" s="54"/>
      <c r="AG186" s="54"/>
      <c r="AH186" s="54"/>
      <c r="AI186" s="54"/>
      <c r="AJ186" s="54"/>
      <c r="AW186" s="18">
        <f t="shared" si="7"/>
        <v>0</v>
      </c>
    </row>
    <row r="187" spans="10:49" ht="15">
      <c r="J187" s="687"/>
      <c r="K187" s="54"/>
      <c r="L187" s="687"/>
      <c r="M187" s="471"/>
      <c r="N187" s="68"/>
      <c r="O187" s="68"/>
      <c r="P187" s="68"/>
      <c r="Q187" s="68"/>
      <c r="R187" s="68"/>
      <c r="S187" s="68"/>
      <c r="T187" s="68"/>
      <c r="U187" s="435"/>
      <c r="V187" s="54"/>
      <c r="W187" s="54"/>
      <c r="X187" s="54"/>
      <c r="Y187" s="54"/>
      <c r="Z187" s="54"/>
      <c r="AA187" s="54"/>
      <c r="AB187" s="54"/>
      <c r="AC187" s="54"/>
      <c r="AD187" s="54"/>
      <c r="AE187" s="54"/>
      <c r="AF187" s="54"/>
      <c r="AG187" s="54"/>
      <c r="AH187" s="54"/>
      <c r="AI187" s="54"/>
      <c r="AJ187" s="54"/>
      <c r="AW187" s="18">
        <f t="shared" si="7"/>
        <v>0</v>
      </c>
    </row>
    <row r="188" spans="10:49" ht="15">
      <c r="J188" s="687"/>
      <c r="K188" s="54"/>
      <c r="L188" s="687"/>
      <c r="M188" s="471"/>
      <c r="N188" s="68"/>
      <c r="O188" s="68"/>
      <c r="P188" s="68"/>
      <c r="Q188" s="68"/>
      <c r="R188" s="68"/>
      <c r="S188" s="68"/>
      <c r="T188" s="68"/>
      <c r="U188" s="435"/>
      <c r="V188" s="54"/>
      <c r="W188" s="54"/>
      <c r="X188" s="54"/>
      <c r="Y188" s="54"/>
      <c r="Z188" s="54"/>
      <c r="AA188" s="54"/>
      <c r="AB188" s="54"/>
      <c r="AC188" s="54"/>
      <c r="AD188" s="54"/>
      <c r="AE188" s="54"/>
      <c r="AF188" s="54"/>
      <c r="AG188" s="54"/>
      <c r="AH188" s="54"/>
      <c r="AI188" s="54"/>
      <c r="AJ188" s="54"/>
      <c r="AW188" s="18">
        <f t="shared" si="7"/>
        <v>0</v>
      </c>
    </row>
    <row r="189" spans="10:49" ht="15">
      <c r="J189" s="687"/>
      <c r="K189" s="54"/>
      <c r="L189" s="687"/>
      <c r="M189" s="471"/>
      <c r="N189" s="68"/>
      <c r="O189" s="68"/>
      <c r="P189" s="68"/>
      <c r="Q189" s="68"/>
      <c r="R189" s="68"/>
      <c r="S189" s="68"/>
      <c r="T189" s="68"/>
      <c r="U189" s="435"/>
      <c r="V189" s="54"/>
      <c r="W189" s="54"/>
      <c r="X189" s="54"/>
      <c r="Y189" s="54"/>
      <c r="Z189" s="54"/>
      <c r="AA189" s="54"/>
      <c r="AB189" s="54"/>
      <c r="AC189" s="54"/>
      <c r="AD189" s="54"/>
      <c r="AE189" s="54"/>
      <c r="AF189" s="54"/>
      <c r="AG189" s="54"/>
      <c r="AH189" s="54"/>
      <c r="AI189" s="54"/>
      <c r="AJ189" s="54"/>
      <c r="AW189" s="18">
        <f t="shared" si="7"/>
        <v>0</v>
      </c>
    </row>
    <row r="190" spans="10:49" ht="15">
      <c r="J190" s="687"/>
      <c r="K190" s="54"/>
      <c r="L190" s="687"/>
      <c r="M190" s="471"/>
      <c r="N190" s="68"/>
      <c r="O190" s="68"/>
      <c r="P190" s="68"/>
      <c r="Q190" s="68"/>
      <c r="R190" s="68"/>
      <c r="S190" s="68"/>
      <c r="T190" s="68"/>
      <c r="U190" s="435"/>
      <c r="V190" s="54"/>
      <c r="W190" s="54"/>
      <c r="X190" s="54"/>
      <c r="Y190" s="54"/>
      <c r="Z190" s="54"/>
      <c r="AA190" s="54"/>
      <c r="AB190" s="54"/>
      <c r="AC190" s="54"/>
      <c r="AD190" s="54"/>
      <c r="AE190" s="54"/>
      <c r="AF190" s="54"/>
      <c r="AG190" s="54"/>
      <c r="AH190" s="54"/>
      <c r="AI190" s="54"/>
      <c r="AJ190" s="54"/>
      <c r="AW190" s="18">
        <f t="shared" si="7"/>
        <v>0</v>
      </c>
    </row>
    <row r="191" spans="10:49" ht="15">
      <c r="J191" s="687"/>
      <c r="K191" s="54"/>
      <c r="L191" s="687"/>
      <c r="M191" s="471"/>
      <c r="N191" s="68"/>
      <c r="O191" s="68"/>
      <c r="P191" s="68"/>
      <c r="Q191" s="68"/>
      <c r="R191" s="68"/>
      <c r="S191" s="68"/>
      <c r="T191" s="68"/>
      <c r="U191" s="435"/>
      <c r="V191" s="54"/>
      <c r="W191" s="54"/>
      <c r="X191" s="54"/>
      <c r="Y191" s="54"/>
      <c r="Z191" s="54"/>
      <c r="AA191" s="54"/>
      <c r="AB191" s="54"/>
      <c r="AC191" s="54"/>
      <c r="AD191" s="54"/>
      <c r="AE191" s="54"/>
      <c r="AF191" s="54"/>
      <c r="AG191" s="54"/>
      <c r="AH191" s="54"/>
      <c r="AI191" s="54"/>
      <c r="AJ191" s="54"/>
      <c r="AW191" s="18">
        <f t="shared" si="7"/>
        <v>0</v>
      </c>
    </row>
    <row r="192" spans="10:49" ht="15">
      <c r="J192" s="687"/>
      <c r="K192" s="54"/>
      <c r="L192" s="687"/>
      <c r="M192" s="471"/>
      <c r="N192" s="68"/>
      <c r="O192" s="68"/>
      <c r="P192" s="68"/>
      <c r="Q192" s="68"/>
      <c r="R192" s="68"/>
      <c r="S192" s="68"/>
      <c r="T192" s="68"/>
      <c r="U192" s="435"/>
      <c r="V192" s="54"/>
      <c r="W192" s="54"/>
      <c r="X192" s="54"/>
      <c r="Y192" s="54"/>
      <c r="Z192" s="54"/>
      <c r="AA192" s="54"/>
      <c r="AB192" s="54"/>
      <c r="AC192" s="54"/>
      <c r="AD192" s="54"/>
      <c r="AE192" s="54"/>
      <c r="AF192" s="54"/>
      <c r="AG192" s="54"/>
      <c r="AH192" s="54"/>
      <c r="AI192" s="54"/>
      <c r="AJ192" s="54"/>
      <c r="AW192" s="18">
        <f t="shared" si="7"/>
        <v>0</v>
      </c>
    </row>
    <row r="193" spans="10:49" ht="15">
      <c r="J193" s="687"/>
      <c r="K193" s="54"/>
      <c r="L193" s="687"/>
      <c r="M193" s="471"/>
      <c r="N193" s="68"/>
      <c r="O193" s="68"/>
      <c r="P193" s="68"/>
      <c r="Q193" s="68"/>
      <c r="R193" s="68"/>
      <c r="S193" s="68"/>
      <c r="T193" s="68"/>
      <c r="U193" s="435"/>
      <c r="V193" s="54"/>
      <c r="W193" s="54"/>
      <c r="X193" s="54"/>
      <c r="Y193" s="54"/>
      <c r="Z193" s="54"/>
      <c r="AA193" s="54"/>
      <c r="AB193" s="54"/>
      <c r="AC193" s="54"/>
      <c r="AD193" s="54"/>
      <c r="AE193" s="54"/>
      <c r="AF193" s="54"/>
      <c r="AG193" s="54"/>
      <c r="AH193" s="54"/>
      <c r="AI193" s="54"/>
      <c r="AJ193" s="54"/>
      <c r="AW193" s="18">
        <f t="shared" si="7"/>
        <v>0</v>
      </c>
    </row>
    <row r="194" spans="10:49" ht="15">
      <c r="J194" s="687"/>
      <c r="K194" s="54"/>
      <c r="L194" s="687"/>
      <c r="M194" s="471"/>
      <c r="N194" s="68"/>
      <c r="O194" s="68"/>
      <c r="P194" s="68"/>
      <c r="Q194" s="68"/>
      <c r="R194" s="68"/>
      <c r="S194" s="68"/>
      <c r="T194" s="68"/>
      <c r="U194" s="435"/>
      <c r="V194" s="54"/>
      <c r="W194" s="54"/>
      <c r="X194" s="54"/>
      <c r="Y194" s="54"/>
      <c r="Z194" s="54"/>
      <c r="AA194" s="54"/>
      <c r="AB194" s="54"/>
      <c r="AC194" s="54"/>
      <c r="AD194" s="54"/>
      <c r="AE194" s="54"/>
      <c r="AF194" s="54"/>
      <c r="AG194" s="54"/>
      <c r="AH194" s="54"/>
      <c r="AI194" s="54"/>
      <c r="AJ194" s="54"/>
      <c r="AW194" s="18">
        <f t="shared" si="7"/>
        <v>0</v>
      </c>
    </row>
    <row r="195" spans="10:49" ht="15">
      <c r="J195" s="687"/>
      <c r="K195" s="54"/>
      <c r="L195" s="687"/>
      <c r="M195" s="471"/>
      <c r="N195" s="68"/>
      <c r="O195" s="68"/>
      <c r="P195" s="68"/>
      <c r="Q195" s="68"/>
      <c r="R195" s="68"/>
      <c r="S195" s="68"/>
      <c r="T195" s="68"/>
      <c r="U195" s="435"/>
      <c r="V195" s="54"/>
      <c r="W195" s="54"/>
      <c r="X195" s="54"/>
      <c r="Y195" s="54"/>
      <c r="Z195" s="54"/>
      <c r="AA195" s="54"/>
      <c r="AB195" s="54"/>
      <c r="AC195" s="54"/>
      <c r="AD195" s="54"/>
      <c r="AE195" s="54"/>
      <c r="AF195" s="54"/>
      <c r="AG195" s="54"/>
      <c r="AH195" s="54"/>
      <c r="AI195" s="54"/>
      <c r="AJ195" s="54"/>
      <c r="AW195" s="18">
        <f t="shared" si="7"/>
        <v>0</v>
      </c>
    </row>
    <row r="196" spans="10:49" ht="15">
      <c r="J196" s="687"/>
      <c r="K196" s="54"/>
      <c r="L196" s="687"/>
      <c r="M196" s="471"/>
      <c r="N196" s="68"/>
      <c r="O196" s="68"/>
      <c r="P196" s="68"/>
      <c r="Q196" s="68"/>
      <c r="R196" s="68"/>
      <c r="S196" s="68"/>
      <c r="T196" s="68"/>
      <c r="U196" s="435"/>
      <c r="V196" s="54"/>
      <c r="W196" s="54"/>
      <c r="X196" s="54"/>
      <c r="Y196" s="54"/>
      <c r="Z196" s="54"/>
      <c r="AA196" s="54"/>
      <c r="AB196" s="54"/>
      <c r="AC196" s="54"/>
      <c r="AD196" s="54"/>
      <c r="AE196" s="54"/>
      <c r="AF196" s="54"/>
      <c r="AG196" s="54"/>
      <c r="AH196" s="54"/>
      <c r="AI196" s="54"/>
      <c r="AJ196" s="54"/>
      <c r="AW196" s="18">
        <f t="shared" si="7"/>
        <v>0</v>
      </c>
    </row>
    <row r="197" spans="10:49" ht="15">
      <c r="J197" s="687"/>
      <c r="K197" s="54"/>
      <c r="L197" s="687"/>
      <c r="M197" s="471"/>
      <c r="N197" s="68"/>
      <c r="O197" s="68"/>
      <c r="P197" s="68"/>
      <c r="Q197" s="68"/>
      <c r="R197" s="68"/>
      <c r="S197" s="68"/>
      <c r="T197" s="68"/>
      <c r="U197" s="435"/>
      <c r="V197" s="54"/>
      <c r="W197" s="54"/>
      <c r="X197" s="54"/>
      <c r="Y197" s="54"/>
      <c r="Z197" s="54"/>
      <c r="AA197" s="54"/>
      <c r="AB197" s="54"/>
      <c r="AC197" s="54"/>
      <c r="AD197" s="54"/>
      <c r="AE197" s="54"/>
      <c r="AF197" s="54"/>
      <c r="AG197" s="54"/>
      <c r="AH197" s="54"/>
      <c r="AI197" s="54"/>
      <c r="AJ197" s="54"/>
      <c r="AW197" s="18">
        <f t="shared" si="7"/>
        <v>0</v>
      </c>
    </row>
    <row r="198" spans="10:49" ht="15">
      <c r="J198" s="687"/>
      <c r="K198" s="54"/>
      <c r="L198" s="687"/>
      <c r="M198" s="471"/>
      <c r="N198" s="68"/>
      <c r="O198" s="68"/>
      <c r="P198" s="68"/>
      <c r="Q198" s="68"/>
      <c r="R198" s="68"/>
      <c r="S198" s="68"/>
      <c r="T198" s="68"/>
      <c r="U198" s="435"/>
      <c r="V198" s="54"/>
      <c r="W198" s="54"/>
      <c r="X198" s="54"/>
      <c r="Y198" s="54"/>
      <c r="Z198" s="54"/>
      <c r="AA198" s="54"/>
      <c r="AB198" s="54"/>
      <c r="AC198" s="54"/>
      <c r="AD198" s="54"/>
      <c r="AE198" s="54"/>
      <c r="AF198" s="54"/>
      <c r="AG198" s="54"/>
      <c r="AH198" s="54"/>
      <c r="AI198" s="54"/>
      <c r="AJ198" s="54"/>
      <c r="AW198" s="18">
        <f t="shared" si="7"/>
        <v>0</v>
      </c>
    </row>
    <row r="199" spans="10:49" ht="15">
      <c r="J199" s="687"/>
      <c r="K199" s="54"/>
      <c r="L199" s="687"/>
      <c r="M199" s="471"/>
      <c r="N199" s="68"/>
      <c r="O199" s="68"/>
      <c r="P199" s="68"/>
      <c r="Q199" s="68"/>
      <c r="R199" s="68"/>
      <c r="S199" s="68"/>
      <c r="T199" s="68"/>
      <c r="U199" s="435"/>
      <c r="V199" s="54"/>
      <c r="W199" s="54"/>
      <c r="X199" s="54"/>
      <c r="Y199" s="54"/>
      <c r="Z199" s="54"/>
      <c r="AA199" s="54"/>
      <c r="AB199" s="54"/>
      <c r="AC199" s="54"/>
      <c r="AD199" s="54"/>
      <c r="AE199" s="54"/>
      <c r="AF199" s="54"/>
      <c r="AG199" s="54"/>
      <c r="AH199" s="54"/>
      <c r="AI199" s="54"/>
      <c r="AJ199" s="54"/>
      <c r="AW199" s="18">
        <f t="shared" si="7"/>
        <v>0</v>
      </c>
    </row>
    <row r="200" spans="10:49" ht="15">
      <c r="J200" s="687"/>
      <c r="K200" s="54"/>
      <c r="L200" s="687"/>
      <c r="M200" s="471"/>
      <c r="N200" s="68"/>
      <c r="O200" s="68"/>
      <c r="P200" s="68"/>
      <c r="Q200" s="68"/>
      <c r="R200" s="68"/>
      <c r="S200" s="68"/>
      <c r="T200" s="68"/>
      <c r="U200" s="435"/>
      <c r="V200" s="54"/>
      <c r="W200" s="54"/>
      <c r="X200" s="54"/>
      <c r="Y200" s="54"/>
      <c r="Z200" s="54"/>
      <c r="AA200" s="54"/>
      <c r="AB200" s="54"/>
      <c r="AC200" s="54"/>
      <c r="AD200" s="54"/>
      <c r="AE200" s="54"/>
      <c r="AF200" s="54"/>
      <c r="AG200" s="54"/>
      <c r="AH200" s="54"/>
      <c r="AI200" s="54"/>
      <c r="AJ200" s="54"/>
      <c r="AW200" s="18">
        <f t="shared" si="7"/>
        <v>0</v>
      </c>
    </row>
    <row r="201" spans="10:49" ht="15">
      <c r="J201" s="687"/>
      <c r="K201" s="54"/>
      <c r="L201" s="687"/>
      <c r="M201" s="471"/>
      <c r="N201" s="68"/>
      <c r="O201" s="68"/>
      <c r="P201" s="68"/>
      <c r="Q201" s="68"/>
      <c r="R201" s="68"/>
      <c r="S201" s="68"/>
      <c r="T201" s="68"/>
      <c r="U201" s="435"/>
      <c r="V201" s="54"/>
      <c r="W201" s="54"/>
      <c r="X201" s="54"/>
      <c r="Y201" s="54"/>
      <c r="Z201" s="54"/>
      <c r="AA201" s="54"/>
      <c r="AB201" s="54"/>
      <c r="AC201" s="54"/>
      <c r="AD201" s="54"/>
      <c r="AE201" s="54"/>
      <c r="AF201" s="54"/>
      <c r="AG201" s="54"/>
      <c r="AH201" s="54"/>
      <c r="AI201" s="54"/>
      <c r="AJ201" s="54"/>
      <c r="AW201" s="18">
        <f t="shared" si="7"/>
        <v>0</v>
      </c>
    </row>
    <row r="202" spans="10:49" ht="15">
      <c r="J202" s="687"/>
      <c r="K202" s="54"/>
      <c r="L202" s="687"/>
      <c r="M202" s="471"/>
      <c r="N202" s="68"/>
      <c r="O202" s="68"/>
      <c r="P202" s="68"/>
      <c r="Q202" s="68"/>
      <c r="R202" s="68"/>
      <c r="S202" s="68"/>
      <c r="T202" s="68"/>
      <c r="U202" s="435"/>
      <c r="V202" s="54"/>
      <c r="W202" s="54"/>
      <c r="X202" s="54"/>
      <c r="Y202" s="54"/>
      <c r="Z202" s="54"/>
      <c r="AA202" s="54"/>
      <c r="AB202" s="54"/>
      <c r="AC202" s="54"/>
      <c r="AD202" s="54"/>
      <c r="AE202" s="54"/>
      <c r="AF202" s="54"/>
      <c r="AG202" s="54"/>
      <c r="AH202" s="54"/>
      <c r="AI202" s="54"/>
      <c r="AJ202" s="54"/>
      <c r="AW202" s="18">
        <f t="shared" si="7"/>
        <v>0</v>
      </c>
    </row>
    <row r="203" spans="10:49" ht="15">
      <c r="J203" s="687"/>
      <c r="K203" s="54"/>
      <c r="L203" s="687"/>
      <c r="M203" s="471"/>
      <c r="N203" s="68"/>
      <c r="O203" s="68"/>
      <c r="P203" s="68"/>
      <c r="Q203" s="68"/>
      <c r="R203" s="68"/>
      <c r="S203" s="68"/>
      <c r="T203" s="68"/>
      <c r="U203" s="435"/>
      <c r="V203" s="54"/>
      <c r="W203" s="54"/>
      <c r="X203" s="54"/>
      <c r="Y203" s="54"/>
      <c r="Z203" s="54"/>
      <c r="AA203" s="54"/>
      <c r="AB203" s="54"/>
      <c r="AC203" s="54"/>
      <c r="AD203" s="54"/>
      <c r="AE203" s="54"/>
      <c r="AF203" s="54"/>
      <c r="AG203" s="54"/>
      <c r="AH203" s="54"/>
      <c r="AI203" s="54"/>
      <c r="AJ203" s="54"/>
      <c r="AW203" s="18">
        <f t="shared" si="7"/>
        <v>0</v>
      </c>
    </row>
    <row r="204" spans="10:49" ht="15">
      <c r="J204" s="687"/>
      <c r="K204" s="54"/>
      <c r="L204" s="687"/>
      <c r="M204" s="471"/>
      <c r="N204" s="68"/>
      <c r="O204" s="68"/>
      <c r="P204" s="68"/>
      <c r="Q204" s="68"/>
      <c r="R204" s="68"/>
      <c r="S204" s="68"/>
      <c r="T204" s="68"/>
      <c r="U204" s="435"/>
      <c r="V204" s="54"/>
      <c r="W204" s="54"/>
      <c r="X204" s="54"/>
      <c r="Y204" s="54"/>
      <c r="Z204" s="54"/>
      <c r="AA204" s="54"/>
      <c r="AB204" s="54"/>
      <c r="AC204" s="54"/>
      <c r="AD204" s="54"/>
      <c r="AE204" s="54"/>
      <c r="AF204" s="54"/>
      <c r="AG204" s="54"/>
      <c r="AH204" s="54"/>
      <c r="AI204" s="54"/>
      <c r="AJ204" s="54"/>
      <c r="AW204" s="18">
        <f t="shared" si="7"/>
        <v>0</v>
      </c>
    </row>
    <row r="205" spans="10:49" ht="15">
      <c r="J205" s="687"/>
      <c r="K205" s="54"/>
      <c r="L205" s="687"/>
      <c r="M205" s="471"/>
      <c r="N205" s="68"/>
      <c r="O205" s="68"/>
      <c r="P205" s="68"/>
      <c r="Q205" s="68"/>
      <c r="R205" s="68"/>
      <c r="S205" s="68"/>
      <c r="T205" s="68"/>
      <c r="U205" s="435"/>
      <c r="V205" s="54"/>
      <c r="W205" s="54"/>
      <c r="X205" s="54"/>
      <c r="Y205" s="54"/>
      <c r="Z205" s="54"/>
      <c r="AA205" s="54"/>
      <c r="AB205" s="54"/>
      <c r="AC205" s="54"/>
      <c r="AD205" s="54"/>
      <c r="AE205" s="54"/>
      <c r="AF205" s="54"/>
      <c r="AG205" s="54"/>
      <c r="AH205" s="54"/>
      <c r="AI205" s="54"/>
      <c r="AJ205" s="54"/>
      <c r="AW205" s="18">
        <f t="shared" si="7"/>
        <v>0</v>
      </c>
    </row>
    <row r="206" spans="10:49" ht="15">
      <c r="J206" s="687"/>
      <c r="K206" s="54"/>
      <c r="L206" s="687"/>
      <c r="M206" s="471"/>
      <c r="N206" s="68"/>
      <c r="O206" s="68"/>
      <c r="P206" s="68"/>
      <c r="Q206" s="68"/>
      <c r="R206" s="68"/>
      <c r="S206" s="68"/>
      <c r="T206" s="68"/>
      <c r="U206" s="435"/>
      <c r="V206" s="54"/>
      <c r="W206" s="54"/>
      <c r="X206" s="54"/>
      <c r="Y206" s="54"/>
      <c r="Z206" s="54"/>
      <c r="AA206" s="54"/>
      <c r="AB206" s="54"/>
      <c r="AC206" s="54"/>
      <c r="AD206" s="54"/>
      <c r="AE206" s="54"/>
      <c r="AF206" s="54"/>
      <c r="AG206" s="54"/>
      <c r="AH206" s="54"/>
      <c r="AI206" s="54"/>
      <c r="AJ206" s="54"/>
      <c r="AW206" s="18">
        <f t="shared" si="7"/>
        <v>0</v>
      </c>
    </row>
    <row r="207" spans="10:49" ht="15">
      <c r="J207" s="687"/>
      <c r="K207" s="54"/>
      <c r="L207" s="687"/>
      <c r="M207" s="471"/>
      <c r="N207" s="68"/>
      <c r="O207" s="68"/>
      <c r="P207" s="68"/>
      <c r="Q207" s="68"/>
      <c r="R207" s="68"/>
      <c r="S207" s="68"/>
      <c r="T207" s="68"/>
      <c r="U207" s="435"/>
      <c r="V207" s="54"/>
      <c r="W207" s="54"/>
      <c r="X207" s="54"/>
      <c r="Y207" s="54"/>
      <c r="Z207" s="54"/>
      <c r="AA207" s="54"/>
      <c r="AB207" s="54"/>
      <c r="AC207" s="54"/>
      <c r="AD207" s="54"/>
      <c r="AE207" s="54"/>
      <c r="AF207" s="54"/>
      <c r="AG207" s="54"/>
      <c r="AH207" s="54"/>
      <c r="AI207" s="54"/>
      <c r="AJ207" s="54"/>
      <c r="AW207" s="18">
        <f t="shared" si="7"/>
        <v>0</v>
      </c>
    </row>
    <row r="208" spans="10:49" ht="15">
      <c r="J208" s="687"/>
      <c r="K208" s="54"/>
      <c r="L208" s="687"/>
      <c r="M208" s="471"/>
      <c r="N208" s="68"/>
      <c r="O208" s="68"/>
      <c r="P208" s="68"/>
      <c r="Q208" s="68"/>
      <c r="R208" s="68"/>
      <c r="S208" s="68"/>
      <c r="T208" s="68"/>
      <c r="U208" s="435"/>
      <c r="V208" s="54"/>
      <c r="W208" s="54"/>
      <c r="X208" s="54"/>
      <c r="Y208" s="54"/>
      <c r="Z208" s="54"/>
      <c r="AA208" s="54"/>
      <c r="AB208" s="54"/>
      <c r="AC208" s="54"/>
      <c r="AD208" s="54"/>
      <c r="AE208" s="54"/>
      <c r="AF208" s="54"/>
      <c r="AG208" s="54"/>
      <c r="AH208" s="54"/>
      <c r="AI208" s="54"/>
      <c r="AJ208" s="54"/>
      <c r="AW208" s="18">
        <f t="shared" si="7"/>
        <v>0</v>
      </c>
    </row>
    <row r="209" spans="10:49" ht="15">
      <c r="J209" s="687"/>
      <c r="K209" s="54"/>
      <c r="L209" s="687"/>
      <c r="M209" s="471"/>
      <c r="N209" s="68"/>
      <c r="O209" s="68"/>
      <c r="P209" s="68"/>
      <c r="Q209" s="68"/>
      <c r="R209" s="68"/>
      <c r="S209" s="68"/>
      <c r="T209" s="68"/>
      <c r="U209" s="435"/>
      <c r="V209" s="54"/>
      <c r="W209" s="54"/>
      <c r="X209" s="54"/>
      <c r="Y209" s="54"/>
      <c r="Z209" s="54"/>
      <c r="AA209" s="54"/>
      <c r="AB209" s="54"/>
      <c r="AC209" s="54"/>
      <c r="AD209" s="54"/>
      <c r="AE209" s="54"/>
      <c r="AF209" s="54"/>
      <c r="AG209" s="54"/>
      <c r="AH209" s="54"/>
      <c r="AI209" s="54"/>
      <c r="AJ209" s="54"/>
      <c r="AW209" s="18">
        <f t="shared" si="7"/>
        <v>0</v>
      </c>
    </row>
    <row r="210" spans="10:49" ht="15">
      <c r="J210" s="687"/>
      <c r="K210" s="54"/>
      <c r="L210" s="687"/>
      <c r="M210" s="471"/>
      <c r="N210" s="68"/>
      <c r="O210" s="68"/>
      <c r="P210" s="68"/>
      <c r="Q210" s="68"/>
      <c r="R210" s="68"/>
      <c r="S210" s="68"/>
      <c r="T210" s="68"/>
      <c r="U210" s="435"/>
      <c r="V210" s="54"/>
      <c r="W210" s="54"/>
      <c r="X210" s="54"/>
      <c r="Y210" s="54"/>
      <c r="Z210" s="54"/>
      <c r="AA210" s="54"/>
      <c r="AB210" s="54"/>
      <c r="AC210" s="54"/>
      <c r="AD210" s="54"/>
      <c r="AE210" s="54"/>
      <c r="AF210" s="54"/>
      <c r="AG210" s="54"/>
      <c r="AH210" s="54"/>
      <c r="AI210" s="54"/>
      <c r="AJ210" s="54"/>
      <c r="AW210" s="18">
        <f t="shared" si="7"/>
        <v>0</v>
      </c>
    </row>
    <row r="211" spans="10:49" ht="15">
      <c r="J211" s="687"/>
      <c r="K211" s="54"/>
      <c r="L211" s="687"/>
      <c r="M211" s="471"/>
      <c r="N211" s="68"/>
      <c r="O211" s="68"/>
      <c r="P211" s="68"/>
      <c r="Q211" s="68"/>
      <c r="R211" s="68"/>
      <c r="S211" s="68"/>
      <c r="T211" s="68"/>
      <c r="U211" s="435"/>
      <c r="V211" s="54"/>
      <c r="W211" s="54"/>
      <c r="X211" s="54"/>
      <c r="Y211" s="54"/>
      <c r="Z211" s="54"/>
      <c r="AA211" s="54"/>
      <c r="AB211" s="54"/>
      <c r="AC211" s="54"/>
      <c r="AD211" s="54"/>
      <c r="AE211" s="54"/>
      <c r="AF211" s="54"/>
      <c r="AG211" s="54"/>
      <c r="AH211" s="54"/>
      <c r="AI211" s="54"/>
      <c r="AJ211" s="54"/>
      <c r="AW211" s="18">
        <f t="shared" si="7"/>
        <v>0</v>
      </c>
    </row>
    <row r="212" spans="10:49" ht="15">
      <c r="J212" s="687"/>
      <c r="K212" s="54"/>
      <c r="L212" s="687"/>
      <c r="M212" s="471"/>
      <c r="N212" s="68"/>
      <c r="O212" s="68"/>
      <c r="P212" s="68"/>
      <c r="Q212" s="68"/>
      <c r="R212" s="68"/>
      <c r="S212" s="68"/>
      <c r="T212" s="68"/>
      <c r="U212" s="435"/>
      <c r="V212" s="54"/>
      <c r="W212" s="54"/>
      <c r="X212" s="54"/>
      <c r="Y212" s="54"/>
      <c r="Z212" s="54"/>
      <c r="AA212" s="54"/>
      <c r="AB212" s="54"/>
      <c r="AC212" s="54"/>
      <c r="AD212" s="54"/>
      <c r="AE212" s="54"/>
      <c r="AF212" s="54"/>
      <c r="AG212" s="54"/>
      <c r="AH212" s="54"/>
      <c r="AI212" s="54"/>
      <c r="AJ212" s="54"/>
      <c r="AW212" s="18">
        <f t="shared" si="7"/>
        <v>0</v>
      </c>
    </row>
    <row r="213" spans="10:49" ht="15">
      <c r="J213" s="687"/>
      <c r="K213" s="54"/>
      <c r="L213" s="687"/>
      <c r="M213" s="471"/>
      <c r="N213" s="68"/>
      <c r="O213" s="68"/>
      <c r="P213" s="68"/>
      <c r="Q213" s="68"/>
      <c r="R213" s="68"/>
      <c r="S213" s="68"/>
      <c r="T213" s="68"/>
      <c r="U213" s="435"/>
      <c r="V213" s="54"/>
      <c r="W213" s="54"/>
      <c r="X213" s="54"/>
      <c r="Y213" s="54"/>
      <c r="Z213" s="54"/>
      <c r="AA213" s="54"/>
      <c r="AB213" s="54"/>
      <c r="AC213" s="54"/>
      <c r="AD213" s="54"/>
      <c r="AE213" s="54"/>
      <c r="AF213" s="54"/>
      <c r="AG213" s="54"/>
      <c r="AH213" s="54"/>
      <c r="AI213" s="54"/>
      <c r="AJ213" s="54"/>
      <c r="AW213" s="18">
        <f t="shared" si="7"/>
        <v>0</v>
      </c>
    </row>
    <row r="214" spans="10:49" ht="15">
      <c r="J214" s="687"/>
      <c r="K214" s="54"/>
      <c r="L214" s="687"/>
      <c r="M214" s="471"/>
      <c r="N214" s="68"/>
      <c r="O214" s="68"/>
      <c r="P214" s="68"/>
      <c r="Q214" s="68"/>
      <c r="R214" s="68"/>
      <c r="S214" s="68"/>
      <c r="T214" s="68"/>
      <c r="U214" s="435"/>
      <c r="V214" s="54"/>
      <c r="W214" s="54"/>
      <c r="X214" s="54"/>
      <c r="Y214" s="54"/>
      <c r="Z214" s="54"/>
      <c r="AA214" s="54"/>
      <c r="AB214" s="54"/>
      <c r="AC214" s="54"/>
      <c r="AD214" s="54"/>
      <c r="AE214" s="54"/>
      <c r="AF214" s="54"/>
      <c r="AG214" s="54"/>
      <c r="AH214" s="54"/>
      <c r="AI214" s="54"/>
      <c r="AJ214" s="54"/>
      <c r="AW214" s="18">
        <f t="shared" si="7"/>
        <v>0</v>
      </c>
    </row>
    <row r="215" spans="10:49" ht="15">
      <c r="J215" s="687"/>
      <c r="K215" s="54"/>
      <c r="L215" s="687"/>
      <c r="M215" s="471"/>
      <c r="N215" s="68"/>
      <c r="O215" s="68"/>
      <c r="P215" s="68"/>
      <c r="Q215" s="68"/>
      <c r="R215" s="68"/>
      <c r="S215" s="68"/>
      <c r="T215" s="68"/>
      <c r="U215" s="435"/>
      <c r="V215" s="54"/>
      <c r="W215" s="54"/>
      <c r="X215" s="54"/>
      <c r="Y215" s="54"/>
      <c r="Z215" s="54"/>
      <c r="AA215" s="54"/>
      <c r="AB215" s="54"/>
      <c r="AC215" s="54"/>
      <c r="AD215" s="54"/>
      <c r="AE215" s="54"/>
      <c r="AF215" s="54"/>
      <c r="AG215" s="54"/>
      <c r="AH215" s="54"/>
      <c r="AI215" s="54"/>
      <c r="AJ215" s="54"/>
      <c r="AW215" s="18">
        <f t="shared" si="7"/>
        <v>0</v>
      </c>
    </row>
    <row r="216" spans="10:49" ht="15">
      <c r="J216" s="687"/>
      <c r="K216" s="54"/>
      <c r="L216" s="687"/>
      <c r="M216" s="471"/>
      <c r="N216" s="68"/>
      <c r="O216" s="68"/>
      <c r="P216" s="68"/>
      <c r="Q216" s="68"/>
      <c r="R216" s="68"/>
      <c r="S216" s="68"/>
      <c r="T216" s="68"/>
      <c r="U216" s="435"/>
      <c r="V216" s="54"/>
      <c r="W216" s="54"/>
      <c r="X216" s="54"/>
      <c r="Y216" s="54"/>
      <c r="Z216" s="54"/>
      <c r="AA216" s="54"/>
      <c r="AB216" s="54"/>
      <c r="AC216" s="54"/>
      <c r="AD216" s="54"/>
      <c r="AE216" s="54"/>
      <c r="AF216" s="54"/>
      <c r="AG216" s="54"/>
      <c r="AH216" s="54"/>
      <c r="AI216" s="54"/>
      <c r="AJ216" s="54"/>
      <c r="AW216" s="18">
        <f t="shared" si="7"/>
        <v>0</v>
      </c>
    </row>
    <row r="217" spans="10:49" ht="15">
      <c r="J217" s="687"/>
      <c r="K217" s="54"/>
      <c r="L217" s="687"/>
      <c r="M217" s="471"/>
      <c r="N217" s="68"/>
      <c r="O217" s="68"/>
      <c r="P217" s="68"/>
      <c r="Q217" s="68"/>
      <c r="R217" s="68"/>
      <c r="S217" s="68"/>
      <c r="T217" s="68"/>
      <c r="U217" s="435"/>
      <c r="V217" s="54"/>
      <c r="W217" s="54"/>
      <c r="X217" s="54"/>
      <c r="Y217" s="54"/>
      <c r="Z217" s="54"/>
      <c r="AA217" s="54"/>
      <c r="AB217" s="54"/>
      <c r="AC217" s="54"/>
      <c r="AD217" s="54"/>
      <c r="AE217" s="54"/>
      <c r="AF217" s="54"/>
      <c r="AG217" s="54"/>
      <c r="AH217" s="54"/>
      <c r="AI217" s="54"/>
      <c r="AJ217" s="54"/>
      <c r="AW217" s="18">
        <f t="shared" si="7"/>
        <v>0</v>
      </c>
    </row>
    <row r="218" spans="10:49" ht="15">
      <c r="J218" s="687"/>
      <c r="K218" s="54"/>
      <c r="L218" s="687"/>
      <c r="M218" s="471"/>
      <c r="N218" s="68"/>
      <c r="O218" s="68"/>
      <c r="P218" s="68"/>
      <c r="Q218" s="68"/>
      <c r="R218" s="68"/>
      <c r="S218" s="68"/>
      <c r="T218" s="68"/>
      <c r="U218" s="435"/>
      <c r="V218" s="54"/>
      <c r="W218" s="54"/>
      <c r="X218" s="54"/>
      <c r="Y218" s="54"/>
      <c r="Z218" s="54"/>
      <c r="AA218" s="54"/>
      <c r="AB218" s="54"/>
      <c r="AC218" s="54"/>
      <c r="AD218" s="54"/>
      <c r="AE218" s="54"/>
      <c r="AF218" s="54"/>
      <c r="AG218" s="54"/>
      <c r="AH218" s="54"/>
      <c r="AI218" s="54"/>
      <c r="AJ218" s="54"/>
      <c r="AW218" s="18">
        <f t="shared" si="7"/>
        <v>0</v>
      </c>
    </row>
    <row r="219" spans="10:49" ht="15">
      <c r="J219" s="687"/>
      <c r="K219" s="54"/>
      <c r="L219" s="687"/>
      <c r="M219" s="471"/>
      <c r="N219" s="68"/>
      <c r="O219" s="68"/>
      <c r="P219" s="68"/>
      <c r="Q219" s="68"/>
      <c r="R219" s="68"/>
      <c r="S219" s="68"/>
      <c r="T219" s="68"/>
      <c r="U219" s="435"/>
      <c r="V219" s="54"/>
      <c r="W219" s="54"/>
      <c r="X219" s="54"/>
      <c r="Y219" s="54"/>
      <c r="Z219" s="54"/>
      <c r="AA219" s="54"/>
      <c r="AB219" s="54"/>
      <c r="AC219" s="54"/>
      <c r="AD219" s="54"/>
      <c r="AE219" s="54"/>
      <c r="AF219" s="54"/>
      <c r="AG219" s="54"/>
      <c r="AH219" s="54"/>
      <c r="AI219" s="54"/>
      <c r="AJ219" s="54"/>
      <c r="AW219" s="18">
        <f t="shared" si="7"/>
        <v>0</v>
      </c>
    </row>
    <row r="220" spans="10:49" ht="15">
      <c r="J220" s="687"/>
      <c r="K220" s="54"/>
      <c r="L220" s="687"/>
      <c r="M220" s="471"/>
      <c r="N220" s="68"/>
      <c r="O220" s="68"/>
      <c r="P220" s="68"/>
      <c r="Q220" s="68"/>
      <c r="R220" s="68"/>
      <c r="S220" s="68"/>
      <c r="T220" s="68"/>
      <c r="U220" s="435"/>
      <c r="V220" s="54"/>
      <c r="W220" s="54"/>
      <c r="X220" s="54"/>
      <c r="Y220" s="54"/>
      <c r="Z220" s="54"/>
      <c r="AA220" s="54"/>
      <c r="AB220" s="54"/>
      <c r="AC220" s="54"/>
      <c r="AD220" s="54"/>
      <c r="AE220" s="54"/>
      <c r="AF220" s="54"/>
      <c r="AG220" s="54"/>
      <c r="AH220" s="54"/>
      <c r="AI220" s="54"/>
      <c r="AJ220" s="54"/>
      <c r="AW220" s="18">
        <f t="shared" si="7"/>
        <v>0</v>
      </c>
    </row>
    <row r="221" spans="10:49" ht="15">
      <c r="J221" s="687"/>
      <c r="K221" s="54"/>
      <c r="L221" s="687"/>
      <c r="M221" s="471"/>
      <c r="N221" s="68"/>
      <c r="O221" s="68"/>
      <c r="P221" s="68"/>
      <c r="Q221" s="68"/>
      <c r="R221" s="68"/>
      <c r="S221" s="68"/>
      <c r="T221" s="68"/>
      <c r="U221" s="435"/>
      <c r="V221" s="54"/>
      <c r="W221" s="54"/>
      <c r="X221" s="54"/>
      <c r="Y221" s="54"/>
      <c r="Z221" s="54"/>
      <c r="AA221" s="54"/>
      <c r="AB221" s="54"/>
      <c r="AC221" s="54"/>
      <c r="AD221" s="54"/>
      <c r="AE221" s="54"/>
      <c r="AF221" s="54"/>
      <c r="AG221" s="54"/>
      <c r="AH221" s="54"/>
      <c r="AI221" s="54"/>
      <c r="AJ221" s="54"/>
      <c r="AW221" s="18">
        <f t="shared" si="7"/>
        <v>0</v>
      </c>
    </row>
    <row r="222" spans="10:49" ht="15">
      <c r="J222" s="687"/>
      <c r="K222" s="54"/>
      <c r="L222" s="687"/>
      <c r="M222" s="471"/>
      <c r="N222" s="68"/>
      <c r="O222" s="68"/>
      <c r="P222" s="68"/>
      <c r="Q222" s="68"/>
      <c r="R222" s="68"/>
      <c r="S222" s="68"/>
      <c r="T222" s="68"/>
      <c r="U222" s="435"/>
      <c r="V222" s="54"/>
      <c r="W222" s="54"/>
      <c r="X222" s="54"/>
      <c r="Y222" s="54"/>
      <c r="Z222" s="54"/>
      <c r="AA222" s="54"/>
      <c r="AB222" s="54"/>
      <c r="AC222" s="54"/>
      <c r="AD222" s="54"/>
      <c r="AE222" s="54"/>
      <c r="AF222" s="54"/>
      <c r="AG222" s="54"/>
      <c r="AH222" s="54"/>
      <c r="AI222" s="54"/>
      <c r="AJ222" s="54"/>
      <c r="AW222" s="18">
        <f t="shared" si="7"/>
        <v>0</v>
      </c>
    </row>
    <row r="223" spans="10:49" ht="15">
      <c r="J223" s="687"/>
      <c r="K223" s="54"/>
      <c r="L223" s="687"/>
      <c r="M223" s="471"/>
      <c r="N223" s="68"/>
      <c r="O223" s="68"/>
      <c r="P223" s="68"/>
      <c r="Q223" s="68"/>
      <c r="R223" s="68"/>
      <c r="S223" s="68"/>
      <c r="T223" s="68"/>
      <c r="U223" s="435"/>
      <c r="V223" s="54"/>
      <c r="W223" s="54"/>
      <c r="X223" s="54"/>
      <c r="Y223" s="54"/>
      <c r="Z223" s="54"/>
      <c r="AA223" s="54"/>
      <c r="AB223" s="54"/>
      <c r="AC223" s="54"/>
      <c r="AD223" s="54"/>
      <c r="AE223" s="54"/>
      <c r="AF223" s="54"/>
      <c r="AG223" s="54"/>
      <c r="AH223" s="54"/>
      <c r="AI223" s="54"/>
      <c r="AJ223" s="54"/>
      <c r="AW223" s="18">
        <f t="shared" si="7"/>
        <v>0</v>
      </c>
    </row>
    <row r="224" spans="10:49" ht="15">
      <c r="J224" s="687"/>
      <c r="K224" s="54"/>
      <c r="L224" s="687"/>
      <c r="M224" s="471"/>
      <c r="N224" s="68"/>
      <c r="O224" s="68"/>
      <c r="P224" s="68"/>
      <c r="Q224" s="68"/>
      <c r="R224" s="68"/>
      <c r="S224" s="68"/>
      <c r="T224" s="68"/>
      <c r="U224" s="435"/>
      <c r="V224" s="54"/>
      <c r="W224" s="54"/>
      <c r="X224" s="54"/>
      <c r="Y224" s="54"/>
      <c r="Z224" s="54"/>
      <c r="AA224" s="54"/>
      <c r="AB224" s="54"/>
      <c r="AC224" s="54"/>
      <c r="AD224" s="54"/>
      <c r="AE224" s="54"/>
      <c r="AF224" s="54"/>
      <c r="AG224" s="54"/>
      <c r="AH224" s="54"/>
      <c r="AI224" s="54"/>
      <c r="AJ224" s="54"/>
      <c r="AW224" s="18">
        <f t="shared" si="7"/>
        <v>0</v>
      </c>
    </row>
    <row r="225" spans="10:49" ht="15">
      <c r="J225" s="687"/>
      <c r="K225" s="54"/>
      <c r="L225" s="687"/>
      <c r="M225" s="471"/>
      <c r="N225" s="68"/>
      <c r="O225" s="68"/>
      <c r="P225" s="68"/>
      <c r="Q225" s="68"/>
      <c r="R225" s="68"/>
      <c r="S225" s="68"/>
      <c r="T225" s="68"/>
      <c r="U225" s="435"/>
      <c r="V225" s="54"/>
      <c r="W225" s="54"/>
      <c r="X225" s="54"/>
      <c r="Y225" s="54"/>
      <c r="Z225" s="54"/>
      <c r="AA225" s="54"/>
      <c r="AB225" s="54"/>
      <c r="AC225" s="54"/>
      <c r="AD225" s="54"/>
      <c r="AE225" s="54"/>
      <c r="AF225" s="54"/>
      <c r="AG225" s="54"/>
      <c r="AH225" s="54"/>
      <c r="AI225" s="54"/>
      <c r="AJ225" s="54"/>
      <c r="AW225" s="18">
        <f t="shared" si="7"/>
        <v>0</v>
      </c>
    </row>
    <row r="226" spans="10:49" ht="15">
      <c r="J226" s="687"/>
      <c r="K226" s="54"/>
      <c r="L226" s="687"/>
      <c r="M226" s="471"/>
      <c r="N226" s="68"/>
      <c r="O226" s="68"/>
      <c r="P226" s="68"/>
      <c r="Q226" s="68"/>
      <c r="R226" s="68"/>
      <c r="S226" s="68"/>
      <c r="T226" s="68"/>
      <c r="U226" s="435"/>
      <c r="V226" s="54"/>
      <c r="W226" s="54"/>
      <c r="X226" s="54"/>
      <c r="Y226" s="54"/>
      <c r="Z226" s="54"/>
      <c r="AA226" s="54"/>
      <c r="AB226" s="54"/>
      <c r="AC226" s="54"/>
      <c r="AD226" s="54"/>
      <c r="AE226" s="54"/>
      <c r="AF226" s="54"/>
      <c r="AG226" s="54"/>
      <c r="AH226" s="54"/>
      <c r="AI226" s="54"/>
      <c r="AJ226" s="54"/>
      <c r="AW226" s="18">
        <f t="shared" si="7"/>
        <v>0</v>
      </c>
    </row>
    <row r="227" spans="10:49" ht="15">
      <c r="J227" s="687"/>
      <c r="K227" s="54"/>
      <c r="L227" s="687"/>
      <c r="M227" s="471"/>
      <c r="N227" s="68"/>
      <c r="O227" s="68"/>
      <c r="P227" s="68"/>
      <c r="Q227" s="68"/>
      <c r="R227" s="68"/>
      <c r="S227" s="68"/>
      <c r="T227" s="68"/>
      <c r="U227" s="435"/>
      <c r="V227" s="54"/>
      <c r="W227" s="54"/>
      <c r="X227" s="54"/>
      <c r="Y227" s="54"/>
      <c r="Z227" s="54"/>
      <c r="AA227" s="54"/>
      <c r="AB227" s="54"/>
      <c r="AC227" s="54"/>
      <c r="AD227" s="54"/>
      <c r="AE227" s="54"/>
      <c r="AF227" s="54"/>
      <c r="AG227" s="54"/>
      <c r="AH227" s="54"/>
      <c r="AI227" s="54"/>
      <c r="AJ227" s="54"/>
      <c r="AW227" s="18">
        <f t="shared" si="7"/>
        <v>0</v>
      </c>
    </row>
    <row r="228" spans="10:49" ht="15">
      <c r="J228" s="687"/>
      <c r="K228" s="54"/>
      <c r="L228" s="687"/>
      <c r="M228" s="471"/>
      <c r="N228" s="68"/>
      <c r="O228" s="68"/>
      <c r="P228" s="68"/>
      <c r="Q228" s="68"/>
      <c r="R228" s="68"/>
      <c r="S228" s="68"/>
      <c r="T228" s="68"/>
      <c r="U228" s="435"/>
      <c r="V228" s="54"/>
      <c r="W228" s="54"/>
      <c r="X228" s="54"/>
      <c r="Y228" s="54"/>
      <c r="Z228" s="54"/>
      <c r="AA228" s="54"/>
      <c r="AB228" s="54"/>
      <c r="AC228" s="54"/>
      <c r="AD228" s="54"/>
      <c r="AE228" s="54"/>
      <c r="AF228" s="54"/>
      <c r="AG228" s="54"/>
      <c r="AH228" s="54"/>
      <c r="AI228" s="54"/>
      <c r="AJ228" s="54"/>
      <c r="AW228" s="18">
        <f t="shared" si="7"/>
        <v>0</v>
      </c>
    </row>
    <row r="229" spans="10:49" ht="15">
      <c r="J229" s="687"/>
      <c r="K229" s="54"/>
      <c r="L229" s="687"/>
      <c r="M229" s="471"/>
      <c r="N229" s="68"/>
      <c r="O229" s="68"/>
      <c r="P229" s="68"/>
      <c r="Q229" s="68"/>
      <c r="R229" s="68"/>
      <c r="S229" s="68"/>
      <c r="T229" s="68"/>
      <c r="U229" s="435"/>
      <c r="V229" s="54"/>
      <c r="W229" s="54"/>
      <c r="X229" s="54"/>
      <c r="Y229" s="54"/>
      <c r="Z229" s="54"/>
      <c r="AA229" s="54"/>
      <c r="AB229" s="54"/>
      <c r="AC229" s="54"/>
      <c r="AD229" s="54"/>
      <c r="AE229" s="54"/>
      <c r="AF229" s="54"/>
      <c r="AG229" s="54"/>
      <c r="AH229" s="54"/>
      <c r="AI229" s="54"/>
      <c r="AJ229" s="54"/>
      <c r="AW229" s="18">
        <f t="shared" si="7"/>
        <v>0</v>
      </c>
    </row>
    <row r="230" spans="10:49" ht="15">
      <c r="J230" s="687"/>
      <c r="K230" s="54"/>
      <c r="L230" s="687"/>
      <c r="M230" s="471"/>
      <c r="N230" s="68"/>
      <c r="O230" s="68"/>
      <c r="P230" s="68"/>
      <c r="Q230" s="68"/>
      <c r="R230" s="68"/>
      <c r="S230" s="68"/>
      <c r="T230" s="68"/>
      <c r="U230" s="435"/>
      <c r="V230" s="54"/>
      <c r="W230" s="54"/>
      <c r="X230" s="54"/>
      <c r="Y230" s="54"/>
      <c r="Z230" s="54"/>
      <c r="AA230" s="54"/>
      <c r="AB230" s="54"/>
      <c r="AC230" s="54"/>
      <c r="AD230" s="54"/>
      <c r="AE230" s="54"/>
      <c r="AF230" s="54"/>
      <c r="AG230" s="54"/>
      <c r="AH230" s="54"/>
      <c r="AI230" s="54"/>
      <c r="AJ230" s="54"/>
      <c r="AW230" s="18">
        <f t="shared" si="7"/>
        <v>0</v>
      </c>
    </row>
    <row r="231" spans="10:49" ht="15">
      <c r="J231" s="685"/>
      <c r="L231" s="685"/>
      <c r="M231" s="471"/>
      <c r="AW231" s="18">
        <f t="shared" si="7"/>
        <v>0</v>
      </c>
    </row>
    <row r="232" spans="10:49" ht="15">
      <c r="J232" s="686"/>
      <c r="L232" s="686"/>
      <c r="M232" s="471"/>
      <c r="AW232" s="18">
        <f t="shared" si="7"/>
        <v>0</v>
      </c>
    </row>
    <row r="233" spans="10:49" ht="15">
      <c r="J233" s="686"/>
      <c r="L233" s="686"/>
      <c r="M233" s="471"/>
      <c r="AW233" s="18">
        <f t="shared" si="7"/>
        <v>0</v>
      </c>
    </row>
    <row r="234" spans="10:49" ht="15">
      <c r="J234" s="686"/>
      <c r="L234" s="686"/>
      <c r="M234" s="471"/>
      <c r="AW234" s="18">
        <f t="shared" si="7"/>
        <v>0</v>
      </c>
    </row>
    <row r="235" spans="10:49" ht="15">
      <c r="J235" s="686"/>
      <c r="L235" s="686"/>
      <c r="M235" s="471"/>
      <c r="AW235" s="18">
        <f t="shared" si="7"/>
        <v>0</v>
      </c>
    </row>
    <row r="236" spans="10:49" ht="15">
      <c r="J236" s="686"/>
      <c r="L236" s="686"/>
      <c r="M236" s="471"/>
      <c r="AW236" s="18">
        <f t="shared" si="7"/>
        <v>0</v>
      </c>
    </row>
    <row r="237" spans="10:49" ht="15">
      <c r="J237" s="686"/>
      <c r="L237" s="686"/>
      <c r="M237" s="471"/>
      <c r="AW237" s="18">
        <f t="shared" si="7"/>
        <v>0</v>
      </c>
    </row>
    <row r="238" spans="10:49" ht="15">
      <c r="J238" s="686"/>
      <c r="L238" s="686"/>
      <c r="M238" s="471"/>
      <c r="AW238" s="18">
        <f t="shared" ref="AW238:AW301" si="8">LEN(L238)</f>
        <v>0</v>
      </c>
    </row>
    <row r="239" spans="10:49" ht="15">
      <c r="J239" s="686"/>
      <c r="L239" s="686"/>
      <c r="M239" s="471"/>
      <c r="AW239" s="18">
        <f t="shared" si="8"/>
        <v>0</v>
      </c>
    </row>
    <row r="240" spans="10:49" ht="15">
      <c r="J240" s="686"/>
      <c r="L240" s="686"/>
      <c r="M240" s="471"/>
      <c r="AW240" s="18">
        <f t="shared" si="8"/>
        <v>0</v>
      </c>
    </row>
    <row r="241" spans="10:49" ht="15">
      <c r="J241" s="686"/>
      <c r="L241" s="686"/>
      <c r="M241" s="471"/>
      <c r="AW241" s="18">
        <f t="shared" si="8"/>
        <v>0</v>
      </c>
    </row>
    <row r="242" spans="10:49" ht="15">
      <c r="J242" s="686"/>
      <c r="L242" s="686"/>
      <c r="M242" s="471"/>
      <c r="AW242" s="18">
        <f t="shared" si="8"/>
        <v>0</v>
      </c>
    </row>
    <row r="243" spans="10:49" ht="15">
      <c r="J243" s="686"/>
      <c r="L243" s="686"/>
      <c r="M243" s="471"/>
      <c r="AW243" s="18">
        <f t="shared" si="8"/>
        <v>0</v>
      </c>
    </row>
    <row r="244" spans="10:49" ht="15">
      <c r="J244" s="397"/>
      <c r="L244" s="397"/>
      <c r="M244" s="471"/>
      <c r="AW244" s="18">
        <f t="shared" si="8"/>
        <v>0</v>
      </c>
    </row>
    <row r="245" spans="10:49" ht="15">
      <c r="AW245" s="18">
        <f t="shared" si="8"/>
        <v>0</v>
      </c>
    </row>
    <row r="246" spans="10:49" ht="15">
      <c r="AW246" s="18">
        <f t="shared" si="8"/>
        <v>0</v>
      </c>
    </row>
    <row r="247" spans="10:49" ht="15">
      <c r="AW247" s="18">
        <f t="shared" si="8"/>
        <v>0</v>
      </c>
    </row>
    <row r="248" spans="10:49" ht="15">
      <c r="AW248" s="18">
        <f t="shared" si="8"/>
        <v>0</v>
      </c>
    </row>
    <row r="249" spans="10:49" ht="15">
      <c r="AW249" s="18">
        <f t="shared" si="8"/>
        <v>0</v>
      </c>
    </row>
    <row r="250" spans="10:49" ht="15">
      <c r="AW250" s="18">
        <f t="shared" si="8"/>
        <v>0</v>
      </c>
    </row>
    <row r="251" spans="10:49" ht="15">
      <c r="AW251" s="18">
        <f t="shared" si="8"/>
        <v>0</v>
      </c>
    </row>
    <row r="252" spans="10:49" ht="15">
      <c r="AW252" s="18">
        <f t="shared" si="8"/>
        <v>0</v>
      </c>
    </row>
    <row r="253" spans="10:49" ht="15">
      <c r="AW253" s="18">
        <f t="shared" si="8"/>
        <v>0</v>
      </c>
    </row>
    <row r="254" spans="10:49" ht="15">
      <c r="AW254" s="18">
        <f t="shared" si="8"/>
        <v>0</v>
      </c>
    </row>
    <row r="255" spans="10:49" ht="15">
      <c r="AW255" s="18">
        <f t="shared" si="8"/>
        <v>0</v>
      </c>
    </row>
    <row r="256" spans="10:49" ht="15">
      <c r="AW256" s="18">
        <f t="shared" si="8"/>
        <v>0</v>
      </c>
    </row>
    <row r="257" spans="49:49" ht="15">
      <c r="AW257" s="18">
        <f t="shared" si="8"/>
        <v>0</v>
      </c>
    </row>
    <row r="258" spans="49:49" ht="15">
      <c r="AW258" s="18">
        <f t="shared" si="8"/>
        <v>0</v>
      </c>
    </row>
    <row r="259" spans="49:49" ht="15">
      <c r="AW259" s="18">
        <f t="shared" si="8"/>
        <v>0</v>
      </c>
    </row>
    <row r="260" spans="49:49" ht="15">
      <c r="AW260" s="18">
        <f t="shared" si="8"/>
        <v>0</v>
      </c>
    </row>
    <row r="261" spans="49:49" ht="15">
      <c r="AW261" s="18">
        <f t="shared" si="8"/>
        <v>0</v>
      </c>
    </row>
    <row r="262" spans="49:49" ht="15">
      <c r="AW262" s="18">
        <f t="shared" si="8"/>
        <v>0</v>
      </c>
    </row>
    <row r="263" spans="49:49" ht="15">
      <c r="AW263" s="18">
        <f t="shared" si="8"/>
        <v>0</v>
      </c>
    </row>
    <row r="264" spans="49:49" ht="15">
      <c r="AW264" s="18">
        <f t="shared" si="8"/>
        <v>0</v>
      </c>
    </row>
    <row r="265" spans="49:49" ht="15">
      <c r="AW265" s="18">
        <f t="shared" si="8"/>
        <v>0</v>
      </c>
    </row>
    <row r="266" spans="49:49" ht="15">
      <c r="AW266" s="18">
        <f t="shared" si="8"/>
        <v>0</v>
      </c>
    </row>
    <row r="267" spans="49:49" ht="15">
      <c r="AW267" s="18">
        <f t="shared" si="8"/>
        <v>0</v>
      </c>
    </row>
    <row r="268" spans="49:49" ht="15">
      <c r="AW268" s="18">
        <f t="shared" si="8"/>
        <v>0</v>
      </c>
    </row>
    <row r="269" spans="49:49" ht="15">
      <c r="AW269" s="18">
        <f t="shared" si="8"/>
        <v>0</v>
      </c>
    </row>
    <row r="270" spans="49:49" ht="15">
      <c r="AW270" s="18">
        <f t="shared" si="8"/>
        <v>0</v>
      </c>
    </row>
    <row r="271" spans="49:49" ht="15">
      <c r="AW271" s="18">
        <f t="shared" si="8"/>
        <v>0</v>
      </c>
    </row>
    <row r="272" spans="49:49" ht="15">
      <c r="AW272" s="18">
        <f t="shared" si="8"/>
        <v>0</v>
      </c>
    </row>
    <row r="273" spans="49:49" ht="15">
      <c r="AW273" s="18">
        <f t="shared" si="8"/>
        <v>0</v>
      </c>
    </row>
    <row r="274" spans="49:49" ht="15">
      <c r="AW274" s="18">
        <f t="shared" si="8"/>
        <v>0</v>
      </c>
    </row>
    <row r="275" spans="49:49" ht="15">
      <c r="AW275" s="18">
        <f t="shared" si="8"/>
        <v>0</v>
      </c>
    </row>
    <row r="276" spans="49:49" ht="15">
      <c r="AW276" s="18">
        <f t="shared" si="8"/>
        <v>0</v>
      </c>
    </row>
    <row r="277" spans="49:49" ht="15">
      <c r="AW277" s="18">
        <f t="shared" si="8"/>
        <v>0</v>
      </c>
    </row>
    <row r="278" spans="49:49" ht="15">
      <c r="AW278" s="18">
        <f t="shared" si="8"/>
        <v>0</v>
      </c>
    </row>
    <row r="279" spans="49:49" ht="15">
      <c r="AW279" s="18">
        <f t="shared" si="8"/>
        <v>0</v>
      </c>
    </row>
    <row r="280" spans="49:49" ht="15">
      <c r="AW280" s="18">
        <f t="shared" si="8"/>
        <v>0</v>
      </c>
    </row>
    <row r="281" spans="49:49" ht="15">
      <c r="AW281" s="18">
        <f t="shared" si="8"/>
        <v>0</v>
      </c>
    </row>
    <row r="282" spans="49:49" ht="15">
      <c r="AW282" s="18">
        <f t="shared" si="8"/>
        <v>0</v>
      </c>
    </row>
    <row r="283" spans="49:49" ht="15">
      <c r="AW283" s="18">
        <f t="shared" si="8"/>
        <v>0</v>
      </c>
    </row>
    <row r="284" spans="49:49" ht="15">
      <c r="AW284" s="18">
        <f t="shared" si="8"/>
        <v>0</v>
      </c>
    </row>
    <row r="285" spans="49:49" ht="15">
      <c r="AW285" s="18">
        <f t="shared" si="8"/>
        <v>0</v>
      </c>
    </row>
    <row r="286" spans="49:49" ht="15">
      <c r="AW286" s="18">
        <f t="shared" si="8"/>
        <v>0</v>
      </c>
    </row>
    <row r="287" spans="49:49" ht="15">
      <c r="AW287" s="18">
        <f t="shared" si="8"/>
        <v>0</v>
      </c>
    </row>
    <row r="288" spans="49:49" ht="15">
      <c r="AW288" s="18">
        <f t="shared" si="8"/>
        <v>0</v>
      </c>
    </row>
    <row r="289" spans="49:49" ht="15">
      <c r="AW289" s="18">
        <f t="shared" si="8"/>
        <v>0</v>
      </c>
    </row>
    <row r="290" spans="49:49" ht="15">
      <c r="AW290" s="18">
        <f t="shared" si="8"/>
        <v>0</v>
      </c>
    </row>
    <row r="291" spans="49:49" ht="15">
      <c r="AW291" s="18">
        <f t="shared" si="8"/>
        <v>0</v>
      </c>
    </row>
    <row r="292" spans="49:49" ht="15">
      <c r="AW292" s="18">
        <f t="shared" si="8"/>
        <v>0</v>
      </c>
    </row>
    <row r="293" spans="49:49" ht="15">
      <c r="AW293" s="18">
        <f t="shared" si="8"/>
        <v>0</v>
      </c>
    </row>
    <row r="294" spans="49:49" ht="15">
      <c r="AW294" s="18">
        <f t="shared" si="8"/>
        <v>0</v>
      </c>
    </row>
    <row r="295" spans="49:49" ht="15">
      <c r="AW295" s="18">
        <f t="shared" si="8"/>
        <v>0</v>
      </c>
    </row>
    <row r="296" spans="49:49" ht="15">
      <c r="AW296" s="18">
        <f t="shared" si="8"/>
        <v>0</v>
      </c>
    </row>
    <row r="297" spans="49:49" ht="15">
      <c r="AW297" s="18">
        <f t="shared" si="8"/>
        <v>0</v>
      </c>
    </row>
    <row r="298" spans="49:49" ht="15">
      <c r="AW298" s="18">
        <f t="shared" si="8"/>
        <v>0</v>
      </c>
    </row>
    <row r="299" spans="49:49" ht="15">
      <c r="AW299" s="18">
        <f t="shared" si="8"/>
        <v>0</v>
      </c>
    </row>
    <row r="300" spans="49:49" ht="15">
      <c r="AW300" s="18">
        <f t="shared" si="8"/>
        <v>0</v>
      </c>
    </row>
    <row r="301" spans="49:49" ht="15">
      <c r="AW301" s="18">
        <f t="shared" si="8"/>
        <v>0</v>
      </c>
    </row>
    <row r="302" spans="49:49" ht="15">
      <c r="AW302" s="18">
        <f t="shared" ref="AW302:AW365" si="9">LEN(L302)</f>
        <v>0</v>
      </c>
    </row>
    <row r="303" spans="49:49" ht="15">
      <c r="AW303" s="18">
        <f t="shared" si="9"/>
        <v>0</v>
      </c>
    </row>
    <row r="304" spans="49:49" ht="15">
      <c r="AW304" s="18">
        <f t="shared" si="9"/>
        <v>0</v>
      </c>
    </row>
    <row r="305" spans="49:49" ht="15">
      <c r="AW305" s="18">
        <f t="shared" si="9"/>
        <v>0</v>
      </c>
    </row>
    <row r="306" spans="49:49" ht="15">
      <c r="AW306" s="18">
        <f t="shared" si="9"/>
        <v>0</v>
      </c>
    </row>
    <row r="307" spans="49:49" ht="15">
      <c r="AW307" s="18">
        <f t="shared" si="9"/>
        <v>0</v>
      </c>
    </row>
    <row r="308" spans="49:49" ht="15">
      <c r="AW308" s="18">
        <f t="shared" si="9"/>
        <v>0</v>
      </c>
    </row>
    <row r="309" spans="49:49" ht="15">
      <c r="AW309" s="18">
        <f t="shared" si="9"/>
        <v>0</v>
      </c>
    </row>
    <row r="310" spans="49:49" ht="15">
      <c r="AW310" s="18">
        <f t="shared" si="9"/>
        <v>0</v>
      </c>
    </row>
    <row r="311" spans="49:49" ht="15">
      <c r="AW311" s="18">
        <f t="shared" si="9"/>
        <v>0</v>
      </c>
    </row>
    <row r="312" spans="49:49" ht="15">
      <c r="AW312" s="18">
        <f t="shared" si="9"/>
        <v>0</v>
      </c>
    </row>
    <row r="313" spans="49:49" ht="15">
      <c r="AW313" s="18">
        <f t="shared" si="9"/>
        <v>0</v>
      </c>
    </row>
    <row r="314" spans="49:49" ht="15">
      <c r="AW314" s="18">
        <f t="shared" si="9"/>
        <v>0</v>
      </c>
    </row>
    <row r="315" spans="49:49" ht="15">
      <c r="AW315" s="18">
        <f t="shared" si="9"/>
        <v>0</v>
      </c>
    </row>
    <row r="316" spans="49:49" ht="15">
      <c r="AW316" s="18">
        <f t="shared" si="9"/>
        <v>0</v>
      </c>
    </row>
    <row r="317" spans="49:49" ht="15">
      <c r="AW317" s="18">
        <f t="shared" si="9"/>
        <v>0</v>
      </c>
    </row>
    <row r="318" spans="49:49" ht="15">
      <c r="AW318" s="18">
        <f t="shared" si="9"/>
        <v>0</v>
      </c>
    </row>
    <row r="319" spans="49:49" ht="15">
      <c r="AW319" s="18">
        <f t="shared" si="9"/>
        <v>0</v>
      </c>
    </row>
    <row r="320" spans="49:49" ht="15">
      <c r="AW320" s="18">
        <f t="shared" si="9"/>
        <v>0</v>
      </c>
    </row>
    <row r="321" spans="49:49" ht="15">
      <c r="AW321" s="18">
        <f t="shared" si="9"/>
        <v>0</v>
      </c>
    </row>
    <row r="322" spans="49:49" ht="15">
      <c r="AW322" s="18">
        <f t="shared" si="9"/>
        <v>0</v>
      </c>
    </row>
    <row r="323" spans="49:49" ht="15">
      <c r="AW323" s="18">
        <f t="shared" si="9"/>
        <v>0</v>
      </c>
    </row>
    <row r="324" spans="49:49" ht="15">
      <c r="AW324" s="18">
        <f t="shared" si="9"/>
        <v>0</v>
      </c>
    </row>
    <row r="325" spans="49:49" ht="15">
      <c r="AW325" s="18">
        <f t="shared" si="9"/>
        <v>0</v>
      </c>
    </row>
    <row r="326" spans="49:49" ht="15">
      <c r="AW326" s="18">
        <f t="shared" si="9"/>
        <v>0</v>
      </c>
    </row>
    <row r="327" spans="49:49" ht="15">
      <c r="AW327" s="18">
        <f t="shared" si="9"/>
        <v>0</v>
      </c>
    </row>
    <row r="328" spans="49:49" ht="15">
      <c r="AW328" s="18">
        <f t="shared" si="9"/>
        <v>0</v>
      </c>
    </row>
    <row r="329" spans="49:49" ht="15">
      <c r="AW329" s="18">
        <f t="shared" si="9"/>
        <v>0</v>
      </c>
    </row>
    <row r="330" spans="49:49" ht="15">
      <c r="AW330" s="18">
        <f t="shared" si="9"/>
        <v>0</v>
      </c>
    </row>
    <row r="331" spans="49:49" ht="15">
      <c r="AW331" s="18">
        <f t="shared" si="9"/>
        <v>0</v>
      </c>
    </row>
    <row r="332" spans="49:49" ht="15">
      <c r="AW332" s="18">
        <f t="shared" si="9"/>
        <v>0</v>
      </c>
    </row>
    <row r="333" spans="49:49" ht="15">
      <c r="AW333" s="18">
        <f t="shared" si="9"/>
        <v>0</v>
      </c>
    </row>
    <row r="334" spans="49:49" ht="15">
      <c r="AW334" s="18">
        <f t="shared" si="9"/>
        <v>0</v>
      </c>
    </row>
    <row r="335" spans="49:49" ht="15">
      <c r="AW335" s="18">
        <f t="shared" si="9"/>
        <v>0</v>
      </c>
    </row>
    <row r="336" spans="49:49" ht="15">
      <c r="AW336" s="18">
        <f t="shared" si="9"/>
        <v>0</v>
      </c>
    </row>
    <row r="337" spans="49:49" ht="15">
      <c r="AW337" s="18">
        <f t="shared" si="9"/>
        <v>0</v>
      </c>
    </row>
    <row r="338" spans="49:49" ht="15">
      <c r="AW338" s="18">
        <f t="shared" si="9"/>
        <v>0</v>
      </c>
    </row>
    <row r="339" spans="49:49" ht="15">
      <c r="AW339" s="18">
        <f t="shared" si="9"/>
        <v>0</v>
      </c>
    </row>
    <row r="340" spans="49:49" ht="15">
      <c r="AW340" s="18">
        <f t="shared" si="9"/>
        <v>0</v>
      </c>
    </row>
    <row r="341" spans="49:49" ht="15">
      <c r="AW341" s="18">
        <f t="shared" si="9"/>
        <v>0</v>
      </c>
    </row>
    <row r="342" spans="49:49" ht="15">
      <c r="AW342" s="18">
        <f t="shared" si="9"/>
        <v>0</v>
      </c>
    </row>
    <row r="343" spans="49:49" ht="15">
      <c r="AW343" s="18">
        <f t="shared" si="9"/>
        <v>0</v>
      </c>
    </row>
    <row r="344" spans="49:49" ht="15">
      <c r="AW344" s="18">
        <f t="shared" si="9"/>
        <v>0</v>
      </c>
    </row>
    <row r="345" spans="49:49" ht="15">
      <c r="AW345" s="18">
        <f t="shared" si="9"/>
        <v>0</v>
      </c>
    </row>
    <row r="346" spans="49:49" ht="15">
      <c r="AW346" s="18">
        <f t="shared" si="9"/>
        <v>0</v>
      </c>
    </row>
    <row r="347" spans="49:49" ht="15">
      <c r="AW347" s="18">
        <f t="shared" si="9"/>
        <v>0</v>
      </c>
    </row>
    <row r="348" spans="49:49" ht="15">
      <c r="AW348" s="18">
        <f t="shared" si="9"/>
        <v>0</v>
      </c>
    </row>
    <row r="349" spans="49:49" ht="15">
      <c r="AW349" s="18">
        <f t="shared" si="9"/>
        <v>0</v>
      </c>
    </row>
    <row r="350" spans="49:49" ht="15">
      <c r="AW350" s="18">
        <f t="shared" si="9"/>
        <v>0</v>
      </c>
    </row>
    <row r="351" spans="49:49" ht="15">
      <c r="AW351" s="18">
        <f t="shared" si="9"/>
        <v>0</v>
      </c>
    </row>
    <row r="352" spans="49:49" ht="15">
      <c r="AW352" s="18">
        <f t="shared" si="9"/>
        <v>0</v>
      </c>
    </row>
    <row r="353" spans="49:49" ht="15">
      <c r="AW353" s="18">
        <f t="shared" si="9"/>
        <v>0</v>
      </c>
    </row>
    <row r="354" spans="49:49" ht="15">
      <c r="AW354" s="18">
        <f t="shared" si="9"/>
        <v>0</v>
      </c>
    </row>
    <row r="355" spans="49:49" ht="15">
      <c r="AW355" s="18">
        <f t="shared" si="9"/>
        <v>0</v>
      </c>
    </row>
    <row r="356" spans="49:49" ht="15">
      <c r="AW356" s="18">
        <f t="shared" si="9"/>
        <v>0</v>
      </c>
    </row>
    <row r="357" spans="49:49" ht="15">
      <c r="AW357" s="18">
        <f t="shared" si="9"/>
        <v>0</v>
      </c>
    </row>
    <row r="358" spans="49:49" ht="15">
      <c r="AW358" s="18">
        <f t="shared" si="9"/>
        <v>0</v>
      </c>
    </row>
    <row r="359" spans="49:49" ht="15">
      <c r="AW359" s="18">
        <f t="shared" si="9"/>
        <v>0</v>
      </c>
    </row>
    <row r="360" spans="49:49" ht="15">
      <c r="AW360" s="18">
        <f t="shared" si="9"/>
        <v>0</v>
      </c>
    </row>
    <row r="361" spans="49:49" ht="15">
      <c r="AW361" s="18">
        <f t="shared" si="9"/>
        <v>0</v>
      </c>
    </row>
    <row r="362" spans="49:49" ht="15">
      <c r="AW362" s="18">
        <f t="shared" si="9"/>
        <v>0</v>
      </c>
    </row>
    <row r="363" spans="49:49" ht="15">
      <c r="AW363" s="18">
        <f t="shared" si="9"/>
        <v>0</v>
      </c>
    </row>
    <row r="364" spans="49:49" ht="15">
      <c r="AW364" s="18">
        <f t="shared" si="9"/>
        <v>0</v>
      </c>
    </row>
    <row r="365" spans="49:49" ht="15">
      <c r="AW365" s="18">
        <f t="shared" si="9"/>
        <v>0</v>
      </c>
    </row>
    <row r="366" spans="49:49" ht="15">
      <c r="AW366" s="18">
        <f t="shared" ref="AW366:AW429" si="10">LEN(L366)</f>
        <v>0</v>
      </c>
    </row>
    <row r="367" spans="49:49" ht="15">
      <c r="AW367" s="18">
        <f t="shared" si="10"/>
        <v>0</v>
      </c>
    </row>
    <row r="368" spans="49:49" ht="15">
      <c r="AW368" s="18">
        <f t="shared" si="10"/>
        <v>0</v>
      </c>
    </row>
    <row r="369" spans="49:49" ht="15">
      <c r="AW369" s="18">
        <f t="shared" si="10"/>
        <v>0</v>
      </c>
    </row>
    <row r="370" spans="49:49" ht="15">
      <c r="AW370" s="18">
        <f t="shared" si="10"/>
        <v>0</v>
      </c>
    </row>
    <row r="371" spans="49:49" ht="15">
      <c r="AW371" s="18">
        <f t="shared" si="10"/>
        <v>0</v>
      </c>
    </row>
    <row r="372" spans="49:49" ht="15">
      <c r="AW372" s="18">
        <f t="shared" si="10"/>
        <v>0</v>
      </c>
    </row>
    <row r="373" spans="49:49" ht="15">
      <c r="AW373" s="18">
        <f t="shared" si="10"/>
        <v>0</v>
      </c>
    </row>
    <row r="374" spans="49:49" ht="15">
      <c r="AW374" s="18">
        <f t="shared" si="10"/>
        <v>0</v>
      </c>
    </row>
    <row r="375" spans="49:49" ht="15">
      <c r="AW375" s="18">
        <f t="shared" si="10"/>
        <v>0</v>
      </c>
    </row>
    <row r="376" spans="49:49" ht="15">
      <c r="AW376" s="18">
        <f t="shared" si="10"/>
        <v>0</v>
      </c>
    </row>
    <row r="377" spans="49:49" ht="15">
      <c r="AW377" s="18">
        <f t="shared" si="10"/>
        <v>0</v>
      </c>
    </row>
    <row r="378" spans="49:49" ht="15">
      <c r="AW378" s="18">
        <f t="shared" si="10"/>
        <v>0</v>
      </c>
    </row>
    <row r="379" spans="49:49" ht="15">
      <c r="AW379" s="18">
        <f t="shared" si="10"/>
        <v>0</v>
      </c>
    </row>
    <row r="380" spans="49:49" ht="15">
      <c r="AW380" s="18">
        <f t="shared" si="10"/>
        <v>0</v>
      </c>
    </row>
    <row r="381" spans="49:49" ht="15">
      <c r="AW381" s="18">
        <f t="shared" si="10"/>
        <v>0</v>
      </c>
    </row>
    <row r="382" spans="49:49" ht="15">
      <c r="AW382" s="18">
        <f t="shared" si="10"/>
        <v>0</v>
      </c>
    </row>
    <row r="383" spans="49:49" ht="15">
      <c r="AW383" s="18">
        <f t="shared" si="10"/>
        <v>0</v>
      </c>
    </row>
    <row r="384" spans="49:49" ht="15">
      <c r="AW384" s="18">
        <f t="shared" si="10"/>
        <v>0</v>
      </c>
    </row>
    <row r="385" spans="49:49" ht="15">
      <c r="AW385" s="18">
        <f t="shared" si="10"/>
        <v>0</v>
      </c>
    </row>
    <row r="386" spans="49:49" ht="15">
      <c r="AW386" s="18">
        <f t="shared" si="10"/>
        <v>0</v>
      </c>
    </row>
    <row r="387" spans="49:49" ht="15">
      <c r="AW387" s="18">
        <f t="shared" si="10"/>
        <v>0</v>
      </c>
    </row>
    <row r="388" spans="49:49" ht="15">
      <c r="AW388" s="18">
        <f t="shared" si="10"/>
        <v>0</v>
      </c>
    </row>
    <row r="389" spans="49:49" ht="15">
      <c r="AW389" s="18">
        <f t="shared" si="10"/>
        <v>0</v>
      </c>
    </row>
    <row r="390" spans="49:49" ht="15">
      <c r="AW390" s="18">
        <f t="shared" si="10"/>
        <v>0</v>
      </c>
    </row>
    <row r="391" spans="49:49" ht="15">
      <c r="AW391" s="18">
        <f t="shared" si="10"/>
        <v>0</v>
      </c>
    </row>
    <row r="392" spans="49:49" ht="15">
      <c r="AW392" s="18">
        <f t="shared" si="10"/>
        <v>0</v>
      </c>
    </row>
    <row r="393" spans="49:49" ht="15">
      <c r="AW393" s="18">
        <f t="shared" si="10"/>
        <v>0</v>
      </c>
    </row>
    <row r="394" spans="49:49" ht="15">
      <c r="AW394" s="18">
        <f t="shared" si="10"/>
        <v>0</v>
      </c>
    </row>
    <row r="395" spans="49:49" ht="15">
      <c r="AW395" s="18">
        <f t="shared" si="10"/>
        <v>0</v>
      </c>
    </row>
    <row r="396" spans="49:49" ht="15">
      <c r="AW396" s="18">
        <f t="shared" si="10"/>
        <v>0</v>
      </c>
    </row>
    <row r="397" spans="49:49" ht="15">
      <c r="AW397" s="18">
        <f t="shared" si="10"/>
        <v>0</v>
      </c>
    </row>
    <row r="398" spans="49:49" ht="15">
      <c r="AW398" s="18">
        <f t="shared" si="10"/>
        <v>0</v>
      </c>
    </row>
    <row r="399" spans="49:49" ht="15">
      <c r="AW399" s="18">
        <f t="shared" si="10"/>
        <v>0</v>
      </c>
    </row>
    <row r="400" spans="49:49" ht="15">
      <c r="AW400" s="18">
        <f t="shared" si="10"/>
        <v>0</v>
      </c>
    </row>
    <row r="401" spans="49:49" ht="15">
      <c r="AW401" s="18">
        <f t="shared" si="10"/>
        <v>0</v>
      </c>
    </row>
    <row r="402" spans="49:49" ht="15">
      <c r="AW402" s="18">
        <f t="shared" si="10"/>
        <v>0</v>
      </c>
    </row>
    <row r="403" spans="49:49" ht="15">
      <c r="AW403" s="18">
        <f t="shared" si="10"/>
        <v>0</v>
      </c>
    </row>
    <row r="404" spans="49:49" ht="15">
      <c r="AW404" s="18">
        <f t="shared" si="10"/>
        <v>0</v>
      </c>
    </row>
    <row r="405" spans="49:49" ht="15">
      <c r="AW405" s="18">
        <f t="shared" si="10"/>
        <v>0</v>
      </c>
    </row>
    <row r="406" spans="49:49" ht="15">
      <c r="AW406" s="18">
        <f t="shared" si="10"/>
        <v>0</v>
      </c>
    </row>
    <row r="407" spans="49:49" ht="15">
      <c r="AW407" s="18">
        <f t="shared" si="10"/>
        <v>0</v>
      </c>
    </row>
    <row r="408" spans="49:49" ht="15">
      <c r="AW408" s="18">
        <f t="shared" si="10"/>
        <v>0</v>
      </c>
    </row>
    <row r="409" spans="49:49" ht="15">
      <c r="AW409" s="18">
        <f t="shared" si="10"/>
        <v>0</v>
      </c>
    </row>
    <row r="410" spans="49:49" ht="15">
      <c r="AW410" s="18">
        <f t="shared" si="10"/>
        <v>0</v>
      </c>
    </row>
    <row r="411" spans="49:49" ht="15">
      <c r="AW411" s="18">
        <f t="shared" si="10"/>
        <v>0</v>
      </c>
    </row>
    <row r="412" spans="49:49" ht="15">
      <c r="AW412" s="18">
        <f t="shared" si="10"/>
        <v>0</v>
      </c>
    </row>
    <row r="413" spans="49:49" ht="15">
      <c r="AW413" s="18">
        <f t="shared" si="10"/>
        <v>0</v>
      </c>
    </row>
    <row r="414" spans="49:49" ht="15">
      <c r="AW414" s="18">
        <f t="shared" si="10"/>
        <v>0</v>
      </c>
    </row>
    <row r="415" spans="49:49" ht="15">
      <c r="AW415" s="18">
        <f t="shared" si="10"/>
        <v>0</v>
      </c>
    </row>
    <row r="416" spans="49:49" ht="15">
      <c r="AW416" s="18">
        <f t="shared" si="10"/>
        <v>0</v>
      </c>
    </row>
    <row r="417" spans="49:49" ht="15">
      <c r="AW417" s="18">
        <f t="shared" si="10"/>
        <v>0</v>
      </c>
    </row>
    <row r="418" spans="49:49" ht="15">
      <c r="AW418" s="18">
        <f t="shared" si="10"/>
        <v>0</v>
      </c>
    </row>
    <row r="419" spans="49:49" ht="15">
      <c r="AW419" s="18">
        <f t="shared" si="10"/>
        <v>0</v>
      </c>
    </row>
    <row r="420" spans="49:49" ht="15">
      <c r="AW420" s="18">
        <f t="shared" si="10"/>
        <v>0</v>
      </c>
    </row>
    <row r="421" spans="49:49" ht="15">
      <c r="AW421" s="18">
        <f t="shared" si="10"/>
        <v>0</v>
      </c>
    </row>
    <row r="422" spans="49:49" ht="15">
      <c r="AW422" s="18">
        <f t="shared" si="10"/>
        <v>0</v>
      </c>
    </row>
    <row r="423" spans="49:49" ht="15">
      <c r="AW423" s="18">
        <f t="shared" si="10"/>
        <v>0</v>
      </c>
    </row>
    <row r="424" spans="49:49" ht="15">
      <c r="AW424" s="18">
        <f t="shared" si="10"/>
        <v>0</v>
      </c>
    </row>
    <row r="425" spans="49:49" ht="15">
      <c r="AW425" s="18">
        <f t="shared" si="10"/>
        <v>0</v>
      </c>
    </row>
    <row r="426" spans="49:49" ht="15">
      <c r="AW426" s="18">
        <f t="shared" si="10"/>
        <v>0</v>
      </c>
    </row>
    <row r="427" spans="49:49" ht="15">
      <c r="AW427" s="18">
        <f t="shared" si="10"/>
        <v>0</v>
      </c>
    </row>
    <row r="428" spans="49:49" ht="15">
      <c r="AW428" s="18">
        <f t="shared" si="10"/>
        <v>0</v>
      </c>
    </row>
    <row r="429" spans="49:49" ht="15">
      <c r="AW429" s="18">
        <f t="shared" si="10"/>
        <v>0</v>
      </c>
    </row>
    <row r="430" spans="49:49" ht="15">
      <c r="AW430" s="18">
        <f t="shared" ref="AW430:AW484" si="11">LEN(L430)</f>
        <v>0</v>
      </c>
    </row>
    <row r="431" spans="49:49" ht="15">
      <c r="AW431" s="18">
        <f t="shared" si="11"/>
        <v>0</v>
      </c>
    </row>
    <row r="432" spans="49:49" ht="15">
      <c r="AW432" s="18">
        <f t="shared" si="11"/>
        <v>0</v>
      </c>
    </row>
    <row r="433" spans="49:49" ht="15">
      <c r="AW433" s="18">
        <f t="shared" si="11"/>
        <v>0</v>
      </c>
    </row>
    <row r="434" spans="49:49" ht="15">
      <c r="AW434" s="18">
        <f t="shared" si="11"/>
        <v>0</v>
      </c>
    </row>
    <row r="435" spans="49:49" ht="15">
      <c r="AW435" s="18">
        <f t="shared" si="11"/>
        <v>0</v>
      </c>
    </row>
    <row r="436" spans="49:49" ht="15">
      <c r="AW436" s="18">
        <f t="shared" si="11"/>
        <v>0</v>
      </c>
    </row>
    <row r="437" spans="49:49" ht="15">
      <c r="AW437" s="18">
        <f t="shared" si="11"/>
        <v>0</v>
      </c>
    </row>
    <row r="438" spans="49:49" ht="15">
      <c r="AW438" s="18">
        <f t="shared" si="11"/>
        <v>0</v>
      </c>
    </row>
    <row r="439" spans="49:49" ht="15">
      <c r="AW439" s="18">
        <f t="shared" si="11"/>
        <v>0</v>
      </c>
    </row>
    <row r="440" spans="49:49" ht="15">
      <c r="AW440" s="18">
        <f t="shared" si="11"/>
        <v>0</v>
      </c>
    </row>
    <row r="441" spans="49:49" ht="15">
      <c r="AW441" s="18">
        <f t="shared" si="11"/>
        <v>0</v>
      </c>
    </row>
    <row r="442" spans="49:49" ht="15">
      <c r="AW442" s="18">
        <f t="shared" si="11"/>
        <v>0</v>
      </c>
    </row>
    <row r="443" spans="49:49" ht="15">
      <c r="AW443" s="18">
        <f t="shared" si="11"/>
        <v>0</v>
      </c>
    </row>
    <row r="444" spans="49:49" ht="15">
      <c r="AW444" s="18">
        <f t="shared" si="11"/>
        <v>0</v>
      </c>
    </row>
    <row r="445" spans="49:49" ht="15">
      <c r="AW445" s="18">
        <f t="shared" si="11"/>
        <v>0</v>
      </c>
    </row>
    <row r="446" spans="49:49" ht="15">
      <c r="AW446" s="18">
        <f t="shared" si="11"/>
        <v>0</v>
      </c>
    </row>
    <row r="447" spans="49:49" ht="15">
      <c r="AW447" s="18">
        <f t="shared" si="11"/>
        <v>0</v>
      </c>
    </row>
    <row r="448" spans="49:49" ht="15">
      <c r="AW448" s="18">
        <f t="shared" si="11"/>
        <v>0</v>
      </c>
    </row>
    <row r="449" spans="49:49" ht="15">
      <c r="AW449" s="18">
        <f t="shared" si="11"/>
        <v>0</v>
      </c>
    </row>
    <row r="450" spans="49:49" ht="15">
      <c r="AW450" s="18">
        <f t="shared" si="11"/>
        <v>0</v>
      </c>
    </row>
    <row r="451" spans="49:49" ht="15">
      <c r="AW451" s="18">
        <f t="shared" si="11"/>
        <v>0</v>
      </c>
    </row>
    <row r="452" spans="49:49" ht="15">
      <c r="AW452" s="18">
        <f t="shared" si="11"/>
        <v>0</v>
      </c>
    </row>
    <row r="453" spans="49:49" ht="15">
      <c r="AW453" s="18">
        <f t="shared" si="11"/>
        <v>0</v>
      </c>
    </row>
    <row r="454" spans="49:49" ht="15">
      <c r="AW454" s="18">
        <f t="shared" si="11"/>
        <v>0</v>
      </c>
    </row>
    <row r="455" spans="49:49" ht="15">
      <c r="AW455" s="18">
        <f t="shared" si="11"/>
        <v>0</v>
      </c>
    </row>
    <row r="456" spans="49:49" ht="15">
      <c r="AW456" s="18">
        <f t="shared" si="11"/>
        <v>0</v>
      </c>
    </row>
    <row r="457" spans="49:49" ht="15">
      <c r="AW457" s="18">
        <f t="shared" si="11"/>
        <v>0</v>
      </c>
    </row>
    <row r="458" spans="49:49" ht="15">
      <c r="AW458" s="18">
        <f t="shared" si="11"/>
        <v>0</v>
      </c>
    </row>
    <row r="459" spans="49:49" ht="15">
      <c r="AW459" s="18">
        <f t="shared" si="11"/>
        <v>0</v>
      </c>
    </row>
    <row r="460" spans="49:49" ht="15">
      <c r="AW460" s="18">
        <f t="shared" si="11"/>
        <v>0</v>
      </c>
    </row>
    <row r="461" spans="49:49" ht="15">
      <c r="AW461" s="18">
        <f t="shared" si="11"/>
        <v>0</v>
      </c>
    </row>
    <row r="462" spans="49:49" ht="15">
      <c r="AW462" s="18">
        <f t="shared" si="11"/>
        <v>0</v>
      </c>
    </row>
    <row r="463" spans="49:49" ht="15">
      <c r="AW463" s="18">
        <f t="shared" si="11"/>
        <v>0</v>
      </c>
    </row>
    <row r="464" spans="49:49" ht="15">
      <c r="AW464" s="18">
        <f t="shared" si="11"/>
        <v>0</v>
      </c>
    </row>
    <row r="465" spans="49:49" ht="15">
      <c r="AW465" s="18">
        <f t="shared" si="11"/>
        <v>0</v>
      </c>
    </row>
    <row r="466" spans="49:49" ht="15">
      <c r="AW466" s="18">
        <f t="shared" si="11"/>
        <v>0</v>
      </c>
    </row>
    <row r="467" spans="49:49" ht="15">
      <c r="AW467" s="18">
        <f t="shared" si="11"/>
        <v>0</v>
      </c>
    </row>
    <row r="468" spans="49:49" ht="15">
      <c r="AW468" s="18">
        <f t="shared" si="11"/>
        <v>0</v>
      </c>
    </row>
    <row r="469" spans="49:49" ht="15">
      <c r="AW469" s="18">
        <f t="shared" si="11"/>
        <v>0</v>
      </c>
    </row>
    <row r="470" spans="49:49" ht="15">
      <c r="AW470" s="18">
        <f t="shared" si="11"/>
        <v>0</v>
      </c>
    </row>
    <row r="471" spans="49:49" ht="15">
      <c r="AW471" s="18">
        <f t="shared" si="11"/>
        <v>0</v>
      </c>
    </row>
    <row r="472" spans="49:49" ht="15">
      <c r="AW472" s="18">
        <f t="shared" si="11"/>
        <v>0</v>
      </c>
    </row>
    <row r="473" spans="49:49" ht="15">
      <c r="AW473" s="18">
        <f t="shared" si="11"/>
        <v>0</v>
      </c>
    </row>
    <row r="474" spans="49:49" ht="15">
      <c r="AW474" s="18">
        <f t="shared" si="11"/>
        <v>0</v>
      </c>
    </row>
    <row r="475" spans="49:49" ht="15">
      <c r="AW475" s="18">
        <f t="shared" si="11"/>
        <v>0</v>
      </c>
    </row>
    <row r="476" spans="49:49" ht="15">
      <c r="AW476" s="18">
        <f t="shared" si="11"/>
        <v>0</v>
      </c>
    </row>
    <row r="477" spans="49:49" ht="15">
      <c r="AW477" s="18">
        <f t="shared" si="11"/>
        <v>0</v>
      </c>
    </row>
    <row r="478" spans="49:49" ht="15">
      <c r="AW478" s="18">
        <f t="shared" si="11"/>
        <v>0</v>
      </c>
    </row>
    <row r="479" spans="49:49" ht="15">
      <c r="AW479" s="18">
        <f t="shared" si="11"/>
        <v>0</v>
      </c>
    </row>
    <row r="480" spans="49:49" ht="15">
      <c r="AW480" s="18">
        <f t="shared" si="11"/>
        <v>0</v>
      </c>
    </row>
    <row r="481" spans="49:49" ht="15">
      <c r="AW481" s="18">
        <f t="shared" si="11"/>
        <v>0</v>
      </c>
    </row>
    <row r="482" spans="49:49" ht="15">
      <c r="AW482" s="18">
        <f t="shared" si="11"/>
        <v>0</v>
      </c>
    </row>
    <row r="483" spans="49:49" ht="15">
      <c r="AW483" s="18">
        <f t="shared" si="11"/>
        <v>0</v>
      </c>
    </row>
    <row r="484" spans="49:49" ht="15">
      <c r="AW484" s="18">
        <f t="shared" si="11"/>
        <v>0</v>
      </c>
    </row>
  </sheetData>
  <mergeCells count="60">
    <mergeCell ref="J231:J240"/>
    <mergeCell ref="L231:L240"/>
    <mergeCell ref="J241:J243"/>
    <mergeCell ref="L241:L243"/>
    <mergeCell ref="J166:J230"/>
    <mergeCell ref="L166:L230"/>
    <mergeCell ref="BZ5:CB5"/>
    <mergeCell ref="CC5:CD5"/>
    <mergeCell ref="AZ5:AZ6"/>
    <mergeCell ref="BA5:BE5"/>
    <mergeCell ref="BF5:BS5"/>
    <mergeCell ref="BT5:BW5"/>
    <mergeCell ref="BX5:BY5"/>
    <mergeCell ref="AU5:AU6"/>
    <mergeCell ref="AV5:AV6"/>
    <mergeCell ref="AX5:AX6"/>
    <mergeCell ref="AP5:AP6"/>
    <mergeCell ref="AQ5:AQ6"/>
    <mergeCell ref="AT5:AT6"/>
    <mergeCell ref="AR5:AR6"/>
    <mergeCell ref="AS5:AS6"/>
    <mergeCell ref="B4:C4"/>
    <mergeCell ref="E5:E6"/>
    <mergeCell ref="H5:H6"/>
    <mergeCell ref="AE5:AE6"/>
    <mergeCell ref="AK5:AK6"/>
    <mergeCell ref="P5:P6"/>
    <mergeCell ref="Q5:Q6"/>
    <mergeCell ref="AJ5:AJ6"/>
    <mergeCell ref="N5:N6"/>
    <mergeCell ref="R5:R6"/>
    <mergeCell ref="S5:S6"/>
    <mergeCell ref="AG5:AG6"/>
    <mergeCell ref="AH5:AH6"/>
    <mergeCell ref="Y5:Y6"/>
    <mergeCell ref="AA5:AA6"/>
    <mergeCell ref="AB5:AB6"/>
    <mergeCell ref="AC5:AC6"/>
    <mergeCell ref="AD5:AD6"/>
    <mergeCell ref="T5:T6"/>
    <mergeCell ref="AO5:AO6"/>
    <mergeCell ref="U5:U6"/>
    <mergeCell ref="V5:V6"/>
    <mergeCell ref="AL5:AL6"/>
    <mergeCell ref="AO4:AU4"/>
    <mergeCell ref="B5:B6"/>
    <mergeCell ref="C5:C6"/>
    <mergeCell ref="D5:D6"/>
    <mergeCell ref="K5:K6"/>
    <mergeCell ref="L5:L6"/>
    <mergeCell ref="I5:I6"/>
    <mergeCell ref="J5:J6"/>
    <mergeCell ref="AF5:AF6"/>
    <mergeCell ref="Z5:Z6"/>
    <mergeCell ref="O5:O6"/>
    <mergeCell ref="W5:W6"/>
    <mergeCell ref="X5:X6"/>
    <mergeCell ref="AI5:AI6"/>
    <mergeCell ref="AE4:AL4"/>
    <mergeCell ref="W4:AD4"/>
  </mergeCells>
  <phoneticPr fontId="13" type="noConversion"/>
  <conditionalFormatting sqref="AW44:AW46 AW1:AW24 AW37:AW42 AW48 AW50:AW1048576 AW26:AW33">
    <cfRule type="cellIs" dxfId="330" priority="62" stopIfTrue="1" operator="greaterThan">
      <formula>42</formula>
    </cfRule>
  </conditionalFormatting>
  <conditionalFormatting sqref="AW45:AW46 AW48 AW50:AW96">
    <cfRule type="cellIs" dxfId="329" priority="53" stopIfTrue="1" operator="greaterThan">
      <formula>42</formula>
    </cfRule>
  </conditionalFormatting>
  <conditionalFormatting sqref="AW45:AW46 AW48 AW50:AW96">
    <cfRule type="cellIs" dxfId="328" priority="52" stopIfTrue="1" operator="greaterThan">
      <formula>42</formula>
    </cfRule>
  </conditionalFormatting>
  <conditionalFormatting sqref="AW45:AW46 AW48 AW50:AW96">
    <cfRule type="cellIs" dxfId="327" priority="51" stopIfTrue="1" operator="greaterThan">
      <formula>42</formula>
    </cfRule>
  </conditionalFormatting>
  <conditionalFormatting sqref="AW45">
    <cfRule type="cellIs" dxfId="326" priority="50" stopIfTrue="1" operator="greaterThan">
      <formula>42</formula>
    </cfRule>
  </conditionalFormatting>
  <conditionalFormatting sqref="AW45">
    <cfRule type="cellIs" dxfId="325" priority="49" stopIfTrue="1" operator="greaterThan">
      <formula>42</formula>
    </cfRule>
  </conditionalFormatting>
  <conditionalFormatting sqref="AW45">
    <cfRule type="cellIs" dxfId="324" priority="48" stopIfTrue="1" operator="greaterThan">
      <formula>42</formula>
    </cfRule>
  </conditionalFormatting>
  <conditionalFormatting sqref="AW45">
    <cfRule type="cellIs" dxfId="323" priority="47" stopIfTrue="1" operator="greaterThan">
      <formula>42</formula>
    </cfRule>
  </conditionalFormatting>
  <conditionalFormatting sqref="AW45">
    <cfRule type="cellIs" dxfId="322" priority="46" stopIfTrue="1" operator="greaterThan">
      <formula>42</formula>
    </cfRule>
  </conditionalFormatting>
  <conditionalFormatting sqref="AW45">
    <cfRule type="cellIs" dxfId="321" priority="45" stopIfTrue="1" operator="greaterThan">
      <formula>42</formula>
    </cfRule>
  </conditionalFormatting>
  <conditionalFormatting sqref="AW45">
    <cfRule type="cellIs" dxfId="320" priority="44" stopIfTrue="1" operator="greaterThan">
      <formula>42</formula>
    </cfRule>
  </conditionalFormatting>
  <conditionalFormatting sqref="AW45">
    <cfRule type="cellIs" dxfId="319" priority="43" stopIfTrue="1" operator="greaterThan">
      <formula>42</formula>
    </cfRule>
  </conditionalFormatting>
  <conditionalFormatting sqref="AW45">
    <cfRule type="cellIs" dxfId="318" priority="42" stopIfTrue="1" operator="greaterThan">
      <formula>42</formula>
    </cfRule>
  </conditionalFormatting>
  <conditionalFormatting sqref="AW45">
    <cfRule type="cellIs" dxfId="317" priority="41" stopIfTrue="1" operator="greaterThan">
      <formula>42</formula>
    </cfRule>
  </conditionalFormatting>
  <conditionalFormatting sqref="AW45">
    <cfRule type="cellIs" dxfId="316" priority="40" stopIfTrue="1" operator="greaterThan">
      <formula>42</formula>
    </cfRule>
  </conditionalFormatting>
  <conditionalFormatting sqref="AW45">
    <cfRule type="cellIs" dxfId="315" priority="39" stopIfTrue="1" operator="greaterThan">
      <formula>42</formula>
    </cfRule>
  </conditionalFormatting>
  <conditionalFormatting sqref="AW45">
    <cfRule type="cellIs" dxfId="314" priority="38" stopIfTrue="1" operator="greaterThan">
      <formula>42</formula>
    </cfRule>
  </conditionalFormatting>
  <conditionalFormatting sqref="AW45">
    <cfRule type="cellIs" dxfId="313" priority="37" stopIfTrue="1" operator="greaterThan">
      <formula>42</formula>
    </cfRule>
  </conditionalFormatting>
  <conditionalFormatting sqref="AW45">
    <cfRule type="cellIs" dxfId="312" priority="36" stopIfTrue="1" operator="greaterThan">
      <formula>42</formula>
    </cfRule>
  </conditionalFormatting>
  <conditionalFormatting sqref="AW45">
    <cfRule type="cellIs" dxfId="311" priority="35" stopIfTrue="1" operator="greaterThan">
      <formula>42</formula>
    </cfRule>
  </conditionalFormatting>
  <conditionalFormatting sqref="AW45">
    <cfRule type="cellIs" dxfId="310" priority="34" stopIfTrue="1" operator="greaterThan">
      <formula>42</formula>
    </cfRule>
  </conditionalFormatting>
  <conditionalFormatting sqref="AW45">
    <cfRule type="cellIs" dxfId="309" priority="33" stopIfTrue="1" operator="greaterThan">
      <formula>42</formula>
    </cfRule>
  </conditionalFormatting>
  <conditionalFormatting sqref="AW45">
    <cfRule type="cellIs" dxfId="308" priority="32" stopIfTrue="1" operator="greaterThan">
      <formula>42</formula>
    </cfRule>
  </conditionalFormatting>
  <conditionalFormatting sqref="AW45">
    <cfRule type="cellIs" dxfId="307" priority="31" stopIfTrue="1" operator="greaterThan">
      <formula>42</formula>
    </cfRule>
  </conditionalFormatting>
  <conditionalFormatting sqref="AW45">
    <cfRule type="cellIs" dxfId="306" priority="30" stopIfTrue="1" operator="greaterThan">
      <formula>42</formula>
    </cfRule>
  </conditionalFormatting>
  <conditionalFormatting sqref="AW45">
    <cfRule type="cellIs" dxfId="305" priority="29" stopIfTrue="1" operator="greaterThan">
      <formula>42</formula>
    </cfRule>
  </conditionalFormatting>
  <conditionalFormatting sqref="AW45">
    <cfRule type="cellIs" dxfId="304" priority="28" stopIfTrue="1" operator="greaterThan">
      <formula>42</formula>
    </cfRule>
  </conditionalFormatting>
  <conditionalFormatting sqref="AW46 AW48 AW50:AW96">
    <cfRule type="cellIs" dxfId="303" priority="27" stopIfTrue="1" operator="greaterThan">
      <formula>42</formula>
    </cfRule>
  </conditionalFormatting>
  <conditionalFormatting sqref="AW46 AW48 AW50:AW96">
    <cfRule type="cellIs" dxfId="302" priority="26" stopIfTrue="1" operator="greaterThan">
      <formula>42</formula>
    </cfRule>
  </conditionalFormatting>
  <conditionalFormatting sqref="AW48 AW50:AW96">
    <cfRule type="cellIs" dxfId="301" priority="25" stopIfTrue="1" operator="greaterThan">
      <formula>42</formula>
    </cfRule>
  </conditionalFormatting>
  <conditionalFormatting sqref="AW42 AW44">
    <cfRule type="cellIs" dxfId="300" priority="24" stopIfTrue="1" operator="greaterThan">
      <formula>42</formula>
    </cfRule>
  </conditionalFormatting>
  <conditionalFormatting sqref="AW44">
    <cfRule type="cellIs" dxfId="299" priority="23" stopIfTrue="1" operator="greaterThan">
      <formula>42</formula>
    </cfRule>
  </conditionalFormatting>
  <conditionalFormatting sqref="AW14">
    <cfRule type="cellIs" dxfId="298" priority="22" stopIfTrue="1" operator="greaterThan">
      <formula>42</formula>
    </cfRule>
  </conditionalFormatting>
  <conditionalFormatting sqref="AW43">
    <cfRule type="cellIs" dxfId="297" priority="17" stopIfTrue="1" operator="greaterThan">
      <formula>42</formula>
    </cfRule>
  </conditionalFormatting>
  <conditionalFormatting sqref="AW34">
    <cfRule type="cellIs" dxfId="296" priority="16" stopIfTrue="1" operator="greaterThan">
      <formula>42</formula>
    </cfRule>
  </conditionalFormatting>
  <conditionalFormatting sqref="AW35">
    <cfRule type="cellIs" dxfId="295" priority="15" stopIfTrue="1" operator="greaterThan">
      <formula>42</formula>
    </cfRule>
  </conditionalFormatting>
  <conditionalFormatting sqref="AW36">
    <cfRule type="cellIs" dxfId="294" priority="14" stopIfTrue="1" operator="greaterThan">
      <formula>42</formula>
    </cfRule>
  </conditionalFormatting>
  <conditionalFormatting sqref="AW47">
    <cfRule type="cellIs" dxfId="293" priority="13" stopIfTrue="1" operator="greaterThan">
      <formula>42</formula>
    </cfRule>
  </conditionalFormatting>
  <conditionalFormatting sqref="AW49">
    <cfRule type="cellIs" dxfId="292" priority="12" stopIfTrue="1" operator="greaterThan">
      <formula>42</formula>
    </cfRule>
  </conditionalFormatting>
  <conditionalFormatting sqref="AW25">
    <cfRule type="cellIs" dxfId="291" priority="11" stopIfTrue="1" operator="greaterThan">
      <formula>42</formula>
    </cfRule>
  </conditionalFormatting>
  <conditionalFormatting sqref="AW53:AW96">
    <cfRule type="cellIs" dxfId="290" priority="10" stopIfTrue="1" operator="greaterThan">
      <formula>42</formula>
    </cfRule>
  </conditionalFormatting>
  <conditionalFormatting sqref="AW53:AW96">
    <cfRule type="cellIs" dxfId="289" priority="9" stopIfTrue="1" operator="greaterThan">
      <formula>42</formula>
    </cfRule>
  </conditionalFormatting>
  <conditionalFormatting sqref="AW53:AW96">
    <cfRule type="cellIs" dxfId="288" priority="8" stopIfTrue="1" operator="greaterThan">
      <formula>42</formula>
    </cfRule>
  </conditionalFormatting>
  <conditionalFormatting sqref="AW53:AW96">
    <cfRule type="cellIs" dxfId="287" priority="7" stopIfTrue="1" operator="greaterThan">
      <formula>42</formula>
    </cfRule>
  </conditionalFormatting>
  <conditionalFormatting sqref="AW53:AW96">
    <cfRule type="cellIs" dxfId="286" priority="6" stopIfTrue="1" operator="greaterThan">
      <formula>42</formula>
    </cfRule>
  </conditionalFormatting>
  <conditionalFormatting sqref="AW53:AW96">
    <cfRule type="cellIs" dxfId="285" priority="5" stopIfTrue="1" operator="greaterThan">
      <formula>42</formula>
    </cfRule>
  </conditionalFormatting>
  <conditionalFormatting sqref="AW53:AW96">
    <cfRule type="cellIs" dxfId="284" priority="4" stopIfTrue="1" operator="greaterThan">
      <formula>42</formula>
    </cfRule>
  </conditionalFormatting>
  <conditionalFormatting sqref="AW53:AW96">
    <cfRule type="cellIs" dxfId="283" priority="3" stopIfTrue="1" operator="greaterThan">
      <formula>42</formula>
    </cfRule>
  </conditionalFormatting>
  <conditionalFormatting sqref="AW103:AW104">
    <cfRule type="cellIs" dxfId="282" priority="2" stopIfTrue="1" operator="greaterThan">
      <formula>42</formula>
    </cfRule>
  </conditionalFormatting>
  <conditionalFormatting sqref="AW103:AW104">
    <cfRule type="cellIs" dxfId="281" priority="1" stopIfTrue="1" operator="greaterThan">
      <formula>42</formula>
    </cfRule>
  </conditionalFormatting>
  <dataValidations count="3">
    <dataValidation type="textLength" operator="lessThanOrEqual" allowBlank="1" showInputMessage="1" showErrorMessage="1" sqref="AO53:AT58 AO65:AT68" xr:uid="{00000000-0002-0000-0600-000000000000}">
      <formula1>4</formula1>
    </dataValidation>
    <dataValidation type="textLength" operator="lessThan" allowBlank="1" showInputMessage="1" showErrorMessage="1" error="text length exceeded" prompt="max. 64 charcters" sqref="B53:D56 B58:C58 B62 C59:C73 B65:B70 D65:D68 B74:B76 C76 BB78 B77:C78 B88:B93 B95 C93 B96:C96" xr:uid="{00000000-0002-0000-0600-000001000000}">
      <formula1>65</formula1>
    </dataValidation>
    <dataValidation type="textLength" allowBlank="1" showInputMessage="1" showErrorMessage="1" sqref="AO59:AT64 AO69:AT78 AO88:AT93 AO95:AT96" xr:uid="{00000000-0002-0000-0600-000002000000}">
      <formula1>0</formula1>
      <formula2>4</formula2>
    </dataValidation>
  </dataValidations>
  <pageMargins left="0.78740157499999996" right="0.78740157499999996" top="0.984251969" bottom="0.984251969" header="0.49212598499999999" footer="0.49212598499999999"/>
  <pageSetup paperSize="9" orientation="portrait" horizontalDpi="1200" verticalDpi="12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9"/>
  <dimension ref="A1:CI476"/>
  <sheetViews>
    <sheetView showGridLines="0" showRuler="0" topLeftCell="A4" zoomScale="80" zoomScaleNormal="80" zoomScalePageLayoutView="90" workbookViewId="0">
      <pane ySplit="3" topLeftCell="A46" activePane="bottomLeft" state="frozenSplit"/>
      <selection activeCell="A4" sqref="A4"/>
      <selection pane="bottomLeft" activeCell="U50" sqref="U50"/>
    </sheetView>
  </sheetViews>
  <sheetFormatPr defaultColWidth="8.88671875" defaultRowHeight="13.2"/>
  <cols>
    <col min="1" max="1" width="5.6640625" style="144" customWidth="1"/>
    <col min="2" max="2" width="46.44140625" hidden="1" customWidth="1"/>
    <col min="3" max="3" width="8.6640625" hidden="1" customWidth="1"/>
    <col min="4" max="4" width="0" hidden="1" customWidth="1"/>
    <col min="5" max="7" width="10" hidden="1" customWidth="1"/>
    <col min="8" max="9" width="0" hidden="1" customWidth="1"/>
    <col min="10" max="10" width="36.6640625" style="144" customWidth="1"/>
    <col min="11" max="11" width="26.44140625" customWidth="1"/>
    <col min="12" max="13" width="49" customWidth="1"/>
    <col min="14" max="14" width="10.44140625" style="138" customWidth="1"/>
    <col min="15" max="16" width="5.6640625" style="138" customWidth="1"/>
    <col min="17" max="20" width="4.6640625" style="138" customWidth="1"/>
    <col min="21" max="21" width="62.44140625" style="144" customWidth="1"/>
    <col min="22" max="22" width="32.6640625" customWidth="1"/>
    <col min="23" max="23" width="18.33203125" customWidth="1"/>
    <col min="24" max="25" width="5.6640625" customWidth="1"/>
    <col min="26" max="27" width="4.6640625" customWidth="1"/>
    <col min="28" max="28" width="19.109375" customWidth="1"/>
    <col min="29" max="29" width="16.109375" customWidth="1"/>
    <col min="30" max="30" width="22.109375" customWidth="1"/>
    <col min="31" max="31" width="18.33203125" customWidth="1"/>
    <col min="32" max="33" width="5.6640625" customWidth="1"/>
    <col min="34" max="35" width="4.6640625" customWidth="1"/>
    <col min="36" max="36" width="33.6640625" customWidth="1"/>
    <col min="37" max="37" width="9.109375" customWidth="1"/>
    <col min="38" max="38" width="24.44140625" customWidth="1"/>
    <col min="39" max="39" width="11.88671875" customWidth="1"/>
    <col min="40" max="40" width="30.6640625" customWidth="1"/>
    <col min="48" max="48" width="30.6640625" customWidth="1"/>
    <col min="49" max="49" width="0" hidden="1" customWidth="1"/>
  </cols>
  <sheetData>
    <row r="1" spans="1:86" ht="13.8" hidden="1" thickBot="1"/>
    <row r="2" spans="1:86" ht="13.8" hidden="1" thickBot="1"/>
    <row r="3" spans="1:86" s="1" customFormat="1" ht="13.8" hidden="1" thickBot="1">
      <c r="A3" s="146"/>
      <c r="C3" s="2"/>
      <c r="E3" s="3"/>
      <c r="F3" s="3"/>
      <c r="G3" s="3"/>
      <c r="H3" s="3"/>
      <c r="I3" s="3"/>
      <c r="J3" s="136"/>
      <c r="K3" s="3"/>
      <c r="L3" s="3"/>
      <c r="M3" s="3"/>
      <c r="N3" s="136"/>
      <c r="O3" s="136"/>
      <c r="P3" s="136"/>
      <c r="Q3" s="136"/>
      <c r="R3" s="136"/>
      <c r="S3" s="136"/>
      <c r="T3" s="136"/>
      <c r="U3" s="136"/>
      <c r="V3" s="3"/>
      <c r="W3" s="3"/>
      <c r="X3" s="3"/>
      <c r="Y3" s="5"/>
      <c r="Z3" s="5"/>
      <c r="AA3" s="3"/>
      <c r="AB3" s="3"/>
      <c r="AC3" s="3"/>
      <c r="AD3" s="3"/>
      <c r="AE3" s="3"/>
      <c r="AF3" s="3"/>
      <c r="AG3" s="5"/>
      <c r="AH3" s="5"/>
      <c r="AI3" s="3"/>
      <c r="AJ3" s="3"/>
      <c r="AK3" s="2"/>
      <c r="AL3" s="2"/>
      <c r="AM3" s="2"/>
      <c r="AN3" s="2"/>
      <c r="AO3" s="2"/>
      <c r="AP3" s="2"/>
      <c r="AQ3" s="2"/>
    </row>
    <row r="4" spans="1:86"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390"/>
      <c r="G5" s="390"/>
      <c r="H5" s="637" t="s">
        <v>475</v>
      </c>
      <c r="I5" s="646" t="s">
        <v>476</v>
      </c>
      <c r="J5" s="648" t="s">
        <v>477</v>
      </c>
      <c r="K5" s="648" t="s">
        <v>478</v>
      </c>
      <c r="L5" s="648" t="s">
        <v>479</v>
      </c>
      <c r="M5" s="468"/>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481</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29.75" customHeight="1" thickBot="1">
      <c r="A6" s="58" t="s">
        <v>501</v>
      </c>
      <c r="B6" s="655"/>
      <c r="C6" s="655"/>
      <c r="D6" s="638"/>
      <c r="E6" s="638"/>
      <c r="F6" s="396" t="s">
        <v>473</v>
      </c>
      <c r="G6" s="396" t="s">
        <v>474</v>
      </c>
      <c r="H6" s="638"/>
      <c r="I6" s="647"/>
      <c r="J6" s="649"/>
      <c r="K6" s="649"/>
      <c r="L6" s="649"/>
      <c r="M6" s="469" t="s">
        <v>3506</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52">
        <f>ROW() - 6</f>
        <v>1</v>
      </c>
      <c r="B7" s="62"/>
      <c r="C7" s="62"/>
      <c r="D7" s="62"/>
      <c r="E7" s="62"/>
      <c r="F7" s="62"/>
      <c r="G7" s="62"/>
      <c r="H7" s="62"/>
      <c r="I7" s="62"/>
      <c r="J7" s="483" t="s">
        <v>503</v>
      </c>
      <c r="K7" s="63"/>
      <c r="L7" s="63"/>
      <c r="M7" s="63"/>
      <c r="N7" s="139"/>
      <c r="O7" s="139"/>
      <c r="P7" s="139"/>
      <c r="Q7" s="139"/>
      <c r="R7" s="139"/>
      <c r="S7" s="139"/>
      <c r="T7" s="230"/>
      <c r="U7" s="354"/>
      <c r="V7" s="311"/>
      <c r="W7" s="63"/>
      <c r="X7" s="63"/>
      <c r="Y7" s="63"/>
      <c r="Z7" s="63"/>
      <c r="AA7" s="63"/>
      <c r="AB7" s="63"/>
      <c r="AC7" s="63"/>
      <c r="AD7" s="63"/>
      <c r="AE7" s="63"/>
      <c r="AF7" s="63"/>
      <c r="AG7" s="63"/>
      <c r="AH7" s="63"/>
      <c r="AI7" s="63"/>
      <c r="AJ7" s="312"/>
      <c r="AK7" s="63"/>
      <c r="AL7" s="63"/>
      <c r="AM7" s="63"/>
      <c r="AN7" s="63"/>
      <c r="AO7" s="63"/>
      <c r="AP7" s="63"/>
      <c r="AQ7" s="63"/>
      <c r="AR7" s="63"/>
      <c r="AS7" s="63"/>
      <c r="AT7" s="63"/>
      <c r="AU7" s="63"/>
      <c r="AV7" s="63"/>
      <c r="AW7" s="18">
        <f>LEN(L7)</f>
        <v>0</v>
      </c>
    </row>
    <row r="8" spans="1:86" s="12" customFormat="1" ht="66">
      <c r="A8" s="40">
        <f t="shared" ref="A8:A138" si="0">ROW() - 6</f>
        <v>2</v>
      </c>
      <c r="B8" s="33"/>
      <c r="C8" s="34"/>
      <c r="D8" s="33"/>
      <c r="E8" s="33"/>
      <c r="F8" s="33"/>
      <c r="G8" s="33"/>
      <c r="H8" s="414"/>
      <c r="I8" s="416"/>
      <c r="J8" s="215" t="s">
        <v>1673</v>
      </c>
      <c r="K8" s="215" t="s">
        <v>93</v>
      </c>
      <c r="L8" s="215" t="s">
        <v>1674</v>
      </c>
      <c r="M8" s="509"/>
      <c r="N8" s="366" t="s">
        <v>1675</v>
      </c>
      <c r="O8" s="416"/>
      <c r="P8" s="416"/>
      <c r="Q8" s="416" t="s">
        <v>6</v>
      </c>
      <c r="R8" s="126" t="s">
        <v>6</v>
      </c>
      <c r="S8" s="126" t="s">
        <v>6</v>
      </c>
      <c r="T8" s="416" t="s">
        <v>6</v>
      </c>
      <c r="U8" s="218" t="s">
        <v>1676</v>
      </c>
      <c r="V8" s="429"/>
      <c r="W8" s="215" t="s">
        <v>95</v>
      </c>
      <c r="X8" s="416"/>
      <c r="Y8" s="414"/>
      <c r="Z8" s="61" t="s">
        <v>6</v>
      </c>
      <c r="AA8" s="61" t="s">
        <v>6</v>
      </c>
      <c r="AB8" s="414"/>
      <c r="AC8" s="414"/>
      <c r="AD8" s="414"/>
      <c r="AE8" s="215" t="s">
        <v>95</v>
      </c>
      <c r="AF8" s="416"/>
      <c r="AG8" s="414"/>
      <c r="AH8" s="61" t="s">
        <v>6</v>
      </c>
      <c r="AI8" s="61" t="s">
        <v>6</v>
      </c>
      <c r="AJ8" s="414"/>
      <c r="AK8" s="414"/>
      <c r="AL8" s="414"/>
      <c r="AM8" s="43" t="s">
        <v>1677</v>
      </c>
      <c r="AN8" s="35"/>
      <c r="AO8" s="37"/>
      <c r="AP8" s="37"/>
      <c r="AQ8" s="37"/>
      <c r="AR8" s="37"/>
      <c r="AS8" s="37"/>
      <c r="AT8" s="37"/>
      <c r="AU8" s="13"/>
      <c r="AV8" s="414"/>
      <c r="AW8" s="18">
        <f t="shared" ref="AW8:AW34" si="1">LEN(L8)</f>
        <v>14</v>
      </c>
    </row>
    <row r="9" spans="1:86" s="12" customFormat="1" ht="15">
      <c r="A9" s="40">
        <f t="shared" si="0"/>
        <v>3</v>
      </c>
      <c r="B9" s="33"/>
      <c r="C9" s="34"/>
      <c r="D9" s="33"/>
      <c r="E9" s="33"/>
      <c r="F9" s="33"/>
      <c r="G9" s="33"/>
      <c r="H9" s="414"/>
      <c r="I9" s="416"/>
      <c r="J9" s="217" t="s">
        <v>1678</v>
      </c>
      <c r="K9" s="217" t="s">
        <v>117</v>
      </c>
      <c r="L9" s="239" t="s">
        <v>1679</v>
      </c>
      <c r="M9" s="239"/>
      <c r="N9" s="126" t="s">
        <v>504</v>
      </c>
      <c r="O9" s="416"/>
      <c r="P9" s="416"/>
      <c r="Q9" s="416"/>
      <c r="R9" s="416" t="s">
        <v>6</v>
      </c>
      <c r="S9" s="416" t="s">
        <v>6</v>
      </c>
      <c r="T9" s="416" t="s">
        <v>6</v>
      </c>
      <c r="U9" s="416"/>
      <c r="V9" s="416"/>
      <c r="W9" s="217" t="s">
        <v>133</v>
      </c>
      <c r="X9" s="414"/>
      <c r="Y9" s="414"/>
      <c r="Z9" s="416" t="s">
        <v>6</v>
      </c>
      <c r="AA9" s="416" t="s">
        <v>6</v>
      </c>
      <c r="AB9" s="414"/>
      <c r="AC9" s="414"/>
      <c r="AD9" s="414"/>
      <c r="AE9" s="217" t="s">
        <v>133</v>
      </c>
      <c r="AF9" s="414"/>
      <c r="AG9" s="414"/>
      <c r="AH9" s="416" t="s">
        <v>6</v>
      </c>
      <c r="AI9" s="416" t="s">
        <v>6</v>
      </c>
      <c r="AJ9" s="414"/>
      <c r="AK9" s="414"/>
      <c r="AL9" s="414"/>
      <c r="AM9" s="43" t="s">
        <v>1677</v>
      </c>
      <c r="AN9" s="35"/>
      <c r="AO9" s="37"/>
      <c r="AP9" s="37"/>
      <c r="AQ9" s="37"/>
      <c r="AR9" s="37"/>
      <c r="AS9" s="37"/>
      <c r="AT9" s="37"/>
      <c r="AU9" s="13"/>
      <c r="AV9" s="414"/>
      <c r="AW9" s="18">
        <f t="shared" si="1"/>
        <v>17</v>
      </c>
    </row>
    <row r="10" spans="1:86" s="12" customFormat="1" ht="39.6">
      <c r="A10" s="40">
        <f t="shared" si="0"/>
        <v>4</v>
      </c>
      <c r="B10" s="38"/>
      <c r="C10" s="34"/>
      <c r="D10" s="33"/>
      <c r="E10" s="39"/>
      <c r="F10" s="39"/>
      <c r="G10" s="39"/>
      <c r="H10" s="414"/>
      <c r="I10" s="40"/>
      <c r="J10" s="215" t="s">
        <v>1680</v>
      </c>
      <c r="K10" s="412" t="s">
        <v>122</v>
      </c>
      <c r="L10" s="215" t="s">
        <v>1681</v>
      </c>
      <c r="M10" s="215" t="s">
        <v>3602</v>
      </c>
      <c r="N10" s="349" t="s">
        <v>873</v>
      </c>
      <c r="O10" s="416"/>
      <c r="P10" s="416"/>
      <c r="Q10" s="126" t="s">
        <v>6</v>
      </c>
      <c r="R10" s="126" t="s">
        <v>6</v>
      </c>
      <c r="S10" s="126" t="s">
        <v>6</v>
      </c>
      <c r="T10" s="416" t="s">
        <v>6</v>
      </c>
      <c r="U10" s="204"/>
      <c r="V10" s="204"/>
      <c r="W10" s="412" t="s">
        <v>123</v>
      </c>
      <c r="X10" s="416"/>
      <c r="Y10" s="13"/>
      <c r="Z10" s="61" t="s">
        <v>6</v>
      </c>
      <c r="AA10" s="61" t="s">
        <v>6</v>
      </c>
      <c r="AB10" s="414"/>
      <c r="AC10" s="414"/>
      <c r="AD10" s="414"/>
      <c r="AE10" s="412" t="s">
        <v>123</v>
      </c>
      <c r="AF10" s="416"/>
      <c r="AG10" s="13"/>
      <c r="AH10" s="61" t="s">
        <v>6</v>
      </c>
      <c r="AI10" s="61" t="s">
        <v>6</v>
      </c>
      <c r="AJ10" s="414"/>
      <c r="AK10" s="414"/>
      <c r="AL10" s="414"/>
      <c r="AM10" s="43" t="s">
        <v>1682</v>
      </c>
      <c r="AN10" s="412" t="s">
        <v>505</v>
      </c>
      <c r="AO10" s="37"/>
      <c r="AP10" s="37"/>
      <c r="AQ10" s="37"/>
      <c r="AR10" s="37"/>
      <c r="AS10" s="37"/>
      <c r="AT10" s="37"/>
      <c r="AU10" s="13"/>
      <c r="AV10" s="13"/>
      <c r="AW10" s="18">
        <f t="shared" ref="AW10:AW15" si="2">LEN(L10)</f>
        <v>26</v>
      </c>
    </row>
    <row r="11" spans="1:86" s="12" customFormat="1" ht="39.6">
      <c r="A11" s="40">
        <f t="shared" si="0"/>
        <v>5</v>
      </c>
      <c r="B11" s="38"/>
      <c r="C11" s="34"/>
      <c r="D11" s="33"/>
      <c r="E11" s="39"/>
      <c r="F11" s="39"/>
      <c r="G11" s="39"/>
      <c r="H11" s="414"/>
      <c r="I11" s="40"/>
      <c r="J11" s="215" t="s">
        <v>1683</v>
      </c>
      <c r="K11" s="412" t="s">
        <v>122</v>
      </c>
      <c r="L11" s="215" t="s">
        <v>1681</v>
      </c>
      <c r="M11" s="215" t="s">
        <v>3602</v>
      </c>
      <c r="N11" s="349" t="s">
        <v>873</v>
      </c>
      <c r="O11" s="416"/>
      <c r="P11" s="416"/>
      <c r="Q11" s="126" t="s">
        <v>6</v>
      </c>
      <c r="R11" s="126" t="s">
        <v>6</v>
      </c>
      <c r="S11" s="126" t="s">
        <v>6</v>
      </c>
      <c r="T11" s="416" t="s">
        <v>6</v>
      </c>
      <c r="U11" s="204" t="s">
        <v>1684</v>
      </c>
      <c r="V11" s="204"/>
      <c r="W11" s="412" t="s">
        <v>123</v>
      </c>
      <c r="X11" s="416"/>
      <c r="Y11" s="13"/>
      <c r="Z11" s="61" t="s">
        <v>6</v>
      </c>
      <c r="AA11" s="61" t="s">
        <v>6</v>
      </c>
      <c r="AB11" s="414"/>
      <c r="AC11" s="414"/>
      <c r="AD11" s="414"/>
      <c r="AE11" s="412" t="s">
        <v>123</v>
      </c>
      <c r="AF11" s="416"/>
      <c r="AG11" s="13"/>
      <c r="AH11" s="61" t="s">
        <v>6</v>
      </c>
      <c r="AI11" s="61" t="s">
        <v>6</v>
      </c>
      <c r="AJ11" s="414"/>
      <c r="AK11" s="414"/>
      <c r="AL11" s="414"/>
      <c r="AM11" s="43" t="s">
        <v>1682</v>
      </c>
      <c r="AN11" s="412" t="s">
        <v>505</v>
      </c>
      <c r="AO11" s="37"/>
      <c r="AP11" s="37"/>
      <c r="AQ11" s="37"/>
      <c r="AR11" s="37"/>
      <c r="AS11" s="37"/>
      <c r="AT11" s="37"/>
      <c r="AU11" s="13"/>
      <c r="AV11" s="13"/>
      <c r="AW11" s="18">
        <f t="shared" si="2"/>
        <v>26</v>
      </c>
    </row>
    <row r="12" spans="1:86" s="20" customFormat="1" ht="15">
      <c r="A12" s="40">
        <f t="shared" ref="A12:A13" si="3">ROW() - 6</f>
        <v>6</v>
      </c>
      <c r="B12" s="19"/>
      <c r="C12" s="41"/>
      <c r="D12" s="19"/>
      <c r="E12" s="19"/>
      <c r="F12" s="19"/>
      <c r="G12" s="19"/>
      <c r="H12" s="13"/>
      <c r="I12" s="13"/>
      <c r="J12" s="215" t="s">
        <v>1685</v>
      </c>
      <c r="K12" s="412" t="s">
        <v>122</v>
      </c>
      <c r="L12" s="215" t="s">
        <v>1686</v>
      </c>
      <c r="M12" s="215" t="s">
        <v>3602</v>
      </c>
      <c r="N12" s="349" t="s">
        <v>873</v>
      </c>
      <c r="O12" s="40"/>
      <c r="P12" s="40"/>
      <c r="Q12" s="126" t="s">
        <v>6</v>
      </c>
      <c r="R12" s="126" t="s">
        <v>6</v>
      </c>
      <c r="S12" s="126" t="s">
        <v>6</v>
      </c>
      <c r="T12" s="416" t="s">
        <v>6</v>
      </c>
      <c r="U12" s="204"/>
      <c r="V12" s="204"/>
      <c r="W12" s="412" t="s">
        <v>123</v>
      </c>
      <c r="X12" s="13"/>
      <c r="Y12" s="13"/>
      <c r="Z12" s="61" t="s">
        <v>6</v>
      </c>
      <c r="AA12" s="61" t="s">
        <v>6</v>
      </c>
      <c r="AB12" s="413"/>
      <c r="AC12" s="415"/>
      <c r="AD12" s="415"/>
      <c r="AE12" s="412" t="s">
        <v>123</v>
      </c>
      <c r="AF12" s="13"/>
      <c r="AG12" s="13"/>
      <c r="AH12" s="61" t="s">
        <v>6</v>
      </c>
      <c r="AI12" s="61" t="s">
        <v>6</v>
      </c>
      <c r="AJ12" s="413"/>
      <c r="AK12" s="415"/>
      <c r="AL12" s="415"/>
      <c r="AM12" s="43" t="s">
        <v>1687</v>
      </c>
      <c r="AN12" s="13"/>
      <c r="AO12" s="15"/>
      <c r="AP12" s="15"/>
      <c r="AQ12" s="15"/>
      <c r="AR12" s="15"/>
      <c r="AS12" s="15"/>
      <c r="AT12" s="15"/>
      <c r="AU12" s="15"/>
      <c r="AV12" s="15"/>
      <c r="AW12" s="18">
        <f t="shared" si="2"/>
        <v>26</v>
      </c>
    </row>
    <row r="13" spans="1:86" s="20" customFormat="1" ht="15">
      <c r="A13" s="416">
        <f t="shared" si="3"/>
        <v>7</v>
      </c>
      <c r="B13" s="19"/>
      <c r="C13" s="41"/>
      <c r="D13" s="19"/>
      <c r="E13" s="19"/>
      <c r="F13" s="19"/>
      <c r="G13" s="19"/>
      <c r="H13" s="13"/>
      <c r="I13" s="13"/>
      <c r="J13" s="215" t="s">
        <v>1688</v>
      </c>
      <c r="K13" s="215" t="s">
        <v>132</v>
      </c>
      <c r="L13" s="215" t="s">
        <v>1689</v>
      </c>
      <c r="M13" s="215" t="s">
        <v>3602</v>
      </c>
      <c r="N13" s="349" t="s">
        <v>504</v>
      </c>
      <c r="O13" s="40"/>
      <c r="P13" s="40"/>
      <c r="Q13" s="126" t="s">
        <v>6</v>
      </c>
      <c r="R13" s="126" t="s">
        <v>6</v>
      </c>
      <c r="S13" s="126" t="s">
        <v>6</v>
      </c>
      <c r="T13" s="416" t="s">
        <v>6</v>
      </c>
      <c r="U13" s="204"/>
      <c r="V13" s="204"/>
      <c r="W13" s="412"/>
      <c r="X13" s="13"/>
      <c r="Y13" s="13"/>
      <c r="Z13" s="61"/>
      <c r="AA13" s="61"/>
      <c r="AB13" s="413"/>
      <c r="AC13" s="415"/>
      <c r="AD13" s="415"/>
      <c r="AE13" s="412"/>
      <c r="AF13" s="13"/>
      <c r="AG13" s="13"/>
      <c r="AH13" s="61"/>
      <c r="AI13" s="61"/>
      <c r="AJ13" s="413"/>
      <c r="AK13" s="415"/>
      <c r="AL13" s="415"/>
      <c r="AM13" s="43"/>
      <c r="AN13" s="13"/>
      <c r="AO13" s="15"/>
      <c r="AP13" s="15"/>
      <c r="AQ13" s="15"/>
      <c r="AR13" s="15"/>
      <c r="AS13" s="15"/>
      <c r="AT13" s="15"/>
      <c r="AU13" s="15"/>
      <c r="AV13" s="15"/>
      <c r="AW13" s="18">
        <f t="shared" si="2"/>
        <v>17</v>
      </c>
    </row>
    <row r="14" spans="1:86" s="20" customFormat="1" ht="26.4">
      <c r="A14" s="40">
        <f t="shared" si="0"/>
        <v>8</v>
      </c>
      <c r="B14" s="19"/>
      <c r="C14" s="41"/>
      <c r="D14" s="19"/>
      <c r="E14" s="19"/>
      <c r="F14" s="19"/>
      <c r="G14" s="19"/>
      <c r="H14" s="13"/>
      <c r="I14" s="13"/>
      <c r="J14" s="247" t="s">
        <v>1690</v>
      </c>
      <c r="K14" s="215" t="s">
        <v>132</v>
      </c>
      <c r="L14" s="215" t="s">
        <v>1691</v>
      </c>
      <c r="M14" s="215" t="s">
        <v>3602</v>
      </c>
      <c r="N14" s="126" t="s">
        <v>504</v>
      </c>
      <c r="O14" s="40"/>
      <c r="P14" s="40"/>
      <c r="Q14" s="126" t="s">
        <v>6</v>
      </c>
      <c r="R14" s="126" t="s">
        <v>6</v>
      </c>
      <c r="S14" s="126" t="s">
        <v>6</v>
      </c>
      <c r="T14" s="416" t="s">
        <v>6</v>
      </c>
      <c r="U14" s="204" t="s">
        <v>515</v>
      </c>
      <c r="V14" s="204"/>
      <c r="W14" s="215" t="s">
        <v>133</v>
      </c>
      <c r="X14" s="13"/>
      <c r="Y14" s="13"/>
      <c r="Z14" s="61" t="s">
        <v>6</v>
      </c>
      <c r="AA14" s="61" t="s">
        <v>6</v>
      </c>
      <c r="AB14" s="413"/>
      <c r="AC14" s="415"/>
      <c r="AD14" s="415"/>
      <c r="AE14" s="215" t="s">
        <v>133</v>
      </c>
      <c r="AF14" s="13"/>
      <c r="AG14" s="13"/>
      <c r="AH14" s="61" t="s">
        <v>6</v>
      </c>
      <c r="AI14" s="61" t="s">
        <v>6</v>
      </c>
      <c r="AJ14" s="413"/>
      <c r="AK14" s="415"/>
      <c r="AL14" s="415"/>
      <c r="AM14" s="43" t="s">
        <v>1692</v>
      </c>
      <c r="AN14" s="13"/>
      <c r="AO14" s="15"/>
      <c r="AP14" s="15"/>
      <c r="AQ14" s="15"/>
      <c r="AR14" s="15"/>
      <c r="AS14" s="15"/>
      <c r="AT14" s="15"/>
      <c r="AU14" s="15"/>
      <c r="AV14" s="19"/>
      <c r="AW14" s="18">
        <f t="shared" si="2"/>
        <v>33</v>
      </c>
    </row>
    <row r="15" spans="1:86" s="20" customFormat="1" ht="39.6">
      <c r="A15" s="40">
        <f t="shared" si="0"/>
        <v>9</v>
      </c>
      <c r="B15" s="19"/>
      <c r="C15" s="41"/>
      <c r="D15" s="19"/>
      <c r="E15" s="19"/>
      <c r="F15" s="19"/>
      <c r="G15" s="19"/>
      <c r="H15" s="13"/>
      <c r="I15" s="13"/>
      <c r="J15" s="247" t="s">
        <v>1693</v>
      </c>
      <c r="K15" s="412" t="s">
        <v>117</v>
      </c>
      <c r="L15" s="215" t="s">
        <v>1694</v>
      </c>
      <c r="M15" s="215" t="s">
        <v>3602</v>
      </c>
      <c r="N15" s="126" t="s">
        <v>504</v>
      </c>
      <c r="O15" s="40"/>
      <c r="P15" s="40"/>
      <c r="Q15" s="126" t="s">
        <v>6</v>
      </c>
      <c r="R15" s="126" t="s">
        <v>6</v>
      </c>
      <c r="S15" s="126" t="s">
        <v>6</v>
      </c>
      <c r="T15" s="416" t="s">
        <v>6</v>
      </c>
      <c r="U15" s="204" t="s">
        <v>515</v>
      </c>
      <c r="V15" s="204"/>
      <c r="W15" s="412" t="s">
        <v>133</v>
      </c>
      <c r="X15" s="13"/>
      <c r="Y15" s="13"/>
      <c r="Z15" s="61" t="s">
        <v>6</v>
      </c>
      <c r="AA15" s="61" t="s">
        <v>6</v>
      </c>
      <c r="AB15" s="45"/>
      <c r="AC15" s="415"/>
      <c r="AD15" s="415"/>
      <c r="AE15" s="412" t="s">
        <v>133</v>
      </c>
      <c r="AF15" s="13"/>
      <c r="AG15" s="13"/>
      <c r="AH15" s="61" t="s">
        <v>6</v>
      </c>
      <c r="AI15" s="61" t="s">
        <v>6</v>
      </c>
      <c r="AJ15" s="45"/>
      <c r="AK15" s="415"/>
      <c r="AL15" s="415"/>
      <c r="AM15" s="43" t="s">
        <v>1692</v>
      </c>
      <c r="AN15" s="412" t="s">
        <v>505</v>
      </c>
      <c r="AO15" s="13"/>
      <c r="AP15" s="13"/>
      <c r="AQ15" s="13"/>
      <c r="AR15" s="13"/>
      <c r="AS15" s="13"/>
      <c r="AT15" s="13"/>
      <c r="AU15" s="15"/>
      <c r="AV15" s="15"/>
      <c r="AW15" s="18">
        <f t="shared" si="2"/>
        <v>31</v>
      </c>
    </row>
    <row r="16" spans="1:86" s="20" customFormat="1" ht="15">
      <c r="A16" s="40">
        <f t="shared" si="0"/>
        <v>10</v>
      </c>
      <c r="B16" s="59"/>
      <c r="C16" s="59"/>
      <c r="D16" s="59"/>
      <c r="E16" s="59"/>
      <c r="F16" s="59"/>
      <c r="G16" s="59"/>
      <c r="H16" s="59"/>
      <c r="I16" s="59"/>
      <c r="J16" s="215" t="s">
        <v>1695</v>
      </c>
      <c r="K16" s="215" t="s">
        <v>117</v>
      </c>
      <c r="L16" s="204" t="s">
        <v>691</v>
      </c>
      <c r="M16" s="204" t="s">
        <v>4891</v>
      </c>
      <c r="N16" s="126" t="s">
        <v>504</v>
      </c>
      <c r="O16" s="126"/>
      <c r="P16" s="126"/>
      <c r="Q16" s="40" t="s">
        <v>6</v>
      </c>
      <c r="R16" s="40" t="s">
        <v>6</v>
      </c>
      <c r="S16" s="40" t="s">
        <v>6</v>
      </c>
      <c r="T16" s="40" t="s">
        <v>6</v>
      </c>
      <c r="U16" s="204" t="s">
        <v>1696</v>
      </c>
      <c r="V16" s="204"/>
      <c r="W16" s="204" t="s">
        <v>133</v>
      </c>
      <c r="X16" s="59"/>
      <c r="Y16" s="59"/>
      <c r="Z16" s="40" t="s">
        <v>6</v>
      </c>
      <c r="AA16" s="40" t="s">
        <v>6</v>
      </c>
      <c r="AB16" s="204"/>
      <c r="AC16" s="59"/>
      <c r="AD16" s="59"/>
      <c r="AE16" s="204" t="s">
        <v>133</v>
      </c>
      <c r="AF16" s="59"/>
      <c r="AG16" s="59"/>
      <c r="AH16" s="40" t="s">
        <v>6</v>
      </c>
      <c r="AI16" s="40" t="s">
        <v>6</v>
      </c>
      <c r="AJ16" s="204"/>
      <c r="AK16" s="59"/>
      <c r="AL16" s="59"/>
      <c r="AM16" s="59" t="s">
        <v>1697</v>
      </c>
      <c r="AN16" s="59"/>
      <c r="AO16" s="59"/>
      <c r="AP16" s="59"/>
      <c r="AQ16" s="59"/>
      <c r="AR16" s="59"/>
      <c r="AS16" s="59"/>
      <c r="AT16" s="59"/>
      <c r="AU16" s="59"/>
      <c r="AV16" s="59"/>
      <c r="AW16" s="18">
        <f t="shared" si="1"/>
        <v>24</v>
      </c>
    </row>
    <row r="17" spans="1:51" s="12" customFormat="1" ht="39.6">
      <c r="A17" s="40">
        <f t="shared" si="0"/>
        <v>11</v>
      </c>
      <c r="B17" s="19"/>
      <c r="C17" s="41"/>
      <c r="D17" s="19"/>
      <c r="E17" s="19"/>
      <c r="F17" s="19"/>
      <c r="G17" s="19"/>
      <c r="H17" s="13"/>
      <c r="I17" s="13"/>
      <c r="J17" s="412" t="s">
        <v>1698</v>
      </c>
      <c r="K17" s="217" t="s">
        <v>128</v>
      </c>
      <c r="L17" s="412" t="s">
        <v>1699</v>
      </c>
      <c r="M17" s="412"/>
      <c r="N17" s="416" t="s">
        <v>504</v>
      </c>
      <c r="O17" s="40"/>
      <c r="P17" s="40"/>
      <c r="Q17" s="40"/>
      <c r="R17" s="126"/>
      <c r="S17" s="226" t="s">
        <v>6</v>
      </c>
      <c r="T17" s="40" t="s">
        <v>6</v>
      </c>
      <c r="U17" s="218" t="s">
        <v>1700</v>
      </c>
      <c r="V17" s="218"/>
      <c r="W17" s="202" t="s">
        <v>133</v>
      </c>
      <c r="X17" s="415"/>
      <c r="Y17" s="413"/>
      <c r="Z17" s="45"/>
      <c r="AA17" s="416" t="s">
        <v>6</v>
      </c>
      <c r="AB17" s="416"/>
      <c r="AC17" s="416"/>
      <c r="AD17" s="416"/>
      <c r="AE17" s="219" t="s">
        <v>125</v>
      </c>
      <c r="AF17" s="415"/>
      <c r="AG17" s="413"/>
      <c r="AH17" s="45"/>
      <c r="AI17" s="416" t="s">
        <v>6</v>
      </c>
      <c r="AJ17" s="45"/>
      <c r="AK17" s="415"/>
      <c r="AL17" s="415"/>
      <c r="AM17" s="43"/>
      <c r="AN17" s="13"/>
      <c r="AO17" s="15"/>
      <c r="AP17" s="15"/>
      <c r="AQ17" s="15"/>
      <c r="AR17" s="15"/>
      <c r="AS17" s="15"/>
      <c r="AT17" s="15"/>
      <c r="AU17" s="13"/>
      <c r="AV17" s="15"/>
      <c r="AW17" s="18">
        <f>LEN(L17)</f>
        <v>23</v>
      </c>
      <c r="AX17" s="16"/>
      <c r="AY17" s="17"/>
    </row>
    <row r="18" spans="1:51" s="12" customFormat="1" ht="15">
      <c r="A18" s="40">
        <f t="shared" si="0"/>
        <v>12</v>
      </c>
      <c r="B18" s="19"/>
      <c r="C18" s="41"/>
      <c r="D18" s="19"/>
      <c r="E18" s="19"/>
      <c r="F18" s="19"/>
      <c r="G18" s="19"/>
      <c r="H18" s="13"/>
      <c r="I18" s="13"/>
      <c r="J18" s="215" t="s">
        <v>1701</v>
      </c>
      <c r="K18" s="412" t="s">
        <v>117</v>
      </c>
      <c r="L18" s="215" t="s">
        <v>1702</v>
      </c>
      <c r="M18" s="215"/>
      <c r="N18" s="126" t="s">
        <v>504</v>
      </c>
      <c r="O18" s="40"/>
      <c r="P18" s="40"/>
      <c r="Q18" s="126" t="s">
        <v>6</v>
      </c>
      <c r="R18" s="126" t="s">
        <v>6</v>
      </c>
      <c r="S18" s="126" t="s">
        <v>6</v>
      </c>
      <c r="T18" s="40" t="s">
        <v>6</v>
      </c>
      <c r="U18" s="204"/>
      <c r="V18" s="204"/>
      <c r="W18" s="412" t="s">
        <v>133</v>
      </c>
      <c r="X18" s="13"/>
      <c r="Y18" s="13"/>
      <c r="Z18" s="61" t="s">
        <v>6</v>
      </c>
      <c r="AA18" s="61" t="s">
        <v>6</v>
      </c>
      <c r="AB18" s="413"/>
      <c r="AC18" s="415"/>
      <c r="AD18" s="415"/>
      <c r="AE18" s="412" t="s">
        <v>133</v>
      </c>
      <c r="AF18" s="13"/>
      <c r="AG18" s="13"/>
      <c r="AH18" s="61" t="s">
        <v>6</v>
      </c>
      <c r="AI18" s="61" t="s">
        <v>6</v>
      </c>
      <c r="AJ18" s="413"/>
      <c r="AK18" s="415"/>
      <c r="AL18" s="415"/>
      <c r="AM18" s="43"/>
      <c r="AN18" s="19"/>
      <c r="AO18" s="15"/>
      <c r="AP18" s="15"/>
      <c r="AQ18" s="15"/>
      <c r="AR18" s="15"/>
      <c r="AS18" s="15"/>
      <c r="AT18" s="15"/>
      <c r="AU18" s="13"/>
      <c r="AV18" s="15"/>
      <c r="AW18" s="18">
        <f t="shared" si="1"/>
        <v>17</v>
      </c>
    </row>
    <row r="19" spans="1:51" s="20" customFormat="1" ht="15">
      <c r="A19" s="416">
        <f t="shared" si="0"/>
        <v>13</v>
      </c>
      <c r="B19" s="38"/>
      <c r="C19" s="41"/>
      <c r="D19" s="38"/>
      <c r="E19" s="46"/>
      <c r="F19" s="46"/>
      <c r="G19" s="46"/>
      <c r="H19" s="13"/>
      <c r="I19" s="40"/>
      <c r="J19" s="215" t="s">
        <v>1703</v>
      </c>
      <c r="K19" s="412" t="s">
        <v>117</v>
      </c>
      <c r="L19" s="215" t="s">
        <v>1704</v>
      </c>
      <c r="M19" s="215"/>
      <c r="N19" s="126" t="s">
        <v>504</v>
      </c>
      <c r="O19" s="40"/>
      <c r="P19" s="40"/>
      <c r="Q19" s="126" t="s">
        <v>6</v>
      </c>
      <c r="R19" s="126" t="s">
        <v>6</v>
      </c>
      <c r="S19" s="126" t="s">
        <v>6</v>
      </c>
      <c r="T19" s="40" t="s">
        <v>6</v>
      </c>
      <c r="U19" s="204"/>
      <c r="V19" s="204"/>
      <c r="W19" s="412" t="s">
        <v>133</v>
      </c>
      <c r="X19" s="13"/>
      <c r="Y19" s="13"/>
      <c r="Z19" s="61" t="s">
        <v>6</v>
      </c>
      <c r="AA19" s="61" t="s">
        <v>6</v>
      </c>
      <c r="AB19" s="413"/>
      <c r="AC19" s="413"/>
      <c r="AD19" s="413"/>
      <c r="AE19" s="412" t="s">
        <v>133</v>
      </c>
      <c r="AF19" s="13"/>
      <c r="AG19" s="13"/>
      <c r="AH19" s="61" t="s">
        <v>6</v>
      </c>
      <c r="AI19" s="61" t="s">
        <v>6</v>
      </c>
      <c r="AJ19" s="413"/>
      <c r="AK19" s="413"/>
      <c r="AL19" s="413"/>
      <c r="AM19" s="43"/>
      <c r="AN19" s="19"/>
      <c r="AO19" s="13"/>
      <c r="AP19" s="13"/>
      <c r="AQ19" s="13"/>
      <c r="AR19" s="13"/>
      <c r="AS19" s="13"/>
      <c r="AT19" s="13"/>
      <c r="AU19" s="13"/>
      <c r="AV19" s="19"/>
      <c r="AW19" s="18">
        <f t="shared" si="1"/>
        <v>39</v>
      </c>
    </row>
    <row r="20" spans="1:51" s="20" customFormat="1" ht="15">
      <c r="A20" s="40">
        <f t="shared" si="0"/>
        <v>14</v>
      </c>
      <c r="B20" s="38"/>
      <c r="C20" s="41"/>
      <c r="D20" s="38"/>
      <c r="E20" s="46"/>
      <c r="F20" s="46"/>
      <c r="G20" s="46"/>
      <c r="H20" s="13"/>
      <c r="I20" s="40"/>
      <c r="J20" s="247" t="s">
        <v>1705</v>
      </c>
      <c r="K20" s="412" t="s">
        <v>117</v>
      </c>
      <c r="L20" s="215" t="s">
        <v>1706</v>
      </c>
      <c r="M20" s="215"/>
      <c r="N20" s="126" t="s">
        <v>504</v>
      </c>
      <c r="O20" s="40"/>
      <c r="P20" s="40"/>
      <c r="Q20" s="126" t="s">
        <v>6</v>
      </c>
      <c r="R20" s="126" t="s">
        <v>6</v>
      </c>
      <c r="S20" s="126" t="s">
        <v>6</v>
      </c>
      <c r="T20" s="40" t="s">
        <v>6</v>
      </c>
      <c r="U20" s="244" t="s">
        <v>1707</v>
      </c>
      <c r="V20" s="204"/>
      <c r="W20" s="412" t="s">
        <v>133</v>
      </c>
      <c r="X20" s="13"/>
      <c r="Y20" s="13"/>
      <c r="Z20" s="61" t="s">
        <v>6</v>
      </c>
      <c r="AA20" s="61" t="s">
        <v>6</v>
      </c>
      <c r="AB20" s="413"/>
      <c r="AC20" s="413"/>
      <c r="AD20" s="413"/>
      <c r="AE20" s="412" t="s">
        <v>133</v>
      </c>
      <c r="AF20" s="13"/>
      <c r="AG20" s="13"/>
      <c r="AH20" s="61" t="s">
        <v>6</v>
      </c>
      <c r="AI20" s="61" t="s">
        <v>6</v>
      </c>
      <c r="AJ20" s="413"/>
      <c r="AK20" s="413"/>
      <c r="AL20" s="413"/>
      <c r="AM20" s="43"/>
      <c r="AN20" s="19"/>
      <c r="AO20" s="13"/>
      <c r="AP20" s="13"/>
      <c r="AQ20" s="13"/>
      <c r="AR20" s="13"/>
      <c r="AS20" s="13"/>
      <c r="AT20" s="13"/>
      <c r="AU20" s="13"/>
      <c r="AV20" s="19"/>
      <c r="AW20" s="18">
        <f t="shared" ref="AW20" si="4">LEN(L20)</f>
        <v>50</v>
      </c>
    </row>
    <row r="21" spans="1:51" s="12" customFormat="1" ht="26.4">
      <c r="A21" s="40">
        <f t="shared" si="0"/>
        <v>15</v>
      </c>
      <c r="B21" s="38"/>
      <c r="C21" s="41"/>
      <c r="D21" s="19"/>
      <c r="E21" s="19"/>
      <c r="F21" s="19"/>
      <c r="G21" s="19"/>
      <c r="H21" s="13"/>
      <c r="I21" s="13"/>
      <c r="J21" s="215" t="s">
        <v>1708</v>
      </c>
      <c r="K21" s="412" t="s">
        <v>120</v>
      </c>
      <c r="L21" s="215" t="s">
        <v>1709</v>
      </c>
      <c r="M21" s="215" t="s">
        <v>3602</v>
      </c>
      <c r="N21" s="349" t="s">
        <v>873</v>
      </c>
      <c r="O21" s="40"/>
      <c r="P21" s="40"/>
      <c r="Q21" s="126" t="s">
        <v>6</v>
      </c>
      <c r="R21" s="126" t="s">
        <v>6</v>
      </c>
      <c r="S21" s="126" t="s">
        <v>6</v>
      </c>
      <c r="T21" s="40" t="s">
        <v>6</v>
      </c>
      <c r="U21" s="244" t="s">
        <v>1710</v>
      </c>
      <c r="V21" s="204"/>
      <c r="W21" s="412" t="s">
        <v>133</v>
      </c>
      <c r="X21" s="13"/>
      <c r="Y21" s="13"/>
      <c r="Z21" s="61" t="s">
        <v>6</v>
      </c>
      <c r="AA21" s="61" t="s">
        <v>6</v>
      </c>
      <c r="AB21" s="413"/>
      <c r="AC21" s="415"/>
      <c r="AD21" s="415"/>
      <c r="AE21" s="412" t="s">
        <v>133</v>
      </c>
      <c r="AF21" s="13"/>
      <c r="AG21" s="13"/>
      <c r="AH21" s="61" t="s">
        <v>6</v>
      </c>
      <c r="AI21" s="61" t="s">
        <v>6</v>
      </c>
      <c r="AJ21" s="413"/>
      <c r="AK21" s="415"/>
      <c r="AL21" s="415"/>
      <c r="AM21" s="43"/>
      <c r="AN21" s="13"/>
      <c r="AO21" s="15"/>
      <c r="AP21" s="15"/>
      <c r="AQ21" s="15"/>
      <c r="AR21" s="15"/>
      <c r="AS21" s="15"/>
      <c r="AT21" s="15"/>
      <c r="AU21" s="15"/>
      <c r="AV21" s="15"/>
      <c r="AW21" s="18">
        <f t="shared" si="1"/>
        <v>39</v>
      </c>
      <c r="AX21" s="16"/>
      <c r="AY21" s="17"/>
    </row>
    <row r="22" spans="1:51" s="12" customFormat="1" ht="26.4">
      <c r="A22" s="40">
        <f t="shared" si="0"/>
        <v>16</v>
      </c>
      <c r="B22" s="38"/>
      <c r="C22" s="41"/>
      <c r="D22" s="19"/>
      <c r="E22" s="19"/>
      <c r="F22" s="19"/>
      <c r="G22" s="19"/>
      <c r="H22" s="13"/>
      <c r="I22" s="13"/>
      <c r="J22" s="247" t="s">
        <v>1711</v>
      </c>
      <c r="K22" s="412" t="s">
        <v>122</v>
      </c>
      <c r="L22" s="215" t="s">
        <v>1712</v>
      </c>
      <c r="M22" s="215" t="s">
        <v>3602</v>
      </c>
      <c r="N22" s="349" t="s">
        <v>873</v>
      </c>
      <c r="O22" s="40"/>
      <c r="P22" s="40"/>
      <c r="Q22" s="126" t="s">
        <v>6</v>
      </c>
      <c r="R22" s="126" t="s">
        <v>6</v>
      </c>
      <c r="S22" s="126" t="s">
        <v>6</v>
      </c>
      <c r="T22" s="40" t="s">
        <v>6</v>
      </c>
      <c r="U22" s="244" t="s">
        <v>1713</v>
      </c>
      <c r="V22" s="204"/>
      <c r="W22" s="412" t="s">
        <v>133</v>
      </c>
      <c r="X22" s="13"/>
      <c r="Y22" s="13"/>
      <c r="Z22" s="61" t="s">
        <v>6</v>
      </c>
      <c r="AA22" s="61" t="s">
        <v>6</v>
      </c>
      <c r="AB22" s="413"/>
      <c r="AC22" s="415"/>
      <c r="AD22" s="415"/>
      <c r="AE22" s="412" t="s">
        <v>133</v>
      </c>
      <c r="AF22" s="13"/>
      <c r="AG22" s="13"/>
      <c r="AH22" s="61" t="s">
        <v>6</v>
      </c>
      <c r="AI22" s="61" t="s">
        <v>6</v>
      </c>
      <c r="AJ22" s="413"/>
      <c r="AK22" s="415"/>
      <c r="AL22" s="415"/>
      <c r="AM22" s="43"/>
      <c r="AN22" s="13"/>
      <c r="AO22" s="15"/>
      <c r="AP22" s="15"/>
      <c r="AQ22" s="15"/>
      <c r="AR22" s="15"/>
      <c r="AS22" s="15"/>
      <c r="AT22" s="15"/>
      <c r="AU22" s="15"/>
      <c r="AV22" s="15"/>
      <c r="AW22" s="18">
        <f t="shared" ref="AW22" si="5">LEN(L22)</f>
        <v>50</v>
      </c>
      <c r="AX22" s="16"/>
      <c r="AY22" s="17"/>
    </row>
    <row r="23" spans="1:51" s="12" customFormat="1" ht="26.4">
      <c r="A23" s="40">
        <f t="shared" si="0"/>
        <v>17</v>
      </c>
      <c r="B23" s="19"/>
      <c r="C23" s="41"/>
      <c r="D23" s="19"/>
      <c r="E23" s="19"/>
      <c r="F23" s="19"/>
      <c r="G23" s="19"/>
      <c r="H23" s="13"/>
      <c r="I23" s="13"/>
      <c r="J23" s="215" t="s">
        <v>1714</v>
      </c>
      <c r="K23" s="215" t="s">
        <v>117</v>
      </c>
      <c r="L23" s="215" t="s">
        <v>1715</v>
      </c>
      <c r="M23" s="215"/>
      <c r="N23" s="126" t="s">
        <v>504</v>
      </c>
      <c r="O23" s="40"/>
      <c r="P23" s="40"/>
      <c r="Q23" s="126" t="s">
        <v>6</v>
      </c>
      <c r="R23" s="126" t="s">
        <v>6</v>
      </c>
      <c r="S23" s="126" t="s">
        <v>6</v>
      </c>
      <c r="T23" s="40" t="s">
        <v>6</v>
      </c>
      <c r="U23" s="204" t="s">
        <v>1716</v>
      </c>
      <c r="V23" s="204"/>
      <c r="W23" s="215" t="s">
        <v>133</v>
      </c>
      <c r="X23" s="13"/>
      <c r="Y23" s="13"/>
      <c r="Z23" s="61" t="s">
        <v>6</v>
      </c>
      <c r="AA23" s="61" t="s">
        <v>6</v>
      </c>
      <c r="AB23" s="413"/>
      <c r="AC23" s="415"/>
      <c r="AD23" s="415"/>
      <c r="AE23" s="215" t="s">
        <v>133</v>
      </c>
      <c r="AF23" s="13"/>
      <c r="AG23" s="13"/>
      <c r="AH23" s="61" t="s">
        <v>6</v>
      </c>
      <c r="AI23" s="61" t="s">
        <v>6</v>
      </c>
      <c r="AJ23" s="413"/>
      <c r="AK23" s="415"/>
      <c r="AL23" s="415"/>
      <c r="AM23" s="43"/>
      <c r="AN23" s="19"/>
      <c r="AO23" s="15"/>
      <c r="AP23" s="15"/>
      <c r="AQ23" s="15"/>
      <c r="AR23" s="15"/>
      <c r="AS23" s="15"/>
      <c r="AT23" s="15"/>
      <c r="AU23" s="13"/>
      <c r="AV23" s="15"/>
      <c r="AW23" s="18">
        <f t="shared" ref="AW23" si="6">LEN(L23)</f>
        <v>22</v>
      </c>
    </row>
    <row r="24" spans="1:51" s="12" customFormat="1" ht="26.4">
      <c r="A24" s="40">
        <f t="shared" si="0"/>
        <v>18</v>
      </c>
      <c r="B24" s="19"/>
      <c r="C24" s="41"/>
      <c r="D24" s="19"/>
      <c r="E24" s="19"/>
      <c r="F24" s="19"/>
      <c r="G24" s="19"/>
      <c r="H24" s="13"/>
      <c r="I24" s="13"/>
      <c r="J24" s="215" t="s">
        <v>1717</v>
      </c>
      <c r="K24" s="215" t="s">
        <v>128</v>
      </c>
      <c r="L24" s="215" t="s">
        <v>1718</v>
      </c>
      <c r="M24" s="215"/>
      <c r="N24" s="126" t="s">
        <v>504</v>
      </c>
      <c r="O24" s="40"/>
      <c r="P24" s="40"/>
      <c r="Q24" s="126"/>
      <c r="R24" s="126" t="s">
        <v>6</v>
      </c>
      <c r="S24" s="126" t="s">
        <v>6</v>
      </c>
      <c r="T24" s="40" t="s">
        <v>6</v>
      </c>
      <c r="U24" s="204" t="s">
        <v>1719</v>
      </c>
      <c r="V24" s="204"/>
      <c r="W24" s="215" t="s">
        <v>133</v>
      </c>
      <c r="X24" s="13"/>
      <c r="Y24" s="13"/>
      <c r="Z24" s="61" t="s">
        <v>6</v>
      </c>
      <c r="AA24" s="61" t="s">
        <v>6</v>
      </c>
      <c r="AB24" s="413"/>
      <c r="AC24" s="415"/>
      <c r="AD24" s="415"/>
      <c r="AE24" s="215" t="s">
        <v>133</v>
      </c>
      <c r="AF24" s="13"/>
      <c r="AG24" s="13"/>
      <c r="AH24" s="61" t="s">
        <v>6</v>
      </c>
      <c r="AI24" s="61" t="s">
        <v>6</v>
      </c>
      <c r="AJ24" s="413"/>
      <c r="AK24" s="415"/>
      <c r="AL24" s="415"/>
      <c r="AM24" s="43"/>
      <c r="AN24" s="19"/>
      <c r="AO24" s="15"/>
      <c r="AP24" s="15"/>
      <c r="AQ24" s="15"/>
      <c r="AR24" s="15"/>
      <c r="AS24" s="15"/>
      <c r="AT24" s="15"/>
      <c r="AU24" s="13"/>
      <c r="AV24" s="15"/>
      <c r="AW24" s="18">
        <f t="shared" ref="AW24" si="7">LEN(L24)</f>
        <v>20</v>
      </c>
    </row>
    <row r="25" spans="1:51" s="20" customFormat="1" ht="15">
      <c r="A25" s="416">
        <f t="shared" si="0"/>
        <v>19</v>
      </c>
      <c r="B25" s="19"/>
      <c r="C25" s="41"/>
      <c r="D25" s="19"/>
      <c r="E25" s="19"/>
      <c r="F25" s="19"/>
      <c r="G25" s="19"/>
      <c r="H25" s="13"/>
      <c r="I25" s="13"/>
      <c r="J25" s="215" t="s">
        <v>1720</v>
      </c>
      <c r="K25" s="219" t="s">
        <v>65</v>
      </c>
      <c r="L25" s="215" t="s">
        <v>1721</v>
      </c>
      <c r="M25" s="215"/>
      <c r="N25" s="126" t="s">
        <v>504</v>
      </c>
      <c r="O25" s="40"/>
      <c r="P25" s="40"/>
      <c r="Q25" s="126" t="s">
        <v>6</v>
      </c>
      <c r="R25" s="126" t="s">
        <v>6</v>
      </c>
      <c r="S25" s="126" t="s">
        <v>6</v>
      </c>
      <c r="T25" s="40" t="s">
        <v>6</v>
      </c>
      <c r="U25" s="204"/>
      <c r="V25" s="204"/>
      <c r="W25" s="219" t="s">
        <v>65</v>
      </c>
      <c r="X25" s="13"/>
      <c r="Y25" s="13"/>
      <c r="Z25" s="61" t="s">
        <v>6</v>
      </c>
      <c r="AA25" s="61" t="s">
        <v>6</v>
      </c>
      <c r="AB25" s="413"/>
      <c r="AC25" s="415"/>
      <c r="AD25" s="415"/>
      <c r="AE25" s="219" t="s">
        <v>65</v>
      </c>
      <c r="AF25" s="13"/>
      <c r="AG25" s="13"/>
      <c r="AH25" s="61" t="s">
        <v>6</v>
      </c>
      <c r="AI25" s="61" t="s">
        <v>6</v>
      </c>
      <c r="AJ25" s="413"/>
      <c r="AK25" s="415"/>
      <c r="AL25" s="415"/>
      <c r="AM25" s="43"/>
      <c r="AN25" s="13"/>
      <c r="AO25" s="15"/>
      <c r="AP25" s="15"/>
      <c r="AQ25" s="15"/>
      <c r="AR25" s="15"/>
      <c r="AS25" s="15"/>
      <c r="AT25" s="15"/>
      <c r="AU25" s="15"/>
      <c r="AV25" s="19"/>
      <c r="AW25" s="18">
        <f t="shared" si="1"/>
        <v>24</v>
      </c>
    </row>
    <row r="26" spans="1:51" s="20" customFormat="1" ht="15">
      <c r="A26" s="40">
        <f t="shared" si="0"/>
        <v>20</v>
      </c>
      <c r="B26" s="19"/>
      <c r="C26" s="41"/>
      <c r="D26" s="19"/>
      <c r="E26" s="19"/>
      <c r="F26" s="19"/>
      <c r="G26" s="19"/>
      <c r="H26" s="13"/>
      <c r="I26" s="13"/>
      <c r="J26" s="215" t="s">
        <v>1722</v>
      </c>
      <c r="K26" s="219" t="s">
        <v>65</v>
      </c>
      <c r="L26" s="215" t="s">
        <v>1723</v>
      </c>
      <c r="M26" s="215"/>
      <c r="N26" s="126" t="s">
        <v>504</v>
      </c>
      <c r="O26" s="40"/>
      <c r="P26" s="40"/>
      <c r="Q26" s="126" t="s">
        <v>6</v>
      </c>
      <c r="R26" s="126" t="s">
        <v>6</v>
      </c>
      <c r="S26" s="126" t="s">
        <v>6</v>
      </c>
      <c r="T26" s="40" t="s">
        <v>6</v>
      </c>
      <c r="U26" s="204"/>
      <c r="V26" s="204"/>
      <c r="W26" s="219" t="s">
        <v>65</v>
      </c>
      <c r="X26" s="13"/>
      <c r="Y26" s="13"/>
      <c r="Z26" s="61" t="s">
        <v>6</v>
      </c>
      <c r="AA26" s="61" t="s">
        <v>6</v>
      </c>
      <c r="AB26" s="45"/>
      <c r="AC26" s="415"/>
      <c r="AD26" s="415"/>
      <c r="AE26" s="219" t="s">
        <v>65</v>
      </c>
      <c r="AF26" s="13"/>
      <c r="AG26" s="13"/>
      <c r="AH26" s="61" t="s">
        <v>6</v>
      </c>
      <c r="AI26" s="61" t="s">
        <v>6</v>
      </c>
      <c r="AJ26" s="45"/>
      <c r="AK26" s="415"/>
      <c r="AL26" s="415"/>
      <c r="AM26" s="43"/>
      <c r="AN26" s="19"/>
      <c r="AO26" s="13"/>
      <c r="AP26" s="13"/>
      <c r="AQ26" s="13"/>
      <c r="AR26" s="13"/>
      <c r="AS26" s="13"/>
      <c r="AT26" s="13"/>
      <c r="AU26" s="15"/>
      <c r="AV26" s="15"/>
      <c r="AW26" s="18">
        <f t="shared" si="1"/>
        <v>23</v>
      </c>
    </row>
    <row r="27" spans="1:51" s="20" customFormat="1" ht="15">
      <c r="A27" s="40">
        <f t="shared" si="0"/>
        <v>21</v>
      </c>
      <c r="B27" s="38"/>
      <c r="C27" s="41"/>
      <c r="D27" s="19"/>
      <c r="E27" s="19"/>
      <c r="F27" s="19"/>
      <c r="G27" s="19"/>
      <c r="H27" s="13"/>
      <c r="I27" s="13"/>
      <c r="J27" s="215" t="s">
        <v>1724</v>
      </c>
      <c r="K27" s="219" t="s">
        <v>65</v>
      </c>
      <c r="L27" s="215" t="s">
        <v>1725</v>
      </c>
      <c r="M27" s="215"/>
      <c r="N27" s="126" t="s">
        <v>504</v>
      </c>
      <c r="O27" s="40"/>
      <c r="P27" s="40"/>
      <c r="Q27" s="126" t="s">
        <v>6</v>
      </c>
      <c r="R27" s="126" t="s">
        <v>6</v>
      </c>
      <c r="S27" s="126" t="s">
        <v>6</v>
      </c>
      <c r="T27" s="40" t="s">
        <v>6</v>
      </c>
      <c r="U27" s="204"/>
      <c r="V27" s="204"/>
      <c r="W27" s="219" t="s">
        <v>65</v>
      </c>
      <c r="X27" s="13"/>
      <c r="Y27" s="13"/>
      <c r="Z27" s="61" t="s">
        <v>6</v>
      </c>
      <c r="AA27" s="61" t="s">
        <v>6</v>
      </c>
      <c r="AB27" s="13"/>
      <c r="AC27" s="40"/>
      <c r="AD27" s="40"/>
      <c r="AE27" s="219" t="s">
        <v>65</v>
      </c>
      <c r="AF27" s="13"/>
      <c r="AG27" s="13"/>
      <c r="AH27" s="61" t="s">
        <v>6</v>
      </c>
      <c r="AI27" s="61" t="s">
        <v>6</v>
      </c>
      <c r="AJ27" s="13"/>
      <c r="AK27" s="40"/>
      <c r="AL27" s="40"/>
      <c r="AM27" s="43"/>
      <c r="AN27" s="19"/>
      <c r="AO27" s="15"/>
      <c r="AP27" s="15"/>
      <c r="AQ27" s="15"/>
      <c r="AR27" s="15"/>
      <c r="AS27" s="15"/>
      <c r="AT27" s="15"/>
      <c r="AU27" s="15"/>
      <c r="AV27" s="15"/>
      <c r="AW27" s="18">
        <f t="shared" si="1"/>
        <v>23</v>
      </c>
    </row>
    <row r="28" spans="1:51" s="20" customFormat="1" ht="51" customHeight="1">
      <c r="A28" s="40">
        <f t="shared" si="0"/>
        <v>22</v>
      </c>
      <c r="B28" s="59"/>
      <c r="C28" s="59"/>
      <c r="D28" s="59"/>
      <c r="E28" s="59"/>
      <c r="F28" s="59"/>
      <c r="G28" s="59"/>
      <c r="H28" s="59"/>
      <c r="I28" s="59"/>
      <c r="J28" s="215" t="s">
        <v>1726</v>
      </c>
      <c r="K28" s="215" t="s">
        <v>117</v>
      </c>
      <c r="L28" s="204" t="s">
        <v>1727</v>
      </c>
      <c r="M28" s="204"/>
      <c r="N28" s="126" t="s">
        <v>504</v>
      </c>
      <c r="O28" s="126"/>
      <c r="P28" s="126"/>
      <c r="Q28" s="126" t="s">
        <v>6</v>
      </c>
      <c r="R28" s="126" t="s">
        <v>6</v>
      </c>
      <c r="S28" s="126" t="s">
        <v>6</v>
      </c>
      <c r="T28" s="40" t="s">
        <v>6</v>
      </c>
      <c r="U28" s="200" t="s">
        <v>1728</v>
      </c>
      <c r="V28" s="220"/>
      <c r="W28" s="215" t="s">
        <v>133</v>
      </c>
      <c r="X28" s="59"/>
      <c r="Y28" s="59"/>
      <c r="Z28" s="61" t="s">
        <v>6</v>
      </c>
      <c r="AA28" s="61" t="s">
        <v>6</v>
      </c>
      <c r="AB28" s="199"/>
      <c r="AC28" s="59"/>
      <c r="AD28" s="59"/>
      <c r="AE28" s="215" t="s">
        <v>133</v>
      </c>
      <c r="AF28" s="59"/>
      <c r="AG28" s="59"/>
      <c r="AH28" s="61" t="s">
        <v>6</v>
      </c>
      <c r="AI28" s="61" t="s">
        <v>6</v>
      </c>
      <c r="AJ28" s="199"/>
      <c r="AK28" s="59"/>
      <c r="AL28" s="59"/>
      <c r="AM28" s="59"/>
      <c r="AN28" s="59"/>
      <c r="AO28" s="59"/>
      <c r="AP28" s="59"/>
      <c r="AQ28" s="59"/>
      <c r="AR28" s="59"/>
      <c r="AS28" s="59"/>
      <c r="AT28" s="59"/>
      <c r="AU28" s="59"/>
      <c r="AV28" s="59"/>
      <c r="AW28" s="18">
        <f t="shared" si="1"/>
        <v>33</v>
      </c>
    </row>
    <row r="29" spans="1:51" s="20" customFormat="1" ht="15">
      <c r="A29" s="40">
        <f t="shared" si="0"/>
        <v>23</v>
      </c>
      <c r="B29" s="38"/>
      <c r="C29" s="41"/>
      <c r="D29" s="19"/>
      <c r="E29" s="19"/>
      <c r="F29" s="19"/>
      <c r="G29" s="19"/>
      <c r="H29" s="13"/>
      <c r="I29" s="13"/>
      <c r="J29" s="215" t="s">
        <v>1729</v>
      </c>
      <c r="K29" s="412" t="s">
        <v>140</v>
      </c>
      <c r="L29" s="215" t="s">
        <v>1730</v>
      </c>
      <c r="M29" s="215"/>
      <c r="N29" s="126" t="s">
        <v>504</v>
      </c>
      <c r="O29" s="40"/>
      <c r="P29" s="40"/>
      <c r="Q29" s="126"/>
      <c r="R29" s="126" t="s">
        <v>6</v>
      </c>
      <c r="S29" s="126" t="s">
        <v>6</v>
      </c>
      <c r="T29" s="40" t="s">
        <v>6</v>
      </c>
      <c r="U29" s="204"/>
      <c r="V29" s="204"/>
      <c r="W29" s="412" t="s">
        <v>140</v>
      </c>
      <c r="X29" s="13"/>
      <c r="Y29" s="13"/>
      <c r="Z29" s="61"/>
      <c r="AA29" s="61" t="s">
        <v>6</v>
      </c>
      <c r="AB29" s="13"/>
      <c r="AC29" s="40"/>
      <c r="AD29" s="40"/>
      <c r="AE29" s="217" t="s">
        <v>140</v>
      </c>
      <c r="AF29" s="13"/>
      <c r="AG29" s="13"/>
      <c r="AH29" s="61"/>
      <c r="AI29" s="61" t="s">
        <v>6</v>
      </c>
      <c r="AJ29" s="13"/>
      <c r="AK29" s="40"/>
      <c r="AL29" s="40"/>
      <c r="AM29" s="43"/>
      <c r="AN29" s="13"/>
      <c r="AO29" s="15"/>
      <c r="AP29" s="15"/>
      <c r="AQ29" s="15"/>
      <c r="AR29" s="15"/>
      <c r="AS29" s="15"/>
      <c r="AT29" s="15"/>
      <c r="AU29" s="15"/>
      <c r="AV29" s="19"/>
      <c r="AW29" s="18">
        <f t="shared" si="1"/>
        <v>21</v>
      </c>
    </row>
    <row r="30" spans="1:51" s="20" customFormat="1" ht="15">
      <c r="A30" s="40">
        <f t="shared" si="0"/>
        <v>24</v>
      </c>
      <c r="B30" s="19"/>
      <c r="C30" s="41"/>
      <c r="D30" s="19"/>
      <c r="E30" s="19"/>
      <c r="F30" s="19"/>
      <c r="G30" s="19"/>
      <c r="H30" s="13"/>
      <c r="I30" s="13"/>
      <c r="J30" s="215" t="s">
        <v>1731</v>
      </c>
      <c r="K30" s="412" t="s">
        <v>140</v>
      </c>
      <c r="L30" s="215" t="s">
        <v>1732</v>
      </c>
      <c r="M30" s="215"/>
      <c r="N30" s="126" t="s">
        <v>504</v>
      </c>
      <c r="O30" s="40"/>
      <c r="P30" s="40"/>
      <c r="Q30" s="126" t="s">
        <v>6</v>
      </c>
      <c r="R30" s="126" t="s">
        <v>6</v>
      </c>
      <c r="S30" s="126" t="s">
        <v>6</v>
      </c>
      <c r="T30" s="40" t="s">
        <v>6</v>
      </c>
      <c r="U30" s="204"/>
      <c r="V30" s="204"/>
      <c r="W30" s="412" t="s">
        <v>140</v>
      </c>
      <c r="X30" s="13"/>
      <c r="Y30" s="13"/>
      <c r="Z30" s="61"/>
      <c r="AA30" s="61" t="s">
        <v>6</v>
      </c>
      <c r="AB30" s="13"/>
      <c r="AC30" s="40"/>
      <c r="AD30" s="40"/>
      <c r="AE30" s="217" t="s">
        <v>140</v>
      </c>
      <c r="AF30" s="13"/>
      <c r="AG30" s="13"/>
      <c r="AH30" s="61"/>
      <c r="AI30" s="61" t="s">
        <v>6</v>
      </c>
      <c r="AJ30" s="13"/>
      <c r="AK30" s="40"/>
      <c r="AL30" s="40"/>
      <c r="AM30" s="43"/>
      <c r="AN30" s="13"/>
      <c r="AO30" s="15"/>
      <c r="AP30" s="15"/>
      <c r="AQ30" s="15"/>
      <c r="AR30" s="15"/>
      <c r="AS30" s="15"/>
      <c r="AT30" s="15"/>
      <c r="AU30" s="15"/>
      <c r="AV30" s="15"/>
      <c r="AW30" s="18">
        <f t="shared" si="1"/>
        <v>20</v>
      </c>
    </row>
    <row r="31" spans="1:51" s="20" customFormat="1" ht="15">
      <c r="A31" s="416">
        <f t="shared" si="0"/>
        <v>25</v>
      </c>
      <c r="B31" s="19"/>
      <c r="C31" s="41"/>
      <c r="D31" s="19"/>
      <c r="E31" s="19"/>
      <c r="F31" s="19"/>
      <c r="G31" s="19"/>
      <c r="H31" s="13"/>
      <c r="I31" s="13"/>
      <c r="J31" s="215" t="s">
        <v>1733</v>
      </c>
      <c r="K31" s="412" t="s">
        <v>140</v>
      </c>
      <c r="L31" s="215" t="s">
        <v>1734</v>
      </c>
      <c r="M31" s="215"/>
      <c r="N31" s="126" t="s">
        <v>504</v>
      </c>
      <c r="O31" s="40"/>
      <c r="P31" s="40"/>
      <c r="Q31" s="126" t="s">
        <v>6</v>
      </c>
      <c r="R31" s="126" t="s">
        <v>6</v>
      </c>
      <c r="S31" s="126" t="s">
        <v>6</v>
      </c>
      <c r="T31" s="40" t="s">
        <v>6</v>
      </c>
      <c r="U31" s="215"/>
      <c r="V31" s="214"/>
      <c r="W31" s="412" t="s">
        <v>140</v>
      </c>
      <c r="X31" s="13"/>
      <c r="Y31" s="413"/>
      <c r="Z31" s="61"/>
      <c r="AA31" s="61" t="s">
        <v>6</v>
      </c>
      <c r="AB31" s="413"/>
      <c r="AC31" s="40"/>
      <c r="AD31" s="40"/>
      <c r="AE31" s="217" t="s">
        <v>140</v>
      </c>
      <c r="AF31" s="13"/>
      <c r="AG31" s="413"/>
      <c r="AH31" s="61"/>
      <c r="AI31" s="61" t="s">
        <v>6</v>
      </c>
      <c r="AJ31" s="413"/>
      <c r="AK31" s="40"/>
      <c r="AL31" s="40"/>
      <c r="AM31" s="43"/>
      <c r="AN31" s="13"/>
      <c r="AO31" s="15"/>
      <c r="AP31" s="15"/>
      <c r="AQ31" s="15"/>
      <c r="AR31" s="15"/>
      <c r="AS31" s="15"/>
      <c r="AT31" s="15"/>
      <c r="AU31" s="15"/>
      <c r="AV31" s="15"/>
      <c r="AW31" s="18">
        <f t="shared" si="1"/>
        <v>25</v>
      </c>
    </row>
    <row r="32" spans="1:51" s="12" customFormat="1" ht="15">
      <c r="A32" s="40">
        <f t="shared" si="0"/>
        <v>26</v>
      </c>
      <c r="B32" s="38"/>
      <c r="C32" s="42"/>
      <c r="D32" s="19"/>
      <c r="E32" s="19"/>
      <c r="F32" s="35"/>
      <c r="G32" s="35"/>
      <c r="H32" s="414"/>
      <c r="I32" s="13"/>
      <c r="J32" s="215" t="s">
        <v>1735</v>
      </c>
      <c r="K32" s="412" t="s">
        <v>117</v>
      </c>
      <c r="L32" s="215" t="s">
        <v>1736</v>
      </c>
      <c r="M32" s="215"/>
      <c r="N32" s="126" t="s">
        <v>504</v>
      </c>
      <c r="O32" s="40"/>
      <c r="P32" s="40"/>
      <c r="Q32" s="126" t="s">
        <v>6</v>
      </c>
      <c r="R32" s="126" t="s">
        <v>6</v>
      </c>
      <c r="S32" s="126" t="s">
        <v>6</v>
      </c>
      <c r="T32" s="40" t="s">
        <v>6</v>
      </c>
      <c r="U32" s="204"/>
      <c r="V32" s="204"/>
      <c r="W32" s="215" t="s">
        <v>125</v>
      </c>
      <c r="X32" s="13"/>
      <c r="Y32" s="413"/>
      <c r="Z32" s="61"/>
      <c r="AA32" s="61" t="s">
        <v>6</v>
      </c>
      <c r="AB32" s="413"/>
      <c r="AC32" s="415"/>
      <c r="AD32" s="415"/>
      <c r="AE32" s="215" t="s">
        <v>125</v>
      </c>
      <c r="AF32" s="13"/>
      <c r="AG32" s="413"/>
      <c r="AH32" s="61"/>
      <c r="AI32" s="61" t="s">
        <v>6</v>
      </c>
      <c r="AJ32" s="413"/>
      <c r="AK32" s="415"/>
      <c r="AL32" s="415"/>
      <c r="AM32" s="43"/>
      <c r="AN32" s="44"/>
      <c r="AO32" s="13"/>
      <c r="AP32" s="13"/>
      <c r="AQ32" s="13"/>
      <c r="AR32" s="13"/>
      <c r="AS32" s="13"/>
      <c r="AT32" s="13"/>
      <c r="AU32" s="13"/>
      <c r="AV32" s="13"/>
      <c r="AW32" s="18">
        <f t="shared" si="1"/>
        <v>32</v>
      </c>
    </row>
    <row r="33" spans="1:87" s="12" customFormat="1" ht="15">
      <c r="A33" s="40">
        <f t="shared" si="0"/>
        <v>27</v>
      </c>
      <c r="B33" s="19"/>
      <c r="C33" s="41"/>
      <c r="D33" s="19"/>
      <c r="E33" s="19"/>
      <c r="F33" s="19"/>
      <c r="G33" s="19"/>
      <c r="H33" s="13"/>
      <c r="I33" s="13"/>
      <c r="J33" s="215" t="s">
        <v>1737</v>
      </c>
      <c r="K33" s="215" t="s">
        <v>117</v>
      </c>
      <c r="L33" s="215" t="s">
        <v>1738</v>
      </c>
      <c r="M33" s="215"/>
      <c r="N33" s="126" t="s">
        <v>504</v>
      </c>
      <c r="O33" s="40"/>
      <c r="P33" s="40"/>
      <c r="Q33" s="126" t="s">
        <v>6</v>
      </c>
      <c r="R33" s="126" t="s">
        <v>6</v>
      </c>
      <c r="S33" s="126" t="s">
        <v>6</v>
      </c>
      <c r="T33" s="40" t="s">
        <v>6</v>
      </c>
      <c r="U33" s="204"/>
      <c r="V33" s="204"/>
      <c r="W33" s="215" t="s">
        <v>125</v>
      </c>
      <c r="X33" s="13"/>
      <c r="Y33" s="413"/>
      <c r="Z33" s="61"/>
      <c r="AA33" s="61" t="s">
        <v>6</v>
      </c>
      <c r="AB33" s="45"/>
      <c r="AC33" s="415"/>
      <c r="AD33" s="415"/>
      <c r="AE33" s="215" t="s">
        <v>125</v>
      </c>
      <c r="AF33" s="13"/>
      <c r="AG33" s="413"/>
      <c r="AH33" s="61"/>
      <c r="AI33" s="61" t="s">
        <v>6</v>
      </c>
      <c r="AJ33" s="45"/>
      <c r="AK33" s="415"/>
      <c r="AL33" s="415"/>
      <c r="AM33" s="43"/>
      <c r="AN33" s="13"/>
      <c r="AO33" s="15"/>
      <c r="AP33" s="15"/>
      <c r="AQ33" s="15"/>
      <c r="AR33" s="15"/>
      <c r="AS33" s="15"/>
      <c r="AT33" s="15"/>
      <c r="AU33" s="13"/>
      <c r="AV33" s="15"/>
      <c r="AW33" s="18">
        <f t="shared" si="1"/>
        <v>34</v>
      </c>
      <c r="AX33" s="16"/>
      <c r="AY33" s="17"/>
    </row>
    <row r="34" spans="1:87" s="12" customFormat="1" ht="15">
      <c r="A34" s="40">
        <f t="shared" si="0"/>
        <v>28</v>
      </c>
      <c r="B34" s="38"/>
      <c r="C34" s="42"/>
      <c r="D34" s="19"/>
      <c r="E34" s="19"/>
      <c r="F34" s="19"/>
      <c r="G34" s="19"/>
      <c r="H34" s="13"/>
      <c r="I34" s="13"/>
      <c r="J34" s="215" t="s">
        <v>1739</v>
      </c>
      <c r="K34" s="215" t="s">
        <v>117</v>
      </c>
      <c r="L34" s="215" t="s">
        <v>1740</v>
      </c>
      <c r="M34" s="215"/>
      <c r="N34" s="126" t="s">
        <v>504</v>
      </c>
      <c r="O34" s="40"/>
      <c r="P34" s="40"/>
      <c r="Q34" s="126" t="s">
        <v>6</v>
      </c>
      <c r="R34" s="126" t="s">
        <v>6</v>
      </c>
      <c r="S34" s="126" t="s">
        <v>6</v>
      </c>
      <c r="T34" s="40" t="s">
        <v>6</v>
      </c>
      <c r="U34" s="204"/>
      <c r="V34" s="204"/>
      <c r="W34" s="215" t="s">
        <v>125</v>
      </c>
      <c r="X34" s="13"/>
      <c r="Y34" s="413"/>
      <c r="Z34" s="61"/>
      <c r="AA34" s="61" t="s">
        <v>6</v>
      </c>
      <c r="AB34" s="413"/>
      <c r="AC34" s="415"/>
      <c r="AD34" s="415"/>
      <c r="AE34" s="215" t="s">
        <v>125</v>
      </c>
      <c r="AF34" s="13"/>
      <c r="AG34" s="413"/>
      <c r="AH34" s="61"/>
      <c r="AI34" s="61" t="s">
        <v>6</v>
      </c>
      <c r="AJ34" s="413"/>
      <c r="AK34" s="415"/>
      <c r="AL34" s="415"/>
      <c r="AM34" s="43"/>
      <c r="AN34" s="44"/>
      <c r="AO34" s="13"/>
      <c r="AP34" s="13"/>
      <c r="AQ34" s="13"/>
      <c r="AR34" s="13"/>
      <c r="AS34" s="13"/>
      <c r="AT34" s="13"/>
      <c r="AU34" s="13"/>
      <c r="AV34" s="13"/>
      <c r="AW34" s="18">
        <f t="shared" si="1"/>
        <v>33</v>
      </c>
      <c r="AX34" s="16"/>
      <c r="AY34" s="17"/>
    </row>
    <row r="35" spans="1:87" s="12" customFormat="1" ht="15">
      <c r="A35" s="40">
        <f t="shared" si="0"/>
        <v>29</v>
      </c>
      <c r="B35" s="38"/>
      <c r="C35" s="42"/>
      <c r="D35" s="19"/>
      <c r="E35" s="19"/>
      <c r="F35" s="19"/>
      <c r="G35" s="19"/>
      <c r="H35" s="13"/>
      <c r="I35" s="13"/>
      <c r="J35" s="215" t="s">
        <v>1741</v>
      </c>
      <c r="K35" s="412" t="s">
        <v>120</v>
      </c>
      <c r="L35" s="215" t="s">
        <v>1742</v>
      </c>
      <c r="M35" s="215"/>
      <c r="N35" s="349" t="s">
        <v>873</v>
      </c>
      <c r="O35" s="40"/>
      <c r="P35" s="40"/>
      <c r="Q35" s="126" t="s">
        <v>6</v>
      </c>
      <c r="R35" s="126" t="s">
        <v>6</v>
      </c>
      <c r="S35" s="126" t="s">
        <v>6</v>
      </c>
      <c r="T35" s="40" t="s">
        <v>6</v>
      </c>
      <c r="U35" s="204" t="s">
        <v>1743</v>
      </c>
      <c r="V35" s="204"/>
      <c r="W35" s="412" t="s">
        <v>123</v>
      </c>
      <c r="X35" s="13"/>
      <c r="Y35" s="413"/>
      <c r="Z35" s="61"/>
      <c r="AA35" s="61" t="s">
        <v>6</v>
      </c>
      <c r="AB35" s="413"/>
      <c r="AC35" s="415"/>
      <c r="AD35" s="415"/>
      <c r="AE35" s="215" t="s">
        <v>125</v>
      </c>
      <c r="AF35" s="13"/>
      <c r="AG35" s="413"/>
      <c r="AH35" s="61"/>
      <c r="AI35" s="61" t="s">
        <v>6</v>
      </c>
      <c r="AJ35" s="413"/>
      <c r="AK35" s="415"/>
      <c r="AL35" s="415"/>
      <c r="AM35" s="43"/>
      <c r="AN35" s="44"/>
      <c r="AO35" s="13"/>
      <c r="AP35" s="13"/>
      <c r="AQ35" s="13"/>
      <c r="AR35" s="13"/>
      <c r="AS35" s="13"/>
      <c r="AT35" s="13"/>
      <c r="AU35" s="13"/>
      <c r="AV35" s="13"/>
      <c r="AW35" s="18">
        <f>LEN(L35)</f>
        <v>39</v>
      </c>
      <c r="AX35" s="16"/>
      <c r="AY35" s="17"/>
    </row>
    <row r="36" spans="1:87" s="20" customFormat="1" ht="15">
      <c r="A36" s="40">
        <f t="shared" si="0"/>
        <v>30</v>
      </c>
      <c r="B36" s="59"/>
      <c r="C36" s="59"/>
      <c r="D36" s="59"/>
      <c r="E36" s="59"/>
      <c r="F36" s="59"/>
      <c r="G36" s="59"/>
      <c r="H36" s="59"/>
      <c r="I36" s="59"/>
      <c r="J36" s="215" t="s">
        <v>1744</v>
      </c>
      <c r="K36" s="412" t="s">
        <v>117</v>
      </c>
      <c r="L36" s="215" t="s">
        <v>1745</v>
      </c>
      <c r="M36" s="215"/>
      <c r="N36" s="126" t="s">
        <v>504</v>
      </c>
      <c r="O36" s="126"/>
      <c r="P36" s="126"/>
      <c r="Q36" s="126" t="s">
        <v>6</v>
      </c>
      <c r="R36" s="126" t="s">
        <v>6</v>
      </c>
      <c r="S36" s="126" t="s">
        <v>6</v>
      </c>
      <c r="T36" s="40" t="s">
        <v>6</v>
      </c>
      <c r="U36" s="204"/>
      <c r="V36" s="204"/>
      <c r="W36" s="215" t="s">
        <v>125</v>
      </c>
      <c r="X36" s="59"/>
      <c r="Y36" s="59"/>
      <c r="Z36" s="61"/>
      <c r="AA36" s="61" t="s">
        <v>6</v>
      </c>
      <c r="AB36" s="59"/>
      <c r="AC36" s="59"/>
      <c r="AD36" s="59"/>
      <c r="AE36" s="215" t="s">
        <v>125</v>
      </c>
      <c r="AF36" s="59"/>
      <c r="AG36" s="59"/>
      <c r="AH36" s="61"/>
      <c r="AI36" s="61" t="s">
        <v>6</v>
      </c>
      <c r="AJ36" s="59"/>
      <c r="AK36" s="59"/>
      <c r="AL36" s="59"/>
      <c r="AM36" s="59"/>
      <c r="AN36" s="59"/>
      <c r="AO36" s="59"/>
      <c r="AP36" s="59"/>
      <c r="AQ36" s="59"/>
      <c r="AR36" s="59"/>
      <c r="AS36" s="59"/>
      <c r="AT36" s="59"/>
      <c r="AU36" s="59"/>
      <c r="AV36" s="59"/>
      <c r="AW36" s="18">
        <f t="shared" ref="AW36:AW165" si="8">LEN(L36)</f>
        <v>26</v>
      </c>
    </row>
    <row r="37" spans="1:87" s="20" customFormat="1" ht="15">
      <c r="A37" s="416">
        <f t="shared" si="0"/>
        <v>31</v>
      </c>
      <c r="B37" s="59"/>
      <c r="C37" s="59"/>
      <c r="D37" s="59"/>
      <c r="E37" s="59"/>
      <c r="F37" s="59"/>
      <c r="G37" s="59"/>
      <c r="H37" s="59"/>
      <c r="I37" s="59"/>
      <c r="J37" s="215" t="s">
        <v>1747</v>
      </c>
      <c r="K37" s="412" t="s">
        <v>117</v>
      </c>
      <c r="L37" s="215" t="s">
        <v>1748</v>
      </c>
      <c r="M37" s="215"/>
      <c r="N37" s="126" t="s">
        <v>504</v>
      </c>
      <c r="O37" s="126"/>
      <c r="P37" s="126"/>
      <c r="Q37" s="126" t="s">
        <v>6</v>
      </c>
      <c r="R37" s="126" t="s">
        <v>6</v>
      </c>
      <c r="S37" s="126" t="s">
        <v>6</v>
      </c>
      <c r="T37" s="40" t="s">
        <v>6</v>
      </c>
      <c r="U37" s="204" t="s">
        <v>1749</v>
      </c>
      <c r="V37" s="204"/>
      <c r="W37" s="215" t="s">
        <v>125</v>
      </c>
      <c r="X37" s="59"/>
      <c r="Y37" s="59"/>
      <c r="Z37" s="61"/>
      <c r="AA37" s="61" t="s">
        <v>6</v>
      </c>
      <c r="AB37" s="59"/>
      <c r="AC37" s="59"/>
      <c r="AD37" s="59"/>
      <c r="AE37" s="215" t="s">
        <v>125</v>
      </c>
      <c r="AF37" s="59"/>
      <c r="AG37" s="59"/>
      <c r="AH37" s="61"/>
      <c r="AI37" s="61" t="s">
        <v>6</v>
      </c>
      <c r="AJ37" s="59"/>
      <c r="AK37" s="59"/>
      <c r="AL37" s="59"/>
      <c r="AM37" s="59"/>
      <c r="AN37" s="59"/>
      <c r="AO37" s="59"/>
      <c r="AP37" s="59"/>
      <c r="AQ37" s="59"/>
      <c r="AR37" s="59"/>
      <c r="AS37" s="59"/>
      <c r="AT37" s="59"/>
      <c r="AU37" s="59"/>
      <c r="AV37" s="59"/>
      <c r="AW37" s="18">
        <f t="shared" si="8"/>
        <v>16</v>
      </c>
    </row>
    <row r="38" spans="1:87" s="20" customFormat="1" ht="15">
      <c r="A38" s="40">
        <f t="shared" si="0"/>
        <v>32</v>
      </c>
      <c r="B38" s="59"/>
      <c r="C38" s="59"/>
      <c r="D38" s="59"/>
      <c r="E38" s="59"/>
      <c r="F38" s="59"/>
      <c r="G38" s="59"/>
      <c r="H38" s="59"/>
      <c r="I38" s="59"/>
      <c r="J38" s="215" t="s">
        <v>1750</v>
      </c>
      <c r="K38" s="412" t="s">
        <v>117</v>
      </c>
      <c r="L38" s="215" t="s">
        <v>1139</v>
      </c>
      <c r="M38" s="215"/>
      <c r="N38" s="126" t="s">
        <v>504</v>
      </c>
      <c r="O38" s="126"/>
      <c r="P38" s="126"/>
      <c r="Q38" s="126" t="s">
        <v>6</v>
      </c>
      <c r="R38" s="126" t="s">
        <v>6</v>
      </c>
      <c r="S38" s="126" t="s">
        <v>6</v>
      </c>
      <c r="T38" s="126" t="s">
        <v>6</v>
      </c>
      <c r="U38" s="244" t="s">
        <v>1751</v>
      </c>
      <c r="V38" s="204"/>
      <c r="W38" s="215" t="s">
        <v>125</v>
      </c>
      <c r="X38" s="59"/>
      <c r="Y38" s="59"/>
      <c r="Z38" s="61"/>
      <c r="AA38" s="61" t="s">
        <v>6</v>
      </c>
      <c r="AB38" s="59"/>
      <c r="AC38" s="59"/>
      <c r="AD38" s="59"/>
      <c r="AE38" s="215" t="s">
        <v>125</v>
      </c>
      <c r="AF38" s="59"/>
      <c r="AG38" s="59"/>
      <c r="AH38" s="61"/>
      <c r="AI38" s="61" t="s">
        <v>6</v>
      </c>
      <c r="AJ38" s="59"/>
      <c r="AK38" s="59"/>
      <c r="AL38" s="59"/>
      <c r="AM38" s="59"/>
      <c r="AN38" s="59"/>
      <c r="AO38" s="59"/>
      <c r="AP38" s="59"/>
      <c r="AQ38" s="59"/>
      <c r="AR38" s="59"/>
      <c r="AS38" s="59"/>
      <c r="AT38" s="59"/>
      <c r="AU38" s="59"/>
      <c r="AV38" s="59"/>
      <c r="AW38" s="18">
        <f t="shared" si="8"/>
        <v>28</v>
      </c>
    </row>
    <row r="39" spans="1:87" s="20" customFormat="1" ht="26.4">
      <c r="A39" s="40">
        <f t="shared" si="0"/>
        <v>33</v>
      </c>
      <c r="B39" s="59"/>
      <c r="C39" s="59"/>
      <c r="D39" s="59"/>
      <c r="E39" s="59"/>
      <c r="F39" s="59"/>
      <c r="G39" s="59"/>
      <c r="H39" s="59"/>
      <c r="I39" s="59"/>
      <c r="J39" s="247" t="s">
        <v>1752</v>
      </c>
      <c r="K39" s="412" t="s">
        <v>117</v>
      </c>
      <c r="L39" s="247" t="s">
        <v>1753</v>
      </c>
      <c r="M39" s="247"/>
      <c r="N39" s="126" t="s">
        <v>504</v>
      </c>
      <c r="O39" s="126"/>
      <c r="P39" s="126"/>
      <c r="Q39" s="126" t="s">
        <v>6</v>
      </c>
      <c r="R39" s="126" t="s">
        <v>6</v>
      </c>
      <c r="S39" s="126" t="s">
        <v>6</v>
      </c>
      <c r="T39" s="126" t="s">
        <v>6</v>
      </c>
      <c r="U39" s="244" t="s">
        <v>1754</v>
      </c>
      <c r="V39" s="204"/>
      <c r="W39" s="215" t="s">
        <v>125</v>
      </c>
      <c r="X39" s="59"/>
      <c r="Y39" s="59"/>
      <c r="Z39" s="61"/>
      <c r="AA39" s="61" t="s">
        <v>6</v>
      </c>
      <c r="AB39" s="59"/>
      <c r="AC39" s="59"/>
      <c r="AD39" s="59"/>
      <c r="AE39" s="215" t="s">
        <v>125</v>
      </c>
      <c r="AF39" s="59"/>
      <c r="AG39" s="59"/>
      <c r="AH39" s="61"/>
      <c r="AI39" s="61" t="s">
        <v>6</v>
      </c>
      <c r="AJ39" s="59"/>
      <c r="AK39" s="59"/>
      <c r="AL39" s="59"/>
      <c r="AM39" s="59"/>
      <c r="AN39" s="59"/>
      <c r="AO39" s="59"/>
      <c r="AP39" s="59"/>
      <c r="AQ39" s="59"/>
      <c r="AR39" s="59"/>
      <c r="AS39" s="59"/>
      <c r="AT39" s="59"/>
      <c r="AU39" s="59"/>
      <c r="AV39" s="59"/>
      <c r="AW39" s="18">
        <f t="shared" ref="AW39" si="9">LEN(L39)</f>
        <v>28</v>
      </c>
    </row>
    <row r="40" spans="1:87" s="12" customFormat="1" ht="52.8">
      <c r="A40" s="40">
        <f t="shared" si="0"/>
        <v>34</v>
      </c>
      <c r="B40" s="19"/>
      <c r="C40" s="41"/>
      <c r="D40" s="19"/>
      <c r="E40" s="19"/>
      <c r="F40" s="19"/>
      <c r="G40" s="19"/>
      <c r="H40" s="13"/>
      <c r="I40" s="13"/>
      <c r="J40" s="217" t="s">
        <v>1756</v>
      </c>
      <c r="K40" s="412" t="s">
        <v>128</v>
      </c>
      <c r="L40" s="412" t="s">
        <v>1699</v>
      </c>
      <c r="M40" s="412"/>
      <c r="N40" s="416" t="s">
        <v>504</v>
      </c>
      <c r="O40" s="40"/>
      <c r="P40" s="40"/>
      <c r="Q40" s="40" t="s">
        <v>6</v>
      </c>
      <c r="R40" s="126"/>
      <c r="S40" s="226" t="s">
        <v>6</v>
      </c>
      <c r="T40" s="40" t="s">
        <v>6</v>
      </c>
      <c r="U40" s="218" t="s">
        <v>1757</v>
      </c>
      <c r="V40" s="218"/>
      <c r="W40" s="202" t="s">
        <v>133</v>
      </c>
      <c r="X40" s="415"/>
      <c r="Y40" s="413"/>
      <c r="Z40" s="45"/>
      <c r="AA40" s="416" t="s">
        <v>6</v>
      </c>
      <c r="AB40" s="416"/>
      <c r="AC40" s="416"/>
      <c r="AD40" s="416"/>
      <c r="AE40" s="219" t="s">
        <v>125</v>
      </c>
      <c r="AF40" s="415"/>
      <c r="AG40" s="413"/>
      <c r="AH40" s="45"/>
      <c r="AI40" s="416" t="s">
        <v>6</v>
      </c>
      <c r="AJ40" s="45"/>
      <c r="AK40" s="415"/>
      <c r="AL40" s="415"/>
      <c r="AM40" s="43"/>
      <c r="AN40" s="13"/>
      <c r="AO40" s="15"/>
      <c r="AP40" s="15"/>
      <c r="AQ40" s="15"/>
      <c r="AR40" s="15"/>
      <c r="AS40" s="15"/>
      <c r="AT40" s="15"/>
      <c r="AU40" s="13"/>
      <c r="AV40" s="15"/>
      <c r="AW40" s="18">
        <f>LEN(L40)</f>
        <v>23</v>
      </c>
      <c r="AX40" s="16"/>
      <c r="AY40" s="17"/>
    </row>
    <row r="41" spans="1:87" s="12" customFormat="1" ht="26.4">
      <c r="A41" s="40">
        <f t="shared" si="0"/>
        <v>35</v>
      </c>
      <c r="B41" s="19"/>
      <c r="C41" s="41"/>
      <c r="D41" s="19"/>
      <c r="E41" s="19"/>
      <c r="F41" s="19"/>
      <c r="G41" s="19"/>
      <c r="H41" s="13"/>
      <c r="I41" s="13"/>
      <c r="J41" s="217" t="s">
        <v>1758</v>
      </c>
      <c r="K41" s="217" t="s">
        <v>128</v>
      </c>
      <c r="L41" s="412" t="s">
        <v>1699</v>
      </c>
      <c r="M41" s="412"/>
      <c r="N41" s="416" t="s">
        <v>504</v>
      </c>
      <c r="O41" s="40"/>
      <c r="P41" s="40"/>
      <c r="Q41" s="126"/>
      <c r="R41" s="126"/>
      <c r="S41" s="416" t="s">
        <v>6</v>
      </c>
      <c r="T41" s="40" t="s">
        <v>6</v>
      </c>
      <c r="U41" s="201" t="s">
        <v>1759</v>
      </c>
      <c r="V41" s="218"/>
      <c r="W41" s="219" t="s">
        <v>125</v>
      </c>
      <c r="X41" s="415"/>
      <c r="Y41" s="413"/>
      <c r="Z41" s="45"/>
      <c r="AA41" s="416" t="s">
        <v>6</v>
      </c>
      <c r="AB41" s="416"/>
      <c r="AC41" s="416"/>
      <c r="AD41" s="416"/>
      <c r="AE41" s="219" t="s">
        <v>125</v>
      </c>
      <c r="AF41" s="415"/>
      <c r="AG41" s="413"/>
      <c r="AH41" s="45"/>
      <c r="AI41" s="416" t="s">
        <v>6</v>
      </c>
      <c r="AJ41" s="45"/>
      <c r="AK41" s="415"/>
      <c r="AL41" s="415"/>
      <c r="AM41" s="43"/>
      <c r="AN41" s="13"/>
      <c r="AO41" s="15"/>
      <c r="AP41" s="15"/>
      <c r="AQ41" s="15"/>
      <c r="AR41" s="15"/>
      <c r="AS41" s="15"/>
      <c r="AT41" s="15"/>
      <c r="AU41" s="13"/>
      <c r="AV41" s="15"/>
      <c r="AW41" s="18">
        <f>LEN(L41)</f>
        <v>23</v>
      </c>
      <c r="AX41" s="16"/>
      <c r="AY41" s="17"/>
    </row>
    <row r="42" spans="1:87" s="20" customFormat="1" ht="15">
      <c r="A42" s="40">
        <f t="shared" si="0"/>
        <v>36</v>
      </c>
      <c r="B42" s="59"/>
      <c r="C42" s="59"/>
      <c r="D42" s="59"/>
      <c r="E42" s="59"/>
      <c r="F42" s="59"/>
      <c r="G42" s="59"/>
      <c r="H42" s="59"/>
      <c r="I42" s="59" t="s">
        <v>868</v>
      </c>
      <c r="J42" s="234" t="s">
        <v>1761</v>
      </c>
      <c r="K42" s="232" t="s">
        <v>117</v>
      </c>
      <c r="L42" s="204" t="s">
        <v>1762</v>
      </c>
      <c r="M42" s="204"/>
      <c r="N42" s="126" t="s">
        <v>504</v>
      </c>
      <c r="O42" s="126"/>
      <c r="P42" s="126"/>
      <c r="Q42" s="126" t="s">
        <v>6</v>
      </c>
      <c r="R42" s="126" t="s">
        <v>6</v>
      </c>
      <c r="S42" s="126" t="s">
        <v>6</v>
      </c>
      <c r="T42" s="126" t="s">
        <v>6</v>
      </c>
      <c r="U42" s="244" t="s">
        <v>1763</v>
      </c>
      <c r="V42" s="206"/>
      <c r="W42" s="232" t="s">
        <v>125</v>
      </c>
      <c r="X42" s="59"/>
      <c r="Y42" s="59"/>
      <c r="Z42" s="59"/>
      <c r="AA42" s="61" t="s">
        <v>6</v>
      </c>
      <c r="AB42" s="15"/>
      <c r="AC42" s="59"/>
      <c r="AD42" s="59"/>
      <c r="AE42" s="232" t="s">
        <v>125</v>
      </c>
      <c r="AF42" s="59"/>
      <c r="AG42" s="59"/>
      <c r="AH42" s="59"/>
      <c r="AI42" s="61" t="s">
        <v>6</v>
      </c>
      <c r="AJ42" s="15"/>
      <c r="AK42" s="59"/>
      <c r="AL42" s="59"/>
      <c r="AM42" s="59"/>
      <c r="AN42" s="59"/>
      <c r="AO42" s="59"/>
      <c r="AP42" s="59"/>
      <c r="AQ42" s="59"/>
      <c r="AR42" s="59"/>
      <c r="AS42" s="59"/>
      <c r="AT42" s="59"/>
      <c r="AU42" s="59"/>
      <c r="AV42" s="59"/>
      <c r="AW42" s="18">
        <f>LEN(L42)</f>
        <v>29</v>
      </c>
    </row>
    <row r="43" spans="1:87" s="20" customFormat="1" ht="26.4">
      <c r="A43" s="416">
        <f t="shared" si="0"/>
        <v>37</v>
      </c>
      <c r="B43" s="59"/>
      <c r="C43" s="59"/>
      <c r="D43" s="59"/>
      <c r="E43" s="59"/>
      <c r="F43" s="59"/>
      <c r="G43" s="59"/>
      <c r="H43" s="59"/>
      <c r="I43" s="59" t="s">
        <v>868</v>
      </c>
      <c r="J43" s="218" t="s">
        <v>1764</v>
      </c>
      <c r="K43" s="232" t="s">
        <v>117</v>
      </c>
      <c r="L43" s="204" t="s">
        <v>1391</v>
      </c>
      <c r="M43" s="204"/>
      <c r="N43" s="126" t="s">
        <v>504</v>
      </c>
      <c r="O43" s="126"/>
      <c r="P43" s="126"/>
      <c r="Q43" s="126" t="s">
        <v>6</v>
      </c>
      <c r="R43" s="126" t="s">
        <v>6</v>
      </c>
      <c r="S43" s="126" t="s">
        <v>6</v>
      </c>
      <c r="T43" s="126" t="s">
        <v>6</v>
      </c>
      <c r="U43" s="244" t="s">
        <v>1765</v>
      </c>
      <c r="V43" s="206"/>
      <c r="W43" s="232" t="s">
        <v>125</v>
      </c>
      <c r="X43" s="59"/>
      <c r="Y43" s="59"/>
      <c r="Z43" s="59"/>
      <c r="AA43" s="61" t="s">
        <v>6</v>
      </c>
      <c r="AB43" s="15"/>
      <c r="AC43" s="59"/>
      <c r="AD43" s="59"/>
      <c r="AE43" s="232" t="s">
        <v>125</v>
      </c>
      <c r="AF43" s="59"/>
      <c r="AG43" s="59"/>
      <c r="AH43" s="59"/>
      <c r="AI43" s="61" t="s">
        <v>6</v>
      </c>
      <c r="AJ43" s="15"/>
      <c r="AK43" s="59"/>
      <c r="AL43" s="59"/>
      <c r="AM43" s="59"/>
      <c r="AN43" s="59"/>
      <c r="AO43" s="59"/>
      <c r="AP43" s="59"/>
      <c r="AQ43" s="59"/>
      <c r="AR43" s="59"/>
      <c r="AS43" s="59"/>
      <c r="AT43" s="59"/>
      <c r="AU43" s="59"/>
      <c r="AV43" s="59"/>
      <c r="AW43" s="18">
        <f t="shared" si="8"/>
        <v>38</v>
      </c>
    </row>
    <row r="44" spans="1:87" s="236" customFormat="1" ht="26.4">
      <c r="A44" s="40">
        <f t="shared" si="0"/>
        <v>38</v>
      </c>
      <c r="B44" s="199"/>
      <c r="C44" s="199"/>
      <c r="D44" s="199"/>
      <c r="E44" s="199"/>
      <c r="F44" s="199"/>
      <c r="G44" s="199"/>
      <c r="H44" s="199"/>
      <c r="I44" s="199"/>
      <c r="J44" s="247" t="s">
        <v>1766</v>
      </c>
      <c r="K44" s="204" t="s">
        <v>117</v>
      </c>
      <c r="L44" s="204" t="s">
        <v>1767</v>
      </c>
      <c r="M44" s="204"/>
      <c r="N44" s="40" t="s">
        <v>504</v>
      </c>
      <c r="O44" s="199"/>
      <c r="P44" s="199"/>
      <c r="Q44" s="40" t="s">
        <v>6</v>
      </c>
      <c r="R44" s="40" t="s">
        <v>6</v>
      </c>
      <c r="S44" s="40" t="s">
        <v>6</v>
      </c>
      <c r="T44" s="126" t="s">
        <v>6</v>
      </c>
      <c r="U44" s="200" t="s">
        <v>1768</v>
      </c>
      <c r="V44" s="204"/>
      <c r="W44" s="204" t="s">
        <v>125</v>
      </c>
      <c r="X44" s="199"/>
      <c r="Y44" s="199"/>
      <c r="Z44" s="40" t="s">
        <v>6</v>
      </c>
      <c r="AA44" s="40" t="s">
        <v>6</v>
      </c>
      <c r="AB44" s="218"/>
      <c r="AC44" s="199"/>
      <c r="AD44" s="218"/>
      <c r="AE44" s="204" t="s">
        <v>125</v>
      </c>
      <c r="AF44" s="199"/>
      <c r="AG44" s="199"/>
      <c r="AH44" s="126"/>
      <c r="AI44" s="40" t="s">
        <v>6</v>
      </c>
      <c r="AJ44" s="218"/>
      <c r="AK44" s="199"/>
      <c r="AL44" s="218"/>
      <c r="AM44" s="199"/>
      <c r="AN44" s="199"/>
      <c r="AO44" s="199"/>
      <c r="AP44" s="199"/>
      <c r="AQ44" s="199"/>
      <c r="AR44" s="199"/>
      <c r="AS44" s="199"/>
      <c r="AT44" s="199"/>
      <c r="AU44" s="199"/>
      <c r="AV44" s="199"/>
      <c r="AW44" s="155">
        <f>LEN(L44)</f>
        <v>39</v>
      </c>
    </row>
    <row r="45" spans="1:87" s="18" customFormat="1" ht="81" customHeight="1">
      <c r="A45" s="40">
        <f t="shared" si="0"/>
        <v>39</v>
      </c>
      <c r="B45" s="19"/>
      <c r="C45" s="41"/>
      <c r="D45" s="19"/>
      <c r="E45" s="19"/>
      <c r="F45" s="19"/>
      <c r="G45" s="19"/>
      <c r="H45" s="13"/>
      <c r="I45" s="13"/>
      <c r="J45" s="218" t="s">
        <v>1769</v>
      </c>
      <c r="K45" s="412" t="s">
        <v>117</v>
      </c>
      <c r="L45" s="204" t="s">
        <v>1770</v>
      </c>
      <c r="M45" s="204"/>
      <c r="N45" s="126" t="s">
        <v>504</v>
      </c>
      <c r="O45" s="126"/>
      <c r="P45" s="40"/>
      <c r="Q45" s="126" t="s">
        <v>6</v>
      </c>
      <c r="R45" s="126" t="s">
        <v>6</v>
      </c>
      <c r="S45" s="126" t="s">
        <v>6</v>
      </c>
      <c r="T45" s="40" t="s">
        <v>6</v>
      </c>
      <c r="U45" s="244" t="s">
        <v>1771</v>
      </c>
      <c r="V45" s="206"/>
      <c r="W45" s="232" t="s">
        <v>133</v>
      </c>
      <c r="X45" s="59"/>
      <c r="Y45" s="59"/>
      <c r="Z45" s="59"/>
      <c r="AA45" s="61" t="s">
        <v>6</v>
      </c>
      <c r="AB45" s="79"/>
      <c r="AC45" s="59"/>
      <c r="AD45" s="218" t="s">
        <v>809</v>
      </c>
      <c r="AE45" s="412" t="s">
        <v>125</v>
      </c>
      <c r="AF45" s="59"/>
      <c r="AG45" s="59"/>
      <c r="AH45" s="59"/>
      <c r="AI45" s="61" t="s">
        <v>6</v>
      </c>
      <c r="AJ45" s="79"/>
      <c r="AK45" s="59"/>
      <c r="AL45" s="218" t="s">
        <v>809</v>
      </c>
      <c r="AM45" s="43"/>
      <c r="AN45" s="19"/>
      <c r="AO45" s="15"/>
      <c r="AP45" s="15"/>
      <c r="AQ45" s="15"/>
      <c r="AR45" s="15"/>
      <c r="AS45" s="15"/>
      <c r="AT45" s="15"/>
      <c r="AU45" s="13"/>
      <c r="AV45" s="15"/>
      <c r="AW45" s="18">
        <v>18</v>
      </c>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row>
    <row r="46" spans="1:87" s="236" customFormat="1" ht="71.25" customHeight="1">
      <c r="A46" s="40">
        <f t="shared" si="0"/>
        <v>40</v>
      </c>
      <c r="B46" s="199"/>
      <c r="C46" s="199"/>
      <c r="D46" s="199"/>
      <c r="E46" s="199"/>
      <c r="F46" s="199"/>
      <c r="G46" s="199"/>
      <c r="H46" s="199"/>
      <c r="I46" s="199"/>
      <c r="J46" s="215" t="s">
        <v>1772</v>
      </c>
      <c r="K46" s="201" t="s">
        <v>65</v>
      </c>
      <c r="L46" s="204" t="s">
        <v>1773</v>
      </c>
      <c r="M46" s="204"/>
      <c r="N46" s="40" t="s">
        <v>504</v>
      </c>
      <c r="O46" s="199"/>
      <c r="P46" s="199"/>
      <c r="Q46" s="40" t="s">
        <v>6</v>
      </c>
      <c r="R46" s="40" t="s">
        <v>6</v>
      </c>
      <c r="S46" s="40" t="s">
        <v>6</v>
      </c>
      <c r="T46" s="126" t="s">
        <v>6</v>
      </c>
      <c r="U46" s="215" t="s">
        <v>1774</v>
      </c>
      <c r="V46" s="204"/>
      <c r="W46" s="204" t="s">
        <v>125</v>
      </c>
      <c r="X46" s="199"/>
      <c r="Y46" s="199"/>
      <c r="Z46" s="40" t="s">
        <v>6</v>
      </c>
      <c r="AA46" s="40" t="s">
        <v>6</v>
      </c>
      <c r="AB46" s="218"/>
      <c r="AC46" s="199"/>
      <c r="AD46" s="218"/>
      <c r="AE46" s="204" t="s">
        <v>125</v>
      </c>
      <c r="AF46" s="199"/>
      <c r="AG46" s="199"/>
      <c r="AH46" s="126"/>
      <c r="AI46" s="40" t="s">
        <v>6</v>
      </c>
      <c r="AJ46" s="218"/>
      <c r="AK46" s="199"/>
      <c r="AL46" s="218"/>
      <c r="AM46" s="199"/>
      <c r="AN46" s="199"/>
      <c r="AO46" s="199"/>
      <c r="AP46" s="199"/>
      <c r="AQ46" s="199"/>
      <c r="AR46" s="199"/>
      <c r="AS46" s="199"/>
      <c r="AT46" s="199"/>
      <c r="AU46" s="199"/>
      <c r="AV46" s="199"/>
      <c r="AW46" s="155">
        <f>LEN(L46)</f>
        <v>29</v>
      </c>
    </row>
    <row r="47" spans="1:87" s="236" customFormat="1" ht="71.25" customHeight="1">
      <c r="A47" s="40">
        <f t="shared" si="0"/>
        <v>41</v>
      </c>
      <c r="B47" s="199"/>
      <c r="C47" s="199"/>
      <c r="D47" s="199"/>
      <c r="E47" s="199"/>
      <c r="F47" s="199"/>
      <c r="G47" s="199"/>
      <c r="H47" s="199"/>
      <c r="I47" s="199"/>
      <c r="J47" s="215" t="s">
        <v>1775</v>
      </c>
      <c r="K47" s="412" t="s">
        <v>128</v>
      </c>
      <c r="L47" s="215" t="s">
        <v>1776</v>
      </c>
      <c r="M47" s="215"/>
      <c r="N47" s="40" t="s">
        <v>504</v>
      </c>
      <c r="O47" s="199"/>
      <c r="P47" s="199"/>
      <c r="Q47" s="40" t="s">
        <v>6</v>
      </c>
      <c r="R47" s="40" t="s">
        <v>6</v>
      </c>
      <c r="S47" s="40" t="s">
        <v>6</v>
      </c>
      <c r="T47" s="40" t="s">
        <v>6</v>
      </c>
      <c r="U47" s="215" t="s">
        <v>1777</v>
      </c>
      <c r="V47" s="204"/>
      <c r="W47" s="204"/>
      <c r="X47" s="199"/>
      <c r="Y47" s="199"/>
      <c r="Z47" s="40"/>
      <c r="AA47" s="40"/>
      <c r="AB47" s="218"/>
      <c r="AC47" s="199"/>
      <c r="AD47" s="218"/>
      <c r="AE47" s="204"/>
      <c r="AF47" s="199"/>
      <c r="AG47" s="199"/>
      <c r="AH47" s="126"/>
      <c r="AI47" s="40"/>
      <c r="AJ47" s="218"/>
      <c r="AK47" s="199"/>
      <c r="AL47" s="218"/>
      <c r="AM47" s="199"/>
      <c r="AN47" s="199"/>
      <c r="AO47" s="199"/>
      <c r="AP47" s="199"/>
      <c r="AQ47" s="199"/>
      <c r="AR47" s="199"/>
      <c r="AS47" s="199"/>
      <c r="AT47" s="199"/>
      <c r="AU47" s="199"/>
      <c r="AV47" s="199"/>
      <c r="AW47" s="155"/>
    </row>
    <row r="48" spans="1:87" s="236" customFormat="1" ht="71.25" customHeight="1">
      <c r="A48" s="40">
        <f t="shared" si="0"/>
        <v>42</v>
      </c>
      <c r="B48" s="199"/>
      <c r="C48" s="199"/>
      <c r="D48" s="199"/>
      <c r="E48" s="199"/>
      <c r="F48" s="199"/>
      <c r="G48" s="199"/>
      <c r="H48" s="199"/>
      <c r="I48" s="199"/>
      <c r="J48" s="215" t="s">
        <v>1778</v>
      </c>
      <c r="K48" s="217" t="s">
        <v>128</v>
      </c>
      <c r="L48" s="215" t="s">
        <v>1779</v>
      </c>
      <c r="M48" s="215"/>
      <c r="N48" s="40" t="s">
        <v>504</v>
      </c>
      <c r="O48" s="199"/>
      <c r="P48" s="199"/>
      <c r="Q48" s="40" t="s">
        <v>6</v>
      </c>
      <c r="R48" s="40" t="s">
        <v>6</v>
      </c>
      <c r="S48" s="40" t="s">
        <v>6</v>
      </c>
      <c r="T48" s="40" t="s">
        <v>6</v>
      </c>
      <c r="U48" s="215" t="s">
        <v>1777</v>
      </c>
      <c r="V48" s="204"/>
      <c r="W48" s="204"/>
      <c r="X48" s="199"/>
      <c r="Y48" s="199"/>
      <c r="Z48" s="40"/>
      <c r="AA48" s="40"/>
      <c r="AB48" s="218"/>
      <c r="AC48" s="199"/>
      <c r="AD48" s="218"/>
      <c r="AE48" s="204"/>
      <c r="AF48" s="199"/>
      <c r="AG48" s="199"/>
      <c r="AH48" s="126"/>
      <c r="AI48" s="40"/>
      <c r="AJ48" s="218"/>
      <c r="AK48" s="199"/>
      <c r="AL48" s="218"/>
      <c r="AM48" s="199"/>
      <c r="AN48" s="199"/>
      <c r="AO48" s="199"/>
      <c r="AP48" s="199"/>
      <c r="AQ48" s="199"/>
      <c r="AR48" s="199"/>
      <c r="AS48" s="199"/>
      <c r="AT48" s="199"/>
      <c r="AU48" s="199"/>
      <c r="AV48" s="199"/>
      <c r="AW48" s="155"/>
    </row>
    <row r="49" spans="1:49" s="236" customFormat="1" ht="39.6">
      <c r="A49" s="292">
        <f t="shared" si="0"/>
        <v>43</v>
      </c>
      <c r="B49" s="614"/>
      <c r="C49" s="615"/>
      <c r="D49" s="615"/>
      <c r="E49" s="615"/>
      <c r="F49" s="615"/>
      <c r="G49" s="615"/>
      <c r="H49" s="615"/>
      <c r="I49" s="614"/>
      <c r="J49" s="299" t="s">
        <v>5610</v>
      </c>
      <c r="K49" s="297" t="s">
        <v>117</v>
      </c>
      <c r="L49" s="299" t="s">
        <v>5615</v>
      </c>
      <c r="M49" s="299"/>
      <c r="N49" s="292" t="s">
        <v>504</v>
      </c>
      <c r="O49" s="614"/>
      <c r="P49" s="614"/>
      <c r="Q49" s="292" t="s">
        <v>6</v>
      </c>
      <c r="R49" s="292" t="s">
        <v>6</v>
      </c>
      <c r="S49" s="292" t="s">
        <v>6</v>
      </c>
      <c r="T49" s="292" t="s">
        <v>6</v>
      </c>
      <c r="U49" s="299" t="s">
        <v>5622</v>
      </c>
      <c r="V49" s="231"/>
      <c r="W49" s="231"/>
      <c r="X49" s="614"/>
      <c r="Y49" s="614"/>
      <c r="Z49" s="292"/>
      <c r="AA49" s="292"/>
      <c r="AB49" s="298"/>
      <c r="AC49" s="614"/>
      <c r="AD49" s="298"/>
      <c r="AE49" s="231"/>
      <c r="AF49" s="614"/>
      <c r="AG49" s="614"/>
      <c r="AH49" s="295"/>
      <c r="AI49" s="292"/>
      <c r="AJ49" s="616"/>
      <c r="AK49" s="615"/>
      <c r="AL49" s="616"/>
      <c r="AM49" s="614"/>
      <c r="AN49" s="614"/>
      <c r="AO49" s="614"/>
      <c r="AP49" s="614"/>
      <c r="AQ49" s="614"/>
      <c r="AR49" s="614"/>
      <c r="AS49" s="614"/>
      <c r="AT49" s="614"/>
      <c r="AU49" s="614"/>
      <c r="AV49" s="614"/>
      <c r="AW49" s="155"/>
    </row>
    <row r="50" spans="1:49" s="12" customFormat="1" ht="39.6">
      <c r="A50" s="416">
        <f t="shared" si="0"/>
        <v>44</v>
      </c>
      <c r="B50" s="38"/>
      <c r="C50" s="34"/>
      <c r="D50" s="33"/>
      <c r="E50" s="39"/>
      <c r="F50" s="39"/>
      <c r="G50" s="39"/>
      <c r="H50" s="414"/>
      <c r="I50" s="40"/>
      <c r="J50" s="215" t="s">
        <v>4990</v>
      </c>
      <c r="K50" s="412" t="s">
        <v>122</v>
      </c>
      <c r="L50" s="215" t="s">
        <v>4991</v>
      </c>
      <c r="M50" s="215" t="s">
        <v>3602</v>
      </c>
      <c r="N50" s="40" t="s">
        <v>873</v>
      </c>
      <c r="O50" s="40"/>
      <c r="P50" s="40"/>
      <c r="Q50" s="126" t="s">
        <v>6</v>
      </c>
      <c r="R50" s="126" t="s">
        <v>6</v>
      </c>
      <c r="S50" s="126" t="s">
        <v>6</v>
      </c>
      <c r="T50" s="126"/>
      <c r="U50" s="204"/>
      <c r="V50" s="204"/>
      <c r="W50" s="412" t="s">
        <v>123</v>
      </c>
      <c r="X50" s="40"/>
      <c r="Y50" s="13"/>
      <c r="Z50" s="61" t="s">
        <v>6</v>
      </c>
      <c r="AA50" s="61" t="s">
        <v>6</v>
      </c>
      <c r="AB50" s="13"/>
      <c r="AC50" s="13"/>
      <c r="AD50" s="13"/>
      <c r="AE50" s="412" t="s">
        <v>123</v>
      </c>
      <c r="AF50" s="40"/>
      <c r="AG50" s="13"/>
      <c r="AH50" s="61" t="s">
        <v>6</v>
      </c>
      <c r="AI50" s="61" t="s">
        <v>6</v>
      </c>
      <c r="AJ50" s="414"/>
      <c r="AK50" s="414"/>
      <c r="AL50" s="414"/>
      <c r="AM50" s="43" t="s">
        <v>1682</v>
      </c>
      <c r="AN50" s="412" t="s">
        <v>505</v>
      </c>
      <c r="AO50" s="37"/>
      <c r="AP50" s="37"/>
      <c r="AQ50" s="37"/>
      <c r="AR50" s="37"/>
      <c r="AS50" s="37"/>
      <c r="AT50" s="37"/>
      <c r="AU50" s="13"/>
      <c r="AV50" s="13"/>
      <c r="AW50" s="18"/>
    </row>
    <row r="51" spans="1:49" s="20" customFormat="1" ht="52.8">
      <c r="A51" s="40">
        <f t="shared" si="0"/>
        <v>45</v>
      </c>
      <c r="B51" s="19"/>
      <c r="C51" s="41"/>
      <c r="D51" s="19"/>
      <c r="E51" s="19"/>
      <c r="F51" s="19"/>
      <c r="G51" s="19"/>
      <c r="H51" s="13"/>
      <c r="I51" s="13"/>
      <c r="J51" s="215" t="s">
        <v>4992</v>
      </c>
      <c r="K51" s="412" t="s">
        <v>122</v>
      </c>
      <c r="L51" s="215" t="s">
        <v>4993</v>
      </c>
      <c r="M51" s="215" t="s">
        <v>3602</v>
      </c>
      <c r="N51" s="40" t="s">
        <v>873</v>
      </c>
      <c r="O51" s="40"/>
      <c r="P51" s="40"/>
      <c r="Q51" s="126" t="s">
        <v>6</v>
      </c>
      <c r="R51" s="126" t="s">
        <v>6</v>
      </c>
      <c r="S51" s="126" t="s">
        <v>6</v>
      </c>
      <c r="T51" s="40"/>
      <c r="U51" s="204" t="s">
        <v>4994</v>
      </c>
      <c r="V51" s="204"/>
      <c r="W51" s="412" t="s">
        <v>123</v>
      </c>
      <c r="X51" s="13"/>
      <c r="Y51" s="13"/>
      <c r="Z51" s="61" t="s">
        <v>6</v>
      </c>
      <c r="AA51" s="61" t="s">
        <v>6</v>
      </c>
      <c r="AB51" s="13"/>
      <c r="AC51" s="40"/>
      <c r="AD51" s="40"/>
      <c r="AE51" s="412" t="s">
        <v>123</v>
      </c>
      <c r="AF51" s="13"/>
      <c r="AG51" s="13"/>
      <c r="AH51" s="61" t="s">
        <v>6</v>
      </c>
      <c r="AI51" s="61" t="s">
        <v>6</v>
      </c>
      <c r="AJ51" s="413"/>
      <c r="AK51" s="415"/>
      <c r="AL51" s="415"/>
      <c r="AM51" s="43" t="s">
        <v>1687</v>
      </c>
      <c r="AN51" s="13"/>
      <c r="AO51" s="15"/>
      <c r="AP51" s="15"/>
      <c r="AQ51" s="15"/>
      <c r="AR51" s="15"/>
      <c r="AS51" s="15"/>
      <c r="AT51" s="15"/>
      <c r="AU51" s="15"/>
      <c r="AV51" s="15"/>
      <c r="AW51" s="18"/>
    </row>
    <row r="52" spans="1:49" s="20" customFormat="1" ht="52.8">
      <c r="A52" s="40">
        <f t="shared" si="0"/>
        <v>46</v>
      </c>
      <c r="B52" s="19"/>
      <c r="C52" s="41"/>
      <c r="D52" s="19"/>
      <c r="E52" s="19"/>
      <c r="F52" s="19"/>
      <c r="G52" s="19"/>
      <c r="H52" s="13"/>
      <c r="I52" s="13"/>
      <c r="J52" s="215" t="s">
        <v>4995</v>
      </c>
      <c r="K52" s="412" t="s">
        <v>122</v>
      </c>
      <c r="L52" s="215" t="s">
        <v>4993</v>
      </c>
      <c r="M52" s="215" t="s">
        <v>3602</v>
      </c>
      <c r="N52" s="40" t="s">
        <v>873</v>
      </c>
      <c r="O52" s="40"/>
      <c r="P52" s="40"/>
      <c r="Q52" s="126" t="s">
        <v>6</v>
      </c>
      <c r="R52" s="126" t="s">
        <v>6</v>
      </c>
      <c r="S52" s="126" t="s">
        <v>6</v>
      </c>
      <c r="T52" s="126"/>
      <c r="U52" s="204" t="s">
        <v>4996</v>
      </c>
      <c r="V52" s="204"/>
      <c r="W52" s="412" t="s">
        <v>123</v>
      </c>
      <c r="X52" s="13"/>
      <c r="Y52" s="13"/>
      <c r="Z52" s="61" t="s">
        <v>6</v>
      </c>
      <c r="AA52" s="61" t="s">
        <v>6</v>
      </c>
      <c r="AB52" s="13"/>
      <c r="AC52" s="40"/>
      <c r="AD52" s="40"/>
      <c r="AE52" s="412" t="s">
        <v>123</v>
      </c>
      <c r="AF52" s="13"/>
      <c r="AG52" s="13"/>
      <c r="AH52" s="61" t="s">
        <v>6</v>
      </c>
      <c r="AI52" s="61" t="s">
        <v>6</v>
      </c>
      <c r="AJ52" s="413"/>
      <c r="AK52" s="415"/>
      <c r="AL52" s="415"/>
      <c r="AM52" s="43" t="s">
        <v>1687</v>
      </c>
      <c r="AN52" s="13"/>
      <c r="AO52" s="15"/>
      <c r="AP52" s="15"/>
      <c r="AQ52" s="15"/>
      <c r="AR52" s="15"/>
      <c r="AS52" s="15"/>
      <c r="AT52" s="15"/>
      <c r="AU52" s="15"/>
      <c r="AV52" s="15"/>
      <c r="AW52" s="18"/>
    </row>
    <row r="53" spans="1:49" s="20" customFormat="1" ht="15">
      <c r="A53" s="40">
        <f t="shared" si="0"/>
        <v>47</v>
      </c>
      <c r="B53" s="59"/>
      <c r="C53" s="59"/>
      <c r="D53" s="59"/>
      <c r="E53" s="59"/>
      <c r="F53" s="59"/>
      <c r="G53" s="59"/>
      <c r="H53" s="59"/>
      <c r="I53" s="59"/>
      <c r="J53" s="412" t="s">
        <v>4997</v>
      </c>
      <c r="K53" s="412" t="s">
        <v>117</v>
      </c>
      <c r="L53" s="204" t="s">
        <v>4998</v>
      </c>
      <c r="M53" s="204"/>
      <c r="N53" s="40" t="s">
        <v>504</v>
      </c>
      <c r="O53" s="126"/>
      <c r="P53" s="126"/>
      <c r="Q53" s="126" t="s">
        <v>6</v>
      </c>
      <c r="R53" s="126" t="s">
        <v>6</v>
      </c>
      <c r="S53" s="126" t="s">
        <v>6</v>
      </c>
      <c r="T53" s="40"/>
      <c r="U53" s="232"/>
      <c r="V53" s="232"/>
      <c r="W53" s="412" t="s">
        <v>133</v>
      </c>
      <c r="X53" s="59"/>
      <c r="Y53" s="59"/>
      <c r="Z53" s="61" t="s">
        <v>6</v>
      </c>
      <c r="AA53" s="61" t="s">
        <v>6</v>
      </c>
      <c r="AB53" s="59"/>
      <c r="AC53" s="59"/>
      <c r="AD53" s="59"/>
      <c r="AE53" s="412" t="s">
        <v>133</v>
      </c>
      <c r="AF53" s="59"/>
      <c r="AG53" s="59"/>
      <c r="AH53" s="61" t="s">
        <v>6</v>
      </c>
      <c r="AI53" s="61" t="s">
        <v>6</v>
      </c>
      <c r="AJ53" s="59"/>
      <c r="AK53" s="59"/>
      <c r="AL53" s="59"/>
      <c r="AM53" s="59"/>
      <c r="AN53" s="59"/>
      <c r="AO53" s="59"/>
      <c r="AP53" s="59"/>
      <c r="AQ53" s="59"/>
      <c r="AR53" s="59"/>
      <c r="AS53" s="59"/>
      <c r="AT53" s="59"/>
      <c r="AU53" s="59"/>
      <c r="AV53" s="59"/>
      <c r="AW53" s="18"/>
    </row>
    <row r="54" spans="1:49" s="20" customFormat="1" ht="15">
      <c r="A54" s="40">
        <f t="shared" si="0"/>
        <v>48</v>
      </c>
      <c r="B54" s="19"/>
      <c r="C54" s="41"/>
      <c r="D54" s="19"/>
      <c r="E54" s="19"/>
      <c r="F54" s="19"/>
      <c r="G54" s="19"/>
      <c r="H54" s="13"/>
      <c r="I54" s="13"/>
      <c r="J54" s="215" t="s">
        <v>4999</v>
      </c>
      <c r="K54" s="215" t="s">
        <v>132</v>
      </c>
      <c r="L54" s="215" t="s">
        <v>1691</v>
      </c>
      <c r="M54" s="215" t="s">
        <v>3602</v>
      </c>
      <c r="N54" s="40" t="s">
        <v>504</v>
      </c>
      <c r="O54" s="40"/>
      <c r="P54" s="40"/>
      <c r="Q54" s="126" t="s">
        <v>6</v>
      </c>
      <c r="R54" s="126" t="s">
        <v>6</v>
      </c>
      <c r="S54" s="126" t="s">
        <v>6</v>
      </c>
      <c r="T54" s="126"/>
      <c r="U54" s="204"/>
      <c r="V54" s="204"/>
      <c r="W54" s="215" t="s">
        <v>133</v>
      </c>
      <c r="X54" s="13"/>
      <c r="Y54" s="13"/>
      <c r="Z54" s="61" t="s">
        <v>6</v>
      </c>
      <c r="AA54" s="61" t="s">
        <v>6</v>
      </c>
      <c r="AB54" s="413"/>
      <c r="AC54" s="415"/>
      <c r="AD54" s="415"/>
      <c r="AE54" s="215" t="s">
        <v>133</v>
      </c>
      <c r="AF54" s="13"/>
      <c r="AG54" s="13"/>
      <c r="AH54" s="61" t="s">
        <v>6</v>
      </c>
      <c r="AI54" s="61" t="s">
        <v>6</v>
      </c>
      <c r="AJ54" s="413"/>
      <c r="AK54" s="415"/>
      <c r="AL54" s="415"/>
      <c r="AM54" s="43" t="s">
        <v>1692</v>
      </c>
      <c r="AN54" s="13"/>
      <c r="AO54" s="15"/>
      <c r="AP54" s="15"/>
      <c r="AQ54" s="15"/>
      <c r="AR54" s="15"/>
      <c r="AS54" s="15"/>
      <c r="AT54" s="15"/>
      <c r="AU54" s="15"/>
      <c r="AV54" s="19"/>
      <c r="AW54" s="18"/>
    </row>
    <row r="55" spans="1:49" s="20" customFormat="1" ht="39.6">
      <c r="A55" s="40">
        <f t="shared" si="0"/>
        <v>49</v>
      </c>
      <c r="B55" s="19"/>
      <c r="C55" s="41"/>
      <c r="D55" s="19"/>
      <c r="E55" s="19"/>
      <c r="F55" s="19"/>
      <c r="G55" s="19"/>
      <c r="H55" s="13"/>
      <c r="I55" s="13"/>
      <c r="J55" s="215" t="s">
        <v>5000</v>
      </c>
      <c r="K55" s="412" t="s">
        <v>117</v>
      </c>
      <c r="L55" s="215" t="s">
        <v>5001</v>
      </c>
      <c r="M55" s="215"/>
      <c r="N55" s="40" t="s">
        <v>504</v>
      </c>
      <c r="O55" s="40"/>
      <c r="P55" s="40"/>
      <c r="Q55" s="126" t="s">
        <v>6</v>
      </c>
      <c r="R55" s="126" t="s">
        <v>6</v>
      </c>
      <c r="S55" s="126" t="s">
        <v>6</v>
      </c>
      <c r="T55" s="416"/>
      <c r="U55" s="204"/>
      <c r="V55" s="204"/>
      <c r="W55" s="412" t="s">
        <v>133</v>
      </c>
      <c r="X55" s="13"/>
      <c r="Y55" s="13"/>
      <c r="Z55" s="61" t="s">
        <v>6</v>
      </c>
      <c r="AA55" s="61" t="s">
        <v>6</v>
      </c>
      <c r="AB55" s="45"/>
      <c r="AC55" s="415"/>
      <c r="AD55" s="415"/>
      <c r="AE55" s="412" t="s">
        <v>133</v>
      </c>
      <c r="AF55" s="13"/>
      <c r="AG55" s="13"/>
      <c r="AH55" s="61" t="s">
        <v>6</v>
      </c>
      <c r="AI55" s="61" t="s">
        <v>6</v>
      </c>
      <c r="AJ55" s="45"/>
      <c r="AK55" s="415"/>
      <c r="AL55" s="415"/>
      <c r="AM55" s="43" t="s">
        <v>1692</v>
      </c>
      <c r="AN55" s="412" t="s">
        <v>505</v>
      </c>
      <c r="AO55" s="13"/>
      <c r="AP55" s="13"/>
      <c r="AQ55" s="13"/>
      <c r="AR55" s="13"/>
      <c r="AS55" s="13"/>
      <c r="AT55" s="13"/>
      <c r="AU55" s="15"/>
      <c r="AV55" s="15"/>
      <c r="AW55" s="18"/>
    </row>
    <row r="56" spans="1:49" s="20" customFormat="1" ht="15">
      <c r="A56" s="416">
        <f t="shared" si="0"/>
        <v>50</v>
      </c>
      <c r="B56" s="19"/>
      <c r="C56" s="41"/>
      <c r="D56" s="19"/>
      <c r="E56" s="19"/>
      <c r="F56" s="19"/>
      <c r="G56" s="19"/>
      <c r="H56" s="13"/>
      <c r="I56" s="13"/>
      <c r="J56" s="215" t="s">
        <v>5002</v>
      </c>
      <c r="K56" s="215" t="s">
        <v>132</v>
      </c>
      <c r="L56" s="215" t="s">
        <v>5003</v>
      </c>
      <c r="M56" s="215" t="s">
        <v>3809</v>
      </c>
      <c r="N56" s="40" t="s">
        <v>504</v>
      </c>
      <c r="O56" s="40"/>
      <c r="P56" s="40"/>
      <c r="Q56" s="126" t="s">
        <v>6</v>
      </c>
      <c r="R56" s="126" t="s">
        <v>6</v>
      </c>
      <c r="S56" s="126" t="s">
        <v>6</v>
      </c>
      <c r="T56" s="126"/>
      <c r="U56" s="204" t="s">
        <v>5004</v>
      </c>
      <c r="V56" s="204"/>
      <c r="W56" s="215" t="s">
        <v>133</v>
      </c>
      <c r="X56" s="13"/>
      <c r="Y56" s="13"/>
      <c r="Z56" s="61" t="s">
        <v>6</v>
      </c>
      <c r="AA56" s="61" t="s">
        <v>6</v>
      </c>
      <c r="AB56" s="45"/>
      <c r="AC56" s="415"/>
      <c r="AD56" s="415"/>
      <c r="AE56" s="215" t="s">
        <v>133</v>
      </c>
      <c r="AF56" s="13"/>
      <c r="AG56" s="13"/>
      <c r="AH56" s="61" t="s">
        <v>6</v>
      </c>
      <c r="AI56" s="61" t="s">
        <v>6</v>
      </c>
      <c r="AJ56" s="45"/>
      <c r="AK56" s="415"/>
      <c r="AL56" s="415"/>
      <c r="AM56" s="43"/>
      <c r="AN56" s="19"/>
      <c r="AO56" s="13"/>
      <c r="AP56" s="13"/>
      <c r="AQ56" s="13"/>
      <c r="AR56" s="13"/>
      <c r="AS56" s="13"/>
      <c r="AT56" s="13"/>
      <c r="AU56" s="15"/>
      <c r="AV56" s="15"/>
      <c r="AW56" s="18"/>
    </row>
    <row r="57" spans="1:49" s="236" customFormat="1" ht="15">
      <c r="A57" s="40">
        <f t="shared" si="0"/>
        <v>51</v>
      </c>
      <c r="B57" s="199"/>
      <c r="C57" s="199"/>
      <c r="D57" s="199"/>
      <c r="E57" s="199"/>
      <c r="F57" s="199"/>
      <c r="G57" s="199"/>
      <c r="H57" s="199"/>
      <c r="I57" s="199"/>
      <c r="J57" s="215" t="s">
        <v>5005</v>
      </c>
      <c r="K57" s="204" t="s">
        <v>132</v>
      </c>
      <c r="L57" s="204" t="s">
        <v>5006</v>
      </c>
      <c r="M57" s="215" t="s">
        <v>3809</v>
      </c>
      <c r="N57" s="40" t="s">
        <v>504</v>
      </c>
      <c r="O57" s="199"/>
      <c r="P57" s="199"/>
      <c r="Q57" s="40" t="s">
        <v>6</v>
      </c>
      <c r="R57" s="40" t="s">
        <v>6</v>
      </c>
      <c r="S57" s="40" t="s">
        <v>6</v>
      </c>
      <c r="T57" s="40"/>
      <c r="U57" s="204"/>
      <c r="V57" s="204"/>
      <c r="W57" s="204" t="s">
        <v>133</v>
      </c>
      <c r="X57" s="199"/>
      <c r="Y57" s="199"/>
      <c r="Z57" s="40" t="s">
        <v>6</v>
      </c>
      <c r="AA57" s="40" t="s">
        <v>6</v>
      </c>
      <c r="AB57" s="204"/>
      <c r="AC57" s="199"/>
      <c r="AD57" s="199"/>
      <c r="AE57" s="204" t="s">
        <v>133</v>
      </c>
      <c r="AF57" s="199"/>
      <c r="AG57" s="199"/>
      <c r="AH57" s="40" t="s">
        <v>6</v>
      </c>
      <c r="AI57" s="40" t="s">
        <v>6</v>
      </c>
      <c r="AJ57" s="204"/>
      <c r="AK57" s="199"/>
      <c r="AL57" s="199"/>
      <c r="AM57" s="199"/>
      <c r="AN57" s="199"/>
      <c r="AO57" s="199"/>
      <c r="AP57" s="199"/>
      <c r="AQ57" s="199"/>
      <c r="AR57" s="199"/>
      <c r="AS57" s="199"/>
      <c r="AT57" s="199"/>
      <c r="AU57" s="199"/>
      <c r="AV57" s="199"/>
      <c r="AW57" s="155"/>
    </row>
    <row r="58" spans="1:49" s="236" customFormat="1" ht="15">
      <c r="A58" s="40">
        <f t="shared" si="0"/>
        <v>52</v>
      </c>
      <c r="B58" s="199"/>
      <c r="C58" s="199"/>
      <c r="D58" s="199"/>
      <c r="E58" s="199"/>
      <c r="F58" s="199"/>
      <c r="G58" s="199"/>
      <c r="H58" s="199"/>
      <c r="I58" s="199"/>
      <c r="J58" s="215" t="s">
        <v>5007</v>
      </c>
      <c r="K58" s="204" t="s">
        <v>132</v>
      </c>
      <c r="L58" s="204" t="s">
        <v>5008</v>
      </c>
      <c r="M58" s="215" t="s">
        <v>3809</v>
      </c>
      <c r="N58" s="40" t="s">
        <v>504</v>
      </c>
      <c r="O58" s="199"/>
      <c r="P58" s="199"/>
      <c r="Q58" s="40" t="s">
        <v>6</v>
      </c>
      <c r="R58" s="40" t="s">
        <v>6</v>
      </c>
      <c r="S58" s="40" t="s">
        <v>6</v>
      </c>
      <c r="T58" s="40"/>
      <c r="U58" s="204"/>
      <c r="V58" s="204"/>
      <c r="W58" s="204" t="s">
        <v>133</v>
      </c>
      <c r="X58" s="199"/>
      <c r="Y58" s="199"/>
      <c r="Z58" s="40" t="s">
        <v>6</v>
      </c>
      <c r="AA58" s="40" t="s">
        <v>6</v>
      </c>
      <c r="AB58" s="204"/>
      <c r="AC58" s="199"/>
      <c r="AD58" s="199"/>
      <c r="AE58" s="204" t="s">
        <v>133</v>
      </c>
      <c r="AF58" s="199"/>
      <c r="AG58" s="199"/>
      <c r="AH58" s="40" t="s">
        <v>6</v>
      </c>
      <c r="AI58" s="40" t="s">
        <v>6</v>
      </c>
      <c r="AJ58" s="204"/>
      <c r="AK58" s="199"/>
      <c r="AL58" s="199"/>
      <c r="AM58" s="199"/>
      <c r="AN58" s="199"/>
      <c r="AO58" s="199"/>
      <c r="AP58" s="199"/>
      <c r="AQ58" s="199"/>
      <c r="AR58" s="199"/>
      <c r="AS58" s="199"/>
      <c r="AT58" s="199"/>
      <c r="AU58" s="199"/>
      <c r="AV58" s="199"/>
      <c r="AW58" s="155"/>
    </row>
    <row r="59" spans="1:49" s="20" customFormat="1" ht="15">
      <c r="A59" s="40">
        <f t="shared" si="0"/>
        <v>53</v>
      </c>
      <c r="B59" s="38"/>
      <c r="C59" s="41"/>
      <c r="D59" s="19"/>
      <c r="E59" s="19"/>
      <c r="F59" s="19"/>
      <c r="G59" s="19"/>
      <c r="H59" s="13"/>
      <c r="I59" s="13"/>
      <c r="J59" s="215" t="s">
        <v>5009</v>
      </c>
      <c r="K59" s="215" t="s">
        <v>132</v>
      </c>
      <c r="L59" s="215" t="s">
        <v>5010</v>
      </c>
      <c r="M59" s="215" t="s">
        <v>3809</v>
      </c>
      <c r="N59" s="40" t="s">
        <v>504</v>
      </c>
      <c r="O59" s="40"/>
      <c r="P59" s="40"/>
      <c r="Q59" s="126" t="s">
        <v>6</v>
      </c>
      <c r="R59" s="126" t="s">
        <v>6</v>
      </c>
      <c r="S59" s="126" t="s">
        <v>6</v>
      </c>
      <c r="T59" s="126"/>
      <c r="U59" s="204" t="s">
        <v>5004</v>
      </c>
      <c r="V59" s="204"/>
      <c r="W59" s="215" t="s">
        <v>133</v>
      </c>
      <c r="X59" s="13"/>
      <c r="Y59" s="43"/>
      <c r="Z59" s="61" t="s">
        <v>6</v>
      </c>
      <c r="AA59" s="61" t="s">
        <v>6</v>
      </c>
      <c r="AB59" s="413"/>
      <c r="AC59" s="415"/>
      <c r="AD59" s="415"/>
      <c r="AE59" s="215" t="s">
        <v>133</v>
      </c>
      <c r="AF59" s="13"/>
      <c r="AG59" s="43"/>
      <c r="AH59" s="61" t="s">
        <v>6</v>
      </c>
      <c r="AI59" s="61" t="s">
        <v>6</v>
      </c>
      <c r="AJ59" s="413"/>
      <c r="AK59" s="415"/>
      <c r="AL59" s="415"/>
      <c r="AM59" s="43"/>
      <c r="AN59" s="13"/>
      <c r="AO59" s="15"/>
      <c r="AP59" s="15"/>
      <c r="AQ59" s="15"/>
      <c r="AR59" s="15"/>
      <c r="AS59" s="15"/>
      <c r="AT59" s="15"/>
      <c r="AU59" s="15"/>
      <c r="AV59" s="13"/>
      <c r="AW59" s="18"/>
    </row>
    <row r="60" spans="1:49" s="20" customFormat="1" ht="15">
      <c r="A60" s="40">
        <f t="shared" si="0"/>
        <v>54</v>
      </c>
      <c r="B60" s="38"/>
      <c r="C60" s="41"/>
      <c r="D60" s="19"/>
      <c r="E60" s="19"/>
      <c r="F60" s="19"/>
      <c r="G60" s="19"/>
      <c r="H60" s="13"/>
      <c r="I60" s="13"/>
      <c r="J60" s="215" t="s">
        <v>5011</v>
      </c>
      <c r="K60" s="215" t="s">
        <v>132</v>
      </c>
      <c r="L60" s="215" t="s">
        <v>5012</v>
      </c>
      <c r="M60" s="215" t="s">
        <v>3809</v>
      </c>
      <c r="N60" s="40" t="s">
        <v>504</v>
      </c>
      <c r="O60" s="40"/>
      <c r="P60" s="40"/>
      <c r="Q60" s="126" t="s">
        <v>6</v>
      </c>
      <c r="R60" s="126" t="s">
        <v>6</v>
      </c>
      <c r="S60" s="126" t="s">
        <v>6</v>
      </c>
      <c r="T60" s="126"/>
      <c r="U60" s="204" t="s">
        <v>5004</v>
      </c>
      <c r="V60" s="204"/>
      <c r="W60" s="215" t="s">
        <v>133</v>
      </c>
      <c r="X60" s="13"/>
      <c r="Y60" s="43"/>
      <c r="Z60" s="61" t="s">
        <v>6</v>
      </c>
      <c r="AA60" s="61" t="s">
        <v>6</v>
      </c>
      <c r="AB60" s="413"/>
      <c r="AC60" s="415"/>
      <c r="AD60" s="415"/>
      <c r="AE60" s="215" t="s">
        <v>133</v>
      </c>
      <c r="AF60" s="13"/>
      <c r="AG60" s="43"/>
      <c r="AH60" s="61" t="s">
        <v>6</v>
      </c>
      <c r="AI60" s="61" t="s">
        <v>6</v>
      </c>
      <c r="AJ60" s="413"/>
      <c r="AK60" s="415"/>
      <c r="AL60" s="415"/>
      <c r="AM60" s="43"/>
      <c r="AN60" s="13"/>
      <c r="AO60" s="15"/>
      <c r="AP60" s="15"/>
      <c r="AQ60" s="15"/>
      <c r="AR60" s="15"/>
      <c r="AS60" s="15"/>
      <c r="AT60" s="15"/>
      <c r="AU60" s="15"/>
      <c r="AV60" s="13"/>
      <c r="AW60" s="18"/>
    </row>
    <row r="61" spans="1:49" s="20" customFormat="1" ht="15">
      <c r="A61" s="40">
        <f t="shared" si="0"/>
        <v>55</v>
      </c>
      <c r="B61" s="38"/>
      <c r="C61" s="41"/>
      <c r="D61" s="19"/>
      <c r="E61" s="19"/>
      <c r="F61" s="19"/>
      <c r="G61" s="19"/>
      <c r="H61" s="13"/>
      <c r="I61" s="13"/>
      <c r="J61" s="215" t="s">
        <v>5013</v>
      </c>
      <c r="K61" s="215" t="s">
        <v>132</v>
      </c>
      <c r="L61" s="215" t="s">
        <v>5014</v>
      </c>
      <c r="M61" s="215" t="s">
        <v>3809</v>
      </c>
      <c r="N61" s="40" t="s">
        <v>504</v>
      </c>
      <c r="O61" s="40"/>
      <c r="P61" s="40"/>
      <c r="Q61" s="126" t="s">
        <v>6</v>
      </c>
      <c r="R61" s="126" t="s">
        <v>6</v>
      </c>
      <c r="S61" s="126" t="s">
        <v>6</v>
      </c>
      <c r="T61" s="126"/>
      <c r="U61" s="204" t="s">
        <v>5004</v>
      </c>
      <c r="V61" s="204"/>
      <c r="W61" s="215" t="s">
        <v>133</v>
      </c>
      <c r="X61" s="13"/>
      <c r="Y61" s="43"/>
      <c r="Z61" s="61" t="s">
        <v>6</v>
      </c>
      <c r="AA61" s="61" t="s">
        <v>6</v>
      </c>
      <c r="AB61" s="413"/>
      <c r="AC61" s="415"/>
      <c r="AD61" s="415"/>
      <c r="AE61" s="215" t="s">
        <v>133</v>
      </c>
      <c r="AF61" s="13"/>
      <c r="AG61" s="43"/>
      <c r="AH61" s="61" t="s">
        <v>6</v>
      </c>
      <c r="AI61" s="61" t="s">
        <v>6</v>
      </c>
      <c r="AJ61" s="413"/>
      <c r="AK61" s="415"/>
      <c r="AL61" s="415"/>
      <c r="AM61" s="43"/>
      <c r="AN61" s="13"/>
      <c r="AO61" s="15"/>
      <c r="AP61" s="15"/>
      <c r="AQ61" s="15"/>
      <c r="AR61" s="15"/>
      <c r="AS61" s="15"/>
      <c r="AT61" s="15"/>
      <c r="AU61" s="15"/>
      <c r="AV61" s="13"/>
      <c r="AW61" s="18"/>
    </row>
    <row r="62" spans="1:49" s="20" customFormat="1" ht="15">
      <c r="A62" s="416">
        <f t="shared" si="0"/>
        <v>56</v>
      </c>
      <c r="B62" s="38"/>
      <c r="C62" s="41"/>
      <c r="D62" s="19"/>
      <c r="E62" s="19"/>
      <c r="F62" s="19"/>
      <c r="G62" s="19"/>
      <c r="H62" s="13"/>
      <c r="I62" s="13"/>
      <c r="J62" s="215" t="s">
        <v>5015</v>
      </c>
      <c r="K62" s="215" t="s">
        <v>132</v>
      </c>
      <c r="L62" s="215" t="s">
        <v>5016</v>
      </c>
      <c r="M62" s="215" t="s">
        <v>3809</v>
      </c>
      <c r="N62" s="40" t="s">
        <v>504</v>
      </c>
      <c r="O62" s="40"/>
      <c r="P62" s="40"/>
      <c r="Q62" s="126" t="s">
        <v>6</v>
      </c>
      <c r="R62" s="126" t="s">
        <v>6</v>
      </c>
      <c r="S62" s="126" t="s">
        <v>6</v>
      </c>
      <c r="T62" s="126"/>
      <c r="U62" s="204" t="s">
        <v>5004</v>
      </c>
      <c r="V62" s="204"/>
      <c r="W62" s="215" t="s">
        <v>133</v>
      </c>
      <c r="X62" s="13"/>
      <c r="Y62" s="43"/>
      <c r="Z62" s="61" t="s">
        <v>6</v>
      </c>
      <c r="AA62" s="61" t="s">
        <v>6</v>
      </c>
      <c r="AB62" s="413"/>
      <c r="AC62" s="415"/>
      <c r="AD62" s="415"/>
      <c r="AE62" s="215" t="s">
        <v>133</v>
      </c>
      <c r="AF62" s="13"/>
      <c r="AG62" s="43"/>
      <c r="AH62" s="61" t="s">
        <v>6</v>
      </c>
      <c r="AI62" s="61" t="s">
        <v>6</v>
      </c>
      <c r="AJ62" s="413"/>
      <c r="AK62" s="415"/>
      <c r="AL62" s="415"/>
      <c r="AM62" s="43"/>
      <c r="AN62" s="13"/>
      <c r="AO62" s="15"/>
      <c r="AP62" s="15"/>
      <c r="AQ62" s="15"/>
      <c r="AR62" s="15"/>
      <c r="AS62" s="15"/>
      <c r="AT62" s="15"/>
      <c r="AU62" s="15"/>
      <c r="AV62" s="13"/>
      <c r="AW62" s="18"/>
    </row>
    <row r="63" spans="1:49" s="20" customFormat="1" ht="15">
      <c r="A63" s="40">
        <f t="shared" si="0"/>
        <v>57</v>
      </c>
      <c r="B63" s="38"/>
      <c r="C63" s="41"/>
      <c r="D63" s="19"/>
      <c r="E63" s="19"/>
      <c r="F63" s="19"/>
      <c r="G63" s="19"/>
      <c r="H63" s="13"/>
      <c r="I63" s="13"/>
      <c r="J63" s="215" t="s">
        <v>5017</v>
      </c>
      <c r="K63" s="215" t="s">
        <v>132</v>
      </c>
      <c r="L63" s="215" t="s">
        <v>5018</v>
      </c>
      <c r="M63" s="215" t="s">
        <v>3809</v>
      </c>
      <c r="N63" s="40" t="s">
        <v>504</v>
      </c>
      <c r="O63" s="40"/>
      <c r="P63" s="40"/>
      <c r="Q63" s="126" t="s">
        <v>6</v>
      </c>
      <c r="R63" s="126" t="s">
        <v>6</v>
      </c>
      <c r="S63" s="126" t="s">
        <v>6</v>
      </c>
      <c r="T63" s="126"/>
      <c r="U63" s="204" t="s">
        <v>5004</v>
      </c>
      <c r="V63" s="204"/>
      <c r="W63" s="215" t="s">
        <v>133</v>
      </c>
      <c r="X63" s="13"/>
      <c r="Y63" s="13"/>
      <c r="Z63" s="61" t="s">
        <v>6</v>
      </c>
      <c r="AA63" s="61" t="s">
        <v>6</v>
      </c>
      <c r="AB63" s="413"/>
      <c r="AC63" s="415"/>
      <c r="AD63" s="415"/>
      <c r="AE63" s="215" t="s">
        <v>133</v>
      </c>
      <c r="AF63" s="13"/>
      <c r="AG63" s="13"/>
      <c r="AH63" s="61" t="s">
        <v>6</v>
      </c>
      <c r="AI63" s="61" t="s">
        <v>6</v>
      </c>
      <c r="AJ63" s="413"/>
      <c r="AK63" s="415"/>
      <c r="AL63" s="415"/>
      <c r="AM63" s="43"/>
      <c r="AN63" s="19"/>
      <c r="AO63" s="15"/>
      <c r="AP63" s="15"/>
      <c r="AQ63" s="15"/>
      <c r="AR63" s="15"/>
      <c r="AS63" s="15"/>
      <c r="AT63" s="15"/>
      <c r="AU63" s="15"/>
      <c r="AV63" s="15"/>
      <c r="AW63" s="18"/>
    </row>
    <row r="64" spans="1:49" s="20" customFormat="1" ht="15">
      <c r="A64" s="40">
        <f t="shared" si="0"/>
        <v>58</v>
      </c>
      <c r="B64" s="38"/>
      <c r="C64" s="41"/>
      <c r="D64" s="38"/>
      <c r="E64" s="46"/>
      <c r="F64" s="46"/>
      <c r="G64" s="46"/>
      <c r="H64" s="13"/>
      <c r="I64" s="40"/>
      <c r="J64" s="215" t="s">
        <v>5019</v>
      </c>
      <c r="K64" s="215" t="s">
        <v>132</v>
      </c>
      <c r="L64" s="215" t="s">
        <v>5020</v>
      </c>
      <c r="M64" s="215" t="s">
        <v>3809</v>
      </c>
      <c r="N64" s="40" t="s">
        <v>504</v>
      </c>
      <c r="O64" s="40"/>
      <c r="P64" s="40"/>
      <c r="Q64" s="126" t="s">
        <v>6</v>
      </c>
      <c r="R64" s="126" t="s">
        <v>6</v>
      </c>
      <c r="S64" s="126" t="s">
        <v>6</v>
      </c>
      <c r="T64" s="126"/>
      <c r="U64" s="204" t="s">
        <v>5004</v>
      </c>
      <c r="V64" s="204"/>
      <c r="W64" s="215" t="s">
        <v>133</v>
      </c>
      <c r="X64" s="13"/>
      <c r="Y64" s="13"/>
      <c r="Z64" s="61" t="s">
        <v>6</v>
      </c>
      <c r="AA64" s="61" t="s">
        <v>6</v>
      </c>
      <c r="AB64" s="413"/>
      <c r="AC64" s="413"/>
      <c r="AD64" s="413"/>
      <c r="AE64" s="215" t="s">
        <v>133</v>
      </c>
      <c r="AF64" s="13"/>
      <c r="AG64" s="13"/>
      <c r="AH64" s="61" t="s">
        <v>6</v>
      </c>
      <c r="AI64" s="61" t="s">
        <v>6</v>
      </c>
      <c r="AJ64" s="413"/>
      <c r="AK64" s="413"/>
      <c r="AL64" s="413"/>
      <c r="AM64" s="43"/>
      <c r="AN64" s="19"/>
      <c r="AO64" s="13"/>
      <c r="AP64" s="13"/>
      <c r="AQ64" s="13"/>
      <c r="AR64" s="13"/>
      <c r="AS64" s="13"/>
      <c r="AT64" s="13"/>
      <c r="AU64" s="13"/>
      <c r="AV64" s="19"/>
      <c r="AW64" s="18"/>
    </row>
    <row r="65" spans="1:87" s="20" customFormat="1" ht="15">
      <c r="A65" s="40">
        <f t="shared" si="0"/>
        <v>59</v>
      </c>
      <c r="B65" s="38"/>
      <c r="C65" s="41"/>
      <c r="D65" s="38"/>
      <c r="E65" s="46"/>
      <c r="F65" s="46"/>
      <c r="G65" s="46"/>
      <c r="H65" s="13"/>
      <c r="I65" s="40"/>
      <c r="J65" s="215" t="s">
        <v>5021</v>
      </c>
      <c r="K65" s="215" t="s">
        <v>132</v>
      </c>
      <c r="L65" s="215" t="s">
        <v>5022</v>
      </c>
      <c r="M65" s="215" t="s">
        <v>3809</v>
      </c>
      <c r="N65" s="40" t="s">
        <v>504</v>
      </c>
      <c r="O65" s="40"/>
      <c r="P65" s="40"/>
      <c r="Q65" s="126" t="s">
        <v>6</v>
      </c>
      <c r="R65" s="126" t="s">
        <v>6</v>
      </c>
      <c r="S65" s="126" t="s">
        <v>6</v>
      </c>
      <c r="T65" s="126"/>
      <c r="U65" s="204" t="s">
        <v>5004</v>
      </c>
      <c r="V65" s="204"/>
      <c r="W65" s="215" t="s">
        <v>133</v>
      </c>
      <c r="X65" s="13"/>
      <c r="Y65" s="13"/>
      <c r="Z65" s="61" t="s">
        <v>6</v>
      </c>
      <c r="AA65" s="61" t="s">
        <v>6</v>
      </c>
      <c r="AB65" s="413"/>
      <c r="AC65" s="413"/>
      <c r="AD65" s="413"/>
      <c r="AE65" s="215" t="s">
        <v>133</v>
      </c>
      <c r="AF65" s="13"/>
      <c r="AG65" s="13"/>
      <c r="AH65" s="61" t="s">
        <v>6</v>
      </c>
      <c r="AI65" s="61" t="s">
        <v>6</v>
      </c>
      <c r="AJ65" s="413"/>
      <c r="AK65" s="413"/>
      <c r="AL65" s="413"/>
      <c r="AM65" s="43"/>
      <c r="AN65" s="19"/>
      <c r="AO65" s="13"/>
      <c r="AP65" s="13"/>
      <c r="AQ65" s="13"/>
      <c r="AR65" s="13"/>
      <c r="AS65" s="13"/>
      <c r="AT65" s="13"/>
      <c r="AU65" s="13"/>
      <c r="AV65" s="19"/>
      <c r="AW65" s="18"/>
    </row>
    <row r="66" spans="1:87" s="20" customFormat="1" ht="15">
      <c r="A66" s="40">
        <f t="shared" si="0"/>
        <v>60</v>
      </c>
      <c r="B66" s="38"/>
      <c r="C66" s="41"/>
      <c r="D66" s="19"/>
      <c r="E66" s="43"/>
      <c r="F66" s="43"/>
      <c r="G66" s="43"/>
      <c r="H66" s="13"/>
      <c r="I66" s="13"/>
      <c r="J66" s="215" t="s">
        <v>5023</v>
      </c>
      <c r="K66" s="215" t="s">
        <v>132</v>
      </c>
      <c r="L66" s="215" t="s">
        <v>5024</v>
      </c>
      <c r="M66" s="215" t="s">
        <v>3809</v>
      </c>
      <c r="N66" s="40" t="s">
        <v>504</v>
      </c>
      <c r="O66" s="40"/>
      <c r="P66" s="40"/>
      <c r="Q66" s="126" t="s">
        <v>6</v>
      </c>
      <c r="R66" s="126" t="s">
        <v>6</v>
      </c>
      <c r="S66" s="126" t="s">
        <v>6</v>
      </c>
      <c r="T66" s="126"/>
      <c r="U66" s="204" t="s">
        <v>5004</v>
      </c>
      <c r="V66" s="204"/>
      <c r="W66" s="215" t="s">
        <v>133</v>
      </c>
      <c r="X66" s="13"/>
      <c r="Y66" s="13"/>
      <c r="Z66" s="61" t="s">
        <v>6</v>
      </c>
      <c r="AA66" s="61" t="s">
        <v>6</v>
      </c>
      <c r="AB66" s="413"/>
      <c r="AC66" s="415"/>
      <c r="AD66" s="415"/>
      <c r="AE66" s="215" t="s">
        <v>133</v>
      </c>
      <c r="AF66" s="13"/>
      <c r="AG66" s="13"/>
      <c r="AH66" s="61" t="s">
        <v>6</v>
      </c>
      <c r="AI66" s="61" t="s">
        <v>6</v>
      </c>
      <c r="AJ66" s="413"/>
      <c r="AK66" s="415"/>
      <c r="AL66" s="415"/>
      <c r="AM66" s="43"/>
      <c r="AN66" s="13"/>
      <c r="AO66" s="15"/>
      <c r="AP66" s="15"/>
      <c r="AQ66" s="15"/>
      <c r="AR66" s="15"/>
      <c r="AS66" s="15"/>
      <c r="AT66" s="15"/>
      <c r="AU66" s="15"/>
      <c r="AV66" s="19"/>
      <c r="AW66" s="18"/>
    </row>
    <row r="67" spans="1:87" s="20" customFormat="1" ht="15">
      <c r="A67" s="40">
        <f t="shared" si="0"/>
        <v>61</v>
      </c>
      <c r="B67" s="59"/>
      <c r="C67" s="59"/>
      <c r="D67" s="59"/>
      <c r="E67" s="59"/>
      <c r="F67" s="59"/>
      <c r="G67" s="59"/>
      <c r="H67" s="59"/>
      <c r="I67" s="59"/>
      <c r="J67" s="215" t="s">
        <v>5025</v>
      </c>
      <c r="K67" s="215" t="s">
        <v>132</v>
      </c>
      <c r="L67" s="204" t="s">
        <v>4890</v>
      </c>
      <c r="M67" s="204" t="s">
        <v>4891</v>
      </c>
      <c r="N67" s="40" t="s">
        <v>504</v>
      </c>
      <c r="O67" s="126"/>
      <c r="P67" s="126"/>
      <c r="Q67" s="40" t="s">
        <v>6</v>
      </c>
      <c r="R67" s="40" t="s">
        <v>6</v>
      </c>
      <c r="S67" s="40" t="s">
        <v>6</v>
      </c>
      <c r="T67" s="40"/>
      <c r="U67" s="204" t="s">
        <v>1696</v>
      </c>
      <c r="V67" s="204"/>
      <c r="W67" s="204" t="s">
        <v>133</v>
      </c>
      <c r="X67" s="59"/>
      <c r="Y67" s="59"/>
      <c r="Z67" s="40" t="s">
        <v>6</v>
      </c>
      <c r="AA67" s="40" t="s">
        <v>6</v>
      </c>
      <c r="AB67" s="204"/>
      <c r="AC67" s="59"/>
      <c r="AD67" s="59"/>
      <c r="AE67" s="204" t="s">
        <v>133</v>
      </c>
      <c r="AF67" s="59"/>
      <c r="AG67" s="59"/>
      <c r="AH67" s="40" t="s">
        <v>6</v>
      </c>
      <c r="AI67" s="40" t="s">
        <v>6</v>
      </c>
      <c r="AJ67" s="204"/>
      <c r="AK67" s="59"/>
      <c r="AL67" s="59"/>
      <c r="AM67" s="59" t="s">
        <v>1697</v>
      </c>
      <c r="AN67" s="59"/>
      <c r="AO67" s="59"/>
      <c r="AP67" s="59"/>
      <c r="AQ67" s="59"/>
      <c r="AR67" s="59"/>
      <c r="AS67" s="59"/>
      <c r="AT67" s="59"/>
      <c r="AU67" s="59"/>
      <c r="AV67" s="59"/>
      <c r="AW67" s="18"/>
    </row>
    <row r="68" spans="1:87" s="20" customFormat="1" ht="15">
      <c r="A68" s="416">
        <f t="shared" si="0"/>
        <v>62</v>
      </c>
      <c r="B68" s="59"/>
      <c r="C68" s="59"/>
      <c r="D68" s="59"/>
      <c r="E68" s="59"/>
      <c r="F68" s="59"/>
      <c r="G68" s="59"/>
      <c r="H68" s="59"/>
      <c r="I68" s="59"/>
      <c r="J68" s="215" t="s">
        <v>5026</v>
      </c>
      <c r="K68" s="215" t="s">
        <v>132</v>
      </c>
      <c r="L68" s="204" t="s">
        <v>4893</v>
      </c>
      <c r="M68" s="204" t="s">
        <v>4891</v>
      </c>
      <c r="N68" s="40" t="s">
        <v>504</v>
      </c>
      <c r="O68" s="126"/>
      <c r="P68" s="126"/>
      <c r="Q68" s="40" t="s">
        <v>6</v>
      </c>
      <c r="R68" s="40" t="s">
        <v>6</v>
      </c>
      <c r="S68" s="40" t="s">
        <v>6</v>
      </c>
      <c r="T68" s="40"/>
      <c r="U68" s="204" t="s">
        <v>1696</v>
      </c>
      <c r="V68" s="204"/>
      <c r="W68" s="204" t="s">
        <v>133</v>
      </c>
      <c r="X68" s="59"/>
      <c r="Y68" s="59"/>
      <c r="Z68" s="40" t="s">
        <v>6</v>
      </c>
      <c r="AA68" s="40" t="s">
        <v>6</v>
      </c>
      <c r="AB68" s="204"/>
      <c r="AC68" s="59"/>
      <c r="AD68" s="59"/>
      <c r="AE68" s="204" t="s">
        <v>133</v>
      </c>
      <c r="AF68" s="59"/>
      <c r="AG68" s="59"/>
      <c r="AH68" s="40" t="s">
        <v>6</v>
      </c>
      <c r="AI68" s="40" t="s">
        <v>6</v>
      </c>
      <c r="AJ68" s="204"/>
      <c r="AK68" s="59"/>
      <c r="AL68" s="59"/>
      <c r="AM68" s="59" t="s">
        <v>1697</v>
      </c>
      <c r="AN68" s="59"/>
      <c r="AO68" s="59"/>
      <c r="AP68" s="59"/>
      <c r="AQ68" s="59"/>
      <c r="AR68" s="59"/>
      <c r="AS68" s="59"/>
      <c r="AT68" s="59"/>
      <c r="AU68" s="59"/>
      <c r="AV68" s="59"/>
      <c r="AW68" s="18"/>
    </row>
    <row r="69" spans="1:87" s="20" customFormat="1" ht="15">
      <c r="A69" s="40">
        <f t="shared" si="0"/>
        <v>63</v>
      </c>
      <c r="B69" s="59"/>
      <c r="C69" s="59"/>
      <c r="D69" s="59"/>
      <c r="E69" s="59"/>
      <c r="F69" s="59"/>
      <c r="G69" s="59"/>
      <c r="H69" s="59"/>
      <c r="I69" s="59"/>
      <c r="J69" s="215" t="s">
        <v>5027</v>
      </c>
      <c r="K69" s="204" t="s">
        <v>132</v>
      </c>
      <c r="L69" s="204" t="s">
        <v>5028</v>
      </c>
      <c r="M69" s="204" t="s">
        <v>3602</v>
      </c>
      <c r="N69" s="40" t="s">
        <v>504</v>
      </c>
      <c r="O69" s="126"/>
      <c r="P69" s="126"/>
      <c r="Q69" s="40" t="s">
        <v>6</v>
      </c>
      <c r="R69" s="40" t="s">
        <v>6</v>
      </c>
      <c r="S69" s="40" t="s">
        <v>6</v>
      </c>
      <c r="T69" s="40"/>
      <c r="U69" s="204" t="s">
        <v>5029</v>
      </c>
      <c r="V69" s="204"/>
      <c r="W69" s="204" t="s">
        <v>133</v>
      </c>
      <c r="X69" s="59"/>
      <c r="Y69" s="59"/>
      <c r="Z69" s="40" t="s">
        <v>6</v>
      </c>
      <c r="AA69" s="40" t="s">
        <v>6</v>
      </c>
      <c r="AB69" s="367"/>
      <c r="AC69" s="258"/>
      <c r="AD69" s="258"/>
      <c r="AE69" s="204" t="s">
        <v>133</v>
      </c>
      <c r="AF69" s="59"/>
      <c r="AG69" s="59"/>
      <c r="AH69" s="40" t="s">
        <v>6</v>
      </c>
      <c r="AI69" s="40" t="s">
        <v>6</v>
      </c>
      <c r="AJ69" s="367"/>
      <c r="AK69" s="258"/>
      <c r="AL69" s="258"/>
      <c r="AM69" s="59"/>
      <c r="AN69" s="59"/>
      <c r="AO69" s="59"/>
      <c r="AP69" s="59"/>
      <c r="AQ69" s="59"/>
      <c r="AR69" s="59"/>
      <c r="AS69" s="59"/>
      <c r="AT69" s="59"/>
      <c r="AU69" s="59"/>
      <c r="AV69" s="59"/>
      <c r="AW69" s="18"/>
    </row>
    <row r="70" spans="1:87" s="12" customFormat="1" ht="15">
      <c r="A70" s="40">
        <f t="shared" si="0"/>
        <v>64</v>
      </c>
      <c r="B70" s="38"/>
      <c r="C70" s="42"/>
      <c r="D70" s="19"/>
      <c r="E70" s="19"/>
      <c r="F70" s="19"/>
      <c r="G70" s="19"/>
      <c r="H70" s="13"/>
      <c r="I70" s="13"/>
      <c r="J70" s="215" t="s">
        <v>5030</v>
      </c>
      <c r="K70" s="412" t="s">
        <v>117</v>
      </c>
      <c r="L70" s="215" t="s">
        <v>5031</v>
      </c>
      <c r="M70" s="215"/>
      <c r="N70" s="40" t="s">
        <v>504</v>
      </c>
      <c r="O70" s="40"/>
      <c r="P70" s="40"/>
      <c r="Q70" s="126" t="s">
        <v>6</v>
      </c>
      <c r="R70" s="126" t="s">
        <v>6</v>
      </c>
      <c r="S70" s="126" t="s">
        <v>6</v>
      </c>
      <c r="T70" s="40"/>
      <c r="U70" s="204"/>
      <c r="V70" s="204"/>
      <c r="W70" s="412" t="s">
        <v>133</v>
      </c>
      <c r="X70" s="13"/>
      <c r="Y70" s="13"/>
      <c r="Z70" s="61" t="s">
        <v>6</v>
      </c>
      <c r="AA70" s="61" t="s">
        <v>6</v>
      </c>
      <c r="AB70" s="414"/>
      <c r="AC70" s="416"/>
      <c r="AD70" s="416"/>
      <c r="AE70" s="412" t="s">
        <v>133</v>
      </c>
      <c r="AF70" s="13"/>
      <c r="AG70" s="13"/>
      <c r="AH70" s="61" t="s">
        <v>6</v>
      </c>
      <c r="AI70" s="61" t="s">
        <v>6</v>
      </c>
      <c r="AJ70" s="414"/>
      <c r="AK70" s="416"/>
      <c r="AL70" s="416"/>
      <c r="AM70" s="43"/>
      <c r="AN70" s="13"/>
      <c r="AO70" s="13"/>
      <c r="AP70" s="13"/>
      <c r="AQ70" s="13"/>
      <c r="AR70" s="13"/>
      <c r="AS70" s="13"/>
      <c r="AT70" s="13"/>
      <c r="AU70" s="13"/>
      <c r="AV70" s="13"/>
      <c r="AW70" s="18"/>
    </row>
    <row r="71" spans="1:87" s="12" customFormat="1" ht="15">
      <c r="A71" s="40">
        <f t="shared" si="0"/>
        <v>65</v>
      </c>
      <c r="B71" s="38"/>
      <c r="C71" s="42"/>
      <c r="D71" s="19"/>
      <c r="E71" s="19"/>
      <c r="F71" s="19"/>
      <c r="G71" s="19"/>
      <c r="H71" s="13"/>
      <c r="I71" s="13"/>
      <c r="J71" s="215" t="s">
        <v>5032</v>
      </c>
      <c r="K71" s="412" t="s">
        <v>117</v>
      </c>
      <c r="L71" s="215" t="s">
        <v>5033</v>
      </c>
      <c r="M71" s="215"/>
      <c r="N71" s="40" t="s">
        <v>504</v>
      </c>
      <c r="O71" s="40"/>
      <c r="P71" s="40"/>
      <c r="Q71" s="126" t="s">
        <v>6</v>
      </c>
      <c r="R71" s="126" t="s">
        <v>6</v>
      </c>
      <c r="S71" s="126" t="s">
        <v>6</v>
      </c>
      <c r="T71" s="40"/>
      <c r="U71" s="204"/>
      <c r="V71" s="204"/>
      <c r="W71" s="412" t="s">
        <v>133</v>
      </c>
      <c r="X71" s="13"/>
      <c r="Y71" s="13"/>
      <c r="Z71" s="61" t="s">
        <v>6</v>
      </c>
      <c r="AA71" s="61" t="s">
        <v>6</v>
      </c>
      <c r="AB71" s="414"/>
      <c r="AC71" s="416"/>
      <c r="AD71" s="416"/>
      <c r="AE71" s="412" t="s">
        <v>133</v>
      </c>
      <c r="AF71" s="13"/>
      <c r="AG71" s="13"/>
      <c r="AH71" s="61" t="s">
        <v>6</v>
      </c>
      <c r="AI71" s="61" t="s">
        <v>6</v>
      </c>
      <c r="AJ71" s="414"/>
      <c r="AK71" s="416"/>
      <c r="AL71" s="416"/>
      <c r="AM71" s="43"/>
      <c r="AN71" s="13"/>
      <c r="AO71" s="13"/>
      <c r="AP71" s="13"/>
      <c r="AQ71" s="13"/>
      <c r="AR71" s="13"/>
      <c r="AS71" s="13"/>
      <c r="AT71" s="13"/>
      <c r="AU71" s="13"/>
      <c r="AV71" s="13"/>
      <c r="AW71" s="18"/>
    </row>
    <row r="72" spans="1:87" s="18" customFormat="1" ht="15">
      <c r="A72" s="40">
        <f t="shared" si="0"/>
        <v>66</v>
      </c>
      <c r="B72" s="19"/>
      <c r="C72" s="41"/>
      <c r="D72" s="19"/>
      <c r="E72" s="19"/>
      <c r="F72" s="19"/>
      <c r="G72" s="19"/>
      <c r="H72" s="13"/>
      <c r="I72" s="13"/>
      <c r="J72" s="215" t="s">
        <v>5034</v>
      </c>
      <c r="K72" s="412" t="s">
        <v>117</v>
      </c>
      <c r="L72" s="215" t="s">
        <v>5035</v>
      </c>
      <c r="M72" s="215"/>
      <c r="N72" s="40" t="s">
        <v>504</v>
      </c>
      <c r="O72" s="40"/>
      <c r="P72" s="40"/>
      <c r="Q72" s="126" t="s">
        <v>6</v>
      </c>
      <c r="R72" s="126" t="s">
        <v>6</v>
      </c>
      <c r="S72" s="126" t="s">
        <v>6</v>
      </c>
      <c r="T72" s="40"/>
      <c r="U72" s="204"/>
      <c r="V72" s="204"/>
      <c r="W72" s="412" t="s">
        <v>133</v>
      </c>
      <c r="X72" s="13"/>
      <c r="Y72" s="413"/>
      <c r="Z72" s="61" t="s">
        <v>6</v>
      </c>
      <c r="AA72" s="61" t="s">
        <v>6</v>
      </c>
      <c r="AB72" s="45"/>
      <c r="AC72" s="415"/>
      <c r="AD72" s="415"/>
      <c r="AE72" s="412" t="s">
        <v>133</v>
      </c>
      <c r="AF72" s="13"/>
      <c r="AG72" s="413"/>
      <c r="AH72" s="61" t="s">
        <v>6</v>
      </c>
      <c r="AI72" s="61" t="s">
        <v>6</v>
      </c>
      <c r="AJ72" s="45"/>
      <c r="AK72" s="415"/>
      <c r="AL72" s="415"/>
      <c r="AM72" s="43"/>
      <c r="AN72" s="13"/>
      <c r="AO72" s="15"/>
      <c r="AP72" s="15"/>
      <c r="AQ72" s="15"/>
      <c r="AR72" s="15"/>
      <c r="AS72" s="15"/>
      <c r="AT72" s="15"/>
      <c r="AU72" s="13"/>
      <c r="AV72" s="15"/>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row>
    <row r="73" spans="1:87" s="20" customFormat="1" ht="15">
      <c r="A73" s="40">
        <f t="shared" si="0"/>
        <v>67</v>
      </c>
      <c r="B73" s="38"/>
      <c r="C73" s="41"/>
      <c r="D73" s="19"/>
      <c r="E73" s="43"/>
      <c r="F73" s="43"/>
      <c r="G73" s="43"/>
      <c r="H73" s="13"/>
      <c r="I73" s="13"/>
      <c r="J73" s="215" t="s">
        <v>5036</v>
      </c>
      <c r="K73" s="412" t="s">
        <v>117</v>
      </c>
      <c r="L73" s="215" t="s">
        <v>5037</v>
      </c>
      <c r="M73" s="215"/>
      <c r="N73" s="40" t="s">
        <v>504</v>
      </c>
      <c r="O73" s="40"/>
      <c r="P73" s="40"/>
      <c r="Q73" s="126" t="s">
        <v>6</v>
      </c>
      <c r="R73" s="126" t="s">
        <v>6</v>
      </c>
      <c r="S73" s="126" t="s">
        <v>6</v>
      </c>
      <c r="T73" s="126"/>
      <c r="U73" s="204"/>
      <c r="V73" s="204"/>
      <c r="W73" s="412" t="s">
        <v>133</v>
      </c>
      <c r="X73" s="13"/>
      <c r="Y73" s="13"/>
      <c r="Z73" s="61" t="s">
        <v>6</v>
      </c>
      <c r="AA73" s="61" t="s">
        <v>6</v>
      </c>
      <c r="AB73" s="413"/>
      <c r="AC73" s="415"/>
      <c r="AD73" s="415"/>
      <c r="AE73" s="412" t="s">
        <v>133</v>
      </c>
      <c r="AF73" s="13"/>
      <c r="AG73" s="13"/>
      <c r="AH73" s="61" t="s">
        <v>6</v>
      </c>
      <c r="AI73" s="61" t="s">
        <v>6</v>
      </c>
      <c r="AJ73" s="413"/>
      <c r="AK73" s="415"/>
      <c r="AL73" s="415"/>
      <c r="AM73" s="43"/>
      <c r="AN73" s="13"/>
      <c r="AO73" s="15"/>
      <c r="AP73" s="15"/>
      <c r="AQ73" s="15"/>
      <c r="AR73" s="15"/>
      <c r="AS73" s="15"/>
      <c r="AT73" s="15"/>
      <c r="AU73" s="15"/>
      <c r="AV73" s="19"/>
      <c r="AW73" s="18"/>
    </row>
    <row r="74" spans="1:87" s="12" customFormat="1" ht="15">
      <c r="A74" s="416">
        <f t="shared" si="0"/>
        <v>68</v>
      </c>
      <c r="B74" s="38"/>
      <c r="C74" s="42"/>
      <c r="D74" s="19"/>
      <c r="E74" s="19"/>
      <c r="F74" s="19"/>
      <c r="G74" s="19"/>
      <c r="H74" s="13"/>
      <c r="I74" s="13"/>
      <c r="J74" s="215" t="s">
        <v>5038</v>
      </c>
      <c r="K74" s="412" t="s">
        <v>117</v>
      </c>
      <c r="L74" s="215" t="s">
        <v>5039</v>
      </c>
      <c r="M74" s="215"/>
      <c r="N74" s="40" t="s">
        <v>504</v>
      </c>
      <c r="O74" s="40"/>
      <c r="P74" s="40"/>
      <c r="Q74" s="126" t="s">
        <v>6</v>
      </c>
      <c r="R74" s="126" t="s">
        <v>6</v>
      </c>
      <c r="S74" s="126" t="s">
        <v>6</v>
      </c>
      <c r="T74" s="40"/>
      <c r="U74" s="204"/>
      <c r="V74" s="204"/>
      <c r="W74" s="412" t="s">
        <v>133</v>
      </c>
      <c r="X74" s="13"/>
      <c r="Y74" s="13"/>
      <c r="Z74" s="61" t="s">
        <v>6</v>
      </c>
      <c r="AA74" s="61" t="s">
        <v>6</v>
      </c>
      <c r="AB74" s="413"/>
      <c r="AC74" s="415"/>
      <c r="AD74" s="415"/>
      <c r="AE74" s="412" t="s">
        <v>133</v>
      </c>
      <c r="AF74" s="13"/>
      <c r="AG74" s="13"/>
      <c r="AH74" s="61" t="s">
        <v>6</v>
      </c>
      <c r="AI74" s="61" t="s">
        <v>6</v>
      </c>
      <c r="AJ74" s="413"/>
      <c r="AK74" s="415"/>
      <c r="AL74" s="415"/>
      <c r="AM74" s="43"/>
      <c r="AN74" s="13"/>
      <c r="AO74" s="13"/>
      <c r="AP74" s="13"/>
      <c r="AQ74" s="13"/>
      <c r="AR74" s="13"/>
      <c r="AS74" s="13"/>
      <c r="AT74" s="13"/>
      <c r="AU74" s="13"/>
      <c r="AV74" s="13"/>
      <c r="AW74" s="18"/>
      <c r="AX74" s="16"/>
      <c r="AY74" s="17"/>
    </row>
    <row r="75" spans="1:87" s="12" customFormat="1" ht="15">
      <c r="A75" s="40">
        <f t="shared" si="0"/>
        <v>69</v>
      </c>
      <c r="B75" s="38"/>
      <c r="C75" s="42"/>
      <c r="D75" s="38"/>
      <c r="E75" s="46"/>
      <c r="F75" s="46"/>
      <c r="G75" s="46"/>
      <c r="H75" s="13"/>
      <c r="I75" s="40"/>
      <c r="J75" s="215" t="s">
        <v>5040</v>
      </c>
      <c r="K75" s="412" t="s">
        <v>117</v>
      </c>
      <c r="L75" s="215" t="s">
        <v>5041</v>
      </c>
      <c r="M75" s="215"/>
      <c r="N75" s="40" t="s">
        <v>504</v>
      </c>
      <c r="O75" s="40"/>
      <c r="P75" s="40"/>
      <c r="Q75" s="126" t="s">
        <v>6</v>
      </c>
      <c r="R75" s="126" t="s">
        <v>6</v>
      </c>
      <c r="S75" s="126" t="s">
        <v>6</v>
      </c>
      <c r="T75" s="40"/>
      <c r="U75" s="204"/>
      <c r="V75" s="204"/>
      <c r="W75" s="412" t="s">
        <v>133</v>
      </c>
      <c r="X75" s="40"/>
      <c r="Y75" s="413"/>
      <c r="Z75" s="61" t="s">
        <v>6</v>
      </c>
      <c r="AA75" s="61" t="s">
        <v>6</v>
      </c>
      <c r="AB75" s="413"/>
      <c r="AC75" s="413"/>
      <c r="AD75" s="413"/>
      <c r="AE75" s="412" t="s">
        <v>133</v>
      </c>
      <c r="AF75" s="40"/>
      <c r="AG75" s="413"/>
      <c r="AH75" s="61" t="s">
        <v>6</v>
      </c>
      <c r="AI75" s="61" t="s">
        <v>6</v>
      </c>
      <c r="AJ75" s="413"/>
      <c r="AK75" s="413"/>
      <c r="AL75" s="413"/>
      <c r="AM75" s="43"/>
      <c r="AN75" s="47"/>
      <c r="AO75" s="15"/>
      <c r="AP75" s="15"/>
      <c r="AQ75" s="15"/>
      <c r="AR75" s="15"/>
      <c r="AS75" s="15"/>
      <c r="AT75" s="15"/>
      <c r="AU75" s="15"/>
      <c r="AV75" s="13"/>
      <c r="AW75" s="18"/>
    </row>
    <row r="76" spans="1:87" s="12" customFormat="1" ht="15">
      <c r="A76" s="40">
        <f t="shared" si="0"/>
        <v>70</v>
      </c>
      <c r="B76" s="38"/>
      <c r="C76" s="42"/>
      <c r="D76" s="38"/>
      <c r="E76" s="46"/>
      <c r="F76" s="46"/>
      <c r="G76" s="46"/>
      <c r="H76" s="13"/>
      <c r="I76" s="40"/>
      <c r="J76" s="215" t="s">
        <v>5042</v>
      </c>
      <c r="K76" s="412" t="s">
        <v>117</v>
      </c>
      <c r="L76" s="215" t="s">
        <v>5043</v>
      </c>
      <c r="M76" s="215"/>
      <c r="N76" s="40" t="s">
        <v>504</v>
      </c>
      <c r="O76" s="40"/>
      <c r="P76" s="40"/>
      <c r="Q76" s="126" t="s">
        <v>6</v>
      </c>
      <c r="R76" s="126" t="s">
        <v>6</v>
      </c>
      <c r="S76" s="126" t="s">
        <v>6</v>
      </c>
      <c r="T76" s="40"/>
      <c r="U76" s="204"/>
      <c r="V76" s="204"/>
      <c r="W76" s="412" t="s">
        <v>133</v>
      </c>
      <c r="X76" s="40"/>
      <c r="Y76" s="13"/>
      <c r="Z76" s="61" t="s">
        <v>6</v>
      </c>
      <c r="AA76" s="61" t="s">
        <v>6</v>
      </c>
      <c r="AB76" s="413"/>
      <c r="AC76" s="413"/>
      <c r="AD76" s="413"/>
      <c r="AE76" s="412" t="s">
        <v>133</v>
      </c>
      <c r="AF76" s="40"/>
      <c r="AG76" s="13"/>
      <c r="AH76" s="61" t="s">
        <v>6</v>
      </c>
      <c r="AI76" s="61" t="s">
        <v>6</v>
      </c>
      <c r="AJ76" s="413"/>
      <c r="AK76" s="413"/>
      <c r="AL76" s="413"/>
      <c r="AM76" s="43"/>
      <c r="AN76" s="19"/>
      <c r="AO76" s="15"/>
      <c r="AP76" s="15"/>
      <c r="AQ76" s="15"/>
      <c r="AR76" s="15"/>
      <c r="AS76" s="15"/>
      <c r="AT76" s="15"/>
      <c r="AU76" s="15"/>
      <c r="AV76" s="13"/>
      <c r="AW76" s="18"/>
    </row>
    <row r="77" spans="1:87" s="12" customFormat="1" ht="15">
      <c r="A77" s="40">
        <f t="shared" si="0"/>
        <v>71</v>
      </c>
      <c r="B77" s="19"/>
      <c r="C77" s="41"/>
      <c r="D77" s="19"/>
      <c r="E77" s="19"/>
      <c r="F77" s="19"/>
      <c r="G77" s="19"/>
      <c r="H77" s="13"/>
      <c r="I77" s="13"/>
      <c r="J77" s="215" t="s">
        <v>5044</v>
      </c>
      <c r="K77" s="412" t="s">
        <v>117</v>
      </c>
      <c r="L77" s="215" t="s">
        <v>5045</v>
      </c>
      <c r="M77" s="215"/>
      <c r="N77" s="40" t="s">
        <v>504</v>
      </c>
      <c r="O77" s="40"/>
      <c r="P77" s="40"/>
      <c r="Q77" s="126" t="s">
        <v>6</v>
      </c>
      <c r="R77" s="126" t="s">
        <v>6</v>
      </c>
      <c r="S77" s="126" t="s">
        <v>6</v>
      </c>
      <c r="T77" s="40"/>
      <c r="U77" s="204"/>
      <c r="V77" s="204"/>
      <c r="W77" s="412" t="s">
        <v>133</v>
      </c>
      <c r="X77" s="13"/>
      <c r="Y77" s="13"/>
      <c r="Z77" s="61" t="s">
        <v>6</v>
      </c>
      <c r="AA77" s="61" t="s">
        <v>6</v>
      </c>
      <c r="AB77" s="413"/>
      <c r="AC77" s="415"/>
      <c r="AD77" s="415"/>
      <c r="AE77" s="412" t="s">
        <v>133</v>
      </c>
      <c r="AF77" s="13"/>
      <c r="AG77" s="13"/>
      <c r="AH77" s="61" t="s">
        <v>6</v>
      </c>
      <c r="AI77" s="61" t="s">
        <v>6</v>
      </c>
      <c r="AJ77" s="413"/>
      <c r="AK77" s="415"/>
      <c r="AL77" s="415"/>
      <c r="AM77" s="43"/>
      <c r="AN77" s="19"/>
      <c r="AO77" s="15"/>
      <c r="AP77" s="15"/>
      <c r="AQ77" s="15"/>
      <c r="AR77" s="15"/>
      <c r="AS77" s="15"/>
      <c r="AT77" s="15"/>
      <c r="AU77" s="15"/>
      <c r="AV77" s="15"/>
      <c r="AW77" s="18"/>
      <c r="AX77" s="16"/>
      <c r="AY77" s="17"/>
    </row>
    <row r="78" spans="1:87" s="12" customFormat="1" ht="15">
      <c r="A78" s="40">
        <f t="shared" si="0"/>
        <v>72</v>
      </c>
      <c r="B78" s="19"/>
      <c r="C78" s="41"/>
      <c r="D78" s="19"/>
      <c r="E78" s="19"/>
      <c r="F78" s="19"/>
      <c r="G78" s="19"/>
      <c r="H78" s="13"/>
      <c r="I78" s="13"/>
      <c r="J78" s="215" t="s">
        <v>5046</v>
      </c>
      <c r="K78" s="412" t="s">
        <v>117</v>
      </c>
      <c r="L78" s="215" t="s">
        <v>5047</v>
      </c>
      <c r="M78" s="215"/>
      <c r="N78" s="40" t="s">
        <v>504</v>
      </c>
      <c r="O78" s="40"/>
      <c r="P78" s="40"/>
      <c r="Q78" s="126" t="s">
        <v>6</v>
      </c>
      <c r="R78" s="126" t="s">
        <v>6</v>
      </c>
      <c r="S78" s="126" t="s">
        <v>6</v>
      </c>
      <c r="T78" s="126"/>
      <c r="U78" s="204"/>
      <c r="V78" s="204"/>
      <c r="W78" s="412" t="s">
        <v>133</v>
      </c>
      <c r="X78" s="13"/>
      <c r="Y78" s="43"/>
      <c r="Z78" s="61" t="s">
        <v>6</v>
      </c>
      <c r="AA78" s="61" t="s">
        <v>6</v>
      </c>
      <c r="AB78" s="415"/>
      <c r="AC78" s="415"/>
      <c r="AD78" s="415"/>
      <c r="AE78" s="412" t="s">
        <v>133</v>
      </c>
      <c r="AF78" s="13"/>
      <c r="AG78" s="43"/>
      <c r="AH78" s="61" t="s">
        <v>6</v>
      </c>
      <c r="AI78" s="61" t="s">
        <v>6</v>
      </c>
      <c r="AJ78" s="415"/>
      <c r="AK78" s="415"/>
      <c r="AL78" s="415"/>
      <c r="AM78" s="43"/>
      <c r="AN78" s="19"/>
      <c r="AO78" s="13"/>
      <c r="AP78" s="13"/>
      <c r="AQ78" s="13"/>
      <c r="AR78" s="13"/>
      <c r="AS78" s="13"/>
      <c r="AT78" s="13"/>
      <c r="AU78" s="15"/>
      <c r="AV78" s="15"/>
      <c r="AW78" s="18"/>
    </row>
    <row r="79" spans="1:87" s="12" customFormat="1" ht="15">
      <c r="A79" s="40">
        <f t="shared" si="0"/>
        <v>73</v>
      </c>
      <c r="B79" s="38"/>
      <c r="C79" s="41"/>
      <c r="D79" s="19"/>
      <c r="E79" s="19"/>
      <c r="F79" s="19"/>
      <c r="G79" s="19"/>
      <c r="H79" s="13"/>
      <c r="I79" s="13"/>
      <c r="J79" s="215" t="s">
        <v>5048</v>
      </c>
      <c r="K79" s="412" t="s">
        <v>117</v>
      </c>
      <c r="L79" s="215" t="s">
        <v>5049</v>
      </c>
      <c r="M79" s="215"/>
      <c r="N79" s="40" t="s">
        <v>504</v>
      </c>
      <c r="O79" s="40"/>
      <c r="P79" s="40"/>
      <c r="Q79" s="126" t="s">
        <v>6</v>
      </c>
      <c r="R79" s="126" t="s">
        <v>6</v>
      </c>
      <c r="S79" s="126" t="s">
        <v>6</v>
      </c>
      <c r="T79" s="126"/>
      <c r="U79" s="204"/>
      <c r="V79" s="204"/>
      <c r="W79" s="412" t="s">
        <v>133</v>
      </c>
      <c r="X79" s="13"/>
      <c r="Y79" s="43"/>
      <c r="Z79" s="61" t="s">
        <v>6</v>
      </c>
      <c r="AA79" s="61" t="s">
        <v>6</v>
      </c>
      <c r="AB79" s="413"/>
      <c r="AC79" s="415"/>
      <c r="AD79" s="415"/>
      <c r="AE79" s="412" t="s">
        <v>133</v>
      </c>
      <c r="AF79" s="13"/>
      <c r="AG79" s="43"/>
      <c r="AH79" s="61" t="s">
        <v>6</v>
      </c>
      <c r="AI79" s="61" t="s">
        <v>6</v>
      </c>
      <c r="AJ79" s="413"/>
      <c r="AK79" s="415"/>
      <c r="AL79" s="415"/>
      <c r="AM79" s="43"/>
      <c r="AN79" s="19"/>
      <c r="AO79" s="15"/>
      <c r="AP79" s="15"/>
      <c r="AQ79" s="15"/>
      <c r="AR79" s="15"/>
      <c r="AS79" s="15"/>
      <c r="AT79" s="15"/>
      <c r="AU79" s="15"/>
      <c r="AV79" s="13"/>
      <c r="AW79" s="18"/>
    </row>
    <row r="80" spans="1:87" s="12" customFormat="1" ht="15">
      <c r="A80" s="416">
        <f t="shared" si="0"/>
        <v>74</v>
      </c>
      <c r="B80" s="38"/>
      <c r="C80" s="41"/>
      <c r="D80" s="19"/>
      <c r="E80" s="19"/>
      <c r="F80" s="19"/>
      <c r="G80" s="19"/>
      <c r="H80" s="13"/>
      <c r="I80" s="13"/>
      <c r="J80" s="215" t="s">
        <v>5050</v>
      </c>
      <c r="K80" s="412" t="s">
        <v>117</v>
      </c>
      <c r="L80" s="215" t="s">
        <v>5051</v>
      </c>
      <c r="M80" s="215"/>
      <c r="N80" s="40" t="s">
        <v>504</v>
      </c>
      <c r="O80" s="40"/>
      <c r="P80" s="40"/>
      <c r="Q80" s="126" t="s">
        <v>6</v>
      </c>
      <c r="R80" s="126" t="s">
        <v>6</v>
      </c>
      <c r="S80" s="126" t="s">
        <v>6</v>
      </c>
      <c r="T80" s="126"/>
      <c r="U80" s="204"/>
      <c r="V80" s="204"/>
      <c r="W80" s="412" t="s">
        <v>133</v>
      </c>
      <c r="X80" s="13"/>
      <c r="Y80" s="13"/>
      <c r="Z80" s="61" t="s">
        <v>6</v>
      </c>
      <c r="AA80" s="61" t="s">
        <v>6</v>
      </c>
      <c r="AB80" s="413"/>
      <c r="AC80" s="415"/>
      <c r="AD80" s="415"/>
      <c r="AE80" s="412" t="s">
        <v>133</v>
      </c>
      <c r="AF80" s="13"/>
      <c r="AG80" s="13"/>
      <c r="AH80" s="61" t="s">
        <v>6</v>
      </c>
      <c r="AI80" s="61" t="s">
        <v>6</v>
      </c>
      <c r="AJ80" s="413"/>
      <c r="AK80" s="415"/>
      <c r="AL80" s="415"/>
      <c r="AM80" s="43"/>
      <c r="AN80" s="13"/>
      <c r="AO80" s="15"/>
      <c r="AP80" s="15"/>
      <c r="AQ80" s="15"/>
      <c r="AR80" s="15"/>
      <c r="AS80" s="15"/>
      <c r="AT80" s="15"/>
      <c r="AU80" s="15"/>
      <c r="AV80" s="19"/>
      <c r="AW80" s="18"/>
    </row>
    <row r="81" spans="1:87" s="20" customFormat="1" ht="15">
      <c r="A81" s="40">
        <f t="shared" si="0"/>
        <v>75</v>
      </c>
      <c r="B81" s="38"/>
      <c r="C81" s="41"/>
      <c r="D81" s="38"/>
      <c r="E81" s="46"/>
      <c r="F81" s="46"/>
      <c r="G81" s="46"/>
      <c r="H81" s="13"/>
      <c r="I81" s="40"/>
      <c r="J81" s="215" t="s">
        <v>5052</v>
      </c>
      <c r="K81" s="412" t="s">
        <v>117</v>
      </c>
      <c r="L81" s="215" t="s">
        <v>5053</v>
      </c>
      <c r="M81" s="215"/>
      <c r="N81" s="40" t="s">
        <v>504</v>
      </c>
      <c r="O81" s="40"/>
      <c r="P81" s="40"/>
      <c r="Q81" s="126" t="s">
        <v>6</v>
      </c>
      <c r="R81" s="126" t="s">
        <v>6</v>
      </c>
      <c r="S81" s="126" t="s">
        <v>6</v>
      </c>
      <c r="T81" s="126"/>
      <c r="U81" s="204"/>
      <c r="V81" s="204"/>
      <c r="W81" s="412" t="s">
        <v>133</v>
      </c>
      <c r="X81" s="13"/>
      <c r="Y81" s="13"/>
      <c r="Z81" s="61" t="s">
        <v>6</v>
      </c>
      <c r="AA81" s="61" t="s">
        <v>6</v>
      </c>
      <c r="AB81" s="413"/>
      <c r="AC81" s="413"/>
      <c r="AD81" s="413"/>
      <c r="AE81" s="412" t="s">
        <v>133</v>
      </c>
      <c r="AF81" s="13"/>
      <c r="AG81" s="13"/>
      <c r="AH81" s="61" t="s">
        <v>6</v>
      </c>
      <c r="AI81" s="61" t="s">
        <v>6</v>
      </c>
      <c r="AJ81" s="413"/>
      <c r="AK81" s="413"/>
      <c r="AL81" s="413"/>
      <c r="AM81" s="43"/>
      <c r="AN81" s="19"/>
      <c r="AO81" s="13"/>
      <c r="AP81" s="13"/>
      <c r="AQ81" s="13"/>
      <c r="AR81" s="13"/>
      <c r="AS81" s="13"/>
      <c r="AT81" s="13"/>
      <c r="AU81" s="13"/>
      <c r="AV81" s="19"/>
      <c r="AW81" s="18"/>
    </row>
    <row r="82" spans="1:87" s="20" customFormat="1" ht="15">
      <c r="A82" s="40">
        <f t="shared" si="0"/>
        <v>76</v>
      </c>
      <c r="B82" s="38"/>
      <c r="C82" s="41"/>
      <c r="D82" s="38"/>
      <c r="E82" s="46"/>
      <c r="F82" s="46"/>
      <c r="G82" s="46"/>
      <c r="H82" s="13"/>
      <c r="I82" s="40"/>
      <c r="J82" s="215" t="s">
        <v>5054</v>
      </c>
      <c r="K82" s="412" t="s">
        <v>117</v>
      </c>
      <c r="L82" s="215" t="s">
        <v>5055</v>
      </c>
      <c r="M82" s="215"/>
      <c r="N82" s="40" t="s">
        <v>504</v>
      </c>
      <c r="O82" s="40"/>
      <c r="P82" s="40"/>
      <c r="Q82" s="126" t="s">
        <v>6</v>
      </c>
      <c r="R82" s="126" t="s">
        <v>6</v>
      </c>
      <c r="S82" s="126" t="s">
        <v>6</v>
      </c>
      <c r="T82" s="126"/>
      <c r="U82" s="204"/>
      <c r="V82" s="204"/>
      <c r="W82" s="412" t="s">
        <v>133</v>
      </c>
      <c r="X82" s="13"/>
      <c r="Y82" s="13"/>
      <c r="Z82" s="61" t="s">
        <v>6</v>
      </c>
      <c r="AA82" s="61" t="s">
        <v>6</v>
      </c>
      <c r="AB82" s="413"/>
      <c r="AC82" s="413"/>
      <c r="AD82" s="413"/>
      <c r="AE82" s="412" t="s">
        <v>133</v>
      </c>
      <c r="AF82" s="13"/>
      <c r="AG82" s="13"/>
      <c r="AH82" s="61" t="s">
        <v>6</v>
      </c>
      <c r="AI82" s="61" t="s">
        <v>6</v>
      </c>
      <c r="AJ82" s="413"/>
      <c r="AK82" s="413"/>
      <c r="AL82" s="413"/>
      <c r="AM82" s="43"/>
      <c r="AN82" s="19"/>
      <c r="AO82" s="13"/>
      <c r="AP82" s="13"/>
      <c r="AQ82" s="13"/>
      <c r="AR82" s="13"/>
      <c r="AS82" s="13"/>
      <c r="AT82" s="13"/>
      <c r="AU82" s="13"/>
      <c r="AV82" s="19"/>
      <c r="AW82" s="18"/>
    </row>
    <row r="83" spans="1:87" s="20" customFormat="1" ht="15">
      <c r="A83" s="40">
        <f t="shared" si="0"/>
        <v>77</v>
      </c>
      <c r="B83" s="38"/>
      <c r="C83" s="41"/>
      <c r="D83" s="38"/>
      <c r="E83" s="46"/>
      <c r="F83" s="46"/>
      <c r="G83" s="46"/>
      <c r="H83" s="13"/>
      <c r="I83" s="13"/>
      <c r="J83" s="215" t="s">
        <v>5056</v>
      </c>
      <c r="K83" s="412" t="s">
        <v>117</v>
      </c>
      <c r="L83" s="215" t="s">
        <v>5057</v>
      </c>
      <c r="M83" s="215"/>
      <c r="N83" s="40" t="s">
        <v>504</v>
      </c>
      <c r="O83" s="40"/>
      <c r="P83" s="40"/>
      <c r="Q83" s="126" t="s">
        <v>6</v>
      </c>
      <c r="R83" s="126" t="s">
        <v>6</v>
      </c>
      <c r="S83" s="126" t="s">
        <v>6</v>
      </c>
      <c r="T83" s="126"/>
      <c r="U83" s="204"/>
      <c r="V83" s="204"/>
      <c r="W83" s="412" t="s">
        <v>133</v>
      </c>
      <c r="X83" s="13"/>
      <c r="Y83" s="13"/>
      <c r="Z83" s="61" t="s">
        <v>6</v>
      </c>
      <c r="AA83" s="61" t="s">
        <v>6</v>
      </c>
      <c r="AB83" s="413"/>
      <c r="AC83" s="413"/>
      <c r="AD83" s="413"/>
      <c r="AE83" s="412" t="s">
        <v>133</v>
      </c>
      <c r="AF83" s="13"/>
      <c r="AG83" s="13"/>
      <c r="AH83" s="61" t="s">
        <v>6</v>
      </c>
      <c r="AI83" s="61" t="s">
        <v>6</v>
      </c>
      <c r="AJ83" s="413"/>
      <c r="AK83" s="413"/>
      <c r="AL83" s="413"/>
      <c r="AM83" s="43"/>
      <c r="AN83" s="19"/>
      <c r="AO83" s="43"/>
      <c r="AP83" s="43"/>
      <c r="AQ83" s="43"/>
      <c r="AR83" s="43"/>
      <c r="AS83" s="43"/>
      <c r="AT83" s="43"/>
      <c r="AU83" s="43"/>
      <c r="AV83" s="19"/>
      <c r="AW83" s="18"/>
    </row>
    <row r="84" spans="1:87" s="20" customFormat="1" ht="15">
      <c r="A84" s="40">
        <f t="shared" si="0"/>
        <v>78</v>
      </c>
      <c r="B84" s="19"/>
      <c r="C84" s="41"/>
      <c r="D84" s="19"/>
      <c r="E84" s="19"/>
      <c r="F84" s="19"/>
      <c r="G84" s="19"/>
      <c r="H84" s="13"/>
      <c r="I84" s="13"/>
      <c r="J84" s="215" t="s">
        <v>5058</v>
      </c>
      <c r="K84" s="412" t="s">
        <v>122</v>
      </c>
      <c r="L84" s="215" t="s">
        <v>5059</v>
      </c>
      <c r="M84" s="215"/>
      <c r="N84" s="40" t="s">
        <v>873</v>
      </c>
      <c r="O84" s="40"/>
      <c r="P84" s="40"/>
      <c r="Q84" s="126" t="s">
        <v>6</v>
      </c>
      <c r="R84" s="126" t="s">
        <v>6</v>
      </c>
      <c r="S84" s="126" t="s">
        <v>6</v>
      </c>
      <c r="T84" s="40"/>
      <c r="U84" s="204" t="s">
        <v>802</v>
      </c>
      <c r="V84" s="204"/>
      <c r="W84" s="412" t="s">
        <v>133</v>
      </c>
      <c r="X84" s="13"/>
      <c r="Y84" s="13"/>
      <c r="Z84" s="61" t="s">
        <v>6</v>
      </c>
      <c r="AA84" s="61" t="s">
        <v>6</v>
      </c>
      <c r="AB84" s="413"/>
      <c r="AC84" s="415"/>
      <c r="AD84" s="415"/>
      <c r="AE84" s="412" t="s">
        <v>133</v>
      </c>
      <c r="AF84" s="13"/>
      <c r="AG84" s="13"/>
      <c r="AH84" s="61" t="s">
        <v>6</v>
      </c>
      <c r="AI84" s="61" t="s">
        <v>6</v>
      </c>
      <c r="AJ84" s="413"/>
      <c r="AK84" s="415"/>
      <c r="AL84" s="415"/>
      <c r="AM84" s="43"/>
      <c r="AN84" s="13"/>
      <c r="AO84" s="15"/>
      <c r="AP84" s="15"/>
      <c r="AQ84" s="15"/>
      <c r="AR84" s="15"/>
      <c r="AS84" s="15"/>
      <c r="AT84" s="15"/>
      <c r="AU84" s="13"/>
      <c r="AV84" s="15"/>
      <c r="AW84" s="18"/>
    </row>
    <row r="85" spans="1:87" s="12" customFormat="1" ht="15">
      <c r="A85" s="40">
        <f t="shared" si="0"/>
        <v>79</v>
      </c>
      <c r="B85" s="19"/>
      <c r="C85" s="41"/>
      <c r="D85" s="19"/>
      <c r="E85" s="19"/>
      <c r="F85" s="19"/>
      <c r="G85" s="19"/>
      <c r="H85" s="13"/>
      <c r="I85" s="13"/>
      <c r="J85" s="215" t="s">
        <v>5060</v>
      </c>
      <c r="K85" s="412" t="s">
        <v>117</v>
      </c>
      <c r="L85" s="215" t="s">
        <v>5061</v>
      </c>
      <c r="M85" s="215"/>
      <c r="N85" s="40" t="s">
        <v>504</v>
      </c>
      <c r="O85" s="40"/>
      <c r="P85" s="40"/>
      <c r="Q85" s="126" t="s">
        <v>6</v>
      </c>
      <c r="R85" s="126" t="s">
        <v>6</v>
      </c>
      <c r="S85" s="126" t="s">
        <v>6</v>
      </c>
      <c r="T85" s="126"/>
      <c r="U85" s="204"/>
      <c r="V85" s="204"/>
      <c r="W85" s="412" t="s">
        <v>133</v>
      </c>
      <c r="X85" s="13"/>
      <c r="Y85" s="13"/>
      <c r="Z85" s="61" t="s">
        <v>6</v>
      </c>
      <c r="AA85" s="61" t="s">
        <v>6</v>
      </c>
      <c r="AB85" s="13"/>
      <c r="AC85" s="40"/>
      <c r="AD85" s="40"/>
      <c r="AE85" s="412" t="s">
        <v>133</v>
      </c>
      <c r="AF85" s="13"/>
      <c r="AG85" s="13"/>
      <c r="AH85" s="61" t="s">
        <v>6</v>
      </c>
      <c r="AI85" s="61" t="s">
        <v>6</v>
      </c>
      <c r="AJ85" s="13"/>
      <c r="AK85" s="40"/>
      <c r="AL85" s="40"/>
      <c r="AM85" s="43"/>
      <c r="AN85" s="13"/>
      <c r="AO85" s="13"/>
      <c r="AP85" s="13"/>
      <c r="AQ85" s="13"/>
      <c r="AR85" s="13"/>
      <c r="AS85" s="13"/>
      <c r="AT85" s="13"/>
      <c r="AU85" s="15"/>
      <c r="AV85" s="15"/>
      <c r="AW85" s="18"/>
    </row>
    <row r="86" spans="1:87" s="12" customFormat="1" ht="26.4">
      <c r="A86" s="416">
        <f t="shared" si="0"/>
        <v>80</v>
      </c>
      <c r="B86" s="19"/>
      <c r="C86" s="41"/>
      <c r="D86" s="19"/>
      <c r="E86" s="19"/>
      <c r="F86" s="19"/>
      <c r="G86" s="19"/>
      <c r="H86" s="13"/>
      <c r="I86" s="13"/>
      <c r="J86" s="215" t="s">
        <v>5062</v>
      </c>
      <c r="K86" s="412" t="s">
        <v>120</v>
      </c>
      <c r="L86" s="215" t="s">
        <v>5063</v>
      </c>
      <c r="M86" s="215"/>
      <c r="N86" s="40" t="s">
        <v>873</v>
      </c>
      <c r="O86" s="40"/>
      <c r="P86" s="40"/>
      <c r="Q86" s="126" t="s">
        <v>6</v>
      </c>
      <c r="R86" s="126" t="s">
        <v>6</v>
      </c>
      <c r="S86" s="126" t="s">
        <v>6</v>
      </c>
      <c r="T86" s="40"/>
      <c r="U86" s="244" t="s">
        <v>5064</v>
      </c>
      <c r="V86" s="204"/>
      <c r="W86" s="412" t="s">
        <v>123</v>
      </c>
      <c r="X86" s="13"/>
      <c r="Y86" s="13"/>
      <c r="Z86" s="61" t="s">
        <v>6</v>
      </c>
      <c r="AA86" s="61" t="s">
        <v>6</v>
      </c>
      <c r="AB86" s="13"/>
      <c r="AC86" s="40"/>
      <c r="AD86" s="40"/>
      <c r="AE86" s="412" t="s">
        <v>123</v>
      </c>
      <c r="AF86" s="13"/>
      <c r="AG86" s="13"/>
      <c r="AH86" s="61" t="s">
        <v>6</v>
      </c>
      <c r="AI86" s="61" t="s">
        <v>6</v>
      </c>
      <c r="AJ86" s="13"/>
      <c r="AK86" s="40"/>
      <c r="AL86" s="40"/>
      <c r="AM86" s="43"/>
      <c r="AN86" s="13"/>
      <c r="AO86" s="13"/>
      <c r="AP86" s="13"/>
      <c r="AQ86" s="13"/>
      <c r="AR86" s="13"/>
      <c r="AS86" s="13"/>
      <c r="AT86" s="13"/>
      <c r="AU86" s="15"/>
      <c r="AV86" s="15"/>
      <c r="AW86" s="18"/>
    </row>
    <row r="87" spans="1:87" s="12" customFormat="1" ht="39.6">
      <c r="A87" s="40">
        <f t="shared" si="0"/>
        <v>81</v>
      </c>
      <c r="B87" s="38"/>
      <c r="C87" s="41"/>
      <c r="D87" s="33"/>
      <c r="E87" s="39"/>
      <c r="F87" s="39"/>
      <c r="G87" s="39"/>
      <c r="H87" s="414"/>
      <c r="I87" s="40"/>
      <c r="J87" s="215" t="s">
        <v>5065</v>
      </c>
      <c r="K87" s="412" t="s">
        <v>120</v>
      </c>
      <c r="L87" s="215" t="s">
        <v>5066</v>
      </c>
      <c r="M87" s="215"/>
      <c r="N87" s="40" t="s">
        <v>873</v>
      </c>
      <c r="O87" s="40"/>
      <c r="P87" s="40"/>
      <c r="Q87" s="126" t="s">
        <v>6</v>
      </c>
      <c r="R87" s="126" t="s">
        <v>6</v>
      </c>
      <c r="S87" s="126" t="s">
        <v>6</v>
      </c>
      <c r="T87" s="40"/>
      <c r="U87" s="204" t="s">
        <v>802</v>
      </c>
      <c r="V87" s="204"/>
      <c r="W87" s="412" t="s">
        <v>123</v>
      </c>
      <c r="X87" s="40"/>
      <c r="Y87" s="13"/>
      <c r="Z87" s="61" t="s">
        <v>6</v>
      </c>
      <c r="AA87" s="61" t="s">
        <v>6</v>
      </c>
      <c r="AB87" s="13"/>
      <c r="AC87" s="13"/>
      <c r="AD87" s="13"/>
      <c r="AE87" s="412" t="s">
        <v>123</v>
      </c>
      <c r="AF87" s="40"/>
      <c r="AG87" s="13"/>
      <c r="AH87" s="61" t="s">
        <v>6</v>
      </c>
      <c r="AI87" s="61" t="s">
        <v>6</v>
      </c>
      <c r="AJ87" s="13"/>
      <c r="AK87" s="13"/>
      <c r="AL87" s="13"/>
      <c r="AM87" s="198" t="s">
        <v>5067</v>
      </c>
      <c r="AN87" s="412" t="s">
        <v>505</v>
      </c>
      <c r="AO87" s="37"/>
      <c r="AP87" s="37"/>
      <c r="AQ87" s="37"/>
      <c r="AR87" s="37"/>
      <c r="AS87" s="37"/>
      <c r="AT87" s="37"/>
      <c r="AU87" s="13"/>
      <c r="AV87" s="13"/>
      <c r="AW87" s="18"/>
    </row>
    <row r="88" spans="1:87" s="12" customFormat="1" ht="39.6">
      <c r="A88" s="40">
        <f t="shared" si="0"/>
        <v>82</v>
      </c>
      <c r="B88" s="38"/>
      <c r="C88" s="41"/>
      <c r="D88" s="33"/>
      <c r="E88" s="39"/>
      <c r="F88" s="39"/>
      <c r="G88" s="39"/>
      <c r="H88" s="414"/>
      <c r="I88" s="40"/>
      <c r="J88" s="215" t="s">
        <v>5068</v>
      </c>
      <c r="K88" s="412" t="s">
        <v>120</v>
      </c>
      <c r="L88" s="215" t="s">
        <v>5066</v>
      </c>
      <c r="M88" s="215"/>
      <c r="N88" s="40" t="s">
        <v>873</v>
      </c>
      <c r="O88" s="40"/>
      <c r="P88" s="40"/>
      <c r="Q88" s="126" t="s">
        <v>6</v>
      </c>
      <c r="R88" s="126" t="s">
        <v>6</v>
      </c>
      <c r="S88" s="126" t="s">
        <v>6</v>
      </c>
      <c r="T88" s="40"/>
      <c r="U88" s="204" t="s">
        <v>5069</v>
      </c>
      <c r="V88" s="204"/>
      <c r="W88" s="412" t="s">
        <v>123</v>
      </c>
      <c r="X88" s="40"/>
      <c r="Y88" s="13"/>
      <c r="Z88" s="61" t="s">
        <v>6</v>
      </c>
      <c r="AA88" s="61" t="s">
        <v>6</v>
      </c>
      <c r="AB88" s="13"/>
      <c r="AC88" s="13"/>
      <c r="AD88" s="13"/>
      <c r="AE88" s="412" t="s">
        <v>123</v>
      </c>
      <c r="AF88" s="40"/>
      <c r="AG88" s="13"/>
      <c r="AH88" s="61" t="s">
        <v>6</v>
      </c>
      <c r="AI88" s="61" t="s">
        <v>6</v>
      </c>
      <c r="AJ88" s="13"/>
      <c r="AK88" s="13"/>
      <c r="AL88" s="13"/>
      <c r="AM88" s="198" t="s">
        <v>5067</v>
      </c>
      <c r="AN88" s="412" t="s">
        <v>505</v>
      </c>
      <c r="AO88" s="37"/>
      <c r="AP88" s="37"/>
      <c r="AQ88" s="37"/>
      <c r="AR88" s="37"/>
      <c r="AS88" s="37"/>
      <c r="AT88" s="37"/>
      <c r="AU88" s="13"/>
      <c r="AV88" s="13"/>
      <c r="AW88" s="18"/>
    </row>
    <row r="89" spans="1:87" s="14" customFormat="1" ht="39.6">
      <c r="A89" s="40">
        <f t="shared" si="0"/>
        <v>83</v>
      </c>
      <c r="B89" s="38"/>
      <c r="C89" s="42"/>
      <c r="D89" s="19"/>
      <c r="E89" s="19"/>
      <c r="F89" s="35"/>
      <c r="G89" s="35"/>
      <c r="H89" s="414"/>
      <c r="I89" s="13"/>
      <c r="J89" s="215" t="s">
        <v>5070</v>
      </c>
      <c r="K89" s="412" t="s">
        <v>117</v>
      </c>
      <c r="L89" s="215" t="s">
        <v>5071</v>
      </c>
      <c r="M89" s="215"/>
      <c r="N89" s="40" t="s">
        <v>504</v>
      </c>
      <c r="O89" s="40"/>
      <c r="P89" s="40"/>
      <c r="Q89" s="126" t="s">
        <v>6</v>
      </c>
      <c r="R89" s="126" t="s">
        <v>6</v>
      </c>
      <c r="S89" s="126" t="s">
        <v>6</v>
      </c>
      <c r="T89" s="40"/>
      <c r="U89" s="204" t="s">
        <v>802</v>
      </c>
      <c r="V89" s="204"/>
      <c r="W89" s="412" t="s">
        <v>133</v>
      </c>
      <c r="X89" s="13"/>
      <c r="Y89" s="13"/>
      <c r="Z89" s="61" t="s">
        <v>6</v>
      </c>
      <c r="AA89" s="61" t="s">
        <v>6</v>
      </c>
      <c r="AB89" s="13"/>
      <c r="AC89" s="40"/>
      <c r="AD89" s="40"/>
      <c r="AE89" s="412" t="s">
        <v>133</v>
      </c>
      <c r="AF89" s="13"/>
      <c r="AG89" s="13"/>
      <c r="AH89" s="61" t="s">
        <v>6</v>
      </c>
      <c r="AI89" s="61" t="s">
        <v>6</v>
      </c>
      <c r="AJ89" s="13"/>
      <c r="AK89" s="40"/>
      <c r="AL89" s="40"/>
      <c r="AM89" s="198" t="s">
        <v>5072</v>
      </c>
      <c r="AN89" s="412" t="s">
        <v>505</v>
      </c>
      <c r="AO89" s="13"/>
      <c r="AP89" s="13"/>
      <c r="AQ89" s="13"/>
      <c r="AR89" s="13"/>
      <c r="AS89" s="13"/>
      <c r="AT89" s="13"/>
      <c r="AU89" s="13"/>
      <c r="AV89" s="13"/>
      <c r="AW89" s="18"/>
    </row>
    <row r="90" spans="1:87" s="14" customFormat="1" ht="39.6">
      <c r="A90" s="40">
        <f t="shared" si="0"/>
        <v>84</v>
      </c>
      <c r="B90" s="38"/>
      <c r="C90" s="42"/>
      <c r="D90" s="19"/>
      <c r="E90" s="19"/>
      <c r="F90" s="35"/>
      <c r="G90" s="35"/>
      <c r="H90" s="414"/>
      <c r="I90" s="13"/>
      <c r="J90" s="215" t="s">
        <v>5073</v>
      </c>
      <c r="K90" s="412" t="s">
        <v>117</v>
      </c>
      <c r="L90" s="215" t="s">
        <v>5071</v>
      </c>
      <c r="M90" s="215"/>
      <c r="N90" s="40" t="s">
        <v>504</v>
      </c>
      <c r="O90" s="40"/>
      <c r="P90" s="40"/>
      <c r="Q90" s="126" t="s">
        <v>6</v>
      </c>
      <c r="R90" s="126" t="s">
        <v>6</v>
      </c>
      <c r="S90" s="126" t="s">
        <v>6</v>
      </c>
      <c r="T90" s="40"/>
      <c r="U90" s="204" t="s">
        <v>5069</v>
      </c>
      <c r="V90" s="204"/>
      <c r="W90" s="412" t="s">
        <v>133</v>
      </c>
      <c r="X90" s="13"/>
      <c r="Y90" s="413"/>
      <c r="Z90" s="61" t="s">
        <v>6</v>
      </c>
      <c r="AA90" s="61" t="s">
        <v>6</v>
      </c>
      <c r="AB90" s="413"/>
      <c r="AC90" s="415"/>
      <c r="AD90" s="415"/>
      <c r="AE90" s="412" t="s">
        <v>133</v>
      </c>
      <c r="AF90" s="13"/>
      <c r="AG90" s="413"/>
      <c r="AH90" s="61" t="s">
        <v>6</v>
      </c>
      <c r="AI90" s="61" t="s">
        <v>6</v>
      </c>
      <c r="AJ90" s="413"/>
      <c r="AK90" s="415"/>
      <c r="AL90" s="415"/>
      <c r="AM90" s="198" t="s">
        <v>5072</v>
      </c>
      <c r="AN90" s="412" t="s">
        <v>505</v>
      </c>
      <c r="AO90" s="13"/>
      <c r="AP90" s="13"/>
      <c r="AQ90" s="13"/>
      <c r="AR90" s="13"/>
      <c r="AS90" s="13"/>
      <c r="AT90" s="13"/>
      <c r="AU90" s="13"/>
      <c r="AV90" s="13"/>
      <c r="AW90" s="18"/>
    </row>
    <row r="91" spans="1:87" s="12" customFormat="1" ht="26.4">
      <c r="A91" s="40">
        <f t="shared" si="0"/>
        <v>85</v>
      </c>
      <c r="B91" s="38"/>
      <c r="C91" s="42"/>
      <c r="D91" s="19"/>
      <c r="E91" s="19"/>
      <c r="F91" s="19"/>
      <c r="G91" s="19"/>
      <c r="H91" s="13"/>
      <c r="I91" s="13"/>
      <c r="J91" s="215" t="s">
        <v>5074</v>
      </c>
      <c r="K91" s="412" t="s">
        <v>117</v>
      </c>
      <c r="L91" s="204" t="s">
        <v>5075</v>
      </c>
      <c r="M91" s="204"/>
      <c r="N91" s="40" t="s">
        <v>504</v>
      </c>
      <c r="O91" s="40"/>
      <c r="P91" s="40"/>
      <c r="Q91" s="126" t="s">
        <v>6</v>
      </c>
      <c r="R91" s="126" t="s">
        <v>6</v>
      </c>
      <c r="S91" s="126" t="s">
        <v>6</v>
      </c>
      <c r="T91" s="126"/>
      <c r="U91" s="204" t="s">
        <v>5069</v>
      </c>
      <c r="V91" s="204"/>
      <c r="W91" s="412" t="s">
        <v>133</v>
      </c>
      <c r="X91" s="13"/>
      <c r="Y91" s="13"/>
      <c r="Z91" s="61" t="s">
        <v>6</v>
      </c>
      <c r="AA91" s="61" t="s">
        <v>6</v>
      </c>
      <c r="AB91" s="13"/>
      <c r="AC91" s="40"/>
      <c r="AD91" s="40"/>
      <c r="AE91" s="412" t="s">
        <v>133</v>
      </c>
      <c r="AF91" s="13"/>
      <c r="AG91" s="13"/>
      <c r="AH91" s="61" t="s">
        <v>6</v>
      </c>
      <c r="AI91" s="61" t="s">
        <v>6</v>
      </c>
      <c r="AJ91" s="13"/>
      <c r="AK91" s="40"/>
      <c r="AL91" s="40"/>
      <c r="AM91" s="43"/>
      <c r="AN91" s="13"/>
      <c r="AO91" s="13"/>
      <c r="AP91" s="13"/>
      <c r="AQ91" s="13"/>
      <c r="AR91" s="13"/>
      <c r="AS91" s="13"/>
      <c r="AT91" s="13"/>
      <c r="AU91" s="13"/>
      <c r="AV91" s="13"/>
      <c r="AW91" s="18"/>
    </row>
    <row r="92" spans="1:87" s="12" customFormat="1" ht="26.4">
      <c r="A92" s="416">
        <f t="shared" si="0"/>
        <v>86</v>
      </c>
      <c r="B92" s="19"/>
      <c r="C92" s="41"/>
      <c r="D92" s="19"/>
      <c r="E92" s="19"/>
      <c r="F92" s="19"/>
      <c r="G92" s="19"/>
      <c r="H92" s="13"/>
      <c r="I92" s="13"/>
      <c r="J92" s="215" t="s">
        <v>5076</v>
      </c>
      <c r="K92" s="215" t="s">
        <v>132</v>
      </c>
      <c r="L92" s="215" t="s">
        <v>5077</v>
      </c>
      <c r="M92" s="215"/>
      <c r="N92" s="40" t="s">
        <v>504</v>
      </c>
      <c r="O92" s="40"/>
      <c r="P92" s="40"/>
      <c r="Q92" s="126" t="s">
        <v>6</v>
      </c>
      <c r="R92" s="126" t="s">
        <v>6</v>
      </c>
      <c r="S92" s="126" t="s">
        <v>6</v>
      </c>
      <c r="T92" s="126"/>
      <c r="U92" s="204" t="s">
        <v>5069</v>
      </c>
      <c r="V92" s="204"/>
      <c r="W92" s="215" t="s">
        <v>133</v>
      </c>
      <c r="X92" s="13"/>
      <c r="Y92" s="13"/>
      <c r="Z92" s="61" t="s">
        <v>6</v>
      </c>
      <c r="AA92" s="61" t="s">
        <v>6</v>
      </c>
      <c r="AB92" s="413"/>
      <c r="AC92" s="415"/>
      <c r="AD92" s="415"/>
      <c r="AE92" s="215" t="s">
        <v>133</v>
      </c>
      <c r="AF92" s="13"/>
      <c r="AG92" s="13"/>
      <c r="AH92" s="61" t="s">
        <v>6</v>
      </c>
      <c r="AI92" s="61" t="s">
        <v>6</v>
      </c>
      <c r="AJ92" s="413"/>
      <c r="AK92" s="415"/>
      <c r="AL92" s="415"/>
      <c r="AM92" s="43"/>
      <c r="AN92" s="19"/>
      <c r="AO92" s="15"/>
      <c r="AP92" s="15"/>
      <c r="AQ92" s="15"/>
      <c r="AR92" s="15"/>
      <c r="AS92" s="15"/>
      <c r="AT92" s="15"/>
      <c r="AU92" s="13"/>
      <c r="AV92" s="15"/>
      <c r="AW92" s="18"/>
    </row>
    <row r="93" spans="1:87" s="18" customFormat="1" ht="15">
      <c r="A93" s="40">
        <f t="shared" si="0"/>
        <v>87</v>
      </c>
      <c r="B93" s="19"/>
      <c r="C93" s="41"/>
      <c r="D93" s="19"/>
      <c r="E93" s="19"/>
      <c r="F93" s="19"/>
      <c r="G93" s="19"/>
      <c r="H93" s="13"/>
      <c r="I93" s="13"/>
      <c r="J93" s="215" t="s">
        <v>5078</v>
      </c>
      <c r="K93" s="412" t="s">
        <v>117</v>
      </c>
      <c r="L93" s="215" t="s">
        <v>5079</v>
      </c>
      <c r="M93" s="215"/>
      <c r="N93" s="40" t="s">
        <v>504</v>
      </c>
      <c r="O93" s="40"/>
      <c r="P93" s="40"/>
      <c r="Q93" s="126" t="s">
        <v>6</v>
      </c>
      <c r="R93" s="126" t="s">
        <v>6</v>
      </c>
      <c r="S93" s="126" t="s">
        <v>6</v>
      </c>
      <c r="T93" s="40"/>
      <c r="U93" s="244"/>
      <c r="V93" s="204"/>
      <c r="W93" s="412" t="s">
        <v>133</v>
      </c>
      <c r="X93" s="13"/>
      <c r="Y93" s="13"/>
      <c r="Z93" s="61" t="s">
        <v>6</v>
      </c>
      <c r="AA93" s="61" t="s">
        <v>6</v>
      </c>
      <c r="AB93" s="413"/>
      <c r="AC93" s="415"/>
      <c r="AD93" s="415"/>
      <c r="AE93" s="412" t="s">
        <v>133</v>
      </c>
      <c r="AF93" s="13"/>
      <c r="AG93" s="13"/>
      <c r="AH93" s="61" t="s">
        <v>6</v>
      </c>
      <c r="AI93" s="61" t="s">
        <v>6</v>
      </c>
      <c r="AJ93" s="413"/>
      <c r="AK93" s="415"/>
      <c r="AL93" s="415"/>
      <c r="AM93" s="43"/>
      <c r="AN93" s="19"/>
      <c r="AO93" s="15"/>
      <c r="AP93" s="15"/>
      <c r="AQ93" s="15"/>
      <c r="AR93" s="15"/>
      <c r="AS93" s="15"/>
      <c r="AT93" s="15"/>
      <c r="AU93" s="15"/>
      <c r="AV93" s="15"/>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row>
    <row r="94" spans="1:87" s="18" customFormat="1" ht="26.4">
      <c r="A94" s="40">
        <f t="shared" si="0"/>
        <v>88</v>
      </c>
      <c r="B94" s="19"/>
      <c r="C94" s="41"/>
      <c r="D94" s="19"/>
      <c r="E94" s="19"/>
      <c r="F94" s="19"/>
      <c r="G94" s="19"/>
      <c r="H94" s="13"/>
      <c r="I94" s="13"/>
      <c r="J94" s="215" t="s">
        <v>5080</v>
      </c>
      <c r="K94" s="412" t="s">
        <v>117</v>
      </c>
      <c r="L94" s="215" t="s">
        <v>5081</v>
      </c>
      <c r="M94" s="215"/>
      <c r="N94" s="40" t="s">
        <v>504</v>
      </c>
      <c r="O94" s="40"/>
      <c r="P94" s="40"/>
      <c r="Q94" s="126" t="s">
        <v>6</v>
      </c>
      <c r="R94" s="126" t="s">
        <v>6</v>
      </c>
      <c r="S94" s="126" t="s">
        <v>6</v>
      </c>
      <c r="T94" s="126"/>
      <c r="U94" s="204" t="s">
        <v>5069</v>
      </c>
      <c r="V94" s="204"/>
      <c r="W94" s="412" t="s">
        <v>133</v>
      </c>
      <c r="X94" s="13"/>
      <c r="Y94" s="13"/>
      <c r="Z94" s="61" t="s">
        <v>6</v>
      </c>
      <c r="AA94" s="61" t="s">
        <v>6</v>
      </c>
      <c r="AB94" s="413"/>
      <c r="AC94" s="415"/>
      <c r="AD94" s="415"/>
      <c r="AE94" s="412" t="s">
        <v>133</v>
      </c>
      <c r="AF94" s="13"/>
      <c r="AG94" s="13"/>
      <c r="AH94" s="61" t="s">
        <v>6</v>
      </c>
      <c r="AI94" s="61" t="s">
        <v>6</v>
      </c>
      <c r="AJ94" s="413"/>
      <c r="AK94" s="415"/>
      <c r="AL94" s="415"/>
      <c r="AM94" s="43"/>
      <c r="AN94" s="19"/>
      <c r="AO94" s="15"/>
      <c r="AP94" s="15"/>
      <c r="AQ94" s="15"/>
      <c r="AR94" s="15"/>
      <c r="AS94" s="15"/>
      <c r="AT94" s="15"/>
      <c r="AU94" s="13"/>
      <c r="AV94" s="15"/>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row>
    <row r="95" spans="1:87" s="20" customFormat="1" ht="15">
      <c r="A95" s="40">
        <f t="shared" si="0"/>
        <v>89</v>
      </c>
      <c r="B95" s="59"/>
      <c r="C95" s="59"/>
      <c r="D95" s="59"/>
      <c r="E95" s="59"/>
      <c r="F95" s="59"/>
      <c r="G95" s="59"/>
      <c r="H95" s="59"/>
      <c r="I95" s="59"/>
      <c r="J95" s="215" t="s">
        <v>5082</v>
      </c>
      <c r="K95" s="215" t="s">
        <v>128</v>
      </c>
      <c r="L95" s="204" t="s">
        <v>5083</v>
      </c>
      <c r="M95" s="204"/>
      <c r="N95" s="40" t="s">
        <v>504</v>
      </c>
      <c r="O95" s="126"/>
      <c r="P95" s="126"/>
      <c r="Q95" s="126" t="s">
        <v>6</v>
      </c>
      <c r="R95" s="126" t="s">
        <v>6</v>
      </c>
      <c r="S95" s="126" t="s">
        <v>6</v>
      </c>
      <c r="T95" s="126"/>
      <c r="U95" s="204" t="s">
        <v>5084</v>
      </c>
      <c r="V95" s="220"/>
      <c r="W95" s="215" t="s">
        <v>125</v>
      </c>
      <c r="X95" s="59"/>
      <c r="Y95" s="59"/>
      <c r="Z95" s="61"/>
      <c r="AA95" s="61" t="s">
        <v>6</v>
      </c>
      <c r="AB95" s="59"/>
      <c r="AC95" s="59"/>
      <c r="AD95" s="59"/>
      <c r="AE95" s="215" t="s">
        <v>125</v>
      </c>
      <c r="AF95" s="59"/>
      <c r="AG95" s="59"/>
      <c r="AH95" s="61"/>
      <c r="AI95" s="61" t="s">
        <v>6</v>
      </c>
      <c r="AJ95" s="59"/>
      <c r="AK95" s="59"/>
      <c r="AL95" s="59"/>
      <c r="AM95" s="59"/>
      <c r="AN95" s="59"/>
      <c r="AO95" s="59"/>
      <c r="AP95" s="59"/>
      <c r="AQ95" s="59"/>
      <c r="AR95" s="59"/>
      <c r="AS95" s="59"/>
      <c r="AT95" s="59"/>
      <c r="AU95" s="59"/>
      <c r="AV95" s="59"/>
      <c r="AW95" s="18"/>
    </row>
    <row r="96" spans="1:87" s="20" customFormat="1" ht="15">
      <c r="A96" s="40">
        <f t="shared" si="0"/>
        <v>90</v>
      </c>
      <c r="B96" s="59"/>
      <c r="C96" s="59"/>
      <c r="D96" s="59"/>
      <c r="E96" s="59"/>
      <c r="F96" s="59"/>
      <c r="G96" s="59"/>
      <c r="H96" s="59"/>
      <c r="I96" s="59"/>
      <c r="J96" s="215" t="s">
        <v>5085</v>
      </c>
      <c r="K96" s="215" t="s">
        <v>128</v>
      </c>
      <c r="L96" s="204" t="s">
        <v>5086</v>
      </c>
      <c r="M96" s="204"/>
      <c r="N96" s="40" t="s">
        <v>504</v>
      </c>
      <c r="O96" s="126"/>
      <c r="P96" s="126"/>
      <c r="Q96" s="126" t="s">
        <v>6</v>
      </c>
      <c r="R96" s="126" t="s">
        <v>6</v>
      </c>
      <c r="S96" s="126" t="s">
        <v>6</v>
      </c>
      <c r="T96" s="126"/>
      <c r="U96" s="204" t="s">
        <v>5084</v>
      </c>
      <c r="V96" s="220"/>
      <c r="W96" s="215" t="s">
        <v>125</v>
      </c>
      <c r="X96" s="59"/>
      <c r="Y96" s="59"/>
      <c r="Z96" s="61"/>
      <c r="AA96" s="61" t="s">
        <v>6</v>
      </c>
      <c r="AB96" s="59"/>
      <c r="AC96" s="59"/>
      <c r="AD96" s="59"/>
      <c r="AE96" s="215" t="s">
        <v>125</v>
      </c>
      <c r="AF96" s="59"/>
      <c r="AG96" s="59"/>
      <c r="AH96" s="61"/>
      <c r="AI96" s="61" t="s">
        <v>6</v>
      </c>
      <c r="AJ96" s="59"/>
      <c r="AK96" s="59"/>
      <c r="AL96" s="59"/>
      <c r="AM96" s="59"/>
      <c r="AN96" s="59"/>
      <c r="AO96" s="59"/>
      <c r="AP96" s="59"/>
      <c r="AQ96" s="59"/>
      <c r="AR96" s="59"/>
      <c r="AS96" s="59"/>
      <c r="AT96" s="59"/>
      <c r="AU96" s="59"/>
      <c r="AV96" s="59"/>
      <c r="AW96" s="18"/>
    </row>
    <row r="97" spans="1:87" s="20" customFormat="1" ht="15">
      <c r="A97" s="40">
        <f t="shared" si="0"/>
        <v>91</v>
      </c>
      <c r="B97" s="59"/>
      <c r="C97" s="59"/>
      <c r="D97" s="59"/>
      <c r="E97" s="59"/>
      <c r="F97" s="59"/>
      <c r="G97" s="59"/>
      <c r="H97" s="59"/>
      <c r="I97" s="59"/>
      <c r="J97" s="215" t="s">
        <v>5087</v>
      </c>
      <c r="K97" s="215" t="s">
        <v>128</v>
      </c>
      <c r="L97" s="204" t="s">
        <v>5088</v>
      </c>
      <c r="M97" s="204"/>
      <c r="N97" s="40" t="s">
        <v>504</v>
      </c>
      <c r="O97" s="126"/>
      <c r="P97" s="126"/>
      <c r="Q97" s="126" t="s">
        <v>6</v>
      </c>
      <c r="R97" s="126" t="s">
        <v>6</v>
      </c>
      <c r="S97" s="126" t="s">
        <v>6</v>
      </c>
      <c r="T97" s="126"/>
      <c r="U97" s="204" t="s">
        <v>5084</v>
      </c>
      <c r="V97" s="220"/>
      <c r="W97" s="215" t="s">
        <v>125</v>
      </c>
      <c r="X97" s="59"/>
      <c r="Y97" s="59"/>
      <c r="Z97" s="61"/>
      <c r="AA97" s="61" t="s">
        <v>6</v>
      </c>
      <c r="AB97" s="59"/>
      <c r="AC97" s="59"/>
      <c r="AD97" s="59"/>
      <c r="AE97" s="215" t="s">
        <v>125</v>
      </c>
      <c r="AF97" s="59"/>
      <c r="AG97" s="59"/>
      <c r="AH97" s="61"/>
      <c r="AI97" s="61" t="s">
        <v>6</v>
      </c>
      <c r="AJ97" s="59"/>
      <c r="AK97" s="59"/>
      <c r="AL97" s="59"/>
      <c r="AM97" s="59"/>
      <c r="AN97" s="59"/>
      <c r="AO97" s="59"/>
      <c r="AP97" s="59"/>
      <c r="AQ97" s="59"/>
      <c r="AR97" s="59"/>
      <c r="AS97" s="59"/>
      <c r="AT97" s="59"/>
      <c r="AU97" s="59"/>
      <c r="AV97" s="59"/>
      <c r="AW97" s="18"/>
    </row>
    <row r="98" spans="1:87" s="20" customFormat="1" ht="15">
      <c r="A98" s="416">
        <f t="shared" si="0"/>
        <v>92</v>
      </c>
      <c r="B98" s="59"/>
      <c r="C98" s="59"/>
      <c r="D98" s="59"/>
      <c r="E98" s="59"/>
      <c r="F98" s="59"/>
      <c r="G98" s="59"/>
      <c r="H98" s="59"/>
      <c r="I98" s="59"/>
      <c r="J98" s="215" t="s">
        <v>5089</v>
      </c>
      <c r="K98" s="215" t="s">
        <v>117</v>
      </c>
      <c r="L98" s="204" t="s">
        <v>5090</v>
      </c>
      <c r="M98" s="204"/>
      <c r="N98" s="40" t="s">
        <v>504</v>
      </c>
      <c r="O98" s="126"/>
      <c r="P98" s="126"/>
      <c r="Q98" s="126" t="s">
        <v>6</v>
      </c>
      <c r="R98" s="126" t="s">
        <v>6</v>
      </c>
      <c r="S98" s="126" t="s">
        <v>6</v>
      </c>
      <c r="T98" s="40"/>
      <c r="U98" s="204"/>
      <c r="V98" s="220"/>
      <c r="W98" s="215" t="s">
        <v>133</v>
      </c>
      <c r="X98" s="59"/>
      <c r="Y98" s="59"/>
      <c r="Z98" s="61" t="s">
        <v>6</v>
      </c>
      <c r="AA98" s="61" t="s">
        <v>6</v>
      </c>
      <c r="AB98" s="199"/>
      <c r="AC98" s="59"/>
      <c r="AD98" s="59"/>
      <c r="AE98" s="215" t="s">
        <v>133</v>
      </c>
      <c r="AF98" s="59"/>
      <c r="AG98" s="59"/>
      <c r="AH98" s="61" t="s">
        <v>6</v>
      </c>
      <c r="AI98" s="61" t="s">
        <v>6</v>
      </c>
      <c r="AJ98" s="199"/>
      <c r="AK98" s="59"/>
      <c r="AL98" s="59"/>
      <c r="AM98" s="59"/>
      <c r="AN98" s="59"/>
      <c r="AO98" s="59"/>
      <c r="AP98" s="59"/>
      <c r="AQ98" s="59"/>
      <c r="AR98" s="59"/>
      <c r="AS98" s="59"/>
      <c r="AT98" s="59"/>
      <c r="AU98" s="59"/>
      <c r="AV98" s="59"/>
      <c r="AW98" s="18"/>
    </row>
    <row r="99" spans="1:87" s="20" customFormat="1" ht="15">
      <c r="A99" s="40">
        <f t="shared" si="0"/>
        <v>93</v>
      </c>
      <c r="B99" s="19"/>
      <c r="C99" s="48"/>
      <c r="D99" s="19"/>
      <c r="E99" s="19"/>
      <c r="F99" s="19"/>
      <c r="G99" s="19"/>
      <c r="H99" s="13"/>
      <c r="I99" s="13"/>
      <c r="J99" s="215" t="s">
        <v>5091</v>
      </c>
      <c r="K99" s="412" t="s">
        <v>117</v>
      </c>
      <c r="L99" s="215" t="s">
        <v>5092</v>
      </c>
      <c r="M99" s="215"/>
      <c r="N99" s="40" t="s">
        <v>504</v>
      </c>
      <c r="O99" s="40"/>
      <c r="P99" s="40"/>
      <c r="Q99" s="126" t="s">
        <v>6</v>
      </c>
      <c r="R99" s="126" t="s">
        <v>6</v>
      </c>
      <c r="S99" s="126" t="s">
        <v>6</v>
      </c>
      <c r="T99" s="126"/>
      <c r="U99" s="204"/>
      <c r="V99" s="204"/>
      <c r="W99" s="412" t="s">
        <v>133</v>
      </c>
      <c r="X99" s="13"/>
      <c r="Y99" s="13"/>
      <c r="Z99" s="61" t="s">
        <v>6</v>
      </c>
      <c r="AA99" s="61" t="s">
        <v>6</v>
      </c>
      <c r="AB99" s="45"/>
      <c r="AC99" s="415"/>
      <c r="AD99" s="415"/>
      <c r="AE99" s="412" t="s">
        <v>133</v>
      </c>
      <c r="AF99" s="13"/>
      <c r="AG99" s="13"/>
      <c r="AH99" s="61" t="s">
        <v>6</v>
      </c>
      <c r="AI99" s="61" t="s">
        <v>6</v>
      </c>
      <c r="AJ99" s="45"/>
      <c r="AK99" s="415"/>
      <c r="AL99" s="415"/>
      <c r="AM99" s="43"/>
      <c r="AN99" s="19"/>
      <c r="AO99" s="13"/>
      <c r="AP99" s="13"/>
      <c r="AQ99" s="13"/>
      <c r="AR99" s="13"/>
      <c r="AS99" s="13"/>
      <c r="AT99" s="13"/>
      <c r="AU99" s="15"/>
      <c r="AV99" s="15"/>
      <c r="AW99" s="18"/>
    </row>
    <row r="100" spans="1:87" s="20" customFormat="1" ht="15">
      <c r="A100" s="40">
        <f t="shared" si="0"/>
        <v>94</v>
      </c>
      <c r="B100" s="19"/>
      <c r="C100" s="41"/>
      <c r="D100" s="19"/>
      <c r="E100" s="19"/>
      <c r="F100" s="19"/>
      <c r="G100" s="19"/>
      <c r="H100" s="13"/>
      <c r="I100" s="13"/>
      <c r="J100" s="215" t="s">
        <v>5093</v>
      </c>
      <c r="K100" s="412" t="s">
        <v>140</v>
      </c>
      <c r="L100" s="215" t="s">
        <v>590</v>
      </c>
      <c r="M100" s="215"/>
      <c r="N100" s="40" t="s">
        <v>504</v>
      </c>
      <c r="O100" s="40"/>
      <c r="P100" s="40"/>
      <c r="Q100" s="126" t="s">
        <v>6</v>
      </c>
      <c r="R100" s="126" t="s">
        <v>6</v>
      </c>
      <c r="S100" s="126" t="s">
        <v>6</v>
      </c>
      <c r="T100" s="40"/>
      <c r="U100" s="198"/>
      <c r="V100" s="15"/>
      <c r="W100" s="412" t="s">
        <v>140</v>
      </c>
      <c r="X100" s="13"/>
      <c r="Y100" s="413"/>
      <c r="Z100" s="61" t="s">
        <v>6</v>
      </c>
      <c r="AA100" s="61" t="s">
        <v>6</v>
      </c>
      <c r="AB100" s="413"/>
      <c r="AC100" s="40"/>
      <c r="AD100" s="40"/>
      <c r="AE100" s="412" t="s">
        <v>140</v>
      </c>
      <c r="AF100" s="13"/>
      <c r="AG100" s="413"/>
      <c r="AH100" s="61" t="s">
        <v>6</v>
      </c>
      <c r="AI100" s="61" t="s">
        <v>6</v>
      </c>
      <c r="AJ100" s="413"/>
      <c r="AK100" s="40"/>
      <c r="AL100" s="40"/>
      <c r="AM100" s="43"/>
      <c r="AN100" s="13"/>
      <c r="AO100" s="15"/>
      <c r="AP100" s="15"/>
      <c r="AQ100" s="15"/>
      <c r="AR100" s="15"/>
      <c r="AS100" s="15"/>
      <c r="AT100" s="15"/>
      <c r="AU100" s="15"/>
      <c r="AV100" s="15"/>
      <c r="AW100" s="18"/>
    </row>
    <row r="101" spans="1:87" s="20" customFormat="1" ht="15">
      <c r="A101" s="40">
        <f t="shared" si="0"/>
        <v>95</v>
      </c>
      <c r="B101" s="19"/>
      <c r="C101" s="41"/>
      <c r="D101" s="19"/>
      <c r="E101" s="19"/>
      <c r="F101" s="19"/>
      <c r="G101" s="19"/>
      <c r="H101" s="13"/>
      <c r="I101" s="13"/>
      <c r="J101" s="215" t="s">
        <v>5094</v>
      </c>
      <c r="K101" s="412" t="s">
        <v>140</v>
      </c>
      <c r="L101" s="215" t="s">
        <v>594</v>
      </c>
      <c r="M101" s="215"/>
      <c r="N101" s="40" t="s">
        <v>504</v>
      </c>
      <c r="O101" s="40"/>
      <c r="P101" s="40"/>
      <c r="Q101" s="126" t="s">
        <v>6</v>
      </c>
      <c r="R101" s="126" t="s">
        <v>6</v>
      </c>
      <c r="S101" s="126" t="s">
        <v>6</v>
      </c>
      <c r="T101" s="40"/>
      <c r="U101" s="198"/>
      <c r="V101" s="15"/>
      <c r="W101" s="412" t="s">
        <v>140</v>
      </c>
      <c r="X101" s="13"/>
      <c r="Y101" s="413"/>
      <c r="Z101" s="61" t="s">
        <v>6</v>
      </c>
      <c r="AA101" s="61" t="s">
        <v>6</v>
      </c>
      <c r="AB101" s="413"/>
      <c r="AC101" s="40"/>
      <c r="AD101" s="40"/>
      <c r="AE101" s="412" t="s">
        <v>140</v>
      </c>
      <c r="AF101" s="13"/>
      <c r="AG101" s="413"/>
      <c r="AH101" s="61" t="s">
        <v>6</v>
      </c>
      <c r="AI101" s="61" t="s">
        <v>6</v>
      </c>
      <c r="AJ101" s="413"/>
      <c r="AK101" s="40"/>
      <c r="AL101" s="40"/>
      <c r="AM101" s="43"/>
      <c r="AN101" s="13"/>
      <c r="AO101" s="15"/>
      <c r="AP101" s="15"/>
      <c r="AQ101" s="15"/>
      <c r="AR101" s="15"/>
      <c r="AS101" s="15"/>
      <c r="AT101" s="15"/>
      <c r="AU101" s="15"/>
      <c r="AV101" s="15"/>
      <c r="AW101" s="18"/>
    </row>
    <row r="102" spans="1:87" s="20" customFormat="1" ht="15">
      <c r="A102" s="40">
        <f t="shared" si="0"/>
        <v>96</v>
      </c>
      <c r="B102" s="19"/>
      <c r="C102" s="41"/>
      <c r="D102" s="19"/>
      <c r="E102" s="19"/>
      <c r="F102" s="19"/>
      <c r="G102" s="19"/>
      <c r="H102" s="13"/>
      <c r="I102" s="13"/>
      <c r="J102" s="215" t="s">
        <v>5095</v>
      </c>
      <c r="K102" s="412" t="s">
        <v>140</v>
      </c>
      <c r="L102" s="215" t="s">
        <v>3679</v>
      </c>
      <c r="M102" s="215"/>
      <c r="N102" s="40" t="s">
        <v>504</v>
      </c>
      <c r="O102" s="40"/>
      <c r="P102" s="40"/>
      <c r="Q102" s="126" t="s">
        <v>6</v>
      </c>
      <c r="R102" s="126" t="s">
        <v>6</v>
      </c>
      <c r="S102" s="126" t="s">
        <v>6</v>
      </c>
      <c r="T102" s="40"/>
      <c r="U102" s="198"/>
      <c r="V102" s="15"/>
      <c r="W102" s="412" t="s">
        <v>140</v>
      </c>
      <c r="X102" s="13"/>
      <c r="Y102" s="413"/>
      <c r="Z102" s="61" t="s">
        <v>6</v>
      </c>
      <c r="AA102" s="61" t="s">
        <v>6</v>
      </c>
      <c r="AB102" s="413"/>
      <c r="AC102" s="40"/>
      <c r="AD102" s="40"/>
      <c r="AE102" s="412" t="s">
        <v>140</v>
      </c>
      <c r="AF102" s="13"/>
      <c r="AG102" s="413"/>
      <c r="AH102" s="61" t="s">
        <v>6</v>
      </c>
      <c r="AI102" s="61" t="s">
        <v>6</v>
      </c>
      <c r="AJ102" s="413"/>
      <c r="AK102" s="40"/>
      <c r="AL102" s="40"/>
      <c r="AM102" s="43"/>
      <c r="AN102" s="13"/>
      <c r="AO102" s="15"/>
      <c r="AP102" s="15"/>
      <c r="AQ102" s="15"/>
      <c r="AR102" s="15"/>
      <c r="AS102" s="15"/>
      <c r="AT102" s="15"/>
      <c r="AU102" s="15"/>
      <c r="AV102" s="15"/>
      <c r="AW102" s="18"/>
    </row>
    <row r="103" spans="1:87" s="12" customFormat="1" ht="15">
      <c r="A103" s="40">
        <f t="shared" si="0"/>
        <v>97</v>
      </c>
      <c r="B103" s="38"/>
      <c r="C103" s="42"/>
      <c r="D103" s="19"/>
      <c r="E103" s="19"/>
      <c r="F103" s="19"/>
      <c r="G103" s="19"/>
      <c r="H103" s="13"/>
      <c r="I103" s="13"/>
      <c r="J103" s="215" t="s">
        <v>5096</v>
      </c>
      <c r="K103" s="215" t="s">
        <v>117</v>
      </c>
      <c r="L103" s="215" t="s">
        <v>5097</v>
      </c>
      <c r="M103" s="215"/>
      <c r="N103" s="40" t="s">
        <v>504</v>
      </c>
      <c r="O103" s="40"/>
      <c r="P103" s="40"/>
      <c r="Q103" s="126" t="s">
        <v>6</v>
      </c>
      <c r="R103" s="126" t="s">
        <v>6</v>
      </c>
      <c r="S103" s="126" t="s">
        <v>6</v>
      </c>
      <c r="T103" s="40"/>
      <c r="U103" s="204" t="s">
        <v>5098</v>
      </c>
      <c r="V103" s="204"/>
      <c r="W103" s="215" t="s">
        <v>125</v>
      </c>
      <c r="X103" s="13"/>
      <c r="Y103" s="413"/>
      <c r="Z103" s="61"/>
      <c r="AA103" s="61" t="s">
        <v>6</v>
      </c>
      <c r="AB103" s="413"/>
      <c r="AC103" s="415"/>
      <c r="AD103" s="415"/>
      <c r="AE103" s="215" t="s">
        <v>125</v>
      </c>
      <c r="AF103" s="13"/>
      <c r="AG103" s="413"/>
      <c r="AH103" s="61"/>
      <c r="AI103" s="61" t="s">
        <v>6</v>
      </c>
      <c r="AJ103" s="413"/>
      <c r="AK103" s="415"/>
      <c r="AL103" s="415"/>
      <c r="AM103" s="43"/>
      <c r="AN103" s="44"/>
      <c r="AO103" s="13"/>
      <c r="AP103" s="13"/>
      <c r="AQ103" s="13"/>
      <c r="AR103" s="13"/>
      <c r="AS103" s="13"/>
      <c r="AT103" s="13"/>
      <c r="AU103" s="13"/>
      <c r="AV103" s="13"/>
      <c r="AW103" s="18"/>
      <c r="AX103" s="16"/>
      <c r="AY103" s="17"/>
    </row>
    <row r="104" spans="1:87" s="18" customFormat="1" ht="15">
      <c r="A104" s="416">
        <f t="shared" si="0"/>
        <v>98</v>
      </c>
      <c r="B104" s="38"/>
      <c r="C104" s="42"/>
      <c r="D104" s="38"/>
      <c r="E104" s="46"/>
      <c r="F104" s="46"/>
      <c r="G104" s="46"/>
      <c r="H104" s="13"/>
      <c r="I104" s="40"/>
      <c r="J104" s="215" t="s">
        <v>5099</v>
      </c>
      <c r="K104" s="412" t="s">
        <v>120</v>
      </c>
      <c r="L104" s="215" t="s">
        <v>5100</v>
      </c>
      <c r="M104" s="215"/>
      <c r="N104" s="40" t="s">
        <v>504</v>
      </c>
      <c r="O104" s="40"/>
      <c r="P104" s="40"/>
      <c r="Q104" s="126" t="s">
        <v>6</v>
      </c>
      <c r="R104" s="126" t="s">
        <v>6</v>
      </c>
      <c r="S104" s="126" t="s">
        <v>6</v>
      </c>
      <c r="T104" s="126"/>
      <c r="U104" s="204"/>
      <c r="V104" s="204"/>
      <c r="W104" s="215" t="s">
        <v>125</v>
      </c>
      <c r="X104" s="40"/>
      <c r="Y104" s="413"/>
      <c r="Z104" s="61"/>
      <c r="AA104" s="61" t="s">
        <v>6</v>
      </c>
      <c r="AB104" s="413"/>
      <c r="AC104" s="413"/>
      <c r="AD104" s="413"/>
      <c r="AE104" s="215" t="s">
        <v>125</v>
      </c>
      <c r="AF104" s="40"/>
      <c r="AG104" s="413"/>
      <c r="AH104" s="61"/>
      <c r="AI104" s="61" t="s">
        <v>6</v>
      </c>
      <c r="AJ104" s="413"/>
      <c r="AK104" s="413"/>
      <c r="AL104" s="413"/>
      <c r="AM104" s="43"/>
      <c r="AN104" s="19"/>
      <c r="AO104" s="15"/>
      <c r="AP104" s="15"/>
      <c r="AQ104" s="15"/>
      <c r="AR104" s="15"/>
      <c r="AS104" s="15"/>
      <c r="AT104" s="15"/>
      <c r="AU104" s="15"/>
      <c r="AV104" s="13"/>
      <c r="AX104" s="12"/>
      <c r="AY104" s="12"/>
      <c r="AZ104" s="12"/>
      <c r="BA104" s="12"/>
      <c r="BB104" s="12"/>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c r="CA104" s="12"/>
      <c r="CB104" s="12"/>
      <c r="CC104" s="12"/>
      <c r="CD104" s="12"/>
      <c r="CE104" s="12"/>
      <c r="CF104" s="12"/>
      <c r="CG104" s="12"/>
      <c r="CH104" s="12"/>
      <c r="CI104" s="12"/>
    </row>
    <row r="105" spans="1:87" s="18" customFormat="1" ht="15">
      <c r="A105" s="40">
        <f t="shared" si="0"/>
        <v>99</v>
      </c>
      <c r="B105" s="38"/>
      <c r="C105" s="42"/>
      <c r="D105" s="38"/>
      <c r="E105" s="46"/>
      <c r="F105" s="46"/>
      <c r="G105" s="46"/>
      <c r="H105" s="13"/>
      <c r="I105" s="40"/>
      <c r="J105" s="215" t="s">
        <v>5101</v>
      </c>
      <c r="K105" s="412" t="s">
        <v>117</v>
      </c>
      <c r="L105" s="215" t="s">
        <v>5102</v>
      </c>
      <c r="M105" s="215"/>
      <c r="N105" s="40" t="s">
        <v>504</v>
      </c>
      <c r="O105" s="40"/>
      <c r="P105" s="40"/>
      <c r="Q105" s="126" t="s">
        <v>6</v>
      </c>
      <c r="R105" s="126" t="s">
        <v>6</v>
      </c>
      <c r="S105" s="126" t="s">
        <v>6</v>
      </c>
      <c r="T105" s="126"/>
      <c r="U105" s="204"/>
      <c r="V105" s="204"/>
      <c r="W105" s="215" t="s">
        <v>125</v>
      </c>
      <c r="X105" s="40"/>
      <c r="Y105" s="413"/>
      <c r="Z105" s="61"/>
      <c r="AA105" s="61" t="s">
        <v>6</v>
      </c>
      <c r="AB105" s="413"/>
      <c r="AC105" s="413"/>
      <c r="AD105" s="413"/>
      <c r="AE105" s="215" t="s">
        <v>125</v>
      </c>
      <c r="AF105" s="40"/>
      <c r="AG105" s="413"/>
      <c r="AH105" s="61"/>
      <c r="AI105" s="61" t="s">
        <v>6</v>
      </c>
      <c r="AJ105" s="413"/>
      <c r="AK105" s="413"/>
      <c r="AL105" s="413"/>
      <c r="AM105" s="45"/>
      <c r="AN105" s="53"/>
      <c r="AO105" s="266"/>
      <c r="AP105" s="266"/>
      <c r="AQ105" s="266"/>
      <c r="AR105" s="266"/>
      <c r="AS105" s="15"/>
      <c r="AT105" s="15"/>
      <c r="AU105" s="15"/>
      <c r="AV105" s="13"/>
      <c r="AX105" s="12"/>
      <c r="AY105" s="12"/>
      <c r="AZ105" s="12"/>
      <c r="BA105" s="12"/>
      <c r="BB105" s="12"/>
      <c r="BC105" s="12"/>
      <c r="BD105" s="12"/>
      <c r="BE105" s="12"/>
      <c r="BF105" s="12"/>
      <c r="BG105" s="12"/>
      <c r="BH105" s="12"/>
      <c r="BI105" s="12"/>
      <c r="BJ105" s="12"/>
      <c r="BK105" s="12"/>
      <c r="BL105" s="12"/>
      <c r="BM105" s="12"/>
      <c r="BN105" s="12"/>
      <c r="BO105" s="12"/>
      <c r="BP105" s="12"/>
      <c r="BQ105" s="12"/>
      <c r="BR105" s="12"/>
      <c r="BS105" s="12"/>
      <c r="BT105" s="12"/>
      <c r="BU105" s="12"/>
      <c r="BV105" s="12"/>
      <c r="BW105" s="12"/>
      <c r="BX105" s="12"/>
      <c r="BY105" s="12"/>
      <c r="BZ105" s="12"/>
      <c r="CA105" s="12"/>
      <c r="CB105" s="12"/>
      <c r="CC105" s="12"/>
      <c r="CD105" s="12"/>
      <c r="CE105" s="12"/>
      <c r="CF105" s="12"/>
      <c r="CG105" s="12"/>
      <c r="CH105" s="12"/>
      <c r="CI105" s="12"/>
    </row>
    <row r="106" spans="1:87" s="12" customFormat="1" ht="15">
      <c r="A106" s="40">
        <f t="shared" si="0"/>
        <v>100</v>
      </c>
      <c r="B106" s="38"/>
      <c r="C106" s="42"/>
      <c r="D106" s="19"/>
      <c r="E106" s="19"/>
      <c r="F106" s="35"/>
      <c r="G106" s="35"/>
      <c r="H106" s="414"/>
      <c r="I106" s="13"/>
      <c r="J106" s="217" t="s">
        <v>5103</v>
      </c>
      <c r="K106" s="217" t="s">
        <v>117</v>
      </c>
      <c r="L106" s="510" t="s">
        <v>5104</v>
      </c>
      <c r="M106" s="510"/>
      <c r="N106" s="40" t="s">
        <v>504</v>
      </c>
      <c r="O106" s="40"/>
      <c r="P106" s="40"/>
      <c r="Q106" s="416" t="s">
        <v>6</v>
      </c>
      <c r="R106" s="416" t="s">
        <v>6</v>
      </c>
      <c r="S106" s="416" t="s">
        <v>6</v>
      </c>
      <c r="T106" s="40"/>
      <c r="U106" s="201" t="s">
        <v>5105</v>
      </c>
      <c r="V106" s="201"/>
      <c r="W106" s="203" t="s">
        <v>125</v>
      </c>
      <c r="X106" s="413"/>
      <c r="Y106" s="413"/>
      <c r="Z106" s="413"/>
      <c r="AA106" s="416" t="s">
        <v>6</v>
      </c>
      <c r="AB106" s="413"/>
      <c r="AC106" s="415"/>
      <c r="AD106" s="415"/>
      <c r="AE106" s="203" t="s">
        <v>125</v>
      </c>
      <c r="AF106" s="413"/>
      <c r="AG106" s="413"/>
      <c r="AH106" s="413"/>
      <c r="AI106" s="416" t="s">
        <v>6</v>
      </c>
      <c r="AJ106" s="413"/>
      <c r="AK106" s="415"/>
      <c r="AL106" s="415"/>
      <c r="AM106" s="43"/>
      <c r="AN106" s="44"/>
      <c r="AO106" s="13"/>
      <c r="AP106" s="13"/>
      <c r="AQ106" s="13"/>
      <c r="AR106" s="13"/>
      <c r="AS106" s="13"/>
      <c r="AT106" s="13"/>
      <c r="AU106" s="13"/>
      <c r="AV106" s="13"/>
      <c r="AW106" s="18"/>
    </row>
    <row r="107" spans="1:87" s="20" customFormat="1" ht="15">
      <c r="A107" s="40">
        <f t="shared" si="0"/>
        <v>101</v>
      </c>
      <c r="B107" s="59"/>
      <c r="C107" s="59"/>
      <c r="D107" s="59"/>
      <c r="E107" s="59"/>
      <c r="F107" s="59"/>
      <c r="G107" s="59"/>
      <c r="H107" s="59"/>
      <c r="I107" s="59"/>
      <c r="J107" s="215" t="s">
        <v>5106</v>
      </c>
      <c r="K107" s="412" t="s">
        <v>117</v>
      </c>
      <c r="L107" s="215" t="s">
        <v>1746</v>
      </c>
      <c r="M107" s="215"/>
      <c r="N107" s="40" t="s">
        <v>504</v>
      </c>
      <c r="O107" s="126"/>
      <c r="P107" s="126"/>
      <c r="Q107" s="126" t="s">
        <v>6</v>
      </c>
      <c r="R107" s="126" t="s">
        <v>6</v>
      </c>
      <c r="S107" s="126" t="s">
        <v>6</v>
      </c>
      <c r="T107" s="40"/>
      <c r="U107" s="204"/>
      <c r="V107" s="204"/>
      <c r="W107" s="215" t="s">
        <v>125</v>
      </c>
      <c r="X107" s="59"/>
      <c r="Y107" s="59"/>
      <c r="Z107" s="61"/>
      <c r="AA107" s="61" t="s">
        <v>6</v>
      </c>
      <c r="AB107" s="59"/>
      <c r="AC107" s="59"/>
      <c r="AD107" s="59"/>
      <c r="AE107" s="215" t="s">
        <v>125</v>
      </c>
      <c r="AF107" s="59"/>
      <c r="AG107" s="59"/>
      <c r="AH107" s="61"/>
      <c r="AI107" s="61" t="s">
        <v>6</v>
      </c>
      <c r="AJ107" s="59"/>
      <c r="AK107" s="59"/>
      <c r="AL107" s="59"/>
      <c r="AM107" s="59"/>
      <c r="AN107" s="59"/>
      <c r="AO107" s="59"/>
      <c r="AP107" s="59"/>
      <c r="AQ107" s="59"/>
      <c r="AR107" s="59"/>
      <c r="AS107" s="59"/>
      <c r="AT107" s="59"/>
      <c r="AU107" s="59"/>
      <c r="AV107" s="59"/>
      <c r="AW107" s="18"/>
    </row>
    <row r="108" spans="1:87" s="20" customFormat="1" ht="26.4">
      <c r="A108" s="40">
        <f t="shared" si="0"/>
        <v>102</v>
      </c>
      <c r="B108" s="59"/>
      <c r="C108" s="59"/>
      <c r="D108" s="59"/>
      <c r="E108" s="59"/>
      <c r="F108" s="59"/>
      <c r="G108" s="59"/>
      <c r="H108" s="59"/>
      <c r="I108" s="59"/>
      <c r="J108" s="215" t="s">
        <v>5107</v>
      </c>
      <c r="K108" s="215" t="s">
        <v>125</v>
      </c>
      <c r="L108" s="204" t="s">
        <v>1755</v>
      </c>
      <c r="M108" s="204"/>
      <c r="N108" s="40" t="s">
        <v>504</v>
      </c>
      <c r="O108" s="126"/>
      <c r="P108" s="126"/>
      <c r="Q108" s="126" t="s">
        <v>6</v>
      </c>
      <c r="R108" s="126" t="s">
        <v>6</v>
      </c>
      <c r="S108" s="126" t="s">
        <v>6</v>
      </c>
      <c r="T108" s="40"/>
      <c r="U108" s="201" t="s">
        <v>5108</v>
      </c>
      <c r="V108" s="220"/>
      <c r="W108" s="215" t="s">
        <v>125</v>
      </c>
      <c r="X108" s="59"/>
      <c r="Y108" s="59"/>
      <c r="Z108" s="61"/>
      <c r="AA108" s="61" t="s">
        <v>6</v>
      </c>
      <c r="AB108" s="59"/>
      <c r="AC108" s="59"/>
      <c r="AD108" s="59"/>
      <c r="AE108" s="215" t="s">
        <v>125</v>
      </c>
      <c r="AF108" s="59"/>
      <c r="AG108" s="59"/>
      <c r="AH108" s="61"/>
      <c r="AI108" s="61" t="s">
        <v>6</v>
      </c>
      <c r="AJ108" s="59"/>
      <c r="AK108" s="59"/>
      <c r="AL108" s="59"/>
      <c r="AM108" s="59"/>
      <c r="AN108" s="59"/>
      <c r="AO108" s="59"/>
      <c r="AP108" s="59"/>
      <c r="AQ108" s="59"/>
      <c r="AR108" s="59"/>
      <c r="AS108" s="59"/>
      <c r="AT108" s="59"/>
      <c r="AU108" s="59"/>
      <c r="AV108" s="59"/>
      <c r="AW108" s="18"/>
    </row>
    <row r="109" spans="1:87" s="20" customFormat="1" ht="15">
      <c r="A109" s="40">
        <f t="shared" si="0"/>
        <v>103</v>
      </c>
      <c r="B109" s="59"/>
      <c r="C109" s="59"/>
      <c r="D109" s="59"/>
      <c r="E109" s="59"/>
      <c r="F109" s="59"/>
      <c r="G109" s="59"/>
      <c r="H109" s="59"/>
      <c r="I109" s="59"/>
      <c r="J109" s="215" t="s">
        <v>5109</v>
      </c>
      <c r="K109" s="215" t="s">
        <v>117</v>
      </c>
      <c r="L109" s="204" t="s">
        <v>1755</v>
      </c>
      <c r="M109" s="204"/>
      <c r="N109" s="40" t="s">
        <v>504</v>
      </c>
      <c r="O109" s="126"/>
      <c r="P109" s="126"/>
      <c r="Q109" s="126" t="s">
        <v>6</v>
      </c>
      <c r="R109" s="126" t="s">
        <v>6</v>
      </c>
      <c r="S109" s="126" t="s">
        <v>6</v>
      </c>
      <c r="T109" s="40"/>
      <c r="U109" s="200" t="s">
        <v>5110</v>
      </c>
      <c r="V109" s="220"/>
      <c r="W109" s="215" t="s">
        <v>125</v>
      </c>
      <c r="X109" s="59"/>
      <c r="Y109" s="59"/>
      <c r="Z109" s="61"/>
      <c r="AA109" s="61" t="s">
        <v>6</v>
      </c>
      <c r="AB109" s="59"/>
      <c r="AC109" s="59"/>
      <c r="AD109" s="59"/>
      <c r="AE109" s="215" t="s">
        <v>125</v>
      </c>
      <c r="AF109" s="59"/>
      <c r="AG109" s="59"/>
      <c r="AH109" s="61"/>
      <c r="AI109" s="61" t="s">
        <v>6</v>
      </c>
      <c r="AJ109" s="59"/>
      <c r="AK109" s="59"/>
      <c r="AL109" s="59"/>
      <c r="AM109" s="59"/>
      <c r="AN109" s="59"/>
      <c r="AO109" s="59"/>
      <c r="AP109" s="59"/>
      <c r="AQ109" s="59"/>
      <c r="AR109" s="59"/>
      <c r="AS109" s="59"/>
      <c r="AT109" s="59"/>
      <c r="AU109" s="59"/>
      <c r="AV109" s="59"/>
      <c r="AW109" s="18"/>
    </row>
    <row r="110" spans="1:87" s="20" customFormat="1" ht="15">
      <c r="A110" s="416">
        <f t="shared" si="0"/>
        <v>104</v>
      </c>
      <c r="B110" s="59"/>
      <c r="C110" s="59"/>
      <c r="D110" s="59"/>
      <c r="E110" s="59"/>
      <c r="F110" s="59"/>
      <c r="G110" s="59"/>
      <c r="H110" s="59"/>
      <c r="I110" s="59"/>
      <c r="J110" s="215" t="s">
        <v>5111</v>
      </c>
      <c r="K110" s="215" t="s">
        <v>125</v>
      </c>
      <c r="L110" s="204" t="s">
        <v>5112</v>
      </c>
      <c r="M110" s="204"/>
      <c r="N110" s="40" t="s">
        <v>504</v>
      </c>
      <c r="O110" s="126"/>
      <c r="P110" s="126"/>
      <c r="Q110" s="126"/>
      <c r="R110" s="126"/>
      <c r="S110" s="126" t="s">
        <v>6</v>
      </c>
      <c r="T110" s="40"/>
      <c r="U110" s="200" t="s">
        <v>5110</v>
      </c>
      <c r="V110" s="220"/>
      <c r="W110" s="215" t="s">
        <v>125</v>
      </c>
      <c r="X110" s="59"/>
      <c r="Y110" s="59"/>
      <c r="Z110" s="61"/>
      <c r="AA110" s="61" t="s">
        <v>6</v>
      </c>
      <c r="AB110" s="59"/>
      <c r="AC110" s="59"/>
      <c r="AD110" s="59"/>
      <c r="AE110" s="215" t="s">
        <v>125</v>
      </c>
      <c r="AF110" s="59"/>
      <c r="AG110" s="59"/>
      <c r="AH110" s="61"/>
      <c r="AI110" s="61" t="s">
        <v>6</v>
      </c>
      <c r="AJ110" s="59"/>
      <c r="AK110" s="59"/>
      <c r="AL110" s="59"/>
      <c r="AM110" s="59"/>
      <c r="AN110" s="59"/>
      <c r="AO110" s="59"/>
      <c r="AP110" s="59"/>
      <c r="AQ110" s="59"/>
      <c r="AR110" s="59"/>
      <c r="AS110" s="59"/>
      <c r="AT110" s="59"/>
      <c r="AU110" s="59"/>
      <c r="AV110" s="59"/>
      <c r="AW110" s="18"/>
    </row>
    <row r="111" spans="1:87" s="20" customFormat="1" ht="26.4">
      <c r="A111" s="40">
        <f t="shared" si="0"/>
        <v>105</v>
      </c>
      <c r="B111" s="59"/>
      <c r="C111" s="59"/>
      <c r="D111" s="59"/>
      <c r="E111" s="59"/>
      <c r="F111" s="59"/>
      <c r="G111" s="59"/>
      <c r="H111" s="59"/>
      <c r="I111" s="59"/>
      <c r="J111" s="215" t="s">
        <v>5113</v>
      </c>
      <c r="K111" s="215" t="s">
        <v>117</v>
      </c>
      <c r="L111" s="204" t="s">
        <v>5114</v>
      </c>
      <c r="M111" s="204"/>
      <c r="N111" s="40" t="s">
        <v>504</v>
      </c>
      <c r="O111" s="126"/>
      <c r="P111" s="126"/>
      <c r="Q111" s="126" t="s">
        <v>6</v>
      </c>
      <c r="R111" s="126" t="s">
        <v>6</v>
      </c>
      <c r="S111" s="126" t="s">
        <v>6</v>
      </c>
      <c r="T111" s="40"/>
      <c r="U111" s="201" t="s">
        <v>5115</v>
      </c>
      <c r="V111" s="220"/>
      <c r="W111" s="215" t="s">
        <v>125</v>
      </c>
      <c r="X111" s="59"/>
      <c r="Y111" s="59"/>
      <c r="Z111" s="61"/>
      <c r="AA111" s="61" t="s">
        <v>6</v>
      </c>
      <c r="AB111" s="59"/>
      <c r="AC111" s="59"/>
      <c r="AD111" s="59"/>
      <c r="AE111" s="215" t="s">
        <v>125</v>
      </c>
      <c r="AF111" s="59"/>
      <c r="AG111" s="59"/>
      <c r="AH111" s="61"/>
      <c r="AI111" s="61" t="s">
        <v>6</v>
      </c>
      <c r="AJ111" s="59"/>
      <c r="AK111" s="59"/>
      <c r="AL111" s="59"/>
      <c r="AM111" s="59"/>
      <c r="AN111" s="59"/>
      <c r="AO111" s="59"/>
      <c r="AP111" s="59"/>
      <c r="AQ111" s="59"/>
      <c r="AR111" s="59"/>
      <c r="AS111" s="59"/>
      <c r="AT111" s="59"/>
      <c r="AU111" s="59"/>
      <c r="AV111" s="59"/>
      <c r="AW111" s="18"/>
    </row>
    <row r="112" spans="1:87" s="20" customFormat="1" ht="15">
      <c r="A112" s="40">
        <f t="shared" si="0"/>
        <v>106</v>
      </c>
      <c r="B112" s="59"/>
      <c r="C112" s="59"/>
      <c r="D112" s="59"/>
      <c r="E112" s="59"/>
      <c r="F112" s="59"/>
      <c r="G112" s="59"/>
      <c r="H112" s="59"/>
      <c r="I112" s="59"/>
      <c r="J112" s="215" t="s">
        <v>5116</v>
      </c>
      <c r="K112" s="215" t="s">
        <v>117</v>
      </c>
      <c r="L112" s="204" t="s">
        <v>5114</v>
      </c>
      <c r="M112" s="204"/>
      <c r="N112" s="40" t="s">
        <v>504</v>
      </c>
      <c r="O112" s="126"/>
      <c r="P112" s="126"/>
      <c r="Q112" s="126" t="s">
        <v>6</v>
      </c>
      <c r="R112" s="126" t="s">
        <v>6</v>
      </c>
      <c r="S112" s="126" t="s">
        <v>6</v>
      </c>
      <c r="T112" s="40"/>
      <c r="U112" s="200" t="s">
        <v>5110</v>
      </c>
      <c r="V112" s="220"/>
      <c r="W112" s="215" t="s">
        <v>125</v>
      </c>
      <c r="X112" s="59"/>
      <c r="Y112" s="59"/>
      <c r="Z112" s="61"/>
      <c r="AA112" s="61" t="s">
        <v>6</v>
      </c>
      <c r="AB112" s="59"/>
      <c r="AC112" s="59"/>
      <c r="AD112" s="59"/>
      <c r="AE112" s="215" t="s">
        <v>125</v>
      </c>
      <c r="AF112" s="59"/>
      <c r="AG112" s="59"/>
      <c r="AH112" s="61"/>
      <c r="AI112" s="61" t="s">
        <v>6</v>
      </c>
      <c r="AJ112" s="59"/>
      <c r="AK112" s="59"/>
      <c r="AL112" s="59"/>
      <c r="AM112" s="59"/>
      <c r="AN112" s="59"/>
      <c r="AO112" s="59"/>
      <c r="AP112" s="59"/>
      <c r="AQ112" s="59"/>
      <c r="AR112" s="59"/>
      <c r="AS112" s="59"/>
      <c r="AT112" s="59"/>
      <c r="AU112" s="59"/>
      <c r="AV112" s="59"/>
      <c r="AW112" s="18"/>
    </row>
    <row r="113" spans="1:87" s="20" customFormat="1" ht="15">
      <c r="A113" s="40">
        <f t="shared" si="0"/>
        <v>107</v>
      </c>
      <c r="B113" s="59"/>
      <c r="C113" s="59"/>
      <c r="D113" s="59"/>
      <c r="E113" s="59"/>
      <c r="F113" s="59"/>
      <c r="G113" s="59"/>
      <c r="H113" s="59"/>
      <c r="I113" s="59"/>
      <c r="J113" s="215" t="s">
        <v>5117</v>
      </c>
      <c r="K113" s="215" t="s">
        <v>125</v>
      </c>
      <c r="L113" s="204" t="s">
        <v>5118</v>
      </c>
      <c r="M113" s="204"/>
      <c r="N113" s="40" t="s">
        <v>504</v>
      </c>
      <c r="O113" s="126"/>
      <c r="P113" s="126"/>
      <c r="Q113" s="126"/>
      <c r="R113" s="126"/>
      <c r="S113" s="126" t="s">
        <v>6</v>
      </c>
      <c r="T113" s="40"/>
      <c r="U113" s="204" t="s">
        <v>5110</v>
      </c>
      <c r="V113" s="220"/>
      <c r="W113" s="215" t="s">
        <v>125</v>
      </c>
      <c r="X113" s="59"/>
      <c r="Y113" s="59"/>
      <c r="Z113" s="61"/>
      <c r="AA113" s="61" t="s">
        <v>6</v>
      </c>
      <c r="AB113" s="59"/>
      <c r="AC113" s="59"/>
      <c r="AD113" s="59"/>
      <c r="AE113" s="215" t="s">
        <v>125</v>
      </c>
      <c r="AF113" s="59"/>
      <c r="AG113" s="59"/>
      <c r="AH113" s="61"/>
      <c r="AI113" s="61" t="s">
        <v>6</v>
      </c>
      <c r="AJ113" s="59"/>
      <c r="AK113" s="59"/>
      <c r="AL113" s="59"/>
      <c r="AM113" s="59"/>
      <c r="AN113" s="59"/>
      <c r="AO113" s="59"/>
      <c r="AP113" s="59"/>
      <c r="AQ113" s="59"/>
      <c r="AR113" s="59"/>
      <c r="AS113" s="59"/>
      <c r="AT113" s="59"/>
      <c r="AU113" s="59"/>
      <c r="AV113" s="59"/>
      <c r="AW113" s="18"/>
    </row>
    <row r="114" spans="1:87" s="20" customFormat="1" ht="15">
      <c r="A114" s="40">
        <f t="shared" si="0"/>
        <v>108</v>
      </c>
      <c r="B114" s="19"/>
      <c r="C114" s="48"/>
      <c r="D114" s="19"/>
      <c r="E114" s="19"/>
      <c r="F114" s="19"/>
      <c r="G114" s="19"/>
      <c r="H114" s="13"/>
      <c r="I114" s="13"/>
      <c r="J114" s="215" t="s">
        <v>5119</v>
      </c>
      <c r="K114" s="412" t="s">
        <v>117</v>
      </c>
      <c r="L114" s="215" t="s">
        <v>5120</v>
      </c>
      <c r="M114" s="215"/>
      <c r="N114" s="40" t="s">
        <v>504</v>
      </c>
      <c r="O114" s="40"/>
      <c r="P114" s="40"/>
      <c r="Q114" s="126" t="s">
        <v>6</v>
      </c>
      <c r="R114" s="126" t="s">
        <v>6</v>
      </c>
      <c r="S114" s="126" t="s">
        <v>6</v>
      </c>
      <c r="T114" s="126"/>
      <c r="U114" s="204" t="s">
        <v>5121</v>
      </c>
      <c r="V114" s="204"/>
      <c r="W114" s="215" t="s">
        <v>133</v>
      </c>
      <c r="X114" s="13"/>
      <c r="Y114" s="13"/>
      <c r="Z114" s="61" t="s">
        <v>6</v>
      </c>
      <c r="AA114" s="61"/>
      <c r="AB114" s="204"/>
      <c r="AC114" s="415"/>
      <c r="AD114" s="415"/>
      <c r="AE114" s="215" t="s">
        <v>133</v>
      </c>
      <c r="AF114" s="13"/>
      <c r="AG114" s="13"/>
      <c r="AH114" s="61" t="s">
        <v>6</v>
      </c>
      <c r="AI114" s="61"/>
      <c r="AJ114" s="204"/>
      <c r="AK114" s="415"/>
      <c r="AL114" s="415"/>
      <c r="AM114" s="43"/>
      <c r="AN114" s="19"/>
      <c r="AO114" s="13"/>
      <c r="AP114" s="13"/>
      <c r="AQ114" s="13"/>
      <c r="AR114" s="13"/>
      <c r="AS114" s="13"/>
      <c r="AT114" s="13"/>
      <c r="AU114" s="15"/>
      <c r="AV114" s="15"/>
      <c r="AW114" s="18"/>
    </row>
    <row r="115" spans="1:87" s="20" customFormat="1" ht="26.4">
      <c r="A115" s="40">
        <f t="shared" si="0"/>
        <v>109</v>
      </c>
      <c r="B115" s="59"/>
      <c r="C115" s="59"/>
      <c r="D115" s="59"/>
      <c r="E115" s="59"/>
      <c r="F115" s="59"/>
      <c r="G115" s="59"/>
      <c r="H115" s="59"/>
      <c r="I115" s="59"/>
      <c r="J115" s="218" t="s">
        <v>5122</v>
      </c>
      <c r="K115" s="204" t="s">
        <v>117</v>
      </c>
      <c r="L115" s="204" t="s">
        <v>3998</v>
      </c>
      <c r="M115" s="204"/>
      <c r="N115" s="40" t="s">
        <v>504</v>
      </c>
      <c r="O115" s="126"/>
      <c r="P115" s="126"/>
      <c r="Q115" s="40" t="s">
        <v>6</v>
      </c>
      <c r="R115" s="40" t="s">
        <v>6</v>
      </c>
      <c r="S115" s="40" t="s">
        <v>6</v>
      </c>
      <c r="T115" s="40"/>
      <c r="U115" s="204" t="s">
        <v>4919</v>
      </c>
      <c r="V115" s="206"/>
      <c r="W115" s="204" t="s">
        <v>125</v>
      </c>
      <c r="X115" s="59"/>
      <c r="Y115" s="59"/>
      <c r="Z115" s="59"/>
      <c r="AA115" s="40" t="s">
        <v>6</v>
      </c>
      <c r="AB115" s="15"/>
      <c r="AC115" s="59"/>
      <c r="AD115" s="59"/>
      <c r="AE115" s="204" t="s">
        <v>125</v>
      </c>
      <c r="AF115" s="59"/>
      <c r="AG115" s="59"/>
      <c r="AH115" s="59"/>
      <c r="AI115" s="40" t="s">
        <v>6</v>
      </c>
      <c r="AJ115" s="15"/>
      <c r="AK115" s="59"/>
      <c r="AL115" s="59"/>
      <c r="AM115" s="59"/>
      <c r="AN115" s="59"/>
      <c r="AO115" s="59"/>
      <c r="AP115" s="59"/>
      <c r="AQ115" s="59"/>
      <c r="AR115" s="59"/>
      <c r="AS115" s="59"/>
      <c r="AT115" s="59"/>
      <c r="AU115" s="59"/>
      <c r="AV115" s="59"/>
      <c r="AW115" s="18"/>
    </row>
    <row r="116" spans="1:87" s="20" customFormat="1" ht="15">
      <c r="A116" s="416">
        <f t="shared" si="0"/>
        <v>110</v>
      </c>
      <c r="B116" s="59"/>
      <c r="C116" s="59"/>
      <c r="D116" s="59"/>
      <c r="E116" s="59"/>
      <c r="F116" s="59"/>
      <c r="G116" s="59"/>
      <c r="H116" s="59"/>
      <c r="I116" s="59"/>
      <c r="J116" s="412" t="s">
        <v>5123</v>
      </c>
      <c r="K116" s="412" t="s">
        <v>149</v>
      </c>
      <c r="L116" s="204" t="s">
        <v>792</v>
      </c>
      <c r="M116" s="204"/>
      <c r="N116" s="40" t="s">
        <v>504</v>
      </c>
      <c r="O116" s="126"/>
      <c r="P116" s="126"/>
      <c r="Q116" s="126" t="s">
        <v>6</v>
      </c>
      <c r="R116" s="126" t="s">
        <v>6</v>
      </c>
      <c r="S116" s="126" t="s">
        <v>6</v>
      </c>
      <c r="T116" s="126"/>
      <c r="U116" s="232"/>
      <c r="V116" s="232"/>
      <c r="W116" s="412" t="s">
        <v>113</v>
      </c>
      <c r="X116" s="59"/>
      <c r="Y116" s="59"/>
      <c r="Z116" s="61" t="s">
        <v>6</v>
      </c>
      <c r="AA116" s="61" t="s">
        <v>6</v>
      </c>
      <c r="AB116" s="15"/>
      <c r="AC116" s="59"/>
      <c r="AD116" s="59"/>
      <c r="AE116" s="412" t="s">
        <v>113</v>
      </c>
      <c r="AF116" s="59"/>
      <c r="AG116" s="59"/>
      <c r="AH116" s="61" t="s">
        <v>6</v>
      </c>
      <c r="AI116" s="61" t="s">
        <v>6</v>
      </c>
      <c r="AJ116" s="15"/>
      <c r="AK116" s="59"/>
      <c r="AL116" s="59"/>
      <c r="AM116" s="59"/>
      <c r="AN116" s="59"/>
      <c r="AO116" s="59"/>
      <c r="AP116" s="59"/>
      <c r="AQ116" s="59"/>
      <c r="AR116" s="59"/>
      <c r="AS116" s="59"/>
      <c r="AT116" s="59"/>
      <c r="AU116" s="59"/>
      <c r="AV116" s="59"/>
      <c r="AW116" s="18"/>
    </row>
    <row r="117" spans="1:87" s="20" customFormat="1" ht="39.6">
      <c r="A117" s="40">
        <f t="shared" si="0"/>
        <v>111</v>
      </c>
      <c r="B117" s="59"/>
      <c r="C117" s="59"/>
      <c r="D117" s="59"/>
      <c r="E117" s="59"/>
      <c r="F117" s="59"/>
      <c r="G117" s="59"/>
      <c r="H117" s="59"/>
      <c r="I117" s="59"/>
      <c r="J117" s="218" t="s">
        <v>5124</v>
      </c>
      <c r="K117" s="204" t="s">
        <v>140</v>
      </c>
      <c r="L117" s="204" t="s">
        <v>754</v>
      </c>
      <c r="M117" s="204"/>
      <c r="N117" s="40" t="s">
        <v>504</v>
      </c>
      <c r="O117" s="126"/>
      <c r="P117" s="126"/>
      <c r="Q117" s="40" t="s">
        <v>6</v>
      </c>
      <c r="R117" s="40" t="s">
        <v>6</v>
      </c>
      <c r="S117" s="40" t="s">
        <v>6</v>
      </c>
      <c r="T117" s="40"/>
      <c r="U117" s="204" t="s">
        <v>5125</v>
      </c>
      <c r="V117" s="206"/>
      <c r="W117" s="204" t="s">
        <v>125</v>
      </c>
      <c r="X117" s="59"/>
      <c r="Y117" s="59"/>
      <c r="Z117" s="59"/>
      <c r="AA117" s="40" t="s">
        <v>6</v>
      </c>
      <c r="AB117" s="15"/>
      <c r="AC117" s="59"/>
      <c r="AD117" s="59"/>
      <c r="AE117" s="204" t="s">
        <v>125</v>
      </c>
      <c r="AF117" s="59"/>
      <c r="AG117" s="59"/>
      <c r="AH117" s="59"/>
      <c r="AI117" s="40" t="s">
        <v>6</v>
      </c>
      <c r="AJ117" s="15"/>
      <c r="AK117" s="59"/>
      <c r="AL117" s="59"/>
      <c r="AM117" s="59"/>
      <c r="AN117" s="59"/>
      <c r="AO117" s="59"/>
      <c r="AP117" s="59"/>
      <c r="AQ117" s="59"/>
      <c r="AR117" s="59"/>
      <c r="AS117" s="59"/>
      <c r="AT117" s="59"/>
      <c r="AU117" s="59"/>
      <c r="AV117" s="59"/>
      <c r="AW117" s="18"/>
    </row>
    <row r="118" spans="1:87" s="20" customFormat="1" ht="26.4">
      <c r="A118" s="40">
        <f t="shared" si="0"/>
        <v>112</v>
      </c>
      <c r="B118" s="59"/>
      <c r="C118" s="59"/>
      <c r="D118" s="59"/>
      <c r="E118" s="59"/>
      <c r="F118" s="59"/>
      <c r="G118" s="59"/>
      <c r="H118" s="59"/>
      <c r="I118" s="59"/>
      <c r="J118" s="218" t="s">
        <v>5126</v>
      </c>
      <c r="K118" s="204" t="s">
        <v>117</v>
      </c>
      <c r="L118" s="204" t="s">
        <v>3970</v>
      </c>
      <c r="M118" s="204"/>
      <c r="N118" s="40" t="s">
        <v>504</v>
      </c>
      <c r="O118" s="126"/>
      <c r="P118" s="126"/>
      <c r="Q118" s="40" t="s">
        <v>6</v>
      </c>
      <c r="R118" s="40" t="s">
        <v>6</v>
      </c>
      <c r="S118" s="40" t="s">
        <v>6</v>
      </c>
      <c r="T118" s="40"/>
      <c r="U118" s="204" t="s">
        <v>3963</v>
      </c>
      <c r="V118" s="206"/>
      <c r="W118" s="204" t="s">
        <v>125</v>
      </c>
      <c r="X118" s="59"/>
      <c r="Y118" s="59"/>
      <c r="Z118" s="59"/>
      <c r="AA118" s="40" t="s">
        <v>6</v>
      </c>
      <c r="AB118" s="218"/>
      <c r="AC118" s="59"/>
      <c r="AD118" s="218" t="s">
        <v>709</v>
      </c>
      <c r="AE118" s="204" t="s">
        <v>125</v>
      </c>
      <c r="AF118" s="59"/>
      <c r="AG118" s="59"/>
      <c r="AH118" s="59"/>
      <c r="AI118" s="40" t="s">
        <v>6</v>
      </c>
      <c r="AJ118" s="218"/>
      <c r="AK118" s="59"/>
      <c r="AL118" s="218" t="s">
        <v>709</v>
      </c>
      <c r="AM118" s="59"/>
      <c r="AN118" s="59"/>
      <c r="AO118" s="59"/>
      <c r="AP118" s="59"/>
      <c r="AQ118" s="59"/>
      <c r="AR118" s="59"/>
      <c r="AS118" s="59"/>
      <c r="AT118" s="59"/>
      <c r="AU118" s="59"/>
      <c r="AV118" s="59"/>
      <c r="AW118" s="18"/>
    </row>
    <row r="119" spans="1:87" s="20" customFormat="1" ht="26.4">
      <c r="A119" s="40">
        <f t="shared" si="0"/>
        <v>113</v>
      </c>
      <c r="B119" s="59"/>
      <c r="C119" s="59"/>
      <c r="D119" s="59"/>
      <c r="E119" s="59"/>
      <c r="F119" s="59"/>
      <c r="G119" s="59"/>
      <c r="H119" s="59"/>
      <c r="I119" s="59"/>
      <c r="J119" s="218" t="s">
        <v>5127</v>
      </c>
      <c r="K119" s="204" t="s">
        <v>128</v>
      </c>
      <c r="L119" s="204" t="s">
        <v>703</v>
      </c>
      <c r="M119" s="204"/>
      <c r="N119" s="40" t="s">
        <v>504</v>
      </c>
      <c r="O119" s="126"/>
      <c r="P119" s="126"/>
      <c r="Q119" s="40" t="s">
        <v>6</v>
      </c>
      <c r="R119" s="40" t="s">
        <v>6</v>
      </c>
      <c r="S119" s="40" t="s">
        <v>6</v>
      </c>
      <c r="T119" s="40"/>
      <c r="U119" s="204" t="s">
        <v>3921</v>
      </c>
      <c r="V119" s="206"/>
      <c r="W119" s="204" t="s">
        <v>125</v>
      </c>
      <c r="X119" s="59"/>
      <c r="Y119" s="59"/>
      <c r="Z119" s="59"/>
      <c r="AA119" s="40" t="s">
        <v>6</v>
      </c>
      <c r="AB119" s="15"/>
      <c r="AC119" s="59"/>
      <c r="AD119" s="59"/>
      <c r="AE119" s="204" t="s">
        <v>125</v>
      </c>
      <c r="AF119" s="59"/>
      <c r="AG119" s="59"/>
      <c r="AH119" s="59"/>
      <c r="AI119" s="40" t="s">
        <v>6</v>
      </c>
      <c r="AJ119" s="15"/>
      <c r="AK119" s="59"/>
      <c r="AL119" s="59"/>
      <c r="AM119" s="59"/>
      <c r="AN119" s="59"/>
      <c r="AO119" s="59"/>
      <c r="AP119" s="59"/>
      <c r="AQ119" s="59"/>
      <c r="AR119" s="59"/>
      <c r="AS119" s="59"/>
      <c r="AT119" s="59"/>
      <c r="AU119" s="59"/>
      <c r="AV119" s="59"/>
      <c r="AW119" s="18"/>
    </row>
    <row r="120" spans="1:87" s="20" customFormat="1" ht="26.4">
      <c r="A120" s="40">
        <f t="shared" si="0"/>
        <v>114</v>
      </c>
      <c r="B120" s="59"/>
      <c r="C120" s="59"/>
      <c r="D120" s="59"/>
      <c r="E120" s="59"/>
      <c r="F120" s="59"/>
      <c r="G120" s="59"/>
      <c r="H120" s="59"/>
      <c r="I120" s="59"/>
      <c r="J120" s="218" t="s">
        <v>5128</v>
      </c>
      <c r="K120" s="204" t="s">
        <v>117</v>
      </c>
      <c r="L120" s="204" t="s">
        <v>3983</v>
      </c>
      <c r="M120" s="204"/>
      <c r="N120" s="40" t="s">
        <v>504</v>
      </c>
      <c r="O120" s="126"/>
      <c r="P120" s="126"/>
      <c r="Q120" s="40" t="s">
        <v>6</v>
      </c>
      <c r="R120" s="40" t="s">
        <v>6</v>
      </c>
      <c r="S120" s="40" t="s">
        <v>6</v>
      </c>
      <c r="T120" s="40"/>
      <c r="U120" s="200" t="s">
        <v>3921</v>
      </c>
      <c r="V120" s="206"/>
      <c r="W120" s="204" t="s">
        <v>125</v>
      </c>
      <c r="X120" s="59"/>
      <c r="Y120" s="59"/>
      <c r="Z120" s="59"/>
      <c r="AA120" s="40" t="s">
        <v>6</v>
      </c>
      <c r="AB120" s="218"/>
      <c r="AC120" s="59"/>
      <c r="AD120" s="218" t="s">
        <v>709</v>
      </c>
      <c r="AE120" s="204" t="s">
        <v>125</v>
      </c>
      <c r="AF120" s="59"/>
      <c r="AG120" s="59"/>
      <c r="AH120" s="59"/>
      <c r="AI120" s="40" t="s">
        <v>6</v>
      </c>
      <c r="AJ120" s="218"/>
      <c r="AK120" s="59"/>
      <c r="AL120" s="218" t="s">
        <v>709</v>
      </c>
      <c r="AM120" s="59"/>
      <c r="AN120" s="59"/>
      <c r="AO120" s="59"/>
      <c r="AP120" s="59"/>
      <c r="AQ120" s="59"/>
      <c r="AR120" s="59"/>
      <c r="AS120" s="59"/>
      <c r="AT120" s="59"/>
      <c r="AU120" s="59"/>
      <c r="AV120" s="59"/>
      <c r="AW120" s="18"/>
    </row>
    <row r="121" spans="1:87" s="18" customFormat="1" ht="15">
      <c r="A121" s="40">
        <f t="shared" si="0"/>
        <v>115</v>
      </c>
      <c r="B121" s="38"/>
      <c r="C121" s="42"/>
      <c r="D121" s="38"/>
      <c r="E121" s="46"/>
      <c r="F121" s="46"/>
      <c r="G121" s="46"/>
      <c r="H121" s="13"/>
      <c r="I121" s="40"/>
      <c r="J121" s="215" t="s">
        <v>5129</v>
      </c>
      <c r="K121" s="412" t="s">
        <v>117</v>
      </c>
      <c r="L121" s="215" t="s">
        <v>1760</v>
      </c>
      <c r="M121" s="215"/>
      <c r="N121" s="40" t="s">
        <v>504</v>
      </c>
      <c r="O121" s="40"/>
      <c r="P121" s="40"/>
      <c r="Q121" s="126" t="s">
        <v>6</v>
      </c>
      <c r="R121" s="126" t="s">
        <v>6</v>
      </c>
      <c r="S121" s="126" t="s">
        <v>6</v>
      </c>
      <c r="T121" s="126"/>
      <c r="U121" s="204"/>
      <c r="V121" s="204"/>
      <c r="W121" s="215" t="s">
        <v>125</v>
      </c>
      <c r="X121" s="40"/>
      <c r="Y121" s="413"/>
      <c r="Z121" s="61"/>
      <c r="AA121" s="61" t="s">
        <v>6</v>
      </c>
      <c r="AB121" s="413"/>
      <c r="AC121" s="413"/>
      <c r="AD121" s="413"/>
      <c r="AE121" s="215" t="s">
        <v>125</v>
      </c>
      <c r="AF121" s="40"/>
      <c r="AG121" s="413"/>
      <c r="AH121" s="61"/>
      <c r="AI121" s="61" t="s">
        <v>6</v>
      </c>
      <c r="AJ121" s="413"/>
      <c r="AK121" s="413"/>
      <c r="AL121" s="413"/>
      <c r="AM121" s="45"/>
      <c r="AN121" s="53"/>
      <c r="AO121" s="266"/>
      <c r="AP121" s="266"/>
      <c r="AQ121" s="266"/>
      <c r="AR121" s="266"/>
      <c r="AS121" s="15"/>
      <c r="AT121" s="15"/>
      <c r="AU121" s="15"/>
      <c r="AV121" s="13"/>
      <c r="AX121" s="12"/>
      <c r="AY121" s="12"/>
      <c r="AZ121" s="12"/>
      <c r="BA121" s="12"/>
      <c r="BB121" s="12"/>
      <c r="BC121" s="12"/>
      <c r="BD121" s="12"/>
      <c r="BE121" s="12"/>
      <c r="BF121" s="12"/>
      <c r="BG121" s="12"/>
      <c r="BH121" s="12"/>
      <c r="BI121" s="12"/>
      <c r="BJ121" s="12"/>
      <c r="BK121" s="12"/>
      <c r="BL121" s="12"/>
      <c r="BM121" s="12"/>
      <c r="BN121" s="12"/>
      <c r="BO121" s="12"/>
      <c r="BP121" s="12"/>
      <c r="BQ121" s="12"/>
      <c r="BR121" s="12"/>
      <c r="BS121" s="12"/>
      <c r="BT121" s="12"/>
      <c r="BU121" s="12"/>
      <c r="BV121" s="12"/>
      <c r="BW121" s="12"/>
      <c r="BX121" s="12"/>
      <c r="BY121" s="12"/>
      <c r="BZ121" s="12"/>
      <c r="CA121" s="12"/>
      <c r="CB121" s="12"/>
      <c r="CC121" s="12"/>
      <c r="CD121" s="12"/>
      <c r="CE121" s="12"/>
      <c r="CF121" s="12"/>
      <c r="CG121" s="12"/>
      <c r="CH121" s="12"/>
      <c r="CI121" s="12"/>
    </row>
    <row r="122" spans="1:87" s="20" customFormat="1" ht="39.6">
      <c r="A122" s="416">
        <f t="shared" si="0"/>
        <v>116</v>
      </c>
      <c r="B122" s="59"/>
      <c r="C122" s="59"/>
      <c r="D122" s="59"/>
      <c r="E122" s="59"/>
      <c r="F122" s="59"/>
      <c r="G122" s="59"/>
      <c r="H122" s="59"/>
      <c r="I122" s="59"/>
      <c r="J122" s="218" t="s">
        <v>5130</v>
      </c>
      <c r="K122" s="204" t="s">
        <v>117</v>
      </c>
      <c r="L122" s="204" t="s">
        <v>4025</v>
      </c>
      <c r="M122" s="204"/>
      <c r="N122" s="40" t="s">
        <v>504</v>
      </c>
      <c r="O122" s="126"/>
      <c r="P122" s="126"/>
      <c r="Q122" s="40"/>
      <c r="R122" s="40" t="s">
        <v>6</v>
      </c>
      <c r="S122" s="40" t="s">
        <v>6</v>
      </c>
      <c r="T122" s="40"/>
      <c r="U122" s="204" t="s">
        <v>4787</v>
      </c>
      <c r="V122" s="206"/>
      <c r="W122" s="215" t="s">
        <v>125</v>
      </c>
      <c r="X122" s="59"/>
      <c r="Y122" s="59"/>
      <c r="Z122" s="40"/>
      <c r="AA122" s="40" t="s">
        <v>6</v>
      </c>
      <c r="AB122" s="218"/>
      <c r="AC122" s="59"/>
      <c r="AD122" s="59"/>
      <c r="AE122" s="215" t="s">
        <v>125</v>
      </c>
      <c r="AF122" s="59"/>
      <c r="AG122" s="59"/>
      <c r="AH122" s="40"/>
      <c r="AI122" s="40" t="s">
        <v>6</v>
      </c>
      <c r="AJ122" s="218"/>
      <c r="AK122" s="59"/>
      <c r="AL122" s="59"/>
      <c r="AM122" s="59"/>
      <c r="AN122" s="59"/>
      <c r="AO122" s="59"/>
      <c r="AP122" s="59"/>
      <c r="AQ122" s="59"/>
      <c r="AR122" s="59"/>
      <c r="AS122" s="59"/>
      <c r="AT122" s="59"/>
      <c r="AU122" s="59"/>
      <c r="AV122" s="59"/>
      <c r="AW122" s="18"/>
    </row>
    <row r="123" spans="1:87" s="20" customFormat="1" ht="39.6">
      <c r="A123" s="40">
        <f t="shared" si="0"/>
        <v>117</v>
      </c>
      <c r="B123" s="59"/>
      <c r="C123" s="59"/>
      <c r="D123" s="59"/>
      <c r="E123" s="59"/>
      <c r="F123" s="59"/>
      <c r="G123" s="59"/>
      <c r="H123" s="59"/>
      <c r="I123" s="59"/>
      <c r="J123" s="218" t="s">
        <v>5131</v>
      </c>
      <c r="K123" s="204" t="s">
        <v>117</v>
      </c>
      <c r="L123" s="204" t="s">
        <v>793</v>
      </c>
      <c r="M123" s="204"/>
      <c r="N123" s="40" t="s">
        <v>504</v>
      </c>
      <c r="O123" s="126"/>
      <c r="P123" s="126"/>
      <c r="Q123" s="40"/>
      <c r="R123" s="40" t="s">
        <v>6</v>
      </c>
      <c r="S123" s="40" t="s">
        <v>6</v>
      </c>
      <c r="T123" s="40"/>
      <c r="U123" s="204" t="s">
        <v>4795</v>
      </c>
      <c r="V123" s="206"/>
      <c r="W123" s="215" t="s">
        <v>125</v>
      </c>
      <c r="X123" s="59"/>
      <c r="Y123" s="59"/>
      <c r="Z123" s="40"/>
      <c r="AA123" s="40" t="s">
        <v>6</v>
      </c>
      <c r="AB123" s="218"/>
      <c r="AC123" s="59"/>
      <c r="AD123" s="59"/>
      <c r="AE123" s="215" t="s">
        <v>125</v>
      </c>
      <c r="AF123" s="59"/>
      <c r="AG123" s="59"/>
      <c r="AH123" s="40"/>
      <c r="AI123" s="40" t="s">
        <v>6</v>
      </c>
      <c r="AJ123" s="218"/>
      <c r="AK123" s="59"/>
      <c r="AL123" s="59"/>
      <c r="AM123" s="59"/>
      <c r="AN123" s="59"/>
      <c r="AO123" s="59"/>
      <c r="AP123" s="59"/>
      <c r="AQ123" s="59"/>
      <c r="AR123" s="59"/>
      <c r="AS123" s="59"/>
      <c r="AT123" s="59"/>
      <c r="AU123" s="59"/>
      <c r="AV123" s="59"/>
      <c r="AW123" s="18"/>
    </row>
    <row r="124" spans="1:87" s="20" customFormat="1" ht="52.8">
      <c r="A124" s="40">
        <f t="shared" si="0"/>
        <v>118</v>
      </c>
      <c r="B124" s="59"/>
      <c r="C124" s="59"/>
      <c r="D124" s="59"/>
      <c r="E124" s="59"/>
      <c r="F124" s="59"/>
      <c r="G124" s="59"/>
      <c r="H124" s="59"/>
      <c r="I124" s="59" t="s">
        <v>868</v>
      </c>
      <c r="J124" s="218" t="s">
        <v>5132</v>
      </c>
      <c r="K124" s="232" t="s">
        <v>117</v>
      </c>
      <c r="L124" s="204" t="s">
        <v>729</v>
      </c>
      <c r="M124" s="204"/>
      <c r="N124" s="40" t="s">
        <v>504</v>
      </c>
      <c r="O124" s="126"/>
      <c r="P124" s="126"/>
      <c r="Q124" s="126" t="s">
        <v>6</v>
      </c>
      <c r="R124" s="126" t="s">
        <v>6</v>
      </c>
      <c r="S124" s="126" t="s">
        <v>6</v>
      </c>
      <c r="T124" s="126"/>
      <c r="U124" s="204" t="s">
        <v>1389</v>
      </c>
      <c r="V124" s="206"/>
      <c r="W124" s="232" t="s">
        <v>125</v>
      </c>
      <c r="X124" s="59"/>
      <c r="Y124" s="59"/>
      <c r="Z124" s="59"/>
      <c r="AA124" s="61" t="s">
        <v>6</v>
      </c>
      <c r="AB124" s="15"/>
      <c r="AC124" s="59"/>
      <c r="AD124" s="59"/>
      <c r="AE124" s="232" t="s">
        <v>125</v>
      </c>
      <c r="AF124" s="59"/>
      <c r="AG124" s="59"/>
      <c r="AH124" s="59"/>
      <c r="AI124" s="61" t="s">
        <v>6</v>
      </c>
      <c r="AJ124" s="15"/>
      <c r="AK124" s="59"/>
      <c r="AL124" s="59"/>
      <c r="AM124" s="59"/>
      <c r="AN124" s="59"/>
      <c r="AO124" s="59"/>
      <c r="AP124" s="59"/>
      <c r="AQ124" s="59"/>
      <c r="AR124" s="59"/>
      <c r="AS124" s="59"/>
      <c r="AT124" s="59"/>
      <c r="AU124" s="59"/>
      <c r="AV124" s="59"/>
      <c r="AW124" s="18"/>
    </row>
    <row r="125" spans="1:87" s="20" customFormat="1" ht="39.6">
      <c r="A125" s="40">
        <f t="shared" si="0"/>
        <v>119</v>
      </c>
      <c r="B125" s="59"/>
      <c r="C125" s="59"/>
      <c r="D125" s="59"/>
      <c r="E125" s="59"/>
      <c r="F125" s="59"/>
      <c r="G125" s="59"/>
      <c r="H125" s="59"/>
      <c r="I125" s="59" t="s">
        <v>868</v>
      </c>
      <c r="J125" s="218" t="s">
        <v>5133</v>
      </c>
      <c r="K125" s="232" t="s">
        <v>117</v>
      </c>
      <c r="L125" s="204" t="s">
        <v>3933</v>
      </c>
      <c r="M125" s="204"/>
      <c r="N125" s="40" t="s">
        <v>504</v>
      </c>
      <c r="O125" s="126"/>
      <c r="P125" s="126"/>
      <c r="Q125" s="126" t="s">
        <v>6</v>
      </c>
      <c r="R125" s="126" t="s">
        <v>6</v>
      </c>
      <c r="S125" s="126" t="s">
        <v>6</v>
      </c>
      <c r="T125" s="126"/>
      <c r="U125" s="204" t="s">
        <v>4739</v>
      </c>
      <c r="V125" s="206"/>
      <c r="W125" s="232" t="s">
        <v>125</v>
      </c>
      <c r="X125" s="59"/>
      <c r="Y125" s="59"/>
      <c r="Z125" s="59"/>
      <c r="AA125" s="61" t="s">
        <v>6</v>
      </c>
      <c r="AB125" s="15"/>
      <c r="AC125" s="59"/>
      <c r="AD125" s="59"/>
      <c r="AE125" s="232" t="s">
        <v>125</v>
      </c>
      <c r="AF125" s="59"/>
      <c r="AG125" s="59"/>
      <c r="AH125" s="59"/>
      <c r="AI125" s="61" t="s">
        <v>6</v>
      </c>
      <c r="AJ125" s="15"/>
      <c r="AK125" s="59"/>
      <c r="AL125" s="59"/>
      <c r="AM125" s="59"/>
      <c r="AN125" s="59"/>
      <c r="AO125" s="59"/>
      <c r="AP125" s="59"/>
      <c r="AQ125" s="59"/>
      <c r="AR125" s="59"/>
      <c r="AS125" s="59"/>
      <c r="AT125" s="59"/>
      <c r="AU125" s="59"/>
      <c r="AV125" s="59"/>
      <c r="AW125" s="18"/>
    </row>
    <row r="126" spans="1:87" s="20" customFormat="1" ht="15">
      <c r="A126" s="40">
        <f t="shared" si="0"/>
        <v>120</v>
      </c>
      <c r="B126" s="59"/>
      <c r="C126" s="59"/>
      <c r="D126" s="59"/>
      <c r="E126" s="59"/>
      <c r="F126" s="59"/>
      <c r="G126" s="59"/>
      <c r="H126" s="59"/>
      <c r="I126" s="59" t="s">
        <v>868</v>
      </c>
      <c r="J126" s="218" t="s">
        <v>5134</v>
      </c>
      <c r="K126" s="232" t="s">
        <v>117</v>
      </c>
      <c r="L126" s="204" t="s">
        <v>5135</v>
      </c>
      <c r="M126" s="204"/>
      <c r="N126" s="40" t="s">
        <v>504</v>
      </c>
      <c r="O126" s="126"/>
      <c r="P126" s="126"/>
      <c r="Q126" s="126" t="s">
        <v>6</v>
      </c>
      <c r="R126" s="126" t="s">
        <v>6</v>
      </c>
      <c r="S126" s="126" t="s">
        <v>6</v>
      </c>
      <c r="T126" s="126"/>
      <c r="U126" s="244" t="s">
        <v>5136</v>
      </c>
      <c r="V126" s="206"/>
      <c r="W126" s="232" t="s">
        <v>125</v>
      </c>
      <c r="X126" s="59"/>
      <c r="Y126" s="59"/>
      <c r="Z126" s="59"/>
      <c r="AA126" s="61" t="s">
        <v>6</v>
      </c>
      <c r="AB126" s="15"/>
      <c r="AC126" s="59"/>
      <c r="AD126" s="59"/>
      <c r="AE126" s="232" t="s">
        <v>125</v>
      </c>
      <c r="AF126" s="59"/>
      <c r="AG126" s="59"/>
      <c r="AH126" s="59"/>
      <c r="AI126" s="61" t="s">
        <v>6</v>
      </c>
      <c r="AJ126" s="15"/>
      <c r="AK126" s="59"/>
      <c r="AL126" s="59"/>
      <c r="AM126" s="59"/>
      <c r="AN126" s="59"/>
      <c r="AO126" s="59"/>
      <c r="AP126" s="59"/>
      <c r="AQ126" s="59"/>
      <c r="AR126" s="59"/>
      <c r="AS126" s="59"/>
      <c r="AT126" s="59"/>
      <c r="AU126" s="59"/>
      <c r="AV126" s="59"/>
      <c r="AW126" s="18"/>
    </row>
    <row r="127" spans="1:87" s="20" customFormat="1" ht="39.6">
      <c r="A127" s="40">
        <f t="shared" si="0"/>
        <v>121</v>
      </c>
      <c r="B127" s="59"/>
      <c r="C127" s="59"/>
      <c r="D127" s="59"/>
      <c r="E127" s="59"/>
      <c r="F127" s="59"/>
      <c r="G127" s="59"/>
      <c r="H127" s="59"/>
      <c r="I127" s="59"/>
      <c r="J127" s="218" t="s">
        <v>5137</v>
      </c>
      <c r="K127" s="204" t="s">
        <v>117</v>
      </c>
      <c r="L127" s="204" t="s">
        <v>735</v>
      </c>
      <c r="M127" s="204"/>
      <c r="N127" s="40" t="s">
        <v>504</v>
      </c>
      <c r="O127" s="126"/>
      <c r="P127" s="126"/>
      <c r="Q127" s="40" t="s">
        <v>6</v>
      </c>
      <c r="R127" s="40" t="s">
        <v>6</v>
      </c>
      <c r="S127" s="40" t="s">
        <v>6</v>
      </c>
      <c r="T127" s="40"/>
      <c r="U127" s="204" t="s">
        <v>4739</v>
      </c>
      <c r="V127" s="206"/>
      <c r="W127" s="204" t="s">
        <v>125</v>
      </c>
      <c r="X127" s="59"/>
      <c r="Y127" s="59"/>
      <c r="Z127" s="59"/>
      <c r="AA127" s="40" t="s">
        <v>6</v>
      </c>
      <c r="AB127" s="218"/>
      <c r="AC127" s="59"/>
      <c r="AD127" s="218"/>
      <c r="AE127" s="204" t="s">
        <v>125</v>
      </c>
      <c r="AF127" s="59"/>
      <c r="AG127" s="59"/>
      <c r="AH127" s="59"/>
      <c r="AI127" s="40" t="s">
        <v>6</v>
      </c>
      <c r="AJ127" s="218"/>
      <c r="AK127" s="59"/>
      <c r="AL127" s="218"/>
      <c r="AM127" s="59"/>
      <c r="AN127" s="59"/>
      <c r="AO127" s="59"/>
      <c r="AP127" s="59"/>
      <c r="AQ127" s="59"/>
      <c r="AR127" s="59"/>
      <c r="AS127" s="59"/>
      <c r="AT127" s="59"/>
      <c r="AU127" s="59"/>
      <c r="AV127" s="59"/>
      <c r="AW127" s="18"/>
    </row>
    <row r="128" spans="1:87" s="20" customFormat="1" ht="39.6">
      <c r="A128" s="416">
        <f t="shared" si="0"/>
        <v>122</v>
      </c>
      <c r="B128" s="59"/>
      <c r="C128" s="59"/>
      <c r="D128" s="59"/>
      <c r="E128" s="59"/>
      <c r="F128" s="59"/>
      <c r="G128" s="59"/>
      <c r="H128" s="59"/>
      <c r="I128" s="59"/>
      <c r="J128" s="218" t="s">
        <v>5138</v>
      </c>
      <c r="K128" s="204" t="s">
        <v>117</v>
      </c>
      <c r="L128" s="204" t="s">
        <v>737</v>
      </c>
      <c r="M128" s="204"/>
      <c r="N128" s="40" t="s">
        <v>504</v>
      </c>
      <c r="O128" s="126"/>
      <c r="P128" s="126"/>
      <c r="Q128" s="40" t="s">
        <v>6</v>
      </c>
      <c r="R128" s="40" t="s">
        <v>6</v>
      </c>
      <c r="S128" s="40" t="s">
        <v>6</v>
      </c>
      <c r="T128" s="40"/>
      <c r="U128" s="204" t="s">
        <v>1394</v>
      </c>
      <c r="V128" s="206"/>
      <c r="W128" s="204" t="s">
        <v>125</v>
      </c>
      <c r="X128" s="59"/>
      <c r="Y128" s="59"/>
      <c r="Z128" s="59"/>
      <c r="AA128" s="40" t="s">
        <v>6</v>
      </c>
      <c r="AB128" s="15"/>
      <c r="AC128" s="59"/>
      <c r="AD128" s="59"/>
      <c r="AE128" s="204" t="s">
        <v>125</v>
      </c>
      <c r="AF128" s="59"/>
      <c r="AG128" s="59"/>
      <c r="AH128" s="59"/>
      <c r="AI128" s="40" t="s">
        <v>6</v>
      </c>
      <c r="AJ128" s="15"/>
      <c r="AK128" s="59"/>
      <c r="AL128" s="59"/>
      <c r="AM128" s="59"/>
      <c r="AN128" s="59"/>
      <c r="AO128" s="59"/>
      <c r="AP128" s="59"/>
      <c r="AQ128" s="59"/>
      <c r="AR128" s="59"/>
      <c r="AS128" s="59"/>
      <c r="AT128" s="59"/>
      <c r="AU128" s="59"/>
      <c r="AV128" s="59"/>
      <c r="AW128" s="18"/>
    </row>
    <row r="129" spans="1:87" s="20" customFormat="1" ht="39.6">
      <c r="A129" s="40">
        <f t="shared" si="0"/>
        <v>123</v>
      </c>
      <c r="B129" s="59"/>
      <c r="C129" s="59"/>
      <c r="D129" s="59"/>
      <c r="E129" s="59"/>
      <c r="F129" s="59"/>
      <c r="G129" s="59"/>
      <c r="H129" s="59"/>
      <c r="I129" s="59"/>
      <c r="J129" s="218" t="s">
        <v>5139</v>
      </c>
      <c r="K129" s="232" t="s">
        <v>117</v>
      </c>
      <c r="L129" s="204" t="s">
        <v>3949</v>
      </c>
      <c r="M129" s="204"/>
      <c r="N129" s="40" t="s">
        <v>504</v>
      </c>
      <c r="O129" s="126"/>
      <c r="P129" s="126"/>
      <c r="Q129" s="40" t="s">
        <v>6</v>
      </c>
      <c r="R129" s="40" t="s">
        <v>6</v>
      </c>
      <c r="S129" s="40" t="s">
        <v>6</v>
      </c>
      <c r="T129" s="40"/>
      <c r="U129" s="204" t="s">
        <v>742</v>
      </c>
      <c r="V129" s="206"/>
      <c r="W129" s="232" t="s">
        <v>125</v>
      </c>
      <c r="X129" s="59"/>
      <c r="Y129" s="59"/>
      <c r="Z129" s="59"/>
      <c r="AA129" s="40" t="s">
        <v>6</v>
      </c>
      <c r="AB129" s="15"/>
      <c r="AC129" s="59"/>
      <c r="AD129" s="59"/>
      <c r="AE129" s="232" t="s">
        <v>125</v>
      </c>
      <c r="AF129" s="59"/>
      <c r="AG129" s="59"/>
      <c r="AH129" s="59"/>
      <c r="AI129" s="40" t="s">
        <v>6</v>
      </c>
      <c r="AJ129" s="15"/>
      <c r="AK129" s="59"/>
      <c r="AL129" s="59"/>
      <c r="AM129" s="59"/>
      <c r="AN129" s="59"/>
      <c r="AO129" s="59"/>
      <c r="AP129" s="59"/>
      <c r="AQ129" s="59"/>
      <c r="AR129" s="59"/>
      <c r="AS129" s="59"/>
      <c r="AT129" s="59"/>
      <c r="AU129" s="59"/>
      <c r="AV129" s="59"/>
      <c r="AW129" s="18"/>
    </row>
    <row r="130" spans="1:87" s="18" customFormat="1" ht="26.4">
      <c r="A130" s="40">
        <f t="shared" si="0"/>
        <v>124</v>
      </c>
      <c r="B130" s="38"/>
      <c r="C130" s="42"/>
      <c r="D130" s="38"/>
      <c r="E130" s="46"/>
      <c r="F130" s="46"/>
      <c r="G130" s="46"/>
      <c r="H130" s="13"/>
      <c r="I130" s="40"/>
      <c r="J130" s="218" t="s">
        <v>5140</v>
      </c>
      <c r="K130" s="412" t="s">
        <v>117</v>
      </c>
      <c r="L130" s="204" t="s">
        <v>794</v>
      </c>
      <c r="M130" s="367"/>
      <c r="N130" s="416" t="s">
        <v>504</v>
      </c>
      <c r="O130" s="126"/>
      <c r="P130" s="126"/>
      <c r="Q130" s="416" t="s">
        <v>6</v>
      </c>
      <c r="R130" s="416" t="s">
        <v>6</v>
      </c>
      <c r="S130" s="40" t="s">
        <v>6</v>
      </c>
      <c r="T130" s="40"/>
      <c r="U130" s="204" t="s">
        <v>795</v>
      </c>
      <c r="V130" s="206"/>
      <c r="W130" s="215" t="s">
        <v>133</v>
      </c>
      <c r="X130" s="59"/>
      <c r="Y130" s="59"/>
      <c r="Z130" s="59"/>
      <c r="AA130" s="40" t="s">
        <v>6</v>
      </c>
      <c r="AB130" s="413"/>
      <c r="AC130" s="413"/>
      <c r="AD130" s="413"/>
      <c r="AE130" s="412" t="s">
        <v>125</v>
      </c>
      <c r="AF130" s="59"/>
      <c r="AG130" s="59"/>
      <c r="AH130" s="59"/>
      <c r="AI130" s="40" t="s">
        <v>6</v>
      </c>
      <c r="AJ130" s="413"/>
      <c r="AK130" s="413"/>
      <c r="AL130" s="413"/>
      <c r="AM130" s="43"/>
      <c r="AN130" s="19"/>
      <c r="AO130" s="15"/>
      <c r="AP130" s="15"/>
      <c r="AQ130" s="15"/>
      <c r="AR130" s="15"/>
      <c r="AS130" s="15"/>
      <c r="AT130" s="15"/>
      <c r="AU130" s="15"/>
      <c r="AV130" s="13"/>
      <c r="AX130" s="12"/>
      <c r="AY130" s="12"/>
      <c r="AZ130" s="12"/>
      <c r="BA130" s="12"/>
      <c r="BB130" s="12"/>
      <c r="BC130" s="12"/>
      <c r="BD130" s="12"/>
      <c r="BE130" s="12"/>
      <c r="BF130" s="12"/>
      <c r="BG130" s="12"/>
      <c r="BH130" s="12"/>
      <c r="BI130" s="12"/>
      <c r="BJ130" s="12"/>
      <c r="BK130" s="12"/>
      <c r="BL130" s="12"/>
      <c r="BM130" s="12"/>
      <c r="BN130" s="12"/>
      <c r="BO130" s="12"/>
      <c r="BP130" s="12"/>
      <c r="BQ130" s="12"/>
      <c r="BR130" s="12"/>
      <c r="BS130" s="12"/>
      <c r="BT130" s="12"/>
      <c r="BU130" s="12"/>
      <c r="BV130" s="12"/>
      <c r="BW130" s="12"/>
      <c r="BX130" s="12"/>
      <c r="BY130" s="12"/>
      <c r="BZ130" s="12"/>
      <c r="CA130" s="12"/>
      <c r="CB130" s="12"/>
      <c r="CC130" s="12"/>
      <c r="CD130" s="12"/>
      <c r="CE130" s="12"/>
      <c r="CF130" s="12"/>
      <c r="CG130" s="12"/>
      <c r="CH130" s="12"/>
      <c r="CI130" s="12"/>
    </row>
    <row r="131" spans="1:87" s="20" customFormat="1" ht="26.4">
      <c r="A131" s="40">
        <f t="shared" si="0"/>
        <v>125</v>
      </c>
      <c r="B131" s="59"/>
      <c r="C131" s="59"/>
      <c r="D131" s="59"/>
      <c r="E131" s="59"/>
      <c r="F131" s="59"/>
      <c r="G131" s="59"/>
      <c r="H131" s="59"/>
      <c r="I131" s="59"/>
      <c r="J131" s="218" t="s">
        <v>5141</v>
      </c>
      <c r="K131" s="204" t="s">
        <v>117</v>
      </c>
      <c r="L131" s="204" t="s">
        <v>759</v>
      </c>
      <c r="M131" s="204"/>
      <c r="N131" s="40" t="s">
        <v>504</v>
      </c>
      <c r="O131" s="59"/>
      <c r="P131" s="59"/>
      <c r="Q131" s="40" t="s">
        <v>6</v>
      </c>
      <c r="R131" s="40" t="s">
        <v>6</v>
      </c>
      <c r="S131" s="40" t="s">
        <v>6</v>
      </c>
      <c r="T131" s="40"/>
      <c r="U131" s="204" t="s">
        <v>5142</v>
      </c>
      <c r="V131" s="206"/>
      <c r="W131" s="215" t="s">
        <v>133</v>
      </c>
      <c r="X131" s="59"/>
      <c r="Y131" s="59"/>
      <c r="Z131" s="59"/>
      <c r="AA131" s="40" t="s">
        <v>6</v>
      </c>
      <c r="AB131" s="218"/>
      <c r="AC131" s="59"/>
      <c r="AD131" s="218" t="s">
        <v>709</v>
      </c>
      <c r="AE131" s="204" t="s">
        <v>125</v>
      </c>
      <c r="AF131" s="59"/>
      <c r="AG131" s="59"/>
      <c r="AH131" s="59"/>
      <c r="AI131" s="40" t="s">
        <v>6</v>
      </c>
      <c r="AJ131" s="218"/>
      <c r="AK131" s="59"/>
      <c r="AL131" s="218" t="s">
        <v>709</v>
      </c>
      <c r="AM131" s="59"/>
      <c r="AN131" s="59"/>
      <c r="AO131" s="59"/>
      <c r="AP131" s="59"/>
      <c r="AQ131" s="59"/>
      <c r="AR131" s="59"/>
      <c r="AS131" s="59"/>
      <c r="AT131" s="59"/>
      <c r="AU131" s="59"/>
      <c r="AV131" s="59"/>
      <c r="AW131" s="18"/>
    </row>
    <row r="132" spans="1:87" s="20" customFormat="1" ht="26.4">
      <c r="A132" s="40">
        <f t="shared" si="0"/>
        <v>126</v>
      </c>
      <c r="B132" s="59"/>
      <c r="C132" s="59"/>
      <c r="D132" s="59"/>
      <c r="E132" s="59"/>
      <c r="F132" s="59"/>
      <c r="G132" s="59"/>
      <c r="H132" s="59"/>
      <c r="I132" s="59"/>
      <c r="J132" s="218" t="s">
        <v>5143</v>
      </c>
      <c r="K132" s="204" t="s">
        <v>117</v>
      </c>
      <c r="L132" s="204" t="s">
        <v>3975</v>
      </c>
      <c r="M132" s="204"/>
      <c r="N132" s="40" t="s">
        <v>504</v>
      </c>
      <c r="O132" s="59"/>
      <c r="P132" s="59"/>
      <c r="Q132" s="40" t="s">
        <v>6</v>
      </c>
      <c r="R132" s="40" t="s">
        <v>6</v>
      </c>
      <c r="S132" s="40" t="s">
        <v>6</v>
      </c>
      <c r="T132" s="40"/>
      <c r="U132" s="204" t="s">
        <v>3963</v>
      </c>
      <c r="V132" s="206"/>
      <c r="W132" s="215" t="s">
        <v>133</v>
      </c>
      <c r="X132" s="59"/>
      <c r="Y132" s="59"/>
      <c r="Z132" s="59"/>
      <c r="AA132" s="40" t="s">
        <v>6</v>
      </c>
      <c r="AB132" s="218"/>
      <c r="AC132" s="59"/>
      <c r="AD132" s="218" t="s">
        <v>709</v>
      </c>
      <c r="AE132" s="204" t="s">
        <v>125</v>
      </c>
      <c r="AF132" s="59"/>
      <c r="AG132" s="59"/>
      <c r="AH132" s="59"/>
      <c r="AI132" s="40" t="s">
        <v>6</v>
      </c>
      <c r="AJ132" s="218"/>
      <c r="AK132" s="59"/>
      <c r="AL132" s="218" t="s">
        <v>709</v>
      </c>
      <c r="AM132" s="59"/>
      <c r="AN132" s="59"/>
      <c r="AO132" s="59"/>
      <c r="AP132" s="59"/>
      <c r="AQ132" s="59"/>
      <c r="AR132" s="59"/>
      <c r="AS132" s="59"/>
      <c r="AT132" s="59"/>
      <c r="AU132" s="59"/>
      <c r="AV132" s="59"/>
      <c r="AW132" s="18"/>
    </row>
    <row r="133" spans="1:87" s="20" customFormat="1" ht="26.4">
      <c r="A133" s="40">
        <f t="shared" si="0"/>
        <v>127</v>
      </c>
      <c r="B133" s="59"/>
      <c r="C133" s="59"/>
      <c r="D133" s="59"/>
      <c r="E133" s="59"/>
      <c r="F133" s="59"/>
      <c r="G133" s="59"/>
      <c r="H133" s="59"/>
      <c r="I133" s="59"/>
      <c r="J133" s="218" t="s">
        <v>5144</v>
      </c>
      <c r="K133" s="204" t="s">
        <v>117</v>
      </c>
      <c r="L133" s="204" t="s">
        <v>3979</v>
      </c>
      <c r="M133" s="204"/>
      <c r="N133" s="40" t="s">
        <v>504</v>
      </c>
      <c r="O133" s="59"/>
      <c r="P133" s="59"/>
      <c r="Q133" s="40" t="s">
        <v>6</v>
      </c>
      <c r="R133" s="40" t="s">
        <v>6</v>
      </c>
      <c r="S133" s="40" t="s">
        <v>6</v>
      </c>
      <c r="T133" s="40"/>
      <c r="U133" s="204" t="s">
        <v>3963</v>
      </c>
      <c r="V133" s="206"/>
      <c r="W133" s="215" t="s">
        <v>133</v>
      </c>
      <c r="X133" s="59"/>
      <c r="Y133" s="59"/>
      <c r="Z133" s="59"/>
      <c r="AA133" s="40" t="s">
        <v>6</v>
      </c>
      <c r="AB133" s="218"/>
      <c r="AC133" s="59"/>
      <c r="AD133" s="218" t="s">
        <v>709</v>
      </c>
      <c r="AE133" s="204" t="s">
        <v>125</v>
      </c>
      <c r="AF133" s="59"/>
      <c r="AG133" s="59"/>
      <c r="AH133" s="59"/>
      <c r="AI133" s="40" t="s">
        <v>6</v>
      </c>
      <c r="AJ133" s="218"/>
      <c r="AK133" s="59"/>
      <c r="AL133" s="218" t="s">
        <v>709</v>
      </c>
      <c r="AM133" s="59"/>
      <c r="AN133" s="59"/>
      <c r="AO133" s="59"/>
      <c r="AP133" s="59"/>
      <c r="AQ133" s="59"/>
      <c r="AR133" s="59"/>
      <c r="AS133" s="59"/>
      <c r="AT133" s="59"/>
      <c r="AU133" s="59"/>
      <c r="AV133" s="59"/>
      <c r="AW133" s="18"/>
    </row>
    <row r="134" spans="1:87" s="236" customFormat="1" ht="26.4">
      <c r="A134" s="416">
        <f t="shared" si="0"/>
        <v>128</v>
      </c>
      <c r="B134" s="199"/>
      <c r="C134" s="199"/>
      <c r="D134" s="199"/>
      <c r="E134" s="199"/>
      <c r="F134" s="199"/>
      <c r="G134" s="199"/>
      <c r="H134" s="199"/>
      <c r="I134" s="199"/>
      <c r="J134" s="310" t="s">
        <v>5145</v>
      </c>
      <c r="K134" s="361" t="s">
        <v>117</v>
      </c>
      <c r="L134" s="361" t="s">
        <v>3987</v>
      </c>
      <c r="M134" s="361"/>
      <c r="N134" s="415" t="s">
        <v>504</v>
      </c>
      <c r="O134" s="211"/>
      <c r="P134" s="211"/>
      <c r="Q134" s="415" t="s">
        <v>6</v>
      </c>
      <c r="R134" s="415" t="s">
        <v>6</v>
      </c>
      <c r="S134" s="415" t="s">
        <v>6</v>
      </c>
      <c r="T134" s="415"/>
      <c r="U134" s="511" t="s">
        <v>5146</v>
      </c>
      <c r="V134" s="361"/>
      <c r="W134" s="480" t="s">
        <v>133</v>
      </c>
      <c r="X134" s="211"/>
      <c r="Y134" s="211"/>
      <c r="Z134" s="211"/>
      <c r="AA134" s="415" t="s">
        <v>6</v>
      </c>
      <c r="AB134" s="310"/>
      <c r="AC134" s="211"/>
      <c r="AD134" s="310" t="s">
        <v>709</v>
      </c>
      <c r="AE134" s="361" t="s">
        <v>125</v>
      </c>
      <c r="AF134" s="211"/>
      <c r="AG134" s="211"/>
      <c r="AH134" s="211"/>
      <c r="AI134" s="415" t="s">
        <v>6</v>
      </c>
      <c r="AJ134" s="310"/>
      <c r="AK134" s="211"/>
      <c r="AL134" s="310" t="s">
        <v>709</v>
      </c>
      <c r="AM134" s="211"/>
      <c r="AN134" s="211"/>
      <c r="AO134" s="211"/>
      <c r="AP134" s="211"/>
      <c r="AQ134" s="211"/>
      <c r="AR134" s="211"/>
      <c r="AS134" s="211"/>
      <c r="AT134" s="211"/>
      <c r="AU134" s="211"/>
      <c r="AV134" s="211"/>
      <c r="AW134" s="155"/>
    </row>
    <row r="135" spans="1:87" ht="15">
      <c r="A135" s="451">
        <f t="shared" si="0"/>
        <v>129</v>
      </c>
      <c r="B135" s="62"/>
      <c r="C135" s="62"/>
      <c r="D135" s="62"/>
      <c r="E135" s="62"/>
      <c r="F135" s="62"/>
      <c r="G135" s="62"/>
      <c r="H135" s="62"/>
      <c r="I135" s="62"/>
      <c r="J135" s="483" t="s">
        <v>858</v>
      </c>
      <c r="K135" s="63"/>
      <c r="L135" s="63"/>
      <c r="M135" s="63"/>
      <c r="N135" s="139"/>
      <c r="O135" s="139"/>
      <c r="P135" s="139"/>
      <c r="Q135" s="139"/>
      <c r="R135" s="139"/>
      <c r="S135" s="139"/>
      <c r="T135" s="139"/>
      <c r="U135" s="354"/>
      <c r="V135" s="311"/>
      <c r="W135" s="63"/>
      <c r="X135" s="63"/>
      <c r="Y135" s="63"/>
      <c r="Z135" s="63"/>
      <c r="AA135" s="63"/>
      <c r="AB135" s="312"/>
      <c r="AC135" s="63"/>
      <c r="AD135" s="63"/>
      <c r="AE135" s="63"/>
      <c r="AF135" s="63"/>
      <c r="AG135" s="63"/>
      <c r="AH135" s="63"/>
      <c r="AI135" s="63"/>
      <c r="AJ135" s="312"/>
      <c r="AK135" s="63"/>
      <c r="AL135" s="63"/>
      <c r="AM135" s="63"/>
      <c r="AN135" s="63"/>
      <c r="AO135" s="63"/>
      <c r="AP135" s="63"/>
      <c r="AQ135" s="63"/>
      <c r="AR135" s="63"/>
      <c r="AS135" s="63"/>
      <c r="AT135" s="63"/>
      <c r="AU135" s="63"/>
      <c r="AV135" s="63"/>
      <c r="AW135" s="18">
        <f t="shared" si="8"/>
        <v>0</v>
      </c>
    </row>
    <row r="136" spans="1:87" s="20" customFormat="1" ht="15">
      <c r="A136" s="40">
        <f t="shared" si="0"/>
        <v>130</v>
      </c>
      <c r="B136" s="59"/>
      <c r="C136" s="59"/>
      <c r="D136" s="59"/>
      <c r="E136" s="59"/>
      <c r="F136" s="59"/>
      <c r="G136" s="59"/>
      <c r="H136" s="59"/>
      <c r="I136" s="59"/>
      <c r="J136" s="215" t="s">
        <v>1673</v>
      </c>
      <c r="K136" s="215"/>
      <c r="L136" s="215" t="s">
        <v>1674</v>
      </c>
      <c r="M136" s="215"/>
      <c r="N136" s="126" t="s">
        <v>221</v>
      </c>
      <c r="O136" s="202" t="s">
        <v>861</v>
      </c>
      <c r="P136" s="126"/>
      <c r="Q136" s="40" t="s">
        <v>6</v>
      </c>
      <c r="R136" s="126"/>
      <c r="S136" s="126"/>
      <c r="T136" s="40" t="s">
        <v>6</v>
      </c>
      <c r="U136" s="199"/>
      <c r="V136" s="59"/>
      <c r="W136" s="215"/>
      <c r="X136" s="202" t="s">
        <v>861</v>
      </c>
      <c r="Y136" s="59"/>
      <c r="Z136" s="59"/>
      <c r="AA136" s="13"/>
      <c r="AB136" s="59"/>
      <c r="AC136" s="59"/>
      <c r="AD136" s="59"/>
      <c r="AE136" s="215"/>
      <c r="AF136" s="202" t="s">
        <v>861</v>
      </c>
      <c r="AG136" s="59"/>
      <c r="AH136" s="59"/>
      <c r="AI136" s="13"/>
      <c r="AJ136" s="59"/>
      <c r="AK136" s="59"/>
      <c r="AL136" s="59"/>
      <c r="AM136" s="59"/>
      <c r="AN136" s="59"/>
      <c r="AO136" s="59"/>
      <c r="AP136" s="59"/>
      <c r="AQ136" s="59"/>
      <c r="AR136" s="59"/>
      <c r="AS136" s="59"/>
      <c r="AT136" s="59"/>
      <c r="AU136" s="59"/>
      <c r="AV136" s="59"/>
      <c r="AW136" s="18">
        <f t="shared" si="8"/>
        <v>14</v>
      </c>
    </row>
    <row r="137" spans="1:87" s="20" customFormat="1" ht="15">
      <c r="A137" s="40">
        <f t="shared" si="0"/>
        <v>131</v>
      </c>
      <c r="B137" s="59"/>
      <c r="C137" s="59"/>
      <c r="D137" s="59"/>
      <c r="E137" s="59"/>
      <c r="F137" s="59"/>
      <c r="G137" s="59"/>
      <c r="H137" s="59"/>
      <c r="I137" s="59"/>
      <c r="J137" s="215" t="s">
        <v>1780</v>
      </c>
      <c r="K137" s="204"/>
      <c r="L137" s="253" t="s">
        <v>863</v>
      </c>
      <c r="M137" s="253"/>
      <c r="N137" s="126" t="s">
        <v>413</v>
      </c>
      <c r="O137" s="40" t="s">
        <v>862</v>
      </c>
      <c r="P137" s="40"/>
      <c r="Q137" s="40" t="s">
        <v>6</v>
      </c>
      <c r="R137" s="40"/>
      <c r="S137" s="40"/>
      <c r="T137" s="40" t="s">
        <v>6</v>
      </c>
      <c r="U137" s="204"/>
      <c r="V137" s="204"/>
      <c r="W137" s="204"/>
      <c r="X137" s="40" t="s">
        <v>862</v>
      </c>
      <c r="Y137" s="13"/>
      <c r="Z137" s="59"/>
      <c r="AA137" s="59"/>
      <c r="AB137" s="15"/>
      <c r="AC137" s="59"/>
      <c r="AD137" s="59"/>
      <c r="AE137" s="204"/>
      <c r="AF137" s="40" t="s">
        <v>862</v>
      </c>
      <c r="AG137" s="13"/>
      <c r="AH137" s="59"/>
      <c r="AI137" s="59"/>
      <c r="AJ137" s="15"/>
      <c r="AK137" s="59"/>
      <c r="AL137" s="59"/>
      <c r="AM137" s="59"/>
      <c r="AN137" s="59"/>
      <c r="AO137" s="59"/>
      <c r="AP137" s="59"/>
      <c r="AQ137" s="59"/>
      <c r="AR137" s="59"/>
      <c r="AS137" s="59"/>
      <c r="AT137" s="59"/>
      <c r="AU137" s="59"/>
      <c r="AV137" s="59"/>
      <c r="AW137" s="18">
        <f t="shared" si="8"/>
        <v>26</v>
      </c>
    </row>
    <row r="138" spans="1:87" s="236" customFormat="1" ht="15">
      <c r="A138" s="40">
        <f t="shared" si="0"/>
        <v>132</v>
      </c>
      <c r="B138" s="199"/>
      <c r="C138" s="199"/>
      <c r="D138" s="199"/>
      <c r="E138" s="199"/>
      <c r="F138" s="199"/>
      <c r="G138" s="199"/>
      <c r="H138" s="199"/>
      <c r="I138" s="199"/>
      <c r="J138" s="412" t="s">
        <v>1781</v>
      </c>
      <c r="K138" s="217"/>
      <c r="L138" s="253" t="s">
        <v>1782</v>
      </c>
      <c r="M138" s="253"/>
      <c r="N138" s="126" t="s">
        <v>407</v>
      </c>
      <c r="O138" s="40" t="s">
        <v>861</v>
      </c>
      <c r="P138" s="40"/>
      <c r="Q138" s="40" t="s">
        <v>6</v>
      </c>
      <c r="R138" s="126"/>
      <c r="S138" s="126"/>
      <c r="T138" s="126" t="s">
        <v>6</v>
      </c>
      <c r="U138" s="215" t="s">
        <v>1684</v>
      </c>
      <c r="V138" s="412"/>
      <c r="W138" s="217"/>
      <c r="X138" s="40" t="s">
        <v>861</v>
      </c>
      <c r="Y138" s="126"/>
      <c r="Z138" s="199"/>
      <c r="AA138" s="199"/>
      <c r="AB138" s="198"/>
      <c r="AC138" s="199"/>
      <c r="AD138" s="199"/>
      <c r="AE138" s="217"/>
      <c r="AF138" s="40" t="s">
        <v>861</v>
      </c>
      <c r="AG138" s="126"/>
      <c r="AH138" s="199"/>
      <c r="AI138" s="199"/>
      <c r="AJ138" s="198"/>
      <c r="AK138" s="199"/>
      <c r="AL138" s="199"/>
      <c r="AM138" s="199"/>
      <c r="AN138" s="199"/>
      <c r="AO138" s="199"/>
      <c r="AP138" s="199"/>
      <c r="AQ138" s="199"/>
      <c r="AR138" s="199"/>
      <c r="AS138" s="199"/>
      <c r="AT138" s="199"/>
      <c r="AU138" s="199"/>
      <c r="AV138" s="199"/>
      <c r="AW138" s="155">
        <f>LEN(L138)</f>
        <v>37</v>
      </c>
    </row>
    <row r="139" spans="1:87" s="20" customFormat="1" ht="15">
      <c r="A139" s="40">
        <f t="shared" ref="A139:A146" si="10">ROW() - 6</f>
        <v>133</v>
      </c>
      <c r="J139" s="215" t="s">
        <v>1775</v>
      </c>
      <c r="K139" s="215"/>
      <c r="L139" s="215" t="s">
        <v>1776</v>
      </c>
      <c r="M139" s="215"/>
      <c r="N139" s="202" t="s">
        <v>433</v>
      </c>
      <c r="O139" s="202" t="s">
        <v>862</v>
      </c>
      <c r="P139" s="202"/>
      <c r="Q139" s="202" t="s">
        <v>6</v>
      </c>
      <c r="R139" s="202"/>
      <c r="S139" s="202"/>
      <c r="T139" s="202" t="s">
        <v>6</v>
      </c>
      <c r="U139" s="215" t="s">
        <v>1777</v>
      </c>
      <c r="V139" s="215"/>
      <c r="W139" s="215"/>
      <c r="X139" s="215"/>
      <c r="Y139" s="215"/>
      <c r="Z139" s="215"/>
      <c r="AA139" s="215"/>
      <c r="AB139" s="215"/>
      <c r="AC139" s="215"/>
      <c r="AD139" s="215"/>
      <c r="AE139" s="215"/>
      <c r="AF139" s="215"/>
      <c r="AG139" s="215"/>
      <c r="AH139" s="215"/>
      <c r="AI139" s="215"/>
      <c r="AJ139" s="215"/>
      <c r="AK139" s="215"/>
      <c r="AL139" s="215"/>
      <c r="AM139" s="215"/>
      <c r="AN139" s="215"/>
      <c r="AO139" s="215"/>
      <c r="AP139" s="215"/>
      <c r="AQ139" s="215"/>
      <c r="AR139" s="215"/>
      <c r="AS139" s="215"/>
      <c r="AT139" s="215"/>
      <c r="AU139" s="215"/>
      <c r="AV139" s="215"/>
      <c r="AW139" s="18">
        <f t="shared" si="8"/>
        <v>41</v>
      </c>
    </row>
    <row r="140" spans="1:87" s="20" customFormat="1" ht="15">
      <c r="A140" s="416">
        <f t="shared" si="10"/>
        <v>134</v>
      </c>
      <c r="J140" s="215" t="s">
        <v>1778</v>
      </c>
      <c r="K140" s="215"/>
      <c r="L140" s="215" t="s">
        <v>1779</v>
      </c>
      <c r="M140" s="215"/>
      <c r="N140" s="202" t="s">
        <v>433</v>
      </c>
      <c r="O140" s="202" t="s">
        <v>862</v>
      </c>
      <c r="P140" s="202"/>
      <c r="Q140" s="202" t="s">
        <v>6</v>
      </c>
      <c r="R140" s="202"/>
      <c r="S140" s="202"/>
      <c r="T140" s="202" t="s">
        <v>6</v>
      </c>
      <c r="U140" s="215" t="s">
        <v>1777</v>
      </c>
      <c r="V140" s="215"/>
      <c r="W140" s="215"/>
      <c r="X140" s="215"/>
      <c r="Y140" s="215"/>
      <c r="Z140" s="215"/>
      <c r="AA140" s="215"/>
      <c r="AB140" s="215"/>
      <c r="AC140" s="215"/>
      <c r="AD140" s="215"/>
      <c r="AE140" s="215"/>
      <c r="AF140" s="215"/>
      <c r="AG140" s="215"/>
      <c r="AH140" s="215"/>
      <c r="AI140" s="215"/>
      <c r="AJ140" s="215"/>
      <c r="AK140" s="215"/>
      <c r="AL140" s="215"/>
      <c r="AM140" s="215"/>
      <c r="AN140" s="215"/>
      <c r="AO140" s="215"/>
      <c r="AP140" s="215"/>
      <c r="AQ140" s="215"/>
      <c r="AR140" s="215"/>
      <c r="AS140" s="215"/>
      <c r="AT140" s="215"/>
      <c r="AU140" s="215"/>
      <c r="AV140" s="215"/>
      <c r="AW140" s="18">
        <f t="shared" si="8"/>
        <v>38</v>
      </c>
    </row>
    <row r="141" spans="1:87" s="20" customFormat="1" ht="15">
      <c r="A141" s="416">
        <f t="shared" si="10"/>
        <v>135</v>
      </c>
      <c r="B141" s="19"/>
      <c r="C141" s="41"/>
      <c r="D141" s="19"/>
      <c r="E141" s="19"/>
      <c r="F141" s="19"/>
      <c r="G141" s="19"/>
      <c r="H141" s="13"/>
      <c r="I141" s="13"/>
      <c r="J141" s="215" t="s">
        <v>1720</v>
      </c>
      <c r="K141" s="215"/>
      <c r="L141" s="215" t="s">
        <v>1721</v>
      </c>
      <c r="M141" s="215"/>
      <c r="N141" s="40" t="s">
        <v>433</v>
      </c>
      <c r="O141" s="40" t="s">
        <v>862</v>
      </c>
      <c r="P141" s="40"/>
      <c r="Q141" s="40" t="s">
        <v>6</v>
      </c>
      <c r="R141" s="40"/>
      <c r="S141" s="40"/>
      <c r="T141" s="40"/>
      <c r="U141" s="200" t="s">
        <v>802</v>
      </c>
      <c r="V141" s="512"/>
      <c r="W141" s="215"/>
      <c r="X141" s="13" t="s">
        <v>862</v>
      </c>
      <c r="Y141" s="13"/>
      <c r="Z141" s="13"/>
      <c r="AA141" s="414"/>
      <c r="AB141" s="413"/>
      <c r="AC141" s="415"/>
      <c r="AD141" s="415"/>
      <c r="AE141" s="215"/>
      <c r="AF141" s="13" t="s">
        <v>862</v>
      </c>
      <c r="AG141" s="13"/>
      <c r="AH141" s="13"/>
      <c r="AI141" s="414"/>
      <c r="AJ141" s="413"/>
      <c r="AK141" s="415"/>
      <c r="AL141" s="415"/>
      <c r="AM141" s="43"/>
      <c r="AN141" s="13"/>
      <c r="AO141" s="15"/>
      <c r="AP141" s="15"/>
      <c r="AQ141" s="15"/>
      <c r="AR141" s="15"/>
      <c r="AS141" s="15"/>
      <c r="AT141" s="15"/>
      <c r="AU141" s="15"/>
      <c r="AV141" s="19"/>
      <c r="AW141" s="18"/>
    </row>
    <row r="142" spans="1:87" s="20" customFormat="1" ht="15">
      <c r="A142" s="416">
        <f t="shared" si="10"/>
        <v>136</v>
      </c>
      <c r="B142" s="19"/>
      <c r="C142" s="41"/>
      <c r="D142" s="19"/>
      <c r="E142" s="19"/>
      <c r="F142" s="19"/>
      <c r="G142" s="19"/>
      <c r="H142" s="13"/>
      <c r="I142" s="13"/>
      <c r="J142" s="215" t="s">
        <v>1722</v>
      </c>
      <c r="K142" s="215"/>
      <c r="L142" s="215" t="s">
        <v>1723</v>
      </c>
      <c r="M142" s="215"/>
      <c r="N142" s="40" t="s">
        <v>433</v>
      </c>
      <c r="O142" s="40" t="s">
        <v>862</v>
      </c>
      <c r="P142" s="40"/>
      <c r="Q142" s="40" t="s">
        <v>6</v>
      </c>
      <c r="R142" s="40"/>
      <c r="S142" s="40"/>
      <c r="T142" s="40"/>
      <c r="U142" s="200" t="s">
        <v>802</v>
      </c>
      <c r="V142" s="512"/>
      <c r="W142" s="215"/>
      <c r="X142" s="13" t="s">
        <v>862</v>
      </c>
      <c r="Y142" s="13"/>
      <c r="Z142" s="40"/>
      <c r="AA142" s="414"/>
      <c r="AB142" s="45"/>
      <c r="AC142" s="415"/>
      <c r="AD142" s="415"/>
      <c r="AE142" s="215"/>
      <c r="AF142" s="13" t="s">
        <v>862</v>
      </c>
      <c r="AG142" s="13"/>
      <c r="AH142" s="40"/>
      <c r="AI142" s="414"/>
      <c r="AJ142" s="45"/>
      <c r="AK142" s="415"/>
      <c r="AL142" s="415"/>
      <c r="AM142" s="43"/>
      <c r="AN142" s="19"/>
      <c r="AO142" s="13"/>
      <c r="AP142" s="13"/>
      <c r="AQ142" s="13"/>
      <c r="AR142" s="13"/>
      <c r="AS142" s="13"/>
      <c r="AT142" s="13"/>
      <c r="AU142" s="15"/>
      <c r="AV142" s="15"/>
      <c r="AW142" s="18"/>
    </row>
    <row r="143" spans="1:87" s="20" customFormat="1" ht="15">
      <c r="A143" s="416">
        <f t="shared" si="10"/>
        <v>137</v>
      </c>
      <c r="B143" s="38"/>
      <c r="C143" s="41"/>
      <c r="D143" s="19"/>
      <c r="E143" s="19"/>
      <c r="F143" s="19"/>
      <c r="G143" s="19"/>
      <c r="H143" s="13"/>
      <c r="I143" s="13"/>
      <c r="J143" s="215" t="s">
        <v>1724</v>
      </c>
      <c r="K143" s="215"/>
      <c r="L143" s="215" t="s">
        <v>1725</v>
      </c>
      <c r="M143" s="215"/>
      <c r="N143" s="40" t="s">
        <v>433</v>
      </c>
      <c r="O143" s="40" t="s">
        <v>862</v>
      </c>
      <c r="P143" s="40"/>
      <c r="Q143" s="40" t="s">
        <v>6</v>
      </c>
      <c r="R143" s="40"/>
      <c r="S143" s="40"/>
      <c r="T143" s="40"/>
      <c r="U143" s="200" t="s">
        <v>802</v>
      </c>
      <c r="V143" s="512"/>
      <c r="W143" s="215"/>
      <c r="X143" s="13" t="s">
        <v>862</v>
      </c>
      <c r="Y143" s="13"/>
      <c r="Z143" s="13"/>
      <c r="AA143" s="414"/>
      <c r="AB143" s="13"/>
      <c r="AC143" s="40"/>
      <c r="AD143" s="40"/>
      <c r="AE143" s="215"/>
      <c r="AF143" s="13" t="s">
        <v>862</v>
      </c>
      <c r="AG143" s="13"/>
      <c r="AH143" s="13"/>
      <c r="AI143" s="414"/>
      <c r="AJ143" s="13"/>
      <c r="AK143" s="40"/>
      <c r="AL143" s="40"/>
      <c r="AM143" s="43"/>
      <c r="AN143" s="19"/>
      <c r="AO143" s="15"/>
      <c r="AP143" s="15"/>
      <c r="AQ143" s="15"/>
      <c r="AR143" s="15"/>
      <c r="AS143" s="15"/>
      <c r="AT143" s="15"/>
      <c r="AU143" s="15"/>
      <c r="AV143" s="15"/>
      <c r="AW143" s="18"/>
    </row>
    <row r="144" spans="1:87" s="20" customFormat="1" ht="15">
      <c r="A144" s="416">
        <f t="shared" si="10"/>
        <v>138</v>
      </c>
      <c r="B144" s="59"/>
      <c r="C144" s="59"/>
      <c r="D144" s="59"/>
      <c r="E144" s="59"/>
      <c r="F144" s="59"/>
      <c r="G144" s="59"/>
      <c r="H144" s="59"/>
      <c r="I144" s="59"/>
      <c r="J144" s="215" t="s">
        <v>5093</v>
      </c>
      <c r="K144" s="219"/>
      <c r="L144" s="215" t="s">
        <v>4045</v>
      </c>
      <c r="M144" s="215"/>
      <c r="N144" s="40" t="s">
        <v>433</v>
      </c>
      <c r="O144" s="40" t="s">
        <v>862</v>
      </c>
      <c r="P144" s="126"/>
      <c r="Q144" s="126"/>
      <c r="R144" s="126"/>
      <c r="S144" s="126"/>
      <c r="T144" s="40"/>
      <c r="U144" s="199"/>
      <c r="V144" s="59"/>
      <c r="W144" s="59"/>
      <c r="X144" s="40" t="s">
        <v>862</v>
      </c>
      <c r="Y144" s="59"/>
      <c r="Z144" s="59"/>
      <c r="AA144" s="13"/>
      <c r="AB144" s="59"/>
      <c r="AC144" s="59"/>
      <c r="AD144" s="59"/>
      <c r="AE144" s="59"/>
      <c r="AF144" s="40" t="s">
        <v>862</v>
      </c>
      <c r="AG144" s="59"/>
      <c r="AH144" s="59"/>
      <c r="AI144" s="13"/>
      <c r="AJ144" s="59"/>
      <c r="AK144" s="59"/>
      <c r="AL144" s="59"/>
      <c r="AM144" s="59"/>
      <c r="AN144" s="59"/>
      <c r="AO144" s="59"/>
      <c r="AP144" s="59"/>
      <c r="AQ144" s="59"/>
      <c r="AR144" s="59"/>
      <c r="AS144" s="59"/>
      <c r="AT144" s="59"/>
      <c r="AU144" s="59"/>
      <c r="AV144" s="59"/>
      <c r="AW144" s="18"/>
    </row>
    <row r="145" spans="1:49" s="20" customFormat="1" ht="15">
      <c r="A145" s="416">
        <f t="shared" si="10"/>
        <v>139</v>
      </c>
      <c r="B145" s="59"/>
      <c r="C145" s="59"/>
      <c r="D145" s="59"/>
      <c r="E145" s="59"/>
      <c r="F145" s="59"/>
      <c r="G145" s="59"/>
      <c r="H145" s="59"/>
      <c r="I145" s="59"/>
      <c r="J145" s="215" t="s">
        <v>5094</v>
      </c>
      <c r="K145" s="219"/>
      <c r="L145" s="215" t="s">
        <v>4048</v>
      </c>
      <c r="M145" s="215"/>
      <c r="N145" s="40" t="s">
        <v>433</v>
      </c>
      <c r="O145" s="40" t="s">
        <v>862</v>
      </c>
      <c r="P145" s="126"/>
      <c r="Q145" s="126"/>
      <c r="R145" s="126"/>
      <c r="S145" s="126"/>
      <c r="T145" s="40"/>
      <c r="U145" s="201"/>
      <c r="V145" s="219"/>
      <c r="W145" s="59"/>
      <c r="X145" s="40" t="s">
        <v>862</v>
      </c>
      <c r="Y145" s="59"/>
      <c r="Z145" s="59"/>
      <c r="AA145" s="13"/>
      <c r="AB145" s="59"/>
      <c r="AC145" s="59"/>
      <c r="AD145" s="59"/>
      <c r="AE145" s="59"/>
      <c r="AF145" s="40" t="s">
        <v>862</v>
      </c>
      <c r="AG145" s="59"/>
      <c r="AH145" s="59"/>
      <c r="AI145" s="13"/>
      <c r="AJ145" s="59"/>
      <c r="AK145" s="59"/>
      <c r="AL145" s="59"/>
      <c r="AM145" s="59"/>
      <c r="AN145" s="59"/>
      <c r="AO145" s="59"/>
      <c r="AP145" s="59"/>
      <c r="AQ145" s="59"/>
      <c r="AR145" s="59"/>
      <c r="AS145" s="59"/>
      <c r="AT145" s="59"/>
      <c r="AU145" s="59"/>
      <c r="AV145" s="59"/>
      <c r="AW145" s="18"/>
    </row>
    <row r="146" spans="1:49" s="20" customFormat="1" ht="15">
      <c r="A146" s="416">
        <f t="shared" si="10"/>
        <v>140</v>
      </c>
      <c r="B146" s="59"/>
      <c r="C146" s="59"/>
      <c r="D146" s="59"/>
      <c r="E146" s="59"/>
      <c r="F146" s="59"/>
      <c r="G146" s="59"/>
      <c r="H146" s="59"/>
      <c r="I146" s="59"/>
      <c r="J146" s="215" t="s">
        <v>5095</v>
      </c>
      <c r="K146" s="219"/>
      <c r="L146" s="215" t="s">
        <v>5147</v>
      </c>
      <c r="M146" s="215"/>
      <c r="N146" s="40" t="s">
        <v>433</v>
      </c>
      <c r="O146" s="40" t="s">
        <v>862</v>
      </c>
      <c r="P146" s="126"/>
      <c r="Q146" s="126"/>
      <c r="R146" s="126"/>
      <c r="S146" s="126"/>
      <c r="T146" s="40"/>
      <c r="U146" s="201"/>
      <c r="V146" s="219"/>
      <c r="W146" s="59"/>
      <c r="X146" s="40" t="s">
        <v>862</v>
      </c>
      <c r="Y146" s="59"/>
      <c r="Z146" s="59"/>
      <c r="AA146" s="13"/>
      <c r="AB146" s="59"/>
      <c r="AC146" s="59"/>
      <c r="AD146" s="59"/>
      <c r="AE146" s="59"/>
      <c r="AF146" s="40" t="s">
        <v>862</v>
      </c>
      <c r="AG146" s="59"/>
      <c r="AH146" s="59"/>
      <c r="AI146" s="13"/>
      <c r="AJ146" s="59"/>
      <c r="AK146" s="59"/>
      <c r="AL146" s="59"/>
      <c r="AM146" s="59"/>
      <c r="AN146" s="59"/>
      <c r="AO146" s="59"/>
      <c r="AP146" s="59"/>
      <c r="AQ146" s="59"/>
      <c r="AR146" s="59"/>
      <c r="AS146" s="59"/>
      <c r="AT146" s="59"/>
      <c r="AU146" s="59"/>
      <c r="AV146" s="59"/>
      <c r="AW146" s="18"/>
    </row>
    <row r="147" spans="1:49" s="193" customFormat="1" ht="15">
      <c r="A147" s="189"/>
      <c r="J147" s="356"/>
      <c r="K147" s="196"/>
      <c r="L147" s="356"/>
      <c r="M147" s="314"/>
      <c r="N147" s="140"/>
      <c r="O147" s="140"/>
      <c r="P147" s="140"/>
      <c r="Q147" s="140"/>
      <c r="R147" s="140"/>
      <c r="S147" s="140"/>
      <c r="T147" s="140"/>
      <c r="U147" s="256"/>
      <c r="V147" s="196"/>
      <c r="W147" s="196"/>
      <c r="X147" s="196"/>
      <c r="Y147" s="196"/>
      <c r="Z147" s="196"/>
      <c r="AA147" s="197"/>
      <c r="AB147" s="197"/>
      <c r="AC147" s="197"/>
      <c r="AD147" s="197"/>
      <c r="AE147" s="196"/>
      <c r="AF147" s="196"/>
      <c r="AG147" s="196"/>
      <c r="AH147" s="196"/>
      <c r="AI147" s="197"/>
      <c r="AJ147" s="196"/>
      <c r="AW147" s="179">
        <f t="shared" si="8"/>
        <v>0</v>
      </c>
    </row>
    <row r="148" spans="1:49" s="193" customFormat="1" ht="15">
      <c r="A148" s="189"/>
      <c r="J148" s="356"/>
      <c r="K148" s="196"/>
      <c r="L148" s="356"/>
      <c r="M148" s="314"/>
      <c r="N148" s="140"/>
      <c r="O148" s="140"/>
      <c r="P148" s="140"/>
      <c r="Q148" s="140"/>
      <c r="R148" s="140"/>
      <c r="S148" s="140"/>
      <c r="T148" s="140"/>
      <c r="U148" s="256"/>
      <c r="V148" s="196"/>
      <c r="W148" s="196"/>
      <c r="X148" s="196"/>
      <c r="Y148" s="196"/>
      <c r="Z148" s="196"/>
      <c r="AA148" s="197"/>
      <c r="AB148" s="197"/>
      <c r="AC148" s="197"/>
      <c r="AD148" s="197"/>
      <c r="AE148" s="196"/>
      <c r="AF148" s="196"/>
      <c r="AG148" s="196"/>
      <c r="AH148" s="196"/>
      <c r="AI148" s="197"/>
      <c r="AJ148" s="196"/>
      <c r="AW148" s="179">
        <f t="shared" si="8"/>
        <v>0</v>
      </c>
    </row>
    <row r="149" spans="1:49" ht="15">
      <c r="J149" s="471"/>
      <c r="K149" s="54"/>
      <c r="L149" s="398"/>
      <c r="M149" s="471"/>
      <c r="N149" s="68"/>
      <c r="O149" s="68"/>
      <c r="P149" s="68"/>
      <c r="Q149" s="68"/>
      <c r="R149" s="68"/>
      <c r="S149" s="68"/>
      <c r="T149" s="68"/>
      <c r="U149" s="161"/>
      <c r="V149" s="54"/>
      <c r="W149" s="54"/>
      <c r="X149" s="54"/>
      <c r="Y149" s="54"/>
      <c r="Z149" s="54"/>
      <c r="AA149" s="55"/>
      <c r="AB149" s="55"/>
      <c r="AC149" s="55"/>
      <c r="AD149" s="55"/>
      <c r="AE149" s="54"/>
      <c r="AF149" s="54"/>
      <c r="AG149" s="54"/>
      <c r="AH149" s="54"/>
      <c r="AI149" s="55"/>
      <c r="AJ149" s="54"/>
      <c r="AW149" s="18">
        <f t="shared" si="8"/>
        <v>0</v>
      </c>
    </row>
    <row r="150" spans="1:49" ht="15">
      <c r="J150" s="471"/>
      <c r="K150" s="54"/>
      <c r="L150" s="398"/>
      <c r="M150" s="471"/>
      <c r="N150" s="68"/>
      <c r="O150" s="68"/>
      <c r="P150" s="68"/>
      <c r="Q150" s="68"/>
      <c r="R150" s="68"/>
      <c r="S150" s="68"/>
      <c r="T150" s="68"/>
      <c r="U150" s="161"/>
      <c r="V150" s="54"/>
      <c r="W150" s="54"/>
      <c r="X150" s="54"/>
      <c r="Y150" s="54"/>
      <c r="Z150" s="54"/>
      <c r="AA150" s="55"/>
      <c r="AB150" s="55"/>
      <c r="AC150" s="55"/>
      <c r="AD150" s="55"/>
      <c r="AE150" s="54"/>
      <c r="AF150" s="54"/>
      <c r="AG150" s="54"/>
      <c r="AH150" s="54"/>
      <c r="AI150" s="55"/>
      <c r="AJ150" s="54"/>
      <c r="AW150" s="18">
        <f t="shared" si="8"/>
        <v>0</v>
      </c>
    </row>
    <row r="151" spans="1:49" ht="15">
      <c r="J151" s="471"/>
      <c r="K151" s="54"/>
      <c r="L151" s="398"/>
      <c r="M151" s="471"/>
      <c r="N151" s="68"/>
      <c r="O151" s="68"/>
      <c r="P151" s="68"/>
      <c r="Q151" s="68"/>
      <c r="R151" s="68"/>
      <c r="S151" s="68"/>
      <c r="T151" s="68"/>
      <c r="U151" s="161"/>
      <c r="V151" s="54"/>
      <c r="W151" s="54"/>
      <c r="X151" s="54"/>
      <c r="Y151" s="54"/>
      <c r="Z151" s="54"/>
      <c r="AA151" s="55"/>
      <c r="AB151" s="55"/>
      <c r="AC151" s="55"/>
      <c r="AD151" s="55"/>
      <c r="AE151" s="54"/>
      <c r="AF151" s="54"/>
      <c r="AG151" s="54"/>
      <c r="AH151" s="54"/>
      <c r="AI151" s="55"/>
      <c r="AJ151" s="54"/>
      <c r="AW151" s="18">
        <f t="shared" si="8"/>
        <v>0</v>
      </c>
    </row>
    <row r="152" spans="1:49" ht="15">
      <c r="J152" s="471"/>
      <c r="K152" s="54"/>
      <c r="L152" s="398"/>
      <c r="M152" s="471"/>
      <c r="N152" s="68"/>
      <c r="O152" s="68"/>
      <c r="P152" s="68"/>
      <c r="Q152" s="68"/>
      <c r="R152" s="68"/>
      <c r="S152" s="68"/>
      <c r="T152" s="68"/>
      <c r="U152" s="161"/>
      <c r="V152" s="54"/>
      <c r="W152" s="54"/>
      <c r="X152" s="54"/>
      <c r="Y152" s="54"/>
      <c r="Z152" s="54"/>
      <c r="AA152" s="55"/>
      <c r="AB152" s="55"/>
      <c r="AC152" s="55"/>
      <c r="AD152" s="55"/>
      <c r="AE152" s="54"/>
      <c r="AF152" s="54"/>
      <c r="AG152" s="54"/>
      <c r="AH152" s="54"/>
      <c r="AI152" s="55"/>
      <c r="AJ152" s="54"/>
      <c r="AW152" s="18">
        <f t="shared" si="8"/>
        <v>0</v>
      </c>
    </row>
    <row r="153" spans="1:49" ht="15">
      <c r="J153" s="471"/>
      <c r="K153" s="54"/>
      <c r="L153" s="398"/>
      <c r="M153" s="471"/>
      <c r="N153" s="68"/>
      <c r="O153" s="68"/>
      <c r="P153" s="68"/>
      <c r="Q153" s="68"/>
      <c r="R153" s="68"/>
      <c r="S153" s="68"/>
      <c r="T153" s="68"/>
      <c r="U153" s="161"/>
      <c r="V153" s="54"/>
      <c r="W153" s="54"/>
      <c r="X153" s="54"/>
      <c r="Y153" s="54"/>
      <c r="Z153" s="54"/>
      <c r="AA153" s="55"/>
      <c r="AB153" s="55"/>
      <c r="AC153" s="55"/>
      <c r="AD153" s="55"/>
      <c r="AE153" s="54"/>
      <c r="AF153" s="54"/>
      <c r="AG153" s="54"/>
      <c r="AH153" s="54"/>
      <c r="AI153" s="55"/>
      <c r="AJ153" s="54"/>
      <c r="AW153" s="18">
        <f t="shared" si="8"/>
        <v>0</v>
      </c>
    </row>
    <row r="154" spans="1:49" ht="15">
      <c r="J154" s="471"/>
      <c r="K154" s="54"/>
      <c r="L154" s="398"/>
      <c r="M154" s="471"/>
      <c r="N154" s="68"/>
      <c r="O154" s="68"/>
      <c r="P154" s="68"/>
      <c r="Q154" s="68"/>
      <c r="R154" s="68"/>
      <c r="S154" s="68"/>
      <c r="T154" s="68"/>
      <c r="U154" s="161"/>
      <c r="V154" s="54"/>
      <c r="W154" s="54"/>
      <c r="X154" s="54"/>
      <c r="Y154" s="54"/>
      <c r="Z154" s="54"/>
      <c r="AA154" s="55"/>
      <c r="AB154" s="55"/>
      <c r="AC154" s="55"/>
      <c r="AD154" s="55"/>
      <c r="AE154" s="54"/>
      <c r="AF154" s="54"/>
      <c r="AG154" s="54"/>
      <c r="AH154" s="54"/>
      <c r="AI154" s="55"/>
      <c r="AJ154" s="54"/>
      <c r="AW154" s="18">
        <f t="shared" si="8"/>
        <v>0</v>
      </c>
    </row>
    <row r="155" spans="1:49" ht="15">
      <c r="J155" s="471"/>
      <c r="K155" s="54"/>
      <c r="L155" s="398"/>
      <c r="M155" s="471"/>
      <c r="N155" s="68"/>
      <c r="O155" s="68"/>
      <c r="P155" s="68"/>
      <c r="Q155" s="68"/>
      <c r="R155" s="68"/>
      <c r="S155" s="68"/>
      <c r="T155" s="68"/>
      <c r="U155" s="161"/>
      <c r="V155" s="54"/>
      <c r="W155" s="54"/>
      <c r="X155" s="54"/>
      <c r="Y155" s="54"/>
      <c r="Z155" s="54"/>
      <c r="AA155" s="55"/>
      <c r="AB155" s="55"/>
      <c r="AC155" s="55"/>
      <c r="AD155" s="55"/>
      <c r="AE155" s="54"/>
      <c r="AF155" s="54"/>
      <c r="AG155" s="54"/>
      <c r="AH155" s="54"/>
      <c r="AI155" s="55"/>
      <c r="AJ155" s="54"/>
      <c r="AW155" s="18">
        <f t="shared" si="8"/>
        <v>0</v>
      </c>
    </row>
    <row r="156" spans="1:49" ht="15">
      <c r="J156" s="471"/>
      <c r="K156" s="54"/>
      <c r="L156" s="398"/>
      <c r="M156" s="471"/>
      <c r="N156" s="68"/>
      <c r="O156" s="68"/>
      <c r="P156" s="68"/>
      <c r="Q156" s="68"/>
      <c r="R156" s="68"/>
      <c r="S156" s="68"/>
      <c r="T156" s="68"/>
      <c r="U156" s="161"/>
      <c r="V156" s="54"/>
      <c r="W156" s="54"/>
      <c r="X156" s="54"/>
      <c r="Y156" s="54"/>
      <c r="Z156" s="54"/>
      <c r="AA156" s="55"/>
      <c r="AB156" s="55"/>
      <c r="AC156" s="55"/>
      <c r="AD156" s="55"/>
      <c r="AE156" s="54"/>
      <c r="AF156" s="54"/>
      <c r="AG156" s="54"/>
      <c r="AH156" s="54"/>
      <c r="AI156" s="55"/>
      <c r="AJ156" s="54"/>
      <c r="AW156" s="18">
        <f t="shared" si="8"/>
        <v>0</v>
      </c>
    </row>
    <row r="157" spans="1:49" ht="15">
      <c r="J157" s="471"/>
      <c r="K157" s="54"/>
      <c r="L157" s="398"/>
      <c r="M157" s="471"/>
      <c r="N157" s="68"/>
      <c r="O157" s="68"/>
      <c r="P157" s="68"/>
      <c r="Q157" s="68"/>
      <c r="R157" s="68"/>
      <c r="S157" s="68"/>
      <c r="T157" s="68"/>
      <c r="U157" s="161"/>
      <c r="V157" s="54"/>
      <c r="W157" s="54"/>
      <c r="X157" s="54"/>
      <c r="Y157" s="54"/>
      <c r="Z157" s="54"/>
      <c r="AA157" s="55"/>
      <c r="AB157" s="55"/>
      <c r="AC157" s="55"/>
      <c r="AD157" s="55"/>
      <c r="AE157" s="54"/>
      <c r="AF157" s="54"/>
      <c r="AG157" s="54"/>
      <c r="AH157" s="54"/>
      <c r="AI157" s="55"/>
      <c r="AJ157" s="54"/>
      <c r="AW157" s="18">
        <f t="shared" si="8"/>
        <v>0</v>
      </c>
    </row>
    <row r="158" spans="1:49" ht="15">
      <c r="J158" s="471"/>
      <c r="K158" s="54"/>
      <c r="L158" s="398"/>
      <c r="M158" s="471"/>
      <c r="N158" s="68"/>
      <c r="O158" s="68"/>
      <c r="P158" s="68"/>
      <c r="Q158" s="68"/>
      <c r="R158" s="68"/>
      <c r="S158" s="68"/>
      <c r="T158" s="68"/>
      <c r="U158" s="161"/>
      <c r="V158" s="54"/>
      <c r="W158" s="54"/>
      <c r="X158" s="54"/>
      <c r="Y158" s="54"/>
      <c r="Z158" s="54"/>
      <c r="AA158" s="55"/>
      <c r="AB158" s="55"/>
      <c r="AC158" s="55"/>
      <c r="AD158" s="55"/>
      <c r="AE158" s="54"/>
      <c r="AF158" s="54"/>
      <c r="AG158" s="54"/>
      <c r="AH158" s="54"/>
      <c r="AI158" s="55"/>
      <c r="AJ158" s="54"/>
      <c r="AW158" s="18">
        <f t="shared" si="8"/>
        <v>0</v>
      </c>
    </row>
    <row r="159" spans="1:49" ht="15">
      <c r="J159" s="471"/>
      <c r="K159" s="54"/>
      <c r="L159" s="56"/>
      <c r="M159" s="56"/>
      <c r="N159" s="68"/>
      <c r="O159" s="68"/>
      <c r="P159" s="68"/>
      <c r="Q159" s="68"/>
      <c r="R159" s="68"/>
      <c r="S159" s="68"/>
      <c r="T159" s="68"/>
      <c r="U159" s="161"/>
      <c r="V159" s="54"/>
      <c r="W159" s="54"/>
      <c r="X159" s="54"/>
      <c r="Y159" s="54"/>
      <c r="Z159" s="54"/>
      <c r="AA159" s="55"/>
      <c r="AB159" s="55"/>
      <c r="AC159" s="55"/>
      <c r="AD159" s="55"/>
      <c r="AE159" s="54"/>
      <c r="AF159" s="54"/>
      <c r="AG159" s="54"/>
      <c r="AH159" s="54"/>
      <c r="AI159" s="55"/>
      <c r="AJ159" s="54"/>
      <c r="AW159" s="18">
        <f t="shared" si="8"/>
        <v>0</v>
      </c>
    </row>
    <row r="160" spans="1:49" ht="15">
      <c r="J160" s="471"/>
      <c r="K160" s="54"/>
      <c r="L160" s="56"/>
      <c r="M160" s="56"/>
      <c r="N160" s="68"/>
      <c r="O160" s="68"/>
      <c r="P160" s="68"/>
      <c r="Q160" s="68"/>
      <c r="R160" s="68"/>
      <c r="S160" s="68"/>
      <c r="T160" s="68"/>
      <c r="U160" s="161"/>
      <c r="V160" s="54"/>
      <c r="W160" s="54"/>
      <c r="X160" s="54"/>
      <c r="Y160" s="54"/>
      <c r="Z160" s="54"/>
      <c r="AA160" s="55"/>
      <c r="AB160" s="55"/>
      <c r="AC160" s="55"/>
      <c r="AD160" s="55"/>
      <c r="AE160" s="54"/>
      <c r="AF160" s="54"/>
      <c r="AG160" s="54"/>
      <c r="AH160" s="54"/>
      <c r="AI160" s="55"/>
      <c r="AJ160" s="54"/>
      <c r="AW160" s="18">
        <f t="shared" si="8"/>
        <v>0</v>
      </c>
    </row>
    <row r="161" spans="10:49" ht="15">
      <c r="J161" s="471"/>
      <c r="K161" s="54"/>
      <c r="L161" s="398"/>
      <c r="M161" s="471"/>
      <c r="N161" s="68"/>
      <c r="O161" s="68"/>
      <c r="P161" s="68"/>
      <c r="Q161" s="68"/>
      <c r="R161" s="68"/>
      <c r="S161" s="68"/>
      <c r="T161" s="68"/>
      <c r="U161" s="161"/>
      <c r="V161" s="54"/>
      <c r="W161" s="54"/>
      <c r="X161" s="54"/>
      <c r="Y161" s="54"/>
      <c r="Z161" s="54"/>
      <c r="AA161" s="55"/>
      <c r="AB161" s="55"/>
      <c r="AC161" s="55"/>
      <c r="AD161" s="55"/>
      <c r="AE161" s="54"/>
      <c r="AF161" s="54"/>
      <c r="AG161" s="54"/>
      <c r="AH161" s="54"/>
      <c r="AI161" s="55"/>
      <c r="AJ161" s="54"/>
      <c r="AW161" s="18">
        <f t="shared" si="8"/>
        <v>0</v>
      </c>
    </row>
    <row r="162" spans="10:49" ht="15">
      <c r="J162" s="471"/>
      <c r="K162" s="54"/>
      <c r="L162" s="398"/>
      <c r="M162" s="471"/>
      <c r="N162" s="68"/>
      <c r="O162" s="68"/>
      <c r="P162" s="68"/>
      <c r="Q162" s="68"/>
      <c r="R162" s="68"/>
      <c r="S162" s="68"/>
      <c r="T162" s="68"/>
      <c r="U162" s="161"/>
      <c r="V162" s="54"/>
      <c r="W162" s="54"/>
      <c r="X162" s="54"/>
      <c r="Y162" s="54"/>
      <c r="Z162" s="54"/>
      <c r="AA162" s="55"/>
      <c r="AB162" s="55"/>
      <c r="AC162" s="55"/>
      <c r="AD162" s="55"/>
      <c r="AE162" s="54"/>
      <c r="AF162" s="54"/>
      <c r="AG162" s="54"/>
      <c r="AH162" s="54"/>
      <c r="AI162" s="55"/>
      <c r="AJ162" s="54"/>
      <c r="AW162" s="18">
        <f t="shared" si="8"/>
        <v>0</v>
      </c>
    </row>
    <row r="163" spans="10:49" ht="15">
      <c r="J163" s="471"/>
      <c r="K163" s="54"/>
      <c r="L163" s="398"/>
      <c r="M163" s="471"/>
      <c r="N163" s="68"/>
      <c r="O163" s="68"/>
      <c r="P163" s="68"/>
      <c r="Q163" s="68"/>
      <c r="R163" s="68"/>
      <c r="S163" s="68"/>
      <c r="T163" s="68"/>
      <c r="U163" s="161"/>
      <c r="V163" s="54"/>
      <c r="W163" s="54"/>
      <c r="X163" s="54"/>
      <c r="Y163" s="54"/>
      <c r="Z163" s="54"/>
      <c r="AA163" s="55"/>
      <c r="AB163" s="55"/>
      <c r="AC163" s="55"/>
      <c r="AD163" s="55"/>
      <c r="AE163" s="54"/>
      <c r="AF163" s="54"/>
      <c r="AG163" s="54"/>
      <c r="AH163" s="54"/>
      <c r="AI163" s="55"/>
      <c r="AJ163" s="54"/>
      <c r="AW163" s="18">
        <f t="shared" si="8"/>
        <v>0</v>
      </c>
    </row>
    <row r="164" spans="10:49" ht="15">
      <c r="J164" s="471"/>
      <c r="K164" s="54"/>
      <c r="L164" s="398"/>
      <c r="M164" s="471"/>
      <c r="N164" s="68"/>
      <c r="O164" s="68"/>
      <c r="P164" s="68"/>
      <c r="Q164" s="68"/>
      <c r="R164" s="68"/>
      <c r="S164" s="68"/>
      <c r="T164" s="68"/>
      <c r="U164" s="161"/>
      <c r="V164" s="54"/>
      <c r="W164" s="54"/>
      <c r="X164" s="54"/>
      <c r="Y164" s="54"/>
      <c r="Z164" s="54"/>
      <c r="AA164" s="55"/>
      <c r="AB164" s="55"/>
      <c r="AC164" s="55"/>
      <c r="AD164" s="55"/>
      <c r="AE164" s="54"/>
      <c r="AF164" s="54"/>
      <c r="AG164" s="54"/>
      <c r="AH164" s="54"/>
      <c r="AI164" s="55"/>
      <c r="AJ164" s="54"/>
      <c r="AW164" s="18">
        <f t="shared" si="8"/>
        <v>0</v>
      </c>
    </row>
    <row r="165" spans="10:49" ht="15">
      <c r="J165" s="471"/>
      <c r="K165" s="54"/>
      <c r="L165" s="398"/>
      <c r="M165" s="471"/>
      <c r="N165" s="68"/>
      <c r="O165" s="68"/>
      <c r="P165" s="68"/>
      <c r="Q165" s="68"/>
      <c r="R165" s="68"/>
      <c r="S165" s="68"/>
      <c r="T165" s="68"/>
      <c r="U165" s="161"/>
      <c r="V165" s="54"/>
      <c r="W165" s="54"/>
      <c r="X165" s="54"/>
      <c r="Y165" s="54"/>
      <c r="Z165" s="54"/>
      <c r="AA165" s="55"/>
      <c r="AB165" s="55"/>
      <c r="AC165" s="55"/>
      <c r="AD165" s="55"/>
      <c r="AE165" s="54"/>
      <c r="AF165" s="54"/>
      <c r="AG165" s="54"/>
      <c r="AH165" s="54"/>
      <c r="AI165" s="55"/>
      <c r="AJ165" s="54"/>
      <c r="AW165" s="18">
        <f t="shared" si="8"/>
        <v>0</v>
      </c>
    </row>
    <row r="166" spans="10:49" ht="15">
      <c r="J166" s="471"/>
      <c r="K166" s="54"/>
      <c r="L166" s="398"/>
      <c r="M166" s="471"/>
      <c r="N166" s="68"/>
      <c r="O166" s="68"/>
      <c r="P166" s="68"/>
      <c r="Q166" s="68"/>
      <c r="R166" s="68"/>
      <c r="S166" s="68"/>
      <c r="T166" s="68"/>
      <c r="U166" s="161"/>
      <c r="V166" s="54"/>
      <c r="W166" s="54"/>
      <c r="X166" s="54"/>
      <c r="Y166" s="54"/>
      <c r="Z166" s="54"/>
      <c r="AA166" s="55"/>
      <c r="AB166" s="55"/>
      <c r="AC166" s="55"/>
      <c r="AD166" s="55"/>
      <c r="AE166" s="54"/>
      <c r="AF166" s="54"/>
      <c r="AG166" s="54"/>
      <c r="AH166" s="54"/>
      <c r="AI166" s="55"/>
      <c r="AJ166" s="54"/>
      <c r="AW166" s="18">
        <f t="shared" ref="AW166:AW229" si="11">LEN(L166)</f>
        <v>0</v>
      </c>
    </row>
    <row r="167" spans="10:49" ht="15">
      <c r="J167" s="471"/>
      <c r="K167" s="54"/>
      <c r="L167" s="398"/>
      <c r="M167" s="471"/>
      <c r="N167" s="68"/>
      <c r="O167" s="68"/>
      <c r="P167" s="68"/>
      <c r="Q167" s="68"/>
      <c r="R167" s="68"/>
      <c r="S167" s="68"/>
      <c r="T167" s="68"/>
      <c r="U167" s="161"/>
      <c r="V167" s="54"/>
      <c r="W167" s="54"/>
      <c r="X167" s="54"/>
      <c r="Y167" s="54"/>
      <c r="Z167" s="54"/>
      <c r="AA167" s="55"/>
      <c r="AB167" s="55"/>
      <c r="AC167" s="55"/>
      <c r="AD167" s="55"/>
      <c r="AE167" s="54"/>
      <c r="AF167" s="54"/>
      <c r="AG167" s="54"/>
      <c r="AH167" s="54"/>
      <c r="AI167" s="55"/>
      <c r="AJ167" s="54"/>
      <c r="AW167" s="18">
        <f t="shared" si="11"/>
        <v>0</v>
      </c>
    </row>
    <row r="168" spans="10:49" ht="15">
      <c r="J168" s="471"/>
      <c r="K168" s="54"/>
      <c r="L168" s="398"/>
      <c r="M168" s="471"/>
      <c r="N168" s="68"/>
      <c r="O168" s="68"/>
      <c r="P168" s="68"/>
      <c r="Q168" s="68"/>
      <c r="R168" s="68"/>
      <c r="S168" s="68"/>
      <c r="T168" s="68"/>
      <c r="U168" s="161"/>
      <c r="V168" s="54"/>
      <c r="W168" s="54"/>
      <c r="X168" s="54"/>
      <c r="Y168" s="54"/>
      <c r="Z168" s="54"/>
      <c r="AA168" s="55"/>
      <c r="AB168" s="55"/>
      <c r="AC168" s="55"/>
      <c r="AD168" s="55"/>
      <c r="AE168" s="54"/>
      <c r="AF168" s="54"/>
      <c r="AG168" s="54"/>
      <c r="AH168" s="54"/>
      <c r="AI168" s="55"/>
      <c r="AJ168" s="54"/>
      <c r="AW168" s="18">
        <f t="shared" si="11"/>
        <v>0</v>
      </c>
    </row>
    <row r="169" spans="10:49" ht="15">
      <c r="J169" s="471"/>
      <c r="K169" s="54"/>
      <c r="L169" s="398"/>
      <c r="M169" s="471"/>
      <c r="N169" s="68"/>
      <c r="O169" s="68"/>
      <c r="P169" s="68"/>
      <c r="Q169" s="68"/>
      <c r="R169" s="68"/>
      <c r="S169" s="68"/>
      <c r="T169" s="68"/>
      <c r="U169" s="161"/>
      <c r="V169" s="54"/>
      <c r="W169" s="54"/>
      <c r="X169" s="54"/>
      <c r="Y169" s="54"/>
      <c r="Z169" s="54"/>
      <c r="AA169" s="55"/>
      <c r="AB169" s="55"/>
      <c r="AC169" s="55"/>
      <c r="AD169" s="55"/>
      <c r="AE169" s="54"/>
      <c r="AF169" s="54"/>
      <c r="AG169" s="54"/>
      <c r="AH169" s="54"/>
      <c r="AI169" s="55"/>
      <c r="AJ169" s="54"/>
      <c r="AW169" s="18">
        <f t="shared" si="11"/>
        <v>0</v>
      </c>
    </row>
    <row r="170" spans="10:49" ht="15">
      <c r="J170" s="471"/>
      <c r="K170" s="54"/>
      <c r="L170" s="398"/>
      <c r="M170" s="471"/>
      <c r="N170" s="68"/>
      <c r="O170" s="68"/>
      <c r="P170" s="68"/>
      <c r="Q170" s="68"/>
      <c r="R170" s="68"/>
      <c r="S170" s="68"/>
      <c r="T170" s="68"/>
      <c r="U170" s="161"/>
      <c r="V170" s="54"/>
      <c r="W170" s="54"/>
      <c r="X170" s="54"/>
      <c r="Y170" s="54"/>
      <c r="Z170" s="54"/>
      <c r="AA170" s="55"/>
      <c r="AB170" s="55"/>
      <c r="AC170" s="55"/>
      <c r="AD170" s="55"/>
      <c r="AE170" s="54"/>
      <c r="AF170" s="54"/>
      <c r="AG170" s="54"/>
      <c r="AH170" s="54"/>
      <c r="AI170" s="55"/>
      <c r="AJ170" s="54"/>
      <c r="AW170" s="18">
        <f t="shared" si="11"/>
        <v>0</v>
      </c>
    </row>
    <row r="171" spans="10:49" ht="15">
      <c r="J171" s="471"/>
      <c r="K171" s="54"/>
      <c r="L171" s="398"/>
      <c r="M171" s="471"/>
      <c r="N171" s="68"/>
      <c r="O171" s="68"/>
      <c r="P171" s="68"/>
      <c r="Q171" s="68"/>
      <c r="R171" s="68"/>
      <c r="S171" s="68"/>
      <c r="T171" s="68"/>
      <c r="U171" s="161"/>
      <c r="V171" s="54"/>
      <c r="W171" s="54"/>
      <c r="X171" s="54"/>
      <c r="Y171" s="54"/>
      <c r="Z171" s="54"/>
      <c r="AA171" s="55"/>
      <c r="AB171" s="55"/>
      <c r="AC171" s="55"/>
      <c r="AD171" s="55"/>
      <c r="AE171" s="54"/>
      <c r="AF171" s="54"/>
      <c r="AG171" s="54"/>
      <c r="AH171" s="54"/>
      <c r="AI171" s="55"/>
      <c r="AJ171" s="54"/>
      <c r="AW171" s="18">
        <f t="shared" si="11"/>
        <v>0</v>
      </c>
    </row>
    <row r="172" spans="10:49" ht="15">
      <c r="J172" s="471"/>
      <c r="K172" s="54"/>
      <c r="L172" s="398"/>
      <c r="M172" s="471"/>
      <c r="N172" s="68"/>
      <c r="O172" s="68"/>
      <c r="P172" s="68"/>
      <c r="Q172" s="68"/>
      <c r="R172" s="68"/>
      <c r="S172" s="68"/>
      <c r="T172" s="68"/>
      <c r="U172" s="161"/>
      <c r="V172" s="54"/>
      <c r="W172" s="54"/>
      <c r="X172" s="54"/>
      <c r="Y172" s="54"/>
      <c r="Z172" s="54"/>
      <c r="AA172" s="55"/>
      <c r="AB172" s="55"/>
      <c r="AC172" s="55"/>
      <c r="AD172" s="55"/>
      <c r="AE172" s="54"/>
      <c r="AF172" s="54"/>
      <c r="AG172" s="54"/>
      <c r="AH172" s="54"/>
      <c r="AI172" s="55"/>
      <c r="AJ172" s="54"/>
      <c r="AW172" s="18">
        <f t="shared" si="11"/>
        <v>0</v>
      </c>
    </row>
    <row r="173" spans="10:49" ht="15">
      <c r="J173" s="471"/>
      <c r="K173" s="54"/>
      <c r="L173" s="398"/>
      <c r="M173" s="471"/>
      <c r="N173" s="68"/>
      <c r="O173" s="68"/>
      <c r="P173" s="68"/>
      <c r="Q173" s="68"/>
      <c r="R173" s="68"/>
      <c r="S173" s="68"/>
      <c r="T173" s="68"/>
      <c r="U173" s="161"/>
      <c r="V173" s="54"/>
      <c r="W173" s="54"/>
      <c r="X173" s="54"/>
      <c r="Y173" s="54"/>
      <c r="Z173" s="54"/>
      <c r="AA173" s="55"/>
      <c r="AB173" s="55"/>
      <c r="AC173" s="55"/>
      <c r="AD173" s="55"/>
      <c r="AE173" s="54"/>
      <c r="AF173" s="54"/>
      <c r="AG173" s="54"/>
      <c r="AH173" s="54"/>
      <c r="AI173" s="55"/>
      <c r="AJ173" s="54"/>
      <c r="AW173" s="18">
        <f t="shared" si="11"/>
        <v>0</v>
      </c>
    </row>
    <row r="174" spans="10:49" ht="15">
      <c r="J174" s="471"/>
      <c r="K174" s="54"/>
      <c r="L174" s="398"/>
      <c r="M174" s="471"/>
      <c r="N174" s="68"/>
      <c r="O174" s="68"/>
      <c r="P174" s="68"/>
      <c r="Q174" s="68"/>
      <c r="R174" s="68"/>
      <c r="S174" s="68"/>
      <c r="T174" s="68"/>
      <c r="U174" s="161"/>
      <c r="V174" s="54"/>
      <c r="W174" s="54"/>
      <c r="X174" s="54"/>
      <c r="Y174" s="54"/>
      <c r="Z174" s="54"/>
      <c r="AA174" s="55"/>
      <c r="AB174" s="55"/>
      <c r="AC174" s="55"/>
      <c r="AD174" s="55"/>
      <c r="AE174" s="54"/>
      <c r="AF174" s="54"/>
      <c r="AG174" s="54"/>
      <c r="AH174" s="54"/>
      <c r="AI174" s="55"/>
      <c r="AJ174" s="54"/>
      <c r="AW174" s="18">
        <f t="shared" si="11"/>
        <v>0</v>
      </c>
    </row>
    <row r="175" spans="10:49" ht="15">
      <c r="J175" s="471"/>
      <c r="K175" s="54"/>
      <c r="L175" s="398"/>
      <c r="M175" s="471"/>
      <c r="N175" s="68"/>
      <c r="O175" s="68"/>
      <c r="P175" s="68"/>
      <c r="Q175" s="68"/>
      <c r="R175" s="68"/>
      <c r="S175" s="68"/>
      <c r="T175" s="68"/>
      <c r="U175" s="161"/>
      <c r="V175" s="54"/>
      <c r="W175" s="54"/>
      <c r="X175" s="54"/>
      <c r="Y175" s="54"/>
      <c r="Z175" s="54"/>
      <c r="AA175" s="55"/>
      <c r="AB175" s="55"/>
      <c r="AC175" s="55"/>
      <c r="AD175" s="55"/>
      <c r="AE175" s="54"/>
      <c r="AF175" s="54"/>
      <c r="AG175" s="54"/>
      <c r="AH175" s="54"/>
      <c r="AI175" s="55"/>
      <c r="AJ175" s="54"/>
      <c r="AW175" s="18">
        <f t="shared" si="11"/>
        <v>0</v>
      </c>
    </row>
    <row r="176" spans="10:49" ht="15">
      <c r="J176" s="471"/>
      <c r="K176" s="54"/>
      <c r="L176" s="398"/>
      <c r="M176" s="471"/>
      <c r="N176" s="68"/>
      <c r="O176" s="68"/>
      <c r="P176" s="68"/>
      <c r="Q176" s="68"/>
      <c r="R176" s="68"/>
      <c r="S176" s="68"/>
      <c r="T176" s="68"/>
      <c r="U176" s="161"/>
      <c r="V176" s="54"/>
      <c r="W176" s="54"/>
      <c r="X176" s="54"/>
      <c r="Y176" s="54"/>
      <c r="Z176" s="54"/>
      <c r="AA176" s="55"/>
      <c r="AB176" s="55"/>
      <c r="AC176" s="55"/>
      <c r="AD176" s="55"/>
      <c r="AE176" s="54"/>
      <c r="AF176" s="54"/>
      <c r="AG176" s="54"/>
      <c r="AH176" s="54"/>
      <c r="AI176" s="55"/>
      <c r="AJ176" s="54"/>
      <c r="AW176" s="18">
        <f t="shared" si="11"/>
        <v>0</v>
      </c>
    </row>
    <row r="177" spans="10:49" ht="15">
      <c r="J177" s="471"/>
      <c r="K177" s="54"/>
      <c r="L177" s="398"/>
      <c r="M177" s="471"/>
      <c r="N177" s="68"/>
      <c r="O177" s="68"/>
      <c r="P177" s="68"/>
      <c r="Q177" s="68"/>
      <c r="R177" s="68"/>
      <c r="S177" s="68"/>
      <c r="T177" s="68"/>
      <c r="U177" s="161"/>
      <c r="V177" s="54"/>
      <c r="W177" s="54"/>
      <c r="X177" s="54"/>
      <c r="Y177" s="54"/>
      <c r="Z177" s="54"/>
      <c r="AA177" s="55"/>
      <c r="AB177" s="55"/>
      <c r="AC177" s="55"/>
      <c r="AD177" s="55"/>
      <c r="AE177" s="54"/>
      <c r="AF177" s="54"/>
      <c r="AG177" s="54"/>
      <c r="AH177" s="54"/>
      <c r="AI177" s="55"/>
      <c r="AJ177" s="54"/>
      <c r="AW177" s="18">
        <f t="shared" si="11"/>
        <v>0</v>
      </c>
    </row>
    <row r="178" spans="10:49" ht="15">
      <c r="J178" s="471"/>
      <c r="K178" s="54"/>
      <c r="L178" s="56"/>
      <c r="M178" s="56"/>
      <c r="N178" s="68"/>
      <c r="O178" s="68"/>
      <c r="P178" s="68"/>
      <c r="Q178" s="68"/>
      <c r="R178" s="68"/>
      <c r="S178" s="68"/>
      <c r="T178" s="68"/>
      <c r="U178" s="161"/>
      <c r="V178" s="54"/>
      <c r="W178" s="54"/>
      <c r="X178" s="54"/>
      <c r="Y178" s="54"/>
      <c r="Z178" s="54"/>
      <c r="AA178" s="55"/>
      <c r="AB178" s="55"/>
      <c r="AC178" s="55"/>
      <c r="AD178" s="55"/>
      <c r="AE178" s="54"/>
      <c r="AF178" s="54"/>
      <c r="AG178" s="54"/>
      <c r="AH178" s="54"/>
      <c r="AI178" s="55"/>
      <c r="AJ178" s="54"/>
      <c r="AW178" s="18">
        <f t="shared" si="11"/>
        <v>0</v>
      </c>
    </row>
    <row r="179" spans="10:49" ht="15">
      <c r="J179" s="471"/>
      <c r="K179" s="54"/>
      <c r="L179" s="56"/>
      <c r="M179" s="56"/>
      <c r="N179" s="68"/>
      <c r="O179" s="68"/>
      <c r="P179" s="68"/>
      <c r="Q179" s="68"/>
      <c r="R179" s="68"/>
      <c r="S179" s="68"/>
      <c r="T179" s="68"/>
      <c r="U179" s="161"/>
      <c r="V179" s="54"/>
      <c r="W179" s="54"/>
      <c r="X179" s="54"/>
      <c r="Y179" s="54"/>
      <c r="Z179" s="54"/>
      <c r="AA179" s="55"/>
      <c r="AB179" s="55"/>
      <c r="AC179" s="55"/>
      <c r="AD179" s="55"/>
      <c r="AE179" s="54"/>
      <c r="AF179" s="54"/>
      <c r="AG179" s="54"/>
      <c r="AH179" s="54"/>
      <c r="AI179" s="55"/>
      <c r="AJ179" s="54"/>
      <c r="AW179" s="18">
        <f t="shared" si="11"/>
        <v>0</v>
      </c>
    </row>
    <row r="180" spans="10:49" ht="15">
      <c r="J180" s="471"/>
      <c r="K180" s="54"/>
      <c r="L180" s="398"/>
      <c r="M180" s="471"/>
      <c r="N180" s="68"/>
      <c r="O180" s="68"/>
      <c r="P180" s="68"/>
      <c r="Q180" s="68"/>
      <c r="R180" s="68"/>
      <c r="S180" s="68"/>
      <c r="T180" s="68"/>
      <c r="U180" s="161"/>
      <c r="V180" s="54"/>
      <c r="W180" s="54"/>
      <c r="X180" s="54"/>
      <c r="Y180" s="54"/>
      <c r="Z180" s="54"/>
      <c r="AA180" s="55"/>
      <c r="AB180" s="55"/>
      <c r="AC180" s="55"/>
      <c r="AD180" s="55"/>
      <c r="AE180" s="54"/>
      <c r="AF180" s="54"/>
      <c r="AG180" s="54"/>
      <c r="AH180" s="54"/>
      <c r="AI180" s="55"/>
      <c r="AJ180" s="54"/>
      <c r="AW180" s="18">
        <f t="shared" si="11"/>
        <v>0</v>
      </c>
    </row>
    <row r="181" spans="10:49" ht="15">
      <c r="J181" s="687"/>
      <c r="K181" s="54"/>
      <c r="L181" s="687"/>
      <c r="M181" s="471"/>
      <c r="N181" s="68"/>
      <c r="O181" s="68"/>
      <c r="P181" s="68"/>
      <c r="Q181" s="68"/>
      <c r="R181" s="68"/>
      <c r="S181" s="68"/>
      <c r="T181" s="68"/>
      <c r="U181" s="161"/>
      <c r="V181" s="54"/>
      <c r="W181" s="54"/>
      <c r="X181" s="54"/>
      <c r="Y181" s="54"/>
      <c r="Z181" s="54"/>
      <c r="AA181" s="54"/>
      <c r="AB181" s="54"/>
      <c r="AC181" s="54"/>
      <c r="AD181" s="54"/>
      <c r="AE181" s="54"/>
      <c r="AF181" s="54"/>
      <c r="AG181" s="54"/>
      <c r="AH181" s="54"/>
      <c r="AI181" s="54"/>
      <c r="AJ181" s="54"/>
      <c r="AW181" s="18">
        <f t="shared" si="11"/>
        <v>0</v>
      </c>
    </row>
    <row r="182" spans="10:49" ht="15">
      <c r="J182" s="687"/>
      <c r="K182" s="54"/>
      <c r="L182" s="687"/>
      <c r="M182" s="471"/>
      <c r="N182" s="68"/>
      <c r="O182" s="68"/>
      <c r="P182" s="68"/>
      <c r="Q182" s="68"/>
      <c r="R182" s="68"/>
      <c r="S182" s="68"/>
      <c r="T182" s="68"/>
      <c r="U182" s="161"/>
      <c r="V182" s="54"/>
      <c r="W182" s="54"/>
      <c r="X182" s="54"/>
      <c r="Y182" s="54"/>
      <c r="Z182" s="54"/>
      <c r="AA182" s="54"/>
      <c r="AB182" s="54"/>
      <c r="AC182" s="54"/>
      <c r="AD182" s="54"/>
      <c r="AE182" s="54"/>
      <c r="AF182" s="54"/>
      <c r="AG182" s="54"/>
      <c r="AH182" s="54"/>
      <c r="AI182" s="54"/>
      <c r="AJ182" s="54"/>
      <c r="AW182" s="18">
        <f t="shared" si="11"/>
        <v>0</v>
      </c>
    </row>
    <row r="183" spans="10:49" ht="15">
      <c r="J183" s="687"/>
      <c r="K183" s="54"/>
      <c r="L183" s="687"/>
      <c r="M183" s="471"/>
      <c r="N183" s="68"/>
      <c r="O183" s="68"/>
      <c r="P183" s="68"/>
      <c r="Q183" s="68"/>
      <c r="R183" s="68"/>
      <c r="S183" s="68"/>
      <c r="T183" s="68"/>
      <c r="U183" s="161"/>
      <c r="V183" s="54"/>
      <c r="W183" s="54"/>
      <c r="X183" s="54"/>
      <c r="Y183" s="54"/>
      <c r="Z183" s="54"/>
      <c r="AA183" s="54"/>
      <c r="AB183" s="54"/>
      <c r="AC183" s="54"/>
      <c r="AD183" s="54"/>
      <c r="AE183" s="54"/>
      <c r="AF183" s="54"/>
      <c r="AG183" s="54"/>
      <c r="AH183" s="54"/>
      <c r="AI183" s="54"/>
      <c r="AJ183" s="54"/>
      <c r="AW183" s="18">
        <f t="shared" si="11"/>
        <v>0</v>
      </c>
    </row>
    <row r="184" spans="10:49" ht="15">
      <c r="J184" s="687"/>
      <c r="K184" s="54"/>
      <c r="L184" s="687"/>
      <c r="M184" s="471"/>
      <c r="N184" s="68"/>
      <c r="O184" s="68"/>
      <c r="P184" s="68"/>
      <c r="Q184" s="68"/>
      <c r="R184" s="68"/>
      <c r="S184" s="68"/>
      <c r="T184" s="68"/>
      <c r="U184" s="161"/>
      <c r="V184" s="54"/>
      <c r="W184" s="54"/>
      <c r="X184" s="54"/>
      <c r="Y184" s="54"/>
      <c r="Z184" s="54"/>
      <c r="AA184" s="54"/>
      <c r="AB184" s="54"/>
      <c r="AC184" s="54"/>
      <c r="AD184" s="54"/>
      <c r="AE184" s="54"/>
      <c r="AF184" s="54"/>
      <c r="AG184" s="54"/>
      <c r="AH184" s="54"/>
      <c r="AI184" s="54"/>
      <c r="AJ184" s="54"/>
      <c r="AW184" s="18">
        <f t="shared" si="11"/>
        <v>0</v>
      </c>
    </row>
    <row r="185" spans="10:49" ht="15">
      <c r="J185" s="687"/>
      <c r="K185" s="54"/>
      <c r="L185" s="687"/>
      <c r="M185" s="471"/>
      <c r="N185" s="68"/>
      <c r="O185" s="68"/>
      <c r="P185" s="68"/>
      <c r="Q185" s="68"/>
      <c r="R185" s="68"/>
      <c r="S185" s="68"/>
      <c r="T185" s="68"/>
      <c r="U185" s="161"/>
      <c r="V185" s="54"/>
      <c r="W185" s="54"/>
      <c r="X185" s="54"/>
      <c r="Y185" s="54"/>
      <c r="Z185" s="54"/>
      <c r="AA185" s="54"/>
      <c r="AB185" s="54"/>
      <c r="AC185" s="54"/>
      <c r="AD185" s="54"/>
      <c r="AE185" s="54"/>
      <c r="AF185" s="54"/>
      <c r="AG185" s="54"/>
      <c r="AH185" s="54"/>
      <c r="AI185" s="54"/>
      <c r="AJ185" s="54"/>
      <c r="AW185" s="18">
        <f t="shared" si="11"/>
        <v>0</v>
      </c>
    </row>
    <row r="186" spans="10:49" ht="15">
      <c r="J186" s="687"/>
      <c r="K186" s="54"/>
      <c r="L186" s="687"/>
      <c r="M186" s="471"/>
      <c r="N186" s="68"/>
      <c r="O186" s="68"/>
      <c r="P186" s="68"/>
      <c r="Q186" s="68"/>
      <c r="R186" s="68"/>
      <c r="S186" s="68"/>
      <c r="T186" s="68"/>
      <c r="U186" s="161"/>
      <c r="V186" s="54"/>
      <c r="W186" s="54"/>
      <c r="X186" s="54"/>
      <c r="Y186" s="54"/>
      <c r="Z186" s="54"/>
      <c r="AA186" s="54"/>
      <c r="AB186" s="54"/>
      <c r="AC186" s="54"/>
      <c r="AD186" s="54"/>
      <c r="AE186" s="54"/>
      <c r="AF186" s="54"/>
      <c r="AG186" s="54"/>
      <c r="AH186" s="54"/>
      <c r="AI186" s="54"/>
      <c r="AJ186" s="54"/>
      <c r="AW186" s="18">
        <f t="shared" si="11"/>
        <v>0</v>
      </c>
    </row>
    <row r="187" spans="10:49" ht="15">
      <c r="J187" s="687"/>
      <c r="K187" s="54"/>
      <c r="L187" s="687"/>
      <c r="M187" s="471"/>
      <c r="N187" s="68"/>
      <c r="O187" s="68"/>
      <c r="P187" s="68"/>
      <c r="Q187" s="68"/>
      <c r="R187" s="68"/>
      <c r="S187" s="68"/>
      <c r="T187" s="68"/>
      <c r="U187" s="161"/>
      <c r="V187" s="54"/>
      <c r="W187" s="54"/>
      <c r="X187" s="54"/>
      <c r="Y187" s="54"/>
      <c r="Z187" s="54"/>
      <c r="AA187" s="54"/>
      <c r="AB187" s="54"/>
      <c r="AC187" s="54"/>
      <c r="AD187" s="54"/>
      <c r="AE187" s="54"/>
      <c r="AF187" s="54"/>
      <c r="AG187" s="54"/>
      <c r="AH187" s="54"/>
      <c r="AI187" s="54"/>
      <c r="AJ187" s="54"/>
      <c r="AW187" s="18">
        <f t="shared" si="11"/>
        <v>0</v>
      </c>
    </row>
    <row r="188" spans="10:49" ht="15">
      <c r="J188" s="687"/>
      <c r="K188" s="54"/>
      <c r="L188" s="687"/>
      <c r="M188" s="471"/>
      <c r="N188" s="68"/>
      <c r="O188" s="68"/>
      <c r="P188" s="68"/>
      <c r="Q188" s="68"/>
      <c r="R188" s="68"/>
      <c r="S188" s="68"/>
      <c r="T188" s="68"/>
      <c r="U188" s="161"/>
      <c r="V188" s="54"/>
      <c r="W188" s="54"/>
      <c r="X188" s="54"/>
      <c r="Y188" s="54"/>
      <c r="Z188" s="54"/>
      <c r="AA188" s="54"/>
      <c r="AB188" s="54"/>
      <c r="AC188" s="54"/>
      <c r="AD188" s="54"/>
      <c r="AE188" s="54"/>
      <c r="AF188" s="54"/>
      <c r="AG188" s="54"/>
      <c r="AH188" s="54"/>
      <c r="AI188" s="54"/>
      <c r="AJ188" s="54"/>
      <c r="AW188" s="18">
        <f t="shared" si="11"/>
        <v>0</v>
      </c>
    </row>
    <row r="189" spans="10:49" ht="15">
      <c r="J189" s="687"/>
      <c r="K189" s="54"/>
      <c r="L189" s="687"/>
      <c r="M189" s="471"/>
      <c r="N189" s="68"/>
      <c r="O189" s="68"/>
      <c r="P189" s="68"/>
      <c r="Q189" s="68"/>
      <c r="R189" s="68"/>
      <c r="S189" s="68"/>
      <c r="T189" s="68"/>
      <c r="U189" s="161"/>
      <c r="V189" s="54"/>
      <c r="W189" s="54"/>
      <c r="X189" s="54"/>
      <c r="Y189" s="54"/>
      <c r="Z189" s="54"/>
      <c r="AA189" s="54"/>
      <c r="AB189" s="54"/>
      <c r="AC189" s="54"/>
      <c r="AD189" s="54"/>
      <c r="AE189" s="54"/>
      <c r="AF189" s="54"/>
      <c r="AG189" s="54"/>
      <c r="AH189" s="54"/>
      <c r="AI189" s="54"/>
      <c r="AJ189" s="54"/>
      <c r="AW189" s="18">
        <f t="shared" si="11"/>
        <v>0</v>
      </c>
    </row>
    <row r="190" spans="10:49" ht="15">
      <c r="J190" s="687"/>
      <c r="K190" s="54"/>
      <c r="L190" s="687"/>
      <c r="M190" s="471"/>
      <c r="N190" s="68"/>
      <c r="O190" s="68"/>
      <c r="P190" s="68"/>
      <c r="Q190" s="68"/>
      <c r="R190" s="68"/>
      <c r="S190" s="68"/>
      <c r="T190" s="68"/>
      <c r="U190" s="161"/>
      <c r="V190" s="54"/>
      <c r="W190" s="54"/>
      <c r="X190" s="54"/>
      <c r="Y190" s="54"/>
      <c r="Z190" s="54"/>
      <c r="AA190" s="54"/>
      <c r="AB190" s="54"/>
      <c r="AC190" s="54"/>
      <c r="AD190" s="54"/>
      <c r="AE190" s="54"/>
      <c r="AF190" s="54"/>
      <c r="AG190" s="54"/>
      <c r="AH190" s="54"/>
      <c r="AI190" s="54"/>
      <c r="AJ190" s="54"/>
      <c r="AW190" s="18">
        <f t="shared" si="11"/>
        <v>0</v>
      </c>
    </row>
    <row r="191" spans="10:49" ht="15">
      <c r="J191" s="687"/>
      <c r="K191" s="54"/>
      <c r="L191" s="687"/>
      <c r="M191" s="471"/>
      <c r="N191" s="68"/>
      <c r="O191" s="68"/>
      <c r="P191" s="68"/>
      <c r="Q191" s="68"/>
      <c r="R191" s="68"/>
      <c r="S191" s="68"/>
      <c r="T191" s="68"/>
      <c r="U191" s="161"/>
      <c r="V191" s="54"/>
      <c r="W191" s="54"/>
      <c r="X191" s="54"/>
      <c r="Y191" s="54"/>
      <c r="Z191" s="54"/>
      <c r="AA191" s="54"/>
      <c r="AB191" s="54"/>
      <c r="AC191" s="54"/>
      <c r="AD191" s="54"/>
      <c r="AE191" s="54"/>
      <c r="AF191" s="54"/>
      <c r="AG191" s="54"/>
      <c r="AH191" s="54"/>
      <c r="AI191" s="54"/>
      <c r="AJ191" s="54"/>
      <c r="AW191" s="18">
        <f t="shared" si="11"/>
        <v>0</v>
      </c>
    </row>
    <row r="192" spans="10:49" ht="15">
      <c r="J192" s="687"/>
      <c r="K192" s="54"/>
      <c r="L192" s="687"/>
      <c r="M192" s="471"/>
      <c r="N192" s="68"/>
      <c r="O192" s="68"/>
      <c r="P192" s="68"/>
      <c r="Q192" s="68"/>
      <c r="R192" s="68"/>
      <c r="S192" s="68"/>
      <c r="T192" s="68"/>
      <c r="U192" s="161"/>
      <c r="V192" s="54"/>
      <c r="W192" s="54"/>
      <c r="X192" s="54"/>
      <c r="Y192" s="54"/>
      <c r="Z192" s="54"/>
      <c r="AA192" s="54"/>
      <c r="AB192" s="54"/>
      <c r="AC192" s="54"/>
      <c r="AD192" s="54"/>
      <c r="AE192" s="54"/>
      <c r="AF192" s="54"/>
      <c r="AG192" s="54"/>
      <c r="AH192" s="54"/>
      <c r="AI192" s="54"/>
      <c r="AJ192" s="54"/>
      <c r="AW192" s="18">
        <f t="shared" si="11"/>
        <v>0</v>
      </c>
    </row>
    <row r="193" spans="10:49" ht="15">
      <c r="J193" s="687"/>
      <c r="K193" s="54"/>
      <c r="L193" s="687"/>
      <c r="M193" s="471"/>
      <c r="N193" s="68"/>
      <c r="O193" s="68"/>
      <c r="P193" s="68"/>
      <c r="Q193" s="68"/>
      <c r="R193" s="68"/>
      <c r="S193" s="68"/>
      <c r="T193" s="68"/>
      <c r="U193" s="161"/>
      <c r="V193" s="54"/>
      <c r="W193" s="54"/>
      <c r="X193" s="54"/>
      <c r="Y193" s="54"/>
      <c r="Z193" s="54"/>
      <c r="AA193" s="54"/>
      <c r="AB193" s="54"/>
      <c r="AC193" s="54"/>
      <c r="AD193" s="54"/>
      <c r="AE193" s="54"/>
      <c r="AF193" s="54"/>
      <c r="AG193" s="54"/>
      <c r="AH193" s="54"/>
      <c r="AI193" s="54"/>
      <c r="AJ193" s="54"/>
      <c r="AW193" s="18">
        <f t="shared" si="11"/>
        <v>0</v>
      </c>
    </row>
    <row r="194" spans="10:49" ht="15">
      <c r="J194" s="687"/>
      <c r="K194" s="54"/>
      <c r="L194" s="687"/>
      <c r="M194" s="471"/>
      <c r="N194" s="68"/>
      <c r="O194" s="68"/>
      <c r="P194" s="68"/>
      <c r="Q194" s="68"/>
      <c r="R194" s="68"/>
      <c r="S194" s="68"/>
      <c r="T194" s="68"/>
      <c r="U194" s="161"/>
      <c r="V194" s="54"/>
      <c r="W194" s="54"/>
      <c r="X194" s="54"/>
      <c r="Y194" s="54"/>
      <c r="Z194" s="54"/>
      <c r="AA194" s="54"/>
      <c r="AB194" s="54"/>
      <c r="AC194" s="54"/>
      <c r="AD194" s="54"/>
      <c r="AE194" s="54"/>
      <c r="AF194" s="54"/>
      <c r="AG194" s="54"/>
      <c r="AH194" s="54"/>
      <c r="AI194" s="54"/>
      <c r="AJ194" s="54"/>
      <c r="AW194" s="18">
        <f t="shared" si="11"/>
        <v>0</v>
      </c>
    </row>
    <row r="195" spans="10:49" ht="15">
      <c r="J195" s="687"/>
      <c r="K195" s="54"/>
      <c r="L195" s="687"/>
      <c r="M195" s="471"/>
      <c r="N195" s="68"/>
      <c r="O195" s="68"/>
      <c r="P195" s="68"/>
      <c r="Q195" s="68"/>
      <c r="R195" s="68"/>
      <c r="S195" s="68"/>
      <c r="T195" s="68"/>
      <c r="U195" s="161"/>
      <c r="V195" s="54"/>
      <c r="W195" s="54"/>
      <c r="X195" s="54"/>
      <c r="Y195" s="54"/>
      <c r="Z195" s="54"/>
      <c r="AA195" s="54"/>
      <c r="AB195" s="54"/>
      <c r="AC195" s="54"/>
      <c r="AD195" s="54"/>
      <c r="AE195" s="54"/>
      <c r="AF195" s="54"/>
      <c r="AG195" s="54"/>
      <c r="AH195" s="54"/>
      <c r="AI195" s="54"/>
      <c r="AJ195" s="54"/>
      <c r="AW195" s="18">
        <f t="shared" si="11"/>
        <v>0</v>
      </c>
    </row>
    <row r="196" spans="10:49" ht="15">
      <c r="J196" s="687"/>
      <c r="K196" s="54"/>
      <c r="L196" s="687"/>
      <c r="M196" s="471"/>
      <c r="N196" s="68"/>
      <c r="O196" s="68"/>
      <c r="P196" s="68"/>
      <c r="Q196" s="68"/>
      <c r="R196" s="68"/>
      <c r="S196" s="68"/>
      <c r="T196" s="68"/>
      <c r="U196" s="161"/>
      <c r="V196" s="54"/>
      <c r="W196" s="54"/>
      <c r="X196" s="54"/>
      <c r="Y196" s="54"/>
      <c r="Z196" s="54"/>
      <c r="AA196" s="54"/>
      <c r="AB196" s="54"/>
      <c r="AC196" s="54"/>
      <c r="AD196" s="54"/>
      <c r="AE196" s="54"/>
      <c r="AF196" s="54"/>
      <c r="AG196" s="54"/>
      <c r="AH196" s="54"/>
      <c r="AI196" s="54"/>
      <c r="AJ196" s="54"/>
      <c r="AW196" s="18">
        <f t="shared" si="11"/>
        <v>0</v>
      </c>
    </row>
    <row r="197" spans="10:49" ht="15">
      <c r="J197" s="687"/>
      <c r="K197" s="54"/>
      <c r="L197" s="687"/>
      <c r="M197" s="471"/>
      <c r="N197" s="68"/>
      <c r="O197" s="68"/>
      <c r="P197" s="68"/>
      <c r="Q197" s="68"/>
      <c r="R197" s="68"/>
      <c r="S197" s="68"/>
      <c r="T197" s="68"/>
      <c r="U197" s="161"/>
      <c r="V197" s="54"/>
      <c r="W197" s="54"/>
      <c r="X197" s="54"/>
      <c r="Y197" s="54"/>
      <c r="Z197" s="54"/>
      <c r="AA197" s="54"/>
      <c r="AB197" s="54"/>
      <c r="AC197" s="54"/>
      <c r="AD197" s="54"/>
      <c r="AE197" s="54"/>
      <c r="AF197" s="54"/>
      <c r="AG197" s="54"/>
      <c r="AH197" s="54"/>
      <c r="AI197" s="54"/>
      <c r="AJ197" s="54"/>
      <c r="AW197" s="18">
        <f t="shared" si="11"/>
        <v>0</v>
      </c>
    </row>
    <row r="198" spans="10:49" ht="15">
      <c r="J198" s="687"/>
      <c r="K198" s="54"/>
      <c r="L198" s="687"/>
      <c r="M198" s="471"/>
      <c r="N198" s="68"/>
      <c r="O198" s="68"/>
      <c r="P198" s="68"/>
      <c r="Q198" s="68"/>
      <c r="R198" s="68"/>
      <c r="S198" s="68"/>
      <c r="T198" s="68"/>
      <c r="U198" s="161"/>
      <c r="V198" s="54"/>
      <c r="W198" s="54"/>
      <c r="X198" s="54"/>
      <c r="Y198" s="54"/>
      <c r="Z198" s="54"/>
      <c r="AA198" s="54"/>
      <c r="AB198" s="54"/>
      <c r="AC198" s="54"/>
      <c r="AD198" s="54"/>
      <c r="AE198" s="54"/>
      <c r="AF198" s="54"/>
      <c r="AG198" s="54"/>
      <c r="AH198" s="54"/>
      <c r="AI198" s="54"/>
      <c r="AJ198" s="54"/>
      <c r="AW198" s="18">
        <f t="shared" si="11"/>
        <v>0</v>
      </c>
    </row>
    <row r="199" spans="10:49" ht="15">
      <c r="J199" s="687"/>
      <c r="K199" s="54"/>
      <c r="L199" s="687"/>
      <c r="M199" s="471"/>
      <c r="N199" s="68"/>
      <c r="O199" s="68"/>
      <c r="P199" s="68"/>
      <c r="Q199" s="68"/>
      <c r="R199" s="68"/>
      <c r="S199" s="68"/>
      <c r="T199" s="68"/>
      <c r="U199" s="161"/>
      <c r="V199" s="54"/>
      <c r="W199" s="54"/>
      <c r="X199" s="54"/>
      <c r="Y199" s="54"/>
      <c r="Z199" s="54"/>
      <c r="AA199" s="54"/>
      <c r="AB199" s="54"/>
      <c r="AC199" s="54"/>
      <c r="AD199" s="54"/>
      <c r="AE199" s="54"/>
      <c r="AF199" s="54"/>
      <c r="AG199" s="54"/>
      <c r="AH199" s="54"/>
      <c r="AI199" s="54"/>
      <c r="AJ199" s="54"/>
      <c r="AW199" s="18">
        <f t="shared" si="11"/>
        <v>0</v>
      </c>
    </row>
    <row r="200" spans="10:49" ht="15">
      <c r="J200" s="687"/>
      <c r="K200" s="54"/>
      <c r="L200" s="687"/>
      <c r="M200" s="471"/>
      <c r="N200" s="68"/>
      <c r="O200" s="68"/>
      <c r="P200" s="68"/>
      <c r="Q200" s="68"/>
      <c r="R200" s="68"/>
      <c r="S200" s="68"/>
      <c r="T200" s="68"/>
      <c r="U200" s="161"/>
      <c r="V200" s="54"/>
      <c r="W200" s="54"/>
      <c r="X200" s="54"/>
      <c r="Y200" s="54"/>
      <c r="Z200" s="54"/>
      <c r="AA200" s="54"/>
      <c r="AB200" s="54"/>
      <c r="AC200" s="54"/>
      <c r="AD200" s="54"/>
      <c r="AE200" s="54"/>
      <c r="AF200" s="54"/>
      <c r="AG200" s="54"/>
      <c r="AH200" s="54"/>
      <c r="AI200" s="54"/>
      <c r="AJ200" s="54"/>
      <c r="AW200" s="18">
        <f t="shared" si="11"/>
        <v>0</v>
      </c>
    </row>
    <row r="201" spans="10:49" ht="15">
      <c r="J201" s="687"/>
      <c r="K201" s="54"/>
      <c r="L201" s="687"/>
      <c r="M201" s="471"/>
      <c r="N201" s="68"/>
      <c r="O201" s="68"/>
      <c r="P201" s="68"/>
      <c r="Q201" s="68"/>
      <c r="R201" s="68"/>
      <c r="S201" s="68"/>
      <c r="T201" s="68"/>
      <c r="U201" s="161"/>
      <c r="V201" s="54"/>
      <c r="W201" s="54"/>
      <c r="X201" s="54"/>
      <c r="Y201" s="54"/>
      <c r="Z201" s="54"/>
      <c r="AA201" s="54"/>
      <c r="AB201" s="54"/>
      <c r="AC201" s="54"/>
      <c r="AD201" s="54"/>
      <c r="AE201" s="54"/>
      <c r="AF201" s="54"/>
      <c r="AG201" s="54"/>
      <c r="AH201" s="54"/>
      <c r="AI201" s="54"/>
      <c r="AJ201" s="54"/>
      <c r="AW201" s="18">
        <f t="shared" si="11"/>
        <v>0</v>
      </c>
    </row>
    <row r="202" spans="10:49" ht="15">
      <c r="J202" s="687"/>
      <c r="K202" s="54"/>
      <c r="L202" s="687"/>
      <c r="M202" s="471"/>
      <c r="N202" s="68"/>
      <c r="O202" s="68"/>
      <c r="P202" s="68"/>
      <c r="Q202" s="68"/>
      <c r="R202" s="68"/>
      <c r="S202" s="68"/>
      <c r="T202" s="68"/>
      <c r="U202" s="161"/>
      <c r="V202" s="54"/>
      <c r="W202" s="54"/>
      <c r="X202" s="54"/>
      <c r="Y202" s="54"/>
      <c r="Z202" s="54"/>
      <c r="AA202" s="54"/>
      <c r="AB202" s="54"/>
      <c r="AC202" s="54"/>
      <c r="AD202" s="54"/>
      <c r="AE202" s="54"/>
      <c r="AF202" s="54"/>
      <c r="AG202" s="54"/>
      <c r="AH202" s="54"/>
      <c r="AI202" s="54"/>
      <c r="AJ202" s="54"/>
      <c r="AW202" s="18">
        <f t="shared" si="11"/>
        <v>0</v>
      </c>
    </row>
    <row r="203" spans="10:49" ht="15">
      <c r="J203" s="687"/>
      <c r="K203" s="54"/>
      <c r="L203" s="687"/>
      <c r="M203" s="471"/>
      <c r="N203" s="68"/>
      <c r="O203" s="68"/>
      <c r="P203" s="68"/>
      <c r="Q203" s="68"/>
      <c r="R203" s="68"/>
      <c r="S203" s="68"/>
      <c r="T203" s="68"/>
      <c r="U203" s="161"/>
      <c r="V203" s="54"/>
      <c r="W203" s="54"/>
      <c r="X203" s="54"/>
      <c r="Y203" s="54"/>
      <c r="Z203" s="54"/>
      <c r="AA203" s="54"/>
      <c r="AB203" s="54"/>
      <c r="AC203" s="54"/>
      <c r="AD203" s="54"/>
      <c r="AE203" s="54"/>
      <c r="AF203" s="54"/>
      <c r="AG203" s="54"/>
      <c r="AH203" s="54"/>
      <c r="AI203" s="54"/>
      <c r="AJ203" s="54"/>
      <c r="AW203" s="18">
        <f t="shared" si="11"/>
        <v>0</v>
      </c>
    </row>
    <row r="204" spans="10:49" ht="15">
      <c r="J204" s="687"/>
      <c r="K204" s="54"/>
      <c r="L204" s="687"/>
      <c r="M204" s="471"/>
      <c r="N204" s="68"/>
      <c r="O204" s="68"/>
      <c r="P204" s="68"/>
      <c r="Q204" s="68"/>
      <c r="R204" s="68"/>
      <c r="S204" s="68"/>
      <c r="T204" s="68"/>
      <c r="U204" s="161"/>
      <c r="V204" s="54"/>
      <c r="W204" s="54"/>
      <c r="X204" s="54"/>
      <c r="Y204" s="54"/>
      <c r="Z204" s="54"/>
      <c r="AA204" s="54"/>
      <c r="AB204" s="54"/>
      <c r="AC204" s="54"/>
      <c r="AD204" s="54"/>
      <c r="AE204" s="54"/>
      <c r="AF204" s="54"/>
      <c r="AG204" s="54"/>
      <c r="AH204" s="54"/>
      <c r="AI204" s="54"/>
      <c r="AJ204" s="54"/>
      <c r="AW204" s="18">
        <f t="shared" si="11"/>
        <v>0</v>
      </c>
    </row>
    <row r="205" spans="10:49" ht="15">
      <c r="J205" s="687"/>
      <c r="K205" s="54"/>
      <c r="L205" s="687"/>
      <c r="M205" s="471"/>
      <c r="N205" s="68"/>
      <c r="O205" s="68"/>
      <c r="P205" s="68"/>
      <c r="Q205" s="68"/>
      <c r="R205" s="68"/>
      <c r="S205" s="68"/>
      <c r="T205" s="68"/>
      <c r="U205" s="161"/>
      <c r="V205" s="54"/>
      <c r="W205" s="54"/>
      <c r="X205" s="54"/>
      <c r="Y205" s="54"/>
      <c r="Z205" s="54"/>
      <c r="AA205" s="54"/>
      <c r="AB205" s="54"/>
      <c r="AC205" s="54"/>
      <c r="AD205" s="54"/>
      <c r="AE205" s="54"/>
      <c r="AF205" s="54"/>
      <c r="AG205" s="54"/>
      <c r="AH205" s="54"/>
      <c r="AI205" s="54"/>
      <c r="AJ205" s="54"/>
      <c r="AW205" s="18">
        <f t="shared" si="11"/>
        <v>0</v>
      </c>
    </row>
    <row r="206" spans="10:49" ht="15">
      <c r="J206" s="687"/>
      <c r="K206" s="54"/>
      <c r="L206" s="687"/>
      <c r="M206" s="471"/>
      <c r="N206" s="68"/>
      <c r="O206" s="68"/>
      <c r="P206" s="68"/>
      <c r="Q206" s="68"/>
      <c r="R206" s="68"/>
      <c r="S206" s="68"/>
      <c r="T206" s="68"/>
      <c r="U206" s="161"/>
      <c r="V206" s="54"/>
      <c r="W206" s="54"/>
      <c r="X206" s="54"/>
      <c r="Y206" s="54"/>
      <c r="Z206" s="54"/>
      <c r="AA206" s="54"/>
      <c r="AB206" s="54"/>
      <c r="AC206" s="54"/>
      <c r="AD206" s="54"/>
      <c r="AE206" s="54"/>
      <c r="AF206" s="54"/>
      <c r="AG206" s="54"/>
      <c r="AH206" s="54"/>
      <c r="AI206" s="54"/>
      <c r="AJ206" s="54"/>
      <c r="AW206" s="18">
        <f t="shared" si="11"/>
        <v>0</v>
      </c>
    </row>
    <row r="207" spans="10:49" ht="15">
      <c r="J207" s="687"/>
      <c r="K207" s="54"/>
      <c r="L207" s="687"/>
      <c r="M207" s="471"/>
      <c r="N207" s="68"/>
      <c r="O207" s="68"/>
      <c r="P207" s="68"/>
      <c r="Q207" s="68"/>
      <c r="R207" s="68"/>
      <c r="S207" s="68"/>
      <c r="T207" s="68"/>
      <c r="U207" s="161"/>
      <c r="V207" s="54"/>
      <c r="W207" s="54"/>
      <c r="X207" s="54"/>
      <c r="Y207" s="54"/>
      <c r="Z207" s="54"/>
      <c r="AA207" s="54"/>
      <c r="AB207" s="54"/>
      <c r="AC207" s="54"/>
      <c r="AD207" s="54"/>
      <c r="AE207" s="54"/>
      <c r="AF207" s="54"/>
      <c r="AG207" s="54"/>
      <c r="AH207" s="54"/>
      <c r="AI207" s="54"/>
      <c r="AJ207" s="54"/>
      <c r="AW207" s="18">
        <f t="shared" si="11"/>
        <v>0</v>
      </c>
    </row>
    <row r="208" spans="10:49" ht="15">
      <c r="J208" s="687"/>
      <c r="K208" s="54"/>
      <c r="L208" s="687"/>
      <c r="M208" s="471"/>
      <c r="N208" s="68"/>
      <c r="O208" s="68"/>
      <c r="P208" s="68"/>
      <c r="Q208" s="68"/>
      <c r="R208" s="68"/>
      <c r="S208" s="68"/>
      <c r="T208" s="68"/>
      <c r="U208" s="161"/>
      <c r="V208" s="54"/>
      <c r="W208" s="54"/>
      <c r="X208" s="54"/>
      <c r="Y208" s="54"/>
      <c r="Z208" s="54"/>
      <c r="AA208" s="54"/>
      <c r="AB208" s="54"/>
      <c r="AC208" s="54"/>
      <c r="AD208" s="54"/>
      <c r="AE208" s="54"/>
      <c r="AF208" s="54"/>
      <c r="AG208" s="54"/>
      <c r="AH208" s="54"/>
      <c r="AI208" s="54"/>
      <c r="AJ208" s="54"/>
      <c r="AW208" s="18">
        <f t="shared" si="11"/>
        <v>0</v>
      </c>
    </row>
    <row r="209" spans="10:49" ht="15">
      <c r="J209" s="687"/>
      <c r="K209" s="54"/>
      <c r="L209" s="687"/>
      <c r="M209" s="471"/>
      <c r="N209" s="68"/>
      <c r="O209" s="68"/>
      <c r="P209" s="68"/>
      <c r="Q209" s="68"/>
      <c r="R209" s="68"/>
      <c r="S209" s="68"/>
      <c r="T209" s="68"/>
      <c r="U209" s="161"/>
      <c r="V209" s="54"/>
      <c r="W209" s="54"/>
      <c r="X209" s="54"/>
      <c r="Y209" s="54"/>
      <c r="Z209" s="54"/>
      <c r="AA209" s="54"/>
      <c r="AB209" s="54"/>
      <c r="AC209" s="54"/>
      <c r="AD209" s="54"/>
      <c r="AE209" s="54"/>
      <c r="AF209" s="54"/>
      <c r="AG209" s="54"/>
      <c r="AH209" s="54"/>
      <c r="AI209" s="54"/>
      <c r="AJ209" s="54"/>
      <c r="AW209" s="18">
        <f t="shared" si="11"/>
        <v>0</v>
      </c>
    </row>
    <row r="210" spans="10:49" ht="15">
      <c r="J210" s="687"/>
      <c r="K210" s="54"/>
      <c r="L210" s="687"/>
      <c r="M210" s="471"/>
      <c r="N210" s="68"/>
      <c r="O210" s="68"/>
      <c r="P210" s="68"/>
      <c r="Q210" s="68"/>
      <c r="R210" s="68"/>
      <c r="S210" s="68"/>
      <c r="T210" s="68"/>
      <c r="U210" s="161"/>
      <c r="V210" s="54"/>
      <c r="W210" s="54"/>
      <c r="X210" s="54"/>
      <c r="Y210" s="54"/>
      <c r="Z210" s="54"/>
      <c r="AA210" s="54"/>
      <c r="AB210" s="54"/>
      <c r="AC210" s="54"/>
      <c r="AD210" s="54"/>
      <c r="AE210" s="54"/>
      <c r="AF210" s="54"/>
      <c r="AG210" s="54"/>
      <c r="AH210" s="54"/>
      <c r="AI210" s="54"/>
      <c r="AJ210" s="54"/>
      <c r="AW210" s="18">
        <f t="shared" si="11"/>
        <v>0</v>
      </c>
    </row>
    <row r="211" spans="10:49" ht="15">
      <c r="J211" s="687"/>
      <c r="K211" s="54"/>
      <c r="L211" s="687"/>
      <c r="M211" s="471"/>
      <c r="N211" s="68"/>
      <c r="O211" s="68"/>
      <c r="P211" s="68"/>
      <c r="Q211" s="68"/>
      <c r="R211" s="68"/>
      <c r="S211" s="68"/>
      <c r="T211" s="68"/>
      <c r="U211" s="161"/>
      <c r="V211" s="54"/>
      <c r="W211" s="54"/>
      <c r="X211" s="54"/>
      <c r="Y211" s="54"/>
      <c r="Z211" s="54"/>
      <c r="AA211" s="54"/>
      <c r="AB211" s="54"/>
      <c r="AC211" s="54"/>
      <c r="AD211" s="54"/>
      <c r="AE211" s="54"/>
      <c r="AF211" s="54"/>
      <c r="AG211" s="54"/>
      <c r="AH211" s="54"/>
      <c r="AI211" s="54"/>
      <c r="AJ211" s="54"/>
      <c r="AW211" s="18">
        <f t="shared" si="11"/>
        <v>0</v>
      </c>
    </row>
    <row r="212" spans="10:49" ht="15">
      <c r="J212" s="687"/>
      <c r="K212" s="54"/>
      <c r="L212" s="687"/>
      <c r="M212" s="471"/>
      <c r="N212" s="68"/>
      <c r="O212" s="68"/>
      <c r="P212" s="68"/>
      <c r="Q212" s="68"/>
      <c r="R212" s="68"/>
      <c r="S212" s="68"/>
      <c r="T212" s="68"/>
      <c r="U212" s="161"/>
      <c r="V212" s="54"/>
      <c r="W212" s="54"/>
      <c r="X212" s="54"/>
      <c r="Y212" s="54"/>
      <c r="Z212" s="54"/>
      <c r="AA212" s="54"/>
      <c r="AB212" s="54"/>
      <c r="AC212" s="54"/>
      <c r="AD212" s="54"/>
      <c r="AE212" s="54"/>
      <c r="AF212" s="54"/>
      <c r="AG212" s="54"/>
      <c r="AH212" s="54"/>
      <c r="AI212" s="54"/>
      <c r="AJ212" s="54"/>
      <c r="AW212" s="18">
        <f t="shared" si="11"/>
        <v>0</v>
      </c>
    </row>
    <row r="213" spans="10:49" ht="15">
      <c r="J213" s="687"/>
      <c r="K213" s="54"/>
      <c r="L213" s="687"/>
      <c r="M213" s="471"/>
      <c r="N213" s="68"/>
      <c r="O213" s="68"/>
      <c r="P213" s="68"/>
      <c r="Q213" s="68"/>
      <c r="R213" s="68"/>
      <c r="S213" s="68"/>
      <c r="T213" s="68"/>
      <c r="U213" s="161"/>
      <c r="V213" s="54"/>
      <c r="W213" s="54"/>
      <c r="X213" s="54"/>
      <c r="Y213" s="54"/>
      <c r="Z213" s="54"/>
      <c r="AA213" s="54"/>
      <c r="AB213" s="54"/>
      <c r="AC213" s="54"/>
      <c r="AD213" s="54"/>
      <c r="AE213" s="54"/>
      <c r="AF213" s="54"/>
      <c r="AG213" s="54"/>
      <c r="AH213" s="54"/>
      <c r="AI213" s="54"/>
      <c r="AJ213" s="54"/>
      <c r="AW213" s="18">
        <f t="shared" si="11"/>
        <v>0</v>
      </c>
    </row>
    <row r="214" spans="10:49" ht="15">
      <c r="J214" s="687"/>
      <c r="K214" s="54"/>
      <c r="L214" s="687"/>
      <c r="M214" s="471"/>
      <c r="N214" s="68"/>
      <c r="O214" s="68"/>
      <c r="P214" s="68"/>
      <c r="Q214" s="68"/>
      <c r="R214" s="68"/>
      <c r="S214" s="68"/>
      <c r="T214" s="68"/>
      <c r="U214" s="161"/>
      <c r="V214" s="54"/>
      <c r="W214" s="54"/>
      <c r="X214" s="54"/>
      <c r="Y214" s="54"/>
      <c r="Z214" s="54"/>
      <c r="AA214" s="54"/>
      <c r="AB214" s="54"/>
      <c r="AC214" s="54"/>
      <c r="AD214" s="54"/>
      <c r="AE214" s="54"/>
      <c r="AF214" s="54"/>
      <c r="AG214" s="54"/>
      <c r="AH214" s="54"/>
      <c r="AI214" s="54"/>
      <c r="AJ214" s="54"/>
      <c r="AW214" s="18">
        <f t="shared" si="11"/>
        <v>0</v>
      </c>
    </row>
    <row r="215" spans="10:49" ht="15">
      <c r="J215" s="687"/>
      <c r="K215" s="54"/>
      <c r="L215" s="687"/>
      <c r="M215" s="471"/>
      <c r="N215" s="68"/>
      <c r="O215" s="68"/>
      <c r="P215" s="68"/>
      <c r="Q215" s="68"/>
      <c r="R215" s="68"/>
      <c r="S215" s="68"/>
      <c r="T215" s="68"/>
      <c r="U215" s="161"/>
      <c r="V215" s="54"/>
      <c r="W215" s="54"/>
      <c r="X215" s="54"/>
      <c r="Y215" s="54"/>
      <c r="Z215" s="54"/>
      <c r="AA215" s="54"/>
      <c r="AB215" s="54"/>
      <c r="AC215" s="54"/>
      <c r="AD215" s="54"/>
      <c r="AE215" s="54"/>
      <c r="AF215" s="54"/>
      <c r="AG215" s="54"/>
      <c r="AH215" s="54"/>
      <c r="AI215" s="54"/>
      <c r="AJ215" s="54"/>
      <c r="AW215" s="18">
        <f t="shared" si="11"/>
        <v>0</v>
      </c>
    </row>
    <row r="216" spans="10:49" ht="15">
      <c r="J216" s="687"/>
      <c r="K216" s="54"/>
      <c r="L216" s="687"/>
      <c r="M216" s="471"/>
      <c r="N216" s="68"/>
      <c r="O216" s="68"/>
      <c r="P216" s="68"/>
      <c r="Q216" s="68"/>
      <c r="R216" s="68"/>
      <c r="S216" s="68"/>
      <c r="T216" s="68"/>
      <c r="U216" s="161"/>
      <c r="V216" s="54"/>
      <c r="W216" s="54"/>
      <c r="X216" s="54"/>
      <c r="Y216" s="54"/>
      <c r="Z216" s="54"/>
      <c r="AA216" s="54"/>
      <c r="AB216" s="54"/>
      <c r="AC216" s="54"/>
      <c r="AD216" s="54"/>
      <c r="AE216" s="54"/>
      <c r="AF216" s="54"/>
      <c r="AG216" s="54"/>
      <c r="AH216" s="54"/>
      <c r="AI216" s="54"/>
      <c r="AJ216" s="54"/>
      <c r="AW216" s="18">
        <f t="shared" si="11"/>
        <v>0</v>
      </c>
    </row>
    <row r="217" spans="10:49" ht="15">
      <c r="J217" s="687"/>
      <c r="K217" s="54"/>
      <c r="L217" s="687"/>
      <c r="M217" s="471"/>
      <c r="N217" s="68"/>
      <c r="O217" s="68"/>
      <c r="P217" s="68"/>
      <c r="Q217" s="68"/>
      <c r="R217" s="68"/>
      <c r="S217" s="68"/>
      <c r="T217" s="68"/>
      <c r="U217" s="161"/>
      <c r="V217" s="54"/>
      <c r="W217" s="54"/>
      <c r="X217" s="54"/>
      <c r="Y217" s="54"/>
      <c r="Z217" s="54"/>
      <c r="AA217" s="54"/>
      <c r="AB217" s="54"/>
      <c r="AC217" s="54"/>
      <c r="AD217" s="54"/>
      <c r="AE217" s="54"/>
      <c r="AF217" s="54"/>
      <c r="AG217" s="54"/>
      <c r="AH217" s="54"/>
      <c r="AI217" s="54"/>
      <c r="AJ217" s="54"/>
      <c r="AW217" s="18">
        <f t="shared" si="11"/>
        <v>0</v>
      </c>
    </row>
    <row r="218" spans="10:49" ht="15">
      <c r="J218" s="687"/>
      <c r="K218" s="54"/>
      <c r="L218" s="687"/>
      <c r="M218" s="471"/>
      <c r="N218" s="68"/>
      <c r="O218" s="68"/>
      <c r="P218" s="68"/>
      <c r="Q218" s="68"/>
      <c r="R218" s="68"/>
      <c r="S218" s="68"/>
      <c r="T218" s="68"/>
      <c r="U218" s="161"/>
      <c r="V218" s="54"/>
      <c r="W218" s="54"/>
      <c r="X218" s="54"/>
      <c r="Y218" s="54"/>
      <c r="Z218" s="54"/>
      <c r="AA218" s="54"/>
      <c r="AB218" s="54"/>
      <c r="AC218" s="54"/>
      <c r="AD218" s="54"/>
      <c r="AE218" s="54"/>
      <c r="AF218" s="54"/>
      <c r="AG218" s="54"/>
      <c r="AH218" s="54"/>
      <c r="AI218" s="54"/>
      <c r="AJ218" s="54"/>
      <c r="AW218" s="18">
        <f t="shared" si="11"/>
        <v>0</v>
      </c>
    </row>
    <row r="219" spans="10:49" ht="15">
      <c r="J219" s="687"/>
      <c r="K219" s="54"/>
      <c r="L219" s="687"/>
      <c r="M219" s="471"/>
      <c r="N219" s="68"/>
      <c r="O219" s="68"/>
      <c r="P219" s="68"/>
      <c r="Q219" s="68"/>
      <c r="R219" s="68"/>
      <c r="S219" s="68"/>
      <c r="T219" s="68"/>
      <c r="U219" s="161"/>
      <c r="V219" s="54"/>
      <c r="W219" s="54"/>
      <c r="X219" s="54"/>
      <c r="Y219" s="54"/>
      <c r="Z219" s="54"/>
      <c r="AA219" s="54"/>
      <c r="AB219" s="54"/>
      <c r="AC219" s="54"/>
      <c r="AD219" s="54"/>
      <c r="AE219" s="54"/>
      <c r="AF219" s="54"/>
      <c r="AG219" s="54"/>
      <c r="AH219" s="54"/>
      <c r="AI219" s="54"/>
      <c r="AJ219" s="54"/>
      <c r="AW219" s="18">
        <f t="shared" si="11"/>
        <v>0</v>
      </c>
    </row>
    <row r="220" spans="10:49" ht="15">
      <c r="J220" s="687"/>
      <c r="K220" s="54"/>
      <c r="L220" s="687"/>
      <c r="M220" s="471"/>
      <c r="N220" s="68"/>
      <c r="O220" s="68"/>
      <c r="P220" s="68"/>
      <c r="Q220" s="68"/>
      <c r="R220" s="68"/>
      <c r="S220" s="68"/>
      <c r="T220" s="68"/>
      <c r="U220" s="161"/>
      <c r="V220" s="54"/>
      <c r="W220" s="54"/>
      <c r="X220" s="54"/>
      <c r="Y220" s="54"/>
      <c r="Z220" s="54"/>
      <c r="AA220" s="54"/>
      <c r="AB220" s="54"/>
      <c r="AC220" s="54"/>
      <c r="AD220" s="54"/>
      <c r="AE220" s="54"/>
      <c r="AF220" s="54"/>
      <c r="AG220" s="54"/>
      <c r="AH220" s="54"/>
      <c r="AI220" s="54"/>
      <c r="AJ220" s="54"/>
      <c r="AW220" s="18">
        <f t="shared" si="11"/>
        <v>0</v>
      </c>
    </row>
    <row r="221" spans="10:49" ht="15">
      <c r="J221" s="687"/>
      <c r="K221" s="54"/>
      <c r="L221" s="687"/>
      <c r="M221" s="471"/>
      <c r="N221" s="68"/>
      <c r="O221" s="68"/>
      <c r="P221" s="68"/>
      <c r="Q221" s="68"/>
      <c r="R221" s="68"/>
      <c r="S221" s="68"/>
      <c r="T221" s="68"/>
      <c r="U221" s="161"/>
      <c r="V221" s="54"/>
      <c r="W221" s="54"/>
      <c r="X221" s="54"/>
      <c r="Y221" s="54"/>
      <c r="Z221" s="54"/>
      <c r="AA221" s="54"/>
      <c r="AB221" s="54"/>
      <c r="AC221" s="54"/>
      <c r="AD221" s="54"/>
      <c r="AE221" s="54"/>
      <c r="AF221" s="54"/>
      <c r="AG221" s="54"/>
      <c r="AH221" s="54"/>
      <c r="AI221" s="54"/>
      <c r="AJ221" s="54"/>
      <c r="AW221" s="18">
        <f t="shared" si="11"/>
        <v>0</v>
      </c>
    </row>
    <row r="222" spans="10:49" ht="15">
      <c r="J222" s="687"/>
      <c r="K222" s="54"/>
      <c r="L222" s="687"/>
      <c r="M222" s="471"/>
      <c r="N222" s="68"/>
      <c r="O222" s="68"/>
      <c r="P222" s="68"/>
      <c r="Q222" s="68"/>
      <c r="R222" s="68"/>
      <c r="S222" s="68"/>
      <c r="T222" s="68"/>
      <c r="U222" s="161"/>
      <c r="V222" s="54"/>
      <c r="W222" s="54"/>
      <c r="X222" s="54"/>
      <c r="Y222" s="54"/>
      <c r="Z222" s="54"/>
      <c r="AA222" s="54"/>
      <c r="AB222" s="54"/>
      <c r="AC222" s="54"/>
      <c r="AD222" s="54"/>
      <c r="AE222" s="54"/>
      <c r="AF222" s="54"/>
      <c r="AG222" s="54"/>
      <c r="AH222" s="54"/>
      <c r="AI222" s="54"/>
      <c r="AJ222" s="54"/>
      <c r="AW222" s="18">
        <f t="shared" si="11"/>
        <v>0</v>
      </c>
    </row>
    <row r="223" spans="10:49" ht="15">
      <c r="J223" s="687"/>
      <c r="K223" s="54"/>
      <c r="L223" s="687"/>
      <c r="M223" s="471"/>
      <c r="N223" s="68"/>
      <c r="O223" s="68"/>
      <c r="P223" s="68"/>
      <c r="Q223" s="68"/>
      <c r="R223" s="68"/>
      <c r="S223" s="68"/>
      <c r="T223" s="68"/>
      <c r="U223" s="161"/>
      <c r="V223" s="54"/>
      <c r="W223" s="54"/>
      <c r="X223" s="54"/>
      <c r="Y223" s="54"/>
      <c r="Z223" s="54"/>
      <c r="AA223" s="54"/>
      <c r="AB223" s="54"/>
      <c r="AC223" s="54"/>
      <c r="AD223" s="54"/>
      <c r="AE223" s="54"/>
      <c r="AF223" s="54"/>
      <c r="AG223" s="54"/>
      <c r="AH223" s="54"/>
      <c r="AI223" s="54"/>
      <c r="AJ223" s="54"/>
      <c r="AW223" s="18">
        <f t="shared" si="11"/>
        <v>0</v>
      </c>
    </row>
    <row r="224" spans="10:49" ht="15">
      <c r="J224" s="687"/>
      <c r="K224" s="54"/>
      <c r="L224" s="687"/>
      <c r="M224" s="471"/>
      <c r="N224" s="68"/>
      <c r="O224" s="68"/>
      <c r="P224" s="68"/>
      <c r="Q224" s="68"/>
      <c r="R224" s="68"/>
      <c r="S224" s="68"/>
      <c r="T224" s="68"/>
      <c r="U224" s="161"/>
      <c r="V224" s="54"/>
      <c r="W224" s="54"/>
      <c r="X224" s="54"/>
      <c r="Y224" s="54"/>
      <c r="Z224" s="54"/>
      <c r="AA224" s="54"/>
      <c r="AB224" s="54"/>
      <c r="AC224" s="54"/>
      <c r="AD224" s="54"/>
      <c r="AE224" s="54"/>
      <c r="AF224" s="54"/>
      <c r="AG224" s="54"/>
      <c r="AH224" s="54"/>
      <c r="AI224" s="54"/>
      <c r="AJ224" s="54"/>
      <c r="AW224" s="18">
        <f t="shared" si="11"/>
        <v>0</v>
      </c>
    </row>
    <row r="225" spans="10:49" ht="15">
      <c r="J225" s="687"/>
      <c r="K225" s="54"/>
      <c r="L225" s="687"/>
      <c r="M225" s="471"/>
      <c r="N225" s="68"/>
      <c r="O225" s="68"/>
      <c r="P225" s="68"/>
      <c r="Q225" s="68"/>
      <c r="R225" s="68"/>
      <c r="S225" s="68"/>
      <c r="T225" s="68"/>
      <c r="U225" s="161"/>
      <c r="V225" s="54"/>
      <c r="W225" s="54"/>
      <c r="X225" s="54"/>
      <c r="Y225" s="54"/>
      <c r="Z225" s="54"/>
      <c r="AA225" s="54"/>
      <c r="AB225" s="54"/>
      <c r="AC225" s="54"/>
      <c r="AD225" s="54"/>
      <c r="AE225" s="54"/>
      <c r="AF225" s="54"/>
      <c r="AG225" s="54"/>
      <c r="AH225" s="54"/>
      <c r="AI225" s="54"/>
      <c r="AJ225" s="54"/>
      <c r="AW225" s="18">
        <f t="shared" si="11"/>
        <v>0</v>
      </c>
    </row>
    <row r="226" spans="10:49" ht="15">
      <c r="J226" s="687"/>
      <c r="K226" s="54"/>
      <c r="L226" s="687"/>
      <c r="M226" s="471"/>
      <c r="N226" s="68"/>
      <c r="O226" s="68"/>
      <c r="P226" s="68"/>
      <c r="Q226" s="68"/>
      <c r="R226" s="68"/>
      <c r="S226" s="68"/>
      <c r="T226" s="68"/>
      <c r="U226" s="161"/>
      <c r="V226" s="54"/>
      <c r="W226" s="54"/>
      <c r="X226" s="54"/>
      <c r="Y226" s="54"/>
      <c r="Z226" s="54"/>
      <c r="AA226" s="54"/>
      <c r="AB226" s="54"/>
      <c r="AC226" s="54"/>
      <c r="AD226" s="54"/>
      <c r="AE226" s="54"/>
      <c r="AF226" s="54"/>
      <c r="AG226" s="54"/>
      <c r="AH226" s="54"/>
      <c r="AI226" s="54"/>
      <c r="AJ226" s="54"/>
      <c r="AW226" s="18">
        <f t="shared" si="11"/>
        <v>0</v>
      </c>
    </row>
    <row r="227" spans="10:49" ht="15">
      <c r="J227" s="687"/>
      <c r="K227" s="54"/>
      <c r="L227" s="687"/>
      <c r="M227" s="471"/>
      <c r="N227" s="68"/>
      <c r="O227" s="68"/>
      <c r="P227" s="68"/>
      <c r="Q227" s="68"/>
      <c r="R227" s="68"/>
      <c r="S227" s="68"/>
      <c r="T227" s="68"/>
      <c r="U227" s="161"/>
      <c r="V227" s="54"/>
      <c r="W227" s="54"/>
      <c r="X227" s="54"/>
      <c r="Y227" s="54"/>
      <c r="Z227" s="54"/>
      <c r="AA227" s="54"/>
      <c r="AB227" s="54"/>
      <c r="AC227" s="54"/>
      <c r="AD227" s="54"/>
      <c r="AE227" s="54"/>
      <c r="AF227" s="54"/>
      <c r="AG227" s="54"/>
      <c r="AH227" s="54"/>
      <c r="AI227" s="54"/>
      <c r="AJ227" s="54"/>
      <c r="AW227" s="18">
        <f t="shared" si="11"/>
        <v>0</v>
      </c>
    </row>
    <row r="228" spans="10:49" ht="15">
      <c r="J228" s="687"/>
      <c r="K228" s="54"/>
      <c r="L228" s="687"/>
      <c r="M228" s="471"/>
      <c r="N228" s="68"/>
      <c r="O228" s="68"/>
      <c r="P228" s="68"/>
      <c r="Q228" s="68"/>
      <c r="R228" s="68"/>
      <c r="S228" s="68"/>
      <c r="T228" s="68"/>
      <c r="U228" s="161"/>
      <c r="V228" s="54"/>
      <c r="W228" s="54"/>
      <c r="X228" s="54"/>
      <c r="Y228" s="54"/>
      <c r="Z228" s="54"/>
      <c r="AA228" s="54"/>
      <c r="AB228" s="54"/>
      <c r="AC228" s="54"/>
      <c r="AD228" s="54"/>
      <c r="AE228" s="54"/>
      <c r="AF228" s="54"/>
      <c r="AG228" s="54"/>
      <c r="AH228" s="54"/>
      <c r="AI228" s="54"/>
      <c r="AJ228" s="54"/>
      <c r="AW228" s="18">
        <f t="shared" si="11"/>
        <v>0</v>
      </c>
    </row>
    <row r="229" spans="10:49" ht="15">
      <c r="J229" s="687"/>
      <c r="K229" s="54"/>
      <c r="L229" s="687"/>
      <c r="M229" s="471"/>
      <c r="N229" s="68"/>
      <c r="O229" s="68"/>
      <c r="P229" s="68"/>
      <c r="Q229" s="68"/>
      <c r="R229" s="68"/>
      <c r="S229" s="68"/>
      <c r="T229" s="68"/>
      <c r="U229" s="161"/>
      <c r="V229" s="54"/>
      <c r="W229" s="54"/>
      <c r="X229" s="54"/>
      <c r="Y229" s="54"/>
      <c r="Z229" s="54"/>
      <c r="AA229" s="54"/>
      <c r="AB229" s="54"/>
      <c r="AC229" s="54"/>
      <c r="AD229" s="54"/>
      <c r="AE229" s="54"/>
      <c r="AF229" s="54"/>
      <c r="AG229" s="54"/>
      <c r="AH229" s="54"/>
      <c r="AI229" s="54"/>
      <c r="AJ229" s="54"/>
      <c r="AW229" s="18">
        <f t="shared" si="11"/>
        <v>0</v>
      </c>
    </row>
    <row r="230" spans="10:49" ht="15">
      <c r="J230" s="687"/>
      <c r="K230" s="54"/>
      <c r="L230" s="687"/>
      <c r="M230" s="471"/>
      <c r="N230" s="68"/>
      <c r="O230" s="68"/>
      <c r="P230" s="68"/>
      <c r="Q230" s="68"/>
      <c r="R230" s="68"/>
      <c r="S230" s="68"/>
      <c r="T230" s="68"/>
      <c r="U230" s="161"/>
      <c r="V230" s="54"/>
      <c r="W230" s="54"/>
      <c r="X230" s="54"/>
      <c r="Y230" s="54"/>
      <c r="Z230" s="54"/>
      <c r="AA230" s="54"/>
      <c r="AB230" s="54"/>
      <c r="AC230" s="54"/>
      <c r="AD230" s="54"/>
      <c r="AE230" s="54"/>
      <c r="AF230" s="54"/>
      <c r="AG230" s="54"/>
      <c r="AH230" s="54"/>
      <c r="AI230" s="54"/>
      <c r="AJ230" s="54"/>
      <c r="AW230" s="18">
        <f t="shared" ref="AW230:AW293" si="12">LEN(L230)</f>
        <v>0</v>
      </c>
    </row>
    <row r="231" spans="10:49" ht="15">
      <c r="J231" s="687"/>
      <c r="K231" s="54"/>
      <c r="L231" s="687"/>
      <c r="M231" s="471"/>
      <c r="N231" s="68"/>
      <c r="O231" s="68"/>
      <c r="P231" s="68"/>
      <c r="Q231" s="68"/>
      <c r="R231" s="68"/>
      <c r="S231" s="68"/>
      <c r="T231" s="68"/>
      <c r="U231" s="161"/>
      <c r="V231" s="54"/>
      <c r="W231" s="54"/>
      <c r="X231" s="54"/>
      <c r="Y231" s="54"/>
      <c r="Z231" s="54"/>
      <c r="AA231" s="54"/>
      <c r="AB231" s="54"/>
      <c r="AC231" s="54"/>
      <c r="AD231" s="54"/>
      <c r="AE231" s="54"/>
      <c r="AF231" s="54"/>
      <c r="AG231" s="54"/>
      <c r="AH231" s="54"/>
      <c r="AI231" s="54"/>
      <c r="AJ231" s="54"/>
      <c r="AW231" s="18">
        <f t="shared" si="12"/>
        <v>0</v>
      </c>
    </row>
    <row r="232" spans="10:49" ht="15">
      <c r="J232" s="687"/>
      <c r="K232" s="54"/>
      <c r="L232" s="687"/>
      <c r="M232" s="471"/>
      <c r="N232" s="68"/>
      <c r="O232" s="68"/>
      <c r="P232" s="68"/>
      <c r="Q232" s="68"/>
      <c r="R232" s="68"/>
      <c r="S232" s="68"/>
      <c r="T232" s="68"/>
      <c r="U232" s="161"/>
      <c r="V232" s="54"/>
      <c r="W232" s="54"/>
      <c r="X232" s="54"/>
      <c r="Y232" s="54"/>
      <c r="Z232" s="54"/>
      <c r="AA232" s="54"/>
      <c r="AB232" s="54"/>
      <c r="AC232" s="54"/>
      <c r="AD232" s="54"/>
      <c r="AE232" s="54"/>
      <c r="AF232" s="54"/>
      <c r="AG232" s="54"/>
      <c r="AH232" s="54"/>
      <c r="AI232" s="54"/>
      <c r="AJ232" s="54"/>
      <c r="AW232" s="18">
        <f t="shared" si="12"/>
        <v>0</v>
      </c>
    </row>
    <row r="233" spans="10:49" ht="15">
      <c r="J233" s="687"/>
      <c r="K233" s="54"/>
      <c r="L233" s="687"/>
      <c r="M233" s="471"/>
      <c r="N233" s="68"/>
      <c r="O233" s="68"/>
      <c r="P233" s="68"/>
      <c r="Q233" s="68"/>
      <c r="R233" s="68"/>
      <c r="S233" s="68"/>
      <c r="T233" s="68"/>
      <c r="U233" s="161"/>
      <c r="V233" s="54"/>
      <c r="W233" s="54"/>
      <c r="X233" s="54"/>
      <c r="Y233" s="54"/>
      <c r="Z233" s="54"/>
      <c r="AA233" s="54"/>
      <c r="AB233" s="54"/>
      <c r="AC233" s="54"/>
      <c r="AD233" s="54"/>
      <c r="AE233" s="54"/>
      <c r="AF233" s="54"/>
      <c r="AG233" s="54"/>
      <c r="AH233" s="54"/>
      <c r="AI233" s="54"/>
      <c r="AJ233" s="54"/>
      <c r="AW233" s="18">
        <f t="shared" si="12"/>
        <v>0</v>
      </c>
    </row>
    <row r="234" spans="10:49" ht="15">
      <c r="J234" s="687"/>
      <c r="K234" s="54"/>
      <c r="L234" s="687"/>
      <c r="M234" s="471"/>
      <c r="N234" s="68"/>
      <c r="O234" s="68"/>
      <c r="P234" s="68"/>
      <c r="Q234" s="68"/>
      <c r="R234" s="68"/>
      <c r="S234" s="68"/>
      <c r="T234" s="68"/>
      <c r="U234" s="161"/>
      <c r="V234" s="54"/>
      <c r="W234" s="54"/>
      <c r="X234" s="54"/>
      <c r="Y234" s="54"/>
      <c r="Z234" s="54"/>
      <c r="AA234" s="54"/>
      <c r="AB234" s="54"/>
      <c r="AC234" s="54"/>
      <c r="AD234" s="54"/>
      <c r="AE234" s="54"/>
      <c r="AF234" s="54"/>
      <c r="AG234" s="54"/>
      <c r="AH234" s="54"/>
      <c r="AI234" s="54"/>
      <c r="AJ234" s="54"/>
      <c r="AW234" s="18">
        <f t="shared" si="12"/>
        <v>0</v>
      </c>
    </row>
    <row r="235" spans="10:49" ht="15">
      <c r="J235" s="687"/>
      <c r="K235" s="54"/>
      <c r="L235" s="687"/>
      <c r="M235" s="471"/>
      <c r="N235" s="68"/>
      <c r="O235" s="68"/>
      <c r="P235" s="68"/>
      <c r="Q235" s="68"/>
      <c r="R235" s="68"/>
      <c r="S235" s="68"/>
      <c r="T235" s="68"/>
      <c r="U235" s="161"/>
      <c r="V235" s="54"/>
      <c r="W235" s="54"/>
      <c r="X235" s="54"/>
      <c r="Y235" s="54"/>
      <c r="Z235" s="54"/>
      <c r="AA235" s="54"/>
      <c r="AB235" s="54"/>
      <c r="AC235" s="54"/>
      <c r="AD235" s="54"/>
      <c r="AE235" s="54"/>
      <c r="AF235" s="54"/>
      <c r="AG235" s="54"/>
      <c r="AH235" s="54"/>
      <c r="AI235" s="54"/>
      <c r="AJ235" s="54"/>
      <c r="AW235" s="18">
        <f t="shared" si="12"/>
        <v>0</v>
      </c>
    </row>
    <row r="236" spans="10:49" ht="15">
      <c r="J236" s="687"/>
      <c r="K236" s="54"/>
      <c r="L236" s="687"/>
      <c r="M236" s="471"/>
      <c r="N236" s="68"/>
      <c r="O236" s="68"/>
      <c r="P236" s="68"/>
      <c r="Q236" s="68"/>
      <c r="R236" s="68"/>
      <c r="S236" s="68"/>
      <c r="T236" s="68"/>
      <c r="U236" s="161"/>
      <c r="V236" s="54"/>
      <c r="W236" s="54"/>
      <c r="X236" s="54"/>
      <c r="Y236" s="54"/>
      <c r="Z236" s="54"/>
      <c r="AA236" s="54"/>
      <c r="AB236" s="54"/>
      <c r="AC236" s="54"/>
      <c r="AD236" s="54"/>
      <c r="AE236" s="54"/>
      <c r="AF236" s="54"/>
      <c r="AG236" s="54"/>
      <c r="AH236" s="54"/>
      <c r="AI236" s="54"/>
      <c r="AJ236" s="54"/>
      <c r="AW236" s="18">
        <f t="shared" si="12"/>
        <v>0</v>
      </c>
    </row>
    <row r="237" spans="10:49" ht="15">
      <c r="J237" s="687"/>
      <c r="K237" s="54"/>
      <c r="L237" s="687"/>
      <c r="M237" s="471"/>
      <c r="N237" s="68"/>
      <c r="O237" s="68"/>
      <c r="P237" s="68"/>
      <c r="Q237" s="68"/>
      <c r="R237" s="68"/>
      <c r="S237" s="68"/>
      <c r="T237" s="68"/>
      <c r="U237" s="161"/>
      <c r="V237" s="54"/>
      <c r="W237" s="54"/>
      <c r="X237" s="54"/>
      <c r="Y237" s="54"/>
      <c r="Z237" s="54"/>
      <c r="AA237" s="54"/>
      <c r="AB237" s="54"/>
      <c r="AC237" s="54"/>
      <c r="AD237" s="54"/>
      <c r="AE237" s="54"/>
      <c r="AF237" s="54"/>
      <c r="AG237" s="54"/>
      <c r="AH237" s="54"/>
      <c r="AI237" s="54"/>
      <c r="AJ237" s="54"/>
      <c r="AW237" s="18">
        <f t="shared" si="12"/>
        <v>0</v>
      </c>
    </row>
    <row r="238" spans="10:49" ht="15">
      <c r="J238" s="687"/>
      <c r="K238" s="54"/>
      <c r="L238" s="687"/>
      <c r="M238" s="471"/>
      <c r="N238" s="68"/>
      <c r="O238" s="68"/>
      <c r="P238" s="68"/>
      <c r="Q238" s="68"/>
      <c r="R238" s="68"/>
      <c r="S238" s="68"/>
      <c r="T238" s="68"/>
      <c r="U238" s="161"/>
      <c r="V238" s="54"/>
      <c r="W238" s="54"/>
      <c r="X238" s="54"/>
      <c r="Y238" s="54"/>
      <c r="Z238" s="54"/>
      <c r="AA238" s="54"/>
      <c r="AB238" s="54"/>
      <c r="AC238" s="54"/>
      <c r="AD238" s="54"/>
      <c r="AE238" s="54"/>
      <c r="AF238" s="54"/>
      <c r="AG238" s="54"/>
      <c r="AH238" s="54"/>
      <c r="AI238" s="54"/>
      <c r="AJ238" s="54"/>
      <c r="AW238" s="18">
        <f t="shared" si="12"/>
        <v>0</v>
      </c>
    </row>
    <row r="239" spans="10:49" ht="15">
      <c r="J239" s="687"/>
      <c r="K239" s="54"/>
      <c r="L239" s="687"/>
      <c r="M239" s="471"/>
      <c r="N239" s="68"/>
      <c r="O239" s="68"/>
      <c r="P239" s="68"/>
      <c r="Q239" s="68"/>
      <c r="R239" s="68"/>
      <c r="S239" s="68"/>
      <c r="T239" s="68"/>
      <c r="U239" s="161"/>
      <c r="V239" s="54"/>
      <c r="W239" s="54"/>
      <c r="X239" s="54"/>
      <c r="Y239" s="54"/>
      <c r="Z239" s="54"/>
      <c r="AA239" s="54"/>
      <c r="AB239" s="54"/>
      <c r="AC239" s="54"/>
      <c r="AD239" s="54"/>
      <c r="AE239" s="54"/>
      <c r="AF239" s="54"/>
      <c r="AG239" s="54"/>
      <c r="AH239" s="54"/>
      <c r="AI239" s="54"/>
      <c r="AJ239" s="54"/>
      <c r="AW239" s="18">
        <f t="shared" si="12"/>
        <v>0</v>
      </c>
    </row>
    <row r="240" spans="10:49" ht="15">
      <c r="J240" s="687"/>
      <c r="K240" s="54"/>
      <c r="L240" s="687"/>
      <c r="M240" s="471"/>
      <c r="N240" s="68"/>
      <c r="O240" s="68"/>
      <c r="P240" s="68"/>
      <c r="Q240" s="68"/>
      <c r="R240" s="68"/>
      <c r="S240" s="68"/>
      <c r="T240" s="68"/>
      <c r="U240" s="161"/>
      <c r="V240" s="54"/>
      <c r="W240" s="54"/>
      <c r="X240" s="54"/>
      <c r="Y240" s="54"/>
      <c r="Z240" s="54"/>
      <c r="AA240" s="54"/>
      <c r="AB240" s="54"/>
      <c r="AC240" s="54"/>
      <c r="AD240" s="54"/>
      <c r="AE240" s="54"/>
      <c r="AF240" s="54"/>
      <c r="AG240" s="54"/>
      <c r="AH240" s="54"/>
      <c r="AI240" s="54"/>
      <c r="AJ240" s="54"/>
      <c r="AW240" s="18">
        <f t="shared" si="12"/>
        <v>0</v>
      </c>
    </row>
    <row r="241" spans="10:49" ht="15">
      <c r="J241" s="687"/>
      <c r="K241" s="54"/>
      <c r="L241" s="687"/>
      <c r="M241" s="471"/>
      <c r="N241" s="68"/>
      <c r="O241" s="68"/>
      <c r="P241" s="68"/>
      <c r="Q241" s="68"/>
      <c r="R241" s="68"/>
      <c r="S241" s="68"/>
      <c r="T241" s="68"/>
      <c r="U241" s="161"/>
      <c r="V241" s="54"/>
      <c r="W241" s="54"/>
      <c r="X241" s="54"/>
      <c r="Y241" s="54"/>
      <c r="Z241" s="54"/>
      <c r="AA241" s="54"/>
      <c r="AB241" s="54"/>
      <c r="AC241" s="54"/>
      <c r="AD241" s="54"/>
      <c r="AE241" s="54"/>
      <c r="AF241" s="54"/>
      <c r="AG241" s="54"/>
      <c r="AH241" s="54"/>
      <c r="AI241" s="54"/>
      <c r="AJ241" s="54"/>
      <c r="AW241" s="18">
        <f t="shared" si="12"/>
        <v>0</v>
      </c>
    </row>
    <row r="242" spans="10:49" ht="15">
      <c r="J242" s="687"/>
      <c r="K242" s="54"/>
      <c r="L242" s="687"/>
      <c r="M242" s="471"/>
      <c r="N242" s="68"/>
      <c r="O242" s="68"/>
      <c r="P242" s="68"/>
      <c r="Q242" s="68"/>
      <c r="R242" s="68"/>
      <c r="S242" s="68"/>
      <c r="T242" s="68"/>
      <c r="U242" s="161"/>
      <c r="V242" s="54"/>
      <c r="W242" s="54"/>
      <c r="X242" s="54"/>
      <c r="Y242" s="54"/>
      <c r="Z242" s="54"/>
      <c r="AA242" s="54"/>
      <c r="AB242" s="54"/>
      <c r="AC242" s="54"/>
      <c r="AD242" s="54"/>
      <c r="AE242" s="54"/>
      <c r="AF242" s="54"/>
      <c r="AG242" s="54"/>
      <c r="AH242" s="54"/>
      <c r="AI242" s="54"/>
      <c r="AJ242" s="54"/>
      <c r="AW242" s="18">
        <f t="shared" si="12"/>
        <v>0</v>
      </c>
    </row>
    <row r="243" spans="10:49" ht="15">
      <c r="J243" s="687"/>
      <c r="K243" s="54"/>
      <c r="L243" s="687"/>
      <c r="M243" s="471"/>
      <c r="N243" s="68"/>
      <c r="O243" s="68"/>
      <c r="P243" s="68"/>
      <c r="Q243" s="68"/>
      <c r="R243" s="68"/>
      <c r="S243" s="68"/>
      <c r="T243" s="68"/>
      <c r="U243" s="161"/>
      <c r="V243" s="54"/>
      <c r="W243" s="54"/>
      <c r="X243" s="54"/>
      <c r="Y243" s="54"/>
      <c r="Z243" s="54"/>
      <c r="AA243" s="54"/>
      <c r="AB243" s="54"/>
      <c r="AC243" s="54"/>
      <c r="AD243" s="54"/>
      <c r="AE243" s="54"/>
      <c r="AF243" s="54"/>
      <c r="AG243" s="54"/>
      <c r="AH243" s="54"/>
      <c r="AI243" s="54"/>
      <c r="AJ243" s="54"/>
      <c r="AW243" s="18">
        <f t="shared" si="12"/>
        <v>0</v>
      </c>
    </row>
    <row r="244" spans="10:49" ht="15">
      <c r="J244" s="687"/>
      <c r="K244" s="54"/>
      <c r="L244" s="687"/>
      <c r="M244" s="471"/>
      <c r="N244" s="68"/>
      <c r="O244" s="68"/>
      <c r="P244" s="68"/>
      <c r="Q244" s="68"/>
      <c r="R244" s="68"/>
      <c r="S244" s="68"/>
      <c r="T244" s="68"/>
      <c r="U244" s="161"/>
      <c r="V244" s="54"/>
      <c r="W244" s="54"/>
      <c r="X244" s="54"/>
      <c r="Y244" s="54"/>
      <c r="Z244" s="54"/>
      <c r="AA244" s="54"/>
      <c r="AB244" s="54"/>
      <c r="AC244" s="54"/>
      <c r="AD244" s="54"/>
      <c r="AE244" s="54"/>
      <c r="AF244" s="54"/>
      <c r="AG244" s="54"/>
      <c r="AH244" s="54"/>
      <c r="AI244" s="54"/>
      <c r="AJ244" s="54"/>
      <c r="AW244" s="18">
        <f t="shared" si="12"/>
        <v>0</v>
      </c>
    </row>
    <row r="245" spans="10:49" ht="15">
      <c r="J245" s="687"/>
      <c r="K245" s="54"/>
      <c r="L245" s="687"/>
      <c r="M245" s="471"/>
      <c r="N245" s="68"/>
      <c r="O245" s="68"/>
      <c r="P245" s="68"/>
      <c r="Q245" s="68"/>
      <c r="R245" s="68"/>
      <c r="S245" s="68"/>
      <c r="T245" s="68"/>
      <c r="U245" s="161"/>
      <c r="V245" s="54"/>
      <c r="W245" s="54"/>
      <c r="X245" s="54"/>
      <c r="Y245" s="54"/>
      <c r="Z245" s="54"/>
      <c r="AA245" s="54"/>
      <c r="AB245" s="54"/>
      <c r="AC245" s="54"/>
      <c r="AD245" s="54"/>
      <c r="AE245" s="54"/>
      <c r="AF245" s="54"/>
      <c r="AG245" s="54"/>
      <c r="AH245" s="54"/>
      <c r="AI245" s="54"/>
      <c r="AJ245" s="54"/>
      <c r="AW245" s="18">
        <f t="shared" si="12"/>
        <v>0</v>
      </c>
    </row>
    <row r="246" spans="10:49" ht="15">
      <c r="J246" s="685"/>
      <c r="L246" s="685"/>
      <c r="M246" s="471"/>
      <c r="AW246" s="18">
        <f t="shared" si="12"/>
        <v>0</v>
      </c>
    </row>
    <row r="247" spans="10:49" ht="15">
      <c r="J247" s="686"/>
      <c r="L247" s="686"/>
      <c r="M247" s="471"/>
      <c r="AW247" s="18">
        <f t="shared" si="12"/>
        <v>0</v>
      </c>
    </row>
    <row r="248" spans="10:49" ht="15">
      <c r="J248" s="686"/>
      <c r="L248" s="686"/>
      <c r="M248" s="471"/>
      <c r="AW248" s="18">
        <f t="shared" si="12"/>
        <v>0</v>
      </c>
    </row>
    <row r="249" spans="10:49" ht="15">
      <c r="J249" s="686"/>
      <c r="L249" s="686"/>
      <c r="M249" s="471"/>
      <c r="AW249" s="18">
        <f t="shared" si="12"/>
        <v>0</v>
      </c>
    </row>
    <row r="250" spans="10:49" ht="15">
      <c r="J250" s="686"/>
      <c r="L250" s="686"/>
      <c r="M250" s="471"/>
      <c r="AW250" s="18">
        <f t="shared" si="12"/>
        <v>0</v>
      </c>
    </row>
    <row r="251" spans="10:49" ht="15">
      <c r="J251" s="686"/>
      <c r="L251" s="686"/>
      <c r="M251" s="471"/>
      <c r="AW251" s="18">
        <f t="shared" si="12"/>
        <v>0</v>
      </c>
    </row>
    <row r="252" spans="10:49" ht="15">
      <c r="J252" s="686"/>
      <c r="L252" s="686"/>
      <c r="M252" s="471"/>
      <c r="AW252" s="18">
        <f t="shared" si="12"/>
        <v>0</v>
      </c>
    </row>
    <row r="253" spans="10:49" ht="15">
      <c r="J253" s="686"/>
      <c r="L253" s="686"/>
      <c r="M253" s="471"/>
      <c r="AW253" s="18">
        <f t="shared" si="12"/>
        <v>0</v>
      </c>
    </row>
    <row r="254" spans="10:49" ht="15">
      <c r="J254" s="686"/>
      <c r="L254" s="686"/>
      <c r="M254" s="471"/>
      <c r="AW254" s="18">
        <f t="shared" si="12"/>
        <v>0</v>
      </c>
    </row>
    <row r="255" spans="10:49" ht="15">
      <c r="J255" s="686"/>
      <c r="L255" s="686"/>
      <c r="M255" s="471"/>
      <c r="AW255" s="18">
        <f t="shared" si="12"/>
        <v>0</v>
      </c>
    </row>
    <row r="256" spans="10:49" ht="15">
      <c r="J256" s="686"/>
      <c r="L256" s="686"/>
      <c r="M256" s="471"/>
      <c r="AW256" s="18">
        <f t="shared" si="12"/>
        <v>0</v>
      </c>
    </row>
    <row r="257" spans="10:49" ht="15">
      <c r="J257" s="686"/>
      <c r="L257" s="686"/>
      <c r="M257" s="471"/>
      <c r="AW257" s="18">
        <f t="shared" si="12"/>
        <v>0</v>
      </c>
    </row>
    <row r="258" spans="10:49" ht="15">
      <c r="J258" s="686"/>
      <c r="L258" s="686"/>
      <c r="M258" s="471"/>
      <c r="AW258" s="18">
        <f t="shared" si="12"/>
        <v>0</v>
      </c>
    </row>
    <row r="259" spans="10:49" ht="15">
      <c r="J259" s="470"/>
      <c r="L259" s="397"/>
      <c r="M259" s="471"/>
      <c r="AW259" s="18">
        <f t="shared" si="12"/>
        <v>0</v>
      </c>
    </row>
    <row r="260" spans="10:49" ht="15">
      <c r="AW260" s="18">
        <f t="shared" si="12"/>
        <v>0</v>
      </c>
    </row>
    <row r="261" spans="10:49" ht="15">
      <c r="AW261" s="18">
        <f t="shared" si="12"/>
        <v>0</v>
      </c>
    </row>
    <row r="262" spans="10:49" ht="15">
      <c r="AW262" s="18">
        <f t="shared" si="12"/>
        <v>0</v>
      </c>
    </row>
    <row r="263" spans="10:49" ht="15">
      <c r="AW263" s="18">
        <f t="shared" si="12"/>
        <v>0</v>
      </c>
    </row>
    <row r="264" spans="10:49" ht="15">
      <c r="AW264" s="18">
        <f t="shared" si="12"/>
        <v>0</v>
      </c>
    </row>
    <row r="265" spans="10:49" ht="15">
      <c r="AW265" s="18">
        <f t="shared" si="12"/>
        <v>0</v>
      </c>
    </row>
    <row r="266" spans="10:49" ht="15">
      <c r="AW266" s="18">
        <f t="shared" si="12"/>
        <v>0</v>
      </c>
    </row>
    <row r="267" spans="10:49" ht="15">
      <c r="AW267" s="18">
        <f t="shared" si="12"/>
        <v>0</v>
      </c>
    </row>
    <row r="268" spans="10:49" ht="15">
      <c r="AW268" s="18">
        <f t="shared" si="12"/>
        <v>0</v>
      </c>
    </row>
    <row r="269" spans="10:49" ht="15">
      <c r="AW269" s="18">
        <f t="shared" si="12"/>
        <v>0</v>
      </c>
    </row>
    <row r="270" spans="10:49" ht="15">
      <c r="AW270" s="18">
        <f t="shared" si="12"/>
        <v>0</v>
      </c>
    </row>
    <row r="271" spans="10:49" ht="15">
      <c r="AW271" s="18">
        <f t="shared" si="12"/>
        <v>0</v>
      </c>
    </row>
    <row r="272" spans="10:49" ht="15">
      <c r="AW272" s="18">
        <f t="shared" si="12"/>
        <v>0</v>
      </c>
    </row>
    <row r="273" spans="49:49" ht="15">
      <c r="AW273" s="18">
        <f t="shared" si="12"/>
        <v>0</v>
      </c>
    </row>
    <row r="274" spans="49:49" ht="15">
      <c r="AW274" s="18">
        <f t="shared" si="12"/>
        <v>0</v>
      </c>
    </row>
    <row r="275" spans="49:49" ht="15">
      <c r="AW275" s="18">
        <f t="shared" si="12"/>
        <v>0</v>
      </c>
    </row>
    <row r="276" spans="49:49" ht="15">
      <c r="AW276" s="18">
        <f t="shared" si="12"/>
        <v>0</v>
      </c>
    </row>
    <row r="277" spans="49:49" ht="15">
      <c r="AW277" s="18">
        <f t="shared" si="12"/>
        <v>0</v>
      </c>
    </row>
    <row r="278" spans="49:49" ht="15">
      <c r="AW278" s="18">
        <f t="shared" si="12"/>
        <v>0</v>
      </c>
    </row>
    <row r="279" spans="49:49" ht="15">
      <c r="AW279" s="18">
        <f t="shared" si="12"/>
        <v>0</v>
      </c>
    </row>
    <row r="280" spans="49:49" ht="15">
      <c r="AW280" s="18">
        <f t="shared" si="12"/>
        <v>0</v>
      </c>
    </row>
    <row r="281" spans="49:49" ht="15">
      <c r="AW281" s="18">
        <f t="shared" si="12"/>
        <v>0</v>
      </c>
    </row>
    <row r="282" spans="49:49" ht="15">
      <c r="AW282" s="18">
        <f t="shared" si="12"/>
        <v>0</v>
      </c>
    </row>
    <row r="283" spans="49:49" ht="15">
      <c r="AW283" s="18">
        <f t="shared" si="12"/>
        <v>0</v>
      </c>
    </row>
    <row r="284" spans="49:49" ht="15">
      <c r="AW284" s="18">
        <f t="shared" si="12"/>
        <v>0</v>
      </c>
    </row>
    <row r="285" spans="49:49" ht="15">
      <c r="AW285" s="18">
        <f t="shared" si="12"/>
        <v>0</v>
      </c>
    </row>
    <row r="286" spans="49:49" ht="15">
      <c r="AW286" s="18">
        <f t="shared" si="12"/>
        <v>0</v>
      </c>
    </row>
    <row r="287" spans="49:49" ht="15">
      <c r="AW287" s="18">
        <f t="shared" si="12"/>
        <v>0</v>
      </c>
    </row>
    <row r="288" spans="49:49" ht="15">
      <c r="AW288" s="18">
        <f t="shared" si="12"/>
        <v>0</v>
      </c>
    </row>
    <row r="289" spans="49:49" ht="15">
      <c r="AW289" s="18">
        <f t="shared" si="12"/>
        <v>0</v>
      </c>
    </row>
    <row r="290" spans="49:49" ht="15">
      <c r="AW290" s="18">
        <f t="shared" si="12"/>
        <v>0</v>
      </c>
    </row>
    <row r="291" spans="49:49" ht="15">
      <c r="AW291" s="18">
        <f t="shared" si="12"/>
        <v>0</v>
      </c>
    </row>
    <row r="292" spans="49:49" ht="15">
      <c r="AW292" s="18">
        <f t="shared" si="12"/>
        <v>0</v>
      </c>
    </row>
    <row r="293" spans="49:49" ht="15">
      <c r="AW293" s="18">
        <f t="shared" si="12"/>
        <v>0</v>
      </c>
    </row>
    <row r="294" spans="49:49" ht="15">
      <c r="AW294" s="18">
        <f t="shared" ref="AW294:AW357" si="13">LEN(L294)</f>
        <v>0</v>
      </c>
    </row>
    <row r="295" spans="49:49" ht="15">
      <c r="AW295" s="18">
        <f t="shared" si="13"/>
        <v>0</v>
      </c>
    </row>
    <row r="296" spans="49:49" ht="15">
      <c r="AW296" s="18">
        <f t="shared" si="13"/>
        <v>0</v>
      </c>
    </row>
    <row r="297" spans="49:49" ht="15">
      <c r="AW297" s="18">
        <f t="shared" si="13"/>
        <v>0</v>
      </c>
    </row>
    <row r="298" spans="49:49" ht="15">
      <c r="AW298" s="18">
        <f t="shared" si="13"/>
        <v>0</v>
      </c>
    </row>
    <row r="299" spans="49:49" ht="15">
      <c r="AW299" s="18">
        <f t="shared" si="13"/>
        <v>0</v>
      </c>
    </row>
    <row r="300" spans="49:49" ht="15">
      <c r="AW300" s="18">
        <f t="shared" si="13"/>
        <v>0</v>
      </c>
    </row>
    <row r="301" spans="49:49" ht="15">
      <c r="AW301" s="18">
        <f t="shared" si="13"/>
        <v>0</v>
      </c>
    </row>
    <row r="302" spans="49:49" ht="15">
      <c r="AW302" s="18">
        <f t="shared" si="13"/>
        <v>0</v>
      </c>
    </row>
    <row r="303" spans="49:49" ht="15">
      <c r="AW303" s="18">
        <f t="shared" si="13"/>
        <v>0</v>
      </c>
    </row>
    <row r="304" spans="49:49" ht="15">
      <c r="AW304" s="18">
        <f t="shared" si="13"/>
        <v>0</v>
      </c>
    </row>
    <row r="305" spans="49:49" ht="15">
      <c r="AW305" s="18">
        <f t="shared" si="13"/>
        <v>0</v>
      </c>
    </row>
    <row r="306" spans="49:49" ht="15">
      <c r="AW306" s="18">
        <f t="shared" si="13"/>
        <v>0</v>
      </c>
    </row>
    <row r="307" spans="49:49" ht="15">
      <c r="AW307" s="18">
        <f t="shared" si="13"/>
        <v>0</v>
      </c>
    </row>
    <row r="308" spans="49:49" ht="15">
      <c r="AW308" s="18">
        <f t="shared" si="13"/>
        <v>0</v>
      </c>
    </row>
    <row r="309" spans="49:49" ht="15">
      <c r="AW309" s="18">
        <f t="shared" si="13"/>
        <v>0</v>
      </c>
    </row>
    <row r="310" spans="49:49" ht="15">
      <c r="AW310" s="18">
        <f t="shared" si="13"/>
        <v>0</v>
      </c>
    </row>
    <row r="311" spans="49:49" ht="15">
      <c r="AW311" s="18">
        <f t="shared" si="13"/>
        <v>0</v>
      </c>
    </row>
    <row r="312" spans="49:49" ht="15">
      <c r="AW312" s="18">
        <f t="shared" si="13"/>
        <v>0</v>
      </c>
    </row>
    <row r="313" spans="49:49" ht="15">
      <c r="AW313" s="18">
        <f t="shared" si="13"/>
        <v>0</v>
      </c>
    </row>
    <row r="314" spans="49:49" ht="15">
      <c r="AW314" s="18">
        <f t="shared" si="13"/>
        <v>0</v>
      </c>
    </row>
    <row r="315" spans="49:49" ht="15">
      <c r="AW315" s="18">
        <f t="shared" si="13"/>
        <v>0</v>
      </c>
    </row>
    <row r="316" spans="49:49" ht="15">
      <c r="AW316" s="18">
        <f t="shared" si="13"/>
        <v>0</v>
      </c>
    </row>
    <row r="317" spans="49:49" ht="15">
      <c r="AW317" s="18">
        <f t="shared" si="13"/>
        <v>0</v>
      </c>
    </row>
    <row r="318" spans="49:49" ht="15">
      <c r="AW318" s="18">
        <f t="shared" si="13"/>
        <v>0</v>
      </c>
    </row>
    <row r="319" spans="49:49" ht="15">
      <c r="AW319" s="18">
        <f t="shared" si="13"/>
        <v>0</v>
      </c>
    </row>
    <row r="320" spans="49:49" ht="15">
      <c r="AW320" s="18">
        <f t="shared" si="13"/>
        <v>0</v>
      </c>
    </row>
    <row r="321" spans="49:49" ht="15">
      <c r="AW321" s="18">
        <f t="shared" si="13"/>
        <v>0</v>
      </c>
    </row>
    <row r="322" spans="49:49" ht="15">
      <c r="AW322" s="18">
        <f t="shared" si="13"/>
        <v>0</v>
      </c>
    </row>
    <row r="323" spans="49:49" ht="15">
      <c r="AW323" s="18">
        <f t="shared" si="13"/>
        <v>0</v>
      </c>
    </row>
    <row r="324" spans="49:49" ht="15">
      <c r="AW324" s="18">
        <f t="shared" si="13"/>
        <v>0</v>
      </c>
    </row>
    <row r="325" spans="49:49" ht="15">
      <c r="AW325" s="18">
        <f t="shared" si="13"/>
        <v>0</v>
      </c>
    </row>
    <row r="326" spans="49:49" ht="15">
      <c r="AW326" s="18">
        <f t="shared" si="13"/>
        <v>0</v>
      </c>
    </row>
    <row r="327" spans="49:49" ht="15">
      <c r="AW327" s="18">
        <f t="shared" si="13"/>
        <v>0</v>
      </c>
    </row>
    <row r="328" spans="49:49" ht="15">
      <c r="AW328" s="18">
        <f t="shared" si="13"/>
        <v>0</v>
      </c>
    </row>
    <row r="329" spans="49:49" ht="15">
      <c r="AW329" s="18">
        <f t="shared" si="13"/>
        <v>0</v>
      </c>
    </row>
    <row r="330" spans="49:49" ht="15">
      <c r="AW330" s="18">
        <f t="shared" si="13"/>
        <v>0</v>
      </c>
    </row>
    <row r="331" spans="49:49" ht="15">
      <c r="AW331" s="18">
        <f t="shared" si="13"/>
        <v>0</v>
      </c>
    </row>
    <row r="332" spans="49:49" ht="15">
      <c r="AW332" s="18">
        <f t="shared" si="13"/>
        <v>0</v>
      </c>
    </row>
    <row r="333" spans="49:49" ht="15">
      <c r="AW333" s="18">
        <f t="shared" si="13"/>
        <v>0</v>
      </c>
    </row>
    <row r="334" spans="49:49" ht="15">
      <c r="AW334" s="18">
        <f t="shared" si="13"/>
        <v>0</v>
      </c>
    </row>
    <row r="335" spans="49:49" ht="15">
      <c r="AW335" s="18">
        <f t="shared" si="13"/>
        <v>0</v>
      </c>
    </row>
    <row r="336" spans="49:49" ht="15">
      <c r="AW336" s="18">
        <f t="shared" si="13"/>
        <v>0</v>
      </c>
    </row>
    <row r="337" spans="49:49" ht="15">
      <c r="AW337" s="18">
        <f t="shared" si="13"/>
        <v>0</v>
      </c>
    </row>
    <row r="338" spans="49:49" ht="15">
      <c r="AW338" s="18">
        <f t="shared" si="13"/>
        <v>0</v>
      </c>
    </row>
    <row r="339" spans="49:49" ht="15">
      <c r="AW339" s="18">
        <f t="shared" si="13"/>
        <v>0</v>
      </c>
    </row>
    <row r="340" spans="49:49" ht="15">
      <c r="AW340" s="18">
        <f t="shared" si="13"/>
        <v>0</v>
      </c>
    </row>
    <row r="341" spans="49:49" ht="15">
      <c r="AW341" s="18">
        <f t="shared" si="13"/>
        <v>0</v>
      </c>
    </row>
    <row r="342" spans="49:49" ht="15">
      <c r="AW342" s="18">
        <f t="shared" si="13"/>
        <v>0</v>
      </c>
    </row>
    <row r="343" spans="49:49" ht="15">
      <c r="AW343" s="18">
        <f t="shared" si="13"/>
        <v>0</v>
      </c>
    </row>
    <row r="344" spans="49:49" ht="15">
      <c r="AW344" s="18">
        <f t="shared" si="13"/>
        <v>0</v>
      </c>
    </row>
    <row r="345" spans="49:49" ht="15">
      <c r="AW345" s="18">
        <f t="shared" si="13"/>
        <v>0</v>
      </c>
    </row>
    <row r="346" spans="49:49" ht="15">
      <c r="AW346" s="18">
        <f t="shared" si="13"/>
        <v>0</v>
      </c>
    </row>
    <row r="347" spans="49:49" ht="15">
      <c r="AW347" s="18">
        <f t="shared" si="13"/>
        <v>0</v>
      </c>
    </row>
    <row r="348" spans="49:49" ht="15">
      <c r="AW348" s="18">
        <f t="shared" si="13"/>
        <v>0</v>
      </c>
    </row>
    <row r="349" spans="49:49" ht="15">
      <c r="AW349" s="18">
        <f t="shared" si="13"/>
        <v>0</v>
      </c>
    </row>
    <row r="350" spans="49:49" ht="15">
      <c r="AW350" s="18">
        <f t="shared" si="13"/>
        <v>0</v>
      </c>
    </row>
    <row r="351" spans="49:49" ht="15">
      <c r="AW351" s="18">
        <f t="shared" si="13"/>
        <v>0</v>
      </c>
    </row>
    <row r="352" spans="49:49" ht="15">
      <c r="AW352" s="18">
        <f t="shared" si="13"/>
        <v>0</v>
      </c>
    </row>
    <row r="353" spans="49:49" ht="15">
      <c r="AW353" s="18">
        <f t="shared" si="13"/>
        <v>0</v>
      </c>
    </row>
    <row r="354" spans="49:49" ht="15">
      <c r="AW354" s="18">
        <f t="shared" si="13"/>
        <v>0</v>
      </c>
    </row>
    <row r="355" spans="49:49" ht="15">
      <c r="AW355" s="18">
        <f t="shared" si="13"/>
        <v>0</v>
      </c>
    </row>
    <row r="356" spans="49:49" ht="15">
      <c r="AW356" s="18">
        <f t="shared" si="13"/>
        <v>0</v>
      </c>
    </row>
    <row r="357" spans="49:49" ht="15">
      <c r="AW357" s="18">
        <f t="shared" si="13"/>
        <v>0</v>
      </c>
    </row>
    <row r="358" spans="49:49" ht="15">
      <c r="AW358" s="18">
        <f t="shared" ref="AW358:AW421" si="14">LEN(L358)</f>
        <v>0</v>
      </c>
    </row>
    <row r="359" spans="49:49" ht="15">
      <c r="AW359" s="18">
        <f t="shared" si="14"/>
        <v>0</v>
      </c>
    </row>
    <row r="360" spans="49:49" ht="15">
      <c r="AW360" s="18">
        <f t="shared" si="14"/>
        <v>0</v>
      </c>
    </row>
    <row r="361" spans="49:49" ht="15">
      <c r="AW361" s="18">
        <f t="shared" si="14"/>
        <v>0</v>
      </c>
    </row>
    <row r="362" spans="49:49" ht="15">
      <c r="AW362" s="18">
        <f t="shared" si="14"/>
        <v>0</v>
      </c>
    </row>
    <row r="363" spans="49:49" ht="15">
      <c r="AW363" s="18">
        <f t="shared" si="14"/>
        <v>0</v>
      </c>
    </row>
    <row r="364" spans="49:49" ht="15">
      <c r="AW364" s="18">
        <f t="shared" si="14"/>
        <v>0</v>
      </c>
    </row>
    <row r="365" spans="49:49" ht="15">
      <c r="AW365" s="18">
        <f t="shared" si="14"/>
        <v>0</v>
      </c>
    </row>
    <row r="366" spans="49:49" ht="15">
      <c r="AW366" s="18">
        <f t="shared" si="14"/>
        <v>0</v>
      </c>
    </row>
    <row r="367" spans="49:49" ht="15">
      <c r="AW367" s="18">
        <f t="shared" si="14"/>
        <v>0</v>
      </c>
    </row>
    <row r="368" spans="49:49" ht="15">
      <c r="AW368" s="18">
        <f t="shared" si="14"/>
        <v>0</v>
      </c>
    </row>
    <row r="369" spans="49:49" ht="15">
      <c r="AW369" s="18">
        <f t="shared" si="14"/>
        <v>0</v>
      </c>
    </row>
    <row r="370" spans="49:49" ht="15">
      <c r="AW370" s="18">
        <f t="shared" si="14"/>
        <v>0</v>
      </c>
    </row>
    <row r="371" spans="49:49" ht="15">
      <c r="AW371" s="18">
        <f t="shared" si="14"/>
        <v>0</v>
      </c>
    </row>
    <row r="372" spans="49:49" ht="15">
      <c r="AW372" s="18">
        <f t="shared" si="14"/>
        <v>0</v>
      </c>
    </row>
    <row r="373" spans="49:49" ht="15">
      <c r="AW373" s="18">
        <f t="shared" si="14"/>
        <v>0</v>
      </c>
    </row>
    <row r="374" spans="49:49" ht="15">
      <c r="AW374" s="18">
        <f t="shared" si="14"/>
        <v>0</v>
      </c>
    </row>
    <row r="375" spans="49:49" ht="15">
      <c r="AW375" s="18">
        <f t="shared" si="14"/>
        <v>0</v>
      </c>
    </row>
    <row r="376" spans="49:49" ht="15">
      <c r="AW376" s="18">
        <f t="shared" si="14"/>
        <v>0</v>
      </c>
    </row>
    <row r="377" spans="49:49" ht="15">
      <c r="AW377" s="18">
        <f t="shared" si="14"/>
        <v>0</v>
      </c>
    </row>
    <row r="378" spans="49:49" ht="15">
      <c r="AW378" s="18">
        <f t="shared" si="14"/>
        <v>0</v>
      </c>
    </row>
    <row r="379" spans="49:49" ht="15">
      <c r="AW379" s="18">
        <f t="shared" si="14"/>
        <v>0</v>
      </c>
    </row>
    <row r="380" spans="49:49" ht="15">
      <c r="AW380" s="18">
        <f t="shared" si="14"/>
        <v>0</v>
      </c>
    </row>
    <row r="381" spans="49:49" ht="15">
      <c r="AW381" s="18">
        <f t="shared" si="14"/>
        <v>0</v>
      </c>
    </row>
    <row r="382" spans="49:49" ht="15">
      <c r="AW382" s="18">
        <f t="shared" si="14"/>
        <v>0</v>
      </c>
    </row>
    <row r="383" spans="49:49" ht="15">
      <c r="AW383" s="18">
        <f t="shared" si="14"/>
        <v>0</v>
      </c>
    </row>
    <row r="384" spans="49:49" ht="15">
      <c r="AW384" s="18">
        <f t="shared" si="14"/>
        <v>0</v>
      </c>
    </row>
    <row r="385" spans="49:49" ht="15">
      <c r="AW385" s="18">
        <f t="shared" si="14"/>
        <v>0</v>
      </c>
    </row>
    <row r="386" spans="49:49" ht="15">
      <c r="AW386" s="18">
        <f t="shared" si="14"/>
        <v>0</v>
      </c>
    </row>
    <row r="387" spans="49:49" ht="15">
      <c r="AW387" s="18">
        <f t="shared" si="14"/>
        <v>0</v>
      </c>
    </row>
    <row r="388" spans="49:49" ht="15">
      <c r="AW388" s="18">
        <f t="shared" si="14"/>
        <v>0</v>
      </c>
    </row>
    <row r="389" spans="49:49" ht="15">
      <c r="AW389" s="18">
        <f t="shared" si="14"/>
        <v>0</v>
      </c>
    </row>
    <row r="390" spans="49:49" ht="15">
      <c r="AW390" s="18">
        <f t="shared" si="14"/>
        <v>0</v>
      </c>
    </row>
    <row r="391" spans="49:49" ht="15">
      <c r="AW391" s="18">
        <f t="shared" si="14"/>
        <v>0</v>
      </c>
    </row>
    <row r="392" spans="49:49" ht="15">
      <c r="AW392" s="18">
        <f t="shared" si="14"/>
        <v>0</v>
      </c>
    </row>
    <row r="393" spans="49:49" ht="15">
      <c r="AW393" s="18">
        <f t="shared" si="14"/>
        <v>0</v>
      </c>
    </row>
    <row r="394" spans="49:49" ht="15">
      <c r="AW394" s="18">
        <f t="shared" si="14"/>
        <v>0</v>
      </c>
    </row>
    <row r="395" spans="49:49" ht="15">
      <c r="AW395" s="18">
        <f t="shared" si="14"/>
        <v>0</v>
      </c>
    </row>
    <row r="396" spans="49:49" ht="15">
      <c r="AW396" s="18">
        <f t="shared" si="14"/>
        <v>0</v>
      </c>
    </row>
    <row r="397" spans="49:49" ht="15">
      <c r="AW397" s="18">
        <f t="shared" si="14"/>
        <v>0</v>
      </c>
    </row>
    <row r="398" spans="49:49" ht="15">
      <c r="AW398" s="18">
        <f t="shared" si="14"/>
        <v>0</v>
      </c>
    </row>
    <row r="399" spans="49:49" ht="15">
      <c r="AW399" s="18">
        <f t="shared" si="14"/>
        <v>0</v>
      </c>
    </row>
    <row r="400" spans="49:49" ht="15">
      <c r="AW400" s="18">
        <f t="shared" si="14"/>
        <v>0</v>
      </c>
    </row>
    <row r="401" spans="49:49" ht="15">
      <c r="AW401" s="18">
        <f t="shared" si="14"/>
        <v>0</v>
      </c>
    </row>
    <row r="402" spans="49:49" ht="15">
      <c r="AW402" s="18">
        <f t="shared" si="14"/>
        <v>0</v>
      </c>
    </row>
    <row r="403" spans="49:49" ht="15">
      <c r="AW403" s="18">
        <f t="shared" si="14"/>
        <v>0</v>
      </c>
    </row>
    <row r="404" spans="49:49" ht="15">
      <c r="AW404" s="18">
        <f t="shared" si="14"/>
        <v>0</v>
      </c>
    </row>
    <row r="405" spans="49:49" ht="15">
      <c r="AW405" s="18">
        <f t="shared" si="14"/>
        <v>0</v>
      </c>
    </row>
    <row r="406" spans="49:49" ht="15">
      <c r="AW406" s="18">
        <f t="shared" si="14"/>
        <v>0</v>
      </c>
    </row>
    <row r="407" spans="49:49" ht="15">
      <c r="AW407" s="18">
        <f t="shared" si="14"/>
        <v>0</v>
      </c>
    </row>
    <row r="408" spans="49:49" ht="15">
      <c r="AW408" s="18">
        <f t="shared" si="14"/>
        <v>0</v>
      </c>
    </row>
    <row r="409" spans="49:49" ht="15">
      <c r="AW409" s="18">
        <f t="shared" si="14"/>
        <v>0</v>
      </c>
    </row>
    <row r="410" spans="49:49" ht="15">
      <c r="AW410" s="18">
        <f t="shared" si="14"/>
        <v>0</v>
      </c>
    </row>
    <row r="411" spans="49:49" ht="15">
      <c r="AW411" s="18">
        <f t="shared" si="14"/>
        <v>0</v>
      </c>
    </row>
    <row r="412" spans="49:49" ht="15">
      <c r="AW412" s="18">
        <f t="shared" si="14"/>
        <v>0</v>
      </c>
    </row>
    <row r="413" spans="49:49" ht="15">
      <c r="AW413" s="18">
        <f t="shared" si="14"/>
        <v>0</v>
      </c>
    </row>
    <row r="414" spans="49:49" ht="15">
      <c r="AW414" s="18">
        <f t="shared" si="14"/>
        <v>0</v>
      </c>
    </row>
    <row r="415" spans="49:49" ht="15">
      <c r="AW415" s="18">
        <f t="shared" si="14"/>
        <v>0</v>
      </c>
    </row>
    <row r="416" spans="49:49" ht="15">
      <c r="AW416" s="18">
        <f t="shared" si="14"/>
        <v>0</v>
      </c>
    </row>
    <row r="417" spans="49:49" ht="15">
      <c r="AW417" s="18">
        <f t="shared" si="14"/>
        <v>0</v>
      </c>
    </row>
    <row r="418" spans="49:49" ht="15">
      <c r="AW418" s="18">
        <f t="shared" si="14"/>
        <v>0</v>
      </c>
    </row>
    <row r="419" spans="49:49" ht="15">
      <c r="AW419" s="18">
        <f t="shared" si="14"/>
        <v>0</v>
      </c>
    </row>
    <row r="420" spans="49:49" ht="15">
      <c r="AW420" s="18">
        <f t="shared" si="14"/>
        <v>0</v>
      </c>
    </row>
    <row r="421" spans="49:49" ht="15">
      <c r="AW421" s="18">
        <f t="shared" si="14"/>
        <v>0</v>
      </c>
    </row>
    <row r="422" spans="49:49" ht="15">
      <c r="AW422" s="18">
        <f t="shared" ref="AW422:AW476" si="15">LEN(L422)</f>
        <v>0</v>
      </c>
    </row>
    <row r="423" spans="49:49" ht="15">
      <c r="AW423" s="18">
        <f t="shared" si="15"/>
        <v>0</v>
      </c>
    </row>
    <row r="424" spans="49:49" ht="15">
      <c r="AW424" s="18">
        <f t="shared" si="15"/>
        <v>0</v>
      </c>
    </row>
    <row r="425" spans="49:49" ht="15">
      <c r="AW425" s="18">
        <f t="shared" si="15"/>
        <v>0</v>
      </c>
    </row>
    <row r="426" spans="49:49" ht="15">
      <c r="AW426" s="18">
        <f t="shared" si="15"/>
        <v>0</v>
      </c>
    </row>
    <row r="427" spans="49:49" ht="15">
      <c r="AW427" s="18">
        <f t="shared" si="15"/>
        <v>0</v>
      </c>
    </row>
    <row r="428" spans="49:49" ht="15">
      <c r="AW428" s="18">
        <f t="shared" si="15"/>
        <v>0</v>
      </c>
    </row>
    <row r="429" spans="49:49" ht="15">
      <c r="AW429" s="18">
        <f t="shared" si="15"/>
        <v>0</v>
      </c>
    </row>
    <row r="430" spans="49:49" ht="15">
      <c r="AW430" s="18">
        <f t="shared" si="15"/>
        <v>0</v>
      </c>
    </row>
    <row r="431" spans="49:49" ht="15">
      <c r="AW431" s="18">
        <f t="shared" si="15"/>
        <v>0</v>
      </c>
    </row>
    <row r="432" spans="49:49" ht="15">
      <c r="AW432" s="18">
        <f t="shared" si="15"/>
        <v>0</v>
      </c>
    </row>
    <row r="433" spans="49:49" ht="15">
      <c r="AW433" s="18">
        <f t="shared" si="15"/>
        <v>0</v>
      </c>
    </row>
    <row r="434" spans="49:49" ht="15">
      <c r="AW434" s="18">
        <f t="shared" si="15"/>
        <v>0</v>
      </c>
    </row>
    <row r="435" spans="49:49" ht="15">
      <c r="AW435" s="18">
        <f t="shared" si="15"/>
        <v>0</v>
      </c>
    </row>
    <row r="436" spans="49:49" ht="15">
      <c r="AW436" s="18">
        <f t="shared" si="15"/>
        <v>0</v>
      </c>
    </row>
    <row r="437" spans="49:49" ht="15">
      <c r="AW437" s="18">
        <f t="shared" si="15"/>
        <v>0</v>
      </c>
    </row>
    <row r="438" spans="49:49" ht="15">
      <c r="AW438" s="18">
        <f t="shared" si="15"/>
        <v>0</v>
      </c>
    </row>
    <row r="439" spans="49:49" ht="15">
      <c r="AW439" s="18">
        <f t="shared" si="15"/>
        <v>0</v>
      </c>
    </row>
    <row r="440" spans="49:49" ht="15">
      <c r="AW440" s="18">
        <f t="shared" si="15"/>
        <v>0</v>
      </c>
    </row>
    <row r="441" spans="49:49" ht="15">
      <c r="AW441" s="18">
        <f t="shared" si="15"/>
        <v>0</v>
      </c>
    </row>
    <row r="442" spans="49:49" ht="15">
      <c r="AW442" s="18">
        <f t="shared" si="15"/>
        <v>0</v>
      </c>
    </row>
    <row r="443" spans="49:49" ht="15">
      <c r="AW443" s="18">
        <f t="shared" si="15"/>
        <v>0</v>
      </c>
    </row>
    <row r="444" spans="49:49" ht="15">
      <c r="AW444" s="18">
        <f t="shared" si="15"/>
        <v>0</v>
      </c>
    </row>
    <row r="445" spans="49:49" ht="15">
      <c r="AW445" s="18">
        <f t="shared" si="15"/>
        <v>0</v>
      </c>
    </row>
    <row r="446" spans="49:49" ht="15">
      <c r="AW446" s="18">
        <f t="shared" si="15"/>
        <v>0</v>
      </c>
    </row>
    <row r="447" spans="49:49" ht="15">
      <c r="AW447" s="18">
        <f t="shared" si="15"/>
        <v>0</v>
      </c>
    </row>
    <row r="448" spans="49:49" ht="15">
      <c r="AW448" s="18">
        <f t="shared" si="15"/>
        <v>0</v>
      </c>
    </row>
    <row r="449" spans="49:49" ht="15">
      <c r="AW449" s="18">
        <f t="shared" si="15"/>
        <v>0</v>
      </c>
    </row>
    <row r="450" spans="49:49" ht="15">
      <c r="AW450" s="18">
        <f t="shared" si="15"/>
        <v>0</v>
      </c>
    </row>
    <row r="451" spans="49:49" ht="15">
      <c r="AW451" s="18">
        <f t="shared" si="15"/>
        <v>0</v>
      </c>
    </row>
    <row r="452" spans="49:49" ht="15">
      <c r="AW452" s="18">
        <f t="shared" si="15"/>
        <v>0</v>
      </c>
    </row>
    <row r="453" spans="49:49" ht="15">
      <c r="AW453" s="18">
        <f t="shared" si="15"/>
        <v>0</v>
      </c>
    </row>
    <row r="454" spans="49:49" ht="15">
      <c r="AW454" s="18">
        <f t="shared" si="15"/>
        <v>0</v>
      </c>
    </row>
    <row r="455" spans="49:49" ht="15">
      <c r="AW455" s="18">
        <f t="shared" si="15"/>
        <v>0</v>
      </c>
    </row>
    <row r="456" spans="49:49" ht="15">
      <c r="AW456" s="18">
        <f t="shared" si="15"/>
        <v>0</v>
      </c>
    </row>
    <row r="457" spans="49:49" ht="15">
      <c r="AW457" s="18">
        <f t="shared" si="15"/>
        <v>0</v>
      </c>
    </row>
    <row r="458" spans="49:49" ht="15">
      <c r="AW458" s="18">
        <f t="shared" si="15"/>
        <v>0</v>
      </c>
    </row>
    <row r="459" spans="49:49" ht="15">
      <c r="AW459" s="18">
        <f t="shared" si="15"/>
        <v>0</v>
      </c>
    </row>
    <row r="460" spans="49:49" ht="15">
      <c r="AW460" s="18">
        <f t="shared" si="15"/>
        <v>0</v>
      </c>
    </row>
    <row r="461" spans="49:49" ht="15">
      <c r="AW461" s="18">
        <f t="shared" si="15"/>
        <v>0</v>
      </c>
    </row>
    <row r="462" spans="49:49" ht="15">
      <c r="AW462" s="18">
        <f t="shared" si="15"/>
        <v>0</v>
      </c>
    </row>
    <row r="463" spans="49:49" ht="15">
      <c r="AW463" s="18">
        <f t="shared" si="15"/>
        <v>0</v>
      </c>
    </row>
    <row r="464" spans="49:49" ht="15">
      <c r="AW464" s="18">
        <f t="shared" si="15"/>
        <v>0</v>
      </c>
    </row>
    <row r="465" spans="49:49" ht="15">
      <c r="AW465" s="18">
        <f t="shared" si="15"/>
        <v>0</v>
      </c>
    </row>
    <row r="466" spans="49:49" ht="15">
      <c r="AW466" s="18">
        <f t="shared" si="15"/>
        <v>0</v>
      </c>
    </row>
    <row r="467" spans="49:49" ht="15">
      <c r="AW467" s="18">
        <f t="shared" si="15"/>
        <v>0</v>
      </c>
    </row>
    <row r="468" spans="49:49" ht="15">
      <c r="AW468" s="18">
        <f t="shared" si="15"/>
        <v>0</v>
      </c>
    </row>
    <row r="469" spans="49:49" ht="15">
      <c r="AW469" s="18">
        <f t="shared" si="15"/>
        <v>0</v>
      </c>
    </row>
    <row r="470" spans="49:49" ht="15">
      <c r="AW470" s="18">
        <f t="shared" si="15"/>
        <v>0</v>
      </c>
    </row>
    <row r="471" spans="49:49" ht="15">
      <c r="AW471" s="18">
        <f t="shared" si="15"/>
        <v>0</v>
      </c>
    </row>
    <row r="472" spans="49:49" ht="15">
      <c r="AW472" s="18">
        <f t="shared" si="15"/>
        <v>0</v>
      </c>
    </row>
    <row r="473" spans="49:49" ht="15">
      <c r="AW473" s="18">
        <f t="shared" si="15"/>
        <v>0</v>
      </c>
    </row>
    <row r="474" spans="49:49" ht="15">
      <c r="AW474" s="18">
        <f t="shared" si="15"/>
        <v>0</v>
      </c>
    </row>
    <row r="475" spans="49:49" ht="15">
      <c r="AW475" s="18">
        <f t="shared" si="15"/>
        <v>0</v>
      </c>
    </row>
    <row r="476" spans="49:49" ht="15">
      <c r="AW476" s="18">
        <f t="shared" si="15"/>
        <v>0</v>
      </c>
    </row>
  </sheetData>
  <mergeCells count="60">
    <mergeCell ref="AO4:AU4"/>
    <mergeCell ref="AJ5:AJ6"/>
    <mergeCell ref="BZ5:CB5"/>
    <mergeCell ref="BT5:BW5"/>
    <mergeCell ref="AK5:AK6"/>
    <mergeCell ref="AV5:AV6"/>
    <mergeCell ref="AX5:AX6"/>
    <mergeCell ref="CC5:CD5"/>
    <mergeCell ref="AZ5:AZ6"/>
    <mergeCell ref="U5:U6"/>
    <mergeCell ref="AU5:AU6"/>
    <mergeCell ref="AT5:AT6"/>
    <mergeCell ref="BA5:BE5"/>
    <mergeCell ref="AR5:AR6"/>
    <mergeCell ref="AP5:AP6"/>
    <mergeCell ref="AO5:AO6"/>
    <mergeCell ref="AF5:AF6"/>
    <mergeCell ref="BX5:BY5"/>
    <mergeCell ref="AS5:AS6"/>
    <mergeCell ref="AL5:AL6"/>
    <mergeCell ref="BF5:BS5"/>
    <mergeCell ref="AQ5:AQ6"/>
    <mergeCell ref="V5:V6"/>
    <mergeCell ref="AH5:AH6"/>
    <mergeCell ref="AI5:AI6"/>
    <mergeCell ref="W5:W6"/>
    <mergeCell ref="X5:X6"/>
    <mergeCell ref="Y5:Y6"/>
    <mergeCell ref="B4:C4"/>
    <mergeCell ref="R5:R6"/>
    <mergeCell ref="O5:O6"/>
    <mergeCell ref="AE5:AE6"/>
    <mergeCell ref="AG5:AG6"/>
    <mergeCell ref="T5:T6"/>
    <mergeCell ref="AE4:AL4"/>
    <mergeCell ref="B5:B6"/>
    <mergeCell ref="D5:D6"/>
    <mergeCell ref="E5:E6"/>
    <mergeCell ref="H5:H6"/>
    <mergeCell ref="C5:C6"/>
    <mergeCell ref="Q5:Q6"/>
    <mergeCell ref="Z5:Z6"/>
    <mergeCell ref="AA5:AA6"/>
    <mergeCell ref="S5:S6"/>
    <mergeCell ref="J256:J258"/>
    <mergeCell ref="L181:L245"/>
    <mergeCell ref="L246:L255"/>
    <mergeCell ref="L256:L258"/>
    <mergeCell ref="I5:I6"/>
    <mergeCell ref="J5:J6"/>
    <mergeCell ref="L5:L6"/>
    <mergeCell ref="K5:K6"/>
    <mergeCell ref="J246:J255"/>
    <mergeCell ref="J181:J245"/>
    <mergeCell ref="P5:P6"/>
    <mergeCell ref="N5:N6"/>
    <mergeCell ref="W4:AD4"/>
    <mergeCell ref="AB5:AB6"/>
    <mergeCell ref="AC5:AC6"/>
    <mergeCell ref="AD5:AD6"/>
  </mergeCells>
  <phoneticPr fontId="13" type="noConversion"/>
  <conditionalFormatting sqref="AW1:AW10 AW21 AW40:AW45 AW25:AW38 AW18:AW19 AW12:AW16 AW139:AW1048576 AW135:AW137">
    <cfRule type="cellIs" dxfId="280" priority="33" stopIfTrue="1" operator="greaterThan">
      <formula>42</formula>
    </cfRule>
  </conditionalFormatting>
  <conditionalFormatting sqref="AW44:AW45">
    <cfRule type="cellIs" dxfId="279" priority="23" stopIfTrue="1" operator="greaterThan">
      <formula>42</formula>
    </cfRule>
  </conditionalFormatting>
  <conditionalFormatting sqref="AW44:AW45">
    <cfRule type="cellIs" dxfId="278" priority="22" stopIfTrue="1" operator="greaterThan">
      <formula>42</formula>
    </cfRule>
  </conditionalFormatting>
  <conditionalFormatting sqref="AW45">
    <cfRule type="cellIs" dxfId="277" priority="18" stopIfTrue="1" operator="greaterThan">
      <formula>42</formula>
    </cfRule>
  </conditionalFormatting>
  <conditionalFormatting sqref="AW20">
    <cfRule type="cellIs" dxfId="276" priority="17" stopIfTrue="1" operator="greaterThan">
      <formula>42</formula>
    </cfRule>
  </conditionalFormatting>
  <conditionalFormatting sqref="AW22">
    <cfRule type="cellIs" dxfId="275" priority="16" stopIfTrue="1" operator="greaterThan">
      <formula>42</formula>
    </cfRule>
  </conditionalFormatting>
  <conditionalFormatting sqref="AW39">
    <cfRule type="cellIs" dxfId="274" priority="15" stopIfTrue="1" operator="greaterThan">
      <formula>42</formula>
    </cfRule>
  </conditionalFormatting>
  <conditionalFormatting sqref="AW17">
    <cfRule type="cellIs" dxfId="273" priority="14" stopIfTrue="1" operator="greaterThan">
      <formula>42</formula>
    </cfRule>
  </conditionalFormatting>
  <conditionalFormatting sqref="AW11">
    <cfRule type="cellIs" dxfId="272" priority="13" stopIfTrue="1" operator="greaterThan">
      <formula>42</formula>
    </cfRule>
  </conditionalFormatting>
  <conditionalFormatting sqref="AW138">
    <cfRule type="cellIs" dxfId="271" priority="12" stopIfTrue="1" operator="greaterThan">
      <formula>42</formula>
    </cfRule>
  </conditionalFormatting>
  <conditionalFormatting sqref="AW23">
    <cfRule type="cellIs" dxfId="270" priority="11" stopIfTrue="1" operator="greaterThan">
      <formula>42</formula>
    </cfRule>
  </conditionalFormatting>
  <conditionalFormatting sqref="AW24">
    <cfRule type="cellIs" dxfId="269" priority="10" stopIfTrue="1" operator="greaterThan">
      <formula>42</formula>
    </cfRule>
  </conditionalFormatting>
  <conditionalFormatting sqref="AW46:AW134">
    <cfRule type="cellIs" dxfId="268" priority="9" stopIfTrue="1" operator="greaterThan">
      <formula>42</formula>
    </cfRule>
  </conditionalFormatting>
  <conditionalFormatting sqref="AW46:AW134">
    <cfRule type="cellIs" dxfId="267" priority="8" stopIfTrue="1" operator="greaterThan">
      <formula>42</formula>
    </cfRule>
  </conditionalFormatting>
  <conditionalFormatting sqref="AW46:AW134">
    <cfRule type="cellIs" dxfId="266" priority="7" stopIfTrue="1" operator="greaterThan">
      <formula>42</formula>
    </cfRule>
  </conditionalFormatting>
  <conditionalFormatting sqref="AW50:AW134">
    <cfRule type="cellIs" dxfId="265" priority="6" stopIfTrue="1" operator="greaterThan">
      <formula>42</formula>
    </cfRule>
  </conditionalFormatting>
  <conditionalFormatting sqref="AW50:AW134">
    <cfRule type="cellIs" dxfId="264" priority="5" stopIfTrue="1" operator="greaterThan">
      <formula>42</formula>
    </cfRule>
  </conditionalFormatting>
  <conditionalFormatting sqref="AW50:AW134">
    <cfRule type="cellIs" dxfId="263" priority="4" stopIfTrue="1" operator="greaterThan">
      <formula>42</formula>
    </cfRule>
  </conditionalFormatting>
  <conditionalFormatting sqref="AW50:AW134">
    <cfRule type="cellIs" dxfId="262" priority="3" stopIfTrue="1" operator="greaterThan">
      <formula>42</formula>
    </cfRule>
  </conditionalFormatting>
  <conditionalFormatting sqref="AW141:AW146">
    <cfRule type="cellIs" dxfId="261" priority="2" stopIfTrue="1" operator="greaterThan">
      <formula>42</formula>
    </cfRule>
  </conditionalFormatting>
  <conditionalFormatting sqref="AW141:AW146">
    <cfRule type="cellIs" dxfId="260" priority="1" stopIfTrue="1" operator="greaterThan">
      <formula>42</formula>
    </cfRule>
  </conditionalFormatting>
  <dataValidations count="3">
    <dataValidation type="textLength" operator="lessThanOrEqual" allowBlank="1" showInputMessage="1" showErrorMessage="1" sqref="AO50:AT50 AO70:AT71 AO87:AT90 AO100:AT102 AO106:AT106 AO143:AT143" xr:uid="{00000000-0002-0000-0700-000000000000}">
      <formula1>4</formula1>
    </dataValidation>
    <dataValidation type="textLength" operator="lessThan" allowBlank="1" showInputMessage="1" showErrorMessage="1" error="text length exceeded" prompt="max. 64 charcters" sqref="B50:D50 B51:B52 B54:B56 B59:B66 C55 C62:C65 B70:B73 D70:D71 C74:C76 C70:C72 B77:B85 C80 B87:D88 B86:C86 C91 C84 BB94 B92:C94 B99 B100:C102 C103:C105 B106:C106 B104 C121 B114 B130:C130 B142:C143" xr:uid="{00000000-0002-0000-0700-000001000000}">
      <formula1>65</formula1>
    </dataValidation>
    <dataValidation type="textLength" allowBlank="1" showInputMessage="1" showErrorMessage="1" sqref="AO51:AT52 AO54:AT56 AO59:AT66 AO72:AT86 AO91:AT94 AO99:AT99 AO103:AT105 AO121:AT121 AO114:AT114 AO130:AT130 AO141:AT142" xr:uid="{00000000-0002-0000-0700-000002000000}">
      <formula1>0</formula1>
      <formula2>4</formula2>
    </dataValidation>
  </dataValidations>
  <pageMargins left="0.78740157499999996" right="0.78740157499999996" top="0.984251969" bottom="0.984251969" header="0.49212598499999999" footer="0.49212598499999999"/>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10"/>
  <dimension ref="A1:CH449"/>
  <sheetViews>
    <sheetView showGridLines="0" showRuler="0" topLeftCell="A4" zoomScale="60" zoomScaleNormal="60" zoomScalePageLayoutView="70" workbookViewId="0">
      <pane ySplit="3" topLeftCell="A7" activePane="bottomLeft" state="frozenSplit"/>
      <selection activeCell="A4" sqref="A4"/>
      <selection pane="bottomLeft" activeCell="U20" sqref="U20"/>
    </sheetView>
  </sheetViews>
  <sheetFormatPr defaultColWidth="8.88671875" defaultRowHeight="13.2"/>
  <cols>
    <col min="1" max="1" width="5.6640625" style="144" customWidth="1"/>
    <col min="2" max="2" width="46.44140625" hidden="1" customWidth="1"/>
    <col min="3" max="3" width="8.6640625" hidden="1" customWidth="1"/>
    <col min="4" max="4" width="0" hidden="1" customWidth="1"/>
    <col min="5" max="7" width="10" hidden="1" customWidth="1"/>
    <col min="8" max="9" width="0" hidden="1" customWidth="1"/>
    <col min="10" max="10" width="36.6640625" customWidth="1"/>
    <col min="11" max="11" width="19.109375" bestFit="1" customWidth="1"/>
    <col min="12" max="12" width="30.6640625" customWidth="1"/>
    <col min="13" max="13" width="36.88671875" customWidth="1"/>
    <col min="14" max="14" width="10.33203125" style="138" customWidth="1"/>
    <col min="15" max="16" width="5.6640625" style="138" customWidth="1"/>
    <col min="17" max="20" width="4.6640625" style="138" customWidth="1"/>
    <col min="21" max="21" width="102.33203125" style="524" customWidth="1"/>
    <col min="22" max="22" width="32" customWidth="1"/>
    <col min="23" max="23" width="18.33203125" customWidth="1"/>
    <col min="24" max="25" width="5.6640625" customWidth="1"/>
    <col min="26" max="30" width="4.6640625" customWidth="1"/>
    <col min="31" max="31" width="18.33203125" customWidth="1"/>
    <col min="32" max="33" width="5.6640625" customWidth="1"/>
    <col min="34" max="35" width="4.6640625" customWidth="1"/>
    <col min="36" max="36" width="33.6640625" customWidth="1"/>
    <col min="37" max="37" width="9.109375" customWidth="1"/>
    <col min="38" max="38" width="24.44140625" customWidth="1"/>
    <col min="40" max="40" width="30.6640625" customWidth="1"/>
    <col min="48" max="48" width="30.6640625" customWidth="1"/>
    <col min="49" max="49" width="0" hidden="1" customWidth="1"/>
  </cols>
  <sheetData>
    <row r="1" spans="1:86" ht="13.8" hidden="1" thickBot="1"/>
    <row r="2" spans="1:86" ht="13.8" hidden="1" thickBot="1"/>
    <row r="3" spans="1:86" s="1" customFormat="1" ht="13.8" hidden="1" thickBot="1">
      <c r="A3" s="146"/>
      <c r="C3" s="2"/>
      <c r="E3" s="3"/>
      <c r="F3" s="3"/>
      <c r="G3" s="3"/>
      <c r="H3" s="3"/>
      <c r="I3" s="3"/>
      <c r="J3" s="3"/>
      <c r="K3" s="3"/>
      <c r="L3" s="3"/>
      <c r="M3" s="3"/>
      <c r="N3" s="136"/>
      <c r="O3" s="136"/>
      <c r="P3" s="136"/>
      <c r="Q3" s="136"/>
      <c r="R3" s="136"/>
      <c r="S3" s="136"/>
      <c r="T3" s="136"/>
      <c r="U3" s="348"/>
      <c r="V3" s="3"/>
      <c r="W3" s="3"/>
      <c r="X3" s="4"/>
      <c r="Y3" s="5"/>
      <c r="Z3" s="5"/>
      <c r="AA3" s="3"/>
      <c r="AB3" s="3"/>
      <c r="AC3" s="3"/>
      <c r="AD3" s="3"/>
      <c r="AE3" s="3"/>
      <c r="AF3" s="4"/>
      <c r="AG3" s="5"/>
      <c r="AH3" s="5"/>
      <c r="AI3" s="3"/>
      <c r="AJ3" s="3"/>
      <c r="AK3" s="2"/>
      <c r="AL3" s="2"/>
      <c r="AM3" s="2"/>
      <c r="AN3" s="2"/>
      <c r="AO3" s="2"/>
      <c r="AP3" s="2"/>
      <c r="AQ3" s="2"/>
    </row>
    <row r="4" spans="1:86"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303"/>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486"/>
      <c r="G5" s="486"/>
      <c r="H5" s="637" t="s">
        <v>475</v>
      </c>
      <c r="I5" s="646" t="s">
        <v>476</v>
      </c>
      <c r="J5" s="648" t="s">
        <v>477</v>
      </c>
      <c r="K5" s="648" t="s">
        <v>478</v>
      </c>
      <c r="L5" s="648" t="s">
        <v>479</v>
      </c>
      <c r="M5" s="488"/>
      <c r="N5" s="648" t="s">
        <v>480</v>
      </c>
      <c r="O5" s="648" t="s">
        <v>481</v>
      </c>
      <c r="P5" s="648" t="s">
        <v>482</v>
      </c>
      <c r="Q5" s="648" t="s">
        <v>483</v>
      </c>
      <c r="R5" s="648" t="s">
        <v>484</v>
      </c>
      <c r="S5" s="648" t="s">
        <v>485</v>
      </c>
      <c r="T5" s="648" t="s">
        <v>486</v>
      </c>
      <c r="U5" s="670"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26" customHeight="1" thickBot="1">
      <c r="A6" s="58" t="s">
        <v>501</v>
      </c>
      <c r="B6" s="655"/>
      <c r="C6" s="655"/>
      <c r="D6" s="638"/>
      <c r="E6" s="638"/>
      <c r="F6" s="487" t="s">
        <v>473</v>
      </c>
      <c r="G6" s="487" t="s">
        <v>474</v>
      </c>
      <c r="H6" s="638"/>
      <c r="I6" s="647"/>
      <c r="J6" s="649"/>
      <c r="K6" s="649"/>
      <c r="L6" s="649"/>
      <c r="M6" s="489" t="s">
        <v>3506</v>
      </c>
      <c r="N6" s="649"/>
      <c r="O6" s="649"/>
      <c r="P6" s="649"/>
      <c r="Q6" s="649"/>
      <c r="R6" s="649"/>
      <c r="S6" s="649"/>
      <c r="T6" s="649"/>
      <c r="U6" s="671"/>
      <c r="V6" s="649"/>
      <c r="W6" s="636"/>
      <c r="X6" s="636"/>
      <c r="Y6" s="636"/>
      <c r="Z6" s="641"/>
      <c r="AA6" s="636"/>
      <c r="AB6" s="636"/>
      <c r="AC6" s="636"/>
      <c r="AD6" s="636"/>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525">
        <f>ROW() - 6</f>
        <v>1</v>
      </c>
      <c r="B7" s="65"/>
      <c r="C7" s="65"/>
      <c r="D7" s="65"/>
      <c r="E7" s="65"/>
      <c r="F7" s="65"/>
      <c r="G7" s="65"/>
      <c r="H7" s="65"/>
      <c r="I7" s="65"/>
      <c r="J7" s="523" t="s">
        <v>503</v>
      </c>
      <c r="K7" s="65"/>
      <c r="L7" s="65"/>
      <c r="M7" s="65"/>
      <c r="N7" s="137"/>
      <c r="O7" s="137"/>
      <c r="P7" s="137"/>
      <c r="Q7" s="137"/>
      <c r="R7" s="137"/>
      <c r="S7" s="137"/>
      <c r="T7" s="137"/>
      <c r="U7" s="229"/>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526"/>
      <c r="AW7" s="18">
        <f>LEN(L7)</f>
        <v>0</v>
      </c>
    </row>
    <row r="8" spans="1:86" s="12" customFormat="1" ht="39.6">
      <c r="A8" s="40">
        <f t="shared" ref="A8:A31" si="0">ROW() - 6</f>
        <v>2</v>
      </c>
      <c r="B8" s="38"/>
      <c r="C8" s="41"/>
      <c r="D8" s="38"/>
      <c r="E8" s="38"/>
      <c r="F8" s="38"/>
      <c r="G8" s="38"/>
      <c r="H8" s="13"/>
      <c r="I8" s="40"/>
      <c r="J8" s="217" t="s">
        <v>1783</v>
      </c>
      <c r="K8" s="217" t="s">
        <v>79</v>
      </c>
      <c r="L8" s="239" t="s">
        <v>1784</v>
      </c>
      <c r="M8" s="239"/>
      <c r="N8" s="40" t="s">
        <v>1785</v>
      </c>
      <c r="O8" s="40"/>
      <c r="P8" s="40"/>
      <c r="Q8" s="40" t="s">
        <v>6</v>
      </c>
      <c r="R8" s="40" t="s">
        <v>6</v>
      </c>
      <c r="S8" s="40" t="s">
        <v>6</v>
      </c>
      <c r="T8" s="40" t="s">
        <v>6</v>
      </c>
      <c r="U8" s="218" t="s">
        <v>1676</v>
      </c>
      <c r="V8" s="59"/>
      <c r="W8" s="217" t="s">
        <v>79</v>
      </c>
      <c r="X8" s="13"/>
      <c r="Y8" s="13"/>
      <c r="Z8" s="40" t="s">
        <v>6</v>
      </c>
      <c r="AA8" s="40" t="s">
        <v>6</v>
      </c>
      <c r="AB8" s="40"/>
      <c r="AC8" s="40"/>
      <c r="AD8" s="40"/>
      <c r="AE8" s="217" t="s">
        <v>79</v>
      </c>
      <c r="AF8" s="13"/>
      <c r="AG8" s="13"/>
      <c r="AH8" s="40" t="s">
        <v>6</v>
      </c>
      <c r="AI8" s="40" t="s">
        <v>6</v>
      </c>
      <c r="AJ8" s="13"/>
      <c r="AK8" s="13"/>
      <c r="AL8" s="13"/>
      <c r="AM8" s="43" t="s">
        <v>1786</v>
      </c>
      <c r="AN8" s="19"/>
      <c r="AO8" s="37"/>
      <c r="AP8" s="37"/>
      <c r="AQ8" s="37"/>
      <c r="AR8" s="37"/>
      <c r="AS8" s="37"/>
      <c r="AT8" s="37"/>
      <c r="AU8" s="13"/>
      <c r="AV8" s="13"/>
      <c r="AW8" s="18">
        <f t="shared" ref="AW8:AW74" si="1">LEN(L8)</f>
        <v>19</v>
      </c>
    </row>
    <row r="9" spans="1:86" s="12" customFormat="1" ht="15">
      <c r="A9" s="415">
        <f t="shared" si="0"/>
        <v>3</v>
      </c>
      <c r="B9" s="33"/>
      <c r="C9" s="34"/>
      <c r="D9" s="33"/>
      <c r="E9" s="33"/>
      <c r="F9" s="33"/>
      <c r="G9" s="33"/>
      <c r="H9" s="414"/>
      <c r="I9" s="416"/>
      <c r="J9" s="217" t="s">
        <v>1787</v>
      </c>
      <c r="K9" s="217" t="s">
        <v>117</v>
      </c>
      <c r="L9" s="239" t="s">
        <v>1679</v>
      </c>
      <c r="M9" s="519"/>
      <c r="N9" s="416" t="s">
        <v>504</v>
      </c>
      <c r="O9" s="40"/>
      <c r="P9" s="40"/>
      <c r="Q9" s="40"/>
      <c r="R9" s="40" t="s">
        <v>6</v>
      </c>
      <c r="S9" s="40" t="s">
        <v>6</v>
      </c>
      <c r="T9" s="40" t="s">
        <v>6</v>
      </c>
      <c r="U9" s="202"/>
      <c r="V9" s="40"/>
      <c r="W9" s="217" t="s">
        <v>133</v>
      </c>
      <c r="X9" s="414"/>
      <c r="Y9" s="414"/>
      <c r="Z9" s="416" t="s">
        <v>6</v>
      </c>
      <c r="AA9" s="416" t="s">
        <v>6</v>
      </c>
      <c r="AB9" s="416"/>
      <c r="AC9" s="416"/>
      <c r="AD9" s="416"/>
      <c r="AE9" s="217" t="s">
        <v>133</v>
      </c>
      <c r="AF9" s="414"/>
      <c r="AG9" s="414"/>
      <c r="AH9" s="416" t="s">
        <v>6</v>
      </c>
      <c r="AI9" s="416" t="s">
        <v>6</v>
      </c>
      <c r="AJ9" s="414"/>
      <c r="AK9" s="414"/>
      <c r="AL9" s="414"/>
      <c r="AM9" s="36" t="s">
        <v>1786</v>
      </c>
      <c r="AN9" s="35"/>
      <c r="AO9" s="37"/>
      <c r="AP9" s="37"/>
      <c r="AQ9" s="37"/>
      <c r="AR9" s="37"/>
      <c r="AS9" s="37"/>
      <c r="AT9" s="37"/>
      <c r="AU9" s="13"/>
      <c r="AV9" s="414"/>
      <c r="AW9" s="18">
        <f t="shared" si="1"/>
        <v>17</v>
      </c>
    </row>
    <row r="10" spans="1:86" s="12" customFormat="1" ht="15">
      <c r="A10" s="40">
        <f t="shared" si="0"/>
        <v>4</v>
      </c>
      <c r="B10" s="38"/>
      <c r="C10" s="34"/>
      <c r="D10" s="33"/>
      <c r="E10" s="39"/>
      <c r="F10" s="39"/>
      <c r="G10" s="39"/>
      <c r="H10" s="414"/>
      <c r="I10" s="40"/>
      <c r="J10" s="217" t="s">
        <v>1788</v>
      </c>
      <c r="K10" s="412" t="s">
        <v>140</v>
      </c>
      <c r="L10" s="217" t="s">
        <v>1789</v>
      </c>
      <c r="M10" s="520"/>
      <c r="N10" s="416" t="s">
        <v>504</v>
      </c>
      <c r="O10" s="40"/>
      <c r="P10" s="40"/>
      <c r="Q10" s="40"/>
      <c r="R10" s="40" t="s">
        <v>6</v>
      </c>
      <c r="S10" s="40" t="s">
        <v>6</v>
      </c>
      <c r="T10" s="40" t="s">
        <v>6</v>
      </c>
      <c r="U10" s="201"/>
      <c r="V10" s="59"/>
      <c r="W10" s="412" t="s">
        <v>140</v>
      </c>
      <c r="X10" s="13"/>
      <c r="Y10" s="13"/>
      <c r="Z10" s="13"/>
      <c r="AA10" s="416" t="s">
        <v>6</v>
      </c>
      <c r="AB10" s="416"/>
      <c r="AC10" s="416"/>
      <c r="AD10" s="416"/>
      <c r="AE10" s="219" t="s">
        <v>61</v>
      </c>
      <c r="AF10" s="13"/>
      <c r="AG10" s="13"/>
      <c r="AH10" s="13"/>
      <c r="AI10" s="416" t="s">
        <v>6</v>
      </c>
      <c r="AJ10" s="414"/>
      <c r="AK10" s="414"/>
      <c r="AL10" s="414"/>
      <c r="AM10" s="36"/>
      <c r="AN10" s="35"/>
      <c r="AO10" s="37"/>
      <c r="AP10" s="37"/>
      <c r="AQ10" s="37"/>
      <c r="AR10" s="37"/>
      <c r="AS10" s="37"/>
      <c r="AT10" s="37"/>
      <c r="AU10" s="13"/>
      <c r="AV10" s="13"/>
      <c r="AW10" s="18">
        <f t="shared" si="1"/>
        <v>26</v>
      </c>
    </row>
    <row r="11" spans="1:86" s="12" customFormat="1" ht="15">
      <c r="A11" s="415">
        <f t="shared" si="0"/>
        <v>5</v>
      </c>
      <c r="B11" s="38"/>
      <c r="C11" s="34"/>
      <c r="D11" s="33"/>
      <c r="E11" s="39"/>
      <c r="F11" s="39"/>
      <c r="G11" s="39"/>
      <c r="H11" s="414"/>
      <c r="I11" s="40"/>
      <c r="J11" s="217" t="s">
        <v>1790</v>
      </c>
      <c r="K11" s="412" t="s">
        <v>140</v>
      </c>
      <c r="L11" s="217" t="s">
        <v>1791</v>
      </c>
      <c r="M11" s="520"/>
      <c r="N11" s="416" t="s">
        <v>504</v>
      </c>
      <c r="O11" s="40"/>
      <c r="P11" s="40"/>
      <c r="Q11" s="40" t="s">
        <v>6</v>
      </c>
      <c r="R11" s="40" t="s">
        <v>6</v>
      </c>
      <c r="S11" s="40" t="s">
        <v>6</v>
      </c>
      <c r="T11" s="40" t="s">
        <v>6</v>
      </c>
      <c r="U11" s="218" t="s">
        <v>1792</v>
      </c>
      <c r="V11" s="59"/>
      <c r="W11" s="412" t="s">
        <v>140</v>
      </c>
      <c r="X11" s="13"/>
      <c r="Y11" s="13"/>
      <c r="Z11" s="13"/>
      <c r="AA11" s="416" t="s">
        <v>6</v>
      </c>
      <c r="AB11" s="416"/>
      <c r="AC11" s="416"/>
      <c r="AD11" s="416"/>
      <c r="AE11" s="219" t="s">
        <v>61</v>
      </c>
      <c r="AF11" s="13"/>
      <c r="AG11" s="13"/>
      <c r="AH11" s="13"/>
      <c r="AI11" s="416" t="s">
        <v>6</v>
      </c>
      <c r="AJ11" s="414"/>
      <c r="AK11" s="414"/>
      <c r="AL11" s="414"/>
      <c r="AM11" s="36"/>
      <c r="AN11" s="35"/>
      <c r="AO11" s="37"/>
      <c r="AP11" s="37"/>
      <c r="AQ11" s="37"/>
      <c r="AR11" s="37"/>
      <c r="AS11" s="37"/>
      <c r="AT11" s="37"/>
      <c r="AU11" s="13"/>
      <c r="AV11" s="13"/>
      <c r="AW11" s="18">
        <f t="shared" si="1"/>
        <v>25</v>
      </c>
    </row>
    <row r="12" spans="1:86" s="12" customFormat="1" ht="26.4">
      <c r="A12" s="40">
        <f t="shared" si="0"/>
        <v>6</v>
      </c>
      <c r="B12" s="38"/>
      <c r="C12" s="34"/>
      <c r="D12" s="33"/>
      <c r="E12" s="39"/>
      <c r="F12" s="39"/>
      <c r="G12" s="39"/>
      <c r="H12" s="414"/>
      <c r="I12" s="40"/>
      <c r="J12" s="217" t="s">
        <v>1793</v>
      </c>
      <c r="K12" s="412" t="s">
        <v>140</v>
      </c>
      <c r="L12" s="217" t="s">
        <v>1794</v>
      </c>
      <c r="M12" s="520"/>
      <c r="N12" s="416" t="s">
        <v>504</v>
      </c>
      <c r="O12" s="40"/>
      <c r="P12" s="40"/>
      <c r="Q12" s="40" t="s">
        <v>6</v>
      </c>
      <c r="R12" s="40" t="s">
        <v>6</v>
      </c>
      <c r="S12" s="40" t="s">
        <v>6</v>
      </c>
      <c r="T12" s="40" t="s">
        <v>6</v>
      </c>
      <c r="U12" s="218" t="s">
        <v>1795</v>
      </c>
      <c r="V12" s="59"/>
      <c r="W12" s="412" t="s">
        <v>140</v>
      </c>
      <c r="X12" s="13"/>
      <c r="Y12" s="13"/>
      <c r="Z12" s="13"/>
      <c r="AA12" s="416" t="s">
        <v>6</v>
      </c>
      <c r="AB12" s="416"/>
      <c r="AC12" s="416"/>
      <c r="AD12" s="416"/>
      <c r="AE12" s="219" t="s">
        <v>61</v>
      </c>
      <c r="AF12" s="13"/>
      <c r="AG12" s="13"/>
      <c r="AH12" s="13"/>
      <c r="AI12" s="416" t="s">
        <v>6</v>
      </c>
      <c r="AJ12" s="414"/>
      <c r="AK12" s="414"/>
      <c r="AL12" s="414"/>
      <c r="AM12" s="36"/>
      <c r="AN12" s="35"/>
      <c r="AO12" s="37"/>
      <c r="AP12" s="37"/>
      <c r="AQ12" s="37"/>
      <c r="AR12" s="37"/>
      <c r="AS12" s="37"/>
      <c r="AT12" s="37"/>
      <c r="AU12" s="13"/>
      <c r="AV12" s="13"/>
      <c r="AW12" s="18">
        <f t="shared" si="1"/>
        <v>28</v>
      </c>
    </row>
    <row r="13" spans="1:86" s="12" customFormat="1" ht="26.4">
      <c r="A13" s="415">
        <f t="shared" si="0"/>
        <v>7</v>
      </c>
      <c r="B13" s="38"/>
      <c r="C13" s="41"/>
      <c r="D13" s="33"/>
      <c r="E13" s="39"/>
      <c r="F13" s="39"/>
      <c r="G13" s="39"/>
      <c r="H13" s="414"/>
      <c r="I13" s="40"/>
      <c r="J13" s="217" t="s">
        <v>1796</v>
      </c>
      <c r="K13" s="217" t="s">
        <v>117</v>
      </c>
      <c r="L13" s="412" t="s">
        <v>1746</v>
      </c>
      <c r="M13" s="472"/>
      <c r="N13" s="416" t="s">
        <v>504</v>
      </c>
      <c r="O13" s="40"/>
      <c r="P13" s="40"/>
      <c r="Q13" s="40" t="s">
        <v>6</v>
      </c>
      <c r="R13" s="40" t="s">
        <v>6</v>
      </c>
      <c r="S13" s="40" t="s">
        <v>6</v>
      </c>
      <c r="T13" s="40" t="s">
        <v>6</v>
      </c>
      <c r="U13" s="201" t="s">
        <v>1797</v>
      </c>
      <c r="V13" s="201"/>
      <c r="W13" s="203" t="s">
        <v>125</v>
      </c>
      <c r="X13" s="13"/>
      <c r="Y13" s="13"/>
      <c r="Z13" s="13"/>
      <c r="AA13" s="416" t="s">
        <v>6</v>
      </c>
      <c r="AB13" s="416"/>
      <c r="AC13" s="416"/>
      <c r="AD13" s="416"/>
      <c r="AE13" s="203" t="s">
        <v>125</v>
      </c>
      <c r="AF13" s="13"/>
      <c r="AG13" s="13"/>
      <c r="AH13" s="13"/>
      <c r="AI13" s="416" t="s">
        <v>6</v>
      </c>
      <c r="AJ13" s="414"/>
      <c r="AK13" s="414"/>
      <c r="AL13" s="414"/>
      <c r="AM13" s="36"/>
      <c r="AN13" s="35"/>
      <c r="AO13" s="37"/>
      <c r="AP13" s="37"/>
      <c r="AQ13" s="37"/>
      <c r="AR13" s="37"/>
      <c r="AS13" s="37"/>
      <c r="AT13" s="37"/>
      <c r="AU13" s="13"/>
      <c r="AV13" s="13"/>
      <c r="AW13" s="18">
        <f t="shared" si="1"/>
        <v>20</v>
      </c>
    </row>
    <row r="14" spans="1:86" s="14" customFormat="1" ht="118.8">
      <c r="A14" s="40">
        <f t="shared" si="0"/>
        <v>8</v>
      </c>
      <c r="B14" s="38"/>
      <c r="C14" s="42"/>
      <c r="D14" s="19"/>
      <c r="E14" s="19"/>
      <c r="F14" s="35"/>
      <c r="G14" s="35"/>
      <c r="H14" s="414"/>
      <c r="I14" s="13"/>
      <c r="J14" s="412" t="s">
        <v>1798</v>
      </c>
      <c r="K14" s="217" t="s">
        <v>117</v>
      </c>
      <c r="L14" s="215" t="s">
        <v>1746</v>
      </c>
      <c r="M14" s="509"/>
      <c r="N14" s="416" t="s">
        <v>504</v>
      </c>
      <c r="O14" s="40"/>
      <c r="P14" s="40"/>
      <c r="Q14" s="40" t="s">
        <v>6</v>
      </c>
      <c r="R14" s="40" t="s">
        <v>6</v>
      </c>
      <c r="S14" s="40" t="s">
        <v>6</v>
      </c>
      <c r="T14" s="40" t="s">
        <v>6</v>
      </c>
      <c r="U14" s="218" t="s">
        <v>1799</v>
      </c>
      <c r="V14" s="201"/>
      <c r="W14" s="203" t="s">
        <v>125</v>
      </c>
      <c r="X14" s="413"/>
      <c r="Y14" s="413"/>
      <c r="Z14" s="413"/>
      <c r="AA14" s="416" t="s">
        <v>6</v>
      </c>
      <c r="AB14" s="416"/>
      <c r="AC14" s="416"/>
      <c r="AD14" s="416"/>
      <c r="AE14" s="203" t="s">
        <v>125</v>
      </c>
      <c r="AF14" s="413"/>
      <c r="AG14" s="413"/>
      <c r="AH14" s="413"/>
      <c r="AI14" s="416" t="s">
        <v>6</v>
      </c>
      <c r="AJ14" s="413"/>
      <c r="AK14" s="415"/>
      <c r="AL14" s="415"/>
      <c r="AM14" s="43"/>
      <c r="AN14" s="44"/>
      <c r="AO14" s="13"/>
      <c r="AP14" s="13"/>
      <c r="AQ14" s="13"/>
      <c r="AR14" s="13"/>
      <c r="AS14" s="13"/>
      <c r="AT14" s="13"/>
      <c r="AU14" s="13"/>
      <c r="AV14" s="13"/>
      <c r="AW14" s="18">
        <f t="shared" ref="AW14" si="2">LEN(L14)</f>
        <v>20</v>
      </c>
    </row>
    <row r="15" spans="1:86" s="14" customFormat="1" ht="26.4">
      <c r="A15" s="415">
        <f t="shared" si="0"/>
        <v>9</v>
      </c>
      <c r="B15" s="38"/>
      <c r="C15" s="42"/>
      <c r="D15" s="19"/>
      <c r="E15" s="19"/>
      <c r="F15" s="35"/>
      <c r="G15" s="35"/>
      <c r="H15" s="414"/>
      <c r="I15" s="13"/>
      <c r="J15" s="217" t="s">
        <v>1800</v>
      </c>
      <c r="K15" s="217" t="s">
        <v>117</v>
      </c>
      <c r="L15" s="215" t="s">
        <v>1745</v>
      </c>
      <c r="M15" s="509"/>
      <c r="N15" s="416" t="s">
        <v>504</v>
      </c>
      <c r="O15" s="40"/>
      <c r="P15" s="40"/>
      <c r="Q15" s="40" t="s">
        <v>6</v>
      </c>
      <c r="R15" s="40" t="s">
        <v>6</v>
      </c>
      <c r="S15" s="40" t="s">
        <v>6</v>
      </c>
      <c r="T15" s="40" t="s">
        <v>6</v>
      </c>
      <c r="U15" s="201" t="s">
        <v>1801</v>
      </c>
      <c r="V15" s="201"/>
      <c r="W15" s="203" t="s">
        <v>125</v>
      </c>
      <c r="X15" s="413"/>
      <c r="Y15" s="413"/>
      <c r="Z15" s="413"/>
      <c r="AA15" s="416" t="s">
        <v>6</v>
      </c>
      <c r="AB15" s="416"/>
      <c r="AC15" s="416"/>
      <c r="AD15" s="416"/>
      <c r="AE15" s="203" t="s">
        <v>125</v>
      </c>
      <c r="AF15" s="413"/>
      <c r="AG15" s="413"/>
      <c r="AH15" s="413"/>
      <c r="AI15" s="416" t="s">
        <v>6</v>
      </c>
      <c r="AJ15" s="413"/>
      <c r="AK15" s="415"/>
      <c r="AL15" s="415"/>
      <c r="AM15" s="43"/>
      <c r="AN15" s="44"/>
      <c r="AO15" s="13"/>
      <c r="AP15" s="13"/>
      <c r="AQ15" s="13"/>
      <c r="AR15" s="13"/>
      <c r="AS15" s="13"/>
      <c r="AT15" s="13"/>
      <c r="AU15" s="13"/>
      <c r="AV15" s="13"/>
      <c r="AW15" s="18">
        <f t="shared" si="1"/>
        <v>26</v>
      </c>
    </row>
    <row r="16" spans="1:86" s="14" customFormat="1" ht="118.8">
      <c r="A16" s="40">
        <f t="shared" si="0"/>
        <v>10</v>
      </c>
      <c r="B16" s="38"/>
      <c r="C16" s="42"/>
      <c r="D16" s="19"/>
      <c r="E16" s="19"/>
      <c r="F16" s="35"/>
      <c r="G16" s="35"/>
      <c r="H16" s="414"/>
      <c r="I16" s="13"/>
      <c r="J16" s="217" t="s">
        <v>1802</v>
      </c>
      <c r="K16" s="217" t="s">
        <v>117</v>
      </c>
      <c r="L16" s="215" t="s">
        <v>1745</v>
      </c>
      <c r="M16" s="509"/>
      <c r="N16" s="416" t="s">
        <v>504</v>
      </c>
      <c r="O16" s="40"/>
      <c r="P16" s="40"/>
      <c r="Q16" s="40" t="s">
        <v>6</v>
      </c>
      <c r="R16" s="40" t="s">
        <v>6</v>
      </c>
      <c r="S16" s="40" t="s">
        <v>6</v>
      </c>
      <c r="T16" s="40" t="s">
        <v>6</v>
      </c>
      <c r="U16" s="218" t="s">
        <v>1799</v>
      </c>
      <c r="V16" s="201"/>
      <c r="W16" s="203" t="s">
        <v>125</v>
      </c>
      <c r="X16" s="413"/>
      <c r="Y16" s="413"/>
      <c r="Z16" s="413"/>
      <c r="AA16" s="416" t="s">
        <v>6</v>
      </c>
      <c r="AB16" s="416"/>
      <c r="AC16" s="416"/>
      <c r="AD16" s="416"/>
      <c r="AE16" s="203" t="s">
        <v>125</v>
      </c>
      <c r="AF16" s="413"/>
      <c r="AG16" s="413"/>
      <c r="AH16" s="413"/>
      <c r="AI16" s="416" t="s">
        <v>6</v>
      </c>
      <c r="AJ16" s="413"/>
      <c r="AK16" s="415"/>
      <c r="AL16" s="415"/>
      <c r="AM16" s="43"/>
      <c r="AN16" s="44"/>
      <c r="AO16" s="13"/>
      <c r="AP16" s="13"/>
      <c r="AQ16" s="13"/>
      <c r="AR16" s="13"/>
      <c r="AS16" s="13"/>
      <c r="AT16" s="13"/>
      <c r="AU16" s="13"/>
      <c r="AV16" s="13"/>
      <c r="AW16" s="18">
        <f t="shared" si="1"/>
        <v>26</v>
      </c>
    </row>
    <row r="17" spans="1:51" s="20" customFormat="1" ht="15">
      <c r="A17" s="415">
        <f t="shared" si="0"/>
        <v>11</v>
      </c>
      <c r="B17" s="59"/>
      <c r="C17" s="59"/>
      <c r="D17" s="59"/>
      <c r="E17" s="59"/>
      <c r="F17" s="59"/>
      <c r="G17" s="59"/>
      <c r="H17" s="59"/>
      <c r="I17" s="59"/>
      <c r="J17" s="215" t="s">
        <v>1803</v>
      </c>
      <c r="K17" s="217" t="s">
        <v>117</v>
      </c>
      <c r="L17" s="215" t="s">
        <v>1748</v>
      </c>
      <c r="M17" s="509"/>
      <c r="N17" s="416" t="s">
        <v>504</v>
      </c>
      <c r="O17" s="126"/>
      <c r="P17" s="126"/>
      <c r="Q17" s="126" t="s">
        <v>6</v>
      </c>
      <c r="R17" s="126" t="s">
        <v>6</v>
      </c>
      <c r="S17" s="126" t="s">
        <v>6</v>
      </c>
      <c r="T17" s="40" t="s">
        <v>6</v>
      </c>
      <c r="U17" s="218" t="s">
        <v>1749</v>
      </c>
      <c r="V17" s="218"/>
      <c r="W17" s="203" t="s">
        <v>125</v>
      </c>
      <c r="X17" s="59"/>
      <c r="Y17" s="59"/>
      <c r="Z17" s="61"/>
      <c r="AA17" s="61" t="s">
        <v>6</v>
      </c>
      <c r="AB17" s="61"/>
      <c r="AC17" s="61"/>
      <c r="AD17" s="61"/>
      <c r="AE17" s="203" t="s">
        <v>125</v>
      </c>
      <c r="AF17" s="59"/>
      <c r="AG17" s="59"/>
      <c r="AH17" s="61"/>
      <c r="AI17" s="61" t="s">
        <v>6</v>
      </c>
      <c r="AJ17" s="59"/>
      <c r="AK17" s="59"/>
      <c r="AL17" s="59"/>
      <c r="AM17" s="59"/>
      <c r="AN17" s="59"/>
      <c r="AO17" s="59"/>
      <c r="AP17" s="59"/>
      <c r="AQ17" s="59"/>
      <c r="AR17" s="59"/>
      <c r="AS17" s="59"/>
      <c r="AT17" s="59"/>
      <c r="AU17" s="59"/>
      <c r="AV17" s="59"/>
      <c r="AW17" s="18">
        <f>LEN(L17)</f>
        <v>16</v>
      </c>
    </row>
    <row r="18" spans="1:51" s="20" customFormat="1" ht="15">
      <c r="A18" s="40">
        <f t="shared" si="0"/>
        <v>12</v>
      </c>
      <c r="B18" s="59"/>
      <c r="C18" s="59"/>
      <c r="D18" s="59"/>
      <c r="E18" s="59"/>
      <c r="F18" s="59"/>
      <c r="G18" s="59"/>
      <c r="H18" s="59"/>
      <c r="I18" s="59"/>
      <c r="J18" s="215" t="s">
        <v>1804</v>
      </c>
      <c r="K18" s="217" t="s">
        <v>117</v>
      </c>
      <c r="L18" s="215" t="s">
        <v>1805</v>
      </c>
      <c r="M18" s="509"/>
      <c r="N18" s="416" t="s">
        <v>504</v>
      </c>
      <c r="O18" s="126"/>
      <c r="P18" s="126"/>
      <c r="Q18" s="126" t="s">
        <v>6</v>
      </c>
      <c r="R18" s="126" t="s">
        <v>6</v>
      </c>
      <c r="S18" s="126" t="s">
        <v>6</v>
      </c>
      <c r="T18" s="40" t="s">
        <v>6</v>
      </c>
      <c r="U18" s="218" t="s">
        <v>1806</v>
      </c>
      <c r="V18" s="218"/>
      <c r="W18" s="203" t="s">
        <v>125</v>
      </c>
      <c r="X18" s="59"/>
      <c r="Y18" s="59"/>
      <c r="Z18" s="61"/>
      <c r="AA18" s="61" t="s">
        <v>6</v>
      </c>
      <c r="AB18" s="61"/>
      <c r="AC18" s="61"/>
      <c r="AD18" s="61"/>
      <c r="AE18" s="203" t="s">
        <v>125</v>
      </c>
      <c r="AF18" s="59"/>
      <c r="AG18" s="59"/>
      <c r="AH18" s="61"/>
      <c r="AI18" s="61" t="s">
        <v>6</v>
      </c>
      <c r="AJ18" s="59"/>
      <c r="AK18" s="59"/>
      <c r="AL18" s="59"/>
      <c r="AM18" s="59"/>
      <c r="AN18" s="59"/>
      <c r="AO18" s="59"/>
      <c r="AP18" s="59"/>
      <c r="AQ18" s="59"/>
      <c r="AR18" s="59"/>
      <c r="AS18" s="59"/>
      <c r="AT18" s="59"/>
      <c r="AU18" s="59"/>
      <c r="AV18" s="59"/>
      <c r="AW18" s="18">
        <f t="shared" si="1"/>
        <v>30</v>
      </c>
    </row>
    <row r="19" spans="1:51" s="12" customFormat="1" ht="26.4">
      <c r="A19" s="415">
        <f t="shared" si="0"/>
        <v>13</v>
      </c>
      <c r="B19" s="19"/>
      <c r="C19" s="41"/>
      <c r="D19" s="19"/>
      <c r="E19" s="19"/>
      <c r="F19" s="19"/>
      <c r="G19" s="19"/>
      <c r="H19" s="13"/>
      <c r="I19" s="13"/>
      <c r="J19" s="217" t="s">
        <v>1807</v>
      </c>
      <c r="K19" s="217" t="s">
        <v>128</v>
      </c>
      <c r="L19" s="412" t="s">
        <v>1699</v>
      </c>
      <c r="M19" s="472"/>
      <c r="N19" s="416" t="s">
        <v>504</v>
      </c>
      <c r="O19" s="40"/>
      <c r="P19" s="40"/>
      <c r="Q19" s="126"/>
      <c r="R19" s="40" t="s">
        <v>6</v>
      </c>
      <c r="S19" s="126"/>
      <c r="T19" s="40" t="s">
        <v>6</v>
      </c>
      <c r="U19" s="218" t="s">
        <v>1808</v>
      </c>
      <c r="V19" s="218"/>
      <c r="W19" s="202" t="s">
        <v>133</v>
      </c>
      <c r="X19" s="415"/>
      <c r="Y19" s="413"/>
      <c r="Z19" s="45"/>
      <c r="AA19" s="416" t="s">
        <v>6</v>
      </c>
      <c r="AB19" s="416"/>
      <c r="AC19" s="416"/>
      <c r="AD19" s="416"/>
      <c r="AE19" s="219" t="s">
        <v>125</v>
      </c>
      <c r="AF19" s="415"/>
      <c r="AG19" s="413"/>
      <c r="AH19" s="45"/>
      <c r="AI19" s="416" t="s">
        <v>6</v>
      </c>
      <c r="AJ19" s="45"/>
      <c r="AK19" s="415"/>
      <c r="AL19" s="415"/>
      <c r="AM19" s="43"/>
      <c r="AN19" s="13"/>
      <c r="AO19" s="15"/>
      <c r="AP19" s="15"/>
      <c r="AQ19" s="15"/>
      <c r="AR19" s="15"/>
      <c r="AS19" s="15"/>
      <c r="AT19" s="15"/>
      <c r="AU19" s="13"/>
      <c r="AV19" s="15"/>
      <c r="AW19" s="18">
        <f>LEN(L19)</f>
        <v>23</v>
      </c>
      <c r="AX19" s="16"/>
      <c r="AY19" s="17"/>
    </row>
    <row r="20" spans="1:51" s="12" customFormat="1" ht="15">
      <c r="A20" s="40">
        <f t="shared" si="0"/>
        <v>14</v>
      </c>
      <c r="B20" s="19"/>
      <c r="C20" s="41"/>
      <c r="D20" s="19"/>
      <c r="E20" s="19"/>
      <c r="F20" s="19"/>
      <c r="G20" s="19"/>
      <c r="H20" s="13"/>
      <c r="I20" s="13"/>
      <c r="J20" s="217" t="s">
        <v>1809</v>
      </c>
      <c r="K20" s="217" t="s">
        <v>128</v>
      </c>
      <c r="L20" s="412" t="s">
        <v>1699</v>
      </c>
      <c r="M20" s="472"/>
      <c r="N20" s="416" t="s">
        <v>504</v>
      </c>
      <c r="O20" s="40"/>
      <c r="P20" s="40"/>
      <c r="Q20" s="126"/>
      <c r="R20" s="126"/>
      <c r="S20" s="40" t="s">
        <v>6</v>
      </c>
      <c r="T20" s="40" t="s">
        <v>6</v>
      </c>
      <c r="U20" s="201" t="s">
        <v>1759</v>
      </c>
      <c r="V20" s="218"/>
      <c r="W20" s="219" t="s">
        <v>125</v>
      </c>
      <c r="X20" s="415"/>
      <c r="Y20" s="413"/>
      <c r="Z20" s="45"/>
      <c r="AA20" s="416" t="s">
        <v>6</v>
      </c>
      <c r="AB20" s="416"/>
      <c r="AC20" s="416"/>
      <c r="AD20" s="416"/>
      <c r="AE20" s="219" t="s">
        <v>125</v>
      </c>
      <c r="AF20" s="415"/>
      <c r="AG20" s="413"/>
      <c r="AH20" s="45"/>
      <c r="AI20" s="416" t="s">
        <v>6</v>
      </c>
      <c r="AJ20" s="45"/>
      <c r="AK20" s="415"/>
      <c r="AL20" s="415"/>
      <c r="AM20" s="43"/>
      <c r="AN20" s="13"/>
      <c r="AO20" s="15"/>
      <c r="AP20" s="15"/>
      <c r="AQ20" s="15"/>
      <c r="AR20" s="15"/>
      <c r="AS20" s="15"/>
      <c r="AT20" s="15"/>
      <c r="AU20" s="13"/>
      <c r="AV20" s="15"/>
      <c r="AW20" s="18">
        <f t="shared" si="1"/>
        <v>23</v>
      </c>
      <c r="AX20" s="16"/>
      <c r="AY20" s="17"/>
    </row>
    <row r="21" spans="1:51" s="12" customFormat="1" ht="15">
      <c r="A21" s="415">
        <f t="shared" si="0"/>
        <v>15</v>
      </c>
      <c r="B21" s="38"/>
      <c r="C21" s="34"/>
      <c r="D21" s="33"/>
      <c r="E21" s="39"/>
      <c r="F21" s="39"/>
      <c r="G21" s="39"/>
      <c r="H21" s="414"/>
      <c r="I21" s="40"/>
      <c r="J21" s="217" t="s">
        <v>5148</v>
      </c>
      <c r="K21" s="412" t="s">
        <v>140</v>
      </c>
      <c r="L21" s="217" t="s">
        <v>5149</v>
      </c>
      <c r="M21" s="520"/>
      <c r="N21" s="416" t="s">
        <v>504</v>
      </c>
      <c r="O21" s="40"/>
      <c r="P21" s="40"/>
      <c r="Q21" s="40"/>
      <c r="R21" s="40" t="s">
        <v>6</v>
      </c>
      <c r="S21" s="40" t="s">
        <v>6</v>
      </c>
      <c r="T21" s="40"/>
      <c r="U21" s="201" t="s">
        <v>5150</v>
      </c>
      <c r="V21" s="521"/>
      <c r="W21" s="203" t="s">
        <v>61</v>
      </c>
      <c r="X21" s="13"/>
      <c r="Y21" s="13"/>
      <c r="Z21" s="13"/>
      <c r="AA21" s="416" t="s">
        <v>6</v>
      </c>
      <c r="AB21" s="416"/>
      <c r="AC21" s="416"/>
      <c r="AD21" s="416"/>
      <c r="AE21" s="203" t="s">
        <v>61</v>
      </c>
      <c r="AF21" s="13"/>
      <c r="AG21" s="13"/>
      <c r="AH21" s="13"/>
      <c r="AI21" s="416" t="s">
        <v>6</v>
      </c>
      <c r="AJ21" s="414"/>
      <c r="AK21" s="414"/>
      <c r="AL21" s="414"/>
      <c r="AM21" s="36"/>
      <c r="AN21" s="35"/>
      <c r="AO21" s="37"/>
      <c r="AP21" s="37"/>
      <c r="AQ21" s="37"/>
      <c r="AR21" s="37"/>
      <c r="AS21" s="37"/>
      <c r="AT21" s="37"/>
      <c r="AU21" s="13"/>
      <c r="AV21" s="13"/>
      <c r="AW21" s="18"/>
    </row>
    <row r="22" spans="1:51" s="12" customFormat="1" ht="15">
      <c r="A22" s="40">
        <f t="shared" si="0"/>
        <v>16</v>
      </c>
      <c r="B22" s="38"/>
      <c r="C22" s="34"/>
      <c r="D22" s="33"/>
      <c r="E22" s="39"/>
      <c r="F22" s="39"/>
      <c r="G22" s="39"/>
      <c r="H22" s="414"/>
      <c r="I22" s="40"/>
      <c r="J22" s="217" t="s">
        <v>5151</v>
      </c>
      <c r="K22" s="412" t="s">
        <v>140</v>
      </c>
      <c r="L22" s="217" t="s">
        <v>5152</v>
      </c>
      <c r="M22" s="520"/>
      <c r="N22" s="416" t="s">
        <v>504</v>
      </c>
      <c r="O22" s="40"/>
      <c r="P22" s="40"/>
      <c r="Q22" s="40"/>
      <c r="R22" s="40" t="s">
        <v>6</v>
      </c>
      <c r="S22" s="40" t="s">
        <v>6</v>
      </c>
      <c r="T22" s="40"/>
      <c r="U22" s="201" t="s">
        <v>5150</v>
      </c>
      <c r="V22" s="521"/>
      <c r="W22" s="203" t="s">
        <v>61</v>
      </c>
      <c r="X22" s="13"/>
      <c r="Y22" s="13"/>
      <c r="Z22" s="13"/>
      <c r="AA22" s="416" t="s">
        <v>6</v>
      </c>
      <c r="AB22" s="416"/>
      <c r="AC22" s="416"/>
      <c r="AD22" s="416"/>
      <c r="AE22" s="203" t="s">
        <v>61</v>
      </c>
      <c r="AF22" s="13"/>
      <c r="AG22" s="13"/>
      <c r="AH22" s="13"/>
      <c r="AI22" s="416" t="s">
        <v>6</v>
      </c>
      <c r="AJ22" s="414"/>
      <c r="AK22" s="414"/>
      <c r="AL22" s="414"/>
      <c r="AM22" s="36"/>
      <c r="AN22" s="35"/>
      <c r="AO22" s="37"/>
      <c r="AP22" s="37"/>
      <c r="AQ22" s="37"/>
      <c r="AR22" s="37"/>
      <c r="AS22" s="37"/>
      <c r="AT22" s="37"/>
      <c r="AU22" s="13"/>
      <c r="AV22" s="13"/>
      <c r="AW22" s="18"/>
    </row>
    <row r="23" spans="1:51" s="12" customFormat="1" ht="26.4">
      <c r="A23" s="415">
        <f t="shared" si="0"/>
        <v>17</v>
      </c>
      <c r="B23" s="38"/>
      <c r="C23" s="42"/>
      <c r="D23" s="19"/>
      <c r="E23" s="19"/>
      <c r="F23" s="35"/>
      <c r="G23" s="35"/>
      <c r="H23" s="414"/>
      <c r="I23" s="13"/>
      <c r="J23" s="217" t="s">
        <v>5153</v>
      </c>
      <c r="K23" s="217" t="s">
        <v>117</v>
      </c>
      <c r="L23" s="510" t="s">
        <v>5104</v>
      </c>
      <c r="M23" s="522"/>
      <c r="N23" s="416" t="s">
        <v>504</v>
      </c>
      <c r="O23" s="40"/>
      <c r="P23" s="40"/>
      <c r="Q23" s="40" t="s">
        <v>6</v>
      </c>
      <c r="R23" s="40" t="s">
        <v>6</v>
      </c>
      <c r="S23" s="40" t="s">
        <v>6</v>
      </c>
      <c r="T23" s="40"/>
      <c r="U23" s="201" t="s">
        <v>5154</v>
      </c>
      <c r="V23" s="201"/>
      <c r="W23" s="203" t="s">
        <v>125</v>
      </c>
      <c r="X23" s="413"/>
      <c r="Y23" s="413"/>
      <c r="Z23" s="413"/>
      <c r="AA23" s="416" t="s">
        <v>6</v>
      </c>
      <c r="AB23" s="416"/>
      <c r="AC23" s="416"/>
      <c r="AD23" s="416"/>
      <c r="AE23" s="203" t="s">
        <v>125</v>
      </c>
      <c r="AF23" s="413"/>
      <c r="AG23" s="413"/>
      <c r="AH23" s="413"/>
      <c r="AI23" s="416" t="s">
        <v>6</v>
      </c>
      <c r="AJ23" s="413"/>
      <c r="AK23" s="415"/>
      <c r="AL23" s="415"/>
      <c r="AM23" s="43"/>
      <c r="AN23" s="44"/>
      <c r="AO23" s="13"/>
      <c r="AP23" s="13"/>
      <c r="AQ23" s="13"/>
      <c r="AR23" s="13"/>
      <c r="AS23" s="13"/>
      <c r="AT23" s="13"/>
      <c r="AU23" s="13"/>
      <c r="AV23" s="13"/>
      <c r="AW23" s="18"/>
    </row>
    <row r="24" spans="1:51" s="12" customFormat="1" ht="26.4">
      <c r="A24" s="40">
        <f t="shared" si="0"/>
        <v>18</v>
      </c>
      <c r="B24" s="38"/>
      <c r="C24" s="42"/>
      <c r="D24" s="19"/>
      <c r="E24" s="19"/>
      <c r="F24" s="35"/>
      <c r="G24" s="35"/>
      <c r="H24" s="414"/>
      <c r="I24" s="13"/>
      <c r="J24" s="217" t="s">
        <v>5155</v>
      </c>
      <c r="K24" s="217" t="s">
        <v>117</v>
      </c>
      <c r="L24" s="510" t="s">
        <v>5156</v>
      </c>
      <c r="M24" s="522"/>
      <c r="N24" s="416" t="s">
        <v>504</v>
      </c>
      <c r="O24" s="40"/>
      <c r="P24" s="40"/>
      <c r="Q24" s="40" t="s">
        <v>6</v>
      </c>
      <c r="R24" s="40" t="s">
        <v>6</v>
      </c>
      <c r="S24" s="40" t="s">
        <v>6</v>
      </c>
      <c r="T24" s="40"/>
      <c r="U24" s="201" t="s">
        <v>5157</v>
      </c>
      <c r="V24" s="201"/>
      <c r="W24" s="203" t="s">
        <v>125</v>
      </c>
      <c r="X24" s="413"/>
      <c r="Y24" s="413"/>
      <c r="Z24" s="413"/>
      <c r="AA24" s="416" t="s">
        <v>6</v>
      </c>
      <c r="AB24" s="416"/>
      <c r="AC24" s="416"/>
      <c r="AD24" s="416"/>
      <c r="AE24" s="203" t="s">
        <v>125</v>
      </c>
      <c r="AF24" s="413"/>
      <c r="AG24" s="413"/>
      <c r="AH24" s="413"/>
      <c r="AI24" s="416" t="s">
        <v>6</v>
      </c>
      <c r="AJ24" s="413"/>
      <c r="AK24" s="415"/>
      <c r="AL24" s="415"/>
      <c r="AM24" s="43"/>
      <c r="AN24" s="44"/>
      <c r="AO24" s="13"/>
      <c r="AP24" s="13"/>
      <c r="AQ24" s="13"/>
      <c r="AR24" s="13"/>
      <c r="AS24" s="13"/>
      <c r="AT24" s="13"/>
      <c r="AU24" s="13"/>
      <c r="AV24" s="13"/>
      <c r="AW24" s="18"/>
    </row>
    <row r="25" spans="1:51" s="20" customFormat="1" ht="39.6">
      <c r="A25" s="415">
        <f t="shared" si="0"/>
        <v>19</v>
      </c>
      <c r="B25" s="19"/>
      <c r="C25" s="48"/>
      <c r="D25" s="19"/>
      <c r="E25" s="19"/>
      <c r="F25" s="19"/>
      <c r="G25" s="19"/>
      <c r="H25" s="13"/>
      <c r="I25" s="13"/>
      <c r="J25" s="215" t="s">
        <v>5158</v>
      </c>
      <c r="K25" s="217" t="s">
        <v>117</v>
      </c>
      <c r="L25" s="215" t="s">
        <v>5159</v>
      </c>
      <c r="M25" s="509"/>
      <c r="N25" s="416" t="s">
        <v>504</v>
      </c>
      <c r="O25" s="40"/>
      <c r="P25" s="40"/>
      <c r="Q25" s="126"/>
      <c r="R25" s="126" t="s">
        <v>6</v>
      </c>
      <c r="S25" s="126" t="s">
        <v>6</v>
      </c>
      <c r="T25" s="126"/>
      <c r="U25" s="201" t="s">
        <v>5160</v>
      </c>
      <c r="V25" s="201"/>
      <c r="W25" s="202" t="s">
        <v>133</v>
      </c>
      <c r="X25" s="43"/>
      <c r="Y25" s="13"/>
      <c r="Z25" s="61" t="s">
        <v>6</v>
      </c>
      <c r="AA25" s="61"/>
      <c r="AB25" s="61"/>
      <c r="AC25" s="61"/>
      <c r="AD25" s="61"/>
      <c r="AE25" s="202" t="s">
        <v>133</v>
      </c>
      <c r="AF25" s="43"/>
      <c r="AG25" s="13"/>
      <c r="AH25" s="61" t="s">
        <v>6</v>
      </c>
      <c r="AI25" s="61"/>
      <c r="AJ25" s="204"/>
      <c r="AK25" s="415"/>
      <c r="AL25" s="415"/>
      <c r="AM25" s="43"/>
      <c r="AN25" s="19"/>
      <c r="AO25" s="13"/>
      <c r="AP25" s="13"/>
      <c r="AQ25" s="13"/>
      <c r="AR25" s="13"/>
      <c r="AS25" s="13"/>
      <c r="AT25" s="13"/>
      <c r="AU25" s="15"/>
      <c r="AV25" s="15"/>
      <c r="AW25" s="18"/>
    </row>
    <row r="26" spans="1:51" s="20" customFormat="1" ht="15">
      <c r="A26" s="40">
        <f t="shared" si="0"/>
        <v>20</v>
      </c>
      <c r="B26" s="59"/>
      <c r="C26" s="59"/>
      <c r="D26" s="59"/>
      <c r="E26" s="59"/>
      <c r="F26" s="59"/>
      <c r="G26" s="59"/>
      <c r="H26" s="59"/>
      <c r="I26" s="59"/>
      <c r="J26" s="215" t="s">
        <v>5161</v>
      </c>
      <c r="K26" s="215" t="s">
        <v>125</v>
      </c>
      <c r="L26" s="204" t="s">
        <v>5112</v>
      </c>
      <c r="M26" s="204"/>
      <c r="N26" s="126" t="s">
        <v>504</v>
      </c>
      <c r="O26" s="126"/>
      <c r="P26" s="126"/>
      <c r="Q26" s="126"/>
      <c r="R26" s="126"/>
      <c r="S26" s="126" t="s">
        <v>6</v>
      </c>
      <c r="T26" s="40"/>
      <c r="U26" s="200" t="s">
        <v>5110</v>
      </c>
      <c r="V26" s="220"/>
      <c r="W26" s="215" t="s">
        <v>125</v>
      </c>
      <c r="X26" s="59"/>
      <c r="Y26" s="59"/>
      <c r="Z26" s="61"/>
      <c r="AA26" s="61" t="s">
        <v>6</v>
      </c>
      <c r="AB26" s="59"/>
      <c r="AC26" s="59"/>
      <c r="AD26" s="59"/>
      <c r="AE26" s="215" t="s">
        <v>125</v>
      </c>
      <c r="AF26" s="59"/>
      <c r="AG26" s="59"/>
      <c r="AH26" s="61"/>
      <c r="AI26" s="61" t="s">
        <v>6</v>
      </c>
      <c r="AJ26" s="59"/>
      <c r="AK26" s="59"/>
      <c r="AL26" s="59"/>
      <c r="AM26" s="59"/>
      <c r="AN26" s="59"/>
      <c r="AO26" s="59"/>
      <c r="AP26" s="59"/>
      <c r="AQ26" s="59"/>
      <c r="AR26" s="59"/>
      <c r="AS26" s="59"/>
      <c r="AT26" s="59"/>
      <c r="AU26" s="59"/>
      <c r="AV26" s="59"/>
      <c r="AW26" s="18"/>
    </row>
    <row r="27" spans="1:51" s="20" customFormat="1" ht="15">
      <c r="A27" s="415">
        <f t="shared" si="0"/>
        <v>21</v>
      </c>
      <c r="B27" s="59"/>
      <c r="C27" s="59"/>
      <c r="D27" s="59"/>
      <c r="E27" s="59"/>
      <c r="F27" s="59"/>
      <c r="G27" s="59"/>
      <c r="H27" s="59"/>
      <c r="I27" s="59"/>
      <c r="J27" s="215" t="s">
        <v>5162</v>
      </c>
      <c r="K27" s="215" t="s">
        <v>125</v>
      </c>
      <c r="L27" s="204" t="s">
        <v>5118</v>
      </c>
      <c r="M27" s="204"/>
      <c r="N27" s="126" t="s">
        <v>504</v>
      </c>
      <c r="O27" s="126"/>
      <c r="P27" s="126"/>
      <c r="Q27" s="126"/>
      <c r="R27" s="126"/>
      <c r="S27" s="126" t="s">
        <v>6</v>
      </c>
      <c r="T27" s="40"/>
      <c r="U27" s="200" t="s">
        <v>5110</v>
      </c>
      <c r="V27" s="220"/>
      <c r="W27" s="215" t="s">
        <v>125</v>
      </c>
      <c r="X27" s="59"/>
      <c r="Y27" s="59"/>
      <c r="Z27" s="61"/>
      <c r="AA27" s="61" t="s">
        <v>6</v>
      </c>
      <c r="AB27" s="59"/>
      <c r="AC27" s="59"/>
      <c r="AD27" s="59"/>
      <c r="AE27" s="215" t="s">
        <v>125</v>
      </c>
      <c r="AF27" s="59"/>
      <c r="AG27" s="59"/>
      <c r="AH27" s="61"/>
      <c r="AI27" s="61" t="s">
        <v>6</v>
      </c>
      <c r="AJ27" s="59"/>
      <c r="AK27" s="59"/>
      <c r="AL27" s="59"/>
      <c r="AM27" s="59"/>
      <c r="AN27" s="59"/>
      <c r="AO27" s="59"/>
      <c r="AP27" s="59"/>
      <c r="AQ27" s="59"/>
      <c r="AR27" s="59"/>
      <c r="AS27" s="59"/>
      <c r="AT27" s="59"/>
      <c r="AU27" s="59"/>
      <c r="AV27" s="59"/>
      <c r="AW27" s="18"/>
    </row>
    <row r="28" spans="1:51" ht="15">
      <c r="A28" s="451">
        <f t="shared" si="0"/>
        <v>22</v>
      </c>
      <c r="B28" s="62"/>
      <c r="C28" s="62"/>
      <c r="D28" s="62"/>
      <c r="E28" s="62"/>
      <c r="F28" s="62"/>
      <c r="G28" s="62"/>
      <c r="H28" s="62"/>
      <c r="I28" s="62"/>
      <c r="J28" s="499" t="s">
        <v>858</v>
      </c>
      <c r="K28" s="63"/>
      <c r="L28" s="63"/>
      <c r="M28" s="63"/>
      <c r="N28" s="139"/>
      <c r="O28" s="139"/>
      <c r="P28" s="139"/>
      <c r="Q28" s="139"/>
      <c r="R28" s="139"/>
      <c r="S28" s="139"/>
      <c r="T28" s="139"/>
      <c r="U28" s="354"/>
      <c r="V28" s="311"/>
      <c r="W28" s="63"/>
      <c r="X28" s="63"/>
      <c r="Y28" s="63"/>
      <c r="Z28" s="63"/>
      <c r="AA28" s="63"/>
      <c r="AB28" s="63"/>
      <c r="AC28" s="63"/>
      <c r="AD28" s="63"/>
      <c r="AE28" s="63"/>
      <c r="AF28" s="63"/>
      <c r="AG28" s="63"/>
      <c r="AH28" s="63"/>
      <c r="AI28" s="63"/>
      <c r="AJ28" s="312"/>
      <c r="AK28" s="63"/>
      <c r="AL28" s="63"/>
      <c r="AM28" s="63"/>
      <c r="AN28" s="63"/>
      <c r="AO28" s="63"/>
      <c r="AP28" s="63"/>
      <c r="AQ28" s="63"/>
      <c r="AR28" s="63"/>
      <c r="AS28" s="63"/>
      <c r="AT28" s="63"/>
      <c r="AU28" s="63"/>
      <c r="AV28" s="63"/>
      <c r="AW28" s="18">
        <f t="shared" si="1"/>
        <v>0</v>
      </c>
    </row>
    <row r="29" spans="1:51" s="20" customFormat="1" ht="15">
      <c r="A29" s="415">
        <f t="shared" si="0"/>
        <v>23</v>
      </c>
      <c r="B29" s="59"/>
      <c r="C29" s="59"/>
      <c r="D29" s="59"/>
      <c r="E29" s="59"/>
      <c r="F29" s="59"/>
      <c r="G29" s="59"/>
      <c r="H29" s="59"/>
      <c r="I29" s="59"/>
      <c r="J29" s="215" t="s">
        <v>1783</v>
      </c>
      <c r="K29" s="215"/>
      <c r="L29" s="239" t="s">
        <v>1784</v>
      </c>
      <c r="M29" s="239"/>
      <c r="N29" s="126" t="s">
        <v>221</v>
      </c>
      <c r="O29" s="202" t="s">
        <v>861</v>
      </c>
      <c r="P29" s="126"/>
      <c r="Q29" s="40" t="s">
        <v>6</v>
      </c>
      <c r="R29" s="126"/>
      <c r="S29" s="126"/>
      <c r="T29" s="416" t="s">
        <v>6</v>
      </c>
      <c r="U29" s="201"/>
      <c r="V29" s="59"/>
      <c r="W29" s="215"/>
      <c r="X29" s="202" t="s">
        <v>861</v>
      </c>
      <c r="Y29" s="59"/>
      <c r="Z29" s="59"/>
      <c r="AA29" s="13"/>
      <c r="AB29" s="13"/>
      <c r="AC29" s="13"/>
      <c r="AD29" s="13"/>
      <c r="AE29" s="215"/>
      <c r="AF29" s="202" t="s">
        <v>861</v>
      </c>
      <c r="AG29" s="59"/>
      <c r="AH29" s="59"/>
      <c r="AI29" s="13"/>
      <c r="AJ29" s="59"/>
      <c r="AK29" s="59"/>
      <c r="AL29" s="59"/>
      <c r="AM29" s="59"/>
      <c r="AN29" s="59"/>
      <c r="AO29" s="59"/>
      <c r="AP29" s="59"/>
      <c r="AQ29" s="59"/>
      <c r="AR29" s="59"/>
      <c r="AS29" s="59"/>
      <c r="AT29" s="59"/>
      <c r="AU29" s="59"/>
      <c r="AV29" s="59"/>
      <c r="AW29" s="18">
        <f t="shared" si="1"/>
        <v>19</v>
      </c>
    </row>
    <row r="30" spans="1:51" s="20" customFormat="1" ht="15">
      <c r="A30" s="40">
        <f t="shared" si="0"/>
        <v>24</v>
      </c>
      <c r="B30" s="59"/>
      <c r="C30" s="59"/>
      <c r="D30" s="59"/>
      <c r="E30" s="59"/>
      <c r="F30" s="59"/>
      <c r="G30" s="59"/>
      <c r="H30" s="59"/>
      <c r="I30" s="59"/>
      <c r="J30" s="215" t="s">
        <v>5163</v>
      </c>
      <c r="K30" s="59"/>
      <c r="L30" s="215" t="s">
        <v>5164</v>
      </c>
      <c r="M30" s="215"/>
      <c r="N30" s="126"/>
      <c r="O30" s="202" t="s">
        <v>861</v>
      </c>
      <c r="P30" s="126"/>
      <c r="Q30" s="126"/>
      <c r="R30" s="126"/>
      <c r="S30" s="126"/>
      <c r="T30" s="416"/>
      <c r="U30" s="201" t="s">
        <v>5165</v>
      </c>
      <c r="V30" s="59"/>
      <c r="W30" s="59"/>
      <c r="X30" s="202" t="s">
        <v>861</v>
      </c>
      <c r="Y30" s="59"/>
      <c r="Z30" s="59"/>
      <c r="AA30" s="13"/>
      <c r="AB30" s="13"/>
      <c r="AC30" s="13"/>
      <c r="AD30" s="13"/>
      <c r="AE30" s="59"/>
      <c r="AF30" s="202" t="s">
        <v>861</v>
      </c>
      <c r="AG30" s="59"/>
      <c r="AH30" s="59"/>
      <c r="AI30" s="13"/>
      <c r="AJ30" s="59"/>
      <c r="AK30" s="59"/>
      <c r="AL30" s="59"/>
      <c r="AM30" s="59"/>
      <c r="AN30" s="59"/>
      <c r="AO30" s="59"/>
      <c r="AP30" s="59"/>
      <c r="AQ30" s="59"/>
      <c r="AR30" s="59"/>
      <c r="AS30" s="59"/>
      <c r="AT30" s="59"/>
      <c r="AU30" s="59"/>
      <c r="AV30" s="59"/>
      <c r="AW30" s="18"/>
    </row>
    <row r="31" spans="1:51" s="20" customFormat="1" ht="26.4">
      <c r="A31" s="40">
        <f t="shared" si="0"/>
        <v>25</v>
      </c>
      <c r="B31" s="59"/>
      <c r="C31" s="59"/>
      <c r="D31" s="59"/>
      <c r="E31" s="59"/>
      <c r="F31" s="59"/>
      <c r="G31" s="59"/>
      <c r="H31" s="59"/>
      <c r="I31" s="59"/>
      <c r="J31" s="215" t="s">
        <v>5166</v>
      </c>
      <c r="K31" s="59"/>
      <c r="L31" s="215" t="s">
        <v>5167</v>
      </c>
      <c r="M31" s="215"/>
      <c r="N31" s="126"/>
      <c r="O31" s="202" t="s">
        <v>861</v>
      </c>
      <c r="P31" s="126"/>
      <c r="Q31" s="126"/>
      <c r="R31" s="126"/>
      <c r="S31" s="126"/>
      <c r="T31" s="126"/>
      <c r="U31" s="201" t="s">
        <v>5168</v>
      </c>
      <c r="V31" s="219"/>
      <c r="W31" s="59"/>
      <c r="X31" s="202" t="s">
        <v>861</v>
      </c>
      <c r="Y31" s="59"/>
      <c r="Z31" s="59"/>
      <c r="AA31" s="13"/>
      <c r="AB31" s="13"/>
      <c r="AC31" s="13"/>
      <c r="AD31" s="13"/>
      <c r="AE31" s="59"/>
      <c r="AF31" s="202" t="s">
        <v>861</v>
      </c>
      <c r="AG31" s="59"/>
      <c r="AH31" s="59"/>
      <c r="AI31" s="13"/>
      <c r="AJ31" s="59"/>
      <c r="AK31" s="59"/>
      <c r="AL31" s="59"/>
      <c r="AM31" s="59"/>
      <c r="AN31" s="59"/>
      <c r="AO31" s="59"/>
      <c r="AP31" s="59"/>
      <c r="AQ31" s="59"/>
      <c r="AR31" s="59"/>
      <c r="AS31" s="59"/>
      <c r="AT31" s="59"/>
      <c r="AU31" s="59"/>
      <c r="AV31" s="59"/>
      <c r="AW31" s="18"/>
    </row>
    <row r="32" spans="1:51" ht="15">
      <c r="J32" s="398"/>
      <c r="K32" s="54"/>
      <c r="L32" s="398"/>
      <c r="M32" s="491"/>
      <c r="N32" s="68"/>
      <c r="O32" s="68"/>
      <c r="P32" s="68"/>
      <c r="Q32" s="68"/>
      <c r="R32" s="68"/>
      <c r="S32" s="68"/>
      <c r="T32" s="68"/>
      <c r="U32" s="162"/>
      <c r="V32" s="54"/>
      <c r="W32" s="54"/>
      <c r="X32" s="54"/>
      <c r="Y32" s="54"/>
      <c r="Z32" s="54"/>
      <c r="AA32" s="55"/>
      <c r="AB32" s="55"/>
      <c r="AC32" s="55"/>
      <c r="AD32" s="55"/>
      <c r="AE32" s="54"/>
      <c r="AF32" s="54"/>
      <c r="AG32" s="54"/>
      <c r="AH32" s="54"/>
      <c r="AI32" s="55"/>
      <c r="AJ32" s="54"/>
      <c r="AW32" s="18">
        <f t="shared" si="1"/>
        <v>0</v>
      </c>
    </row>
    <row r="33" spans="10:49" ht="15">
      <c r="J33" s="398"/>
      <c r="K33" s="54"/>
      <c r="L33" s="398"/>
      <c r="M33" s="491"/>
      <c r="N33" s="68"/>
      <c r="O33" s="68"/>
      <c r="P33" s="68"/>
      <c r="Q33" s="68"/>
      <c r="R33" s="68"/>
      <c r="S33" s="68"/>
      <c r="T33" s="68"/>
      <c r="U33" s="162"/>
      <c r="V33" s="54"/>
      <c r="W33" s="54"/>
      <c r="X33" s="54"/>
      <c r="Y33" s="54"/>
      <c r="Z33" s="54"/>
      <c r="AA33" s="55"/>
      <c r="AB33" s="55"/>
      <c r="AC33" s="55"/>
      <c r="AD33" s="55"/>
      <c r="AE33" s="54"/>
      <c r="AF33" s="54"/>
      <c r="AG33" s="54"/>
      <c r="AH33" s="54"/>
      <c r="AI33" s="55"/>
      <c r="AJ33" s="54"/>
      <c r="AW33" s="18">
        <f t="shared" si="1"/>
        <v>0</v>
      </c>
    </row>
    <row r="34" spans="10:49" ht="15">
      <c r="J34" s="398"/>
      <c r="K34" s="54"/>
      <c r="L34" s="398"/>
      <c r="M34" s="491"/>
      <c r="N34" s="68"/>
      <c r="O34" s="68"/>
      <c r="P34" s="68"/>
      <c r="Q34" s="68"/>
      <c r="R34" s="68"/>
      <c r="S34" s="68"/>
      <c r="T34" s="68"/>
      <c r="U34" s="162"/>
      <c r="V34" s="54"/>
      <c r="W34" s="54"/>
      <c r="X34" s="54"/>
      <c r="Y34" s="54"/>
      <c r="Z34" s="54"/>
      <c r="AA34" s="55"/>
      <c r="AB34" s="55"/>
      <c r="AC34" s="55"/>
      <c r="AD34" s="55"/>
      <c r="AE34" s="54"/>
      <c r="AF34" s="54"/>
      <c r="AG34" s="54"/>
      <c r="AH34" s="54"/>
      <c r="AI34" s="55"/>
      <c r="AJ34" s="54"/>
      <c r="AW34" s="18">
        <f t="shared" si="1"/>
        <v>0</v>
      </c>
    </row>
    <row r="35" spans="10:49" ht="15">
      <c r="J35" s="398"/>
      <c r="K35" s="54"/>
      <c r="L35" s="398"/>
      <c r="M35" s="491"/>
      <c r="N35" s="68"/>
      <c r="O35" s="68"/>
      <c r="P35" s="68"/>
      <c r="Q35" s="68"/>
      <c r="R35" s="68"/>
      <c r="S35" s="68"/>
      <c r="T35" s="68"/>
      <c r="U35" s="162"/>
      <c r="V35" s="54"/>
      <c r="W35" s="54"/>
      <c r="X35" s="54"/>
      <c r="Y35" s="54"/>
      <c r="Z35" s="54"/>
      <c r="AA35" s="55"/>
      <c r="AB35" s="55"/>
      <c r="AC35" s="55"/>
      <c r="AD35" s="55"/>
      <c r="AE35" s="54"/>
      <c r="AF35" s="54"/>
      <c r="AG35" s="54"/>
      <c r="AH35" s="54"/>
      <c r="AI35" s="55"/>
      <c r="AJ35" s="54"/>
      <c r="AW35" s="18">
        <f t="shared" si="1"/>
        <v>0</v>
      </c>
    </row>
    <row r="36" spans="10:49" ht="15">
      <c r="J36" s="398"/>
      <c r="K36" s="54"/>
      <c r="L36" s="398"/>
      <c r="M36" s="491"/>
      <c r="N36" s="68"/>
      <c r="O36" s="68"/>
      <c r="P36" s="68"/>
      <c r="Q36" s="68"/>
      <c r="R36" s="68"/>
      <c r="S36" s="68"/>
      <c r="T36" s="68"/>
      <c r="U36" s="162"/>
      <c r="V36" s="54"/>
      <c r="W36" s="54"/>
      <c r="X36" s="54"/>
      <c r="Y36" s="54"/>
      <c r="Z36" s="54"/>
      <c r="AA36" s="55"/>
      <c r="AB36" s="55"/>
      <c r="AC36" s="55"/>
      <c r="AD36" s="55"/>
      <c r="AE36" s="54"/>
      <c r="AF36" s="54"/>
      <c r="AG36" s="54"/>
      <c r="AH36" s="54"/>
      <c r="AI36" s="55"/>
      <c r="AJ36" s="54"/>
      <c r="AW36" s="18">
        <f t="shared" si="1"/>
        <v>0</v>
      </c>
    </row>
    <row r="37" spans="10:49" ht="15">
      <c r="J37" s="398"/>
      <c r="K37" s="54"/>
      <c r="L37" s="398"/>
      <c r="M37" s="491"/>
      <c r="N37" s="68"/>
      <c r="O37" s="68"/>
      <c r="P37" s="68"/>
      <c r="Q37" s="68"/>
      <c r="R37" s="68"/>
      <c r="S37" s="68"/>
      <c r="T37" s="68"/>
      <c r="U37" s="162"/>
      <c r="V37" s="54"/>
      <c r="W37" s="54"/>
      <c r="X37" s="54"/>
      <c r="Y37" s="54"/>
      <c r="Z37" s="54"/>
      <c r="AA37" s="55"/>
      <c r="AB37" s="55"/>
      <c r="AC37" s="55"/>
      <c r="AD37" s="55"/>
      <c r="AE37" s="54"/>
      <c r="AF37" s="54"/>
      <c r="AG37" s="54"/>
      <c r="AH37" s="54"/>
      <c r="AI37" s="55"/>
      <c r="AJ37" s="54"/>
      <c r="AW37" s="18">
        <f t="shared" si="1"/>
        <v>0</v>
      </c>
    </row>
    <row r="38" spans="10:49" ht="15">
      <c r="J38" s="398"/>
      <c r="K38" s="54"/>
      <c r="L38" s="398"/>
      <c r="M38" s="491"/>
      <c r="N38" s="68"/>
      <c r="O38" s="68"/>
      <c r="P38" s="68"/>
      <c r="Q38" s="68"/>
      <c r="R38" s="68"/>
      <c r="S38" s="68"/>
      <c r="T38" s="68"/>
      <c r="U38" s="162"/>
      <c r="V38" s="54"/>
      <c r="W38" s="54"/>
      <c r="X38" s="54"/>
      <c r="Y38" s="54"/>
      <c r="Z38" s="54"/>
      <c r="AA38" s="55"/>
      <c r="AB38" s="55"/>
      <c r="AC38" s="55"/>
      <c r="AD38" s="55"/>
      <c r="AE38" s="54"/>
      <c r="AF38" s="54"/>
      <c r="AG38" s="54"/>
      <c r="AH38" s="54"/>
      <c r="AI38" s="55"/>
      <c r="AJ38" s="54"/>
      <c r="AW38" s="18">
        <f t="shared" si="1"/>
        <v>0</v>
      </c>
    </row>
    <row r="39" spans="10:49" ht="15">
      <c r="J39" s="398"/>
      <c r="K39" s="54"/>
      <c r="L39" s="398"/>
      <c r="M39" s="491"/>
      <c r="N39" s="68"/>
      <c r="O39" s="68"/>
      <c r="P39" s="68"/>
      <c r="Q39" s="68"/>
      <c r="R39" s="68"/>
      <c r="S39" s="68"/>
      <c r="T39" s="68"/>
      <c r="U39" s="162"/>
      <c r="V39" s="54"/>
      <c r="W39" s="54"/>
      <c r="X39" s="54"/>
      <c r="Y39" s="54"/>
      <c r="Z39" s="54"/>
      <c r="AA39" s="55"/>
      <c r="AB39" s="55"/>
      <c r="AC39" s="55"/>
      <c r="AD39" s="55"/>
      <c r="AE39" s="54"/>
      <c r="AF39" s="54"/>
      <c r="AG39" s="54"/>
      <c r="AH39" s="54"/>
      <c r="AI39" s="55"/>
      <c r="AJ39" s="54"/>
      <c r="AW39" s="18">
        <f t="shared" si="1"/>
        <v>0</v>
      </c>
    </row>
    <row r="40" spans="10:49" ht="15">
      <c r="J40" s="398"/>
      <c r="K40" s="54"/>
      <c r="L40" s="398"/>
      <c r="M40" s="491"/>
      <c r="N40" s="68"/>
      <c r="O40" s="68"/>
      <c r="P40" s="68"/>
      <c r="Q40" s="68"/>
      <c r="R40" s="68"/>
      <c r="S40" s="68"/>
      <c r="T40" s="68"/>
      <c r="U40" s="162"/>
      <c r="V40" s="54"/>
      <c r="W40" s="54"/>
      <c r="X40" s="54"/>
      <c r="Y40" s="54"/>
      <c r="Z40" s="54"/>
      <c r="AA40" s="55"/>
      <c r="AB40" s="55"/>
      <c r="AC40" s="55"/>
      <c r="AD40" s="55"/>
      <c r="AE40" s="54"/>
      <c r="AF40" s="54"/>
      <c r="AG40" s="54"/>
      <c r="AH40" s="54"/>
      <c r="AI40" s="55"/>
      <c r="AJ40" s="54"/>
      <c r="AW40" s="18">
        <f t="shared" si="1"/>
        <v>0</v>
      </c>
    </row>
    <row r="41" spans="10:49" ht="15">
      <c r="J41" s="398"/>
      <c r="K41" s="54"/>
      <c r="L41" s="398"/>
      <c r="M41" s="491"/>
      <c r="N41" s="68"/>
      <c r="O41" s="68"/>
      <c r="P41" s="68"/>
      <c r="Q41" s="68"/>
      <c r="R41" s="68"/>
      <c r="S41" s="68"/>
      <c r="T41" s="68"/>
      <c r="U41" s="162"/>
      <c r="V41" s="54"/>
      <c r="W41" s="54"/>
      <c r="X41" s="54"/>
      <c r="Y41" s="54"/>
      <c r="Z41" s="54"/>
      <c r="AA41" s="55"/>
      <c r="AB41" s="55"/>
      <c r="AC41" s="55"/>
      <c r="AD41" s="55"/>
      <c r="AE41" s="54"/>
      <c r="AF41" s="54"/>
      <c r="AG41" s="54"/>
      <c r="AH41" s="54"/>
      <c r="AI41" s="55"/>
      <c r="AJ41" s="54"/>
      <c r="AW41" s="18">
        <f t="shared" si="1"/>
        <v>0</v>
      </c>
    </row>
    <row r="42" spans="10:49" ht="15">
      <c r="J42" s="398"/>
      <c r="K42" s="54"/>
      <c r="L42" s="398"/>
      <c r="M42" s="491"/>
      <c r="N42" s="68"/>
      <c r="O42" s="68"/>
      <c r="P42" s="68"/>
      <c r="Q42" s="68"/>
      <c r="R42" s="68"/>
      <c r="S42" s="68"/>
      <c r="T42" s="68"/>
      <c r="U42" s="162"/>
      <c r="V42" s="54"/>
      <c r="W42" s="54"/>
      <c r="X42" s="54"/>
      <c r="Y42" s="54"/>
      <c r="Z42" s="54"/>
      <c r="AA42" s="55"/>
      <c r="AB42" s="55"/>
      <c r="AC42" s="55"/>
      <c r="AD42" s="55"/>
      <c r="AE42" s="54"/>
      <c r="AF42" s="54"/>
      <c r="AG42" s="54"/>
      <c r="AH42" s="54"/>
      <c r="AI42" s="55"/>
      <c r="AJ42" s="54"/>
      <c r="AW42" s="18">
        <f t="shared" si="1"/>
        <v>0</v>
      </c>
    </row>
    <row r="43" spans="10:49" ht="15">
      <c r="J43" s="398"/>
      <c r="K43" s="54"/>
      <c r="L43" s="398"/>
      <c r="M43" s="491"/>
      <c r="N43" s="68"/>
      <c r="O43" s="68"/>
      <c r="P43" s="68"/>
      <c r="Q43" s="68"/>
      <c r="R43" s="68"/>
      <c r="S43" s="68"/>
      <c r="T43" s="68"/>
      <c r="U43" s="162"/>
      <c r="V43" s="54"/>
      <c r="W43" s="54"/>
      <c r="X43" s="54"/>
      <c r="Y43" s="54"/>
      <c r="Z43" s="54"/>
      <c r="AA43" s="55"/>
      <c r="AB43" s="55"/>
      <c r="AC43" s="55"/>
      <c r="AD43" s="55"/>
      <c r="AE43" s="54"/>
      <c r="AF43" s="54"/>
      <c r="AG43" s="54"/>
      <c r="AH43" s="54"/>
      <c r="AI43" s="55"/>
      <c r="AJ43" s="54"/>
      <c r="AW43" s="18">
        <f t="shared" si="1"/>
        <v>0</v>
      </c>
    </row>
    <row r="44" spans="10:49" ht="15">
      <c r="J44" s="398"/>
      <c r="K44" s="54"/>
      <c r="L44" s="398"/>
      <c r="M44" s="491"/>
      <c r="N44" s="68"/>
      <c r="O44" s="68"/>
      <c r="P44" s="68"/>
      <c r="Q44" s="68"/>
      <c r="R44" s="68"/>
      <c r="S44" s="68"/>
      <c r="T44" s="68"/>
      <c r="U44" s="162"/>
      <c r="V44" s="54"/>
      <c r="W44" s="54"/>
      <c r="X44" s="54"/>
      <c r="Y44" s="54"/>
      <c r="Z44" s="54"/>
      <c r="AA44" s="55"/>
      <c r="AB44" s="55"/>
      <c r="AC44" s="55"/>
      <c r="AD44" s="55"/>
      <c r="AE44" s="54"/>
      <c r="AF44" s="54"/>
      <c r="AG44" s="54"/>
      <c r="AH44" s="54"/>
      <c r="AI44" s="55"/>
      <c r="AJ44" s="54"/>
      <c r="AW44" s="18">
        <f t="shared" si="1"/>
        <v>0</v>
      </c>
    </row>
    <row r="45" spans="10:49" ht="15">
      <c r="J45" s="398"/>
      <c r="K45" s="54"/>
      <c r="L45" s="398"/>
      <c r="M45" s="491"/>
      <c r="N45" s="68"/>
      <c r="O45" s="68"/>
      <c r="P45" s="68"/>
      <c r="Q45" s="68"/>
      <c r="R45" s="68"/>
      <c r="S45" s="68"/>
      <c r="T45" s="68"/>
      <c r="U45" s="162"/>
      <c r="V45" s="54"/>
      <c r="W45" s="54"/>
      <c r="X45" s="54"/>
      <c r="Y45" s="54"/>
      <c r="Z45" s="54"/>
      <c r="AA45" s="55"/>
      <c r="AB45" s="55"/>
      <c r="AC45" s="55"/>
      <c r="AD45" s="55"/>
      <c r="AE45" s="54"/>
      <c r="AF45" s="54"/>
      <c r="AG45" s="54"/>
      <c r="AH45" s="54"/>
      <c r="AI45" s="55"/>
      <c r="AJ45" s="54"/>
      <c r="AW45" s="18">
        <f t="shared" si="1"/>
        <v>0</v>
      </c>
    </row>
    <row r="46" spans="10:49" ht="15">
      <c r="J46" s="398"/>
      <c r="K46" s="54"/>
      <c r="L46" s="398"/>
      <c r="M46" s="491"/>
      <c r="N46" s="68"/>
      <c r="O46" s="68"/>
      <c r="P46" s="68"/>
      <c r="Q46" s="68"/>
      <c r="R46" s="68"/>
      <c r="S46" s="68"/>
      <c r="T46" s="68"/>
      <c r="U46" s="162"/>
      <c r="V46" s="54"/>
      <c r="W46" s="54"/>
      <c r="X46" s="54"/>
      <c r="Y46" s="54"/>
      <c r="Z46" s="54"/>
      <c r="AA46" s="55"/>
      <c r="AB46" s="55"/>
      <c r="AC46" s="55"/>
      <c r="AD46" s="55"/>
      <c r="AE46" s="54"/>
      <c r="AF46" s="54"/>
      <c r="AG46" s="54"/>
      <c r="AH46" s="54"/>
      <c r="AI46" s="55"/>
      <c r="AJ46" s="54"/>
      <c r="AW46" s="18">
        <f t="shared" si="1"/>
        <v>0</v>
      </c>
    </row>
    <row r="47" spans="10:49" ht="15">
      <c r="J47" s="398"/>
      <c r="K47" s="54"/>
      <c r="L47" s="398"/>
      <c r="M47" s="491"/>
      <c r="N47" s="68"/>
      <c r="O47" s="68"/>
      <c r="P47" s="68"/>
      <c r="Q47" s="68"/>
      <c r="R47" s="68"/>
      <c r="S47" s="68"/>
      <c r="T47" s="68"/>
      <c r="U47" s="162"/>
      <c r="V47" s="54"/>
      <c r="W47" s="54"/>
      <c r="X47" s="54"/>
      <c r="Y47" s="54"/>
      <c r="Z47" s="54"/>
      <c r="AA47" s="55"/>
      <c r="AB47" s="55"/>
      <c r="AC47" s="55"/>
      <c r="AD47" s="55"/>
      <c r="AE47" s="54"/>
      <c r="AF47" s="54"/>
      <c r="AG47" s="54"/>
      <c r="AH47" s="54"/>
      <c r="AI47" s="55"/>
      <c r="AJ47" s="54"/>
      <c r="AW47" s="18">
        <f t="shared" si="1"/>
        <v>0</v>
      </c>
    </row>
    <row r="48" spans="10:49" ht="15">
      <c r="J48" s="398"/>
      <c r="K48" s="54"/>
      <c r="L48" s="398"/>
      <c r="M48" s="491"/>
      <c r="N48" s="68"/>
      <c r="O48" s="68"/>
      <c r="P48" s="68"/>
      <c r="Q48" s="68"/>
      <c r="R48" s="68"/>
      <c r="S48" s="68"/>
      <c r="T48" s="68"/>
      <c r="U48" s="162"/>
      <c r="V48" s="54"/>
      <c r="W48" s="54"/>
      <c r="X48" s="54"/>
      <c r="Y48" s="54"/>
      <c r="Z48" s="54"/>
      <c r="AA48" s="55"/>
      <c r="AB48" s="55"/>
      <c r="AC48" s="55"/>
      <c r="AD48" s="55"/>
      <c r="AE48" s="54"/>
      <c r="AF48" s="54"/>
      <c r="AG48" s="54"/>
      <c r="AH48" s="54"/>
      <c r="AI48" s="55"/>
      <c r="AJ48" s="54"/>
      <c r="AW48" s="18">
        <f t="shared" si="1"/>
        <v>0</v>
      </c>
    </row>
    <row r="49" spans="10:49" ht="15">
      <c r="J49" s="398"/>
      <c r="K49" s="54"/>
      <c r="L49" s="398"/>
      <c r="M49" s="491"/>
      <c r="N49" s="68"/>
      <c r="O49" s="68"/>
      <c r="P49" s="68"/>
      <c r="Q49" s="68"/>
      <c r="R49" s="68"/>
      <c r="S49" s="68"/>
      <c r="T49" s="68"/>
      <c r="U49" s="162"/>
      <c r="V49" s="54"/>
      <c r="W49" s="54"/>
      <c r="X49" s="54"/>
      <c r="Y49" s="54"/>
      <c r="Z49" s="54"/>
      <c r="AA49" s="55"/>
      <c r="AB49" s="55"/>
      <c r="AC49" s="55"/>
      <c r="AD49" s="55"/>
      <c r="AE49" s="54"/>
      <c r="AF49" s="54"/>
      <c r="AG49" s="54"/>
      <c r="AH49" s="54"/>
      <c r="AI49" s="55"/>
      <c r="AJ49" s="54"/>
      <c r="AW49" s="18">
        <f t="shared" si="1"/>
        <v>0</v>
      </c>
    </row>
    <row r="50" spans="10:49" ht="15">
      <c r="J50" s="398"/>
      <c r="K50" s="54"/>
      <c r="L50" s="398"/>
      <c r="M50" s="491"/>
      <c r="N50" s="68"/>
      <c r="O50" s="68"/>
      <c r="P50" s="68"/>
      <c r="Q50" s="68"/>
      <c r="R50" s="68"/>
      <c r="S50" s="68"/>
      <c r="T50" s="68"/>
      <c r="U50" s="162"/>
      <c r="V50" s="54"/>
      <c r="W50" s="54"/>
      <c r="X50" s="54"/>
      <c r="Y50" s="54"/>
      <c r="Z50" s="54"/>
      <c r="AA50" s="55"/>
      <c r="AB50" s="55"/>
      <c r="AC50" s="55"/>
      <c r="AD50" s="55"/>
      <c r="AE50" s="54"/>
      <c r="AF50" s="54"/>
      <c r="AG50" s="54"/>
      <c r="AH50" s="54"/>
      <c r="AI50" s="55"/>
      <c r="AJ50" s="54"/>
      <c r="AW50" s="18">
        <f t="shared" si="1"/>
        <v>0</v>
      </c>
    </row>
    <row r="51" spans="10:49" ht="15">
      <c r="J51" s="398"/>
      <c r="K51" s="54"/>
      <c r="L51" s="398"/>
      <c r="M51" s="491"/>
      <c r="N51" s="68"/>
      <c r="O51" s="68"/>
      <c r="P51" s="68"/>
      <c r="Q51" s="68"/>
      <c r="R51" s="68"/>
      <c r="S51" s="68"/>
      <c r="T51" s="68"/>
      <c r="U51" s="162"/>
      <c r="V51" s="54"/>
      <c r="W51" s="54"/>
      <c r="X51" s="54"/>
      <c r="Y51" s="54"/>
      <c r="Z51" s="54"/>
      <c r="AA51" s="55"/>
      <c r="AB51" s="55"/>
      <c r="AC51" s="55"/>
      <c r="AD51" s="55"/>
      <c r="AE51" s="54"/>
      <c r="AF51" s="54"/>
      <c r="AG51" s="54"/>
      <c r="AH51" s="54"/>
      <c r="AI51" s="55"/>
      <c r="AJ51" s="54"/>
      <c r="AW51" s="18">
        <f t="shared" si="1"/>
        <v>0</v>
      </c>
    </row>
    <row r="52" spans="10:49" ht="15">
      <c r="J52" s="398"/>
      <c r="K52" s="54"/>
      <c r="L52" s="398"/>
      <c r="M52" s="491"/>
      <c r="N52" s="68"/>
      <c r="O52" s="68"/>
      <c r="P52" s="68"/>
      <c r="Q52" s="68"/>
      <c r="R52" s="68"/>
      <c r="S52" s="68"/>
      <c r="T52" s="68"/>
      <c r="U52" s="162"/>
      <c r="V52" s="54"/>
      <c r="W52" s="54"/>
      <c r="X52" s="54"/>
      <c r="Y52" s="54"/>
      <c r="Z52" s="54"/>
      <c r="AA52" s="55"/>
      <c r="AB52" s="55"/>
      <c r="AC52" s="55"/>
      <c r="AD52" s="55"/>
      <c r="AE52" s="54"/>
      <c r="AF52" s="54"/>
      <c r="AG52" s="54"/>
      <c r="AH52" s="54"/>
      <c r="AI52" s="55"/>
      <c r="AJ52" s="54"/>
      <c r="AW52" s="18">
        <f t="shared" si="1"/>
        <v>0</v>
      </c>
    </row>
    <row r="53" spans="10:49" ht="15">
      <c r="J53" s="398"/>
      <c r="K53" s="54"/>
      <c r="L53" s="398"/>
      <c r="M53" s="491"/>
      <c r="N53" s="68"/>
      <c r="O53" s="68"/>
      <c r="P53" s="68"/>
      <c r="Q53" s="68"/>
      <c r="R53" s="68"/>
      <c r="S53" s="68"/>
      <c r="T53" s="68"/>
      <c r="U53" s="162"/>
      <c r="V53" s="54"/>
      <c r="W53" s="54"/>
      <c r="X53" s="54"/>
      <c r="Y53" s="54"/>
      <c r="Z53" s="54"/>
      <c r="AA53" s="55"/>
      <c r="AB53" s="55"/>
      <c r="AC53" s="55"/>
      <c r="AD53" s="55"/>
      <c r="AE53" s="54"/>
      <c r="AF53" s="54"/>
      <c r="AG53" s="54"/>
      <c r="AH53" s="54"/>
      <c r="AI53" s="55"/>
      <c r="AJ53" s="54"/>
      <c r="AW53" s="18">
        <f t="shared" si="1"/>
        <v>0</v>
      </c>
    </row>
    <row r="54" spans="10:49" ht="15">
      <c r="J54" s="398"/>
      <c r="K54" s="54"/>
      <c r="L54" s="398"/>
      <c r="M54" s="491"/>
      <c r="N54" s="68"/>
      <c r="O54" s="68"/>
      <c r="P54" s="68"/>
      <c r="Q54" s="68"/>
      <c r="R54" s="68"/>
      <c r="S54" s="68"/>
      <c r="T54" s="68"/>
      <c r="U54" s="162"/>
      <c r="V54" s="54"/>
      <c r="W54" s="54"/>
      <c r="X54" s="54"/>
      <c r="Y54" s="54"/>
      <c r="Z54" s="54"/>
      <c r="AA54" s="55"/>
      <c r="AB54" s="55"/>
      <c r="AC54" s="55"/>
      <c r="AD54" s="55"/>
      <c r="AE54" s="54"/>
      <c r="AF54" s="54"/>
      <c r="AG54" s="54"/>
      <c r="AH54" s="54"/>
      <c r="AI54" s="55"/>
      <c r="AJ54" s="54"/>
      <c r="AW54" s="18">
        <f t="shared" si="1"/>
        <v>0</v>
      </c>
    </row>
    <row r="55" spans="10:49" ht="15">
      <c r="J55" s="398"/>
      <c r="K55" s="54"/>
      <c r="L55" s="398"/>
      <c r="M55" s="491"/>
      <c r="N55" s="68"/>
      <c r="O55" s="68"/>
      <c r="P55" s="68"/>
      <c r="Q55" s="68"/>
      <c r="R55" s="68"/>
      <c r="S55" s="68"/>
      <c r="T55" s="68"/>
      <c r="U55" s="162"/>
      <c r="V55" s="54"/>
      <c r="W55" s="54"/>
      <c r="X55" s="54"/>
      <c r="Y55" s="54"/>
      <c r="Z55" s="54"/>
      <c r="AA55" s="55"/>
      <c r="AB55" s="55"/>
      <c r="AC55" s="55"/>
      <c r="AD55" s="55"/>
      <c r="AE55" s="54"/>
      <c r="AF55" s="54"/>
      <c r="AG55" s="54"/>
      <c r="AH55" s="54"/>
      <c r="AI55" s="55"/>
      <c r="AJ55" s="54"/>
      <c r="AW55" s="18">
        <f t="shared" si="1"/>
        <v>0</v>
      </c>
    </row>
    <row r="56" spans="10:49" ht="15">
      <c r="J56" s="398"/>
      <c r="K56" s="54"/>
      <c r="L56" s="398"/>
      <c r="M56" s="491"/>
      <c r="N56" s="68"/>
      <c r="O56" s="68"/>
      <c r="P56" s="68"/>
      <c r="Q56" s="68"/>
      <c r="R56" s="68"/>
      <c r="S56" s="68"/>
      <c r="T56" s="68"/>
      <c r="U56" s="162"/>
      <c r="V56" s="54"/>
      <c r="W56" s="54"/>
      <c r="X56" s="54"/>
      <c r="Y56" s="54"/>
      <c r="Z56" s="54"/>
      <c r="AA56" s="55"/>
      <c r="AB56" s="55"/>
      <c r="AC56" s="55"/>
      <c r="AD56" s="55"/>
      <c r="AE56" s="54"/>
      <c r="AF56" s="54"/>
      <c r="AG56" s="54"/>
      <c r="AH56" s="54"/>
      <c r="AI56" s="55"/>
      <c r="AJ56" s="54"/>
      <c r="AW56" s="18">
        <f t="shared" si="1"/>
        <v>0</v>
      </c>
    </row>
    <row r="57" spans="10:49" ht="15">
      <c r="J57" s="398"/>
      <c r="K57" s="54"/>
      <c r="L57" s="398"/>
      <c r="M57" s="491"/>
      <c r="N57" s="68"/>
      <c r="O57" s="68"/>
      <c r="P57" s="68"/>
      <c r="Q57" s="68"/>
      <c r="R57" s="68"/>
      <c r="S57" s="68"/>
      <c r="T57" s="68"/>
      <c r="U57" s="162"/>
      <c r="V57" s="54"/>
      <c r="W57" s="54"/>
      <c r="X57" s="54"/>
      <c r="Y57" s="54"/>
      <c r="Z57" s="54"/>
      <c r="AA57" s="55"/>
      <c r="AB57" s="55"/>
      <c r="AC57" s="55"/>
      <c r="AD57" s="55"/>
      <c r="AE57" s="54"/>
      <c r="AF57" s="54"/>
      <c r="AG57" s="54"/>
      <c r="AH57" s="54"/>
      <c r="AI57" s="55"/>
      <c r="AJ57" s="54"/>
      <c r="AW57" s="18">
        <f t="shared" si="1"/>
        <v>0</v>
      </c>
    </row>
    <row r="58" spans="10:49" ht="15">
      <c r="J58" s="398"/>
      <c r="K58" s="54"/>
      <c r="L58" s="398"/>
      <c r="M58" s="491"/>
      <c r="N58" s="68"/>
      <c r="O58" s="68"/>
      <c r="P58" s="68"/>
      <c r="Q58" s="68"/>
      <c r="R58" s="68"/>
      <c r="S58" s="68"/>
      <c r="T58" s="68"/>
      <c r="U58" s="162"/>
      <c r="V58" s="54"/>
      <c r="W58" s="54"/>
      <c r="X58" s="54"/>
      <c r="Y58" s="54"/>
      <c r="Z58" s="54"/>
      <c r="AA58" s="55"/>
      <c r="AB58" s="55"/>
      <c r="AC58" s="55"/>
      <c r="AD58" s="55"/>
      <c r="AE58" s="54"/>
      <c r="AF58" s="54"/>
      <c r="AG58" s="54"/>
      <c r="AH58" s="54"/>
      <c r="AI58" s="55"/>
      <c r="AJ58" s="54"/>
      <c r="AW58" s="18">
        <f t="shared" si="1"/>
        <v>0</v>
      </c>
    </row>
    <row r="59" spans="10:49" ht="15">
      <c r="J59" s="398"/>
      <c r="K59" s="54"/>
      <c r="L59" s="398"/>
      <c r="M59" s="491"/>
      <c r="N59" s="68"/>
      <c r="O59" s="68"/>
      <c r="P59" s="68"/>
      <c r="Q59" s="68"/>
      <c r="R59" s="68"/>
      <c r="S59" s="68"/>
      <c r="T59" s="68"/>
      <c r="U59" s="162"/>
      <c r="V59" s="54"/>
      <c r="W59" s="54"/>
      <c r="X59" s="54"/>
      <c r="Y59" s="54"/>
      <c r="Z59" s="54"/>
      <c r="AA59" s="55"/>
      <c r="AB59" s="55"/>
      <c r="AC59" s="55"/>
      <c r="AD59" s="55"/>
      <c r="AE59" s="54"/>
      <c r="AF59" s="54"/>
      <c r="AG59" s="54"/>
      <c r="AH59" s="54"/>
      <c r="AI59" s="55"/>
      <c r="AJ59" s="54"/>
      <c r="AW59" s="18">
        <f t="shared" si="1"/>
        <v>0</v>
      </c>
    </row>
    <row r="60" spans="10:49" ht="15">
      <c r="J60" s="398"/>
      <c r="K60" s="54"/>
      <c r="L60" s="398"/>
      <c r="M60" s="491"/>
      <c r="N60" s="68"/>
      <c r="O60" s="68"/>
      <c r="P60" s="68"/>
      <c r="Q60" s="68"/>
      <c r="R60" s="68"/>
      <c r="S60" s="68"/>
      <c r="T60" s="68"/>
      <c r="U60" s="162"/>
      <c r="V60" s="54"/>
      <c r="W60" s="54"/>
      <c r="X60" s="54"/>
      <c r="Y60" s="54"/>
      <c r="Z60" s="54"/>
      <c r="AA60" s="55"/>
      <c r="AB60" s="55"/>
      <c r="AC60" s="55"/>
      <c r="AD60" s="55"/>
      <c r="AE60" s="54"/>
      <c r="AF60" s="54"/>
      <c r="AG60" s="54"/>
      <c r="AH60" s="54"/>
      <c r="AI60" s="55"/>
      <c r="AJ60" s="54"/>
      <c r="AW60" s="18">
        <f t="shared" si="1"/>
        <v>0</v>
      </c>
    </row>
    <row r="61" spans="10:49" ht="15">
      <c r="J61" s="398"/>
      <c r="K61" s="54"/>
      <c r="L61" s="398"/>
      <c r="M61" s="491"/>
      <c r="N61" s="68"/>
      <c r="O61" s="68"/>
      <c r="P61" s="68"/>
      <c r="Q61" s="68"/>
      <c r="R61" s="68"/>
      <c r="S61" s="68"/>
      <c r="T61" s="68"/>
      <c r="U61" s="162"/>
      <c r="V61" s="54"/>
      <c r="W61" s="54"/>
      <c r="X61" s="54"/>
      <c r="Y61" s="54"/>
      <c r="Z61" s="54"/>
      <c r="AA61" s="55"/>
      <c r="AB61" s="55"/>
      <c r="AC61" s="55"/>
      <c r="AD61" s="55"/>
      <c r="AE61" s="54"/>
      <c r="AF61" s="54"/>
      <c r="AG61" s="54"/>
      <c r="AH61" s="54"/>
      <c r="AI61" s="55"/>
      <c r="AJ61" s="54"/>
      <c r="AW61" s="18">
        <f t="shared" si="1"/>
        <v>0</v>
      </c>
    </row>
    <row r="62" spans="10:49" ht="15">
      <c r="J62" s="398"/>
      <c r="K62" s="54"/>
      <c r="L62" s="56"/>
      <c r="M62" s="56"/>
      <c r="N62" s="68"/>
      <c r="O62" s="68"/>
      <c r="P62" s="68"/>
      <c r="Q62" s="68"/>
      <c r="R62" s="68"/>
      <c r="S62" s="68"/>
      <c r="T62" s="68"/>
      <c r="U62" s="162"/>
      <c r="V62" s="54"/>
      <c r="W62" s="54"/>
      <c r="X62" s="54"/>
      <c r="Y62" s="54"/>
      <c r="Z62" s="54"/>
      <c r="AA62" s="55"/>
      <c r="AB62" s="55"/>
      <c r="AC62" s="55"/>
      <c r="AD62" s="55"/>
      <c r="AE62" s="54"/>
      <c r="AF62" s="54"/>
      <c r="AG62" s="54"/>
      <c r="AH62" s="54"/>
      <c r="AI62" s="55"/>
      <c r="AJ62" s="54"/>
      <c r="AW62" s="18">
        <f t="shared" si="1"/>
        <v>0</v>
      </c>
    </row>
    <row r="63" spans="10:49" ht="15">
      <c r="J63" s="398"/>
      <c r="K63" s="54"/>
      <c r="L63" s="56"/>
      <c r="M63" s="56"/>
      <c r="N63" s="68"/>
      <c r="O63" s="68"/>
      <c r="P63" s="68"/>
      <c r="Q63" s="68"/>
      <c r="R63" s="68"/>
      <c r="S63" s="68"/>
      <c r="T63" s="68"/>
      <c r="U63" s="162"/>
      <c r="V63" s="54"/>
      <c r="W63" s="54"/>
      <c r="X63" s="54"/>
      <c r="Y63" s="54"/>
      <c r="Z63" s="54"/>
      <c r="AA63" s="55"/>
      <c r="AB63" s="55"/>
      <c r="AC63" s="55"/>
      <c r="AD63" s="55"/>
      <c r="AE63" s="54"/>
      <c r="AF63" s="54"/>
      <c r="AG63" s="54"/>
      <c r="AH63" s="54"/>
      <c r="AI63" s="55"/>
      <c r="AJ63" s="54"/>
      <c r="AW63" s="18">
        <f t="shared" si="1"/>
        <v>0</v>
      </c>
    </row>
    <row r="64" spans="10:49" ht="15">
      <c r="J64" s="398"/>
      <c r="K64" s="54"/>
      <c r="L64" s="398"/>
      <c r="M64" s="491"/>
      <c r="N64" s="68"/>
      <c r="O64" s="68"/>
      <c r="P64" s="68"/>
      <c r="Q64" s="68"/>
      <c r="R64" s="68"/>
      <c r="S64" s="68"/>
      <c r="T64" s="68"/>
      <c r="U64" s="162"/>
      <c r="V64" s="54"/>
      <c r="W64" s="54"/>
      <c r="X64" s="54"/>
      <c r="Y64" s="54"/>
      <c r="Z64" s="54"/>
      <c r="AA64" s="55"/>
      <c r="AB64" s="55"/>
      <c r="AC64" s="55"/>
      <c r="AD64" s="55"/>
      <c r="AE64" s="54"/>
      <c r="AF64" s="54"/>
      <c r="AG64" s="54"/>
      <c r="AH64" s="54"/>
      <c r="AI64" s="55"/>
      <c r="AJ64" s="54"/>
      <c r="AW64" s="18">
        <f t="shared" si="1"/>
        <v>0</v>
      </c>
    </row>
    <row r="65" spans="10:49" ht="15">
      <c r="J65" s="398"/>
      <c r="K65" s="54"/>
      <c r="L65" s="398"/>
      <c r="M65" s="491"/>
      <c r="N65" s="68"/>
      <c r="O65" s="68"/>
      <c r="P65" s="68"/>
      <c r="Q65" s="68"/>
      <c r="R65" s="68"/>
      <c r="S65" s="68"/>
      <c r="T65" s="68"/>
      <c r="U65" s="162"/>
      <c r="V65" s="54"/>
      <c r="W65" s="54"/>
      <c r="X65" s="54"/>
      <c r="Y65" s="54"/>
      <c r="Z65" s="54"/>
      <c r="AA65" s="55"/>
      <c r="AB65" s="55"/>
      <c r="AC65" s="55"/>
      <c r="AD65" s="55"/>
      <c r="AE65" s="54"/>
      <c r="AF65" s="54"/>
      <c r="AG65" s="54"/>
      <c r="AH65" s="54"/>
      <c r="AI65" s="55"/>
      <c r="AJ65" s="54"/>
      <c r="AW65" s="18">
        <f t="shared" si="1"/>
        <v>0</v>
      </c>
    </row>
    <row r="66" spans="10:49" ht="15">
      <c r="J66" s="398"/>
      <c r="K66" s="54"/>
      <c r="L66" s="398"/>
      <c r="M66" s="491"/>
      <c r="N66" s="68"/>
      <c r="O66" s="68"/>
      <c r="P66" s="68"/>
      <c r="Q66" s="68"/>
      <c r="R66" s="68"/>
      <c r="S66" s="68"/>
      <c r="T66" s="68"/>
      <c r="U66" s="162"/>
      <c r="V66" s="54"/>
      <c r="W66" s="54"/>
      <c r="X66" s="54"/>
      <c r="Y66" s="54"/>
      <c r="Z66" s="54"/>
      <c r="AA66" s="55"/>
      <c r="AB66" s="55"/>
      <c r="AC66" s="55"/>
      <c r="AD66" s="55"/>
      <c r="AE66" s="54"/>
      <c r="AF66" s="54"/>
      <c r="AG66" s="54"/>
      <c r="AH66" s="54"/>
      <c r="AI66" s="55"/>
      <c r="AJ66" s="54"/>
      <c r="AW66" s="18">
        <f t="shared" si="1"/>
        <v>0</v>
      </c>
    </row>
    <row r="67" spans="10:49" ht="15">
      <c r="J67" s="398"/>
      <c r="K67" s="54"/>
      <c r="L67" s="398"/>
      <c r="M67" s="491"/>
      <c r="N67" s="68"/>
      <c r="O67" s="68"/>
      <c r="P67" s="68"/>
      <c r="Q67" s="68"/>
      <c r="R67" s="68"/>
      <c r="S67" s="68"/>
      <c r="T67" s="68"/>
      <c r="U67" s="162"/>
      <c r="V67" s="54"/>
      <c r="W67" s="54"/>
      <c r="X67" s="54"/>
      <c r="Y67" s="54"/>
      <c r="Z67" s="54"/>
      <c r="AA67" s="55"/>
      <c r="AB67" s="55"/>
      <c r="AC67" s="55"/>
      <c r="AD67" s="55"/>
      <c r="AE67" s="54"/>
      <c r="AF67" s="54"/>
      <c r="AG67" s="54"/>
      <c r="AH67" s="54"/>
      <c r="AI67" s="55"/>
      <c r="AJ67" s="54"/>
      <c r="AW67" s="18">
        <f t="shared" si="1"/>
        <v>0</v>
      </c>
    </row>
    <row r="68" spans="10:49" ht="15">
      <c r="J68" s="398"/>
      <c r="K68" s="54"/>
      <c r="L68" s="398"/>
      <c r="M68" s="491"/>
      <c r="N68" s="68"/>
      <c r="O68" s="68"/>
      <c r="P68" s="68"/>
      <c r="Q68" s="68"/>
      <c r="R68" s="68"/>
      <c r="S68" s="68"/>
      <c r="T68" s="68"/>
      <c r="U68" s="162"/>
      <c r="V68" s="54"/>
      <c r="W68" s="54"/>
      <c r="X68" s="54"/>
      <c r="Y68" s="54"/>
      <c r="Z68" s="54"/>
      <c r="AA68" s="55"/>
      <c r="AB68" s="55"/>
      <c r="AC68" s="55"/>
      <c r="AD68" s="55"/>
      <c r="AE68" s="54"/>
      <c r="AF68" s="54"/>
      <c r="AG68" s="54"/>
      <c r="AH68" s="54"/>
      <c r="AI68" s="55"/>
      <c r="AJ68" s="54"/>
      <c r="AW68" s="18">
        <f t="shared" si="1"/>
        <v>0</v>
      </c>
    </row>
    <row r="69" spans="10:49" ht="15">
      <c r="J69" s="398"/>
      <c r="K69" s="54"/>
      <c r="L69" s="398"/>
      <c r="M69" s="491"/>
      <c r="N69" s="68"/>
      <c r="O69" s="68"/>
      <c r="P69" s="68"/>
      <c r="Q69" s="68"/>
      <c r="R69" s="68"/>
      <c r="S69" s="68"/>
      <c r="T69" s="68"/>
      <c r="U69" s="162"/>
      <c r="V69" s="54"/>
      <c r="W69" s="54"/>
      <c r="X69" s="54"/>
      <c r="Y69" s="54"/>
      <c r="Z69" s="54"/>
      <c r="AA69" s="55"/>
      <c r="AB69" s="55"/>
      <c r="AC69" s="55"/>
      <c r="AD69" s="55"/>
      <c r="AE69" s="54"/>
      <c r="AF69" s="54"/>
      <c r="AG69" s="54"/>
      <c r="AH69" s="54"/>
      <c r="AI69" s="55"/>
      <c r="AJ69" s="54"/>
      <c r="AW69" s="18">
        <f t="shared" si="1"/>
        <v>0</v>
      </c>
    </row>
    <row r="70" spans="10:49" ht="15">
      <c r="J70" s="398"/>
      <c r="K70" s="54"/>
      <c r="L70" s="398"/>
      <c r="M70" s="491"/>
      <c r="N70" s="68"/>
      <c r="O70" s="68"/>
      <c r="P70" s="68"/>
      <c r="Q70" s="68"/>
      <c r="R70" s="68"/>
      <c r="S70" s="68"/>
      <c r="T70" s="68"/>
      <c r="U70" s="162"/>
      <c r="V70" s="54"/>
      <c r="W70" s="54"/>
      <c r="X70" s="54"/>
      <c r="Y70" s="54"/>
      <c r="Z70" s="54"/>
      <c r="AA70" s="55"/>
      <c r="AB70" s="55"/>
      <c r="AC70" s="55"/>
      <c r="AD70" s="55"/>
      <c r="AE70" s="54"/>
      <c r="AF70" s="54"/>
      <c r="AG70" s="54"/>
      <c r="AH70" s="54"/>
      <c r="AI70" s="55"/>
      <c r="AJ70" s="54"/>
      <c r="AW70" s="18">
        <f t="shared" si="1"/>
        <v>0</v>
      </c>
    </row>
    <row r="71" spans="10:49" ht="15">
      <c r="J71" s="398"/>
      <c r="K71" s="54"/>
      <c r="L71" s="398"/>
      <c r="M71" s="491"/>
      <c r="N71" s="68"/>
      <c r="O71" s="68"/>
      <c r="P71" s="68"/>
      <c r="Q71" s="68"/>
      <c r="R71" s="68"/>
      <c r="S71" s="68"/>
      <c r="T71" s="68"/>
      <c r="U71" s="162"/>
      <c r="V71" s="54"/>
      <c r="W71" s="54"/>
      <c r="X71" s="54"/>
      <c r="Y71" s="54"/>
      <c r="Z71" s="54"/>
      <c r="AA71" s="55"/>
      <c r="AB71" s="55"/>
      <c r="AC71" s="55"/>
      <c r="AD71" s="55"/>
      <c r="AE71" s="54"/>
      <c r="AF71" s="54"/>
      <c r="AG71" s="54"/>
      <c r="AH71" s="54"/>
      <c r="AI71" s="55"/>
      <c r="AJ71" s="54"/>
      <c r="AW71" s="18">
        <f t="shared" si="1"/>
        <v>0</v>
      </c>
    </row>
    <row r="72" spans="10:49" ht="15">
      <c r="J72" s="398"/>
      <c r="K72" s="54"/>
      <c r="L72" s="398"/>
      <c r="M72" s="491"/>
      <c r="N72" s="68"/>
      <c r="O72" s="68"/>
      <c r="P72" s="68"/>
      <c r="Q72" s="68"/>
      <c r="R72" s="68"/>
      <c r="S72" s="68"/>
      <c r="T72" s="68"/>
      <c r="U72" s="162"/>
      <c r="V72" s="54"/>
      <c r="W72" s="54"/>
      <c r="X72" s="54"/>
      <c r="Y72" s="54"/>
      <c r="Z72" s="54"/>
      <c r="AA72" s="55"/>
      <c r="AB72" s="55"/>
      <c r="AC72" s="55"/>
      <c r="AD72" s="55"/>
      <c r="AE72" s="54"/>
      <c r="AF72" s="54"/>
      <c r="AG72" s="54"/>
      <c r="AH72" s="54"/>
      <c r="AI72" s="55"/>
      <c r="AJ72" s="54"/>
      <c r="AW72" s="18">
        <f t="shared" si="1"/>
        <v>0</v>
      </c>
    </row>
    <row r="73" spans="10:49" ht="15">
      <c r="J73" s="398"/>
      <c r="K73" s="54"/>
      <c r="L73" s="398"/>
      <c r="M73" s="491"/>
      <c r="N73" s="68"/>
      <c r="O73" s="68"/>
      <c r="P73" s="68"/>
      <c r="Q73" s="68"/>
      <c r="R73" s="68"/>
      <c r="S73" s="68"/>
      <c r="T73" s="68"/>
      <c r="U73" s="162"/>
      <c r="V73" s="54"/>
      <c r="W73" s="54"/>
      <c r="X73" s="54"/>
      <c r="Y73" s="54"/>
      <c r="Z73" s="54"/>
      <c r="AA73" s="55"/>
      <c r="AB73" s="55"/>
      <c r="AC73" s="55"/>
      <c r="AD73" s="55"/>
      <c r="AE73" s="54"/>
      <c r="AF73" s="54"/>
      <c r="AG73" s="54"/>
      <c r="AH73" s="54"/>
      <c r="AI73" s="55"/>
      <c r="AJ73" s="54"/>
      <c r="AW73" s="18">
        <f t="shared" si="1"/>
        <v>0</v>
      </c>
    </row>
    <row r="74" spans="10:49" ht="15">
      <c r="J74" s="398"/>
      <c r="K74" s="54"/>
      <c r="L74" s="398"/>
      <c r="M74" s="491"/>
      <c r="N74" s="68"/>
      <c r="O74" s="68"/>
      <c r="P74" s="68"/>
      <c r="Q74" s="68"/>
      <c r="R74" s="68"/>
      <c r="S74" s="68"/>
      <c r="T74" s="68"/>
      <c r="U74" s="162"/>
      <c r="V74" s="54"/>
      <c r="W74" s="54"/>
      <c r="X74" s="54"/>
      <c r="Y74" s="54"/>
      <c r="Z74" s="54"/>
      <c r="AA74" s="55"/>
      <c r="AB74" s="55"/>
      <c r="AC74" s="55"/>
      <c r="AD74" s="55"/>
      <c r="AE74" s="54"/>
      <c r="AF74" s="54"/>
      <c r="AG74" s="54"/>
      <c r="AH74" s="54"/>
      <c r="AI74" s="55"/>
      <c r="AJ74" s="54"/>
      <c r="AW74" s="18">
        <f t="shared" si="1"/>
        <v>0</v>
      </c>
    </row>
    <row r="75" spans="10:49" ht="15">
      <c r="J75" s="398"/>
      <c r="K75" s="54"/>
      <c r="L75" s="398"/>
      <c r="M75" s="491"/>
      <c r="N75" s="68"/>
      <c r="O75" s="68"/>
      <c r="P75" s="68"/>
      <c r="Q75" s="68"/>
      <c r="R75" s="68"/>
      <c r="S75" s="68"/>
      <c r="T75" s="68"/>
      <c r="U75" s="162"/>
      <c r="V75" s="54"/>
      <c r="W75" s="54"/>
      <c r="X75" s="54"/>
      <c r="Y75" s="54"/>
      <c r="Z75" s="54"/>
      <c r="AA75" s="55"/>
      <c r="AB75" s="55"/>
      <c r="AC75" s="55"/>
      <c r="AD75" s="55"/>
      <c r="AE75" s="54"/>
      <c r="AF75" s="54"/>
      <c r="AG75" s="54"/>
      <c r="AH75" s="54"/>
      <c r="AI75" s="55"/>
      <c r="AJ75" s="54"/>
      <c r="AW75" s="18">
        <f t="shared" ref="AW75:AW138" si="3">LEN(L75)</f>
        <v>0</v>
      </c>
    </row>
    <row r="76" spans="10:49" ht="15">
      <c r="J76" s="398"/>
      <c r="K76" s="54"/>
      <c r="L76" s="398"/>
      <c r="M76" s="491"/>
      <c r="N76" s="68"/>
      <c r="O76" s="68"/>
      <c r="P76" s="68"/>
      <c r="Q76" s="68"/>
      <c r="R76" s="68"/>
      <c r="S76" s="68"/>
      <c r="T76" s="68"/>
      <c r="U76" s="162"/>
      <c r="V76" s="54"/>
      <c r="W76" s="54"/>
      <c r="X76" s="54"/>
      <c r="Y76" s="54"/>
      <c r="Z76" s="54"/>
      <c r="AA76" s="55"/>
      <c r="AB76" s="55"/>
      <c r="AC76" s="55"/>
      <c r="AD76" s="55"/>
      <c r="AE76" s="54"/>
      <c r="AF76" s="54"/>
      <c r="AG76" s="54"/>
      <c r="AH76" s="54"/>
      <c r="AI76" s="55"/>
      <c r="AJ76" s="54"/>
      <c r="AW76" s="18">
        <f t="shared" si="3"/>
        <v>0</v>
      </c>
    </row>
    <row r="77" spans="10:49" ht="15">
      <c r="J77" s="398"/>
      <c r="K77" s="54"/>
      <c r="L77" s="398"/>
      <c r="M77" s="491"/>
      <c r="N77" s="68"/>
      <c r="O77" s="68"/>
      <c r="P77" s="68"/>
      <c r="Q77" s="68"/>
      <c r="R77" s="68"/>
      <c r="S77" s="68"/>
      <c r="T77" s="68"/>
      <c r="U77" s="162"/>
      <c r="V77" s="54"/>
      <c r="W77" s="54"/>
      <c r="X77" s="54"/>
      <c r="Y77" s="54"/>
      <c r="Z77" s="54"/>
      <c r="AA77" s="55"/>
      <c r="AB77" s="55"/>
      <c r="AC77" s="55"/>
      <c r="AD77" s="55"/>
      <c r="AE77" s="54"/>
      <c r="AF77" s="54"/>
      <c r="AG77" s="54"/>
      <c r="AH77" s="54"/>
      <c r="AI77" s="55"/>
      <c r="AJ77" s="54"/>
      <c r="AW77" s="18">
        <f t="shared" si="3"/>
        <v>0</v>
      </c>
    </row>
    <row r="78" spans="10:49" ht="15">
      <c r="J78" s="398"/>
      <c r="K78" s="54"/>
      <c r="L78" s="398"/>
      <c r="M78" s="491"/>
      <c r="N78" s="68"/>
      <c r="O78" s="68"/>
      <c r="P78" s="68"/>
      <c r="Q78" s="68"/>
      <c r="R78" s="68"/>
      <c r="S78" s="68"/>
      <c r="T78" s="68"/>
      <c r="U78" s="162"/>
      <c r="V78" s="54"/>
      <c r="W78" s="54"/>
      <c r="X78" s="54"/>
      <c r="Y78" s="54"/>
      <c r="Z78" s="54"/>
      <c r="AA78" s="55"/>
      <c r="AB78" s="55"/>
      <c r="AC78" s="55"/>
      <c r="AD78" s="55"/>
      <c r="AE78" s="54"/>
      <c r="AF78" s="54"/>
      <c r="AG78" s="54"/>
      <c r="AH78" s="54"/>
      <c r="AI78" s="55"/>
      <c r="AJ78" s="54"/>
      <c r="AW78" s="18">
        <f t="shared" si="3"/>
        <v>0</v>
      </c>
    </row>
    <row r="79" spans="10:49" ht="15">
      <c r="J79" s="398"/>
      <c r="K79" s="54"/>
      <c r="L79" s="398"/>
      <c r="M79" s="491"/>
      <c r="N79" s="68"/>
      <c r="O79" s="68"/>
      <c r="P79" s="68"/>
      <c r="Q79" s="68"/>
      <c r="R79" s="68"/>
      <c r="S79" s="68"/>
      <c r="T79" s="68"/>
      <c r="U79" s="162"/>
      <c r="V79" s="54"/>
      <c r="W79" s="54"/>
      <c r="X79" s="54"/>
      <c r="Y79" s="54"/>
      <c r="Z79" s="54"/>
      <c r="AA79" s="55"/>
      <c r="AB79" s="55"/>
      <c r="AC79" s="55"/>
      <c r="AD79" s="55"/>
      <c r="AE79" s="54"/>
      <c r="AF79" s="54"/>
      <c r="AG79" s="54"/>
      <c r="AH79" s="54"/>
      <c r="AI79" s="55"/>
      <c r="AJ79" s="54"/>
      <c r="AW79" s="18">
        <f t="shared" si="3"/>
        <v>0</v>
      </c>
    </row>
    <row r="80" spans="10:49" ht="15">
      <c r="J80" s="398"/>
      <c r="K80" s="54"/>
      <c r="L80" s="56"/>
      <c r="M80" s="56"/>
      <c r="N80" s="68"/>
      <c r="O80" s="68"/>
      <c r="P80" s="68"/>
      <c r="Q80" s="68"/>
      <c r="R80" s="68"/>
      <c r="S80" s="68"/>
      <c r="T80" s="68"/>
      <c r="U80" s="162"/>
      <c r="V80" s="54"/>
      <c r="W80" s="54"/>
      <c r="X80" s="54"/>
      <c r="Y80" s="54"/>
      <c r="Z80" s="54"/>
      <c r="AA80" s="55"/>
      <c r="AB80" s="55"/>
      <c r="AC80" s="55"/>
      <c r="AD80" s="55"/>
      <c r="AE80" s="54"/>
      <c r="AF80" s="54"/>
      <c r="AG80" s="54"/>
      <c r="AH80" s="54"/>
      <c r="AI80" s="55"/>
      <c r="AJ80" s="54"/>
      <c r="AW80" s="18">
        <f t="shared" si="3"/>
        <v>0</v>
      </c>
    </row>
    <row r="81" spans="10:49" ht="15">
      <c r="J81" s="398"/>
      <c r="K81" s="54"/>
      <c r="L81" s="56"/>
      <c r="M81" s="56"/>
      <c r="N81" s="68"/>
      <c r="O81" s="68"/>
      <c r="P81" s="68"/>
      <c r="Q81" s="68"/>
      <c r="R81" s="68"/>
      <c r="S81" s="68"/>
      <c r="T81" s="68"/>
      <c r="U81" s="162"/>
      <c r="V81" s="54"/>
      <c r="W81" s="54"/>
      <c r="X81" s="54"/>
      <c r="Y81" s="54"/>
      <c r="Z81" s="54"/>
      <c r="AA81" s="55"/>
      <c r="AB81" s="55"/>
      <c r="AC81" s="55"/>
      <c r="AD81" s="55"/>
      <c r="AE81" s="54"/>
      <c r="AF81" s="54"/>
      <c r="AG81" s="54"/>
      <c r="AH81" s="54"/>
      <c r="AI81" s="55"/>
      <c r="AJ81" s="54"/>
      <c r="AW81" s="18">
        <f t="shared" si="3"/>
        <v>0</v>
      </c>
    </row>
    <row r="82" spans="10:49" ht="15">
      <c r="J82" s="398"/>
      <c r="K82" s="54"/>
      <c r="L82" s="398"/>
      <c r="M82" s="491"/>
      <c r="N82" s="68"/>
      <c r="O82" s="68"/>
      <c r="P82" s="68"/>
      <c r="Q82" s="68"/>
      <c r="R82" s="68"/>
      <c r="S82" s="68"/>
      <c r="T82" s="68"/>
      <c r="U82" s="162"/>
      <c r="V82" s="54"/>
      <c r="W82" s="54"/>
      <c r="X82" s="54"/>
      <c r="Y82" s="54"/>
      <c r="Z82" s="54"/>
      <c r="AA82" s="55"/>
      <c r="AB82" s="55"/>
      <c r="AC82" s="55"/>
      <c r="AD82" s="55"/>
      <c r="AE82" s="54"/>
      <c r="AF82" s="54"/>
      <c r="AG82" s="54"/>
      <c r="AH82" s="54"/>
      <c r="AI82" s="55"/>
      <c r="AJ82" s="54"/>
      <c r="AW82" s="18">
        <f t="shared" si="3"/>
        <v>0</v>
      </c>
    </row>
    <row r="83" spans="10:49" ht="15">
      <c r="J83" s="687"/>
      <c r="K83" s="54"/>
      <c r="L83" s="687"/>
      <c r="M83" s="491"/>
      <c r="N83" s="68"/>
      <c r="O83" s="68"/>
      <c r="P83" s="68"/>
      <c r="Q83" s="68"/>
      <c r="R83" s="68"/>
      <c r="S83" s="68"/>
      <c r="T83" s="68"/>
      <c r="U83" s="162"/>
      <c r="V83" s="54"/>
      <c r="W83" s="54"/>
      <c r="X83" s="54"/>
      <c r="Y83" s="54"/>
      <c r="Z83" s="54"/>
      <c r="AA83" s="54"/>
      <c r="AB83" s="54"/>
      <c r="AC83" s="54"/>
      <c r="AD83" s="54"/>
      <c r="AE83" s="54"/>
      <c r="AF83" s="54"/>
      <c r="AG83" s="54"/>
      <c r="AH83" s="54"/>
      <c r="AI83" s="54"/>
      <c r="AJ83" s="54"/>
      <c r="AW83" s="18">
        <f t="shared" si="3"/>
        <v>0</v>
      </c>
    </row>
    <row r="84" spans="10:49" ht="15">
      <c r="J84" s="687"/>
      <c r="K84" s="54"/>
      <c r="L84" s="687"/>
      <c r="M84" s="491"/>
      <c r="N84" s="68"/>
      <c r="O84" s="68"/>
      <c r="P84" s="68"/>
      <c r="Q84" s="68"/>
      <c r="R84" s="68"/>
      <c r="S84" s="68"/>
      <c r="T84" s="68"/>
      <c r="U84" s="162"/>
      <c r="V84" s="54"/>
      <c r="W84" s="54"/>
      <c r="X84" s="54"/>
      <c r="Y84" s="54"/>
      <c r="Z84" s="54"/>
      <c r="AA84" s="54"/>
      <c r="AB84" s="54"/>
      <c r="AC84" s="54"/>
      <c r="AD84" s="54"/>
      <c r="AE84" s="54"/>
      <c r="AF84" s="54"/>
      <c r="AG84" s="54"/>
      <c r="AH84" s="54"/>
      <c r="AI84" s="54"/>
      <c r="AJ84" s="54"/>
      <c r="AW84" s="18">
        <f t="shared" si="3"/>
        <v>0</v>
      </c>
    </row>
    <row r="85" spans="10:49" ht="15">
      <c r="J85" s="687"/>
      <c r="K85" s="54"/>
      <c r="L85" s="687"/>
      <c r="M85" s="491"/>
      <c r="N85" s="68"/>
      <c r="O85" s="68"/>
      <c r="P85" s="68"/>
      <c r="Q85" s="68"/>
      <c r="R85" s="68"/>
      <c r="S85" s="68"/>
      <c r="T85" s="68"/>
      <c r="U85" s="162"/>
      <c r="V85" s="54"/>
      <c r="W85" s="54"/>
      <c r="X85" s="54"/>
      <c r="Y85" s="54"/>
      <c r="Z85" s="54"/>
      <c r="AA85" s="54"/>
      <c r="AB85" s="54"/>
      <c r="AC85" s="54"/>
      <c r="AD85" s="54"/>
      <c r="AE85" s="54"/>
      <c r="AF85" s="54"/>
      <c r="AG85" s="54"/>
      <c r="AH85" s="54"/>
      <c r="AI85" s="54"/>
      <c r="AJ85" s="54"/>
      <c r="AW85" s="18">
        <f t="shared" si="3"/>
        <v>0</v>
      </c>
    </row>
    <row r="86" spans="10:49" ht="15">
      <c r="J86" s="687"/>
      <c r="K86" s="54"/>
      <c r="L86" s="687"/>
      <c r="M86" s="491"/>
      <c r="N86" s="68"/>
      <c r="O86" s="68"/>
      <c r="P86" s="68"/>
      <c r="Q86" s="68"/>
      <c r="R86" s="68"/>
      <c r="S86" s="68"/>
      <c r="T86" s="68"/>
      <c r="U86" s="162"/>
      <c r="V86" s="54"/>
      <c r="W86" s="54"/>
      <c r="X86" s="54"/>
      <c r="Y86" s="54"/>
      <c r="Z86" s="54"/>
      <c r="AA86" s="54"/>
      <c r="AB86" s="54"/>
      <c r="AC86" s="54"/>
      <c r="AD86" s="54"/>
      <c r="AE86" s="54"/>
      <c r="AF86" s="54"/>
      <c r="AG86" s="54"/>
      <c r="AH86" s="54"/>
      <c r="AI86" s="54"/>
      <c r="AJ86" s="54"/>
      <c r="AW86" s="18">
        <f t="shared" si="3"/>
        <v>0</v>
      </c>
    </row>
    <row r="87" spans="10:49" ht="15">
      <c r="J87" s="687"/>
      <c r="K87" s="54"/>
      <c r="L87" s="687"/>
      <c r="M87" s="491"/>
      <c r="N87" s="68"/>
      <c r="O87" s="68"/>
      <c r="P87" s="68"/>
      <c r="Q87" s="68"/>
      <c r="R87" s="68"/>
      <c r="S87" s="68"/>
      <c r="T87" s="68"/>
      <c r="U87" s="162"/>
      <c r="V87" s="54"/>
      <c r="W87" s="54"/>
      <c r="X87" s="54"/>
      <c r="Y87" s="54"/>
      <c r="Z87" s="54"/>
      <c r="AA87" s="54"/>
      <c r="AB87" s="54"/>
      <c r="AC87" s="54"/>
      <c r="AD87" s="54"/>
      <c r="AE87" s="54"/>
      <c r="AF87" s="54"/>
      <c r="AG87" s="54"/>
      <c r="AH87" s="54"/>
      <c r="AI87" s="54"/>
      <c r="AJ87" s="54"/>
      <c r="AW87" s="18">
        <f t="shared" si="3"/>
        <v>0</v>
      </c>
    </row>
    <row r="88" spans="10:49" ht="15">
      <c r="J88" s="687"/>
      <c r="K88" s="54"/>
      <c r="L88" s="687"/>
      <c r="M88" s="491"/>
      <c r="N88" s="68"/>
      <c r="O88" s="68"/>
      <c r="P88" s="68"/>
      <c r="Q88" s="68"/>
      <c r="R88" s="68"/>
      <c r="S88" s="68"/>
      <c r="T88" s="68"/>
      <c r="U88" s="162"/>
      <c r="V88" s="54"/>
      <c r="W88" s="54"/>
      <c r="X88" s="54"/>
      <c r="Y88" s="54"/>
      <c r="Z88" s="54"/>
      <c r="AA88" s="54"/>
      <c r="AB88" s="54"/>
      <c r="AC88" s="54"/>
      <c r="AD88" s="54"/>
      <c r="AE88" s="54"/>
      <c r="AF88" s="54"/>
      <c r="AG88" s="54"/>
      <c r="AH88" s="54"/>
      <c r="AI88" s="54"/>
      <c r="AJ88" s="54"/>
      <c r="AW88" s="18">
        <f t="shared" si="3"/>
        <v>0</v>
      </c>
    </row>
    <row r="89" spans="10:49" ht="15">
      <c r="J89" s="687"/>
      <c r="K89" s="54"/>
      <c r="L89" s="687"/>
      <c r="M89" s="491"/>
      <c r="N89" s="68"/>
      <c r="O89" s="68"/>
      <c r="P89" s="68"/>
      <c r="Q89" s="68"/>
      <c r="R89" s="68"/>
      <c r="S89" s="68"/>
      <c r="T89" s="68"/>
      <c r="U89" s="162"/>
      <c r="V89" s="54"/>
      <c r="W89" s="54"/>
      <c r="X89" s="54"/>
      <c r="Y89" s="54"/>
      <c r="Z89" s="54"/>
      <c r="AA89" s="54"/>
      <c r="AB89" s="54"/>
      <c r="AC89" s="54"/>
      <c r="AD89" s="54"/>
      <c r="AE89" s="54"/>
      <c r="AF89" s="54"/>
      <c r="AG89" s="54"/>
      <c r="AH89" s="54"/>
      <c r="AI89" s="54"/>
      <c r="AJ89" s="54"/>
      <c r="AW89" s="18">
        <f t="shared" si="3"/>
        <v>0</v>
      </c>
    </row>
    <row r="90" spans="10:49" ht="15">
      <c r="J90" s="687"/>
      <c r="K90" s="54"/>
      <c r="L90" s="687"/>
      <c r="M90" s="491"/>
      <c r="N90" s="68"/>
      <c r="O90" s="68"/>
      <c r="P90" s="68"/>
      <c r="Q90" s="68"/>
      <c r="R90" s="68"/>
      <c r="S90" s="68"/>
      <c r="T90" s="68"/>
      <c r="U90" s="162"/>
      <c r="V90" s="54"/>
      <c r="W90" s="54"/>
      <c r="X90" s="54"/>
      <c r="Y90" s="54"/>
      <c r="Z90" s="54"/>
      <c r="AA90" s="54"/>
      <c r="AB90" s="54"/>
      <c r="AC90" s="54"/>
      <c r="AD90" s="54"/>
      <c r="AE90" s="54"/>
      <c r="AF90" s="54"/>
      <c r="AG90" s="54"/>
      <c r="AH90" s="54"/>
      <c r="AI90" s="54"/>
      <c r="AJ90" s="54"/>
      <c r="AW90" s="18">
        <f t="shared" si="3"/>
        <v>0</v>
      </c>
    </row>
    <row r="91" spans="10:49" ht="15">
      <c r="J91" s="687"/>
      <c r="K91" s="54"/>
      <c r="L91" s="687"/>
      <c r="M91" s="491"/>
      <c r="N91" s="68"/>
      <c r="O91" s="68"/>
      <c r="P91" s="68"/>
      <c r="Q91" s="68"/>
      <c r="R91" s="68"/>
      <c r="S91" s="68"/>
      <c r="T91" s="68"/>
      <c r="U91" s="162"/>
      <c r="V91" s="54"/>
      <c r="W91" s="54"/>
      <c r="X91" s="54"/>
      <c r="Y91" s="54"/>
      <c r="Z91" s="54"/>
      <c r="AA91" s="54"/>
      <c r="AB91" s="54"/>
      <c r="AC91" s="54"/>
      <c r="AD91" s="54"/>
      <c r="AE91" s="54"/>
      <c r="AF91" s="54"/>
      <c r="AG91" s="54"/>
      <c r="AH91" s="54"/>
      <c r="AI91" s="54"/>
      <c r="AJ91" s="54"/>
      <c r="AW91" s="18">
        <f t="shared" si="3"/>
        <v>0</v>
      </c>
    </row>
    <row r="92" spans="10:49" ht="15">
      <c r="J92" s="687"/>
      <c r="K92" s="54"/>
      <c r="L92" s="687"/>
      <c r="M92" s="491"/>
      <c r="N92" s="68"/>
      <c r="O92" s="68"/>
      <c r="P92" s="68"/>
      <c r="Q92" s="68"/>
      <c r="R92" s="68"/>
      <c r="S92" s="68"/>
      <c r="T92" s="68"/>
      <c r="U92" s="162"/>
      <c r="V92" s="54"/>
      <c r="W92" s="54"/>
      <c r="X92" s="54"/>
      <c r="Y92" s="54"/>
      <c r="Z92" s="54"/>
      <c r="AA92" s="54"/>
      <c r="AB92" s="54"/>
      <c r="AC92" s="54"/>
      <c r="AD92" s="54"/>
      <c r="AE92" s="54"/>
      <c r="AF92" s="54"/>
      <c r="AG92" s="54"/>
      <c r="AH92" s="54"/>
      <c r="AI92" s="54"/>
      <c r="AJ92" s="54"/>
      <c r="AW92" s="18">
        <f t="shared" si="3"/>
        <v>0</v>
      </c>
    </row>
    <row r="93" spans="10:49" ht="15">
      <c r="J93" s="687"/>
      <c r="K93" s="54"/>
      <c r="L93" s="687"/>
      <c r="M93" s="491"/>
      <c r="N93" s="68"/>
      <c r="O93" s="68"/>
      <c r="P93" s="68"/>
      <c r="Q93" s="68"/>
      <c r="R93" s="68"/>
      <c r="S93" s="68"/>
      <c r="T93" s="68"/>
      <c r="U93" s="162"/>
      <c r="V93" s="54"/>
      <c r="W93" s="54"/>
      <c r="X93" s="54"/>
      <c r="Y93" s="54"/>
      <c r="Z93" s="54"/>
      <c r="AA93" s="54"/>
      <c r="AB93" s="54"/>
      <c r="AC93" s="54"/>
      <c r="AD93" s="54"/>
      <c r="AE93" s="54"/>
      <c r="AF93" s="54"/>
      <c r="AG93" s="54"/>
      <c r="AH93" s="54"/>
      <c r="AI93" s="54"/>
      <c r="AJ93" s="54"/>
      <c r="AW93" s="18">
        <f t="shared" si="3"/>
        <v>0</v>
      </c>
    </row>
    <row r="94" spans="10:49" ht="15">
      <c r="J94" s="687"/>
      <c r="K94" s="54"/>
      <c r="L94" s="687"/>
      <c r="M94" s="491"/>
      <c r="N94" s="68"/>
      <c r="O94" s="68"/>
      <c r="P94" s="68"/>
      <c r="Q94" s="68"/>
      <c r="R94" s="68"/>
      <c r="S94" s="68"/>
      <c r="T94" s="68"/>
      <c r="U94" s="162"/>
      <c r="V94" s="54"/>
      <c r="W94" s="54"/>
      <c r="X94" s="54"/>
      <c r="Y94" s="54"/>
      <c r="Z94" s="54"/>
      <c r="AA94" s="54"/>
      <c r="AB94" s="54"/>
      <c r="AC94" s="54"/>
      <c r="AD94" s="54"/>
      <c r="AE94" s="54"/>
      <c r="AF94" s="54"/>
      <c r="AG94" s="54"/>
      <c r="AH94" s="54"/>
      <c r="AI94" s="54"/>
      <c r="AJ94" s="54"/>
      <c r="AW94" s="18">
        <f t="shared" si="3"/>
        <v>0</v>
      </c>
    </row>
    <row r="95" spans="10:49" ht="15">
      <c r="J95" s="687"/>
      <c r="K95" s="54"/>
      <c r="L95" s="687"/>
      <c r="M95" s="491"/>
      <c r="N95" s="68"/>
      <c r="O95" s="68"/>
      <c r="P95" s="68"/>
      <c r="Q95" s="68"/>
      <c r="R95" s="68"/>
      <c r="S95" s="68"/>
      <c r="T95" s="68"/>
      <c r="U95" s="162"/>
      <c r="V95" s="54"/>
      <c r="W95" s="54"/>
      <c r="X95" s="54"/>
      <c r="Y95" s="54"/>
      <c r="Z95" s="54"/>
      <c r="AA95" s="54"/>
      <c r="AB95" s="54"/>
      <c r="AC95" s="54"/>
      <c r="AD95" s="54"/>
      <c r="AE95" s="54"/>
      <c r="AF95" s="54"/>
      <c r="AG95" s="54"/>
      <c r="AH95" s="54"/>
      <c r="AI95" s="54"/>
      <c r="AJ95" s="54"/>
      <c r="AW95" s="18">
        <f t="shared" si="3"/>
        <v>0</v>
      </c>
    </row>
    <row r="96" spans="10:49" ht="15">
      <c r="J96" s="687"/>
      <c r="K96" s="54"/>
      <c r="L96" s="687"/>
      <c r="M96" s="491"/>
      <c r="N96" s="68"/>
      <c r="O96" s="68"/>
      <c r="P96" s="68"/>
      <c r="Q96" s="68"/>
      <c r="R96" s="68"/>
      <c r="S96" s="68"/>
      <c r="T96" s="68"/>
      <c r="U96" s="162"/>
      <c r="V96" s="54"/>
      <c r="W96" s="54"/>
      <c r="X96" s="54"/>
      <c r="Y96" s="54"/>
      <c r="Z96" s="54"/>
      <c r="AA96" s="54"/>
      <c r="AB96" s="54"/>
      <c r="AC96" s="54"/>
      <c r="AD96" s="54"/>
      <c r="AE96" s="54"/>
      <c r="AF96" s="54"/>
      <c r="AG96" s="54"/>
      <c r="AH96" s="54"/>
      <c r="AI96" s="54"/>
      <c r="AJ96" s="54"/>
      <c r="AW96" s="18">
        <f t="shared" si="3"/>
        <v>0</v>
      </c>
    </row>
    <row r="97" spans="10:49" ht="15">
      <c r="J97" s="687"/>
      <c r="K97" s="54"/>
      <c r="L97" s="687"/>
      <c r="M97" s="491"/>
      <c r="N97" s="68"/>
      <c r="O97" s="68"/>
      <c r="P97" s="68"/>
      <c r="Q97" s="68"/>
      <c r="R97" s="68"/>
      <c r="S97" s="68"/>
      <c r="T97" s="68"/>
      <c r="U97" s="162"/>
      <c r="V97" s="54"/>
      <c r="W97" s="54"/>
      <c r="X97" s="54"/>
      <c r="Y97" s="54"/>
      <c r="Z97" s="54"/>
      <c r="AA97" s="54"/>
      <c r="AB97" s="54"/>
      <c r="AC97" s="54"/>
      <c r="AD97" s="54"/>
      <c r="AE97" s="54"/>
      <c r="AF97" s="54"/>
      <c r="AG97" s="54"/>
      <c r="AH97" s="54"/>
      <c r="AI97" s="54"/>
      <c r="AJ97" s="54"/>
      <c r="AW97" s="18">
        <f t="shared" si="3"/>
        <v>0</v>
      </c>
    </row>
    <row r="98" spans="10:49" ht="15">
      <c r="J98" s="687"/>
      <c r="K98" s="54"/>
      <c r="L98" s="687"/>
      <c r="M98" s="491"/>
      <c r="N98" s="68"/>
      <c r="O98" s="68"/>
      <c r="P98" s="68"/>
      <c r="Q98" s="68"/>
      <c r="R98" s="68"/>
      <c r="S98" s="68"/>
      <c r="T98" s="68"/>
      <c r="U98" s="162"/>
      <c r="V98" s="54"/>
      <c r="W98" s="54"/>
      <c r="X98" s="54"/>
      <c r="Y98" s="54"/>
      <c r="Z98" s="54"/>
      <c r="AA98" s="54"/>
      <c r="AB98" s="54"/>
      <c r="AC98" s="54"/>
      <c r="AD98" s="54"/>
      <c r="AE98" s="54"/>
      <c r="AF98" s="54"/>
      <c r="AG98" s="54"/>
      <c r="AH98" s="54"/>
      <c r="AI98" s="54"/>
      <c r="AJ98" s="54"/>
      <c r="AW98" s="18">
        <f t="shared" si="3"/>
        <v>0</v>
      </c>
    </row>
    <row r="99" spans="10:49" ht="15">
      <c r="J99" s="687"/>
      <c r="K99" s="54"/>
      <c r="L99" s="687"/>
      <c r="M99" s="491"/>
      <c r="N99" s="68"/>
      <c r="O99" s="68"/>
      <c r="P99" s="68"/>
      <c r="Q99" s="68"/>
      <c r="R99" s="68"/>
      <c r="S99" s="68"/>
      <c r="T99" s="68"/>
      <c r="U99" s="162"/>
      <c r="V99" s="54"/>
      <c r="W99" s="54"/>
      <c r="X99" s="54"/>
      <c r="Y99" s="54"/>
      <c r="Z99" s="54"/>
      <c r="AA99" s="54"/>
      <c r="AB99" s="54"/>
      <c r="AC99" s="54"/>
      <c r="AD99" s="54"/>
      <c r="AE99" s="54"/>
      <c r="AF99" s="54"/>
      <c r="AG99" s="54"/>
      <c r="AH99" s="54"/>
      <c r="AI99" s="54"/>
      <c r="AJ99" s="54"/>
      <c r="AW99" s="18">
        <f t="shared" si="3"/>
        <v>0</v>
      </c>
    </row>
    <row r="100" spans="10:49" ht="15">
      <c r="J100" s="687"/>
      <c r="K100" s="54"/>
      <c r="L100" s="687"/>
      <c r="M100" s="491"/>
      <c r="N100" s="68"/>
      <c r="O100" s="68"/>
      <c r="P100" s="68"/>
      <c r="Q100" s="68"/>
      <c r="R100" s="68"/>
      <c r="S100" s="68"/>
      <c r="T100" s="68"/>
      <c r="U100" s="162"/>
      <c r="V100" s="54"/>
      <c r="W100" s="54"/>
      <c r="X100" s="54"/>
      <c r="Y100" s="54"/>
      <c r="Z100" s="54"/>
      <c r="AA100" s="54"/>
      <c r="AB100" s="54"/>
      <c r="AC100" s="54"/>
      <c r="AD100" s="54"/>
      <c r="AE100" s="54"/>
      <c r="AF100" s="54"/>
      <c r="AG100" s="54"/>
      <c r="AH100" s="54"/>
      <c r="AI100" s="54"/>
      <c r="AJ100" s="54"/>
      <c r="AW100" s="18">
        <f t="shared" si="3"/>
        <v>0</v>
      </c>
    </row>
    <row r="101" spans="10:49" ht="15">
      <c r="J101" s="687"/>
      <c r="K101" s="54"/>
      <c r="L101" s="687"/>
      <c r="M101" s="491"/>
      <c r="N101" s="68"/>
      <c r="O101" s="68"/>
      <c r="P101" s="68"/>
      <c r="Q101" s="68"/>
      <c r="R101" s="68"/>
      <c r="S101" s="68"/>
      <c r="T101" s="68"/>
      <c r="U101" s="162"/>
      <c r="V101" s="54"/>
      <c r="W101" s="54"/>
      <c r="X101" s="54"/>
      <c r="Y101" s="54"/>
      <c r="Z101" s="54"/>
      <c r="AA101" s="54"/>
      <c r="AB101" s="54"/>
      <c r="AC101" s="54"/>
      <c r="AD101" s="54"/>
      <c r="AE101" s="54"/>
      <c r="AF101" s="54"/>
      <c r="AG101" s="54"/>
      <c r="AH101" s="54"/>
      <c r="AI101" s="54"/>
      <c r="AJ101" s="54"/>
      <c r="AW101" s="18">
        <f t="shared" si="3"/>
        <v>0</v>
      </c>
    </row>
    <row r="102" spans="10:49" ht="15">
      <c r="J102" s="687"/>
      <c r="K102" s="54"/>
      <c r="L102" s="687"/>
      <c r="M102" s="491"/>
      <c r="N102" s="68"/>
      <c r="O102" s="68"/>
      <c r="P102" s="68"/>
      <c r="Q102" s="68"/>
      <c r="R102" s="68"/>
      <c r="S102" s="68"/>
      <c r="T102" s="68"/>
      <c r="U102" s="162"/>
      <c r="V102" s="54"/>
      <c r="W102" s="54"/>
      <c r="X102" s="54"/>
      <c r="Y102" s="54"/>
      <c r="Z102" s="54"/>
      <c r="AA102" s="54"/>
      <c r="AB102" s="54"/>
      <c r="AC102" s="54"/>
      <c r="AD102" s="54"/>
      <c r="AE102" s="54"/>
      <c r="AF102" s="54"/>
      <c r="AG102" s="54"/>
      <c r="AH102" s="54"/>
      <c r="AI102" s="54"/>
      <c r="AJ102" s="54"/>
      <c r="AW102" s="18">
        <f t="shared" si="3"/>
        <v>0</v>
      </c>
    </row>
    <row r="103" spans="10:49" ht="15">
      <c r="J103" s="687"/>
      <c r="K103" s="54"/>
      <c r="L103" s="687"/>
      <c r="M103" s="491"/>
      <c r="N103" s="68"/>
      <c r="O103" s="68"/>
      <c r="P103" s="68"/>
      <c r="Q103" s="68"/>
      <c r="R103" s="68"/>
      <c r="S103" s="68"/>
      <c r="T103" s="68"/>
      <c r="U103" s="162"/>
      <c r="V103" s="54"/>
      <c r="W103" s="54"/>
      <c r="X103" s="54"/>
      <c r="Y103" s="54"/>
      <c r="Z103" s="54"/>
      <c r="AA103" s="54"/>
      <c r="AB103" s="54"/>
      <c r="AC103" s="54"/>
      <c r="AD103" s="54"/>
      <c r="AE103" s="54"/>
      <c r="AF103" s="54"/>
      <c r="AG103" s="54"/>
      <c r="AH103" s="54"/>
      <c r="AI103" s="54"/>
      <c r="AJ103" s="54"/>
      <c r="AW103" s="18">
        <f t="shared" si="3"/>
        <v>0</v>
      </c>
    </row>
    <row r="104" spans="10:49" ht="15">
      <c r="J104" s="687"/>
      <c r="K104" s="54"/>
      <c r="L104" s="687"/>
      <c r="M104" s="491"/>
      <c r="N104" s="68"/>
      <c r="O104" s="68"/>
      <c r="P104" s="68"/>
      <c r="Q104" s="68"/>
      <c r="R104" s="68"/>
      <c r="S104" s="68"/>
      <c r="T104" s="68"/>
      <c r="U104" s="162"/>
      <c r="V104" s="54"/>
      <c r="W104" s="54"/>
      <c r="X104" s="54"/>
      <c r="Y104" s="54"/>
      <c r="Z104" s="54"/>
      <c r="AA104" s="54"/>
      <c r="AB104" s="54"/>
      <c r="AC104" s="54"/>
      <c r="AD104" s="54"/>
      <c r="AE104" s="54"/>
      <c r="AF104" s="54"/>
      <c r="AG104" s="54"/>
      <c r="AH104" s="54"/>
      <c r="AI104" s="54"/>
      <c r="AJ104" s="54"/>
      <c r="AW104" s="18">
        <f t="shared" si="3"/>
        <v>0</v>
      </c>
    </row>
    <row r="105" spans="10:49" ht="15">
      <c r="J105" s="687"/>
      <c r="K105" s="54"/>
      <c r="L105" s="687"/>
      <c r="M105" s="491"/>
      <c r="N105" s="68"/>
      <c r="O105" s="68"/>
      <c r="P105" s="68"/>
      <c r="Q105" s="68"/>
      <c r="R105" s="68"/>
      <c r="S105" s="68"/>
      <c r="T105" s="68"/>
      <c r="U105" s="162"/>
      <c r="V105" s="54"/>
      <c r="W105" s="54"/>
      <c r="X105" s="54"/>
      <c r="Y105" s="54"/>
      <c r="Z105" s="54"/>
      <c r="AA105" s="54"/>
      <c r="AB105" s="54"/>
      <c r="AC105" s="54"/>
      <c r="AD105" s="54"/>
      <c r="AE105" s="54"/>
      <c r="AF105" s="54"/>
      <c r="AG105" s="54"/>
      <c r="AH105" s="54"/>
      <c r="AI105" s="54"/>
      <c r="AJ105" s="54"/>
      <c r="AW105" s="18">
        <f t="shared" si="3"/>
        <v>0</v>
      </c>
    </row>
    <row r="106" spans="10:49" ht="15">
      <c r="J106" s="687"/>
      <c r="K106" s="54"/>
      <c r="L106" s="687"/>
      <c r="M106" s="491"/>
      <c r="N106" s="68"/>
      <c r="O106" s="68"/>
      <c r="P106" s="68"/>
      <c r="Q106" s="68"/>
      <c r="R106" s="68"/>
      <c r="S106" s="68"/>
      <c r="T106" s="68"/>
      <c r="U106" s="162"/>
      <c r="V106" s="54"/>
      <c r="W106" s="54"/>
      <c r="X106" s="54"/>
      <c r="Y106" s="54"/>
      <c r="Z106" s="54"/>
      <c r="AA106" s="54"/>
      <c r="AB106" s="54"/>
      <c r="AC106" s="54"/>
      <c r="AD106" s="54"/>
      <c r="AE106" s="54"/>
      <c r="AF106" s="54"/>
      <c r="AG106" s="54"/>
      <c r="AH106" s="54"/>
      <c r="AI106" s="54"/>
      <c r="AJ106" s="54"/>
      <c r="AW106" s="18">
        <f t="shared" si="3"/>
        <v>0</v>
      </c>
    </row>
    <row r="107" spans="10:49" ht="15">
      <c r="J107" s="687"/>
      <c r="K107" s="54"/>
      <c r="L107" s="687"/>
      <c r="M107" s="491"/>
      <c r="N107" s="68"/>
      <c r="O107" s="68"/>
      <c r="P107" s="68"/>
      <c r="Q107" s="68"/>
      <c r="R107" s="68"/>
      <c r="S107" s="68"/>
      <c r="T107" s="68"/>
      <c r="U107" s="162"/>
      <c r="V107" s="54"/>
      <c r="W107" s="54"/>
      <c r="X107" s="54"/>
      <c r="Y107" s="54"/>
      <c r="Z107" s="54"/>
      <c r="AA107" s="54"/>
      <c r="AB107" s="54"/>
      <c r="AC107" s="54"/>
      <c r="AD107" s="54"/>
      <c r="AE107" s="54"/>
      <c r="AF107" s="54"/>
      <c r="AG107" s="54"/>
      <c r="AH107" s="54"/>
      <c r="AI107" s="54"/>
      <c r="AJ107" s="54"/>
      <c r="AW107" s="18">
        <f t="shared" si="3"/>
        <v>0</v>
      </c>
    </row>
    <row r="108" spans="10:49" ht="15">
      <c r="J108" s="687"/>
      <c r="K108" s="54"/>
      <c r="L108" s="687"/>
      <c r="M108" s="491"/>
      <c r="N108" s="68"/>
      <c r="O108" s="68"/>
      <c r="P108" s="68"/>
      <c r="Q108" s="68"/>
      <c r="R108" s="68"/>
      <c r="S108" s="68"/>
      <c r="T108" s="68"/>
      <c r="U108" s="162"/>
      <c r="V108" s="54"/>
      <c r="W108" s="54"/>
      <c r="X108" s="54"/>
      <c r="Y108" s="54"/>
      <c r="Z108" s="54"/>
      <c r="AA108" s="54"/>
      <c r="AB108" s="54"/>
      <c r="AC108" s="54"/>
      <c r="AD108" s="54"/>
      <c r="AE108" s="54"/>
      <c r="AF108" s="54"/>
      <c r="AG108" s="54"/>
      <c r="AH108" s="54"/>
      <c r="AI108" s="54"/>
      <c r="AJ108" s="54"/>
      <c r="AW108" s="18">
        <f t="shared" si="3"/>
        <v>0</v>
      </c>
    </row>
    <row r="109" spans="10:49" ht="15">
      <c r="J109" s="687"/>
      <c r="K109" s="54"/>
      <c r="L109" s="687"/>
      <c r="M109" s="491"/>
      <c r="N109" s="68"/>
      <c r="O109" s="68"/>
      <c r="P109" s="68"/>
      <c r="Q109" s="68"/>
      <c r="R109" s="68"/>
      <c r="S109" s="68"/>
      <c r="T109" s="68"/>
      <c r="U109" s="162"/>
      <c r="V109" s="54"/>
      <c r="W109" s="54"/>
      <c r="X109" s="54"/>
      <c r="Y109" s="54"/>
      <c r="Z109" s="54"/>
      <c r="AA109" s="54"/>
      <c r="AB109" s="54"/>
      <c r="AC109" s="54"/>
      <c r="AD109" s="54"/>
      <c r="AE109" s="54"/>
      <c r="AF109" s="54"/>
      <c r="AG109" s="54"/>
      <c r="AH109" s="54"/>
      <c r="AI109" s="54"/>
      <c r="AJ109" s="54"/>
      <c r="AW109" s="18">
        <f t="shared" si="3"/>
        <v>0</v>
      </c>
    </row>
    <row r="110" spans="10:49" ht="15">
      <c r="J110" s="687"/>
      <c r="K110" s="54"/>
      <c r="L110" s="687"/>
      <c r="M110" s="491"/>
      <c r="N110" s="68"/>
      <c r="O110" s="68"/>
      <c r="P110" s="68"/>
      <c r="Q110" s="68"/>
      <c r="R110" s="68"/>
      <c r="S110" s="68"/>
      <c r="T110" s="68"/>
      <c r="U110" s="162"/>
      <c r="V110" s="54"/>
      <c r="W110" s="54"/>
      <c r="X110" s="54"/>
      <c r="Y110" s="54"/>
      <c r="Z110" s="54"/>
      <c r="AA110" s="54"/>
      <c r="AB110" s="54"/>
      <c r="AC110" s="54"/>
      <c r="AD110" s="54"/>
      <c r="AE110" s="54"/>
      <c r="AF110" s="54"/>
      <c r="AG110" s="54"/>
      <c r="AH110" s="54"/>
      <c r="AI110" s="54"/>
      <c r="AJ110" s="54"/>
      <c r="AW110" s="18">
        <f t="shared" si="3"/>
        <v>0</v>
      </c>
    </row>
    <row r="111" spans="10:49" ht="15">
      <c r="J111" s="687"/>
      <c r="K111" s="54"/>
      <c r="L111" s="687"/>
      <c r="M111" s="491"/>
      <c r="N111" s="68"/>
      <c r="O111" s="68"/>
      <c r="P111" s="68"/>
      <c r="Q111" s="68"/>
      <c r="R111" s="68"/>
      <c r="S111" s="68"/>
      <c r="T111" s="68"/>
      <c r="U111" s="162"/>
      <c r="V111" s="54"/>
      <c r="W111" s="54"/>
      <c r="X111" s="54"/>
      <c r="Y111" s="54"/>
      <c r="Z111" s="54"/>
      <c r="AA111" s="54"/>
      <c r="AB111" s="54"/>
      <c r="AC111" s="54"/>
      <c r="AD111" s="54"/>
      <c r="AE111" s="54"/>
      <c r="AF111" s="54"/>
      <c r="AG111" s="54"/>
      <c r="AH111" s="54"/>
      <c r="AI111" s="54"/>
      <c r="AJ111" s="54"/>
      <c r="AW111" s="18">
        <f t="shared" si="3"/>
        <v>0</v>
      </c>
    </row>
    <row r="112" spans="10:49" ht="15">
      <c r="J112" s="687"/>
      <c r="K112" s="54"/>
      <c r="L112" s="687"/>
      <c r="M112" s="491"/>
      <c r="N112" s="68"/>
      <c r="O112" s="68"/>
      <c r="P112" s="68"/>
      <c r="Q112" s="68"/>
      <c r="R112" s="68"/>
      <c r="S112" s="68"/>
      <c r="T112" s="68"/>
      <c r="U112" s="162"/>
      <c r="V112" s="54"/>
      <c r="W112" s="54"/>
      <c r="X112" s="54"/>
      <c r="Y112" s="54"/>
      <c r="Z112" s="54"/>
      <c r="AA112" s="54"/>
      <c r="AB112" s="54"/>
      <c r="AC112" s="54"/>
      <c r="AD112" s="54"/>
      <c r="AE112" s="54"/>
      <c r="AF112" s="54"/>
      <c r="AG112" s="54"/>
      <c r="AH112" s="54"/>
      <c r="AI112" s="54"/>
      <c r="AJ112" s="54"/>
      <c r="AW112" s="18">
        <f t="shared" si="3"/>
        <v>0</v>
      </c>
    </row>
    <row r="113" spans="10:49" ht="15">
      <c r="J113" s="687"/>
      <c r="K113" s="54"/>
      <c r="L113" s="687"/>
      <c r="M113" s="491"/>
      <c r="N113" s="68"/>
      <c r="O113" s="68"/>
      <c r="P113" s="68"/>
      <c r="Q113" s="68"/>
      <c r="R113" s="68"/>
      <c r="S113" s="68"/>
      <c r="T113" s="68"/>
      <c r="U113" s="162"/>
      <c r="V113" s="54"/>
      <c r="W113" s="54"/>
      <c r="X113" s="54"/>
      <c r="Y113" s="54"/>
      <c r="Z113" s="54"/>
      <c r="AA113" s="54"/>
      <c r="AB113" s="54"/>
      <c r="AC113" s="54"/>
      <c r="AD113" s="54"/>
      <c r="AE113" s="54"/>
      <c r="AF113" s="54"/>
      <c r="AG113" s="54"/>
      <c r="AH113" s="54"/>
      <c r="AI113" s="54"/>
      <c r="AJ113" s="54"/>
      <c r="AW113" s="18">
        <f t="shared" si="3"/>
        <v>0</v>
      </c>
    </row>
    <row r="114" spans="10:49" ht="15">
      <c r="J114" s="687"/>
      <c r="K114" s="54"/>
      <c r="L114" s="687"/>
      <c r="M114" s="491"/>
      <c r="N114" s="68"/>
      <c r="O114" s="68"/>
      <c r="P114" s="68"/>
      <c r="Q114" s="68"/>
      <c r="R114" s="68"/>
      <c r="S114" s="68"/>
      <c r="T114" s="68"/>
      <c r="U114" s="162"/>
      <c r="V114" s="54"/>
      <c r="W114" s="54"/>
      <c r="X114" s="54"/>
      <c r="Y114" s="54"/>
      <c r="Z114" s="54"/>
      <c r="AA114" s="54"/>
      <c r="AB114" s="54"/>
      <c r="AC114" s="54"/>
      <c r="AD114" s="54"/>
      <c r="AE114" s="54"/>
      <c r="AF114" s="54"/>
      <c r="AG114" s="54"/>
      <c r="AH114" s="54"/>
      <c r="AI114" s="54"/>
      <c r="AJ114" s="54"/>
      <c r="AW114" s="18">
        <f t="shared" si="3"/>
        <v>0</v>
      </c>
    </row>
    <row r="115" spans="10:49" ht="15">
      <c r="J115" s="687"/>
      <c r="K115" s="54"/>
      <c r="L115" s="687"/>
      <c r="M115" s="491"/>
      <c r="N115" s="68"/>
      <c r="O115" s="68"/>
      <c r="P115" s="68"/>
      <c r="Q115" s="68"/>
      <c r="R115" s="68"/>
      <c r="S115" s="68"/>
      <c r="T115" s="68"/>
      <c r="U115" s="162"/>
      <c r="V115" s="54"/>
      <c r="W115" s="54"/>
      <c r="X115" s="54"/>
      <c r="Y115" s="54"/>
      <c r="Z115" s="54"/>
      <c r="AA115" s="54"/>
      <c r="AB115" s="54"/>
      <c r="AC115" s="54"/>
      <c r="AD115" s="54"/>
      <c r="AE115" s="54"/>
      <c r="AF115" s="54"/>
      <c r="AG115" s="54"/>
      <c r="AH115" s="54"/>
      <c r="AI115" s="54"/>
      <c r="AJ115" s="54"/>
      <c r="AW115" s="18">
        <f t="shared" si="3"/>
        <v>0</v>
      </c>
    </row>
    <row r="116" spans="10:49" ht="15">
      <c r="J116" s="687"/>
      <c r="K116" s="54"/>
      <c r="L116" s="687"/>
      <c r="M116" s="491"/>
      <c r="N116" s="68"/>
      <c r="O116" s="68"/>
      <c r="P116" s="68"/>
      <c r="Q116" s="68"/>
      <c r="R116" s="68"/>
      <c r="S116" s="68"/>
      <c r="T116" s="68"/>
      <c r="U116" s="162"/>
      <c r="V116" s="54"/>
      <c r="W116" s="54"/>
      <c r="X116" s="54"/>
      <c r="Y116" s="54"/>
      <c r="Z116" s="54"/>
      <c r="AA116" s="54"/>
      <c r="AB116" s="54"/>
      <c r="AC116" s="54"/>
      <c r="AD116" s="54"/>
      <c r="AE116" s="54"/>
      <c r="AF116" s="54"/>
      <c r="AG116" s="54"/>
      <c r="AH116" s="54"/>
      <c r="AI116" s="54"/>
      <c r="AJ116" s="54"/>
      <c r="AW116" s="18">
        <f t="shared" si="3"/>
        <v>0</v>
      </c>
    </row>
    <row r="117" spans="10:49" ht="15">
      <c r="J117" s="687"/>
      <c r="K117" s="54"/>
      <c r="L117" s="687"/>
      <c r="M117" s="491"/>
      <c r="N117" s="68"/>
      <c r="O117" s="68"/>
      <c r="P117" s="68"/>
      <c r="Q117" s="68"/>
      <c r="R117" s="68"/>
      <c r="S117" s="68"/>
      <c r="T117" s="68"/>
      <c r="U117" s="162"/>
      <c r="V117" s="54"/>
      <c r="W117" s="54"/>
      <c r="X117" s="54"/>
      <c r="Y117" s="54"/>
      <c r="Z117" s="54"/>
      <c r="AA117" s="54"/>
      <c r="AB117" s="54"/>
      <c r="AC117" s="54"/>
      <c r="AD117" s="54"/>
      <c r="AE117" s="54"/>
      <c r="AF117" s="54"/>
      <c r="AG117" s="54"/>
      <c r="AH117" s="54"/>
      <c r="AI117" s="54"/>
      <c r="AJ117" s="54"/>
      <c r="AW117" s="18">
        <f t="shared" si="3"/>
        <v>0</v>
      </c>
    </row>
    <row r="118" spans="10:49" ht="15">
      <c r="J118" s="687"/>
      <c r="K118" s="54"/>
      <c r="L118" s="687"/>
      <c r="M118" s="491"/>
      <c r="N118" s="68"/>
      <c r="O118" s="68"/>
      <c r="P118" s="68"/>
      <c r="Q118" s="68"/>
      <c r="R118" s="68"/>
      <c r="S118" s="68"/>
      <c r="T118" s="68"/>
      <c r="U118" s="162"/>
      <c r="V118" s="54"/>
      <c r="W118" s="54"/>
      <c r="X118" s="54"/>
      <c r="Y118" s="54"/>
      <c r="Z118" s="54"/>
      <c r="AA118" s="54"/>
      <c r="AB118" s="54"/>
      <c r="AC118" s="54"/>
      <c r="AD118" s="54"/>
      <c r="AE118" s="54"/>
      <c r="AF118" s="54"/>
      <c r="AG118" s="54"/>
      <c r="AH118" s="54"/>
      <c r="AI118" s="54"/>
      <c r="AJ118" s="54"/>
      <c r="AW118" s="18">
        <f t="shared" si="3"/>
        <v>0</v>
      </c>
    </row>
    <row r="119" spans="10:49" ht="15">
      <c r="J119" s="687"/>
      <c r="K119" s="54"/>
      <c r="L119" s="687"/>
      <c r="M119" s="491"/>
      <c r="N119" s="68"/>
      <c r="O119" s="68"/>
      <c r="P119" s="68"/>
      <c r="Q119" s="68"/>
      <c r="R119" s="68"/>
      <c r="S119" s="68"/>
      <c r="T119" s="68"/>
      <c r="U119" s="162"/>
      <c r="V119" s="54"/>
      <c r="W119" s="54"/>
      <c r="X119" s="54"/>
      <c r="Y119" s="54"/>
      <c r="Z119" s="54"/>
      <c r="AA119" s="54"/>
      <c r="AB119" s="54"/>
      <c r="AC119" s="54"/>
      <c r="AD119" s="54"/>
      <c r="AE119" s="54"/>
      <c r="AF119" s="54"/>
      <c r="AG119" s="54"/>
      <c r="AH119" s="54"/>
      <c r="AI119" s="54"/>
      <c r="AJ119" s="54"/>
      <c r="AW119" s="18">
        <f t="shared" si="3"/>
        <v>0</v>
      </c>
    </row>
    <row r="120" spans="10:49" ht="15">
      <c r="J120" s="687"/>
      <c r="K120" s="54"/>
      <c r="L120" s="687"/>
      <c r="M120" s="491"/>
      <c r="N120" s="68"/>
      <c r="O120" s="68"/>
      <c r="P120" s="68"/>
      <c r="Q120" s="68"/>
      <c r="R120" s="68"/>
      <c r="S120" s="68"/>
      <c r="T120" s="68"/>
      <c r="U120" s="162"/>
      <c r="V120" s="54"/>
      <c r="W120" s="54"/>
      <c r="X120" s="54"/>
      <c r="Y120" s="54"/>
      <c r="Z120" s="54"/>
      <c r="AA120" s="54"/>
      <c r="AB120" s="54"/>
      <c r="AC120" s="54"/>
      <c r="AD120" s="54"/>
      <c r="AE120" s="54"/>
      <c r="AF120" s="54"/>
      <c r="AG120" s="54"/>
      <c r="AH120" s="54"/>
      <c r="AI120" s="54"/>
      <c r="AJ120" s="54"/>
      <c r="AW120" s="18">
        <f t="shared" si="3"/>
        <v>0</v>
      </c>
    </row>
    <row r="121" spans="10:49" ht="15">
      <c r="J121" s="687"/>
      <c r="K121" s="54"/>
      <c r="L121" s="687"/>
      <c r="M121" s="491"/>
      <c r="N121" s="68"/>
      <c r="O121" s="68"/>
      <c r="P121" s="68"/>
      <c r="Q121" s="68"/>
      <c r="R121" s="68"/>
      <c r="S121" s="68"/>
      <c r="T121" s="68"/>
      <c r="U121" s="162"/>
      <c r="V121" s="54"/>
      <c r="W121" s="54"/>
      <c r="X121" s="54"/>
      <c r="Y121" s="54"/>
      <c r="Z121" s="54"/>
      <c r="AA121" s="54"/>
      <c r="AB121" s="54"/>
      <c r="AC121" s="54"/>
      <c r="AD121" s="54"/>
      <c r="AE121" s="54"/>
      <c r="AF121" s="54"/>
      <c r="AG121" s="54"/>
      <c r="AH121" s="54"/>
      <c r="AI121" s="54"/>
      <c r="AJ121" s="54"/>
      <c r="AW121" s="18">
        <f t="shared" si="3"/>
        <v>0</v>
      </c>
    </row>
    <row r="122" spans="10:49" ht="15">
      <c r="J122" s="687"/>
      <c r="K122" s="54"/>
      <c r="L122" s="687"/>
      <c r="M122" s="491"/>
      <c r="N122" s="68"/>
      <c r="O122" s="68"/>
      <c r="P122" s="68"/>
      <c r="Q122" s="68"/>
      <c r="R122" s="68"/>
      <c r="S122" s="68"/>
      <c r="T122" s="68"/>
      <c r="U122" s="162"/>
      <c r="V122" s="54"/>
      <c r="W122" s="54"/>
      <c r="X122" s="54"/>
      <c r="Y122" s="54"/>
      <c r="Z122" s="54"/>
      <c r="AA122" s="54"/>
      <c r="AB122" s="54"/>
      <c r="AC122" s="54"/>
      <c r="AD122" s="54"/>
      <c r="AE122" s="54"/>
      <c r="AF122" s="54"/>
      <c r="AG122" s="54"/>
      <c r="AH122" s="54"/>
      <c r="AI122" s="54"/>
      <c r="AJ122" s="54"/>
      <c r="AW122" s="18">
        <f t="shared" si="3"/>
        <v>0</v>
      </c>
    </row>
    <row r="123" spans="10:49" ht="15">
      <c r="J123" s="687"/>
      <c r="K123" s="54"/>
      <c r="L123" s="687"/>
      <c r="M123" s="491"/>
      <c r="N123" s="68"/>
      <c r="O123" s="68"/>
      <c r="P123" s="68"/>
      <c r="Q123" s="68"/>
      <c r="R123" s="68"/>
      <c r="S123" s="68"/>
      <c r="T123" s="68"/>
      <c r="U123" s="162"/>
      <c r="V123" s="54"/>
      <c r="W123" s="54"/>
      <c r="X123" s="54"/>
      <c r="Y123" s="54"/>
      <c r="Z123" s="54"/>
      <c r="AA123" s="54"/>
      <c r="AB123" s="54"/>
      <c r="AC123" s="54"/>
      <c r="AD123" s="54"/>
      <c r="AE123" s="54"/>
      <c r="AF123" s="54"/>
      <c r="AG123" s="54"/>
      <c r="AH123" s="54"/>
      <c r="AI123" s="54"/>
      <c r="AJ123" s="54"/>
      <c r="AW123" s="18">
        <f t="shared" si="3"/>
        <v>0</v>
      </c>
    </row>
    <row r="124" spans="10:49" ht="15">
      <c r="J124" s="687"/>
      <c r="K124" s="54"/>
      <c r="L124" s="687"/>
      <c r="M124" s="491"/>
      <c r="N124" s="68"/>
      <c r="O124" s="68"/>
      <c r="P124" s="68"/>
      <c r="Q124" s="68"/>
      <c r="R124" s="68"/>
      <c r="S124" s="68"/>
      <c r="T124" s="68"/>
      <c r="U124" s="162"/>
      <c r="V124" s="54"/>
      <c r="W124" s="54"/>
      <c r="X124" s="54"/>
      <c r="Y124" s="54"/>
      <c r="Z124" s="54"/>
      <c r="AA124" s="54"/>
      <c r="AB124" s="54"/>
      <c r="AC124" s="54"/>
      <c r="AD124" s="54"/>
      <c r="AE124" s="54"/>
      <c r="AF124" s="54"/>
      <c r="AG124" s="54"/>
      <c r="AH124" s="54"/>
      <c r="AI124" s="54"/>
      <c r="AJ124" s="54"/>
      <c r="AW124" s="18">
        <f t="shared" si="3"/>
        <v>0</v>
      </c>
    </row>
    <row r="125" spans="10:49" ht="15">
      <c r="J125" s="687"/>
      <c r="K125" s="54"/>
      <c r="L125" s="687"/>
      <c r="M125" s="491"/>
      <c r="N125" s="68"/>
      <c r="O125" s="68"/>
      <c r="P125" s="68"/>
      <c r="Q125" s="68"/>
      <c r="R125" s="68"/>
      <c r="S125" s="68"/>
      <c r="T125" s="68"/>
      <c r="U125" s="162"/>
      <c r="V125" s="54"/>
      <c r="W125" s="54"/>
      <c r="X125" s="54"/>
      <c r="Y125" s="54"/>
      <c r="Z125" s="54"/>
      <c r="AA125" s="54"/>
      <c r="AB125" s="54"/>
      <c r="AC125" s="54"/>
      <c r="AD125" s="54"/>
      <c r="AE125" s="54"/>
      <c r="AF125" s="54"/>
      <c r="AG125" s="54"/>
      <c r="AH125" s="54"/>
      <c r="AI125" s="54"/>
      <c r="AJ125" s="54"/>
      <c r="AW125" s="18">
        <f t="shared" si="3"/>
        <v>0</v>
      </c>
    </row>
    <row r="126" spans="10:49" ht="15">
      <c r="J126" s="687"/>
      <c r="K126" s="54"/>
      <c r="L126" s="687"/>
      <c r="M126" s="491"/>
      <c r="N126" s="68"/>
      <c r="O126" s="68"/>
      <c r="P126" s="68"/>
      <c r="Q126" s="68"/>
      <c r="R126" s="68"/>
      <c r="S126" s="68"/>
      <c r="T126" s="68"/>
      <c r="U126" s="162"/>
      <c r="V126" s="54"/>
      <c r="W126" s="54"/>
      <c r="X126" s="54"/>
      <c r="Y126" s="54"/>
      <c r="Z126" s="54"/>
      <c r="AA126" s="54"/>
      <c r="AB126" s="54"/>
      <c r="AC126" s="54"/>
      <c r="AD126" s="54"/>
      <c r="AE126" s="54"/>
      <c r="AF126" s="54"/>
      <c r="AG126" s="54"/>
      <c r="AH126" s="54"/>
      <c r="AI126" s="54"/>
      <c r="AJ126" s="54"/>
      <c r="AW126" s="18">
        <f t="shared" si="3"/>
        <v>0</v>
      </c>
    </row>
    <row r="127" spans="10:49" ht="15">
      <c r="J127" s="687"/>
      <c r="K127" s="54"/>
      <c r="L127" s="687"/>
      <c r="M127" s="491"/>
      <c r="N127" s="68"/>
      <c r="O127" s="68"/>
      <c r="P127" s="68"/>
      <c r="Q127" s="68"/>
      <c r="R127" s="68"/>
      <c r="S127" s="68"/>
      <c r="T127" s="68"/>
      <c r="U127" s="162"/>
      <c r="V127" s="54"/>
      <c r="W127" s="54"/>
      <c r="X127" s="54"/>
      <c r="Y127" s="54"/>
      <c r="Z127" s="54"/>
      <c r="AA127" s="54"/>
      <c r="AB127" s="54"/>
      <c r="AC127" s="54"/>
      <c r="AD127" s="54"/>
      <c r="AE127" s="54"/>
      <c r="AF127" s="54"/>
      <c r="AG127" s="54"/>
      <c r="AH127" s="54"/>
      <c r="AI127" s="54"/>
      <c r="AJ127" s="54"/>
      <c r="AW127" s="18">
        <f t="shared" si="3"/>
        <v>0</v>
      </c>
    </row>
    <row r="128" spans="10:49" ht="15">
      <c r="J128" s="687"/>
      <c r="K128" s="54"/>
      <c r="L128" s="687"/>
      <c r="M128" s="491"/>
      <c r="N128" s="68"/>
      <c r="O128" s="68"/>
      <c r="P128" s="68"/>
      <c r="Q128" s="68"/>
      <c r="R128" s="68"/>
      <c r="S128" s="68"/>
      <c r="T128" s="68"/>
      <c r="U128" s="162"/>
      <c r="V128" s="54"/>
      <c r="W128" s="54"/>
      <c r="X128" s="54"/>
      <c r="Y128" s="54"/>
      <c r="Z128" s="54"/>
      <c r="AA128" s="54"/>
      <c r="AB128" s="54"/>
      <c r="AC128" s="54"/>
      <c r="AD128" s="54"/>
      <c r="AE128" s="54"/>
      <c r="AF128" s="54"/>
      <c r="AG128" s="54"/>
      <c r="AH128" s="54"/>
      <c r="AI128" s="54"/>
      <c r="AJ128" s="54"/>
      <c r="AW128" s="18">
        <f t="shared" si="3"/>
        <v>0</v>
      </c>
    </row>
    <row r="129" spans="10:49" ht="15">
      <c r="J129" s="687"/>
      <c r="K129" s="54"/>
      <c r="L129" s="687"/>
      <c r="M129" s="491"/>
      <c r="N129" s="68"/>
      <c r="O129" s="68"/>
      <c r="P129" s="68"/>
      <c r="Q129" s="68"/>
      <c r="R129" s="68"/>
      <c r="S129" s="68"/>
      <c r="T129" s="68"/>
      <c r="U129" s="162"/>
      <c r="V129" s="54"/>
      <c r="W129" s="54"/>
      <c r="X129" s="54"/>
      <c r="Y129" s="54"/>
      <c r="Z129" s="54"/>
      <c r="AA129" s="54"/>
      <c r="AB129" s="54"/>
      <c r="AC129" s="54"/>
      <c r="AD129" s="54"/>
      <c r="AE129" s="54"/>
      <c r="AF129" s="54"/>
      <c r="AG129" s="54"/>
      <c r="AH129" s="54"/>
      <c r="AI129" s="54"/>
      <c r="AJ129" s="54"/>
      <c r="AW129" s="18">
        <f t="shared" si="3"/>
        <v>0</v>
      </c>
    </row>
    <row r="130" spans="10:49" ht="15">
      <c r="J130" s="687"/>
      <c r="K130" s="54"/>
      <c r="L130" s="687"/>
      <c r="M130" s="491"/>
      <c r="N130" s="68"/>
      <c r="O130" s="68"/>
      <c r="P130" s="68"/>
      <c r="Q130" s="68"/>
      <c r="R130" s="68"/>
      <c r="S130" s="68"/>
      <c r="T130" s="68"/>
      <c r="U130" s="162"/>
      <c r="V130" s="54"/>
      <c r="W130" s="54"/>
      <c r="X130" s="54"/>
      <c r="Y130" s="54"/>
      <c r="Z130" s="54"/>
      <c r="AA130" s="54"/>
      <c r="AB130" s="54"/>
      <c r="AC130" s="54"/>
      <c r="AD130" s="54"/>
      <c r="AE130" s="54"/>
      <c r="AF130" s="54"/>
      <c r="AG130" s="54"/>
      <c r="AH130" s="54"/>
      <c r="AI130" s="54"/>
      <c r="AJ130" s="54"/>
      <c r="AW130" s="18">
        <f t="shared" si="3"/>
        <v>0</v>
      </c>
    </row>
    <row r="131" spans="10:49" ht="15">
      <c r="J131" s="687"/>
      <c r="K131" s="54"/>
      <c r="L131" s="687"/>
      <c r="M131" s="491"/>
      <c r="N131" s="68"/>
      <c r="O131" s="68"/>
      <c r="P131" s="68"/>
      <c r="Q131" s="68"/>
      <c r="R131" s="68"/>
      <c r="S131" s="68"/>
      <c r="T131" s="68"/>
      <c r="U131" s="162"/>
      <c r="V131" s="54"/>
      <c r="W131" s="54"/>
      <c r="X131" s="54"/>
      <c r="Y131" s="54"/>
      <c r="Z131" s="54"/>
      <c r="AA131" s="54"/>
      <c r="AB131" s="54"/>
      <c r="AC131" s="54"/>
      <c r="AD131" s="54"/>
      <c r="AE131" s="54"/>
      <c r="AF131" s="54"/>
      <c r="AG131" s="54"/>
      <c r="AH131" s="54"/>
      <c r="AI131" s="54"/>
      <c r="AJ131" s="54"/>
      <c r="AW131" s="18">
        <f t="shared" si="3"/>
        <v>0</v>
      </c>
    </row>
    <row r="132" spans="10:49" ht="15">
      <c r="J132" s="687"/>
      <c r="K132" s="54"/>
      <c r="L132" s="687"/>
      <c r="M132" s="491"/>
      <c r="N132" s="68"/>
      <c r="O132" s="68"/>
      <c r="P132" s="68"/>
      <c r="Q132" s="68"/>
      <c r="R132" s="68"/>
      <c r="S132" s="68"/>
      <c r="T132" s="68"/>
      <c r="U132" s="162"/>
      <c r="V132" s="54"/>
      <c r="W132" s="54"/>
      <c r="X132" s="54"/>
      <c r="Y132" s="54"/>
      <c r="Z132" s="54"/>
      <c r="AA132" s="54"/>
      <c r="AB132" s="54"/>
      <c r="AC132" s="54"/>
      <c r="AD132" s="54"/>
      <c r="AE132" s="54"/>
      <c r="AF132" s="54"/>
      <c r="AG132" s="54"/>
      <c r="AH132" s="54"/>
      <c r="AI132" s="54"/>
      <c r="AJ132" s="54"/>
      <c r="AW132" s="18">
        <f t="shared" si="3"/>
        <v>0</v>
      </c>
    </row>
    <row r="133" spans="10:49" ht="15">
      <c r="J133" s="687"/>
      <c r="K133" s="54"/>
      <c r="L133" s="687"/>
      <c r="M133" s="491"/>
      <c r="N133" s="68"/>
      <c r="O133" s="68"/>
      <c r="P133" s="68"/>
      <c r="Q133" s="68"/>
      <c r="R133" s="68"/>
      <c r="S133" s="68"/>
      <c r="T133" s="68"/>
      <c r="U133" s="162"/>
      <c r="V133" s="54"/>
      <c r="W133" s="54"/>
      <c r="X133" s="54"/>
      <c r="Y133" s="54"/>
      <c r="Z133" s="54"/>
      <c r="AA133" s="54"/>
      <c r="AB133" s="54"/>
      <c r="AC133" s="54"/>
      <c r="AD133" s="54"/>
      <c r="AE133" s="54"/>
      <c r="AF133" s="54"/>
      <c r="AG133" s="54"/>
      <c r="AH133" s="54"/>
      <c r="AI133" s="54"/>
      <c r="AJ133" s="54"/>
      <c r="AW133" s="18">
        <f t="shared" si="3"/>
        <v>0</v>
      </c>
    </row>
    <row r="134" spans="10:49" ht="15">
      <c r="J134" s="687"/>
      <c r="K134" s="54"/>
      <c r="L134" s="687"/>
      <c r="M134" s="491"/>
      <c r="N134" s="68"/>
      <c r="O134" s="68"/>
      <c r="P134" s="68"/>
      <c r="Q134" s="68"/>
      <c r="R134" s="68"/>
      <c r="S134" s="68"/>
      <c r="T134" s="68"/>
      <c r="U134" s="162"/>
      <c r="V134" s="54"/>
      <c r="W134" s="54"/>
      <c r="X134" s="54"/>
      <c r="Y134" s="54"/>
      <c r="Z134" s="54"/>
      <c r="AA134" s="54"/>
      <c r="AB134" s="54"/>
      <c r="AC134" s="54"/>
      <c r="AD134" s="54"/>
      <c r="AE134" s="54"/>
      <c r="AF134" s="54"/>
      <c r="AG134" s="54"/>
      <c r="AH134" s="54"/>
      <c r="AI134" s="54"/>
      <c r="AJ134" s="54"/>
      <c r="AW134" s="18">
        <f t="shared" si="3"/>
        <v>0</v>
      </c>
    </row>
    <row r="135" spans="10:49" ht="15">
      <c r="J135" s="687"/>
      <c r="K135" s="54"/>
      <c r="L135" s="687"/>
      <c r="M135" s="491"/>
      <c r="N135" s="68"/>
      <c r="O135" s="68"/>
      <c r="P135" s="68"/>
      <c r="Q135" s="68"/>
      <c r="R135" s="68"/>
      <c r="S135" s="68"/>
      <c r="T135" s="68"/>
      <c r="U135" s="162"/>
      <c r="V135" s="54"/>
      <c r="W135" s="54"/>
      <c r="X135" s="54"/>
      <c r="Y135" s="54"/>
      <c r="Z135" s="54"/>
      <c r="AA135" s="54"/>
      <c r="AB135" s="54"/>
      <c r="AC135" s="54"/>
      <c r="AD135" s="54"/>
      <c r="AE135" s="54"/>
      <c r="AF135" s="54"/>
      <c r="AG135" s="54"/>
      <c r="AH135" s="54"/>
      <c r="AI135" s="54"/>
      <c r="AJ135" s="54"/>
      <c r="AW135" s="18">
        <f t="shared" si="3"/>
        <v>0</v>
      </c>
    </row>
    <row r="136" spans="10:49" ht="15">
      <c r="J136" s="687"/>
      <c r="K136" s="54"/>
      <c r="L136" s="687"/>
      <c r="M136" s="491"/>
      <c r="N136" s="68"/>
      <c r="O136" s="68"/>
      <c r="P136" s="68"/>
      <c r="Q136" s="68"/>
      <c r="R136" s="68"/>
      <c r="S136" s="68"/>
      <c r="T136" s="68"/>
      <c r="U136" s="162"/>
      <c r="V136" s="54"/>
      <c r="W136" s="54"/>
      <c r="X136" s="54"/>
      <c r="Y136" s="54"/>
      <c r="Z136" s="54"/>
      <c r="AA136" s="54"/>
      <c r="AB136" s="54"/>
      <c r="AC136" s="54"/>
      <c r="AD136" s="54"/>
      <c r="AE136" s="54"/>
      <c r="AF136" s="54"/>
      <c r="AG136" s="54"/>
      <c r="AH136" s="54"/>
      <c r="AI136" s="54"/>
      <c r="AJ136" s="54"/>
      <c r="AW136" s="18">
        <f t="shared" si="3"/>
        <v>0</v>
      </c>
    </row>
    <row r="137" spans="10:49" ht="15">
      <c r="J137" s="687"/>
      <c r="K137" s="54"/>
      <c r="L137" s="687"/>
      <c r="M137" s="491"/>
      <c r="N137" s="68"/>
      <c r="O137" s="68"/>
      <c r="P137" s="68"/>
      <c r="Q137" s="68"/>
      <c r="R137" s="68"/>
      <c r="S137" s="68"/>
      <c r="T137" s="68"/>
      <c r="U137" s="162"/>
      <c r="V137" s="54"/>
      <c r="W137" s="54"/>
      <c r="X137" s="54"/>
      <c r="Y137" s="54"/>
      <c r="Z137" s="54"/>
      <c r="AA137" s="54"/>
      <c r="AB137" s="54"/>
      <c r="AC137" s="54"/>
      <c r="AD137" s="54"/>
      <c r="AE137" s="54"/>
      <c r="AF137" s="54"/>
      <c r="AG137" s="54"/>
      <c r="AH137" s="54"/>
      <c r="AI137" s="54"/>
      <c r="AJ137" s="54"/>
      <c r="AW137" s="18">
        <f t="shared" si="3"/>
        <v>0</v>
      </c>
    </row>
    <row r="138" spans="10:49" ht="15">
      <c r="J138" s="687"/>
      <c r="K138" s="54"/>
      <c r="L138" s="687"/>
      <c r="M138" s="491"/>
      <c r="N138" s="68"/>
      <c r="O138" s="68"/>
      <c r="P138" s="68"/>
      <c r="Q138" s="68"/>
      <c r="R138" s="68"/>
      <c r="S138" s="68"/>
      <c r="T138" s="68"/>
      <c r="U138" s="162"/>
      <c r="V138" s="54"/>
      <c r="W138" s="54"/>
      <c r="X138" s="54"/>
      <c r="Y138" s="54"/>
      <c r="Z138" s="54"/>
      <c r="AA138" s="54"/>
      <c r="AB138" s="54"/>
      <c r="AC138" s="54"/>
      <c r="AD138" s="54"/>
      <c r="AE138" s="54"/>
      <c r="AF138" s="54"/>
      <c r="AG138" s="54"/>
      <c r="AH138" s="54"/>
      <c r="AI138" s="54"/>
      <c r="AJ138" s="54"/>
      <c r="AW138" s="18">
        <f t="shared" si="3"/>
        <v>0</v>
      </c>
    </row>
    <row r="139" spans="10:49" ht="15">
      <c r="J139" s="687"/>
      <c r="K139" s="54"/>
      <c r="L139" s="687"/>
      <c r="M139" s="491"/>
      <c r="N139" s="68"/>
      <c r="O139" s="68"/>
      <c r="P139" s="68"/>
      <c r="Q139" s="68"/>
      <c r="R139" s="68"/>
      <c r="S139" s="68"/>
      <c r="T139" s="68"/>
      <c r="U139" s="162"/>
      <c r="V139" s="54"/>
      <c r="W139" s="54"/>
      <c r="X139" s="54"/>
      <c r="Y139" s="54"/>
      <c r="Z139" s="54"/>
      <c r="AA139" s="54"/>
      <c r="AB139" s="54"/>
      <c r="AC139" s="54"/>
      <c r="AD139" s="54"/>
      <c r="AE139" s="54"/>
      <c r="AF139" s="54"/>
      <c r="AG139" s="54"/>
      <c r="AH139" s="54"/>
      <c r="AI139" s="54"/>
      <c r="AJ139" s="54"/>
      <c r="AW139" s="18">
        <f t="shared" ref="AW139:AW202" si="4">LEN(L139)</f>
        <v>0</v>
      </c>
    </row>
    <row r="140" spans="10:49" ht="15">
      <c r="J140" s="687"/>
      <c r="K140" s="54"/>
      <c r="L140" s="687"/>
      <c r="M140" s="491"/>
      <c r="N140" s="68"/>
      <c r="O140" s="68"/>
      <c r="P140" s="68"/>
      <c r="Q140" s="68"/>
      <c r="R140" s="68"/>
      <c r="S140" s="68"/>
      <c r="T140" s="68"/>
      <c r="U140" s="162"/>
      <c r="V140" s="54"/>
      <c r="W140" s="54"/>
      <c r="X140" s="54"/>
      <c r="Y140" s="54"/>
      <c r="Z140" s="54"/>
      <c r="AA140" s="54"/>
      <c r="AB140" s="54"/>
      <c r="AC140" s="54"/>
      <c r="AD140" s="54"/>
      <c r="AE140" s="54"/>
      <c r="AF140" s="54"/>
      <c r="AG140" s="54"/>
      <c r="AH140" s="54"/>
      <c r="AI140" s="54"/>
      <c r="AJ140" s="54"/>
      <c r="AW140" s="18">
        <f t="shared" si="4"/>
        <v>0</v>
      </c>
    </row>
    <row r="141" spans="10:49" ht="15">
      <c r="J141" s="687"/>
      <c r="K141" s="54"/>
      <c r="L141" s="687"/>
      <c r="M141" s="491"/>
      <c r="N141" s="68"/>
      <c r="O141" s="68"/>
      <c r="P141" s="68"/>
      <c r="Q141" s="68"/>
      <c r="R141" s="68"/>
      <c r="S141" s="68"/>
      <c r="T141" s="68"/>
      <c r="U141" s="162"/>
      <c r="V141" s="54"/>
      <c r="W141" s="54"/>
      <c r="X141" s="54"/>
      <c r="Y141" s="54"/>
      <c r="Z141" s="54"/>
      <c r="AA141" s="54"/>
      <c r="AB141" s="54"/>
      <c r="AC141" s="54"/>
      <c r="AD141" s="54"/>
      <c r="AE141" s="54"/>
      <c r="AF141" s="54"/>
      <c r="AG141" s="54"/>
      <c r="AH141" s="54"/>
      <c r="AI141" s="54"/>
      <c r="AJ141" s="54"/>
      <c r="AW141" s="18">
        <f t="shared" si="4"/>
        <v>0</v>
      </c>
    </row>
    <row r="142" spans="10:49" ht="15">
      <c r="J142" s="687"/>
      <c r="K142" s="54"/>
      <c r="L142" s="687"/>
      <c r="M142" s="491"/>
      <c r="N142" s="68"/>
      <c r="O142" s="68"/>
      <c r="P142" s="68"/>
      <c r="Q142" s="68"/>
      <c r="R142" s="68"/>
      <c r="S142" s="68"/>
      <c r="T142" s="68"/>
      <c r="U142" s="162"/>
      <c r="V142" s="54"/>
      <c r="W142" s="54"/>
      <c r="X142" s="54"/>
      <c r="Y142" s="54"/>
      <c r="Z142" s="54"/>
      <c r="AA142" s="54"/>
      <c r="AB142" s="54"/>
      <c r="AC142" s="54"/>
      <c r="AD142" s="54"/>
      <c r="AE142" s="54"/>
      <c r="AF142" s="54"/>
      <c r="AG142" s="54"/>
      <c r="AH142" s="54"/>
      <c r="AI142" s="54"/>
      <c r="AJ142" s="54"/>
      <c r="AW142" s="18">
        <f t="shared" si="4"/>
        <v>0</v>
      </c>
    </row>
    <row r="143" spans="10:49" ht="15">
      <c r="J143" s="687"/>
      <c r="K143" s="54"/>
      <c r="L143" s="687"/>
      <c r="M143" s="491"/>
      <c r="N143" s="68"/>
      <c r="O143" s="68"/>
      <c r="P143" s="68"/>
      <c r="Q143" s="68"/>
      <c r="R143" s="68"/>
      <c r="S143" s="68"/>
      <c r="T143" s="68"/>
      <c r="U143" s="162"/>
      <c r="V143" s="54"/>
      <c r="W143" s="54"/>
      <c r="X143" s="54"/>
      <c r="Y143" s="54"/>
      <c r="Z143" s="54"/>
      <c r="AA143" s="54"/>
      <c r="AB143" s="54"/>
      <c r="AC143" s="54"/>
      <c r="AD143" s="54"/>
      <c r="AE143" s="54"/>
      <c r="AF143" s="54"/>
      <c r="AG143" s="54"/>
      <c r="AH143" s="54"/>
      <c r="AI143" s="54"/>
      <c r="AJ143" s="54"/>
      <c r="AW143" s="18">
        <f t="shared" si="4"/>
        <v>0</v>
      </c>
    </row>
    <row r="144" spans="10:49" ht="15">
      <c r="J144" s="687"/>
      <c r="K144" s="54"/>
      <c r="L144" s="687"/>
      <c r="M144" s="491"/>
      <c r="N144" s="68"/>
      <c r="O144" s="68"/>
      <c r="P144" s="68"/>
      <c r="Q144" s="68"/>
      <c r="R144" s="68"/>
      <c r="S144" s="68"/>
      <c r="T144" s="68"/>
      <c r="U144" s="162"/>
      <c r="V144" s="54"/>
      <c r="W144" s="54"/>
      <c r="X144" s="54"/>
      <c r="Y144" s="54"/>
      <c r="Z144" s="54"/>
      <c r="AA144" s="54"/>
      <c r="AB144" s="54"/>
      <c r="AC144" s="54"/>
      <c r="AD144" s="54"/>
      <c r="AE144" s="54"/>
      <c r="AF144" s="54"/>
      <c r="AG144" s="54"/>
      <c r="AH144" s="54"/>
      <c r="AI144" s="54"/>
      <c r="AJ144" s="54"/>
      <c r="AW144" s="18">
        <f t="shared" si="4"/>
        <v>0</v>
      </c>
    </row>
    <row r="145" spans="10:49" ht="15">
      <c r="J145" s="687"/>
      <c r="K145" s="54"/>
      <c r="L145" s="687"/>
      <c r="M145" s="491"/>
      <c r="N145" s="68"/>
      <c r="O145" s="68"/>
      <c r="P145" s="68"/>
      <c r="Q145" s="68"/>
      <c r="R145" s="68"/>
      <c r="S145" s="68"/>
      <c r="T145" s="68"/>
      <c r="U145" s="162"/>
      <c r="V145" s="54"/>
      <c r="W145" s="54"/>
      <c r="X145" s="54"/>
      <c r="Y145" s="54"/>
      <c r="Z145" s="54"/>
      <c r="AA145" s="54"/>
      <c r="AB145" s="54"/>
      <c r="AC145" s="54"/>
      <c r="AD145" s="54"/>
      <c r="AE145" s="54"/>
      <c r="AF145" s="54"/>
      <c r="AG145" s="54"/>
      <c r="AH145" s="54"/>
      <c r="AI145" s="54"/>
      <c r="AJ145" s="54"/>
      <c r="AW145" s="18">
        <f t="shared" si="4"/>
        <v>0</v>
      </c>
    </row>
    <row r="146" spans="10:49" ht="15">
      <c r="J146" s="687"/>
      <c r="K146" s="54"/>
      <c r="L146" s="687"/>
      <c r="M146" s="491"/>
      <c r="N146" s="68"/>
      <c r="O146" s="68"/>
      <c r="P146" s="68"/>
      <c r="Q146" s="68"/>
      <c r="R146" s="68"/>
      <c r="S146" s="68"/>
      <c r="T146" s="68"/>
      <c r="U146" s="162"/>
      <c r="V146" s="54"/>
      <c r="W146" s="54"/>
      <c r="X146" s="54"/>
      <c r="Y146" s="54"/>
      <c r="Z146" s="54"/>
      <c r="AA146" s="54"/>
      <c r="AB146" s="54"/>
      <c r="AC146" s="54"/>
      <c r="AD146" s="54"/>
      <c r="AE146" s="54"/>
      <c r="AF146" s="54"/>
      <c r="AG146" s="54"/>
      <c r="AH146" s="54"/>
      <c r="AI146" s="54"/>
      <c r="AJ146" s="54"/>
      <c r="AW146" s="18">
        <f t="shared" si="4"/>
        <v>0</v>
      </c>
    </row>
    <row r="147" spans="10:49" ht="15">
      <c r="J147" s="687"/>
      <c r="K147" s="54"/>
      <c r="L147" s="687"/>
      <c r="M147" s="491"/>
      <c r="N147" s="68"/>
      <c r="O147" s="68"/>
      <c r="P147" s="68"/>
      <c r="Q147" s="68"/>
      <c r="R147" s="68"/>
      <c r="S147" s="68"/>
      <c r="T147" s="68"/>
      <c r="U147" s="162"/>
      <c r="V147" s="54"/>
      <c r="W147" s="54"/>
      <c r="X147" s="54"/>
      <c r="Y147" s="54"/>
      <c r="Z147" s="54"/>
      <c r="AA147" s="54"/>
      <c r="AB147" s="54"/>
      <c r="AC147" s="54"/>
      <c r="AD147" s="54"/>
      <c r="AE147" s="54"/>
      <c r="AF147" s="54"/>
      <c r="AG147" s="54"/>
      <c r="AH147" s="54"/>
      <c r="AI147" s="54"/>
      <c r="AJ147" s="54"/>
      <c r="AW147" s="18">
        <f t="shared" si="4"/>
        <v>0</v>
      </c>
    </row>
    <row r="148" spans="10:49" ht="15">
      <c r="J148" s="685"/>
      <c r="L148" s="685"/>
      <c r="M148" s="491"/>
      <c r="AW148" s="18">
        <f t="shared" si="4"/>
        <v>0</v>
      </c>
    </row>
    <row r="149" spans="10:49" ht="15">
      <c r="J149" s="686"/>
      <c r="L149" s="686"/>
      <c r="M149" s="491"/>
      <c r="AW149" s="18">
        <f t="shared" si="4"/>
        <v>0</v>
      </c>
    </row>
    <row r="150" spans="10:49" ht="15">
      <c r="J150" s="686"/>
      <c r="L150" s="686"/>
      <c r="M150" s="491"/>
      <c r="AW150" s="18">
        <f t="shared" si="4"/>
        <v>0</v>
      </c>
    </row>
    <row r="151" spans="10:49" ht="15">
      <c r="J151" s="686"/>
      <c r="L151" s="686"/>
      <c r="M151" s="491"/>
      <c r="AW151" s="18">
        <f t="shared" si="4"/>
        <v>0</v>
      </c>
    </row>
    <row r="152" spans="10:49" ht="15">
      <c r="J152" s="686"/>
      <c r="L152" s="686"/>
      <c r="M152" s="491"/>
      <c r="AW152" s="18">
        <f t="shared" si="4"/>
        <v>0</v>
      </c>
    </row>
    <row r="153" spans="10:49" ht="15">
      <c r="J153" s="686"/>
      <c r="L153" s="686"/>
      <c r="M153" s="491"/>
      <c r="AW153" s="18">
        <f t="shared" si="4"/>
        <v>0</v>
      </c>
    </row>
    <row r="154" spans="10:49" ht="15">
      <c r="J154" s="686"/>
      <c r="L154" s="686"/>
      <c r="M154" s="491"/>
      <c r="AW154" s="18">
        <f t="shared" si="4"/>
        <v>0</v>
      </c>
    </row>
    <row r="155" spans="10:49" ht="15">
      <c r="J155" s="686"/>
      <c r="L155" s="686"/>
      <c r="M155" s="491"/>
      <c r="AW155" s="18">
        <f t="shared" si="4"/>
        <v>0</v>
      </c>
    </row>
    <row r="156" spans="10:49" ht="15">
      <c r="J156" s="686"/>
      <c r="L156" s="686"/>
      <c r="M156" s="491"/>
      <c r="AW156" s="18">
        <f t="shared" si="4"/>
        <v>0</v>
      </c>
    </row>
    <row r="157" spans="10:49" ht="15">
      <c r="J157" s="686"/>
      <c r="L157" s="686"/>
      <c r="M157" s="491"/>
      <c r="AW157" s="18">
        <f t="shared" si="4"/>
        <v>0</v>
      </c>
    </row>
    <row r="158" spans="10:49" ht="15">
      <c r="J158" s="686"/>
      <c r="L158" s="686"/>
      <c r="M158" s="491"/>
      <c r="AW158" s="18">
        <f t="shared" si="4"/>
        <v>0</v>
      </c>
    </row>
    <row r="159" spans="10:49" ht="15">
      <c r="J159" s="686"/>
      <c r="L159" s="686"/>
      <c r="M159" s="491"/>
      <c r="AW159" s="18">
        <f t="shared" si="4"/>
        <v>0</v>
      </c>
    </row>
    <row r="160" spans="10:49" ht="15">
      <c r="J160" s="686"/>
      <c r="L160" s="686"/>
      <c r="M160" s="491"/>
      <c r="AW160" s="18">
        <f t="shared" si="4"/>
        <v>0</v>
      </c>
    </row>
    <row r="161" spans="10:49" ht="15">
      <c r="J161" s="397"/>
      <c r="L161" s="397"/>
      <c r="M161" s="491"/>
      <c r="AW161" s="18">
        <f t="shared" si="4"/>
        <v>0</v>
      </c>
    </row>
    <row r="162" spans="10:49" ht="15">
      <c r="AW162" s="18">
        <f t="shared" si="4"/>
        <v>0</v>
      </c>
    </row>
    <row r="163" spans="10:49" ht="15">
      <c r="AW163" s="18">
        <f t="shared" si="4"/>
        <v>0</v>
      </c>
    </row>
    <row r="164" spans="10:49" ht="15">
      <c r="AW164" s="18">
        <f t="shared" si="4"/>
        <v>0</v>
      </c>
    </row>
    <row r="165" spans="10:49" ht="15">
      <c r="AW165" s="18">
        <f t="shared" si="4"/>
        <v>0</v>
      </c>
    </row>
    <row r="166" spans="10:49" ht="15">
      <c r="AW166" s="18">
        <f t="shared" si="4"/>
        <v>0</v>
      </c>
    </row>
    <row r="167" spans="10:49" ht="15">
      <c r="AW167" s="18">
        <f t="shared" si="4"/>
        <v>0</v>
      </c>
    </row>
    <row r="168" spans="10:49" ht="15">
      <c r="AW168" s="18">
        <f t="shared" si="4"/>
        <v>0</v>
      </c>
    </row>
    <row r="169" spans="10:49" ht="15">
      <c r="AW169" s="18">
        <f t="shared" si="4"/>
        <v>0</v>
      </c>
    </row>
    <row r="170" spans="10:49" ht="15">
      <c r="AW170" s="18">
        <f t="shared" si="4"/>
        <v>0</v>
      </c>
    </row>
    <row r="171" spans="10:49" ht="15">
      <c r="AW171" s="18">
        <f t="shared" si="4"/>
        <v>0</v>
      </c>
    </row>
    <row r="172" spans="10:49" ht="15">
      <c r="AW172" s="18">
        <f t="shared" si="4"/>
        <v>0</v>
      </c>
    </row>
    <row r="173" spans="10:49" ht="15">
      <c r="AW173" s="18">
        <f t="shared" si="4"/>
        <v>0</v>
      </c>
    </row>
    <row r="174" spans="10:49" ht="15">
      <c r="AW174" s="18">
        <f t="shared" si="4"/>
        <v>0</v>
      </c>
    </row>
    <row r="175" spans="10:49" ht="15">
      <c r="AW175" s="18">
        <f t="shared" si="4"/>
        <v>0</v>
      </c>
    </row>
    <row r="176" spans="10:49" ht="15">
      <c r="AW176" s="18">
        <f t="shared" si="4"/>
        <v>0</v>
      </c>
    </row>
    <row r="177" spans="49:49" ht="15">
      <c r="AW177" s="18">
        <f t="shared" si="4"/>
        <v>0</v>
      </c>
    </row>
    <row r="178" spans="49:49" ht="15">
      <c r="AW178" s="18">
        <f t="shared" si="4"/>
        <v>0</v>
      </c>
    </row>
    <row r="179" spans="49:49" ht="15">
      <c r="AW179" s="18">
        <f t="shared" si="4"/>
        <v>0</v>
      </c>
    </row>
    <row r="180" spans="49:49" ht="15">
      <c r="AW180" s="18">
        <f t="shared" si="4"/>
        <v>0</v>
      </c>
    </row>
    <row r="181" spans="49:49" ht="15">
      <c r="AW181" s="18">
        <f t="shared" si="4"/>
        <v>0</v>
      </c>
    </row>
    <row r="182" spans="49:49" ht="15">
      <c r="AW182" s="18">
        <f t="shared" si="4"/>
        <v>0</v>
      </c>
    </row>
    <row r="183" spans="49:49" ht="15">
      <c r="AW183" s="18">
        <f t="shared" si="4"/>
        <v>0</v>
      </c>
    </row>
    <row r="184" spans="49:49" ht="15">
      <c r="AW184" s="18">
        <f t="shared" si="4"/>
        <v>0</v>
      </c>
    </row>
    <row r="185" spans="49:49" ht="15">
      <c r="AW185" s="18">
        <f t="shared" si="4"/>
        <v>0</v>
      </c>
    </row>
    <row r="186" spans="49:49" ht="15">
      <c r="AW186" s="18">
        <f t="shared" si="4"/>
        <v>0</v>
      </c>
    </row>
    <row r="187" spans="49:49" ht="15">
      <c r="AW187" s="18">
        <f t="shared" si="4"/>
        <v>0</v>
      </c>
    </row>
    <row r="188" spans="49:49" ht="15">
      <c r="AW188" s="18">
        <f t="shared" si="4"/>
        <v>0</v>
      </c>
    </row>
    <row r="189" spans="49:49" ht="15">
      <c r="AW189" s="18">
        <f t="shared" si="4"/>
        <v>0</v>
      </c>
    </row>
    <row r="190" spans="49:49" ht="15">
      <c r="AW190" s="18">
        <f t="shared" si="4"/>
        <v>0</v>
      </c>
    </row>
    <row r="191" spans="49:49" ht="15">
      <c r="AW191" s="18">
        <f t="shared" si="4"/>
        <v>0</v>
      </c>
    </row>
    <row r="192" spans="49:49" ht="15">
      <c r="AW192" s="18">
        <f t="shared" si="4"/>
        <v>0</v>
      </c>
    </row>
    <row r="193" spans="49:49" ht="15">
      <c r="AW193" s="18">
        <f t="shared" si="4"/>
        <v>0</v>
      </c>
    </row>
    <row r="194" spans="49:49" ht="15">
      <c r="AW194" s="18">
        <f t="shared" si="4"/>
        <v>0</v>
      </c>
    </row>
    <row r="195" spans="49:49" ht="15">
      <c r="AW195" s="18">
        <f t="shared" si="4"/>
        <v>0</v>
      </c>
    </row>
    <row r="196" spans="49:49" ht="15">
      <c r="AW196" s="18">
        <f t="shared" si="4"/>
        <v>0</v>
      </c>
    </row>
    <row r="197" spans="49:49" ht="15">
      <c r="AW197" s="18">
        <f t="shared" si="4"/>
        <v>0</v>
      </c>
    </row>
    <row r="198" spans="49:49" ht="15">
      <c r="AW198" s="18">
        <f t="shared" si="4"/>
        <v>0</v>
      </c>
    </row>
    <row r="199" spans="49:49" ht="15">
      <c r="AW199" s="18">
        <f t="shared" si="4"/>
        <v>0</v>
      </c>
    </row>
    <row r="200" spans="49:49" ht="15">
      <c r="AW200" s="18">
        <f t="shared" si="4"/>
        <v>0</v>
      </c>
    </row>
    <row r="201" spans="49:49" ht="15">
      <c r="AW201" s="18">
        <f t="shared" si="4"/>
        <v>0</v>
      </c>
    </row>
    <row r="202" spans="49:49" ht="15">
      <c r="AW202" s="18">
        <f t="shared" si="4"/>
        <v>0</v>
      </c>
    </row>
    <row r="203" spans="49:49" ht="15">
      <c r="AW203" s="18">
        <f t="shared" ref="AW203:AW266" si="5">LEN(L203)</f>
        <v>0</v>
      </c>
    </row>
    <row r="204" spans="49:49" ht="15">
      <c r="AW204" s="18">
        <f t="shared" si="5"/>
        <v>0</v>
      </c>
    </row>
    <row r="205" spans="49:49" ht="15">
      <c r="AW205" s="18">
        <f t="shared" si="5"/>
        <v>0</v>
      </c>
    </row>
    <row r="206" spans="49:49" ht="15">
      <c r="AW206" s="18">
        <f t="shared" si="5"/>
        <v>0</v>
      </c>
    </row>
    <row r="207" spans="49:49" ht="15">
      <c r="AW207" s="18">
        <f t="shared" si="5"/>
        <v>0</v>
      </c>
    </row>
    <row r="208" spans="49:49" ht="15">
      <c r="AW208" s="18">
        <f t="shared" si="5"/>
        <v>0</v>
      </c>
    </row>
    <row r="209" spans="49:49" ht="15">
      <c r="AW209" s="18">
        <f t="shared" si="5"/>
        <v>0</v>
      </c>
    </row>
    <row r="210" spans="49:49" ht="15">
      <c r="AW210" s="18">
        <f t="shared" si="5"/>
        <v>0</v>
      </c>
    </row>
    <row r="211" spans="49:49" ht="15">
      <c r="AW211" s="18">
        <f t="shared" si="5"/>
        <v>0</v>
      </c>
    </row>
    <row r="212" spans="49:49" ht="15">
      <c r="AW212" s="18">
        <f t="shared" si="5"/>
        <v>0</v>
      </c>
    </row>
    <row r="213" spans="49:49" ht="15">
      <c r="AW213" s="18">
        <f t="shared" si="5"/>
        <v>0</v>
      </c>
    </row>
    <row r="214" spans="49:49" ht="15">
      <c r="AW214" s="18">
        <f t="shared" si="5"/>
        <v>0</v>
      </c>
    </row>
    <row r="215" spans="49:49" ht="15">
      <c r="AW215" s="18">
        <f t="shared" si="5"/>
        <v>0</v>
      </c>
    </row>
    <row r="216" spans="49:49" ht="15">
      <c r="AW216" s="18">
        <f t="shared" si="5"/>
        <v>0</v>
      </c>
    </row>
    <row r="217" spans="49:49" ht="15">
      <c r="AW217" s="18">
        <f t="shared" si="5"/>
        <v>0</v>
      </c>
    </row>
    <row r="218" spans="49:49" ht="15">
      <c r="AW218" s="18">
        <f t="shared" si="5"/>
        <v>0</v>
      </c>
    </row>
    <row r="219" spans="49:49" ht="15">
      <c r="AW219" s="18">
        <f t="shared" si="5"/>
        <v>0</v>
      </c>
    </row>
    <row r="220" spans="49:49" ht="15">
      <c r="AW220" s="18">
        <f t="shared" si="5"/>
        <v>0</v>
      </c>
    </row>
    <row r="221" spans="49:49" ht="15">
      <c r="AW221" s="18">
        <f t="shared" si="5"/>
        <v>0</v>
      </c>
    </row>
    <row r="222" spans="49:49" ht="15">
      <c r="AW222" s="18">
        <f t="shared" si="5"/>
        <v>0</v>
      </c>
    </row>
    <row r="223" spans="49:49" ht="15">
      <c r="AW223" s="18">
        <f t="shared" si="5"/>
        <v>0</v>
      </c>
    </row>
    <row r="224" spans="49:49" ht="15">
      <c r="AW224" s="18">
        <f t="shared" si="5"/>
        <v>0</v>
      </c>
    </row>
    <row r="225" spans="49:49" ht="15">
      <c r="AW225" s="18">
        <f t="shared" si="5"/>
        <v>0</v>
      </c>
    </row>
    <row r="226" spans="49:49" ht="15">
      <c r="AW226" s="18">
        <f t="shared" si="5"/>
        <v>0</v>
      </c>
    </row>
    <row r="227" spans="49:49" ht="15">
      <c r="AW227" s="18">
        <f t="shared" si="5"/>
        <v>0</v>
      </c>
    </row>
    <row r="228" spans="49:49" ht="15">
      <c r="AW228" s="18">
        <f t="shared" si="5"/>
        <v>0</v>
      </c>
    </row>
    <row r="229" spans="49:49" ht="15">
      <c r="AW229" s="18">
        <f t="shared" si="5"/>
        <v>0</v>
      </c>
    </row>
    <row r="230" spans="49:49" ht="15">
      <c r="AW230" s="18">
        <f t="shared" si="5"/>
        <v>0</v>
      </c>
    </row>
    <row r="231" spans="49:49" ht="15">
      <c r="AW231" s="18">
        <f t="shared" si="5"/>
        <v>0</v>
      </c>
    </row>
    <row r="232" spans="49:49" ht="15">
      <c r="AW232" s="18">
        <f t="shared" si="5"/>
        <v>0</v>
      </c>
    </row>
    <row r="233" spans="49:49" ht="15">
      <c r="AW233" s="18">
        <f t="shared" si="5"/>
        <v>0</v>
      </c>
    </row>
    <row r="234" spans="49:49" ht="15">
      <c r="AW234" s="18">
        <f t="shared" si="5"/>
        <v>0</v>
      </c>
    </row>
    <row r="235" spans="49:49" ht="15">
      <c r="AW235" s="18">
        <f t="shared" si="5"/>
        <v>0</v>
      </c>
    </row>
    <row r="236" spans="49:49" ht="15">
      <c r="AW236" s="18">
        <f t="shared" si="5"/>
        <v>0</v>
      </c>
    </row>
    <row r="237" spans="49:49" ht="15">
      <c r="AW237" s="18">
        <f t="shared" si="5"/>
        <v>0</v>
      </c>
    </row>
    <row r="238" spans="49:49" ht="15">
      <c r="AW238" s="18">
        <f t="shared" si="5"/>
        <v>0</v>
      </c>
    </row>
    <row r="239" spans="49:49" ht="15">
      <c r="AW239" s="18">
        <f t="shared" si="5"/>
        <v>0</v>
      </c>
    </row>
    <row r="240" spans="49:49" ht="15">
      <c r="AW240" s="18">
        <f t="shared" si="5"/>
        <v>0</v>
      </c>
    </row>
    <row r="241" spans="49:49" ht="15">
      <c r="AW241" s="18">
        <f t="shared" si="5"/>
        <v>0</v>
      </c>
    </row>
    <row r="242" spans="49:49" ht="15">
      <c r="AW242" s="18">
        <f t="shared" si="5"/>
        <v>0</v>
      </c>
    </row>
    <row r="243" spans="49:49" ht="15">
      <c r="AW243" s="18">
        <f t="shared" si="5"/>
        <v>0</v>
      </c>
    </row>
    <row r="244" spans="49:49" ht="15">
      <c r="AW244" s="18">
        <f t="shared" si="5"/>
        <v>0</v>
      </c>
    </row>
    <row r="245" spans="49:49" ht="15">
      <c r="AW245" s="18">
        <f t="shared" si="5"/>
        <v>0</v>
      </c>
    </row>
    <row r="246" spans="49:49" ht="15">
      <c r="AW246" s="18">
        <f t="shared" si="5"/>
        <v>0</v>
      </c>
    </row>
    <row r="247" spans="49:49" ht="15">
      <c r="AW247" s="18">
        <f t="shared" si="5"/>
        <v>0</v>
      </c>
    </row>
    <row r="248" spans="49:49" ht="15">
      <c r="AW248" s="18">
        <f t="shared" si="5"/>
        <v>0</v>
      </c>
    </row>
    <row r="249" spans="49:49" ht="15">
      <c r="AW249" s="18">
        <f t="shared" si="5"/>
        <v>0</v>
      </c>
    </row>
    <row r="250" spans="49:49" ht="15">
      <c r="AW250" s="18">
        <f t="shared" si="5"/>
        <v>0</v>
      </c>
    </row>
    <row r="251" spans="49:49" ht="15">
      <c r="AW251" s="18">
        <f t="shared" si="5"/>
        <v>0</v>
      </c>
    </row>
    <row r="252" spans="49:49" ht="15">
      <c r="AW252" s="18">
        <f t="shared" si="5"/>
        <v>0</v>
      </c>
    </row>
    <row r="253" spans="49:49" ht="15">
      <c r="AW253" s="18">
        <f t="shared" si="5"/>
        <v>0</v>
      </c>
    </row>
    <row r="254" spans="49:49" ht="15">
      <c r="AW254" s="18">
        <f t="shared" si="5"/>
        <v>0</v>
      </c>
    </row>
    <row r="255" spans="49:49" ht="15">
      <c r="AW255" s="18">
        <f t="shared" si="5"/>
        <v>0</v>
      </c>
    </row>
    <row r="256" spans="49:49" ht="15">
      <c r="AW256" s="18">
        <f t="shared" si="5"/>
        <v>0</v>
      </c>
    </row>
    <row r="257" spans="49:49" ht="15">
      <c r="AW257" s="18">
        <f t="shared" si="5"/>
        <v>0</v>
      </c>
    </row>
    <row r="258" spans="49:49" ht="15">
      <c r="AW258" s="18">
        <f t="shared" si="5"/>
        <v>0</v>
      </c>
    </row>
    <row r="259" spans="49:49" ht="15">
      <c r="AW259" s="18">
        <f t="shared" si="5"/>
        <v>0</v>
      </c>
    </row>
    <row r="260" spans="49:49" ht="15">
      <c r="AW260" s="18">
        <f t="shared" si="5"/>
        <v>0</v>
      </c>
    </row>
    <row r="261" spans="49:49" ht="15">
      <c r="AW261" s="18">
        <f t="shared" si="5"/>
        <v>0</v>
      </c>
    </row>
    <row r="262" spans="49:49" ht="15">
      <c r="AW262" s="18">
        <f t="shared" si="5"/>
        <v>0</v>
      </c>
    </row>
    <row r="263" spans="49:49" ht="15">
      <c r="AW263" s="18">
        <f t="shared" si="5"/>
        <v>0</v>
      </c>
    </row>
    <row r="264" spans="49:49" ht="15">
      <c r="AW264" s="18">
        <f t="shared" si="5"/>
        <v>0</v>
      </c>
    </row>
    <row r="265" spans="49:49" ht="15">
      <c r="AW265" s="18">
        <f t="shared" si="5"/>
        <v>0</v>
      </c>
    </row>
    <row r="266" spans="49:49" ht="15">
      <c r="AW266" s="18">
        <f t="shared" si="5"/>
        <v>0</v>
      </c>
    </row>
    <row r="267" spans="49:49" ht="15">
      <c r="AW267" s="18">
        <f t="shared" ref="AW267:AW330" si="6">LEN(L267)</f>
        <v>0</v>
      </c>
    </row>
    <row r="268" spans="49:49" ht="15">
      <c r="AW268" s="18">
        <f t="shared" si="6"/>
        <v>0</v>
      </c>
    </row>
    <row r="269" spans="49:49" ht="15">
      <c r="AW269" s="18">
        <f t="shared" si="6"/>
        <v>0</v>
      </c>
    </row>
    <row r="270" spans="49:49" ht="15">
      <c r="AW270" s="18">
        <f t="shared" si="6"/>
        <v>0</v>
      </c>
    </row>
    <row r="271" spans="49:49" ht="15">
      <c r="AW271" s="18">
        <f t="shared" si="6"/>
        <v>0</v>
      </c>
    </row>
    <row r="272" spans="49:49" ht="15">
      <c r="AW272" s="18">
        <f t="shared" si="6"/>
        <v>0</v>
      </c>
    </row>
    <row r="273" spans="49:49" ht="15">
      <c r="AW273" s="18">
        <f t="shared" si="6"/>
        <v>0</v>
      </c>
    </row>
    <row r="274" spans="49:49" ht="15">
      <c r="AW274" s="18">
        <f t="shared" si="6"/>
        <v>0</v>
      </c>
    </row>
    <row r="275" spans="49:49" ht="15">
      <c r="AW275" s="18">
        <f t="shared" si="6"/>
        <v>0</v>
      </c>
    </row>
    <row r="276" spans="49:49" ht="15">
      <c r="AW276" s="18">
        <f t="shared" si="6"/>
        <v>0</v>
      </c>
    </row>
    <row r="277" spans="49:49" ht="15">
      <c r="AW277" s="18">
        <f t="shared" si="6"/>
        <v>0</v>
      </c>
    </row>
    <row r="278" spans="49:49" ht="15">
      <c r="AW278" s="18">
        <f t="shared" si="6"/>
        <v>0</v>
      </c>
    </row>
    <row r="279" spans="49:49" ht="15">
      <c r="AW279" s="18">
        <f t="shared" si="6"/>
        <v>0</v>
      </c>
    </row>
    <row r="280" spans="49:49" ht="15">
      <c r="AW280" s="18">
        <f t="shared" si="6"/>
        <v>0</v>
      </c>
    </row>
    <row r="281" spans="49:49" ht="15">
      <c r="AW281" s="18">
        <f t="shared" si="6"/>
        <v>0</v>
      </c>
    </row>
    <row r="282" spans="49:49" ht="15">
      <c r="AW282" s="18">
        <f t="shared" si="6"/>
        <v>0</v>
      </c>
    </row>
    <row r="283" spans="49:49" ht="15">
      <c r="AW283" s="18">
        <f t="shared" si="6"/>
        <v>0</v>
      </c>
    </row>
    <row r="284" spans="49:49" ht="15">
      <c r="AW284" s="18">
        <f t="shared" si="6"/>
        <v>0</v>
      </c>
    </row>
    <row r="285" spans="49:49" ht="15">
      <c r="AW285" s="18">
        <f t="shared" si="6"/>
        <v>0</v>
      </c>
    </row>
    <row r="286" spans="49:49" ht="15">
      <c r="AW286" s="18">
        <f t="shared" si="6"/>
        <v>0</v>
      </c>
    </row>
    <row r="287" spans="49:49" ht="15">
      <c r="AW287" s="18">
        <f t="shared" si="6"/>
        <v>0</v>
      </c>
    </row>
    <row r="288" spans="49:49" ht="15">
      <c r="AW288" s="18">
        <f t="shared" si="6"/>
        <v>0</v>
      </c>
    </row>
    <row r="289" spans="49:49" ht="15">
      <c r="AW289" s="18">
        <f t="shared" si="6"/>
        <v>0</v>
      </c>
    </row>
    <row r="290" spans="49:49" ht="15">
      <c r="AW290" s="18">
        <f t="shared" si="6"/>
        <v>0</v>
      </c>
    </row>
    <row r="291" spans="49:49" ht="15">
      <c r="AW291" s="18">
        <f t="shared" si="6"/>
        <v>0</v>
      </c>
    </row>
    <row r="292" spans="49:49" ht="15">
      <c r="AW292" s="18">
        <f t="shared" si="6"/>
        <v>0</v>
      </c>
    </row>
    <row r="293" spans="49:49" ht="15">
      <c r="AW293" s="18">
        <f t="shared" si="6"/>
        <v>0</v>
      </c>
    </row>
    <row r="294" spans="49:49" ht="15">
      <c r="AW294" s="18">
        <f t="shared" si="6"/>
        <v>0</v>
      </c>
    </row>
    <row r="295" spans="49:49" ht="15">
      <c r="AW295" s="18">
        <f t="shared" si="6"/>
        <v>0</v>
      </c>
    </row>
    <row r="296" spans="49:49" ht="15">
      <c r="AW296" s="18">
        <f t="shared" si="6"/>
        <v>0</v>
      </c>
    </row>
    <row r="297" spans="49:49" ht="15">
      <c r="AW297" s="18">
        <f t="shared" si="6"/>
        <v>0</v>
      </c>
    </row>
    <row r="298" spans="49:49" ht="15">
      <c r="AW298" s="18">
        <f t="shared" si="6"/>
        <v>0</v>
      </c>
    </row>
    <row r="299" spans="49:49" ht="15">
      <c r="AW299" s="18">
        <f t="shared" si="6"/>
        <v>0</v>
      </c>
    </row>
    <row r="300" spans="49:49" ht="15">
      <c r="AW300" s="18">
        <f t="shared" si="6"/>
        <v>0</v>
      </c>
    </row>
    <row r="301" spans="49:49" ht="15">
      <c r="AW301" s="18">
        <f t="shared" si="6"/>
        <v>0</v>
      </c>
    </row>
    <row r="302" spans="49:49" ht="15">
      <c r="AW302" s="18">
        <f t="shared" si="6"/>
        <v>0</v>
      </c>
    </row>
    <row r="303" spans="49:49" ht="15">
      <c r="AW303" s="18">
        <f t="shared" si="6"/>
        <v>0</v>
      </c>
    </row>
    <row r="304" spans="49:49" ht="15">
      <c r="AW304" s="18">
        <f t="shared" si="6"/>
        <v>0</v>
      </c>
    </row>
    <row r="305" spans="49:49" ht="15">
      <c r="AW305" s="18">
        <f t="shared" si="6"/>
        <v>0</v>
      </c>
    </row>
    <row r="306" spans="49:49" ht="15">
      <c r="AW306" s="18">
        <f t="shared" si="6"/>
        <v>0</v>
      </c>
    </row>
    <row r="307" spans="49:49" ht="15">
      <c r="AW307" s="18">
        <f t="shared" si="6"/>
        <v>0</v>
      </c>
    </row>
    <row r="308" spans="49:49" ht="15">
      <c r="AW308" s="18">
        <f t="shared" si="6"/>
        <v>0</v>
      </c>
    </row>
    <row r="309" spans="49:49" ht="15">
      <c r="AW309" s="18">
        <f t="shared" si="6"/>
        <v>0</v>
      </c>
    </row>
    <row r="310" spans="49:49" ht="15">
      <c r="AW310" s="18">
        <f t="shared" si="6"/>
        <v>0</v>
      </c>
    </row>
    <row r="311" spans="49:49" ht="15">
      <c r="AW311" s="18">
        <f t="shared" si="6"/>
        <v>0</v>
      </c>
    </row>
    <row r="312" spans="49:49" ht="15">
      <c r="AW312" s="18">
        <f t="shared" si="6"/>
        <v>0</v>
      </c>
    </row>
    <row r="313" spans="49:49" ht="15">
      <c r="AW313" s="18">
        <f t="shared" si="6"/>
        <v>0</v>
      </c>
    </row>
    <row r="314" spans="49:49" ht="15">
      <c r="AW314" s="18">
        <f t="shared" si="6"/>
        <v>0</v>
      </c>
    </row>
    <row r="315" spans="49:49" ht="15">
      <c r="AW315" s="18">
        <f t="shared" si="6"/>
        <v>0</v>
      </c>
    </row>
    <row r="316" spans="49:49" ht="15">
      <c r="AW316" s="18">
        <f t="shared" si="6"/>
        <v>0</v>
      </c>
    </row>
    <row r="317" spans="49:49" ht="15">
      <c r="AW317" s="18">
        <f t="shared" si="6"/>
        <v>0</v>
      </c>
    </row>
    <row r="318" spans="49:49" ht="15">
      <c r="AW318" s="18">
        <f t="shared" si="6"/>
        <v>0</v>
      </c>
    </row>
    <row r="319" spans="49:49" ht="15">
      <c r="AW319" s="18">
        <f t="shared" si="6"/>
        <v>0</v>
      </c>
    </row>
    <row r="320" spans="49:49" ht="15">
      <c r="AW320" s="18">
        <f t="shared" si="6"/>
        <v>0</v>
      </c>
    </row>
    <row r="321" spans="49:49" ht="15">
      <c r="AW321" s="18">
        <f t="shared" si="6"/>
        <v>0</v>
      </c>
    </row>
    <row r="322" spans="49:49" ht="15">
      <c r="AW322" s="18">
        <f t="shared" si="6"/>
        <v>0</v>
      </c>
    </row>
    <row r="323" spans="49:49" ht="15">
      <c r="AW323" s="18">
        <f t="shared" si="6"/>
        <v>0</v>
      </c>
    </row>
    <row r="324" spans="49:49" ht="15">
      <c r="AW324" s="18">
        <f t="shared" si="6"/>
        <v>0</v>
      </c>
    </row>
    <row r="325" spans="49:49" ht="15">
      <c r="AW325" s="18">
        <f t="shared" si="6"/>
        <v>0</v>
      </c>
    </row>
    <row r="326" spans="49:49" ht="15">
      <c r="AW326" s="18">
        <f t="shared" si="6"/>
        <v>0</v>
      </c>
    </row>
    <row r="327" spans="49:49" ht="15">
      <c r="AW327" s="18">
        <f t="shared" si="6"/>
        <v>0</v>
      </c>
    </row>
    <row r="328" spans="49:49" ht="15">
      <c r="AW328" s="18">
        <f t="shared" si="6"/>
        <v>0</v>
      </c>
    </row>
    <row r="329" spans="49:49" ht="15">
      <c r="AW329" s="18">
        <f t="shared" si="6"/>
        <v>0</v>
      </c>
    </row>
    <row r="330" spans="49:49" ht="15">
      <c r="AW330" s="18">
        <f t="shared" si="6"/>
        <v>0</v>
      </c>
    </row>
    <row r="331" spans="49:49" ht="15">
      <c r="AW331" s="18">
        <f t="shared" ref="AW331:AW394" si="7">LEN(L331)</f>
        <v>0</v>
      </c>
    </row>
    <row r="332" spans="49:49" ht="15">
      <c r="AW332" s="18">
        <f t="shared" si="7"/>
        <v>0</v>
      </c>
    </row>
    <row r="333" spans="49:49" ht="15">
      <c r="AW333" s="18">
        <f t="shared" si="7"/>
        <v>0</v>
      </c>
    </row>
    <row r="334" spans="49:49" ht="15">
      <c r="AW334" s="18">
        <f t="shared" si="7"/>
        <v>0</v>
      </c>
    </row>
    <row r="335" spans="49:49" ht="15">
      <c r="AW335" s="18">
        <f t="shared" si="7"/>
        <v>0</v>
      </c>
    </row>
    <row r="336" spans="49:49" ht="15">
      <c r="AW336" s="18">
        <f t="shared" si="7"/>
        <v>0</v>
      </c>
    </row>
    <row r="337" spans="49:49" ht="15">
      <c r="AW337" s="18">
        <f t="shared" si="7"/>
        <v>0</v>
      </c>
    </row>
    <row r="338" spans="49:49" ht="15">
      <c r="AW338" s="18">
        <f t="shared" si="7"/>
        <v>0</v>
      </c>
    </row>
    <row r="339" spans="49:49" ht="15">
      <c r="AW339" s="18">
        <f t="shared" si="7"/>
        <v>0</v>
      </c>
    </row>
    <row r="340" spans="49:49" ht="15">
      <c r="AW340" s="18">
        <f t="shared" si="7"/>
        <v>0</v>
      </c>
    </row>
    <row r="341" spans="49:49" ht="15">
      <c r="AW341" s="18">
        <f t="shared" si="7"/>
        <v>0</v>
      </c>
    </row>
    <row r="342" spans="49:49" ht="15">
      <c r="AW342" s="18">
        <f t="shared" si="7"/>
        <v>0</v>
      </c>
    </row>
    <row r="343" spans="49:49" ht="15">
      <c r="AW343" s="18">
        <f t="shared" si="7"/>
        <v>0</v>
      </c>
    </row>
    <row r="344" spans="49:49" ht="15">
      <c r="AW344" s="18">
        <f t="shared" si="7"/>
        <v>0</v>
      </c>
    </row>
    <row r="345" spans="49:49" ht="15">
      <c r="AW345" s="18">
        <f t="shared" si="7"/>
        <v>0</v>
      </c>
    </row>
    <row r="346" spans="49:49" ht="15">
      <c r="AW346" s="18">
        <f t="shared" si="7"/>
        <v>0</v>
      </c>
    </row>
    <row r="347" spans="49:49" ht="15">
      <c r="AW347" s="18">
        <f t="shared" si="7"/>
        <v>0</v>
      </c>
    </row>
    <row r="348" spans="49:49" ht="15">
      <c r="AW348" s="18">
        <f t="shared" si="7"/>
        <v>0</v>
      </c>
    </row>
    <row r="349" spans="49:49" ht="15">
      <c r="AW349" s="18">
        <f t="shared" si="7"/>
        <v>0</v>
      </c>
    </row>
    <row r="350" spans="49:49" ht="15">
      <c r="AW350" s="18">
        <f t="shared" si="7"/>
        <v>0</v>
      </c>
    </row>
    <row r="351" spans="49:49" ht="15">
      <c r="AW351" s="18">
        <f t="shared" si="7"/>
        <v>0</v>
      </c>
    </row>
    <row r="352" spans="49:49" ht="15">
      <c r="AW352" s="18">
        <f t="shared" si="7"/>
        <v>0</v>
      </c>
    </row>
    <row r="353" spans="49:49" ht="15">
      <c r="AW353" s="18">
        <f t="shared" si="7"/>
        <v>0</v>
      </c>
    </row>
    <row r="354" spans="49:49" ht="15">
      <c r="AW354" s="18">
        <f t="shared" si="7"/>
        <v>0</v>
      </c>
    </row>
    <row r="355" spans="49:49" ht="15">
      <c r="AW355" s="18">
        <f t="shared" si="7"/>
        <v>0</v>
      </c>
    </row>
    <row r="356" spans="49:49" ht="15">
      <c r="AW356" s="18">
        <f t="shared" si="7"/>
        <v>0</v>
      </c>
    </row>
    <row r="357" spans="49:49" ht="15">
      <c r="AW357" s="18">
        <f t="shared" si="7"/>
        <v>0</v>
      </c>
    </row>
    <row r="358" spans="49:49" ht="15">
      <c r="AW358" s="18">
        <f t="shared" si="7"/>
        <v>0</v>
      </c>
    </row>
    <row r="359" spans="49:49" ht="15">
      <c r="AW359" s="18">
        <f t="shared" si="7"/>
        <v>0</v>
      </c>
    </row>
    <row r="360" spans="49:49" ht="15">
      <c r="AW360" s="18">
        <f t="shared" si="7"/>
        <v>0</v>
      </c>
    </row>
    <row r="361" spans="49:49" ht="15">
      <c r="AW361" s="18">
        <f t="shared" si="7"/>
        <v>0</v>
      </c>
    </row>
    <row r="362" spans="49:49" ht="15">
      <c r="AW362" s="18">
        <f t="shared" si="7"/>
        <v>0</v>
      </c>
    </row>
    <row r="363" spans="49:49" ht="15">
      <c r="AW363" s="18">
        <f t="shared" si="7"/>
        <v>0</v>
      </c>
    </row>
    <row r="364" spans="49:49" ht="15">
      <c r="AW364" s="18">
        <f t="shared" si="7"/>
        <v>0</v>
      </c>
    </row>
    <row r="365" spans="49:49" ht="15">
      <c r="AW365" s="18">
        <f t="shared" si="7"/>
        <v>0</v>
      </c>
    </row>
    <row r="366" spans="49:49" ht="15">
      <c r="AW366" s="18">
        <f t="shared" si="7"/>
        <v>0</v>
      </c>
    </row>
    <row r="367" spans="49:49" ht="15">
      <c r="AW367" s="18">
        <f t="shared" si="7"/>
        <v>0</v>
      </c>
    </row>
    <row r="368" spans="49:49" ht="15">
      <c r="AW368" s="18">
        <f t="shared" si="7"/>
        <v>0</v>
      </c>
    </row>
    <row r="369" spans="49:49" ht="15">
      <c r="AW369" s="18">
        <f t="shared" si="7"/>
        <v>0</v>
      </c>
    </row>
    <row r="370" spans="49:49" ht="15">
      <c r="AW370" s="18">
        <f t="shared" si="7"/>
        <v>0</v>
      </c>
    </row>
    <row r="371" spans="49:49" ht="15">
      <c r="AW371" s="18">
        <f t="shared" si="7"/>
        <v>0</v>
      </c>
    </row>
    <row r="372" spans="49:49" ht="15">
      <c r="AW372" s="18">
        <f t="shared" si="7"/>
        <v>0</v>
      </c>
    </row>
    <row r="373" spans="49:49" ht="15">
      <c r="AW373" s="18">
        <f t="shared" si="7"/>
        <v>0</v>
      </c>
    </row>
    <row r="374" spans="49:49" ht="15">
      <c r="AW374" s="18">
        <f t="shared" si="7"/>
        <v>0</v>
      </c>
    </row>
    <row r="375" spans="49:49" ht="15">
      <c r="AW375" s="18">
        <f t="shared" si="7"/>
        <v>0</v>
      </c>
    </row>
    <row r="376" spans="49:49" ht="15">
      <c r="AW376" s="18">
        <f t="shared" si="7"/>
        <v>0</v>
      </c>
    </row>
    <row r="377" spans="49:49" ht="15">
      <c r="AW377" s="18">
        <f t="shared" si="7"/>
        <v>0</v>
      </c>
    </row>
    <row r="378" spans="49:49" ht="15">
      <c r="AW378" s="18">
        <f t="shared" si="7"/>
        <v>0</v>
      </c>
    </row>
    <row r="379" spans="49:49" ht="15">
      <c r="AW379" s="18">
        <f t="shared" si="7"/>
        <v>0</v>
      </c>
    </row>
    <row r="380" spans="49:49" ht="15">
      <c r="AW380" s="18">
        <f t="shared" si="7"/>
        <v>0</v>
      </c>
    </row>
    <row r="381" spans="49:49" ht="15">
      <c r="AW381" s="18">
        <f t="shared" si="7"/>
        <v>0</v>
      </c>
    </row>
    <row r="382" spans="49:49" ht="15">
      <c r="AW382" s="18">
        <f t="shared" si="7"/>
        <v>0</v>
      </c>
    </row>
    <row r="383" spans="49:49" ht="15">
      <c r="AW383" s="18">
        <f t="shared" si="7"/>
        <v>0</v>
      </c>
    </row>
    <row r="384" spans="49:49" ht="15">
      <c r="AW384" s="18">
        <f t="shared" si="7"/>
        <v>0</v>
      </c>
    </row>
    <row r="385" spans="49:49" ht="15">
      <c r="AW385" s="18">
        <f t="shared" si="7"/>
        <v>0</v>
      </c>
    </row>
    <row r="386" spans="49:49" ht="15">
      <c r="AW386" s="18">
        <f t="shared" si="7"/>
        <v>0</v>
      </c>
    </row>
    <row r="387" spans="49:49" ht="15">
      <c r="AW387" s="18">
        <f t="shared" si="7"/>
        <v>0</v>
      </c>
    </row>
    <row r="388" spans="49:49" ht="15">
      <c r="AW388" s="18">
        <f t="shared" si="7"/>
        <v>0</v>
      </c>
    </row>
    <row r="389" spans="49:49" ht="15">
      <c r="AW389" s="18">
        <f t="shared" si="7"/>
        <v>0</v>
      </c>
    </row>
    <row r="390" spans="49:49" ht="15">
      <c r="AW390" s="18">
        <f t="shared" si="7"/>
        <v>0</v>
      </c>
    </row>
    <row r="391" spans="49:49" ht="15">
      <c r="AW391" s="18">
        <f t="shared" si="7"/>
        <v>0</v>
      </c>
    </row>
    <row r="392" spans="49:49" ht="15">
      <c r="AW392" s="18">
        <f t="shared" si="7"/>
        <v>0</v>
      </c>
    </row>
    <row r="393" spans="49:49" ht="15">
      <c r="AW393" s="18">
        <f t="shared" si="7"/>
        <v>0</v>
      </c>
    </row>
    <row r="394" spans="49:49" ht="15">
      <c r="AW394" s="18">
        <f t="shared" si="7"/>
        <v>0</v>
      </c>
    </row>
    <row r="395" spans="49:49" ht="15">
      <c r="AW395" s="18">
        <f t="shared" ref="AW395:AW449" si="8">LEN(L395)</f>
        <v>0</v>
      </c>
    </row>
    <row r="396" spans="49:49" ht="15">
      <c r="AW396" s="18">
        <f t="shared" si="8"/>
        <v>0</v>
      </c>
    </row>
    <row r="397" spans="49:49" ht="15">
      <c r="AW397" s="18">
        <f t="shared" si="8"/>
        <v>0</v>
      </c>
    </row>
    <row r="398" spans="49:49" ht="15">
      <c r="AW398" s="18">
        <f t="shared" si="8"/>
        <v>0</v>
      </c>
    </row>
    <row r="399" spans="49:49" ht="15">
      <c r="AW399" s="18">
        <f t="shared" si="8"/>
        <v>0</v>
      </c>
    </row>
    <row r="400" spans="49:49" ht="15">
      <c r="AW400" s="18">
        <f t="shared" si="8"/>
        <v>0</v>
      </c>
    </row>
    <row r="401" spans="49:49" ht="15">
      <c r="AW401" s="18">
        <f t="shared" si="8"/>
        <v>0</v>
      </c>
    </row>
    <row r="402" spans="49:49" ht="15">
      <c r="AW402" s="18">
        <f t="shared" si="8"/>
        <v>0</v>
      </c>
    </row>
    <row r="403" spans="49:49" ht="15">
      <c r="AW403" s="18">
        <f t="shared" si="8"/>
        <v>0</v>
      </c>
    </row>
    <row r="404" spans="49:49" ht="15">
      <c r="AW404" s="18">
        <f t="shared" si="8"/>
        <v>0</v>
      </c>
    </row>
    <row r="405" spans="49:49" ht="15">
      <c r="AW405" s="18">
        <f t="shared" si="8"/>
        <v>0</v>
      </c>
    </row>
    <row r="406" spans="49:49" ht="15">
      <c r="AW406" s="18">
        <f t="shared" si="8"/>
        <v>0</v>
      </c>
    </row>
    <row r="407" spans="49:49" ht="15">
      <c r="AW407" s="18">
        <f t="shared" si="8"/>
        <v>0</v>
      </c>
    </row>
    <row r="408" spans="49:49" ht="15">
      <c r="AW408" s="18">
        <f t="shared" si="8"/>
        <v>0</v>
      </c>
    </row>
    <row r="409" spans="49:49" ht="15">
      <c r="AW409" s="18">
        <f t="shared" si="8"/>
        <v>0</v>
      </c>
    </row>
    <row r="410" spans="49:49" ht="15">
      <c r="AW410" s="18">
        <f t="shared" si="8"/>
        <v>0</v>
      </c>
    </row>
    <row r="411" spans="49:49" ht="15">
      <c r="AW411" s="18">
        <f t="shared" si="8"/>
        <v>0</v>
      </c>
    </row>
    <row r="412" spans="49:49" ht="15">
      <c r="AW412" s="18">
        <f t="shared" si="8"/>
        <v>0</v>
      </c>
    </row>
    <row r="413" spans="49:49" ht="15">
      <c r="AW413" s="18">
        <f t="shared" si="8"/>
        <v>0</v>
      </c>
    </row>
    <row r="414" spans="49:49" ht="15">
      <c r="AW414" s="18">
        <f t="shared" si="8"/>
        <v>0</v>
      </c>
    </row>
    <row r="415" spans="49:49" ht="15">
      <c r="AW415" s="18">
        <f t="shared" si="8"/>
        <v>0</v>
      </c>
    </row>
    <row r="416" spans="49:49" ht="15">
      <c r="AW416" s="18">
        <f t="shared" si="8"/>
        <v>0</v>
      </c>
    </row>
    <row r="417" spans="49:49" ht="15">
      <c r="AW417" s="18">
        <f t="shared" si="8"/>
        <v>0</v>
      </c>
    </row>
    <row r="418" spans="49:49" ht="15">
      <c r="AW418" s="18">
        <f t="shared" si="8"/>
        <v>0</v>
      </c>
    </row>
    <row r="419" spans="49:49" ht="15">
      <c r="AW419" s="18">
        <f t="shared" si="8"/>
        <v>0</v>
      </c>
    </row>
    <row r="420" spans="49:49" ht="15">
      <c r="AW420" s="18">
        <f t="shared" si="8"/>
        <v>0</v>
      </c>
    </row>
    <row r="421" spans="49:49" ht="15">
      <c r="AW421" s="18">
        <f t="shared" si="8"/>
        <v>0</v>
      </c>
    </row>
    <row r="422" spans="49:49" ht="15">
      <c r="AW422" s="18">
        <f t="shared" si="8"/>
        <v>0</v>
      </c>
    </row>
    <row r="423" spans="49:49" ht="15">
      <c r="AW423" s="18">
        <f t="shared" si="8"/>
        <v>0</v>
      </c>
    </row>
    <row r="424" spans="49:49" ht="15">
      <c r="AW424" s="18">
        <f t="shared" si="8"/>
        <v>0</v>
      </c>
    </row>
    <row r="425" spans="49:49" ht="15">
      <c r="AW425" s="18">
        <f t="shared" si="8"/>
        <v>0</v>
      </c>
    </row>
    <row r="426" spans="49:49" ht="15">
      <c r="AW426" s="18">
        <f t="shared" si="8"/>
        <v>0</v>
      </c>
    </row>
    <row r="427" spans="49:49" ht="15">
      <c r="AW427" s="18">
        <f t="shared" si="8"/>
        <v>0</v>
      </c>
    </row>
    <row r="428" spans="49:49" ht="15">
      <c r="AW428" s="18">
        <f t="shared" si="8"/>
        <v>0</v>
      </c>
    </row>
    <row r="429" spans="49:49" ht="15">
      <c r="AW429" s="18">
        <f t="shared" si="8"/>
        <v>0</v>
      </c>
    </row>
    <row r="430" spans="49:49" ht="15">
      <c r="AW430" s="18">
        <f t="shared" si="8"/>
        <v>0</v>
      </c>
    </row>
    <row r="431" spans="49:49" ht="15">
      <c r="AW431" s="18">
        <f t="shared" si="8"/>
        <v>0</v>
      </c>
    </row>
    <row r="432" spans="49:49" ht="15">
      <c r="AW432" s="18">
        <f t="shared" si="8"/>
        <v>0</v>
      </c>
    </row>
    <row r="433" spans="49:49" ht="15">
      <c r="AW433" s="18">
        <f t="shared" si="8"/>
        <v>0</v>
      </c>
    </row>
    <row r="434" spans="49:49" ht="15">
      <c r="AW434" s="18">
        <f t="shared" si="8"/>
        <v>0</v>
      </c>
    </row>
    <row r="435" spans="49:49" ht="15">
      <c r="AW435" s="18">
        <f t="shared" si="8"/>
        <v>0</v>
      </c>
    </row>
    <row r="436" spans="49:49" ht="15">
      <c r="AW436" s="18">
        <f t="shared" si="8"/>
        <v>0</v>
      </c>
    </row>
    <row r="437" spans="49:49" ht="15">
      <c r="AW437" s="18">
        <f t="shared" si="8"/>
        <v>0</v>
      </c>
    </row>
    <row r="438" spans="49:49" ht="15">
      <c r="AW438" s="18">
        <f t="shared" si="8"/>
        <v>0</v>
      </c>
    </row>
    <row r="439" spans="49:49" ht="15">
      <c r="AW439" s="18">
        <f t="shared" si="8"/>
        <v>0</v>
      </c>
    </row>
    <row r="440" spans="49:49" ht="15">
      <c r="AW440" s="18">
        <f t="shared" si="8"/>
        <v>0</v>
      </c>
    </row>
    <row r="441" spans="49:49" ht="15">
      <c r="AW441" s="18">
        <f t="shared" si="8"/>
        <v>0</v>
      </c>
    </row>
    <row r="442" spans="49:49" ht="15">
      <c r="AW442" s="18">
        <f t="shared" si="8"/>
        <v>0</v>
      </c>
    </row>
    <row r="443" spans="49:49" ht="15">
      <c r="AW443" s="18">
        <f t="shared" si="8"/>
        <v>0</v>
      </c>
    </row>
    <row r="444" spans="49:49" ht="15">
      <c r="AW444" s="18">
        <f t="shared" si="8"/>
        <v>0</v>
      </c>
    </row>
    <row r="445" spans="49:49" ht="15">
      <c r="AW445" s="18">
        <f t="shared" si="8"/>
        <v>0</v>
      </c>
    </row>
    <row r="446" spans="49:49" ht="15">
      <c r="AW446" s="18">
        <f t="shared" si="8"/>
        <v>0</v>
      </c>
    </row>
    <row r="447" spans="49:49" ht="15">
      <c r="AW447" s="18">
        <f t="shared" si="8"/>
        <v>0</v>
      </c>
    </row>
    <row r="448" spans="49:49" ht="15">
      <c r="AW448" s="18">
        <f t="shared" si="8"/>
        <v>0</v>
      </c>
    </row>
    <row r="449" spans="49:49" ht="15">
      <c r="AW449" s="18">
        <f t="shared" si="8"/>
        <v>0</v>
      </c>
    </row>
  </sheetData>
  <mergeCells count="60">
    <mergeCell ref="BA5:BE5"/>
    <mergeCell ref="AV5:AV6"/>
    <mergeCell ref="AX5:AX6"/>
    <mergeCell ref="AP5:AP6"/>
    <mergeCell ref="CC5:CD5"/>
    <mergeCell ref="AZ5:AZ6"/>
    <mergeCell ref="BF5:BS5"/>
    <mergeCell ref="BX5:BY5"/>
    <mergeCell ref="BZ5:CB5"/>
    <mergeCell ref="BT5:BW5"/>
    <mergeCell ref="AO4:AU4"/>
    <mergeCell ref="AO5:AO6"/>
    <mergeCell ref="R5:R6"/>
    <mergeCell ref="AU5:AU6"/>
    <mergeCell ref="AF5:AF6"/>
    <mergeCell ref="AG5:AG6"/>
    <mergeCell ref="AS5:AS6"/>
    <mergeCell ref="AL5:AL6"/>
    <mergeCell ref="AQ5:AQ6"/>
    <mergeCell ref="AT5:AT6"/>
    <mergeCell ref="AH5:AH6"/>
    <mergeCell ref="AI5:AI6"/>
    <mergeCell ref="AR5:AR6"/>
    <mergeCell ref="W5:W6"/>
    <mergeCell ref="X5:X6"/>
    <mergeCell ref="Y5:Y6"/>
    <mergeCell ref="B4:C4"/>
    <mergeCell ref="L5:L6"/>
    <mergeCell ref="K5:K6"/>
    <mergeCell ref="AJ5:AJ6"/>
    <mergeCell ref="AE5:AE6"/>
    <mergeCell ref="AE4:AL4"/>
    <mergeCell ref="AK5:AK6"/>
    <mergeCell ref="V5:V6"/>
    <mergeCell ref="U5:U6"/>
    <mergeCell ref="S5:S6"/>
    <mergeCell ref="Z5:Z6"/>
    <mergeCell ref="AA5:AA6"/>
    <mergeCell ref="W4:AD4"/>
    <mergeCell ref="AB5:AB6"/>
    <mergeCell ref="AC5:AC6"/>
    <mergeCell ref="AD5:AD6"/>
    <mergeCell ref="J158:J160"/>
    <mergeCell ref="L83:L147"/>
    <mergeCell ref="L148:L157"/>
    <mergeCell ref="L158:L160"/>
    <mergeCell ref="J83:J147"/>
    <mergeCell ref="J148:J157"/>
    <mergeCell ref="T5:T6"/>
    <mergeCell ref="O5:O6"/>
    <mergeCell ref="I5:I6"/>
    <mergeCell ref="B5:B6"/>
    <mergeCell ref="D5:D6"/>
    <mergeCell ref="E5:E6"/>
    <mergeCell ref="H5:H6"/>
    <mergeCell ref="C5:C6"/>
    <mergeCell ref="P5:P6"/>
    <mergeCell ref="Q5:Q6"/>
    <mergeCell ref="J5:J6"/>
    <mergeCell ref="N5:N6"/>
  </mergeCells>
  <phoneticPr fontId="13" type="noConversion"/>
  <conditionalFormatting sqref="AW15 AW1:AW13 AW17:AW1048576">
    <cfRule type="cellIs" dxfId="259" priority="18" stopIfTrue="1" operator="greaterThan">
      <formula>42</formula>
    </cfRule>
  </conditionalFormatting>
  <conditionalFormatting sqref="AW14">
    <cfRule type="cellIs" dxfId="258" priority="8" stopIfTrue="1" operator="greaterThan">
      <formula>42</formula>
    </cfRule>
  </conditionalFormatting>
  <conditionalFormatting sqref="AW16">
    <cfRule type="cellIs" dxfId="257" priority="7" stopIfTrue="1" operator="greaterThan">
      <formula>42</formula>
    </cfRule>
  </conditionalFormatting>
  <conditionalFormatting sqref="AW21:AW27">
    <cfRule type="cellIs" dxfId="256" priority="6" stopIfTrue="1" operator="greaterThan">
      <formula>42</formula>
    </cfRule>
  </conditionalFormatting>
  <conditionalFormatting sqref="AW21:AW27">
    <cfRule type="cellIs" dxfId="255" priority="5" stopIfTrue="1" operator="greaterThan">
      <formula>42</formula>
    </cfRule>
  </conditionalFormatting>
  <conditionalFormatting sqref="AW26:AW27">
    <cfRule type="cellIs" dxfId="254" priority="4" stopIfTrue="1" operator="greaterThan">
      <formula>42</formula>
    </cfRule>
  </conditionalFormatting>
  <conditionalFormatting sqref="AW27">
    <cfRule type="cellIs" dxfId="253" priority="3" stopIfTrue="1" operator="greaterThan">
      <formula>42</formula>
    </cfRule>
  </conditionalFormatting>
  <conditionalFormatting sqref="AW30:AW31">
    <cfRule type="cellIs" dxfId="252" priority="2" stopIfTrue="1" operator="greaterThan">
      <formula>42</formula>
    </cfRule>
  </conditionalFormatting>
  <conditionalFormatting sqref="AW30:AW31">
    <cfRule type="cellIs" dxfId="251" priority="1" stopIfTrue="1" operator="greaterThan">
      <formula>42</formula>
    </cfRule>
  </conditionalFormatting>
  <dataValidations count="3">
    <dataValidation type="textLength" operator="lessThanOrEqual" allowBlank="1" showInputMessage="1" showErrorMessage="1" sqref="AO21:AT24" xr:uid="{00000000-0002-0000-0800-000000000000}">
      <formula1>4</formula1>
    </dataValidation>
    <dataValidation type="textLength" operator="lessThan" allowBlank="1" showInputMessage="1" showErrorMessage="1" error="text length exceeded" prompt="max. 64 charcters" sqref="B21:D22 B23:C24 B25" xr:uid="{00000000-0002-0000-0800-000001000000}">
      <formula1>65</formula1>
    </dataValidation>
    <dataValidation type="textLength" allowBlank="1" showInputMessage="1" showErrorMessage="1" sqref="AO25:AT25" xr:uid="{00000000-0002-0000-0800-000002000000}">
      <formula1>0</formula1>
      <formula2>4</formula2>
    </dataValidation>
  </dataValidations>
  <pageMargins left="0.78740157499999996" right="0.78740157499999996" top="0.984251969" bottom="0.984251969" header="0.49212598499999999" footer="0.49212598499999999"/>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2"/>
  <dimension ref="A1:CI468"/>
  <sheetViews>
    <sheetView showGridLines="0" showRuler="0" topLeftCell="A4" zoomScale="60" zoomScaleNormal="60" workbookViewId="0">
      <pane ySplit="3" topLeftCell="A13" activePane="bottomLeft" state="frozenSplit"/>
      <selection activeCell="A4" sqref="A4"/>
      <selection pane="bottomLeft" activeCell="J42" sqref="J42"/>
    </sheetView>
  </sheetViews>
  <sheetFormatPr defaultColWidth="8.88671875" defaultRowHeight="13.2"/>
  <cols>
    <col min="1" max="1" width="5.6640625" customWidth="1"/>
    <col min="2" max="2" width="46.44140625" hidden="1" customWidth="1"/>
    <col min="3" max="3" width="8.6640625" hidden="1" customWidth="1"/>
    <col min="4" max="4" width="0" hidden="1" customWidth="1"/>
    <col min="5" max="7" width="10" hidden="1" customWidth="1"/>
    <col min="8" max="9" width="0" hidden="1" customWidth="1"/>
    <col min="10" max="10" width="36.6640625" customWidth="1"/>
    <col min="11" max="11" width="24.6640625" customWidth="1"/>
    <col min="12" max="12" width="58.109375" customWidth="1"/>
    <col min="13" max="13" width="43.109375" customWidth="1"/>
    <col min="14" max="14" width="8.33203125" style="78" bestFit="1" customWidth="1"/>
    <col min="15" max="16" width="5.6640625" customWidth="1"/>
    <col min="17" max="20" width="4.6640625" customWidth="1"/>
    <col min="21" max="21" width="49" customWidth="1"/>
    <col min="22" max="22" width="32.6640625" customWidth="1"/>
    <col min="23" max="23" width="18.33203125" customWidth="1"/>
    <col min="24" max="25" width="5.6640625" customWidth="1"/>
    <col min="26" max="27" width="4.6640625" customWidth="1"/>
    <col min="28" max="28" width="19.109375" customWidth="1"/>
    <col min="29" max="29" width="16.109375" customWidth="1"/>
    <col min="30" max="30" width="22.109375" customWidth="1"/>
    <col min="31" max="31" width="18.33203125" customWidth="1"/>
    <col min="32" max="33" width="5.6640625" customWidth="1"/>
    <col min="34" max="35" width="4.6640625" customWidth="1"/>
    <col min="36" max="36" width="33.6640625" customWidth="1"/>
    <col min="37" max="37" width="8.88671875" customWidth="1"/>
    <col min="38" max="38" width="24.44140625" customWidth="1"/>
    <col min="39" max="39" width="11.109375" customWidth="1"/>
    <col min="40" max="40" width="30.6640625" customWidth="1"/>
    <col min="48" max="48" width="30.6640625" customWidth="1"/>
    <col min="49" max="49" width="0" hidden="1" customWidth="1"/>
  </cols>
  <sheetData>
    <row r="1" spans="1:86" hidden="1"/>
    <row r="2" spans="1:86" hidden="1"/>
    <row r="3" spans="1:86" s="1" customFormat="1" ht="13.8" hidden="1" thickBot="1">
      <c r="C3" s="2"/>
      <c r="E3" s="3"/>
      <c r="F3" s="3"/>
      <c r="G3" s="3"/>
      <c r="H3" s="3"/>
      <c r="I3" s="3"/>
      <c r="J3" s="3"/>
      <c r="K3" s="3"/>
      <c r="L3" s="3"/>
      <c r="M3" s="3"/>
      <c r="N3" s="3"/>
      <c r="O3" s="3"/>
      <c r="P3" s="3"/>
      <c r="Q3" s="3"/>
      <c r="R3" s="3"/>
      <c r="S3" s="3"/>
      <c r="T3" s="3"/>
      <c r="U3" s="3"/>
      <c r="V3" s="3"/>
      <c r="W3" s="3"/>
      <c r="X3" s="4"/>
      <c r="Y3" s="5"/>
      <c r="Z3" s="5"/>
      <c r="AA3" s="3"/>
      <c r="AB3" s="3"/>
      <c r="AC3" s="3"/>
      <c r="AD3" s="3"/>
      <c r="AE3" s="3"/>
      <c r="AF3" s="4"/>
      <c r="AG3" s="5"/>
      <c r="AH3" s="5"/>
      <c r="AI3" s="3"/>
      <c r="AJ3" s="3"/>
      <c r="AK3" s="2"/>
      <c r="AL3" s="2"/>
      <c r="AM3" s="2"/>
      <c r="AN3" s="2"/>
      <c r="AO3" s="2"/>
      <c r="AP3" s="2"/>
      <c r="AQ3" s="2"/>
    </row>
    <row r="4" spans="1:86" s="1" customFormat="1" ht="16.5" customHeight="1" thickBot="1">
      <c r="A4" s="21"/>
      <c r="B4" s="679" t="s">
        <v>462</v>
      </c>
      <c r="C4" s="680"/>
      <c r="D4" s="22" t="s">
        <v>463</v>
      </c>
      <c r="E4" s="23"/>
      <c r="F4" s="23"/>
      <c r="G4" s="23"/>
      <c r="H4" s="23"/>
      <c r="I4" s="23"/>
      <c r="J4" s="24" t="s">
        <v>464</v>
      </c>
      <c r="K4" s="25"/>
      <c r="L4" s="25"/>
      <c r="M4" s="25"/>
      <c r="N4" s="81"/>
      <c r="O4" s="25"/>
      <c r="P4" s="25"/>
      <c r="Q4" s="25"/>
      <c r="R4" s="25"/>
      <c r="S4" s="25"/>
      <c r="T4" s="25"/>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29"/>
      <c r="B5" s="654" t="s">
        <v>469</v>
      </c>
      <c r="C5" s="654" t="s">
        <v>470</v>
      </c>
      <c r="D5" s="637" t="s">
        <v>471</v>
      </c>
      <c r="E5" s="637" t="s">
        <v>472</v>
      </c>
      <c r="F5" s="390"/>
      <c r="G5" s="390"/>
      <c r="H5" s="637" t="s">
        <v>475</v>
      </c>
      <c r="I5" s="646" t="s">
        <v>476</v>
      </c>
      <c r="J5" s="648" t="s">
        <v>477</v>
      </c>
      <c r="K5" s="648" t="s">
        <v>478</v>
      </c>
      <c r="L5" s="648" t="s">
        <v>479</v>
      </c>
      <c r="M5" s="488"/>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29.75" customHeight="1" thickBot="1">
      <c r="A6" s="58" t="s">
        <v>501</v>
      </c>
      <c r="B6" s="655"/>
      <c r="C6" s="655"/>
      <c r="D6" s="638"/>
      <c r="E6" s="638"/>
      <c r="F6" s="396" t="s">
        <v>473</v>
      </c>
      <c r="G6" s="396" t="s">
        <v>474</v>
      </c>
      <c r="H6" s="638"/>
      <c r="I6" s="647"/>
      <c r="J6" s="649"/>
      <c r="K6" s="649"/>
      <c r="L6" s="649"/>
      <c r="M6" s="489" t="s">
        <v>3506</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84">
        <f t="shared" ref="A7:A69" si="0">ROW() - 6</f>
        <v>1</v>
      </c>
      <c r="B7" s="65"/>
      <c r="C7" s="65"/>
      <c r="D7" s="65"/>
      <c r="E7" s="65"/>
      <c r="F7" s="65"/>
      <c r="G7" s="65"/>
      <c r="H7" s="65"/>
      <c r="I7" s="65"/>
      <c r="J7" s="508" t="s">
        <v>503</v>
      </c>
      <c r="K7" s="65"/>
      <c r="L7" s="65"/>
      <c r="M7" s="65"/>
      <c r="N7" s="134"/>
      <c r="O7" s="65"/>
      <c r="P7" s="65"/>
      <c r="Q7" s="65"/>
      <c r="R7" s="65"/>
      <c r="S7" s="65"/>
      <c r="T7" s="65"/>
      <c r="U7" s="73"/>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428"/>
      <c r="AW7" s="18">
        <f>LEN(L7)</f>
        <v>0</v>
      </c>
    </row>
    <row r="8" spans="1:86" s="20" customFormat="1" ht="15">
      <c r="A8" s="13">
        <f t="shared" si="0"/>
        <v>2</v>
      </c>
      <c r="B8" s="19"/>
      <c r="C8" s="41"/>
      <c r="D8" s="19"/>
      <c r="E8" s="19"/>
      <c r="F8" s="19"/>
      <c r="G8" s="19"/>
      <c r="H8" s="13"/>
      <c r="I8" s="13"/>
      <c r="J8" s="412" t="s">
        <v>1835</v>
      </c>
      <c r="K8" s="412" t="s">
        <v>65</v>
      </c>
      <c r="L8" s="412" t="s">
        <v>1836</v>
      </c>
      <c r="M8" s="412"/>
      <c r="N8" s="13" t="s">
        <v>504</v>
      </c>
      <c r="O8" s="13"/>
      <c r="P8" s="13"/>
      <c r="Q8" s="40" t="s">
        <v>6</v>
      </c>
      <c r="R8" s="40" t="s">
        <v>6</v>
      </c>
      <c r="S8" s="40" t="s">
        <v>6</v>
      </c>
      <c r="T8" s="40" t="s">
        <v>6</v>
      </c>
      <c r="U8" s="13"/>
      <c r="V8" s="13"/>
      <c r="W8" s="412" t="s">
        <v>65</v>
      </c>
      <c r="X8" s="13"/>
      <c r="Y8" s="13"/>
      <c r="Z8" s="13" t="s">
        <v>6</v>
      </c>
      <c r="AA8" s="13" t="s">
        <v>6</v>
      </c>
      <c r="AB8" s="413"/>
      <c r="AC8" s="415"/>
      <c r="AD8" s="415"/>
      <c r="AE8" s="412" t="s">
        <v>65</v>
      </c>
      <c r="AF8" s="13"/>
      <c r="AG8" s="13"/>
      <c r="AH8" s="13" t="s">
        <v>6</v>
      </c>
      <c r="AI8" s="13" t="s">
        <v>6</v>
      </c>
      <c r="AJ8" s="413"/>
      <c r="AK8" s="415"/>
      <c r="AL8" s="415"/>
      <c r="AM8" s="59" t="s">
        <v>1812</v>
      </c>
      <c r="AN8" s="13"/>
      <c r="AO8" s="15"/>
      <c r="AP8" s="15"/>
      <c r="AQ8" s="15"/>
      <c r="AR8" s="15"/>
      <c r="AS8" s="15"/>
      <c r="AT8" s="15"/>
      <c r="AU8" s="15"/>
      <c r="AV8" s="19"/>
      <c r="AW8" s="18">
        <f t="shared" ref="AW8" si="1">LEN(L8)</f>
        <v>18</v>
      </c>
    </row>
    <row r="9" spans="1:86" s="20" customFormat="1" ht="15">
      <c r="A9" s="13">
        <f t="shared" si="0"/>
        <v>3</v>
      </c>
      <c r="B9" s="19"/>
      <c r="C9" s="41"/>
      <c r="D9" s="19"/>
      <c r="E9" s="19"/>
      <c r="F9" s="19"/>
      <c r="G9" s="19"/>
      <c r="H9" s="13"/>
      <c r="I9" s="13"/>
      <c r="J9" s="412" t="s">
        <v>1837</v>
      </c>
      <c r="K9" s="412" t="s">
        <v>132</v>
      </c>
      <c r="L9" s="412" t="s">
        <v>1838</v>
      </c>
      <c r="M9" s="412"/>
      <c r="N9" s="13" t="s">
        <v>504</v>
      </c>
      <c r="O9" s="13"/>
      <c r="P9" s="13"/>
      <c r="Q9" s="40" t="s">
        <v>6</v>
      </c>
      <c r="R9" s="416" t="s">
        <v>6</v>
      </c>
      <c r="S9" s="40" t="s">
        <v>6</v>
      </c>
      <c r="T9" s="126" t="s">
        <v>6</v>
      </c>
      <c r="U9" s="13"/>
      <c r="V9" s="13"/>
      <c r="W9" s="412" t="s">
        <v>133</v>
      </c>
      <c r="X9" s="43"/>
      <c r="Y9" s="13"/>
      <c r="Z9" s="416" t="s">
        <v>6</v>
      </c>
      <c r="AA9" s="13" t="s">
        <v>6</v>
      </c>
      <c r="AB9" s="45"/>
      <c r="AC9" s="415"/>
      <c r="AD9" s="415"/>
      <c r="AE9" s="412" t="s">
        <v>133</v>
      </c>
      <c r="AF9" s="43"/>
      <c r="AG9" s="13"/>
      <c r="AH9" s="416" t="s">
        <v>6</v>
      </c>
      <c r="AI9" s="13" t="s">
        <v>6</v>
      </c>
      <c r="AJ9" s="45"/>
      <c r="AK9" s="415"/>
      <c r="AL9" s="415"/>
      <c r="AM9" s="59" t="s">
        <v>1812</v>
      </c>
      <c r="AN9" s="19"/>
      <c r="AO9" s="13"/>
      <c r="AP9" s="13"/>
      <c r="AQ9" s="13"/>
      <c r="AR9" s="13"/>
      <c r="AS9" s="13"/>
      <c r="AT9" s="13"/>
      <c r="AU9" s="15"/>
      <c r="AV9" s="15"/>
      <c r="AW9" s="18">
        <f t="shared" ref="AW9:AW93" si="2">LEN(L9)</f>
        <v>35</v>
      </c>
    </row>
    <row r="10" spans="1:86" s="20" customFormat="1" ht="15">
      <c r="A10" s="13">
        <f t="shared" si="0"/>
        <v>4</v>
      </c>
      <c r="B10" s="19"/>
      <c r="C10" s="41"/>
      <c r="D10" s="19"/>
      <c r="E10" s="19"/>
      <c r="F10" s="19"/>
      <c r="G10" s="19"/>
      <c r="H10" s="13"/>
      <c r="I10" s="13"/>
      <c r="J10" s="412" t="s">
        <v>1839</v>
      </c>
      <c r="K10" s="412" t="s">
        <v>132</v>
      </c>
      <c r="L10" s="412" t="s">
        <v>1840</v>
      </c>
      <c r="M10" s="412"/>
      <c r="N10" s="13" t="s">
        <v>504</v>
      </c>
      <c r="O10" s="13"/>
      <c r="P10" s="13"/>
      <c r="Q10" s="40" t="s">
        <v>6</v>
      </c>
      <c r="R10" s="416" t="s">
        <v>6</v>
      </c>
      <c r="S10" s="40" t="s">
        <v>6</v>
      </c>
      <c r="T10" s="126" t="s">
        <v>6</v>
      </c>
      <c r="U10" s="13" t="s">
        <v>1841</v>
      </c>
      <c r="V10" s="13"/>
      <c r="W10" s="412" t="s">
        <v>133</v>
      </c>
      <c r="X10" s="43"/>
      <c r="Y10" s="13"/>
      <c r="Z10" s="416" t="s">
        <v>6</v>
      </c>
      <c r="AA10" s="13" t="s">
        <v>6</v>
      </c>
      <c r="AB10" s="45"/>
      <c r="AC10" s="415"/>
      <c r="AD10" s="415"/>
      <c r="AE10" s="412" t="s">
        <v>133</v>
      </c>
      <c r="AF10" s="43"/>
      <c r="AG10" s="13"/>
      <c r="AH10" s="416" t="s">
        <v>6</v>
      </c>
      <c r="AI10" s="13" t="s">
        <v>6</v>
      </c>
      <c r="AJ10" s="45"/>
      <c r="AK10" s="415"/>
      <c r="AL10" s="415"/>
      <c r="AM10" s="59" t="s">
        <v>1812</v>
      </c>
      <c r="AN10" s="19"/>
      <c r="AO10" s="13"/>
      <c r="AP10" s="13"/>
      <c r="AQ10" s="13"/>
      <c r="AR10" s="13"/>
      <c r="AS10" s="13"/>
      <c r="AT10" s="13"/>
      <c r="AU10" s="15"/>
      <c r="AV10" s="15"/>
      <c r="AW10" s="18">
        <f t="shared" ref="AW10" si="3">LEN(L10)</f>
        <v>42</v>
      </c>
    </row>
    <row r="11" spans="1:86" s="20" customFormat="1" ht="15">
      <c r="A11" s="13">
        <f t="shared" si="0"/>
        <v>5</v>
      </c>
      <c r="B11" s="19"/>
      <c r="C11" s="41"/>
      <c r="D11" s="19"/>
      <c r="E11" s="19"/>
      <c r="F11" s="19"/>
      <c r="G11" s="19"/>
      <c r="H11" s="13"/>
      <c r="I11" s="13"/>
      <c r="J11" s="412" t="s">
        <v>1842</v>
      </c>
      <c r="K11" s="412" t="s">
        <v>132</v>
      </c>
      <c r="L11" s="412" t="s">
        <v>1843</v>
      </c>
      <c r="M11" s="412"/>
      <c r="N11" s="13" t="s">
        <v>504</v>
      </c>
      <c r="O11" s="13"/>
      <c r="P11" s="13"/>
      <c r="Q11" s="40" t="s">
        <v>6</v>
      </c>
      <c r="R11" s="416" t="s">
        <v>6</v>
      </c>
      <c r="S11" s="40" t="s">
        <v>6</v>
      </c>
      <c r="T11" s="126" t="s">
        <v>6</v>
      </c>
      <c r="U11" s="13" t="s">
        <v>1841</v>
      </c>
      <c r="V11" s="13"/>
      <c r="W11" s="412" t="s">
        <v>133</v>
      </c>
      <c r="X11" s="43"/>
      <c r="Y11" s="13"/>
      <c r="Z11" s="416" t="s">
        <v>6</v>
      </c>
      <c r="AA11" s="13" t="s">
        <v>6</v>
      </c>
      <c r="AB11" s="45"/>
      <c r="AC11" s="415"/>
      <c r="AD11" s="415"/>
      <c r="AE11" s="412" t="s">
        <v>133</v>
      </c>
      <c r="AF11" s="43"/>
      <c r="AG11" s="13"/>
      <c r="AH11" s="416" t="s">
        <v>6</v>
      </c>
      <c r="AI11" s="13" t="s">
        <v>6</v>
      </c>
      <c r="AJ11" s="45"/>
      <c r="AK11" s="415"/>
      <c r="AL11" s="415"/>
      <c r="AM11" s="59" t="s">
        <v>1812</v>
      </c>
      <c r="AN11" s="19"/>
      <c r="AO11" s="13"/>
      <c r="AP11" s="13"/>
      <c r="AQ11" s="13"/>
      <c r="AR11" s="13"/>
      <c r="AS11" s="13"/>
      <c r="AT11" s="13"/>
      <c r="AU11" s="15"/>
      <c r="AV11" s="15"/>
      <c r="AW11" s="18">
        <f t="shared" ref="AW11" si="4">LEN(L11)</f>
        <v>42</v>
      </c>
    </row>
    <row r="12" spans="1:86" s="20" customFormat="1" ht="15">
      <c r="A12" s="13">
        <f t="shared" si="0"/>
        <v>6</v>
      </c>
      <c r="B12" s="38"/>
      <c r="C12" s="41"/>
      <c r="D12" s="19"/>
      <c r="E12" s="19"/>
      <c r="F12" s="19"/>
      <c r="G12" s="19"/>
      <c r="H12" s="13"/>
      <c r="I12" s="13"/>
      <c r="J12" s="412" t="s">
        <v>1844</v>
      </c>
      <c r="K12" s="412" t="s">
        <v>132</v>
      </c>
      <c r="L12" s="412" t="s">
        <v>1845</v>
      </c>
      <c r="M12" s="412"/>
      <c r="N12" s="13" t="s">
        <v>504</v>
      </c>
      <c r="O12" s="13"/>
      <c r="P12" s="13"/>
      <c r="Q12" s="40" t="s">
        <v>6</v>
      </c>
      <c r="R12" s="416" t="s">
        <v>6</v>
      </c>
      <c r="S12" s="40" t="s">
        <v>6</v>
      </c>
      <c r="T12" s="126" t="s">
        <v>6</v>
      </c>
      <c r="U12" s="40"/>
      <c r="V12" s="40"/>
      <c r="W12" s="412" t="s">
        <v>133</v>
      </c>
      <c r="X12" s="13"/>
      <c r="Y12" s="13"/>
      <c r="Z12" s="416" t="s">
        <v>6</v>
      </c>
      <c r="AA12" s="13" t="s">
        <v>6</v>
      </c>
      <c r="AB12" s="13"/>
      <c r="AC12" s="40"/>
      <c r="AD12" s="40"/>
      <c r="AE12" s="412" t="s">
        <v>133</v>
      </c>
      <c r="AF12" s="13"/>
      <c r="AG12" s="13"/>
      <c r="AH12" s="416" t="s">
        <v>6</v>
      </c>
      <c r="AI12" s="13" t="s">
        <v>6</v>
      </c>
      <c r="AJ12" s="13"/>
      <c r="AK12" s="40"/>
      <c r="AL12" s="40"/>
      <c r="AM12" s="59" t="s">
        <v>1812</v>
      </c>
      <c r="AN12" s="19"/>
      <c r="AO12" s="15"/>
      <c r="AP12" s="15"/>
      <c r="AQ12" s="15"/>
      <c r="AR12" s="15"/>
      <c r="AS12" s="15"/>
      <c r="AT12" s="15"/>
      <c r="AU12" s="15"/>
      <c r="AV12" s="15"/>
      <c r="AW12" s="18">
        <f t="shared" si="2"/>
        <v>35</v>
      </c>
    </row>
    <row r="13" spans="1:86" s="20" customFormat="1" ht="15">
      <c r="A13" s="13">
        <f t="shared" si="0"/>
        <v>7</v>
      </c>
      <c r="B13" s="38"/>
      <c r="C13" s="41"/>
      <c r="D13" s="19"/>
      <c r="E13" s="19"/>
      <c r="F13" s="19"/>
      <c r="G13" s="19"/>
      <c r="H13" s="13"/>
      <c r="I13" s="13"/>
      <c r="J13" s="412" t="s">
        <v>1846</v>
      </c>
      <c r="K13" s="412" t="s">
        <v>132</v>
      </c>
      <c r="L13" s="412" t="s">
        <v>1847</v>
      </c>
      <c r="M13" s="412"/>
      <c r="N13" s="13" t="s">
        <v>504</v>
      </c>
      <c r="O13" s="13"/>
      <c r="P13" s="13"/>
      <c r="Q13" s="40" t="s">
        <v>6</v>
      </c>
      <c r="R13" s="416" t="s">
        <v>6</v>
      </c>
      <c r="S13" s="40" t="s">
        <v>6</v>
      </c>
      <c r="T13" s="126" t="s">
        <v>6</v>
      </c>
      <c r="U13" s="13" t="s">
        <v>1841</v>
      </c>
      <c r="V13" s="40"/>
      <c r="W13" s="412" t="s">
        <v>133</v>
      </c>
      <c r="X13" s="13"/>
      <c r="Y13" s="13"/>
      <c r="Z13" s="416" t="s">
        <v>6</v>
      </c>
      <c r="AA13" s="13" t="s">
        <v>6</v>
      </c>
      <c r="AB13" s="13"/>
      <c r="AC13" s="40"/>
      <c r="AD13" s="40"/>
      <c r="AE13" s="412" t="s">
        <v>133</v>
      </c>
      <c r="AF13" s="13"/>
      <c r="AG13" s="13"/>
      <c r="AH13" s="416" t="s">
        <v>6</v>
      </c>
      <c r="AI13" s="13" t="s">
        <v>6</v>
      </c>
      <c r="AJ13" s="13"/>
      <c r="AK13" s="40"/>
      <c r="AL13" s="40"/>
      <c r="AM13" s="59" t="s">
        <v>1812</v>
      </c>
      <c r="AN13" s="19"/>
      <c r="AO13" s="15"/>
      <c r="AP13" s="15"/>
      <c r="AQ13" s="15"/>
      <c r="AR13" s="15"/>
      <c r="AS13" s="15"/>
      <c r="AT13" s="15"/>
      <c r="AU13" s="15"/>
      <c r="AV13" s="15"/>
      <c r="AW13" s="18">
        <f t="shared" ref="AW13:AW14" si="5">LEN(L13)</f>
        <v>36</v>
      </c>
    </row>
    <row r="14" spans="1:86" s="20" customFormat="1" ht="15">
      <c r="A14" s="13">
        <f t="shared" si="0"/>
        <v>8</v>
      </c>
      <c r="B14" s="19"/>
      <c r="C14" s="41"/>
      <c r="D14" s="19"/>
      <c r="E14" s="19"/>
      <c r="F14" s="19"/>
      <c r="G14" s="19"/>
      <c r="H14" s="13"/>
      <c r="I14" s="13"/>
      <c r="J14" s="412" t="s">
        <v>1848</v>
      </c>
      <c r="K14" s="412" t="s">
        <v>132</v>
      </c>
      <c r="L14" s="412" t="s">
        <v>1849</v>
      </c>
      <c r="M14" s="412"/>
      <c r="N14" s="13" t="s">
        <v>504</v>
      </c>
      <c r="O14" s="13"/>
      <c r="P14" s="13"/>
      <c r="Q14" s="40" t="s">
        <v>6</v>
      </c>
      <c r="R14" s="416" t="s">
        <v>6</v>
      </c>
      <c r="S14" s="40" t="s">
        <v>6</v>
      </c>
      <c r="T14" s="126" t="s">
        <v>6</v>
      </c>
      <c r="U14" s="13" t="s">
        <v>1841</v>
      </c>
      <c r="V14" s="13"/>
      <c r="W14" s="412" t="s">
        <v>133</v>
      </c>
      <c r="X14" s="43"/>
      <c r="Y14" s="13"/>
      <c r="Z14" s="416" t="s">
        <v>6</v>
      </c>
      <c r="AA14" s="13" t="s">
        <v>6</v>
      </c>
      <c r="AB14" s="45"/>
      <c r="AC14" s="415"/>
      <c r="AD14" s="415"/>
      <c r="AE14" s="412" t="s">
        <v>133</v>
      </c>
      <c r="AF14" s="43"/>
      <c r="AG14" s="13"/>
      <c r="AH14" s="416" t="s">
        <v>6</v>
      </c>
      <c r="AI14" s="13" t="s">
        <v>6</v>
      </c>
      <c r="AJ14" s="45"/>
      <c r="AK14" s="415"/>
      <c r="AL14" s="415"/>
      <c r="AM14" s="59" t="s">
        <v>1812</v>
      </c>
      <c r="AN14" s="19"/>
      <c r="AO14" s="13"/>
      <c r="AP14" s="13"/>
      <c r="AQ14" s="13"/>
      <c r="AR14" s="13"/>
      <c r="AS14" s="13"/>
      <c r="AT14" s="13"/>
      <c r="AU14" s="15"/>
      <c r="AV14" s="15"/>
      <c r="AW14" s="18">
        <f t="shared" si="5"/>
        <v>42</v>
      </c>
    </row>
    <row r="15" spans="1:86" s="20" customFormat="1" ht="15">
      <c r="A15" s="13">
        <f t="shared" si="0"/>
        <v>9</v>
      </c>
      <c r="B15" s="38"/>
      <c r="C15" s="41"/>
      <c r="D15" s="19"/>
      <c r="E15" s="19"/>
      <c r="F15" s="19"/>
      <c r="G15" s="19"/>
      <c r="H15" s="13"/>
      <c r="I15" s="13"/>
      <c r="J15" s="412" t="s">
        <v>1850</v>
      </c>
      <c r="K15" s="412" t="s">
        <v>132</v>
      </c>
      <c r="L15" s="412" t="s">
        <v>1851</v>
      </c>
      <c r="M15" s="412"/>
      <c r="N15" s="13" t="s">
        <v>504</v>
      </c>
      <c r="O15" s="13"/>
      <c r="P15" s="13"/>
      <c r="Q15" s="40" t="s">
        <v>6</v>
      </c>
      <c r="R15" s="416" t="s">
        <v>6</v>
      </c>
      <c r="S15" s="40" t="s">
        <v>6</v>
      </c>
      <c r="T15" s="126" t="s">
        <v>6</v>
      </c>
      <c r="U15" s="13"/>
      <c r="V15" s="13"/>
      <c r="W15" s="412" t="s">
        <v>133</v>
      </c>
      <c r="X15" s="13"/>
      <c r="Y15" s="13"/>
      <c r="Z15" s="416" t="s">
        <v>6</v>
      </c>
      <c r="AA15" s="13" t="s">
        <v>6</v>
      </c>
      <c r="AB15" s="13"/>
      <c r="AC15" s="40"/>
      <c r="AD15" s="40"/>
      <c r="AE15" s="412" t="s">
        <v>133</v>
      </c>
      <c r="AF15" s="13"/>
      <c r="AG15" s="13"/>
      <c r="AH15" s="416" t="s">
        <v>6</v>
      </c>
      <c r="AI15" s="13" t="s">
        <v>6</v>
      </c>
      <c r="AJ15" s="13"/>
      <c r="AK15" s="40"/>
      <c r="AL15" s="40"/>
      <c r="AM15" s="59" t="s">
        <v>1812</v>
      </c>
      <c r="AN15" s="13"/>
      <c r="AO15" s="15"/>
      <c r="AP15" s="15"/>
      <c r="AQ15" s="15"/>
      <c r="AR15" s="15"/>
      <c r="AS15" s="15"/>
      <c r="AT15" s="15"/>
      <c r="AU15" s="15"/>
      <c r="AV15" s="19"/>
      <c r="AW15" s="18">
        <f t="shared" si="2"/>
        <v>35</v>
      </c>
    </row>
    <row r="16" spans="1:86" s="20" customFormat="1" ht="15">
      <c r="A16" s="13">
        <f t="shared" si="0"/>
        <v>10</v>
      </c>
      <c r="B16" s="38"/>
      <c r="C16" s="41"/>
      <c r="D16" s="19"/>
      <c r="E16" s="19"/>
      <c r="F16" s="19"/>
      <c r="G16" s="19"/>
      <c r="H16" s="13"/>
      <c r="I16" s="13"/>
      <c r="J16" s="412" t="s">
        <v>1852</v>
      </c>
      <c r="K16" s="412" t="s">
        <v>132</v>
      </c>
      <c r="L16" s="412" t="s">
        <v>1853</v>
      </c>
      <c r="M16" s="412"/>
      <c r="N16" s="13" t="s">
        <v>504</v>
      </c>
      <c r="O16" s="13"/>
      <c r="P16" s="13"/>
      <c r="Q16" s="40" t="s">
        <v>6</v>
      </c>
      <c r="R16" s="416" t="s">
        <v>6</v>
      </c>
      <c r="S16" s="40" t="s">
        <v>6</v>
      </c>
      <c r="T16" s="126" t="s">
        <v>6</v>
      </c>
      <c r="U16" s="13" t="s">
        <v>1841</v>
      </c>
      <c r="V16" s="40"/>
      <c r="W16" s="412" t="s">
        <v>133</v>
      </c>
      <c r="X16" s="13"/>
      <c r="Y16" s="13"/>
      <c r="Z16" s="416" t="s">
        <v>6</v>
      </c>
      <c r="AA16" s="13" t="s">
        <v>6</v>
      </c>
      <c r="AB16" s="13"/>
      <c r="AC16" s="40"/>
      <c r="AD16" s="40"/>
      <c r="AE16" s="412" t="s">
        <v>133</v>
      </c>
      <c r="AF16" s="13"/>
      <c r="AG16" s="13"/>
      <c r="AH16" s="416" t="s">
        <v>6</v>
      </c>
      <c r="AI16" s="13" t="s">
        <v>6</v>
      </c>
      <c r="AJ16" s="13"/>
      <c r="AK16" s="40"/>
      <c r="AL16" s="40"/>
      <c r="AM16" s="59" t="s">
        <v>1812</v>
      </c>
      <c r="AN16" s="19"/>
      <c r="AO16" s="15"/>
      <c r="AP16" s="15"/>
      <c r="AQ16" s="15"/>
      <c r="AR16" s="15"/>
      <c r="AS16" s="15"/>
      <c r="AT16" s="15"/>
      <c r="AU16" s="15"/>
      <c r="AV16" s="15"/>
      <c r="AW16" s="18">
        <f t="shared" si="2"/>
        <v>36</v>
      </c>
    </row>
    <row r="17" spans="1:49" s="20" customFormat="1" ht="15">
      <c r="A17" s="13">
        <f t="shared" si="0"/>
        <v>11</v>
      </c>
      <c r="B17" s="19"/>
      <c r="C17" s="41"/>
      <c r="D17" s="19"/>
      <c r="E17" s="19"/>
      <c r="F17" s="19"/>
      <c r="G17" s="19"/>
      <c r="H17" s="13"/>
      <c r="I17" s="13"/>
      <c r="J17" s="412" t="s">
        <v>1854</v>
      </c>
      <c r="K17" s="412" t="s">
        <v>132</v>
      </c>
      <c r="L17" s="412" t="s">
        <v>1855</v>
      </c>
      <c r="M17" s="412"/>
      <c r="N17" s="13" t="s">
        <v>504</v>
      </c>
      <c r="O17" s="13"/>
      <c r="P17" s="13"/>
      <c r="Q17" s="40" t="s">
        <v>6</v>
      </c>
      <c r="R17" s="416" t="s">
        <v>6</v>
      </c>
      <c r="S17" s="40" t="s">
        <v>6</v>
      </c>
      <c r="T17" s="126" t="s">
        <v>6</v>
      </c>
      <c r="U17" s="13" t="s">
        <v>1841</v>
      </c>
      <c r="V17" s="13"/>
      <c r="W17" s="412" t="s">
        <v>133</v>
      </c>
      <c r="X17" s="43"/>
      <c r="Y17" s="13"/>
      <c r="Z17" s="416" t="s">
        <v>6</v>
      </c>
      <c r="AA17" s="13" t="s">
        <v>6</v>
      </c>
      <c r="AB17" s="45"/>
      <c r="AC17" s="415"/>
      <c r="AD17" s="415"/>
      <c r="AE17" s="412" t="s">
        <v>133</v>
      </c>
      <c r="AF17" s="43"/>
      <c r="AG17" s="13"/>
      <c r="AH17" s="416" t="s">
        <v>6</v>
      </c>
      <c r="AI17" s="13" t="s">
        <v>6</v>
      </c>
      <c r="AJ17" s="45"/>
      <c r="AK17" s="415"/>
      <c r="AL17" s="415"/>
      <c r="AM17" s="59" t="s">
        <v>1812</v>
      </c>
      <c r="AN17" s="19"/>
      <c r="AO17" s="13"/>
      <c r="AP17" s="13"/>
      <c r="AQ17" s="13"/>
      <c r="AR17" s="13"/>
      <c r="AS17" s="13"/>
      <c r="AT17" s="13"/>
      <c r="AU17" s="15"/>
      <c r="AV17" s="15"/>
      <c r="AW17" s="18">
        <f t="shared" si="2"/>
        <v>42</v>
      </c>
    </row>
    <row r="18" spans="1:49" s="20" customFormat="1" ht="15">
      <c r="A18" s="13">
        <f t="shared" si="0"/>
        <v>12</v>
      </c>
      <c r="B18" s="19"/>
      <c r="C18" s="41"/>
      <c r="D18" s="19"/>
      <c r="E18" s="19"/>
      <c r="F18" s="19"/>
      <c r="G18" s="19"/>
      <c r="H18" s="13"/>
      <c r="I18" s="13"/>
      <c r="J18" s="412" t="s">
        <v>1856</v>
      </c>
      <c r="K18" s="412" t="s">
        <v>132</v>
      </c>
      <c r="L18" s="412" t="s">
        <v>1857</v>
      </c>
      <c r="M18" s="412"/>
      <c r="N18" s="13" t="s">
        <v>504</v>
      </c>
      <c r="O18" s="13"/>
      <c r="P18" s="13"/>
      <c r="Q18" s="40" t="s">
        <v>6</v>
      </c>
      <c r="R18" s="416" t="s">
        <v>6</v>
      </c>
      <c r="S18" s="40" t="s">
        <v>6</v>
      </c>
      <c r="T18" s="126" t="s">
        <v>6</v>
      </c>
      <c r="U18" s="13"/>
      <c r="V18" s="13"/>
      <c r="W18" s="412" t="s">
        <v>133</v>
      </c>
      <c r="X18" s="13"/>
      <c r="Y18" s="13"/>
      <c r="Z18" s="416" t="s">
        <v>6</v>
      </c>
      <c r="AA18" s="40" t="s">
        <v>6</v>
      </c>
      <c r="AB18" s="13"/>
      <c r="AC18" s="40"/>
      <c r="AD18" s="40"/>
      <c r="AE18" s="412" t="s">
        <v>133</v>
      </c>
      <c r="AF18" s="13"/>
      <c r="AG18" s="13"/>
      <c r="AH18" s="416" t="s">
        <v>6</v>
      </c>
      <c r="AI18" s="40" t="s">
        <v>6</v>
      </c>
      <c r="AJ18" s="13"/>
      <c r="AK18" s="40"/>
      <c r="AL18" s="40"/>
      <c r="AM18" s="59" t="s">
        <v>1812</v>
      </c>
      <c r="AN18" s="13"/>
      <c r="AO18" s="15"/>
      <c r="AP18" s="15"/>
      <c r="AQ18" s="15"/>
      <c r="AR18" s="15"/>
      <c r="AS18" s="15"/>
      <c r="AT18" s="15"/>
      <c r="AU18" s="15"/>
      <c r="AV18" s="15"/>
      <c r="AW18" s="18">
        <f t="shared" si="2"/>
        <v>35</v>
      </c>
    </row>
    <row r="19" spans="1:49" s="20" customFormat="1" ht="15">
      <c r="A19" s="13">
        <f t="shared" si="0"/>
        <v>13</v>
      </c>
      <c r="B19" s="38"/>
      <c r="C19" s="41"/>
      <c r="D19" s="19"/>
      <c r="E19" s="19"/>
      <c r="F19" s="19"/>
      <c r="G19" s="19"/>
      <c r="H19" s="13"/>
      <c r="I19" s="13"/>
      <c r="J19" s="412" t="s">
        <v>1858</v>
      </c>
      <c r="K19" s="412" t="s">
        <v>132</v>
      </c>
      <c r="L19" s="412" t="s">
        <v>1859</v>
      </c>
      <c r="M19" s="412"/>
      <c r="N19" s="13" t="s">
        <v>504</v>
      </c>
      <c r="O19" s="13"/>
      <c r="P19" s="13"/>
      <c r="Q19" s="40" t="s">
        <v>6</v>
      </c>
      <c r="R19" s="416" t="s">
        <v>6</v>
      </c>
      <c r="S19" s="40" t="s">
        <v>6</v>
      </c>
      <c r="T19" s="126" t="s">
        <v>6</v>
      </c>
      <c r="U19" s="13" t="s">
        <v>1841</v>
      </c>
      <c r="V19" s="40"/>
      <c r="W19" s="412" t="s">
        <v>133</v>
      </c>
      <c r="X19" s="13"/>
      <c r="Y19" s="13"/>
      <c r="Z19" s="416" t="s">
        <v>6</v>
      </c>
      <c r="AA19" s="13" t="s">
        <v>6</v>
      </c>
      <c r="AB19" s="13"/>
      <c r="AC19" s="40"/>
      <c r="AD19" s="40"/>
      <c r="AE19" s="412" t="s">
        <v>133</v>
      </c>
      <c r="AF19" s="13"/>
      <c r="AG19" s="13"/>
      <c r="AH19" s="416" t="s">
        <v>6</v>
      </c>
      <c r="AI19" s="13" t="s">
        <v>6</v>
      </c>
      <c r="AJ19" s="13"/>
      <c r="AK19" s="40"/>
      <c r="AL19" s="40"/>
      <c r="AM19" s="59" t="s">
        <v>1812</v>
      </c>
      <c r="AN19" s="19"/>
      <c r="AO19" s="15"/>
      <c r="AP19" s="15"/>
      <c r="AQ19" s="15"/>
      <c r="AR19" s="15"/>
      <c r="AS19" s="15"/>
      <c r="AT19" s="15"/>
      <c r="AU19" s="15"/>
      <c r="AV19" s="15"/>
      <c r="AW19" s="18">
        <f t="shared" ref="AW19:AW20" si="6">LEN(L19)</f>
        <v>36</v>
      </c>
    </row>
    <row r="20" spans="1:49" s="20" customFormat="1" ht="15">
      <c r="A20" s="13">
        <f t="shared" si="0"/>
        <v>14</v>
      </c>
      <c r="B20" s="19"/>
      <c r="C20" s="41"/>
      <c r="D20" s="19"/>
      <c r="E20" s="19"/>
      <c r="F20" s="19"/>
      <c r="G20" s="19"/>
      <c r="H20" s="13"/>
      <c r="I20" s="13"/>
      <c r="J20" s="412" t="s">
        <v>1860</v>
      </c>
      <c r="K20" s="412" t="s">
        <v>132</v>
      </c>
      <c r="L20" s="412" t="s">
        <v>1861</v>
      </c>
      <c r="M20" s="412"/>
      <c r="N20" s="13" t="s">
        <v>504</v>
      </c>
      <c r="O20" s="13"/>
      <c r="P20" s="13"/>
      <c r="Q20" s="40" t="s">
        <v>6</v>
      </c>
      <c r="R20" s="416" t="s">
        <v>6</v>
      </c>
      <c r="S20" s="40" t="s">
        <v>6</v>
      </c>
      <c r="T20" s="126" t="s">
        <v>6</v>
      </c>
      <c r="U20" s="13" t="s">
        <v>1841</v>
      </c>
      <c r="V20" s="13"/>
      <c r="W20" s="412" t="s">
        <v>133</v>
      </c>
      <c r="X20" s="43"/>
      <c r="Y20" s="13"/>
      <c r="Z20" s="416" t="s">
        <v>6</v>
      </c>
      <c r="AA20" s="13" t="s">
        <v>6</v>
      </c>
      <c r="AB20" s="45"/>
      <c r="AC20" s="415"/>
      <c r="AD20" s="415"/>
      <c r="AE20" s="412" t="s">
        <v>133</v>
      </c>
      <c r="AF20" s="43"/>
      <c r="AG20" s="13"/>
      <c r="AH20" s="416" t="s">
        <v>6</v>
      </c>
      <c r="AI20" s="13" t="s">
        <v>6</v>
      </c>
      <c r="AJ20" s="45"/>
      <c r="AK20" s="415"/>
      <c r="AL20" s="415"/>
      <c r="AM20" s="59" t="s">
        <v>1812</v>
      </c>
      <c r="AN20" s="19"/>
      <c r="AO20" s="13"/>
      <c r="AP20" s="13"/>
      <c r="AQ20" s="13"/>
      <c r="AR20" s="13"/>
      <c r="AS20" s="13"/>
      <c r="AT20" s="13"/>
      <c r="AU20" s="15"/>
      <c r="AV20" s="15"/>
      <c r="AW20" s="18">
        <f t="shared" si="6"/>
        <v>42</v>
      </c>
    </row>
    <row r="21" spans="1:49" s="20" customFormat="1" ht="15">
      <c r="A21" s="13">
        <f t="shared" si="0"/>
        <v>15</v>
      </c>
      <c r="B21" s="19"/>
      <c r="C21" s="41"/>
      <c r="D21" s="19"/>
      <c r="E21" s="19"/>
      <c r="F21" s="19"/>
      <c r="G21" s="19"/>
      <c r="H21" s="13"/>
      <c r="I21" s="13"/>
      <c r="J21" s="412" t="s">
        <v>1862</v>
      </c>
      <c r="K21" s="412" t="s">
        <v>132</v>
      </c>
      <c r="L21" s="412" t="s">
        <v>1863</v>
      </c>
      <c r="M21" s="412"/>
      <c r="N21" s="13" t="s">
        <v>504</v>
      </c>
      <c r="O21" s="13"/>
      <c r="P21" s="13"/>
      <c r="Q21" s="40" t="s">
        <v>6</v>
      </c>
      <c r="R21" s="416" t="s">
        <v>6</v>
      </c>
      <c r="S21" s="40" t="s">
        <v>6</v>
      </c>
      <c r="T21" s="126" t="s">
        <v>6</v>
      </c>
      <c r="U21" s="13"/>
      <c r="V21" s="13"/>
      <c r="W21" s="412" t="s">
        <v>133</v>
      </c>
      <c r="X21" s="13"/>
      <c r="Y21" s="13"/>
      <c r="Z21" s="416" t="s">
        <v>6</v>
      </c>
      <c r="AA21" s="40" t="s">
        <v>6</v>
      </c>
      <c r="AB21" s="13"/>
      <c r="AC21" s="40"/>
      <c r="AD21" s="40"/>
      <c r="AE21" s="412" t="s">
        <v>133</v>
      </c>
      <c r="AF21" s="13"/>
      <c r="AG21" s="13"/>
      <c r="AH21" s="416" t="s">
        <v>6</v>
      </c>
      <c r="AI21" s="40" t="s">
        <v>6</v>
      </c>
      <c r="AJ21" s="13"/>
      <c r="AK21" s="40"/>
      <c r="AL21" s="40"/>
      <c r="AM21" s="59" t="s">
        <v>1812</v>
      </c>
      <c r="AN21" s="13"/>
      <c r="AO21" s="15"/>
      <c r="AP21" s="15"/>
      <c r="AQ21" s="15"/>
      <c r="AR21" s="15"/>
      <c r="AS21" s="15"/>
      <c r="AT21" s="15"/>
      <c r="AU21" s="15"/>
      <c r="AV21" s="15"/>
      <c r="AW21" s="18">
        <f t="shared" si="2"/>
        <v>35</v>
      </c>
    </row>
    <row r="22" spans="1:49" s="20" customFormat="1" ht="15">
      <c r="A22" s="13">
        <f t="shared" si="0"/>
        <v>16</v>
      </c>
      <c r="B22" s="38"/>
      <c r="C22" s="41"/>
      <c r="D22" s="19"/>
      <c r="E22" s="19"/>
      <c r="F22" s="19"/>
      <c r="G22" s="19"/>
      <c r="H22" s="13"/>
      <c r="I22" s="13"/>
      <c r="J22" s="412" t="s">
        <v>1864</v>
      </c>
      <c r="K22" s="412" t="s">
        <v>132</v>
      </c>
      <c r="L22" s="412" t="s">
        <v>1865</v>
      </c>
      <c r="M22" s="412"/>
      <c r="N22" s="13" t="s">
        <v>504</v>
      </c>
      <c r="O22" s="13"/>
      <c r="P22" s="13"/>
      <c r="Q22" s="40" t="s">
        <v>6</v>
      </c>
      <c r="R22" s="416" t="s">
        <v>6</v>
      </c>
      <c r="S22" s="40" t="s">
        <v>6</v>
      </c>
      <c r="T22" s="126" t="s">
        <v>6</v>
      </c>
      <c r="U22" s="13" t="s">
        <v>1841</v>
      </c>
      <c r="V22" s="40"/>
      <c r="W22" s="412" t="s">
        <v>133</v>
      </c>
      <c r="X22" s="13"/>
      <c r="Y22" s="13"/>
      <c r="Z22" s="416" t="s">
        <v>6</v>
      </c>
      <c r="AA22" s="13" t="s">
        <v>6</v>
      </c>
      <c r="AB22" s="13"/>
      <c r="AC22" s="40"/>
      <c r="AD22" s="40"/>
      <c r="AE22" s="412" t="s">
        <v>133</v>
      </c>
      <c r="AF22" s="13"/>
      <c r="AG22" s="13"/>
      <c r="AH22" s="416" t="s">
        <v>6</v>
      </c>
      <c r="AI22" s="13" t="s">
        <v>6</v>
      </c>
      <c r="AJ22" s="13"/>
      <c r="AK22" s="40"/>
      <c r="AL22" s="40"/>
      <c r="AM22" s="59" t="s">
        <v>1812</v>
      </c>
      <c r="AN22" s="19"/>
      <c r="AO22" s="15"/>
      <c r="AP22" s="15"/>
      <c r="AQ22" s="15"/>
      <c r="AR22" s="15"/>
      <c r="AS22" s="15"/>
      <c r="AT22" s="15"/>
      <c r="AU22" s="15"/>
      <c r="AV22" s="15"/>
      <c r="AW22" s="18">
        <f t="shared" si="2"/>
        <v>36</v>
      </c>
    </row>
    <row r="23" spans="1:49" s="20" customFormat="1" ht="15">
      <c r="A23" s="13">
        <f t="shared" si="0"/>
        <v>17</v>
      </c>
      <c r="B23" s="19"/>
      <c r="C23" s="41"/>
      <c r="D23" s="19"/>
      <c r="E23" s="19"/>
      <c r="F23" s="19"/>
      <c r="G23" s="19"/>
      <c r="H23" s="13"/>
      <c r="I23" s="13"/>
      <c r="J23" s="412" t="s">
        <v>1866</v>
      </c>
      <c r="K23" s="412" t="s">
        <v>132</v>
      </c>
      <c r="L23" s="412" t="s">
        <v>1867</v>
      </c>
      <c r="M23" s="412"/>
      <c r="N23" s="13" t="s">
        <v>504</v>
      </c>
      <c r="O23" s="13"/>
      <c r="P23" s="13"/>
      <c r="Q23" s="40" t="s">
        <v>6</v>
      </c>
      <c r="R23" s="416" t="s">
        <v>6</v>
      </c>
      <c r="S23" s="40" t="s">
        <v>6</v>
      </c>
      <c r="T23" s="126" t="s">
        <v>6</v>
      </c>
      <c r="U23" s="13" t="s">
        <v>1841</v>
      </c>
      <c r="V23" s="13"/>
      <c r="W23" s="412" t="s">
        <v>133</v>
      </c>
      <c r="X23" s="43"/>
      <c r="Y23" s="13"/>
      <c r="Z23" s="416" t="s">
        <v>6</v>
      </c>
      <c r="AA23" s="13" t="s">
        <v>6</v>
      </c>
      <c r="AB23" s="45"/>
      <c r="AC23" s="415"/>
      <c r="AD23" s="415"/>
      <c r="AE23" s="412" t="s">
        <v>133</v>
      </c>
      <c r="AF23" s="43"/>
      <c r="AG23" s="13"/>
      <c r="AH23" s="416" t="s">
        <v>6</v>
      </c>
      <c r="AI23" s="13" t="s">
        <v>6</v>
      </c>
      <c r="AJ23" s="45"/>
      <c r="AK23" s="415"/>
      <c r="AL23" s="415"/>
      <c r="AM23" s="59" t="s">
        <v>1812</v>
      </c>
      <c r="AN23" s="19"/>
      <c r="AO23" s="13"/>
      <c r="AP23" s="13"/>
      <c r="AQ23" s="13"/>
      <c r="AR23" s="13"/>
      <c r="AS23" s="13"/>
      <c r="AT23" s="13"/>
      <c r="AU23" s="15"/>
      <c r="AV23" s="15"/>
      <c r="AW23" s="18">
        <f t="shared" si="2"/>
        <v>42</v>
      </c>
    </row>
    <row r="24" spans="1:49" s="20" customFormat="1" ht="15">
      <c r="A24" s="13">
        <f t="shared" si="0"/>
        <v>18</v>
      </c>
      <c r="B24" s="19"/>
      <c r="C24" s="41"/>
      <c r="D24" s="19"/>
      <c r="E24" s="19"/>
      <c r="F24" s="19"/>
      <c r="G24" s="19"/>
      <c r="H24" s="13"/>
      <c r="I24" s="13"/>
      <c r="J24" s="412" t="s">
        <v>1868</v>
      </c>
      <c r="K24" s="412" t="s">
        <v>132</v>
      </c>
      <c r="L24" s="412" t="s">
        <v>1869</v>
      </c>
      <c r="M24" s="412"/>
      <c r="N24" s="13" t="s">
        <v>504</v>
      </c>
      <c r="O24" s="13"/>
      <c r="P24" s="13"/>
      <c r="Q24" s="40" t="s">
        <v>6</v>
      </c>
      <c r="R24" s="416" t="s">
        <v>6</v>
      </c>
      <c r="S24" s="40" t="s">
        <v>6</v>
      </c>
      <c r="T24" s="126" t="s">
        <v>6</v>
      </c>
      <c r="U24" s="13" t="s">
        <v>1841</v>
      </c>
      <c r="V24" s="13"/>
      <c r="W24" s="412" t="s">
        <v>133</v>
      </c>
      <c r="X24" s="43"/>
      <c r="Y24" s="13"/>
      <c r="Z24" s="416" t="s">
        <v>6</v>
      </c>
      <c r="AA24" s="13" t="s">
        <v>6</v>
      </c>
      <c r="AB24" s="45"/>
      <c r="AC24" s="415"/>
      <c r="AD24" s="415"/>
      <c r="AE24" s="412" t="s">
        <v>133</v>
      </c>
      <c r="AF24" s="43"/>
      <c r="AG24" s="13"/>
      <c r="AH24" s="416" t="s">
        <v>6</v>
      </c>
      <c r="AI24" s="13" t="s">
        <v>6</v>
      </c>
      <c r="AJ24" s="45"/>
      <c r="AK24" s="415"/>
      <c r="AL24" s="415"/>
      <c r="AM24" s="59" t="s">
        <v>1812</v>
      </c>
      <c r="AN24" s="19"/>
      <c r="AO24" s="13"/>
      <c r="AP24" s="13"/>
      <c r="AQ24" s="13"/>
      <c r="AR24" s="13"/>
      <c r="AS24" s="13"/>
      <c r="AT24" s="13"/>
      <c r="AU24" s="15"/>
      <c r="AV24" s="15"/>
      <c r="AW24" s="18">
        <f t="shared" ref="AW24" si="7">LEN(L24)</f>
        <v>43</v>
      </c>
    </row>
    <row r="25" spans="1:49" s="20" customFormat="1" ht="15">
      <c r="A25" s="13">
        <f t="shared" si="0"/>
        <v>19</v>
      </c>
      <c r="B25" s="19"/>
      <c r="C25" s="41"/>
      <c r="D25" s="19"/>
      <c r="E25" s="19"/>
      <c r="F25" s="19"/>
      <c r="G25" s="19"/>
      <c r="H25" s="13"/>
      <c r="I25" s="13"/>
      <c r="J25" s="412" t="s">
        <v>1870</v>
      </c>
      <c r="K25" s="412" t="s">
        <v>132</v>
      </c>
      <c r="L25" s="412" t="s">
        <v>1871</v>
      </c>
      <c r="M25" s="412"/>
      <c r="N25" s="13" t="s">
        <v>504</v>
      </c>
      <c r="O25" s="13"/>
      <c r="P25" s="13"/>
      <c r="Q25" s="40" t="s">
        <v>6</v>
      </c>
      <c r="R25" s="416" t="s">
        <v>6</v>
      </c>
      <c r="S25" s="40" t="s">
        <v>6</v>
      </c>
      <c r="T25" s="126" t="s">
        <v>6</v>
      </c>
      <c r="U25" s="13" t="s">
        <v>1841</v>
      </c>
      <c r="V25" s="13"/>
      <c r="W25" s="412" t="s">
        <v>133</v>
      </c>
      <c r="X25" s="43"/>
      <c r="Y25" s="13"/>
      <c r="Z25" s="416" t="s">
        <v>6</v>
      </c>
      <c r="AA25" s="13" t="s">
        <v>6</v>
      </c>
      <c r="AB25" s="45"/>
      <c r="AC25" s="415"/>
      <c r="AD25" s="415"/>
      <c r="AE25" s="412" t="s">
        <v>133</v>
      </c>
      <c r="AF25" s="43"/>
      <c r="AG25" s="13"/>
      <c r="AH25" s="416" t="s">
        <v>6</v>
      </c>
      <c r="AI25" s="13" t="s">
        <v>6</v>
      </c>
      <c r="AJ25" s="45"/>
      <c r="AK25" s="415"/>
      <c r="AL25" s="415"/>
      <c r="AM25" s="59" t="s">
        <v>1812</v>
      </c>
      <c r="AN25" s="19"/>
      <c r="AO25" s="13"/>
      <c r="AP25" s="13"/>
      <c r="AQ25" s="13"/>
      <c r="AR25" s="13"/>
      <c r="AS25" s="13"/>
      <c r="AT25" s="13"/>
      <c r="AU25" s="15"/>
      <c r="AV25" s="15"/>
      <c r="AW25" s="18">
        <f t="shared" ref="AW25" si="8">LEN(L25)</f>
        <v>43</v>
      </c>
    </row>
    <row r="26" spans="1:49" s="20" customFormat="1" ht="15">
      <c r="A26" s="13">
        <f t="shared" si="0"/>
        <v>20</v>
      </c>
      <c r="B26" s="19"/>
      <c r="C26" s="41"/>
      <c r="D26" s="19"/>
      <c r="E26" s="19"/>
      <c r="F26" s="19"/>
      <c r="G26" s="19"/>
      <c r="H26" s="13"/>
      <c r="I26" s="13"/>
      <c r="J26" s="412" t="s">
        <v>1872</v>
      </c>
      <c r="K26" s="412" t="s">
        <v>132</v>
      </c>
      <c r="L26" s="412" t="s">
        <v>1873</v>
      </c>
      <c r="M26" s="412"/>
      <c r="N26" s="13" t="s">
        <v>504</v>
      </c>
      <c r="O26" s="13"/>
      <c r="P26" s="13"/>
      <c r="Q26" s="40" t="s">
        <v>6</v>
      </c>
      <c r="R26" s="416" t="s">
        <v>6</v>
      </c>
      <c r="S26" s="40" t="s">
        <v>6</v>
      </c>
      <c r="T26" s="126" t="s">
        <v>6</v>
      </c>
      <c r="U26" s="13" t="s">
        <v>1841</v>
      </c>
      <c r="V26" s="13"/>
      <c r="W26" s="412" t="s">
        <v>133</v>
      </c>
      <c r="X26" s="43"/>
      <c r="Y26" s="13"/>
      <c r="Z26" s="416" t="s">
        <v>6</v>
      </c>
      <c r="AA26" s="13" t="s">
        <v>6</v>
      </c>
      <c r="AB26" s="45"/>
      <c r="AC26" s="415"/>
      <c r="AD26" s="415"/>
      <c r="AE26" s="412" t="s">
        <v>133</v>
      </c>
      <c r="AF26" s="43"/>
      <c r="AG26" s="13"/>
      <c r="AH26" s="416" t="s">
        <v>6</v>
      </c>
      <c r="AI26" s="13" t="s">
        <v>6</v>
      </c>
      <c r="AJ26" s="45"/>
      <c r="AK26" s="415"/>
      <c r="AL26" s="415"/>
      <c r="AM26" s="59" t="s">
        <v>1812</v>
      </c>
      <c r="AN26" s="19"/>
      <c r="AO26" s="13"/>
      <c r="AP26" s="13"/>
      <c r="AQ26" s="13"/>
      <c r="AR26" s="13"/>
      <c r="AS26" s="13"/>
      <c r="AT26" s="13"/>
      <c r="AU26" s="15"/>
      <c r="AV26" s="15"/>
      <c r="AW26" s="18">
        <f t="shared" ref="AW26" si="9">LEN(L26)</f>
        <v>43</v>
      </c>
    </row>
    <row r="27" spans="1:49" s="20" customFormat="1" ht="15">
      <c r="A27" s="13">
        <f t="shared" si="0"/>
        <v>21</v>
      </c>
      <c r="B27" s="19"/>
      <c r="C27" s="41"/>
      <c r="D27" s="19"/>
      <c r="E27" s="19"/>
      <c r="F27" s="19"/>
      <c r="G27" s="19"/>
      <c r="H27" s="13"/>
      <c r="I27" s="13"/>
      <c r="J27" s="412" t="s">
        <v>1874</v>
      </c>
      <c r="K27" s="412" t="s">
        <v>132</v>
      </c>
      <c r="L27" s="412" t="s">
        <v>1875</v>
      </c>
      <c r="M27" s="412"/>
      <c r="N27" s="13" t="s">
        <v>504</v>
      </c>
      <c r="O27" s="13"/>
      <c r="P27" s="13"/>
      <c r="Q27" s="40" t="s">
        <v>6</v>
      </c>
      <c r="R27" s="416" t="s">
        <v>6</v>
      </c>
      <c r="S27" s="40" t="s">
        <v>6</v>
      </c>
      <c r="T27" s="126" t="s">
        <v>6</v>
      </c>
      <c r="U27" s="13" t="s">
        <v>1841</v>
      </c>
      <c r="V27" s="13"/>
      <c r="W27" s="412" t="s">
        <v>133</v>
      </c>
      <c r="X27" s="43"/>
      <c r="Y27" s="13"/>
      <c r="Z27" s="416" t="s">
        <v>6</v>
      </c>
      <c r="AA27" s="13" t="s">
        <v>6</v>
      </c>
      <c r="AB27" s="45"/>
      <c r="AC27" s="415"/>
      <c r="AD27" s="415"/>
      <c r="AE27" s="412" t="s">
        <v>133</v>
      </c>
      <c r="AF27" s="43"/>
      <c r="AG27" s="13"/>
      <c r="AH27" s="416" t="s">
        <v>6</v>
      </c>
      <c r="AI27" s="13" t="s">
        <v>6</v>
      </c>
      <c r="AJ27" s="45"/>
      <c r="AK27" s="415"/>
      <c r="AL27" s="415"/>
      <c r="AM27" s="59" t="s">
        <v>1812</v>
      </c>
      <c r="AN27" s="19"/>
      <c r="AO27" s="13"/>
      <c r="AP27" s="13"/>
      <c r="AQ27" s="13"/>
      <c r="AR27" s="13"/>
      <c r="AS27" s="13"/>
      <c r="AT27" s="13"/>
      <c r="AU27" s="15"/>
      <c r="AV27" s="15"/>
      <c r="AW27" s="18">
        <f t="shared" ref="AW27" si="10">LEN(L27)</f>
        <v>43</v>
      </c>
    </row>
    <row r="28" spans="1:49" s="20" customFormat="1" ht="15">
      <c r="A28" s="13">
        <f t="shared" si="0"/>
        <v>22</v>
      </c>
      <c r="B28" s="19"/>
      <c r="C28" s="41"/>
      <c r="D28" s="19"/>
      <c r="E28" s="19"/>
      <c r="F28" s="19"/>
      <c r="G28" s="19"/>
      <c r="H28" s="13"/>
      <c r="I28" s="13"/>
      <c r="J28" s="412" t="s">
        <v>1876</v>
      </c>
      <c r="K28" s="412" t="s">
        <v>132</v>
      </c>
      <c r="L28" s="412" t="s">
        <v>1877</v>
      </c>
      <c r="M28" s="412"/>
      <c r="N28" s="13" t="s">
        <v>504</v>
      </c>
      <c r="O28" s="13"/>
      <c r="P28" s="13"/>
      <c r="Q28" s="40" t="s">
        <v>6</v>
      </c>
      <c r="R28" s="416" t="s">
        <v>6</v>
      </c>
      <c r="S28" s="40" t="s">
        <v>6</v>
      </c>
      <c r="T28" s="126" t="s">
        <v>6</v>
      </c>
      <c r="U28" s="13" t="s">
        <v>1841</v>
      </c>
      <c r="V28" s="13"/>
      <c r="W28" s="412" t="s">
        <v>133</v>
      </c>
      <c r="X28" s="43"/>
      <c r="Y28" s="13"/>
      <c r="Z28" s="416" t="s">
        <v>6</v>
      </c>
      <c r="AA28" s="13" t="s">
        <v>6</v>
      </c>
      <c r="AB28" s="45"/>
      <c r="AC28" s="415"/>
      <c r="AD28" s="415"/>
      <c r="AE28" s="412" t="s">
        <v>133</v>
      </c>
      <c r="AF28" s="43"/>
      <c r="AG28" s="13"/>
      <c r="AH28" s="416" t="s">
        <v>6</v>
      </c>
      <c r="AI28" s="13" t="s">
        <v>6</v>
      </c>
      <c r="AJ28" s="45"/>
      <c r="AK28" s="415"/>
      <c r="AL28" s="415"/>
      <c r="AM28" s="59" t="s">
        <v>1812</v>
      </c>
      <c r="AN28" s="19"/>
      <c r="AO28" s="13"/>
      <c r="AP28" s="13"/>
      <c r="AQ28" s="13"/>
      <c r="AR28" s="13"/>
      <c r="AS28" s="13"/>
      <c r="AT28" s="13"/>
      <c r="AU28" s="15"/>
      <c r="AV28" s="15"/>
      <c r="AW28" s="18">
        <f t="shared" ref="AW28" si="11">LEN(L28)</f>
        <v>43</v>
      </c>
    </row>
    <row r="29" spans="1:49" s="20" customFormat="1" ht="15">
      <c r="A29" s="13">
        <f t="shared" si="0"/>
        <v>23</v>
      </c>
      <c r="B29" s="19"/>
      <c r="C29" s="41"/>
      <c r="D29" s="19"/>
      <c r="E29" s="19"/>
      <c r="F29" s="19"/>
      <c r="G29" s="19"/>
      <c r="H29" s="13"/>
      <c r="I29" s="13"/>
      <c r="J29" s="399" t="s">
        <v>1878</v>
      </c>
      <c r="K29" s="399" t="s">
        <v>132</v>
      </c>
      <c r="L29" s="399" t="s">
        <v>1879</v>
      </c>
      <c r="M29" s="412"/>
      <c r="N29" s="13" t="s">
        <v>504</v>
      </c>
      <c r="O29" s="13"/>
      <c r="P29" s="13"/>
      <c r="Q29" s="40" t="s">
        <v>6</v>
      </c>
      <c r="R29" s="404" t="s">
        <v>6</v>
      </c>
      <c r="S29" s="404" t="s">
        <v>6</v>
      </c>
      <c r="T29" s="126" t="s">
        <v>6</v>
      </c>
      <c r="U29" s="13"/>
      <c r="V29" s="13"/>
      <c r="W29" s="399" t="s">
        <v>133</v>
      </c>
      <c r="X29" s="13"/>
      <c r="Y29" s="13"/>
      <c r="Z29" s="404" t="s">
        <v>6</v>
      </c>
      <c r="AA29" s="404" t="s">
        <v>6</v>
      </c>
      <c r="AB29" s="13"/>
      <c r="AC29" s="40"/>
      <c r="AD29" s="40"/>
      <c r="AE29" s="399" t="s">
        <v>133</v>
      </c>
      <c r="AF29" s="13"/>
      <c r="AG29" s="13"/>
      <c r="AH29" s="404" t="s">
        <v>6</v>
      </c>
      <c r="AI29" s="404" t="s">
        <v>6</v>
      </c>
      <c r="AJ29" s="13"/>
      <c r="AK29" s="40"/>
      <c r="AL29" s="40"/>
      <c r="AM29" s="59" t="s">
        <v>1812</v>
      </c>
      <c r="AN29" s="13"/>
      <c r="AO29" s="15"/>
      <c r="AP29" s="15"/>
      <c r="AQ29" s="15"/>
      <c r="AR29" s="15"/>
      <c r="AS29" s="15"/>
      <c r="AT29" s="15"/>
      <c r="AU29" s="15"/>
      <c r="AV29" s="15"/>
      <c r="AW29" s="18">
        <f t="shared" si="2"/>
        <v>31</v>
      </c>
    </row>
    <row r="30" spans="1:49" s="20" customFormat="1" ht="15">
      <c r="A30" s="13">
        <f t="shared" si="0"/>
        <v>24</v>
      </c>
      <c r="B30" s="59"/>
      <c r="C30" s="59"/>
      <c r="D30" s="59"/>
      <c r="E30" s="59"/>
      <c r="F30" s="59"/>
      <c r="G30" s="59"/>
      <c r="H30" s="59"/>
      <c r="I30" s="59"/>
      <c r="J30" s="399" t="s">
        <v>1880</v>
      </c>
      <c r="K30" s="399" t="s">
        <v>132</v>
      </c>
      <c r="L30" s="399" t="s">
        <v>1881</v>
      </c>
      <c r="M30" s="412"/>
      <c r="N30" s="13" t="s">
        <v>504</v>
      </c>
      <c r="O30" s="59"/>
      <c r="P30" s="59"/>
      <c r="Q30" s="40" t="s">
        <v>6</v>
      </c>
      <c r="R30" s="404" t="s">
        <v>6</v>
      </c>
      <c r="S30" s="404" t="s">
        <v>6</v>
      </c>
      <c r="T30" s="126" t="s">
        <v>6</v>
      </c>
      <c r="U30" s="59"/>
      <c r="V30" s="59"/>
      <c r="W30" s="399" t="s">
        <v>133</v>
      </c>
      <c r="X30" s="59"/>
      <c r="Y30" s="59"/>
      <c r="Z30" s="404" t="s">
        <v>6</v>
      </c>
      <c r="AA30" s="404" t="s">
        <v>6</v>
      </c>
      <c r="AB30" s="59"/>
      <c r="AC30" s="59"/>
      <c r="AD30" s="59"/>
      <c r="AE30" s="399" t="s">
        <v>133</v>
      </c>
      <c r="AF30" s="59"/>
      <c r="AG30" s="59"/>
      <c r="AH30" s="404" t="s">
        <v>6</v>
      </c>
      <c r="AI30" s="404" t="s">
        <v>6</v>
      </c>
      <c r="AJ30" s="59"/>
      <c r="AK30" s="59"/>
      <c r="AL30" s="59"/>
      <c r="AM30" s="59" t="s">
        <v>1812</v>
      </c>
      <c r="AN30" s="59"/>
      <c r="AO30" s="59"/>
      <c r="AP30" s="59"/>
      <c r="AQ30" s="59"/>
      <c r="AR30" s="59"/>
      <c r="AS30" s="59"/>
      <c r="AT30" s="59"/>
      <c r="AU30" s="59"/>
      <c r="AV30" s="59"/>
      <c r="AW30" s="18">
        <f t="shared" si="2"/>
        <v>31</v>
      </c>
    </row>
    <row r="31" spans="1:49" s="20" customFormat="1" ht="15">
      <c r="A31" s="13">
        <f t="shared" si="0"/>
        <v>25</v>
      </c>
      <c r="B31" s="59"/>
      <c r="C31" s="59"/>
      <c r="D31" s="59"/>
      <c r="E31" s="59"/>
      <c r="F31" s="59"/>
      <c r="G31" s="59"/>
      <c r="H31" s="59"/>
      <c r="I31" s="59"/>
      <c r="J31" s="399" t="s">
        <v>1882</v>
      </c>
      <c r="K31" s="399" t="s">
        <v>132</v>
      </c>
      <c r="L31" s="399" t="s">
        <v>1883</v>
      </c>
      <c r="M31" s="412"/>
      <c r="N31" s="13" t="s">
        <v>504</v>
      </c>
      <c r="O31" s="59"/>
      <c r="P31" s="59"/>
      <c r="Q31" s="40" t="s">
        <v>6</v>
      </c>
      <c r="R31" s="404" t="s">
        <v>6</v>
      </c>
      <c r="S31" s="404" t="s">
        <v>6</v>
      </c>
      <c r="T31" s="126" t="s">
        <v>6</v>
      </c>
      <c r="U31" s="59"/>
      <c r="V31" s="59"/>
      <c r="W31" s="399" t="s">
        <v>133</v>
      </c>
      <c r="X31" s="59"/>
      <c r="Y31" s="59"/>
      <c r="Z31" s="404" t="s">
        <v>6</v>
      </c>
      <c r="AA31" s="404" t="s">
        <v>6</v>
      </c>
      <c r="AB31" s="59"/>
      <c r="AC31" s="59"/>
      <c r="AD31" s="59"/>
      <c r="AE31" s="399" t="s">
        <v>133</v>
      </c>
      <c r="AF31" s="59"/>
      <c r="AG31" s="59"/>
      <c r="AH31" s="404" t="s">
        <v>6</v>
      </c>
      <c r="AI31" s="404" t="s">
        <v>6</v>
      </c>
      <c r="AJ31" s="59"/>
      <c r="AK31" s="59"/>
      <c r="AL31" s="59"/>
      <c r="AM31" s="59" t="s">
        <v>1812</v>
      </c>
      <c r="AN31" s="59"/>
      <c r="AO31" s="59"/>
      <c r="AP31" s="59"/>
      <c r="AQ31" s="59"/>
      <c r="AR31" s="59"/>
      <c r="AS31" s="59"/>
      <c r="AT31" s="59"/>
      <c r="AU31" s="59"/>
      <c r="AV31" s="59"/>
      <c r="AW31" s="18">
        <f t="shared" si="2"/>
        <v>31</v>
      </c>
    </row>
    <row r="32" spans="1:49" s="20" customFormat="1" ht="15">
      <c r="A32" s="13">
        <f t="shared" si="0"/>
        <v>26</v>
      </c>
      <c r="B32" s="59"/>
      <c r="C32" s="59"/>
      <c r="D32" s="59"/>
      <c r="E32" s="59"/>
      <c r="F32" s="59"/>
      <c r="G32" s="59"/>
      <c r="H32" s="59"/>
      <c r="I32" s="59"/>
      <c r="J32" s="399" t="s">
        <v>1884</v>
      </c>
      <c r="K32" s="399" t="s">
        <v>132</v>
      </c>
      <c r="L32" s="399" t="s">
        <v>1885</v>
      </c>
      <c r="M32" s="412"/>
      <c r="N32" s="13" t="s">
        <v>504</v>
      </c>
      <c r="O32" s="59"/>
      <c r="P32" s="59"/>
      <c r="Q32" s="40" t="s">
        <v>6</v>
      </c>
      <c r="R32" s="404" t="s">
        <v>6</v>
      </c>
      <c r="S32" s="40" t="s">
        <v>6</v>
      </c>
      <c r="T32" s="126" t="s">
        <v>6</v>
      </c>
      <c r="U32" s="59"/>
      <c r="V32" s="59"/>
      <c r="W32" s="399" t="s">
        <v>133</v>
      </c>
      <c r="X32" s="59"/>
      <c r="Y32" s="59"/>
      <c r="Z32" s="404" t="s">
        <v>6</v>
      </c>
      <c r="AA32" s="13" t="s">
        <v>6</v>
      </c>
      <c r="AB32" s="59"/>
      <c r="AC32" s="59"/>
      <c r="AD32" s="59"/>
      <c r="AE32" s="399" t="s">
        <v>133</v>
      </c>
      <c r="AF32" s="59"/>
      <c r="AG32" s="59"/>
      <c r="AH32" s="404" t="s">
        <v>6</v>
      </c>
      <c r="AI32" s="13" t="s">
        <v>6</v>
      </c>
      <c r="AJ32" s="59"/>
      <c r="AK32" s="59"/>
      <c r="AL32" s="59"/>
      <c r="AM32" s="59" t="s">
        <v>1812</v>
      </c>
      <c r="AN32" s="59"/>
      <c r="AO32" s="59"/>
      <c r="AP32" s="59"/>
      <c r="AQ32" s="59"/>
      <c r="AR32" s="59"/>
      <c r="AS32" s="59"/>
      <c r="AT32" s="59"/>
      <c r="AU32" s="59"/>
      <c r="AV32" s="59"/>
      <c r="AW32" s="18">
        <f t="shared" si="2"/>
        <v>31</v>
      </c>
    </row>
    <row r="33" spans="1:87" s="20" customFormat="1" ht="15">
      <c r="A33" s="13">
        <f t="shared" si="0"/>
        <v>27</v>
      </c>
      <c r="B33" s="59"/>
      <c r="C33" s="59"/>
      <c r="D33" s="59"/>
      <c r="E33" s="59"/>
      <c r="F33" s="59"/>
      <c r="G33" s="59"/>
      <c r="H33" s="59"/>
      <c r="I33" s="59"/>
      <c r="J33" s="399" t="s">
        <v>1886</v>
      </c>
      <c r="K33" s="399" t="s">
        <v>132</v>
      </c>
      <c r="L33" s="399" t="s">
        <v>1887</v>
      </c>
      <c r="M33" s="412"/>
      <c r="N33" s="13" t="s">
        <v>504</v>
      </c>
      <c r="O33" s="59"/>
      <c r="P33" s="59"/>
      <c r="Q33" s="40" t="s">
        <v>6</v>
      </c>
      <c r="R33" s="404" t="s">
        <v>6</v>
      </c>
      <c r="S33" s="40" t="s">
        <v>6</v>
      </c>
      <c r="T33" s="126" t="s">
        <v>6</v>
      </c>
      <c r="U33" s="59"/>
      <c r="V33" s="59"/>
      <c r="W33" s="399" t="s">
        <v>133</v>
      </c>
      <c r="X33" s="59"/>
      <c r="Y33" s="59"/>
      <c r="Z33" s="404" t="s">
        <v>6</v>
      </c>
      <c r="AA33" s="13" t="s">
        <v>6</v>
      </c>
      <c r="AB33" s="59"/>
      <c r="AC33" s="59"/>
      <c r="AD33" s="59"/>
      <c r="AE33" s="399" t="s">
        <v>133</v>
      </c>
      <c r="AF33" s="59"/>
      <c r="AG33" s="59"/>
      <c r="AH33" s="404" t="s">
        <v>6</v>
      </c>
      <c r="AI33" s="13" t="s">
        <v>6</v>
      </c>
      <c r="AJ33" s="59"/>
      <c r="AK33" s="59"/>
      <c r="AL33" s="59"/>
      <c r="AM33" s="59" t="s">
        <v>1812</v>
      </c>
      <c r="AN33" s="59"/>
      <c r="AO33" s="59"/>
      <c r="AP33" s="59"/>
      <c r="AQ33" s="59"/>
      <c r="AR33" s="59"/>
      <c r="AS33" s="59"/>
      <c r="AT33" s="59"/>
      <c r="AU33" s="59"/>
      <c r="AV33" s="59"/>
      <c r="AW33" s="18">
        <f t="shared" si="2"/>
        <v>31</v>
      </c>
    </row>
    <row r="34" spans="1:87" s="20" customFormat="1" ht="15">
      <c r="A34" s="13">
        <f t="shared" si="0"/>
        <v>28</v>
      </c>
      <c r="B34" s="59"/>
      <c r="C34" s="59"/>
      <c r="D34" s="59"/>
      <c r="E34" s="59"/>
      <c r="F34" s="59"/>
      <c r="G34" s="59"/>
      <c r="H34" s="59"/>
      <c r="I34" s="59"/>
      <c r="J34" s="399" t="s">
        <v>1888</v>
      </c>
      <c r="K34" s="399" t="s">
        <v>132</v>
      </c>
      <c r="L34" s="399" t="s">
        <v>1889</v>
      </c>
      <c r="M34" s="412"/>
      <c r="N34" s="13" t="s">
        <v>504</v>
      </c>
      <c r="O34" s="59"/>
      <c r="P34" s="59"/>
      <c r="Q34" s="40" t="s">
        <v>6</v>
      </c>
      <c r="R34" s="404" t="s">
        <v>6</v>
      </c>
      <c r="S34" s="40" t="s">
        <v>6</v>
      </c>
      <c r="T34" s="126" t="s">
        <v>6</v>
      </c>
      <c r="U34" s="59"/>
      <c r="V34" s="59"/>
      <c r="W34" s="399" t="s">
        <v>133</v>
      </c>
      <c r="X34" s="59"/>
      <c r="Y34" s="59"/>
      <c r="Z34" s="404" t="s">
        <v>6</v>
      </c>
      <c r="AA34" s="13" t="s">
        <v>6</v>
      </c>
      <c r="AB34" s="59"/>
      <c r="AC34" s="59"/>
      <c r="AD34" s="59"/>
      <c r="AE34" s="399" t="s">
        <v>133</v>
      </c>
      <c r="AF34" s="59"/>
      <c r="AG34" s="59"/>
      <c r="AH34" s="404" t="s">
        <v>6</v>
      </c>
      <c r="AI34" s="13" t="s">
        <v>6</v>
      </c>
      <c r="AJ34" s="59"/>
      <c r="AK34" s="59"/>
      <c r="AL34" s="59"/>
      <c r="AM34" s="59" t="s">
        <v>1812</v>
      </c>
      <c r="AN34" s="59"/>
      <c r="AO34" s="59"/>
      <c r="AP34" s="59"/>
      <c r="AQ34" s="59"/>
      <c r="AR34" s="59"/>
      <c r="AS34" s="59"/>
      <c r="AT34" s="59"/>
      <c r="AU34" s="59"/>
      <c r="AV34" s="59"/>
      <c r="AW34" s="18">
        <f t="shared" si="2"/>
        <v>40</v>
      </c>
    </row>
    <row r="35" spans="1:87" s="236" customFormat="1" ht="26.4">
      <c r="A35" s="13">
        <f t="shared" si="0"/>
        <v>29</v>
      </c>
      <c r="B35" s="199"/>
      <c r="C35" s="199"/>
      <c r="D35" s="199"/>
      <c r="E35" s="199"/>
      <c r="F35" s="199"/>
      <c r="G35" s="199"/>
      <c r="H35" s="199"/>
      <c r="I35" s="199"/>
      <c r="J35" s="218" t="s">
        <v>1890</v>
      </c>
      <c r="K35" s="204" t="s">
        <v>117</v>
      </c>
      <c r="L35" s="204" t="s">
        <v>793</v>
      </c>
      <c r="M35" s="204"/>
      <c r="N35" s="126" t="s">
        <v>504</v>
      </c>
      <c r="O35" s="126"/>
      <c r="P35" s="126"/>
      <c r="Q35" s="40" t="s">
        <v>6</v>
      </c>
      <c r="R35" s="40" t="s">
        <v>6</v>
      </c>
      <c r="S35" s="40" t="s">
        <v>6</v>
      </c>
      <c r="T35" s="126" t="s">
        <v>6</v>
      </c>
      <c r="U35" s="204" t="s">
        <v>1891</v>
      </c>
      <c r="V35" s="204"/>
      <c r="W35" s="215" t="s">
        <v>125</v>
      </c>
      <c r="X35" s="199"/>
      <c r="Y35" s="199"/>
      <c r="Z35" s="40"/>
      <c r="AA35" s="40" t="s">
        <v>6</v>
      </c>
      <c r="AB35" s="218"/>
      <c r="AC35" s="199"/>
      <c r="AD35" s="199"/>
      <c r="AE35" s="215" t="s">
        <v>125</v>
      </c>
      <c r="AF35" s="199"/>
      <c r="AG35" s="199"/>
      <c r="AH35" s="40"/>
      <c r="AI35" s="40" t="s">
        <v>6</v>
      </c>
      <c r="AJ35" s="218"/>
      <c r="AK35" s="199"/>
      <c r="AL35" s="199"/>
      <c r="AM35" s="199"/>
      <c r="AN35" s="199"/>
      <c r="AO35" s="199"/>
      <c r="AP35" s="199"/>
      <c r="AQ35" s="199"/>
      <c r="AR35" s="199"/>
      <c r="AS35" s="199"/>
      <c r="AT35" s="199"/>
      <c r="AU35" s="199"/>
      <c r="AV35" s="199"/>
      <c r="AW35" s="155">
        <f t="shared" si="2"/>
        <v>15</v>
      </c>
    </row>
    <row r="36" spans="1:87" s="236" customFormat="1" ht="15">
      <c r="A36" s="13">
        <f t="shared" si="0"/>
        <v>30</v>
      </c>
      <c r="B36" s="199"/>
      <c r="C36" s="199"/>
      <c r="D36" s="199"/>
      <c r="E36" s="199"/>
      <c r="F36" s="199"/>
      <c r="G36" s="199"/>
      <c r="H36" s="199"/>
      <c r="I36" s="199"/>
      <c r="J36" s="218" t="s">
        <v>3344</v>
      </c>
      <c r="K36" s="232" t="s">
        <v>117</v>
      </c>
      <c r="L36" s="204" t="s">
        <v>3333</v>
      </c>
      <c r="M36" s="204"/>
      <c r="N36" s="126" t="s">
        <v>504</v>
      </c>
      <c r="O36" s="126"/>
      <c r="P36" s="126"/>
      <c r="Q36" s="40"/>
      <c r="R36" s="40" t="s">
        <v>6</v>
      </c>
      <c r="S36" s="126" t="s">
        <v>6</v>
      </c>
      <c r="T36" s="40" t="s">
        <v>6</v>
      </c>
      <c r="U36" s="200"/>
      <c r="V36" s="204"/>
      <c r="W36" s="204" t="s">
        <v>133</v>
      </c>
      <c r="X36" s="199"/>
      <c r="Y36" s="199"/>
      <c r="Z36" s="40" t="s">
        <v>6</v>
      </c>
      <c r="AA36" s="126" t="s">
        <v>6</v>
      </c>
      <c r="AB36" s="198"/>
      <c r="AC36" s="199"/>
      <c r="AD36" s="199"/>
      <c r="AE36" s="232" t="s">
        <v>125</v>
      </c>
      <c r="AF36" s="199"/>
      <c r="AG36" s="199"/>
      <c r="AH36" s="199"/>
      <c r="AI36" s="126" t="s">
        <v>6</v>
      </c>
      <c r="AJ36" s="198"/>
      <c r="AK36" s="199"/>
      <c r="AL36" s="199"/>
      <c r="AM36" s="199"/>
      <c r="AN36" s="199"/>
      <c r="AO36" s="199"/>
      <c r="AP36" s="199"/>
      <c r="AQ36" s="199"/>
      <c r="AR36" s="199"/>
      <c r="AS36" s="199"/>
      <c r="AT36" s="199"/>
      <c r="AU36" s="199"/>
      <c r="AV36" s="199"/>
      <c r="AW36" s="155">
        <f t="shared" si="2"/>
        <v>32</v>
      </c>
    </row>
    <row r="37" spans="1:87" s="236" customFormat="1" ht="15">
      <c r="A37" s="13">
        <f t="shared" si="0"/>
        <v>31</v>
      </c>
      <c r="B37" s="199"/>
      <c r="C37" s="199"/>
      <c r="D37" s="199"/>
      <c r="E37" s="199"/>
      <c r="F37" s="199"/>
      <c r="G37" s="199"/>
      <c r="H37" s="199"/>
      <c r="I37" s="199"/>
      <c r="J37" s="218" t="s">
        <v>3345</v>
      </c>
      <c r="K37" s="232" t="s">
        <v>117</v>
      </c>
      <c r="L37" s="204" t="s">
        <v>3335</v>
      </c>
      <c r="M37" s="204"/>
      <c r="N37" s="126" t="s">
        <v>504</v>
      </c>
      <c r="O37" s="126"/>
      <c r="P37" s="126"/>
      <c r="Q37" s="40"/>
      <c r="R37" s="40" t="s">
        <v>6</v>
      </c>
      <c r="S37" s="126" t="s">
        <v>6</v>
      </c>
      <c r="T37" s="40" t="s">
        <v>6</v>
      </c>
      <c r="U37" s="200"/>
      <c r="V37" s="204"/>
      <c r="W37" s="204" t="s">
        <v>133</v>
      </c>
      <c r="X37" s="199"/>
      <c r="Y37" s="199"/>
      <c r="Z37" s="40" t="s">
        <v>6</v>
      </c>
      <c r="AA37" s="126" t="s">
        <v>6</v>
      </c>
      <c r="AB37" s="198"/>
      <c r="AC37" s="199"/>
      <c r="AD37" s="199"/>
      <c r="AE37" s="232" t="s">
        <v>125</v>
      </c>
      <c r="AF37" s="199"/>
      <c r="AG37" s="199"/>
      <c r="AH37" s="199"/>
      <c r="AI37" s="126" t="s">
        <v>6</v>
      </c>
      <c r="AJ37" s="198"/>
      <c r="AK37" s="199"/>
      <c r="AL37" s="199"/>
      <c r="AM37" s="199"/>
      <c r="AN37" s="199"/>
      <c r="AO37" s="199"/>
      <c r="AP37" s="199"/>
      <c r="AQ37" s="199"/>
      <c r="AR37" s="199"/>
      <c r="AS37" s="199"/>
      <c r="AT37" s="199"/>
      <c r="AU37" s="199"/>
      <c r="AV37" s="199"/>
      <c r="AW37" s="155">
        <f t="shared" si="2"/>
        <v>32</v>
      </c>
    </row>
    <row r="38" spans="1:87" s="236" customFormat="1" ht="15">
      <c r="A38" s="13">
        <f t="shared" si="0"/>
        <v>32</v>
      </c>
      <c r="B38" s="199"/>
      <c r="C38" s="199"/>
      <c r="D38" s="199"/>
      <c r="E38" s="199"/>
      <c r="F38" s="199"/>
      <c r="G38" s="199"/>
      <c r="H38" s="199"/>
      <c r="I38" s="199"/>
      <c r="J38" s="218" t="s">
        <v>3346</v>
      </c>
      <c r="K38" s="232" t="s">
        <v>117</v>
      </c>
      <c r="L38" s="204" t="s">
        <v>3337</v>
      </c>
      <c r="M38" s="204"/>
      <c r="N38" s="126" t="s">
        <v>504</v>
      </c>
      <c r="O38" s="126"/>
      <c r="P38" s="126"/>
      <c r="Q38" s="40"/>
      <c r="R38" s="40" t="s">
        <v>6</v>
      </c>
      <c r="S38" s="126" t="s">
        <v>6</v>
      </c>
      <c r="T38" s="40" t="s">
        <v>6</v>
      </c>
      <c r="U38" s="200"/>
      <c r="V38" s="204"/>
      <c r="W38" s="204" t="s">
        <v>133</v>
      </c>
      <c r="X38" s="199"/>
      <c r="Y38" s="199"/>
      <c r="Z38" s="40" t="s">
        <v>6</v>
      </c>
      <c r="AA38" s="126" t="s">
        <v>6</v>
      </c>
      <c r="AB38" s="198"/>
      <c r="AC38" s="199"/>
      <c r="AD38" s="199"/>
      <c r="AE38" s="232" t="s">
        <v>125</v>
      </c>
      <c r="AF38" s="199"/>
      <c r="AG38" s="199"/>
      <c r="AH38" s="199"/>
      <c r="AI38" s="126" t="s">
        <v>6</v>
      </c>
      <c r="AJ38" s="198"/>
      <c r="AK38" s="199"/>
      <c r="AL38" s="199"/>
      <c r="AM38" s="199"/>
      <c r="AN38" s="199"/>
      <c r="AO38" s="199"/>
      <c r="AP38" s="199"/>
      <c r="AQ38" s="199"/>
      <c r="AR38" s="199"/>
      <c r="AS38" s="199"/>
      <c r="AT38" s="199"/>
      <c r="AU38" s="199"/>
      <c r="AV38" s="199"/>
      <c r="AW38" s="155">
        <f t="shared" si="2"/>
        <v>32</v>
      </c>
    </row>
    <row r="39" spans="1:87" s="20" customFormat="1" ht="15">
      <c r="A39" s="13">
        <f t="shared" si="0"/>
        <v>33</v>
      </c>
      <c r="B39" s="59"/>
      <c r="C39" s="59"/>
      <c r="D39" s="59"/>
      <c r="E39" s="59"/>
      <c r="F39" s="59"/>
      <c r="G39" s="59"/>
      <c r="H39" s="59"/>
      <c r="I39" s="59"/>
      <c r="J39" s="412" t="s">
        <v>1892</v>
      </c>
      <c r="K39" s="412" t="s">
        <v>132</v>
      </c>
      <c r="L39" s="412" t="s">
        <v>1893</v>
      </c>
      <c r="M39" s="412"/>
      <c r="N39" s="13" t="s">
        <v>504</v>
      </c>
      <c r="O39" s="59"/>
      <c r="P39" s="59"/>
      <c r="Q39" s="40" t="s">
        <v>6</v>
      </c>
      <c r="R39" s="416" t="s">
        <v>6</v>
      </c>
      <c r="S39" s="40" t="s">
        <v>6</v>
      </c>
      <c r="T39" s="126" t="s">
        <v>6</v>
      </c>
      <c r="U39" s="59"/>
      <c r="V39" s="59"/>
      <c r="W39" s="412" t="s">
        <v>133</v>
      </c>
      <c r="X39" s="59"/>
      <c r="Y39" s="59"/>
      <c r="Z39" s="416" t="s">
        <v>6</v>
      </c>
      <c r="AA39" s="13" t="s">
        <v>6</v>
      </c>
      <c r="AB39" s="59"/>
      <c r="AC39" s="59"/>
      <c r="AD39" s="59"/>
      <c r="AE39" s="412" t="s">
        <v>133</v>
      </c>
      <c r="AF39" s="59"/>
      <c r="AG39" s="59"/>
      <c r="AH39" s="416" t="s">
        <v>6</v>
      </c>
      <c r="AI39" s="13" t="s">
        <v>6</v>
      </c>
      <c r="AJ39" s="59"/>
      <c r="AK39" s="59"/>
      <c r="AL39" s="59"/>
      <c r="AM39" s="59" t="s">
        <v>1812</v>
      </c>
      <c r="AN39" s="59"/>
      <c r="AO39" s="59"/>
      <c r="AP39" s="59"/>
      <c r="AQ39" s="59"/>
      <c r="AR39" s="59"/>
      <c r="AS39" s="59"/>
      <c r="AT39" s="59"/>
      <c r="AU39" s="59"/>
      <c r="AV39" s="59"/>
      <c r="AW39" s="18">
        <f t="shared" si="2"/>
        <v>21</v>
      </c>
    </row>
    <row r="40" spans="1:87" s="20" customFormat="1" ht="15">
      <c r="A40" s="13">
        <f t="shared" si="0"/>
        <v>34</v>
      </c>
      <c r="B40" s="59"/>
      <c r="C40" s="59"/>
      <c r="D40" s="59"/>
      <c r="E40" s="59"/>
      <c r="F40" s="59"/>
      <c r="G40" s="59"/>
      <c r="H40" s="59"/>
      <c r="I40" s="59"/>
      <c r="J40" s="412" t="s">
        <v>1894</v>
      </c>
      <c r="K40" s="412" t="s">
        <v>132</v>
      </c>
      <c r="L40" s="412" t="s">
        <v>1895</v>
      </c>
      <c r="M40" s="412"/>
      <c r="N40" s="13" t="s">
        <v>504</v>
      </c>
      <c r="O40" s="59"/>
      <c r="P40" s="59"/>
      <c r="Q40" s="40" t="s">
        <v>6</v>
      </c>
      <c r="R40" s="416" t="s">
        <v>6</v>
      </c>
      <c r="S40" s="40" t="s">
        <v>6</v>
      </c>
      <c r="T40" s="126" t="s">
        <v>6</v>
      </c>
      <c r="U40" s="59"/>
      <c r="V40" s="59"/>
      <c r="W40" s="412" t="s">
        <v>133</v>
      </c>
      <c r="X40" s="59"/>
      <c r="Y40" s="59"/>
      <c r="Z40" s="416" t="s">
        <v>6</v>
      </c>
      <c r="AA40" s="40" t="s">
        <v>6</v>
      </c>
      <c r="AB40" s="59"/>
      <c r="AC40" s="59"/>
      <c r="AD40" s="59"/>
      <c r="AE40" s="412" t="s">
        <v>133</v>
      </c>
      <c r="AF40" s="59"/>
      <c r="AG40" s="59"/>
      <c r="AH40" s="416" t="s">
        <v>6</v>
      </c>
      <c r="AI40" s="40" t="s">
        <v>6</v>
      </c>
      <c r="AJ40" s="59"/>
      <c r="AK40" s="59"/>
      <c r="AL40" s="59"/>
      <c r="AM40" s="59" t="s">
        <v>1812</v>
      </c>
      <c r="AN40" s="59"/>
      <c r="AO40" s="59"/>
      <c r="AP40" s="59"/>
      <c r="AQ40" s="59"/>
      <c r="AR40" s="59"/>
      <c r="AS40" s="59"/>
      <c r="AT40" s="59"/>
      <c r="AU40" s="59"/>
      <c r="AV40" s="59"/>
      <c r="AW40" s="18">
        <f t="shared" si="2"/>
        <v>28</v>
      </c>
    </row>
    <row r="41" spans="1:87" s="20" customFormat="1" ht="15">
      <c r="A41" s="13">
        <f t="shared" si="0"/>
        <v>35</v>
      </c>
      <c r="B41" s="59"/>
      <c r="C41" s="59"/>
      <c r="D41" s="59"/>
      <c r="E41" s="59"/>
      <c r="F41" s="59"/>
      <c r="G41" s="59"/>
      <c r="H41" s="59"/>
      <c r="I41" s="59"/>
      <c r="J41" s="412" t="s">
        <v>1896</v>
      </c>
      <c r="K41" s="412" t="s">
        <v>117</v>
      </c>
      <c r="L41" s="412" t="s">
        <v>1897</v>
      </c>
      <c r="M41" s="412"/>
      <c r="N41" s="13" t="s">
        <v>504</v>
      </c>
      <c r="O41" s="59"/>
      <c r="P41" s="59"/>
      <c r="Q41" s="40" t="s">
        <v>6</v>
      </c>
      <c r="R41" s="416" t="s">
        <v>6</v>
      </c>
      <c r="S41" s="40" t="s">
        <v>6</v>
      </c>
      <c r="T41" s="126" t="s">
        <v>6</v>
      </c>
      <c r="U41" s="59"/>
      <c r="V41" s="59"/>
      <c r="W41" s="412" t="s">
        <v>133</v>
      </c>
      <c r="X41" s="59"/>
      <c r="Y41" s="59"/>
      <c r="Z41" s="416" t="s">
        <v>6</v>
      </c>
      <c r="AA41" s="40" t="s">
        <v>6</v>
      </c>
      <c r="AB41" s="59"/>
      <c r="AC41" s="59"/>
      <c r="AD41" s="59"/>
      <c r="AE41" s="412" t="s">
        <v>133</v>
      </c>
      <c r="AF41" s="59"/>
      <c r="AG41" s="59"/>
      <c r="AH41" s="416" t="s">
        <v>6</v>
      </c>
      <c r="AI41" s="40" t="s">
        <v>6</v>
      </c>
      <c r="AJ41" s="59"/>
      <c r="AK41" s="59"/>
      <c r="AL41" s="59"/>
      <c r="AM41" s="59" t="s">
        <v>1812</v>
      </c>
      <c r="AN41" s="59"/>
      <c r="AO41" s="59"/>
      <c r="AP41" s="59"/>
      <c r="AQ41" s="59"/>
      <c r="AR41" s="59"/>
      <c r="AS41" s="59"/>
      <c r="AT41" s="59"/>
      <c r="AU41" s="59"/>
      <c r="AV41" s="59"/>
      <c r="AW41" s="18">
        <f t="shared" si="2"/>
        <v>32</v>
      </c>
    </row>
    <row r="42" spans="1:87" s="236" customFormat="1" ht="18" customHeight="1">
      <c r="A42" s="13">
        <f t="shared" si="0"/>
        <v>36</v>
      </c>
      <c r="B42" s="199"/>
      <c r="C42" s="199"/>
      <c r="D42" s="199"/>
      <c r="E42" s="199"/>
      <c r="F42" s="199"/>
      <c r="G42" s="199"/>
      <c r="H42" s="199"/>
      <c r="I42" s="199"/>
      <c r="J42" s="218" t="s">
        <v>3374</v>
      </c>
      <c r="K42" s="204" t="s">
        <v>117</v>
      </c>
      <c r="L42" s="204" t="s">
        <v>732</v>
      </c>
      <c r="M42" s="204"/>
      <c r="N42" s="40" t="s">
        <v>504</v>
      </c>
      <c r="O42" s="199"/>
      <c r="P42" s="199"/>
      <c r="Q42" s="40" t="s">
        <v>6</v>
      </c>
      <c r="R42" s="40" t="s">
        <v>6</v>
      </c>
      <c r="S42" s="40" t="s">
        <v>6</v>
      </c>
      <c r="T42" s="40" t="s">
        <v>6</v>
      </c>
      <c r="U42" s="204" t="s">
        <v>733</v>
      </c>
      <c r="V42" s="204"/>
      <c r="W42" s="204"/>
      <c r="X42" s="199"/>
      <c r="Y42" s="199"/>
      <c r="Z42" s="40"/>
      <c r="AA42" s="40"/>
      <c r="AB42" s="218"/>
      <c r="AC42" s="199"/>
      <c r="AD42" s="218"/>
      <c r="AE42" s="204"/>
      <c r="AF42" s="199"/>
      <c r="AG42" s="199"/>
      <c r="AH42" s="199"/>
      <c r="AI42" s="40"/>
      <c r="AJ42" s="218"/>
      <c r="AK42" s="199"/>
      <c r="AL42" s="218"/>
      <c r="AM42" s="199"/>
      <c r="AN42" s="199"/>
      <c r="AO42" s="199"/>
      <c r="AP42" s="199"/>
      <c r="AQ42" s="199"/>
      <c r="AR42" s="199"/>
      <c r="AS42" s="199"/>
      <c r="AT42" s="199"/>
      <c r="AU42" s="199"/>
      <c r="AV42" s="199"/>
      <c r="AW42" s="155">
        <f t="shared" si="2"/>
        <v>29</v>
      </c>
    </row>
    <row r="43" spans="1:87" s="18" customFormat="1" ht="15">
      <c r="A43" s="13">
        <f t="shared" si="0"/>
        <v>37</v>
      </c>
      <c r="B43" s="19"/>
      <c r="C43" s="41"/>
      <c r="D43" s="19"/>
      <c r="E43" s="19"/>
      <c r="F43" s="19"/>
      <c r="G43" s="19"/>
      <c r="H43" s="13"/>
      <c r="I43" s="13"/>
      <c r="J43" s="218" t="s">
        <v>3318</v>
      </c>
      <c r="K43" s="412" t="s">
        <v>117</v>
      </c>
      <c r="L43" s="204" t="s">
        <v>740</v>
      </c>
      <c r="M43" s="204"/>
      <c r="N43" s="126" t="s">
        <v>504</v>
      </c>
      <c r="O43" s="126"/>
      <c r="P43" s="40"/>
      <c r="Q43" s="126" t="s">
        <v>6</v>
      </c>
      <c r="R43" s="126" t="s">
        <v>6</v>
      </c>
      <c r="S43" s="126" t="s">
        <v>6</v>
      </c>
      <c r="T43" s="40" t="s">
        <v>6</v>
      </c>
      <c r="U43" s="204" t="s">
        <v>741</v>
      </c>
      <c r="V43" s="206"/>
      <c r="W43" s="412" t="s">
        <v>125</v>
      </c>
      <c r="X43" s="59"/>
      <c r="Y43" s="59"/>
      <c r="Z43" s="59"/>
      <c r="AA43" s="61" t="s">
        <v>6</v>
      </c>
      <c r="AB43" s="79"/>
      <c r="AC43" s="59"/>
      <c r="AD43" s="218" t="s">
        <v>809</v>
      </c>
      <c r="AE43" s="412" t="s">
        <v>125</v>
      </c>
      <c r="AF43" s="59"/>
      <c r="AG43" s="59"/>
      <c r="AH43" s="59"/>
      <c r="AI43" s="61" t="s">
        <v>6</v>
      </c>
      <c r="AJ43" s="79"/>
      <c r="AK43" s="59"/>
      <c r="AL43" s="218" t="s">
        <v>809</v>
      </c>
      <c r="AM43" s="43"/>
      <c r="AN43" s="19"/>
      <c r="AO43" s="15"/>
      <c r="AP43" s="15"/>
      <c r="AQ43" s="15"/>
      <c r="AR43" s="15"/>
      <c r="AS43" s="15"/>
      <c r="AT43" s="15"/>
      <c r="AU43" s="13"/>
      <c r="AV43" s="15"/>
      <c r="AW43" s="18">
        <f>LEN(L43)</f>
        <v>26</v>
      </c>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row>
    <row r="44" spans="1:87" s="20" customFormat="1" ht="15">
      <c r="A44" s="13">
        <f t="shared" si="0"/>
        <v>38</v>
      </c>
      <c r="B44" s="38"/>
      <c r="C44" s="41"/>
      <c r="D44" s="19"/>
      <c r="E44" s="43"/>
      <c r="F44" s="43"/>
      <c r="G44" s="43"/>
      <c r="H44" s="13"/>
      <c r="I44" s="13"/>
      <c r="J44" s="412" t="s">
        <v>1810</v>
      </c>
      <c r="K44" s="412" t="s">
        <v>65</v>
      </c>
      <c r="L44" s="412" t="s">
        <v>1811</v>
      </c>
      <c r="M44" s="412" t="s">
        <v>5169</v>
      </c>
      <c r="N44" s="13" t="s">
        <v>504</v>
      </c>
      <c r="O44" s="13"/>
      <c r="P44" s="13"/>
      <c r="Q44" s="40" t="s">
        <v>6</v>
      </c>
      <c r="R44" s="40" t="s">
        <v>6</v>
      </c>
      <c r="S44" s="416" t="s">
        <v>6</v>
      </c>
      <c r="T44" s="226"/>
      <c r="U44" s="13"/>
      <c r="V44" s="13"/>
      <c r="W44" s="412" t="s">
        <v>65</v>
      </c>
      <c r="X44" s="13"/>
      <c r="Y44" s="13"/>
      <c r="Z44" s="13" t="s">
        <v>6</v>
      </c>
      <c r="AA44" s="416" t="s">
        <v>6</v>
      </c>
      <c r="AB44" s="413"/>
      <c r="AC44" s="415"/>
      <c r="AD44" s="415"/>
      <c r="AE44" s="412" t="s">
        <v>65</v>
      </c>
      <c r="AF44" s="13"/>
      <c r="AG44" s="13"/>
      <c r="AH44" s="13" t="s">
        <v>6</v>
      </c>
      <c r="AI44" s="416" t="s">
        <v>6</v>
      </c>
      <c r="AJ44" s="413"/>
      <c r="AK44" s="415"/>
      <c r="AL44" s="415"/>
      <c r="AM44" s="59" t="s">
        <v>1812</v>
      </c>
      <c r="AN44" s="13"/>
      <c r="AO44" s="15"/>
      <c r="AP44" s="15"/>
      <c r="AQ44" s="15"/>
      <c r="AR44" s="15"/>
      <c r="AS44" s="15"/>
      <c r="AT44" s="15"/>
      <c r="AU44" s="15"/>
      <c r="AV44" s="19"/>
      <c r="AW44" s="18"/>
    </row>
    <row r="45" spans="1:87" s="20" customFormat="1" ht="15">
      <c r="A45" s="13">
        <f t="shared" si="0"/>
        <v>39</v>
      </c>
      <c r="B45" s="19"/>
      <c r="C45" s="41"/>
      <c r="D45" s="19"/>
      <c r="E45" s="19"/>
      <c r="F45" s="19"/>
      <c r="G45" s="19"/>
      <c r="H45" s="13"/>
      <c r="I45" s="13"/>
      <c r="J45" s="412" t="s">
        <v>1813</v>
      </c>
      <c r="K45" s="412" t="s">
        <v>65</v>
      </c>
      <c r="L45" s="412" t="s">
        <v>1814</v>
      </c>
      <c r="M45" s="412" t="s">
        <v>5169</v>
      </c>
      <c r="N45" s="13" t="s">
        <v>504</v>
      </c>
      <c r="O45" s="13"/>
      <c r="P45" s="13"/>
      <c r="Q45" s="40" t="s">
        <v>6</v>
      </c>
      <c r="R45" s="40" t="s">
        <v>6</v>
      </c>
      <c r="S45" s="416" t="s">
        <v>6</v>
      </c>
      <c r="T45" s="226"/>
      <c r="U45" s="13"/>
      <c r="V45" s="13"/>
      <c r="W45" s="412" t="s">
        <v>65</v>
      </c>
      <c r="X45" s="13"/>
      <c r="Y45" s="13"/>
      <c r="Z45" s="13" t="s">
        <v>6</v>
      </c>
      <c r="AA45" s="416" t="s">
        <v>6</v>
      </c>
      <c r="AB45" s="413"/>
      <c r="AC45" s="415"/>
      <c r="AD45" s="415"/>
      <c r="AE45" s="412" t="s">
        <v>65</v>
      </c>
      <c r="AF45" s="13"/>
      <c r="AG45" s="13"/>
      <c r="AH45" s="13" t="s">
        <v>6</v>
      </c>
      <c r="AI45" s="416" t="s">
        <v>6</v>
      </c>
      <c r="AJ45" s="413"/>
      <c r="AK45" s="415"/>
      <c r="AL45" s="415"/>
      <c r="AM45" s="59" t="s">
        <v>1812</v>
      </c>
      <c r="AN45" s="13"/>
      <c r="AO45" s="15"/>
      <c r="AP45" s="15"/>
      <c r="AQ45" s="15"/>
      <c r="AR45" s="15"/>
      <c r="AS45" s="15"/>
      <c r="AT45" s="15"/>
      <c r="AU45" s="15"/>
      <c r="AV45" s="19"/>
      <c r="AW45" s="18"/>
    </row>
    <row r="46" spans="1:87" s="20" customFormat="1" ht="15">
      <c r="A46" s="13">
        <f t="shared" si="0"/>
        <v>40</v>
      </c>
      <c r="B46" s="19"/>
      <c r="C46" s="41"/>
      <c r="D46" s="19"/>
      <c r="E46" s="19"/>
      <c r="F46" s="19"/>
      <c r="G46" s="19"/>
      <c r="H46" s="13"/>
      <c r="I46" s="13"/>
      <c r="J46" s="412" t="s">
        <v>1815</v>
      </c>
      <c r="K46" s="412" t="s">
        <v>65</v>
      </c>
      <c r="L46" s="412" t="s">
        <v>1816</v>
      </c>
      <c r="M46" s="412" t="s">
        <v>5169</v>
      </c>
      <c r="N46" s="13" t="s">
        <v>504</v>
      </c>
      <c r="O46" s="13"/>
      <c r="P46" s="13"/>
      <c r="Q46" s="40" t="s">
        <v>6</v>
      </c>
      <c r="R46" s="40" t="s">
        <v>6</v>
      </c>
      <c r="S46" s="416" t="s">
        <v>6</v>
      </c>
      <c r="T46" s="226"/>
      <c r="U46" s="13"/>
      <c r="V46" s="13"/>
      <c r="W46" s="412" t="s">
        <v>65</v>
      </c>
      <c r="X46" s="43"/>
      <c r="Y46" s="13"/>
      <c r="Z46" s="13" t="s">
        <v>6</v>
      </c>
      <c r="AA46" s="416" t="s">
        <v>6</v>
      </c>
      <c r="AB46" s="45"/>
      <c r="AC46" s="415"/>
      <c r="AD46" s="415"/>
      <c r="AE46" s="412" t="s">
        <v>65</v>
      </c>
      <c r="AF46" s="43"/>
      <c r="AG46" s="13"/>
      <c r="AH46" s="13" t="s">
        <v>6</v>
      </c>
      <c r="AI46" s="416" t="s">
        <v>6</v>
      </c>
      <c r="AJ46" s="45"/>
      <c r="AK46" s="415"/>
      <c r="AL46" s="415"/>
      <c r="AM46" s="59" t="s">
        <v>1812</v>
      </c>
      <c r="AN46" s="19"/>
      <c r="AO46" s="13"/>
      <c r="AP46" s="13"/>
      <c r="AQ46" s="13"/>
      <c r="AR46" s="13"/>
      <c r="AS46" s="13"/>
      <c r="AT46" s="13"/>
      <c r="AU46" s="15"/>
      <c r="AV46" s="15"/>
      <c r="AW46" s="18"/>
    </row>
    <row r="47" spans="1:87" s="20" customFormat="1" ht="15">
      <c r="A47" s="13">
        <f t="shared" si="0"/>
        <v>41</v>
      </c>
      <c r="B47" s="19"/>
      <c r="C47" s="48"/>
      <c r="D47" s="19"/>
      <c r="E47" s="19"/>
      <c r="F47" s="19"/>
      <c r="G47" s="19"/>
      <c r="H47" s="13"/>
      <c r="I47" s="13"/>
      <c r="J47" s="412" t="s">
        <v>1817</v>
      </c>
      <c r="K47" s="412" t="s">
        <v>65</v>
      </c>
      <c r="L47" s="412" t="s">
        <v>1818</v>
      </c>
      <c r="M47" s="412" t="s">
        <v>5169</v>
      </c>
      <c r="N47" s="13" t="s">
        <v>504</v>
      </c>
      <c r="O47" s="13"/>
      <c r="P47" s="13"/>
      <c r="Q47" s="40" t="s">
        <v>6</v>
      </c>
      <c r="R47" s="40" t="s">
        <v>6</v>
      </c>
      <c r="S47" s="40" t="s">
        <v>6</v>
      </c>
      <c r="T47" s="126"/>
      <c r="U47" s="13"/>
      <c r="V47" s="13"/>
      <c r="W47" s="412" t="s">
        <v>65</v>
      </c>
      <c r="X47" s="43"/>
      <c r="Y47" s="13"/>
      <c r="Z47" s="13" t="s">
        <v>6</v>
      </c>
      <c r="AA47" s="13" t="s">
        <v>6</v>
      </c>
      <c r="AB47" s="45"/>
      <c r="AC47" s="415"/>
      <c r="AD47" s="415"/>
      <c r="AE47" s="412" t="s">
        <v>65</v>
      </c>
      <c r="AF47" s="43"/>
      <c r="AG47" s="13"/>
      <c r="AH47" s="13" t="s">
        <v>6</v>
      </c>
      <c r="AI47" s="13" t="s">
        <v>6</v>
      </c>
      <c r="AJ47" s="45"/>
      <c r="AK47" s="415"/>
      <c r="AL47" s="415"/>
      <c r="AM47" s="59" t="s">
        <v>1812</v>
      </c>
      <c r="AN47" s="19"/>
      <c r="AO47" s="13"/>
      <c r="AP47" s="13"/>
      <c r="AQ47" s="13"/>
      <c r="AR47" s="13"/>
      <c r="AS47" s="13"/>
      <c r="AT47" s="13"/>
      <c r="AU47" s="15"/>
      <c r="AV47" s="15"/>
      <c r="AW47" s="18"/>
    </row>
    <row r="48" spans="1:87" s="20" customFormat="1" ht="15">
      <c r="A48" s="13">
        <f t="shared" si="0"/>
        <v>42</v>
      </c>
      <c r="B48" s="19"/>
      <c r="C48" s="41"/>
      <c r="D48" s="19"/>
      <c r="E48" s="19"/>
      <c r="F48" s="19"/>
      <c r="G48" s="19"/>
      <c r="H48" s="13"/>
      <c r="I48" s="13"/>
      <c r="J48" s="412" t="s">
        <v>1819</v>
      </c>
      <c r="K48" s="412" t="s">
        <v>65</v>
      </c>
      <c r="L48" s="412" t="s">
        <v>1820</v>
      </c>
      <c r="M48" s="412" t="s">
        <v>5169</v>
      </c>
      <c r="N48" s="13" t="s">
        <v>504</v>
      </c>
      <c r="O48" s="13"/>
      <c r="P48" s="13"/>
      <c r="Q48" s="40" t="s">
        <v>6</v>
      </c>
      <c r="R48" s="40" t="s">
        <v>6</v>
      </c>
      <c r="S48" s="40" t="s">
        <v>6</v>
      </c>
      <c r="T48" s="126"/>
      <c r="U48" s="13"/>
      <c r="V48" s="13"/>
      <c r="W48" s="412" t="s">
        <v>65</v>
      </c>
      <c r="X48" s="43"/>
      <c r="Y48" s="13"/>
      <c r="Z48" s="13" t="s">
        <v>6</v>
      </c>
      <c r="AA48" s="13" t="s">
        <v>6</v>
      </c>
      <c r="AB48" s="45"/>
      <c r="AC48" s="415"/>
      <c r="AD48" s="415"/>
      <c r="AE48" s="412" t="s">
        <v>65</v>
      </c>
      <c r="AF48" s="43"/>
      <c r="AG48" s="13"/>
      <c r="AH48" s="13" t="s">
        <v>6</v>
      </c>
      <c r="AI48" s="13" t="s">
        <v>6</v>
      </c>
      <c r="AJ48" s="45"/>
      <c r="AK48" s="415"/>
      <c r="AL48" s="415"/>
      <c r="AM48" s="59" t="s">
        <v>1812</v>
      </c>
      <c r="AN48" s="19"/>
      <c r="AO48" s="13"/>
      <c r="AP48" s="13"/>
      <c r="AQ48" s="13"/>
      <c r="AR48" s="13"/>
      <c r="AS48" s="13"/>
      <c r="AT48" s="13"/>
      <c r="AU48" s="15"/>
      <c r="AV48" s="15"/>
      <c r="AW48" s="18"/>
    </row>
    <row r="49" spans="1:49" s="20" customFormat="1" ht="15">
      <c r="A49" s="13">
        <f t="shared" si="0"/>
        <v>43</v>
      </c>
      <c r="B49" s="38"/>
      <c r="C49" s="41"/>
      <c r="D49" s="19"/>
      <c r="E49" s="19"/>
      <c r="F49" s="19"/>
      <c r="G49" s="19"/>
      <c r="H49" s="13"/>
      <c r="I49" s="13"/>
      <c r="J49" s="412" t="s">
        <v>1821</v>
      </c>
      <c r="K49" s="412" t="s">
        <v>65</v>
      </c>
      <c r="L49" s="412" t="s">
        <v>1822</v>
      </c>
      <c r="M49" s="412" t="s">
        <v>5169</v>
      </c>
      <c r="N49" s="13" t="s">
        <v>504</v>
      </c>
      <c r="O49" s="13"/>
      <c r="P49" s="13"/>
      <c r="Q49" s="40" t="s">
        <v>6</v>
      </c>
      <c r="R49" s="40" t="s">
        <v>6</v>
      </c>
      <c r="S49" s="40" t="s">
        <v>6</v>
      </c>
      <c r="T49" s="126"/>
      <c r="U49" s="40"/>
      <c r="V49" s="40"/>
      <c r="W49" s="412" t="s">
        <v>65</v>
      </c>
      <c r="X49" s="43"/>
      <c r="Y49" s="43"/>
      <c r="Z49" s="13" t="s">
        <v>6</v>
      </c>
      <c r="AA49" s="13" t="s">
        <v>6</v>
      </c>
      <c r="AB49" s="413"/>
      <c r="AC49" s="415"/>
      <c r="AD49" s="415"/>
      <c r="AE49" s="412" t="s">
        <v>65</v>
      </c>
      <c r="AF49" s="43"/>
      <c r="AG49" s="43"/>
      <c r="AH49" s="13" t="s">
        <v>6</v>
      </c>
      <c r="AI49" s="13" t="s">
        <v>6</v>
      </c>
      <c r="AJ49" s="413"/>
      <c r="AK49" s="415"/>
      <c r="AL49" s="415"/>
      <c r="AM49" s="59" t="s">
        <v>1812</v>
      </c>
      <c r="AN49" s="13"/>
      <c r="AO49" s="15"/>
      <c r="AP49" s="15"/>
      <c r="AQ49" s="15"/>
      <c r="AR49" s="15"/>
      <c r="AS49" s="15"/>
      <c r="AT49" s="15"/>
      <c r="AU49" s="15"/>
      <c r="AV49" s="13"/>
      <c r="AW49" s="18"/>
    </row>
    <row r="50" spans="1:49" s="20" customFormat="1" ht="15">
      <c r="A50" s="13">
        <f t="shared" si="0"/>
        <v>44</v>
      </c>
      <c r="B50" s="38"/>
      <c r="C50" s="41"/>
      <c r="D50" s="19"/>
      <c r="E50" s="19"/>
      <c r="F50" s="19"/>
      <c r="G50" s="19"/>
      <c r="H50" s="13"/>
      <c r="I50" s="13"/>
      <c r="J50" s="412" t="s">
        <v>1823</v>
      </c>
      <c r="K50" s="412" t="s">
        <v>65</v>
      </c>
      <c r="L50" s="412" t="s">
        <v>1824</v>
      </c>
      <c r="M50" s="412" t="s">
        <v>5169</v>
      </c>
      <c r="N50" s="13" t="s">
        <v>504</v>
      </c>
      <c r="O50" s="13"/>
      <c r="P50" s="13"/>
      <c r="Q50" s="40" t="s">
        <v>6</v>
      </c>
      <c r="R50" s="40" t="s">
        <v>6</v>
      </c>
      <c r="S50" s="40" t="s">
        <v>6</v>
      </c>
      <c r="T50" s="126"/>
      <c r="U50" s="40"/>
      <c r="V50" s="40"/>
      <c r="W50" s="412" t="s">
        <v>65</v>
      </c>
      <c r="X50" s="43"/>
      <c r="Y50" s="43"/>
      <c r="Z50" s="13" t="s">
        <v>6</v>
      </c>
      <c r="AA50" s="13" t="s">
        <v>6</v>
      </c>
      <c r="AB50" s="413"/>
      <c r="AC50" s="415"/>
      <c r="AD50" s="415"/>
      <c r="AE50" s="412" t="s">
        <v>65</v>
      </c>
      <c r="AF50" s="43"/>
      <c r="AG50" s="43"/>
      <c r="AH50" s="13" t="s">
        <v>6</v>
      </c>
      <c r="AI50" s="13" t="s">
        <v>6</v>
      </c>
      <c r="AJ50" s="413"/>
      <c r="AK50" s="415"/>
      <c r="AL50" s="415"/>
      <c r="AM50" s="59" t="s">
        <v>1812</v>
      </c>
      <c r="AN50" s="13"/>
      <c r="AO50" s="15"/>
      <c r="AP50" s="15"/>
      <c r="AQ50" s="15"/>
      <c r="AR50" s="15"/>
      <c r="AS50" s="15"/>
      <c r="AT50" s="15"/>
      <c r="AU50" s="15"/>
      <c r="AV50" s="13"/>
      <c r="AW50" s="18"/>
    </row>
    <row r="51" spans="1:49" s="20" customFormat="1" ht="15">
      <c r="A51" s="13">
        <f t="shared" si="0"/>
        <v>45</v>
      </c>
      <c r="B51" s="38"/>
      <c r="C51" s="41"/>
      <c r="D51" s="19"/>
      <c r="E51" s="19"/>
      <c r="F51" s="19"/>
      <c r="G51" s="19"/>
      <c r="H51" s="13"/>
      <c r="I51" s="13"/>
      <c r="J51" s="412" t="s">
        <v>1825</v>
      </c>
      <c r="K51" s="412" t="s">
        <v>65</v>
      </c>
      <c r="L51" s="412" t="s">
        <v>1826</v>
      </c>
      <c r="M51" s="412" t="s">
        <v>5169</v>
      </c>
      <c r="N51" s="13" t="s">
        <v>504</v>
      </c>
      <c r="O51" s="13"/>
      <c r="P51" s="13"/>
      <c r="Q51" s="40" t="s">
        <v>6</v>
      </c>
      <c r="R51" s="40" t="s">
        <v>6</v>
      </c>
      <c r="S51" s="40" t="s">
        <v>6</v>
      </c>
      <c r="T51" s="126"/>
      <c r="U51" s="40"/>
      <c r="V51" s="40"/>
      <c r="W51" s="412" t="s">
        <v>65</v>
      </c>
      <c r="X51" s="43"/>
      <c r="Y51" s="43"/>
      <c r="Z51" s="13" t="s">
        <v>6</v>
      </c>
      <c r="AA51" s="40" t="s">
        <v>6</v>
      </c>
      <c r="AB51" s="413"/>
      <c r="AC51" s="415"/>
      <c r="AD51" s="415"/>
      <c r="AE51" s="412" t="s">
        <v>65</v>
      </c>
      <c r="AF51" s="43"/>
      <c r="AG51" s="43"/>
      <c r="AH51" s="13" t="s">
        <v>6</v>
      </c>
      <c r="AI51" s="40" t="s">
        <v>6</v>
      </c>
      <c r="AJ51" s="413"/>
      <c r="AK51" s="415"/>
      <c r="AL51" s="415"/>
      <c r="AM51" s="59" t="s">
        <v>1812</v>
      </c>
      <c r="AN51" s="13"/>
      <c r="AO51" s="15"/>
      <c r="AP51" s="15"/>
      <c r="AQ51" s="15"/>
      <c r="AR51" s="15"/>
      <c r="AS51" s="15"/>
      <c r="AT51" s="15"/>
      <c r="AU51" s="15"/>
      <c r="AV51" s="13"/>
      <c r="AW51" s="18"/>
    </row>
    <row r="52" spans="1:49" s="20" customFormat="1" ht="15">
      <c r="A52" s="13">
        <f t="shared" si="0"/>
        <v>46</v>
      </c>
      <c r="B52" s="38"/>
      <c r="C52" s="41"/>
      <c r="D52" s="19"/>
      <c r="E52" s="19"/>
      <c r="F52" s="19"/>
      <c r="G52" s="19"/>
      <c r="H52" s="13"/>
      <c r="I52" s="13"/>
      <c r="J52" s="412" t="s">
        <v>1827</v>
      </c>
      <c r="K52" s="412" t="s">
        <v>65</v>
      </c>
      <c r="L52" s="412" t="s">
        <v>1828</v>
      </c>
      <c r="M52" s="412" t="s">
        <v>5169</v>
      </c>
      <c r="N52" s="13" t="s">
        <v>504</v>
      </c>
      <c r="O52" s="13"/>
      <c r="P52" s="13"/>
      <c r="Q52" s="40" t="s">
        <v>6</v>
      </c>
      <c r="R52" s="40" t="s">
        <v>6</v>
      </c>
      <c r="S52" s="416" t="s">
        <v>6</v>
      </c>
      <c r="T52" s="226"/>
      <c r="U52" s="40"/>
      <c r="V52" s="40"/>
      <c r="W52" s="412" t="s">
        <v>65</v>
      </c>
      <c r="X52" s="13"/>
      <c r="Y52" s="13"/>
      <c r="Z52" s="13" t="s">
        <v>6</v>
      </c>
      <c r="AA52" s="416" t="s">
        <v>6</v>
      </c>
      <c r="AB52" s="413"/>
      <c r="AC52" s="415"/>
      <c r="AD52" s="415"/>
      <c r="AE52" s="412" t="s">
        <v>65</v>
      </c>
      <c r="AF52" s="13"/>
      <c r="AG52" s="13"/>
      <c r="AH52" s="13" t="s">
        <v>6</v>
      </c>
      <c r="AI52" s="416" t="s">
        <v>6</v>
      </c>
      <c r="AJ52" s="413"/>
      <c r="AK52" s="415"/>
      <c r="AL52" s="415"/>
      <c r="AM52" s="59" t="s">
        <v>1812</v>
      </c>
      <c r="AN52" s="19"/>
      <c r="AO52" s="15"/>
      <c r="AP52" s="15"/>
      <c r="AQ52" s="15"/>
      <c r="AR52" s="15"/>
      <c r="AS52" s="15"/>
      <c r="AT52" s="15"/>
      <c r="AU52" s="15"/>
      <c r="AV52" s="15"/>
      <c r="AW52" s="18"/>
    </row>
    <row r="53" spans="1:49" s="20" customFormat="1" ht="15">
      <c r="A53" s="13">
        <f t="shared" si="0"/>
        <v>47</v>
      </c>
      <c r="B53" s="38"/>
      <c r="C53" s="41"/>
      <c r="D53" s="38"/>
      <c r="E53" s="46"/>
      <c r="F53" s="46"/>
      <c r="G53" s="46"/>
      <c r="H53" s="13"/>
      <c r="I53" s="40"/>
      <c r="J53" s="412" t="s">
        <v>1829</v>
      </c>
      <c r="K53" s="412" t="s">
        <v>65</v>
      </c>
      <c r="L53" s="412" t="s">
        <v>1830</v>
      </c>
      <c r="M53" s="412" t="s">
        <v>5169</v>
      </c>
      <c r="N53" s="13" t="s">
        <v>504</v>
      </c>
      <c r="O53" s="13"/>
      <c r="P53" s="13"/>
      <c r="Q53" s="40" t="s">
        <v>6</v>
      </c>
      <c r="R53" s="40" t="s">
        <v>6</v>
      </c>
      <c r="S53" s="416" t="s">
        <v>6</v>
      </c>
      <c r="T53" s="416"/>
      <c r="U53" s="40"/>
      <c r="V53" s="40"/>
      <c r="W53" s="412" t="s">
        <v>65</v>
      </c>
      <c r="X53" s="13"/>
      <c r="Y53" s="13"/>
      <c r="Z53" s="13" t="s">
        <v>6</v>
      </c>
      <c r="AA53" s="416" t="s">
        <v>6</v>
      </c>
      <c r="AB53" s="413"/>
      <c r="AC53" s="413"/>
      <c r="AD53" s="413"/>
      <c r="AE53" s="412" t="s">
        <v>65</v>
      </c>
      <c r="AF53" s="13"/>
      <c r="AG53" s="13"/>
      <c r="AH53" s="13" t="s">
        <v>6</v>
      </c>
      <c r="AI53" s="416" t="s">
        <v>6</v>
      </c>
      <c r="AJ53" s="413"/>
      <c r="AK53" s="413"/>
      <c r="AL53" s="413"/>
      <c r="AM53" s="59" t="s">
        <v>1812</v>
      </c>
      <c r="AN53" s="19"/>
      <c r="AO53" s="13"/>
      <c r="AP53" s="13"/>
      <c r="AQ53" s="13"/>
      <c r="AR53" s="13"/>
      <c r="AS53" s="13"/>
      <c r="AT53" s="13"/>
      <c r="AU53" s="13"/>
      <c r="AV53" s="19"/>
      <c r="AW53" s="18"/>
    </row>
    <row r="54" spans="1:49" s="20" customFormat="1" ht="15">
      <c r="A54" s="13">
        <f t="shared" si="0"/>
        <v>48</v>
      </c>
      <c r="B54" s="38"/>
      <c r="C54" s="41"/>
      <c r="D54" s="19"/>
      <c r="E54" s="43"/>
      <c r="F54" s="43"/>
      <c r="G54" s="43"/>
      <c r="H54" s="13"/>
      <c r="I54" s="13"/>
      <c r="J54" s="412" t="s">
        <v>1831</v>
      </c>
      <c r="K54" s="412" t="s">
        <v>65</v>
      </c>
      <c r="L54" s="412" t="s">
        <v>1832</v>
      </c>
      <c r="M54" s="412" t="s">
        <v>5169</v>
      </c>
      <c r="N54" s="13" t="s">
        <v>504</v>
      </c>
      <c r="O54" s="13"/>
      <c r="P54" s="13"/>
      <c r="Q54" s="40" t="s">
        <v>6</v>
      </c>
      <c r="R54" s="40" t="s">
        <v>6</v>
      </c>
      <c r="S54" s="416" t="s">
        <v>6</v>
      </c>
      <c r="T54" s="416"/>
      <c r="U54" s="13"/>
      <c r="V54" s="13"/>
      <c r="W54" s="412" t="s">
        <v>65</v>
      </c>
      <c r="X54" s="13"/>
      <c r="Y54" s="13"/>
      <c r="Z54" s="13" t="s">
        <v>6</v>
      </c>
      <c r="AA54" s="416" t="s">
        <v>6</v>
      </c>
      <c r="AB54" s="413"/>
      <c r="AC54" s="415"/>
      <c r="AD54" s="415"/>
      <c r="AE54" s="412" t="s">
        <v>65</v>
      </c>
      <c r="AF54" s="13"/>
      <c r="AG54" s="13"/>
      <c r="AH54" s="13" t="s">
        <v>6</v>
      </c>
      <c r="AI54" s="416" t="s">
        <v>6</v>
      </c>
      <c r="AJ54" s="413"/>
      <c r="AK54" s="415"/>
      <c r="AL54" s="415"/>
      <c r="AM54" s="59" t="s">
        <v>1812</v>
      </c>
      <c r="AN54" s="13"/>
      <c r="AO54" s="15"/>
      <c r="AP54" s="15"/>
      <c r="AQ54" s="15"/>
      <c r="AR54" s="15"/>
      <c r="AS54" s="15"/>
      <c r="AT54" s="15"/>
      <c r="AU54" s="15"/>
      <c r="AV54" s="19"/>
      <c r="AW54" s="18"/>
    </row>
    <row r="55" spans="1:49" s="20" customFormat="1" ht="15">
      <c r="A55" s="13">
        <f t="shared" si="0"/>
        <v>49</v>
      </c>
      <c r="B55" s="19"/>
      <c r="C55" s="41"/>
      <c r="D55" s="19"/>
      <c r="E55" s="19"/>
      <c r="F55" s="19"/>
      <c r="G55" s="19"/>
      <c r="H55" s="13"/>
      <c r="I55" s="13"/>
      <c r="J55" s="493" t="s">
        <v>1833</v>
      </c>
      <c r="K55" s="493" t="s">
        <v>65</v>
      </c>
      <c r="L55" s="493" t="s">
        <v>1834</v>
      </c>
      <c r="M55" s="493" t="s">
        <v>5169</v>
      </c>
      <c r="N55" s="413" t="s">
        <v>504</v>
      </c>
      <c r="O55" s="413"/>
      <c r="P55" s="413"/>
      <c r="Q55" s="415" t="s">
        <v>6</v>
      </c>
      <c r="R55" s="415" t="s">
        <v>6</v>
      </c>
      <c r="S55" s="415" t="s">
        <v>6</v>
      </c>
      <c r="T55" s="415"/>
      <c r="U55" s="413"/>
      <c r="V55" s="413"/>
      <c r="W55" s="493" t="s">
        <v>65</v>
      </c>
      <c r="X55" s="413"/>
      <c r="Y55" s="413"/>
      <c r="Z55" s="413" t="s">
        <v>6</v>
      </c>
      <c r="AA55" s="413" t="s">
        <v>6</v>
      </c>
      <c r="AB55" s="413"/>
      <c r="AC55" s="415"/>
      <c r="AD55" s="415"/>
      <c r="AE55" s="493" t="s">
        <v>65</v>
      </c>
      <c r="AF55" s="413"/>
      <c r="AG55" s="413"/>
      <c r="AH55" s="413" t="s">
        <v>6</v>
      </c>
      <c r="AI55" s="413" t="s">
        <v>6</v>
      </c>
      <c r="AJ55" s="413"/>
      <c r="AK55" s="415"/>
      <c r="AL55" s="415"/>
      <c r="AM55" s="260" t="s">
        <v>1812</v>
      </c>
      <c r="AN55" s="413"/>
      <c r="AO55" s="266"/>
      <c r="AP55" s="266"/>
      <c r="AQ55" s="266"/>
      <c r="AR55" s="266"/>
      <c r="AS55" s="266"/>
      <c r="AT55" s="266"/>
      <c r="AU55" s="266"/>
      <c r="AV55" s="53"/>
      <c r="AW55" s="18"/>
    </row>
    <row r="56" spans="1:49" ht="15">
      <c r="A56" s="484">
        <f t="shared" si="0"/>
        <v>50</v>
      </c>
      <c r="B56" s="62"/>
      <c r="C56" s="62"/>
      <c r="D56" s="62"/>
      <c r="E56" s="62"/>
      <c r="F56" s="62"/>
      <c r="G56" s="62"/>
      <c r="H56" s="62"/>
      <c r="I56" s="527"/>
      <c r="J56" s="535" t="s">
        <v>858</v>
      </c>
      <c r="K56" s="530"/>
      <c r="L56" s="530"/>
      <c r="M56" s="530"/>
      <c r="N56" s="531"/>
      <c r="O56" s="530"/>
      <c r="P56" s="530"/>
      <c r="Q56" s="531"/>
      <c r="R56" s="531"/>
      <c r="S56" s="531"/>
      <c r="T56" s="531"/>
      <c r="U56" s="532"/>
      <c r="V56" s="532"/>
      <c r="W56" s="530"/>
      <c r="X56" s="530"/>
      <c r="Y56" s="530"/>
      <c r="Z56" s="530"/>
      <c r="AA56" s="530"/>
      <c r="AB56" s="533"/>
      <c r="AC56" s="530"/>
      <c r="AD56" s="530"/>
      <c r="AE56" s="530"/>
      <c r="AF56" s="530"/>
      <c r="AG56" s="530"/>
      <c r="AH56" s="530"/>
      <c r="AI56" s="530"/>
      <c r="AJ56" s="533"/>
      <c r="AK56" s="530"/>
      <c r="AL56" s="530"/>
      <c r="AM56" s="530"/>
      <c r="AN56" s="530"/>
      <c r="AO56" s="530"/>
      <c r="AP56" s="530"/>
      <c r="AQ56" s="530"/>
      <c r="AR56" s="530"/>
      <c r="AS56" s="530"/>
      <c r="AT56" s="530"/>
      <c r="AU56" s="530"/>
      <c r="AV56" s="534"/>
      <c r="AW56" s="18">
        <f t="shared" si="2"/>
        <v>0</v>
      </c>
    </row>
    <row r="57" spans="1:49" s="20" customFormat="1" ht="15">
      <c r="A57" s="13">
        <f t="shared" si="0"/>
        <v>51</v>
      </c>
      <c r="B57" s="38"/>
      <c r="C57" s="41"/>
      <c r="D57" s="19"/>
      <c r="E57" s="43"/>
      <c r="F57" s="43"/>
      <c r="G57" s="43"/>
      <c r="H57" s="13"/>
      <c r="I57" s="13"/>
      <c r="J57" s="472" t="s">
        <v>1810</v>
      </c>
      <c r="K57" s="472"/>
      <c r="L57" s="528" t="s">
        <v>1811</v>
      </c>
      <c r="M57" s="528"/>
      <c r="N57" s="270" t="s">
        <v>407</v>
      </c>
      <c r="O57" s="414" t="s">
        <v>861</v>
      </c>
      <c r="P57" s="414"/>
      <c r="Q57" s="414" t="s">
        <v>6</v>
      </c>
      <c r="R57" s="404"/>
      <c r="S57" s="404"/>
      <c r="T57" s="226" t="s">
        <v>6</v>
      </c>
      <c r="U57" s="414"/>
      <c r="V57" s="414"/>
      <c r="W57" s="472"/>
      <c r="X57" s="414" t="s">
        <v>861</v>
      </c>
      <c r="Y57" s="414"/>
      <c r="Z57" s="404"/>
      <c r="AA57" s="404"/>
      <c r="AB57" s="401"/>
      <c r="AC57" s="460"/>
      <c r="AD57" s="460"/>
      <c r="AE57" s="472"/>
      <c r="AF57" s="414" t="s">
        <v>861</v>
      </c>
      <c r="AG57" s="414"/>
      <c r="AH57" s="404"/>
      <c r="AI57" s="404"/>
      <c r="AJ57" s="401"/>
      <c r="AK57" s="460"/>
      <c r="AL57" s="460"/>
      <c r="AM57" s="36"/>
      <c r="AN57" s="414"/>
      <c r="AO57" s="529"/>
      <c r="AP57" s="529"/>
      <c r="AQ57" s="529"/>
      <c r="AR57" s="529"/>
      <c r="AS57" s="529"/>
      <c r="AT57" s="529"/>
      <c r="AU57" s="529"/>
      <c r="AV57" s="35"/>
      <c r="AW57" s="18">
        <f t="shared" si="2"/>
        <v>27</v>
      </c>
    </row>
    <row r="58" spans="1:49" s="20" customFormat="1" ht="15">
      <c r="A58" s="13">
        <f t="shared" si="0"/>
        <v>52</v>
      </c>
      <c r="B58" s="19"/>
      <c r="C58" s="41"/>
      <c r="D58" s="19"/>
      <c r="E58" s="19"/>
      <c r="F58" s="19"/>
      <c r="G58" s="19"/>
      <c r="H58" s="13"/>
      <c r="I58" s="13"/>
      <c r="J58" s="399" t="s">
        <v>1813</v>
      </c>
      <c r="K58" s="399"/>
      <c r="L58" s="399" t="s">
        <v>1814</v>
      </c>
      <c r="M58" s="412"/>
      <c r="N58" s="61" t="s">
        <v>407</v>
      </c>
      <c r="O58" s="13" t="s">
        <v>861</v>
      </c>
      <c r="P58" s="13"/>
      <c r="Q58" s="13" t="s">
        <v>6</v>
      </c>
      <c r="R58" s="404"/>
      <c r="S58" s="404"/>
      <c r="T58" s="126" t="s">
        <v>6</v>
      </c>
      <c r="U58" s="13"/>
      <c r="V58" s="13"/>
      <c r="W58" s="399"/>
      <c r="X58" s="13" t="s">
        <v>861</v>
      </c>
      <c r="Y58" s="13"/>
      <c r="Z58" s="404"/>
      <c r="AA58" s="404"/>
      <c r="AB58" s="400"/>
      <c r="AC58" s="403"/>
      <c r="AD58" s="403"/>
      <c r="AE58" s="399"/>
      <c r="AF58" s="13" t="s">
        <v>861</v>
      </c>
      <c r="AG58" s="13"/>
      <c r="AH58" s="404"/>
      <c r="AI58" s="404"/>
      <c r="AJ58" s="400"/>
      <c r="AK58" s="403"/>
      <c r="AL58" s="403"/>
      <c r="AM58" s="43"/>
      <c r="AN58" s="13"/>
      <c r="AO58" s="15"/>
      <c r="AP58" s="15"/>
      <c r="AQ58" s="15"/>
      <c r="AR58" s="15"/>
      <c r="AS58" s="15"/>
      <c r="AT58" s="15"/>
      <c r="AU58" s="15"/>
      <c r="AV58" s="19"/>
      <c r="AW58" s="18">
        <f t="shared" si="2"/>
        <v>27</v>
      </c>
    </row>
    <row r="59" spans="1:49" s="20" customFormat="1" ht="15">
      <c r="A59" s="13">
        <f t="shared" si="0"/>
        <v>53</v>
      </c>
      <c r="B59" s="19"/>
      <c r="C59" s="41"/>
      <c r="D59" s="19"/>
      <c r="E59" s="19"/>
      <c r="F59" s="19"/>
      <c r="G59" s="19"/>
      <c r="H59" s="13"/>
      <c r="I59" s="13"/>
      <c r="J59" s="399" t="s">
        <v>1815</v>
      </c>
      <c r="K59" s="399"/>
      <c r="L59" s="399" t="s">
        <v>1816</v>
      </c>
      <c r="M59" s="412"/>
      <c r="N59" s="61" t="s">
        <v>407</v>
      </c>
      <c r="O59" s="13" t="s">
        <v>861</v>
      </c>
      <c r="P59" s="13"/>
      <c r="Q59" s="13" t="s">
        <v>6</v>
      </c>
      <c r="R59" s="404"/>
      <c r="S59" s="404"/>
      <c r="T59" s="126" t="s">
        <v>6</v>
      </c>
      <c r="U59" s="13"/>
      <c r="V59" s="13"/>
      <c r="W59" s="399"/>
      <c r="X59" s="13" t="s">
        <v>861</v>
      </c>
      <c r="Y59" s="13"/>
      <c r="Z59" s="404"/>
      <c r="AA59" s="404"/>
      <c r="AB59" s="45"/>
      <c r="AC59" s="403"/>
      <c r="AD59" s="403"/>
      <c r="AE59" s="399"/>
      <c r="AF59" s="13" t="s">
        <v>861</v>
      </c>
      <c r="AG59" s="13"/>
      <c r="AH59" s="404"/>
      <c r="AI59" s="404"/>
      <c r="AJ59" s="45"/>
      <c r="AK59" s="403"/>
      <c r="AL59" s="403"/>
      <c r="AM59" s="43"/>
      <c r="AN59" s="19"/>
      <c r="AO59" s="13"/>
      <c r="AP59" s="13"/>
      <c r="AQ59" s="13"/>
      <c r="AR59" s="13"/>
      <c r="AS59" s="13"/>
      <c r="AT59" s="13"/>
      <c r="AU59" s="15"/>
      <c r="AV59" s="15"/>
      <c r="AW59" s="18">
        <f t="shared" si="2"/>
        <v>27</v>
      </c>
    </row>
    <row r="60" spans="1:49" s="20" customFormat="1" ht="15">
      <c r="A60" s="13">
        <f t="shared" si="0"/>
        <v>54</v>
      </c>
      <c r="B60" s="19"/>
      <c r="C60" s="48"/>
      <c r="D60" s="19"/>
      <c r="E60" s="19"/>
      <c r="F60" s="19"/>
      <c r="G60" s="19"/>
      <c r="H60" s="13"/>
      <c r="I60" s="13"/>
      <c r="J60" s="399" t="s">
        <v>1817</v>
      </c>
      <c r="K60" s="399"/>
      <c r="L60" s="399" t="s">
        <v>1818</v>
      </c>
      <c r="M60" s="412"/>
      <c r="N60" s="61" t="s">
        <v>407</v>
      </c>
      <c r="O60" s="13" t="s">
        <v>861</v>
      </c>
      <c r="P60" s="13"/>
      <c r="Q60" s="13" t="s">
        <v>6</v>
      </c>
      <c r="R60" s="404"/>
      <c r="S60" s="13"/>
      <c r="T60" s="126" t="s">
        <v>6</v>
      </c>
      <c r="U60" s="13"/>
      <c r="V60" s="13"/>
      <c r="W60" s="399"/>
      <c r="X60" s="13" t="s">
        <v>861</v>
      </c>
      <c r="Y60" s="13"/>
      <c r="Z60" s="404"/>
      <c r="AA60" s="13"/>
      <c r="AB60" s="45"/>
      <c r="AC60" s="403"/>
      <c r="AD60" s="403"/>
      <c r="AE60" s="399"/>
      <c r="AF60" s="13" t="s">
        <v>861</v>
      </c>
      <c r="AG60" s="13"/>
      <c r="AH60" s="404"/>
      <c r="AI60" s="13"/>
      <c r="AJ60" s="45"/>
      <c r="AK60" s="403"/>
      <c r="AL60" s="403"/>
      <c r="AM60" s="43"/>
      <c r="AN60" s="19"/>
      <c r="AO60" s="13"/>
      <c r="AP60" s="13"/>
      <c r="AQ60" s="13"/>
      <c r="AR60" s="13"/>
      <c r="AS60" s="13"/>
      <c r="AT60" s="13"/>
      <c r="AU60" s="15"/>
      <c r="AV60" s="15"/>
      <c r="AW60" s="18">
        <f t="shared" si="2"/>
        <v>27</v>
      </c>
    </row>
    <row r="61" spans="1:49" s="20" customFormat="1" ht="15">
      <c r="A61" s="13">
        <f t="shared" si="0"/>
        <v>55</v>
      </c>
      <c r="B61" s="19"/>
      <c r="C61" s="41"/>
      <c r="D61" s="19"/>
      <c r="E61" s="19"/>
      <c r="F61" s="19"/>
      <c r="G61" s="19"/>
      <c r="H61" s="13"/>
      <c r="I61" s="13"/>
      <c r="J61" s="399" t="s">
        <v>1819</v>
      </c>
      <c r="K61" s="399"/>
      <c r="L61" s="399" t="s">
        <v>1820</v>
      </c>
      <c r="M61" s="412"/>
      <c r="N61" s="61" t="s">
        <v>407</v>
      </c>
      <c r="O61" s="13" t="s">
        <v>861</v>
      </c>
      <c r="P61" s="13"/>
      <c r="Q61" s="13" t="s">
        <v>6</v>
      </c>
      <c r="R61" s="404"/>
      <c r="S61" s="13"/>
      <c r="T61" s="126" t="s">
        <v>6</v>
      </c>
      <c r="U61" s="13"/>
      <c r="V61" s="13"/>
      <c r="W61" s="399"/>
      <c r="X61" s="13" t="s">
        <v>861</v>
      </c>
      <c r="Y61" s="13"/>
      <c r="Z61" s="404"/>
      <c r="AA61" s="13"/>
      <c r="AB61" s="45"/>
      <c r="AC61" s="403"/>
      <c r="AD61" s="403"/>
      <c r="AE61" s="399"/>
      <c r="AF61" s="13" t="s">
        <v>861</v>
      </c>
      <c r="AG61" s="13"/>
      <c r="AH61" s="404"/>
      <c r="AI61" s="13"/>
      <c r="AJ61" s="45"/>
      <c r="AK61" s="403"/>
      <c r="AL61" s="403"/>
      <c r="AM61" s="43"/>
      <c r="AN61" s="19"/>
      <c r="AO61" s="13"/>
      <c r="AP61" s="13"/>
      <c r="AQ61" s="13"/>
      <c r="AR61" s="13"/>
      <c r="AS61" s="13"/>
      <c r="AT61" s="13"/>
      <c r="AU61" s="15"/>
      <c r="AV61" s="15"/>
      <c r="AW61" s="18">
        <f t="shared" si="2"/>
        <v>23</v>
      </c>
    </row>
    <row r="62" spans="1:49" s="20" customFormat="1" ht="15">
      <c r="A62" s="13">
        <f t="shared" si="0"/>
        <v>56</v>
      </c>
      <c r="B62" s="38"/>
      <c r="C62" s="41"/>
      <c r="D62" s="19"/>
      <c r="E62" s="19"/>
      <c r="F62" s="19"/>
      <c r="G62" s="19"/>
      <c r="H62" s="13"/>
      <c r="I62" s="13"/>
      <c r="J62" s="399" t="s">
        <v>1821</v>
      </c>
      <c r="K62" s="399"/>
      <c r="L62" s="399" t="s">
        <v>1822</v>
      </c>
      <c r="M62" s="412"/>
      <c r="N62" s="61" t="s">
        <v>407</v>
      </c>
      <c r="O62" s="13" t="s">
        <v>861</v>
      </c>
      <c r="P62" s="13"/>
      <c r="Q62" s="13" t="s">
        <v>6</v>
      </c>
      <c r="R62" s="404"/>
      <c r="S62" s="13"/>
      <c r="T62" s="126" t="s">
        <v>6</v>
      </c>
      <c r="U62" s="40"/>
      <c r="V62" s="40"/>
      <c r="W62" s="399"/>
      <c r="X62" s="13" t="s">
        <v>861</v>
      </c>
      <c r="Y62" s="43"/>
      <c r="Z62" s="404"/>
      <c r="AA62" s="13"/>
      <c r="AB62" s="400"/>
      <c r="AC62" s="403"/>
      <c r="AD62" s="403"/>
      <c r="AE62" s="399"/>
      <c r="AF62" s="13" t="s">
        <v>861</v>
      </c>
      <c r="AG62" s="43"/>
      <c r="AH62" s="404"/>
      <c r="AI62" s="13"/>
      <c r="AJ62" s="400"/>
      <c r="AK62" s="403"/>
      <c r="AL62" s="403"/>
      <c r="AM62" s="43"/>
      <c r="AN62" s="13"/>
      <c r="AO62" s="15"/>
      <c r="AP62" s="15"/>
      <c r="AQ62" s="15"/>
      <c r="AR62" s="15"/>
      <c r="AS62" s="15"/>
      <c r="AT62" s="15"/>
      <c r="AU62" s="15"/>
      <c r="AV62" s="13"/>
      <c r="AW62" s="18">
        <f t="shared" si="2"/>
        <v>23</v>
      </c>
    </row>
    <row r="63" spans="1:49" s="20" customFormat="1" ht="15">
      <c r="A63" s="13">
        <f t="shared" si="0"/>
        <v>57</v>
      </c>
      <c r="B63" s="38"/>
      <c r="C63" s="41"/>
      <c r="D63" s="19"/>
      <c r="E63" s="19"/>
      <c r="F63" s="19"/>
      <c r="G63" s="19"/>
      <c r="H63" s="13"/>
      <c r="I63" s="13"/>
      <c r="J63" s="399" t="s">
        <v>1823</v>
      </c>
      <c r="K63" s="399"/>
      <c r="L63" s="399" t="s">
        <v>1824</v>
      </c>
      <c r="M63" s="412"/>
      <c r="N63" s="61" t="s">
        <v>407</v>
      </c>
      <c r="O63" s="13" t="s">
        <v>861</v>
      </c>
      <c r="P63" s="13"/>
      <c r="Q63" s="13" t="s">
        <v>6</v>
      </c>
      <c r="R63" s="404"/>
      <c r="S63" s="13"/>
      <c r="T63" s="126" t="s">
        <v>6</v>
      </c>
      <c r="U63" s="40"/>
      <c r="V63" s="40"/>
      <c r="W63" s="399"/>
      <c r="X63" s="13" t="s">
        <v>861</v>
      </c>
      <c r="Y63" s="43"/>
      <c r="Z63" s="404"/>
      <c r="AA63" s="13"/>
      <c r="AB63" s="400"/>
      <c r="AC63" s="403"/>
      <c r="AD63" s="403"/>
      <c r="AE63" s="399"/>
      <c r="AF63" s="13" t="s">
        <v>861</v>
      </c>
      <c r="AG63" s="43"/>
      <c r="AH63" s="404"/>
      <c r="AI63" s="13"/>
      <c r="AJ63" s="400"/>
      <c r="AK63" s="403"/>
      <c r="AL63" s="403"/>
      <c r="AM63" s="43"/>
      <c r="AN63" s="13"/>
      <c r="AO63" s="15"/>
      <c r="AP63" s="15"/>
      <c r="AQ63" s="15"/>
      <c r="AR63" s="15"/>
      <c r="AS63" s="15"/>
      <c r="AT63" s="15"/>
      <c r="AU63" s="15"/>
      <c r="AV63" s="13"/>
      <c r="AW63" s="18">
        <f t="shared" si="2"/>
        <v>23</v>
      </c>
    </row>
    <row r="64" spans="1:49" s="20" customFormat="1" ht="15">
      <c r="A64" s="13">
        <f t="shared" si="0"/>
        <v>58</v>
      </c>
      <c r="B64" s="38"/>
      <c r="C64" s="41"/>
      <c r="D64" s="19"/>
      <c r="E64" s="19"/>
      <c r="F64" s="19"/>
      <c r="G64" s="19"/>
      <c r="H64" s="13"/>
      <c r="I64" s="13"/>
      <c r="J64" s="399" t="s">
        <v>1825</v>
      </c>
      <c r="K64" s="399"/>
      <c r="L64" s="399" t="s">
        <v>1826</v>
      </c>
      <c r="M64" s="412"/>
      <c r="N64" s="61" t="s">
        <v>407</v>
      </c>
      <c r="O64" s="13" t="s">
        <v>861</v>
      </c>
      <c r="P64" s="13"/>
      <c r="Q64" s="13" t="s">
        <v>6</v>
      </c>
      <c r="R64" s="404"/>
      <c r="S64" s="40"/>
      <c r="T64" s="126" t="s">
        <v>6</v>
      </c>
      <c r="U64" s="40"/>
      <c r="V64" s="40"/>
      <c r="W64" s="399"/>
      <c r="X64" s="13" t="s">
        <v>861</v>
      </c>
      <c r="Y64" s="43"/>
      <c r="Z64" s="404"/>
      <c r="AA64" s="40"/>
      <c r="AB64" s="400"/>
      <c r="AC64" s="403"/>
      <c r="AD64" s="403"/>
      <c r="AE64" s="399"/>
      <c r="AF64" s="13" t="s">
        <v>861</v>
      </c>
      <c r="AG64" s="43"/>
      <c r="AH64" s="404"/>
      <c r="AI64" s="40"/>
      <c r="AJ64" s="400"/>
      <c r="AK64" s="403"/>
      <c r="AL64" s="403"/>
      <c r="AM64" s="43"/>
      <c r="AN64" s="13"/>
      <c r="AO64" s="15"/>
      <c r="AP64" s="15"/>
      <c r="AQ64" s="15"/>
      <c r="AR64" s="15"/>
      <c r="AS64" s="15"/>
      <c r="AT64" s="15"/>
      <c r="AU64" s="15"/>
      <c r="AV64" s="13"/>
      <c r="AW64" s="18">
        <f t="shared" si="2"/>
        <v>23</v>
      </c>
    </row>
    <row r="65" spans="1:49" s="20" customFormat="1" ht="15">
      <c r="A65" s="13">
        <f t="shared" si="0"/>
        <v>59</v>
      </c>
      <c r="B65" s="38"/>
      <c r="C65" s="41"/>
      <c r="D65" s="19"/>
      <c r="E65" s="19"/>
      <c r="F65" s="19"/>
      <c r="G65" s="19"/>
      <c r="H65" s="13"/>
      <c r="I65" s="13"/>
      <c r="J65" s="399" t="s">
        <v>1827</v>
      </c>
      <c r="K65" s="399"/>
      <c r="L65" s="399" t="s">
        <v>1828</v>
      </c>
      <c r="M65" s="412"/>
      <c r="N65" s="61" t="s">
        <v>407</v>
      </c>
      <c r="O65" s="13" t="s">
        <v>861</v>
      </c>
      <c r="P65" s="13"/>
      <c r="Q65" s="13" t="s">
        <v>6</v>
      </c>
      <c r="R65" s="404"/>
      <c r="S65" s="404"/>
      <c r="T65" s="126" t="s">
        <v>6</v>
      </c>
      <c r="U65" s="40"/>
      <c r="V65" s="40"/>
      <c r="W65" s="399"/>
      <c r="X65" s="13" t="s">
        <v>861</v>
      </c>
      <c r="Y65" s="13"/>
      <c r="Z65" s="404"/>
      <c r="AA65" s="404"/>
      <c r="AB65" s="400"/>
      <c r="AC65" s="403"/>
      <c r="AD65" s="403"/>
      <c r="AE65" s="399"/>
      <c r="AF65" s="13" t="s">
        <v>861</v>
      </c>
      <c r="AG65" s="13"/>
      <c r="AH65" s="404"/>
      <c r="AI65" s="404"/>
      <c r="AJ65" s="400"/>
      <c r="AK65" s="403"/>
      <c r="AL65" s="403"/>
      <c r="AM65" s="43"/>
      <c r="AN65" s="19"/>
      <c r="AO65" s="15"/>
      <c r="AP65" s="15"/>
      <c r="AQ65" s="15"/>
      <c r="AR65" s="15"/>
      <c r="AS65" s="15"/>
      <c r="AT65" s="15"/>
      <c r="AU65" s="15"/>
      <c r="AV65" s="15"/>
      <c r="AW65" s="18">
        <f t="shared" si="2"/>
        <v>23</v>
      </c>
    </row>
    <row r="66" spans="1:49" s="20" customFormat="1" ht="15">
      <c r="A66" s="13">
        <f t="shared" si="0"/>
        <v>60</v>
      </c>
      <c r="B66" s="38"/>
      <c r="C66" s="41"/>
      <c r="D66" s="38"/>
      <c r="E66" s="46"/>
      <c r="F66" s="46"/>
      <c r="G66" s="46"/>
      <c r="H66" s="13"/>
      <c r="I66" s="40"/>
      <c r="J66" s="399" t="s">
        <v>1829</v>
      </c>
      <c r="K66" s="399"/>
      <c r="L66" s="399" t="s">
        <v>1830</v>
      </c>
      <c r="M66" s="412"/>
      <c r="N66" s="61" t="s">
        <v>407</v>
      </c>
      <c r="O66" s="13" t="s">
        <v>861</v>
      </c>
      <c r="P66" s="13"/>
      <c r="Q66" s="13" t="s">
        <v>6</v>
      </c>
      <c r="R66" s="404"/>
      <c r="S66" s="404"/>
      <c r="T66" s="126" t="s">
        <v>6</v>
      </c>
      <c r="U66" s="40"/>
      <c r="V66" s="40"/>
      <c r="W66" s="399"/>
      <c r="X66" s="13" t="s">
        <v>861</v>
      </c>
      <c r="Y66" s="13"/>
      <c r="Z66" s="404"/>
      <c r="AA66" s="404"/>
      <c r="AB66" s="400"/>
      <c r="AC66" s="400"/>
      <c r="AD66" s="400"/>
      <c r="AE66" s="399"/>
      <c r="AF66" s="13" t="s">
        <v>861</v>
      </c>
      <c r="AG66" s="13"/>
      <c r="AH66" s="404"/>
      <c r="AI66" s="404"/>
      <c r="AJ66" s="400"/>
      <c r="AK66" s="400"/>
      <c r="AL66" s="400"/>
      <c r="AM66" s="43"/>
      <c r="AN66" s="19"/>
      <c r="AO66" s="13"/>
      <c r="AP66" s="13"/>
      <c r="AQ66" s="13"/>
      <c r="AR66" s="13"/>
      <c r="AS66" s="13"/>
      <c r="AT66" s="13"/>
      <c r="AU66" s="13"/>
      <c r="AV66" s="19"/>
      <c r="AW66" s="18">
        <f t="shared" si="2"/>
        <v>36</v>
      </c>
    </row>
    <row r="67" spans="1:49" s="20" customFormat="1" ht="15">
      <c r="A67" s="13">
        <f t="shared" si="0"/>
        <v>61</v>
      </c>
      <c r="B67" s="38"/>
      <c r="C67" s="41"/>
      <c r="D67" s="19"/>
      <c r="E67" s="43"/>
      <c r="F67" s="43"/>
      <c r="G67" s="43"/>
      <c r="H67" s="13"/>
      <c r="I67" s="13"/>
      <c r="J67" s="399" t="s">
        <v>1831</v>
      </c>
      <c r="K67" s="399"/>
      <c r="L67" s="399" t="s">
        <v>1832</v>
      </c>
      <c r="M67" s="412"/>
      <c r="N67" s="61" t="s">
        <v>407</v>
      </c>
      <c r="O67" s="13" t="s">
        <v>861</v>
      </c>
      <c r="P67" s="13"/>
      <c r="Q67" s="13" t="s">
        <v>6</v>
      </c>
      <c r="R67" s="404"/>
      <c r="S67" s="404"/>
      <c r="T67" s="126" t="s">
        <v>6</v>
      </c>
      <c r="U67" s="13"/>
      <c r="V67" s="13"/>
      <c r="W67" s="399"/>
      <c r="X67" s="13" t="s">
        <v>861</v>
      </c>
      <c r="Y67" s="13"/>
      <c r="Z67" s="404"/>
      <c r="AA67" s="404"/>
      <c r="AB67" s="400"/>
      <c r="AC67" s="403"/>
      <c r="AD67" s="403"/>
      <c r="AE67" s="399"/>
      <c r="AF67" s="13" t="s">
        <v>861</v>
      </c>
      <c r="AG67" s="13"/>
      <c r="AH67" s="404"/>
      <c r="AI67" s="404"/>
      <c r="AJ67" s="400"/>
      <c r="AK67" s="403"/>
      <c r="AL67" s="403"/>
      <c r="AM67" s="43"/>
      <c r="AN67" s="13"/>
      <c r="AO67" s="15"/>
      <c r="AP67" s="15"/>
      <c r="AQ67" s="15"/>
      <c r="AR67" s="15"/>
      <c r="AS67" s="15"/>
      <c r="AT67" s="15"/>
      <c r="AU67" s="15"/>
      <c r="AV67" s="19"/>
      <c r="AW67" s="18">
        <f t="shared" si="2"/>
        <v>13</v>
      </c>
    </row>
    <row r="68" spans="1:49" s="20" customFormat="1" ht="15">
      <c r="A68" s="13">
        <f t="shared" si="0"/>
        <v>62</v>
      </c>
      <c r="B68" s="19"/>
      <c r="C68" s="41"/>
      <c r="D68" s="19"/>
      <c r="E68" s="19"/>
      <c r="F68" s="19"/>
      <c r="G68" s="19"/>
      <c r="H68" s="13"/>
      <c r="I68" s="13"/>
      <c r="J68" s="399" t="s">
        <v>1833</v>
      </c>
      <c r="K68" s="399"/>
      <c r="L68" s="399" t="s">
        <v>1834</v>
      </c>
      <c r="M68" s="412"/>
      <c r="N68" s="61" t="s">
        <v>407</v>
      </c>
      <c r="O68" s="13" t="s">
        <v>861</v>
      </c>
      <c r="P68" s="13"/>
      <c r="Q68" s="13" t="s">
        <v>6</v>
      </c>
      <c r="R68" s="404"/>
      <c r="S68" s="13"/>
      <c r="T68" s="126" t="s">
        <v>6</v>
      </c>
      <c r="U68" s="13"/>
      <c r="V68" s="13"/>
      <c r="W68" s="399"/>
      <c r="X68" s="13" t="s">
        <v>861</v>
      </c>
      <c r="Y68" s="13"/>
      <c r="Z68" s="404"/>
      <c r="AA68" s="13"/>
      <c r="AB68" s="13"/>
      <c r="AC68" s="40"/>
      <c r="AD68" s="40"/>
      <c r="AE68" s="399"/>
      <c r="AF68" s="13" t="s">
        <v>861</v>
      </c>
      <c r="AG68" s="13"/>
      <c r="AH68" s="404"/>
      <c r="AI68" s="13"/>
      <c r="AJ68" s="13"/>
      <c r="AK68" s="40"/>
      <c r="AL68" s="40"/>
      <c r="AM68" s="43"/>
      <c r="AN68" s="13"/>
      <c r="AO68" s="15"/>
      <c r="AP68" s="15"/>
      <c r="AQ68" s="15"/>
      <c r="AR68" s="15"/>
      <c r="AS68" s="15"/>
      <c r="AT68" s="15"/>
      <c r="AU68" s="15"/>
      <c r="AV68" s="19"/>
      <c r="AW68" s="18">
        <f t="shared" si="2"/>
        <v>20</v>
      </c>
    </row>
    <row r="69" spans="1:49" s="20" customFormat="1" ht="15">
      <c r="A69" s="13">
        <f t="shared" si="0"/>
        <v>63</v>
      </c>
      <c r="B69" s="19"/>
      <c r="C69" s="41"/>
      <c r="D69" s="19"/>
      <c r="E69" s="19"/>
      <c r="F69" s="19"/>
      <c r="G69" s="19"/>
      <c r="H69" s="13"/>
      <c r="I69" s="13"/>
      <c r="J69" s="412" t="s">
        <v>1835</v>
      </c>
      <c r="K69" s="412"/>
      <c r="L69" s="412" t="s">
        <v>1836</v>
      </c>
      <c r="M69" s="412"/>
      <c r="N69" s="61" t="s">
        <v>407</v>
      </c>
      <c r="O69" s="13" t="s">
        <v>861</v>
      </c>
      <c r="P69" s="13"/>
      <c r="Q69" s="13" t="s">
        <v>6</v>
      </c>
      <c r="R69" s="416"/>
      <c r="S69" s="13"/>
      <c r="T69" s="126" t="s">
        <v>6</v>
      </c>
      <c r="U69" s="13"/>
      <c r="V69" s="13"/>
      <c r="W69" s="412"/>
      <c r="X69" s="13" t="s">
        <v>861</v>
      </c>
      <c r="Y69" s="13"/>
      <c r="Z69" s="416"/>
      <c r="AA69" s="13"/>
      <c r="AB69" s="13"/>
      <c r="AC69" s="40"/>
      <c r="AD69" s="40"/>
      <c r="AE69" s="412"/>
      <c r="AF69" s="13" t="s">
        <v>861</v>
      </c>
      <c r="AG69" s="13"/>
      <c r="AH69" s="416"/>
      <c r="AI69" s="13"/>
      <c r="AJ69" s="13"/>
      <c r="AK69" s="40"/>
      <c r="AL69" s="40"/>
      <c r="AM69" s="43"/>
      <c r="AN69" s="13"/>
      <c r="AO69" s="15"/>
      <c r="AP69" s="15"/>
      <c r="AQ69" s="15"/>
      <c r="AR69" s="15"/>
      <c r="AS69" s="15"/>
      <c r="AT69" s="15"/>
      <c r="AU69" s="15"/>
      <c r="AV69" s="19"/>
      <c r="AW69" s="18">
        <f t="shared" ref="AW69" si="12">LEN(L69)</f>
        <v>18</v>
      </c>
    </row>
    <row r="70" spans="1:49" ht="15">
      <c r="J70" s="398"/>
      <c r="K70" s="54"/>
      <c r="L70" s="398"/>
      <c r="M70" s="491"/>
      <c r="N70" s="82"/>
      <c r="O70" s="54"/>
      <c r="P70" s="54"/>
      <c r="Q70" s="54"/>
      <c r="R70" s="54"/>
      <c r="S70" s="54"/>
      <c r="T70" s="54"/>
      <c r="U70" s="54"/>
      <c r="V70" s="54"/>
      <c r="W70" s="54"/>
      <c r="X70" s="54"/>
      <c r="Y70" s="54"/>
      <c r="Z70" s="54"/>
      <c r="AA70" s="55"/>
      <c r="AB70" s="55"/>
      <c r="AC70" s="55"/>
      <c r="AD70" s="55"/>
      <c r="AE70" s="54"/>
      <c r="AF70" s="54"/>
      <c r="AG70" s="54"/>
      <c r="AH70" s="54"/>
      <c r="AI70" s="55"/>
      <c r="AJ70" s="54"/>
      <c r="AW70" s="18">
        <f t="shared" si="2"/>
        <v>0</v>
      </c>
    </row>
    <row r="71" spans="1:49" ht="15">
      <c r="J71" s="398"/>
      <c r="K71" s="54"/>
      <c r="L71" s="398"/>
      <c r="M71" s="491"/>
      <c r="N71" s="82"/>
      <c r="O71" s="54"/>
      <c r="P71" s="54"/>
      <c r="Q71" s="54"/>
      <c r="R71" s="54"/>
      <c r="S71" s="54"/>
      <c r="T71" s="54"/>
      <c r="U71" s="54"/>
      <c r="V71" s="54"/>
      <c r="W71" s="54"/>
      <c r="X71" s="54"/>
      <c r="Y71" s="54"/>
      <c r="Z71" s="54"/>
      <c r="AA71" s="55"/>
      <c r="AB71" s="55"/>
      <c r="AC71" s="55"/>
      <c r="AD71" s="55"/>
      <c r="AE71" s="54"/>
      <c r="AF71" s="54"/>
      <c r="AG71" s="54"/>
      <c r="AH71" s="54"/>
      <c r="AI71" s="55"/>
      <c r="AJ71" s="54"/>
      <c r="AW71" s="18">
        <f t="shared" si="2"/>
        <v>0</v>
      </c>
    </row>
    <row r="72" spans="1:49" ht="15">
      <c r="J72" s="398"/>
      <c r="K72" s="54"/>
      <c r="L72" s="398"/>
      <c r="M72" s="491"/>
      <c r="N72" s="82"/>
      <c r="O72" s="54"/>
      <c r="P72" s="54"/>
      <c r="Q72" s="54"/>
      <c r="R72" s="54"/>
      <c r="S72" s="54"/>
      <c r="T72" s="54"/>
      <c r="U72" s="54"/>
      <c r="V72" s="54"/>
      <c r="W72" s="54"/>
      <c r="X72" s="54"/>
      <c r="Y72" s="54"/>
      <c r="Z72" s="54"/>
      <c r="AA72" s="55"/>
      <c r="AB72" s="55"/>
      <c r="AC72" s="55"/>
      <c r="AD72" s="55"/>
      <c r="AE72" s="54"/>
      <c r="AF72" s="54"/>
      <c r="AG72" s="54"/>
      <c r="AH72" s="54"/>
      <c r="AI72" s="55"/>
      <c r="AJ72" s="54"/>
      <c r="AW72" s="18">
        <f t="shared" si="2"/>
        <v>0</v>
      </c>
    </row>
    <row r="73" spans="1:49" ht="15">
      <c r="J73" s="398"/>
      <c r="K73" s="54"/>
      <c r="L73" s="398"/>
      <c r="M73" s="491"/>
      <c r="N73" s="82"/>
      <c r="O73" s="54"/>
      <c r="P73" s="54"/>
      <c r="Q73" s="54"/>
      <c r="R73" s="54"/>
      <c r="S73" s="54"/>
      <c r="T73" s="54"/>
      <c r="U73" s="54"/>
      <c r="V73" s="54"/>
      <c r="W73" s="54"/>
      <c r="X73" s="54"/>
      <c r="Y73" s="54"/>
      <c r="Z73" s="54"/>
      <c r="AA73" s="55"/>
      <c r="AB73" s="55"/>
      <c r="AC73" s="55"/>
      <c r="AD73" s="55"/>
      <c r="AE73" s="54"/>
      <c r="AF73" s="54"/>
      <c r="AG73" s="54"/>
      <c r="AH73" s="54"/>
      <c r="AI73" s="55"/>
      <c r="AJ73" s="54"/>
      <c r="AW73" s="18">
        <f t="shared" si="2"/>
        <v>0</v>
      </c>
    </row>
    <row r="74" spans="1:49" ht="15">
      <c r="J74" s="398"/>
      <c r="K74" s="54"/>
      <c r="L74" s="398"/>
      <c r="M74" s="491"/>
      <c r="N74" s="82"/>
      <c r="O74" s="54"/>
      <c r="P74" s="54"/>
      <c r="Q74" s="54"/>
      <c r="R74" s="54"/>
      <c r="S74" s="54"/>
      <c r="T74" s="54"/>
      <c r="U74" s="54"/>
      <c r="V74" s="54"/>
      <c r="W74" s="54"/>
      <c r="X74" s="54"/>
      <c r="Y74" s="54"/>
      <c r="Z74" s="54"/>
      <c r="AA74" s="55"/>
      <c r="AB74" s="55"/>
      <c r="AC74" s="55"/>
      <c r="AD74" s="55"/>
      <c r="AE74" s="54"/>
      <c r="AF74" s="54"/>
      <c r="AG74" s="54"/>
      <c r="AH74" s="54"/>
      <c r="AI74" s="55"/>
      <c r="AJ74" s="54"/>
      <c r="AW74" s="18">
        <f t="shared" si="2"/>
        <v>0</v>
      </c>
    </row>
    <row r="75" spans="1:49" ht="15">
      <c r="J75" s="398"/>
      <c r="K75" s="54"/>
      <c r="L75" s="398"/>
      <c r="M75" s="491"/>
      <c r="N75" s="82"/>
      <c r="O75" s="54"/>
      <c r="P75" s="54"/>
      <c r="Q75" s="54"/>
      <c r="R75" s="54"/>
      <c r="S75" s="54"/>
      <c r="T75" s="54"/>
      <c r="U75" s="54"/>
      <c r="V75" s="54"/>
      <c r="W75" s="54"/>
      <c r="X75" s="54"/>
      <c r="Y75" s="54"/>
      <c r="Z75" s="54"/>
      <c r="AA75" s="55"/>
      <c r="AB75" s="55"/>
      <c r="AC75" s="55"/>
      <c r="AD75" s="55"/>
      <c r="AE75" s="54"/>
      <c r="AF75" s="54"/>
      <c r="AG75" s="54"/>
      <c r="AH75" s="54"/>
      <c r="AI75" s="55"/>
      <c r="AJ75" s="54"/>
      <c r="AW75" s="18">
        <f t="shared" si="2"/>
        <v>0</v>
      </c>
    </row>
    <row r="76" spans="1:49" ht="15">
      <c r="J76" s="398"/>
      <c r="K76" s="54"/>
      <c r="L76" s="398"/>
      <c r="M76" s="491"/>
      <c r="N76" s="82"/>
      <c r="O76" s="54"/>
      <c r="P76" s="54"/>
      <c r="Q76" s="54"/>
      <c r="R76" s="54"/>
      <c r="S76" s="54"/>
      <c r="T76" s="54"/>
      <c r="U76" s="54"/>
      <c r="V76" s="54"/>
      <c r="W76" s="54"/>
      <c r="X76" s="54"/>
      <c r="Y76" s="54"/>
      <c r="Z76" s="54"/>
      <c r="AA76" s="55"/>
      <c r="AB76" s="55"/>
      <c r="AC76" s="55"/>
      <c r="AD76" s="55"/>
      <c r="AE76" s="54"/>
      <c r="AF76" s="54"/>
      <c r="AG76" s="54"/>
      <c r="AH76" s="54"/>
      <c r="AI76" s="55"/>
      <c r="AJ76" s="54"/>
      <c r="AW76" s="18">
        <f t="shared" si="2"/>
        <v>0</v>
      </c>
    </row>
    <row r="77" spans="1:49" ht="15">
      <c r="J77" s="398"/>
      <c r="K77" s="54"/>
      <c r="L77" s="398"/>
      <c r="M77" s="491"/>
      <c r="N77" s="82"/>
      <c r="O77" s="54"/>
      <c r="P77" s="54"/>
      <c r="Q77" s="54"/>
      <c r="R77" s="54"/>
      <c r="S77" s="54"/>
      <c r="T77" s="54"/>
      <c r="U77" s="54"/>
      <c r="V77" s="54"/>
      <c r="W77" s="54"/>
      <c r="X77" s="54"/>
      <c r="Y77" s="54"/>
      <c r="Z77" s="54"/>
      <c r="AA77" s="55"/>
      <c r="AB77" s="55"/>
      <c r="AC77" s="55"/>
      <c r="AD77" s="55"/>
      <c r="AE77" s="54"/>
      <c r="AF77" s="54"/>
      <c r="AG77" s="54"/>
      <c r="AH77" s="54"/>
      <c r="AI77" s="55"/>
      <c r="AJ77" s="54"/>
      <c r="AW77" s="18">
        <f t="shared" si="2"/>
        <v>0</v>
      </c>
    </row>
    <row r="78" spans="1:49" ht="15">
      <c r="J78" s="398"/>
      <c r="K78" s="54"/>
      <c r="L78" s="398"/>
      <c r="M78" s="491"/>
      <c r="N78" s="82"/>
      <c r="O78" s="54"/>
      <c r="P78" s="54"/>
      <c r="Q78" s="54"/>
      <c r="R78" s="54"/>
      <c r="S78" s="54"/>
      <c r="T78" s="54"/>
      <c r="U78" s="54"/>
      <c r="V78" s="54"/>
      <c r="W78" s="54"/>
      <c r="X78" s="54"/>
      <c r="Y78" s="54"/>
      <c r="Z78" s="54"/>
      <c r="AA78" s="55"/>
      <c r="AB78" s="55"/>
      <c r="AC78" s="55"/>
      <c r="AD78" s="55"/>
      <c r="AE78" s="54"/>
      <c r="AF78" s="54"/>
      <c r="AG78" s="54"/>
      <c r="AH78" s="54"/>
      <c r="AI78" s="55"/>
      <c r="AJ78" s="54"/>
      <c r="AW78" s="18">
        <f t="shared" si="2"/>
        <v>0</v>
      </c>
    </row>
    <row r="79" spans="1:49" ht="15">
      <c r="J79" s="398"/>
      <c r="K79" s="54"/>
      <c r="L79" s="398"/>
      <c r="M79" s="491"/>
      <c r="N79" s="82"/>
      <c r="O79" s="54"/>
      <c r="P79" s="54"/>
      <c r="Q79" s="54"/>
      <c r="R79" s="54"/>
      <c r="S79" s="54"/>
      <c r="T79" s="54"/>
      <c r="U79" s="54"/>
      <c r="V79" s="54"/>
      <c r="W79" s="54"/>
      <c r="X79" s="54"/>
      <c r="Y79" s="54"/>
      <c r="Z79" s="54"/>
      <c r="AA79" s="55"/>
      <c r="AB79" s="55"/>
      <c r="AC79" s="55"/>
      <c r="AD79" s="55"/>
      <c r="AE79" s="54"/>
      <c r="AF79" s="54"/>
      <c r="AG79" s="54"/>
      <c r="AH79" s="54"/>
      <c r="AI79" s="55"/>
      <c r="AJ79" s="54"/>
      <c r="AW79" s="18">
        <f t="shared" si="2"/>
        <v>0</v>
      </c>
    </row>
    <row r="80" spans="1:49" ht="15">
      <c r="J80" s="398"/>
      <c r="K80" s="54"/>
      <c r="L80" s="398"/>
      <c r="M80" s="491"/>
      <c r="N80" s="82"/>
      <c r="O80" s="54"/>
      <c r="P80" s="54"/>
      <c r="Q80" s="54"/>
      <c r="R80" s="54"/>
      <c r="S80" s="54"/>
      <c r="T80" s="54"/>
      <c r="U80" s="54"/>
      <c r="V80" s="54"/>
      <c r="W80" s="54"/>
      <c r="X80" s="54"/>
      <c r="Y80" s="54"/>
      <c r="Z80" s="54"/>
      <c r="AA80" s="55"/>
      <c r="AB80" s="55"/>
      <c r="AC80" s="55"/>
      <c r="AD80" s="55"/>
      <c r="AE80" s="54"/>
      <c r="AF80" s="54"/>
      <c r="AG80" s="54"/>
      <c r="AH80" s="54"/>
      <c r="AI80" s="55"/>
      <c r="AJ80" s="54"/>
      <c r="AW80" s="18">
        <f t="shared" si="2"/>
        <v>0</v>
      </c>
    </row>
    <row r="81" spans="10:49" ht="15">
      <c r="J81" s="398"/>
      <c r="K81" s="54"/>
      <c r="L81" s="398"/>
      <c r="M81" s="491"/>
      <c r="N81" s="82"/>
      <c r="O81" s="54"/>
      <c r="P81" s="54"/>
      <c r="Q81" s="54"/>
      <c r="R81" s="54"/>
      <c r="S81" s="54"/>
      <c r="T81" s="54"/>
      <c r="U81" s="54"/>
      <c r="V81" s="54"/>
      <c r="W81" s="54"/>
      <c r="X81" s="54"/>
      <c r="Y81" s="54"/>
      <c r="Z81" s="54"/>
      <c r="AA81" s="55"/>
      <c r="AB81" s="55"/>
      <c r="AC81" s="55"/>
      <c r="AD81" s="55"/>
      <c r="AE81" s="54"/>
      <c r="AF81" s="54"/>
      <c r="AG81" s="54"/>
      <c r="AH81" s="54"/>
      <c r="AI81" s="55"/>
      <c r="AJ81" s="54"/>
      <c r="AW81" s="18">
        <f t="shared" si="2"/>
        <v>0</v>
      </c>
    </row>
    <row r="82" spans="10:49" ht="15">
      <c r="J82" s="314"/>
      <c r="K82" s="80"/>
      <c r="L82" s="314"/>
      <c r="M82" s="314"/>
      <c r="N82" s="221"/>
      <c r="O82" s="80"/>
      <c r="P82" s="80"/>
      <c r="Q82" s="80"/>
      <c r="R82" s="80"/>
      <c r="S82" s="80"/>
      <c r="T82" s="80"/>
      <c r="U82" s="80"/>
      <c r="V82" s="54"/>
      <c r="W82" s="54"/>
      <c r="X82" s="54"/>
      <c r="Y82" s="54"/>
      <c r="Z82" s="54"/>
      <c r="AA82" s="55"/>
      <c r="AB82" s="55"/>
      <c r="AC82" s="55"/>
      <c r="AD82" s="55"/>
      <c r="AE82" s="54"/>
      <c r="AF82" s="54"/>
      <c r="AG82" s="54"/>
      <c r="AH82" s="54"/>
      <c r="AI82" s="55"/>
      <c r="AJ82" s="54"/>
      <c r="AW82" s="18">
        <f t="shared" si="2"/>
        <v>0</v>
      </c>
    </row>
    <row r="83" spans="10:49" ht="15">
      <c r="J83" s="314"/>
      <c r="K83" s="80"/>
      <c r="L83" s="314"/>
      <c r="M83" s="314"/>
      <c r="N83" s="221"/>
      <c r="O83" s="80"/>
      <c r="P83" s="80"/>
      <c r="Q83" s="80"/>
      <c r="R83" s="80"/>
      <c r="S83" s="80"/>
      <c r="T83" s="80"/>
      <c r="U83" s="80"/>
      <c r="V83" s="54"/>
      <c r="W83" s="54"/>
      <c r="X83" s="54"/>
      <c r="Y83" s="54"/>
      <c r="Z83" s="54"/>
      <c r="AA83" s="55"/>
      <c r="AB83" s="55"/>
      <c r="AC83" s="55"/>
      <c r="AD83" s="55"/>
      <c r="AE83" s="54"/>
      <c r="AF83" s="54"/>
      <c r="AG83" s="54"/>
      <c r="AH83" s="54"/>
      <c r="AI83" s="55"/>
      <c r="AJ83" s="54"/>
      <c r="AW83" s="18">
        <f t="shared" si="2"/>
        <v>0</v>
      </c>
    </row>
    <row r="84" spans="10:49" ht="15">
      <c r="J84" s="314"/>
      <c r="K84" s="80"/>
      <c r="L84" s="314"/>
      <c r="M84" s="314"/>
      <c r="N84" s="221"/>
      <c r="O84" s="80"/>
      <c r="P84" s="80"/>
      <c r="Q84" s="80"/>
      <c r="R84" s="80"/>
      <c r="S84" s="80"/>
      <c r="T84" s="80"/>
      <c r="U84" s="80"/>
      <c r="V84" s="54"/>
      <c r="W84" s="54"/>
      <c r="X84" s="54"/>
      <c r="Y84" s="54"/>
      <c r="Z84" s="54"/>
      <c r="AA84" s="55"/>
      <c r="AB84" s="55"/>
      <c r="AC84" s="55"/>
      <c r="AD84" s="55"/>
      <c r="AE84" s="54"/>
      <c r="AF84" s="54"/>
      <c r="AG84" s="54"/>
      <c r="AH84" s="54"/>
      <c r="AI84" s="55"/>
      <c r="AJ84" s="54"/>
      <c r="AW84" s="18">
        <f t="shared" si="2"/>
        <v>0</v>
      </c>
    </row>
    <row r="85" spans="10:49" ht="15">
      <c r="J85" s="314"/>
      <c r="K85" s="80"/>
      <c r="L85" s="222"/>
      <c r="M85" s="222"/>
      <c r="N85" s="221"/>
      <c r="O85" s="80"/>
      <c r="P85" s="80"/>
      <c r="Q85" s="80"/>
      <c r="R85" s="80"/>
      <c r="S85" s="80"/>
      <c r="T85" s="80"/>
      <c r="U85" s="80"/>
      <c r="V85" s="54"/>
      <c r="W85" s="54"/>
      <c r="X85" s="54"/>
      <c r="Y85" s="54"/>
      <c r="Z85" s="54"/>
      <c r="AA85" s="55"/>
      <c r="AB85" s="55"/>
      <c r="AC85" s="55"/>
      <c r="AD85" s="55"/>
      <c r="AE85" s="54"/>
      <c r="AF85" s="54"/>
      <c r="AG85" s="54"/>
      <c r="AH85" s="54"/>
      <c r="AI85" s="55"/>
      <c r="AJ85" s="54"/>
      <c r="AW85" s="18">
        <f t="shared" si="2"/>
        <v>0</v>
      </c>
    </row>
    <row r="86" spans="10:49" ht="15">
      <c r="J86" s="314"/>
      <c r="K86" s="80"/>
      <c r="L86" s="222"/>
      <c r="M86" s="222"/>
      <c r="N86" s="221"/>
      <c r="O86" s="80"/>
      <c r="P86" s="80"/>
      <c r="Q86" s="80"/>
      <c r="R86" s="80"/>
      <c r="S86" s="80"/>
      <c r="T86" s="80"/>
      <c r="U86" s="80"/>
      <c r="V86" s="54"/>
      <c r="W86" s="54"/>
      <c r="X86" s="54"/>
      <c r="Y86" s="54"/>
      <c r="Z86" s="54"/>
      <c r="AA86" s="55"/>
      <c r="AB86" s="55"/>
      <c r="AC86" s="55"/>
      <c r="AD86" s="55"/>
      <c r="AE86" s="54"/>
      <c r="AF86" s="54"/>
      <c r="AG86" s="54"/>
      <c r="AH86" s="54"/>
      <c r="AI86" s="55"/>
      <c r="AJ86" s="54"/>
      <c r="AW86" s="18">
        <f t="shared" si="2"/>
        <v>0</v>
      </c>
    </row>
    <row r="87" spans="10:49" ht="15">
      <c r="J87" s="314"/>
      <c r="K87" s="80"/>
      <c r="L87" s="314"/>
      <c r="M87" s="314"/>
      <c r="N87" s="221"/>
      <c r="O87" s="80"/>
      <c r="P87" s="80"/>
      <c r="Q87" s="80"/>
      <c r="R87" s="80"/>
      <c r="S87" s="80"/>
      <c r="T87" s="80"/>
      <c r="U87" s="80"/>
      <c r="V87" s="54"/>
      <c r="W87" s="54"/>
      <c r="X87" s="54"/>
      <c r="Y87" s="54"/>
      <c r="Z87" s="54"/>
      <c r="AA87" s="55"/>
      <c r="AB87" s="55"/>
      <c r="AC87" s="55"/>
      <c r="AD87" s="55"/>
      <c r="AE87" s="54"/>
      <c r="AF87" s="54"/>
      <c r="AG87" s="54"/>
      <c r="AH87" s="54"/>
      <c r="AI87" s="55"/>
      <c r="AJ87" s="54"/>
      <c r="AW87" s="18">
        <f t="shared" si="2"/>
        <v>0</v>
      </c>
    </row>
    <row r="88" spans="10:49" ht="15">
      <c r="J88" s="314"/>
      <c r="K88" s="80"/>
      <c r="L88" s="314"/>
      <c r="M88" s="314"/>
      <c r="N88" s="221"/>
      <c r="O88" s="80"/>
      <c r="P88" s="80"/>
      <c r="Q88" s="80"/>
      <c r="R88" s="80"/>
      <c r="S88" s="80"/>
      <c r="T88" s="80"/>
      <c r="U88" s="80"/>
      <c r="V88" s="54"/>
      <c r="W88" s="54"/>
      <c r="X88" s="54"/>
      <c r="Y88" s="54"/>
      <c r="Z88" s="54"/>
      <c r="AA88" s="55"/>
      <c r="AB88" s="55"/>
      <c r="AC88" s="55"/>
      <c r="AD88" s="55"/>
      <c r="AE88" s="54"/>
      <c r="AF88" s="54"/>
      <c r="AG88" s="54"/>
      <c r="AH88" s="54"/>
      <c r="AI88" s="55"/>
      <c r="AJ88" s="54"/>
      <c r="AW88" s="18">
        <f t="shared" si="2"/>
        <v>0</v>
      </c>
    </row>
    <row r="89" spans="10:49" ht="15">
      <c r="J89" s="314"/>
      <c r="K89" s="80"/>
      <c r="L89" s="314"/>
      <c r="M89" s="314"/>
      <c r="N89" s="221"/>
      <c r="O89" s="80"/>
      <c r="P89" s="80"/>
      <c r="Q89" s="80"/>
      <c r="R89" s="80"/>
      <c r="S89" s="80"/>
      <c r="T89" s="80"/>
      <c r="U89" s="80"/>
      <c r="V89" s="54"/>
      <c r="W89" s="54"/>
      <c r="X89" s="54"/>
      <c r="Y89" s="54"/>
      <c r="Z89" s="54"/>
      <c r="AA89" s="55"/>
      <c r="AB89" s="55"/>
      <c r="AC89" s="55"/>
      <c r="AD89" s="55"/>
      <c r="AE89" s="54"/>
      <c r="AF89" s="54"/>
      <c r="AG89" s="54"/>
      <c r="AH89" s="54"/>
      <c r="AI89" s="55"/>
      <c r="AJ89" s="54"/>
      <c r="AW89" s="18">
        <f t="shared" si="2"/>
        <v>0</v>
      </c>
    </row>
    <row r="90" spans="10:49" ht="15">
      <c r="J90" s="314"/>
      <c r="K90" s="80"/>
      <c r="L90" s="314"/>
      <c r="M90" s="314"/>
      <c r="N90" s="221"/>
      <c r="O90" s="80"/>
      <c r="P90" s="80"/>
      <c r="Q90" s="80"/>
      <c r="R90" s="80"/>
      <c r="S90" s="80"/>
      <c r="T90" s="80"/>
      <c r="U90" s="80"/>
      <c r="V90" s="54"/>
      <c r="W90" s="54"/>
      <c r="X90" s="54"/>
      <c r="Y90" s="54"/>
      <c r="Z90" s="54"/>
      <c r="AA90" s="55"/>
      <c r="AB90" s="55"/>
      <c r="AC90" s="55"/>
      <c r="AD90" s="55"/>
      <c r="AE90" s="54"/>
      <c r="AF90" s="54"/>
      <c r="AG90" s="54"/>
      <c r="AH90" s="54"/>
      <c r="AI90" s="55"/>
      <c r="AJ90" s="54"/>
      <c r="AW90" s="18">
        <f t="shared" si="2"/>
        <v>0</v>
      </c>
    </row>
    <row r="91" spans="10:49" ht="15">
      <c r="J91" s="314"/>
      <c r="K91" s="80"/>
      <c r="L91" s="314"/>
      <c r="M91" s="314"/>
      <c r="N91" s="221"/>
      <c r="O91" s="80"/>
      <c r="P91" s="80"/>
      <c r="Q91" s="80"/>
      <c r="R91" s="80"/>
      <c r="S91" s="80"/>
      <c r="T91" s="80"/>
      <c r="U91" s="80"/>
      <c r="V91" s="54"/>
      <c r="W91" s="54"/>
      <c r="X91" s="54"/>
      <c r="Y91" s="54"/>
      <c r="Z91" s="54"/>
      <c r="AA91" s="55"/>
      <c r="AB91" s="55"/>
      <c r="AC91" s="55"/>
      <c r="AD91" s="55"/>
      <c r="AE91" s="54"/>
      <c r="AF91" s="54"/>
      <c r="AG91" s="54"/>
      <c r="AH91" s="54"/>
      <c r="AI91" s="55"/>
      <c r="AJ91" s="54"/>
      <c r="AW91" s="18">
        <f t="shared" si="2"/>
        <v>0</v>
      </c>
    </row>
    <row r="92" spans="10:49" ht="15">
      <c r="J92" s="314"/>
      <c r="K92" s="80"/>
      <c r="L92" s="314"/>
      <c r="M92" s="314"/>
      <c r="N92" s="221"/>
      <c r="O92" s="80"/>
      <c r="P92" s="80"/>
      <c r="Q92" s="80"/>
      <c r="R92" s="80"/>
      <c r="S92" s="80"/>
      <c r="T92" s="80"/>
      <c r="U92" s="80"/>
      <c r="V92" s="54"/>
      <c r="W92" s="54"/>
      <c r="X92" s="54"/>
      <c r="Y92" s="54"/>
      <c r="Z92" s="54"/>
      <c r="AA92" s="55"/>
      <c r="AB92" s="55"/>
      <c r="AC92" s="55"/>
      <c r="AD92" s="55"/>
      <c r="AE92" s="54"/>
      <c r="AF92" s="54"/>
      <c r="AG92" s="54"/>
      <c r="AH92" s="54"/>
      <c r="AI92" s="55"/>
      <c r="AJ92" s="54"/>
      <c r="AW92" s="18">
        <f t="shared" si="2"/>
        <v>0</v>
      </c>
    </row>
    <row r="93" spans="10:49" ht="15">
      <c r="J93" s="314"/>
      <c r="K93" s="80"/>
      <c r="L93" s="314"/>
      <c r="M93" s="314"/>
      <c r="N93" s="221"/>
      <c r="O93" s="80"/>
      <c r="P93" s="80"/>
      <c r="Q93" s="80"/>
      <c r="R93" s="80"/>
      <c r="S93" s="80"/>
      <c r="T93" s="80"/>
      <c r="U93" s="80"/>
      <c r="V93" s="54"/>
      <c r="W93" s="54"/>
      <c r="X93" s="54"/>
      <c r="Y93" s="54"/>
      <c r="Z93" s="54"/>
      <c r="AA93" s="55"/>
      <c r="AB93" s="55"/>
      <c r="AC93" s="55"/>
      <c r="AD93" s="55"/>
      <c r="AE93" s="54"/>
      <c r="AF93" s="54"/>
      <c r="AG93" s="54"/>
      <c r="AH93" s="54"/>
      <c r="AI93" s="55"/>
      <c r="AJ93" s="54"/>
      <c r="AW93" s="18">
        <f t="shared" si="2"/>
        <v>0</v>
      </c>
    </row>
    <row r="94" spans="10:49" ht="15">
      <c r="J94" s="314"/>
      <c r="K94" s="80"/>
      <c r="L94" s="314"/>
      <c r="M94" s="314"/>
      <c r="N94" s="221"/>
      <c r="O94" s="80"/>
      <c r="P94" s="80"/>
      <c r="Q94" s="80"/>
      <c r="R94" s="80"/>
      <c r="S94" s="80"/>
      <c r="T94" s="80"/>
      <c r="U94" s="80"/>
      <c r="V94" s="54"/>
      <c r="W94" s="54"/>
      <c r="X94" s="54"/>
      <c r="Y94" s="54"/>
      <c r="Z94" s="54"/>
      <c r="AA94" s="55"/>
      <c r="AB94" s="55"/>
      <c r="AC94" s="55"/>
      <c r="AD94" s="55"/>
      <c r="AE94" s="54"/>
      <c r="AF94" s="54"/>
      <c r="AG94" s="54"/>
      <c r="AH94" s="54"/>
      <c r="AI94" s="55"/>
      <c r="AJ94" s="54"/>
      <c r="AW94" s="18">
        <f t="shared" ref="AW94:AW157" si="13">LEN(L94)</f>
        <v>0</v>
      </c>
    </row>
    <row r="95" spans="10:49" ht="15">
      <c r="J95" s="314"/>
      <c r="K95" s="80"/>
      <c r="L95" s="314"/>
      <c r="M95" s="314"/>
      <c r="N95" s="221"/>
      <c r="O95" s="80"/>
      <c r="P95" s="80"/>
      <c r="Q95" s="80"/>
      <c r="R95" s="80"/>
      <c r="S95" s="80"/>
      <c r="T95" s="80"/>
      <c r="U95" s="80"/>
      <c r="V95" s="54"/>
      <c r="W95" s="54"/>
      <c r="X95" s="54"/>
      <c r="Y95" s="54"/>
      <c r="Z95" s="54"/>
      <c r="AA95" s="55"/>
      <c r="AB95" s="55"/>
      <c r="AC95" s="55"/>
      <c r="AD95" s="55"/>
      <c r="AE95" s="54"/>
      <c r="AF95" s="54"/>
      <c r="AG95" s="54"/>
      <c r="AH95" s="54"/>
      <c r="AI95" s="55"/>
      <c r="AJ95" s="54"/>
      <c r="AW95" s="18">
        <f t="shared" si="13"/>
        <v>0</v>
      </c>
    </row>
    <row r="96" spans="10:49" ht="15">
      <c r="J96" s="314"/>
      <c r="K96" s="80"/>
      <c r="L96" s="314"/>
      <c r="M96" s="314"/>
      <c r="N96" s="221"/>
      <c r="O96" s="80"/>
      <c r="P96" s="80"/>
      <c r="Q96" s="80"/>
      <c r="R96" s="80"/>
      <c r="S96" s="80"/>
      <c r="T96" s="80"/>
      <c r="U96" s="80"/>
      <c r="V96" s="54"/>
      <c r="W96" s="54"/>
      <c r="X96" s="54"/>
      <c r="Y96" s="54"/>
      <c r="Z96" s="54"/>
      <c r="AA96" s="55"/>
      <c r="AB96" s="55"/>
      <c r="AC96" s="55"/>
      <c r="AD96" s="55"/>
      <c r="AE96" s="54"/>
      <c r="AF96" s="54"/>
      <c r="AG96" s="54"/>
      <c r="AH96" s="54"/>
      <c r="AI96" s="55"/>
      <c r="AJ96" s="54"/>
      <c r="AW96" s="18">
        <f t="shared" si="13"/>
        <v>0</v>
      </c>
    </row>
    <row r="97" spans="10:49" ht="15">
      <c r="J97" s="314"/>
      <c r="K97" s="80"/>
      <c r="L97" s="314"/>
      <c r="M97" s="314"/>
      <c r="N97" s="221"/>
      <c r="O97" s="80"/>
      <c r="P97" s="80"/>
      <c r="Q97" s="80"/>
      <c r="R97" s="80"/>
      <c r="S97" s="80"/>
      <c r="T97" s="80"/>
      <c r="U97" s="80"/>
      <c r="V97" s="54"/>
      <c r="W97" s="54"/>
      <c r="X97" s="54"/>
      <c r="Y97" s="54"/>
      <c r="Z97" s="54"/>
      <c r="AA97" s="55"/>
      <c r="AB97" s="55"/>
      <c r="AC97" s="55"/>
      <c r="AD97" s="55"/>
      <c r="AE97" s="54"/>
      <c r="AF97" s="54"/>
      <c r="AG97" s="54"/>
      <c r="AH97" s="54"/>
      <c r="AI97" s="55"/>
      <c r="AJ97" s="54"/>
      <c r="AW97" s="18">
        <f t="shared" si="13"/>
        <v>0</v>
      </c>
    </row>
    <row r="98" spans="10:49" ht="15">
      <c r="J98" s="398"/>
      <c r="K98" s="54"/>
      <c r="L98" s="398"/>
      <c r="M98" s="491"/>
      <c r="N98" s="82"/>
      <c r="O98" s="54"/>
      <c r="P98" s="54"/>
      <c r="Q98" s="54"/>
      <c r="R98" s="54"/>
      <c r="S98" s="54"/>
      <c r="T98" s="54"/>
      <c r="U98" s="54"/>
      <c r="V98" s="54"/>
      <c r="W98" s="54"/>
      <c r="X98" s="54"/>
      <c r="Y98" s="54"/>
      <c r="Z98" s="54"/>
      <c r="AA98" s="55"/>
      <c r="AB98" s="55"/>
      <c r="AC98" s="55"/>
      <c r="AD98" s="55"/>
      <c r="AE98" s="54"/>
      <c r="AF98" s="54"/>
      <c r="AG98" s="54"/>
      <c r="AH98" s="54"/>
      <c r="AI98" s="55"/>
      <c r="AJ98" s="54"/>
      <c r="AW98" s="18">
        <f t="shared" si="13"/>
        <v>0</v>
      </c>
    </row>
    <row r="99" spans="10:49" ht="15">
      <c r="J99" s="398"/>
      <c r="K99" s="54"/>
      <c r="L99" s="398"/>
      <c r="M99" s="491"/>
      <c r="N99" s="82"/>
      <c r="O99" s="54"/>
      <c r="P99" s="54"/>
      <c r="Q99" s="54"/>
      <c r="R99" s="54"/>
      <c r="S99" s="54"/>
      <c r="T99" s="54"/>
      <c r="U99" s="54"/>
      <c r="V99" s="54"/>
      <c r="W99" s="54"/>
      <c r="X99" s="54"/>
      <c r="Y99" s="54"/>
      <c r="Z99" s="54"/>
      <c r="AA99" s="55"/>
      <c r="AB99" s="55"/>
      <c r="AC99" s="55"/>
      <c r="AD99" s="55"/>
      <c r="AE99" s="54"/>
      <c r="AF99" s="54"/>
      <c r="AG99" s="54"/>
      <c r="AH99" s="54"/>
      <c r="AI99" s="55"/>
      <c r="AJ99" s="54"/>
      <c r="AW99" s="18">
        <f t="shared" si="13"/>
        <v>0</v>
      </c>
    </row>
    <row r="100" spans="10:49" ht="15">
      <c r="J100" s="398"/>
      <c r="K100" s="54"/>
      <c r="L100" s="398"/>
      <c r="M100" s="491"/>
      <c r="N100" s="82"/>
      <c r="O100" s="54"/>
      <c r="P100" s="54"/>
      <c r="Q100" s="54"/>
      <c r="R100" s="54"/>
      <c r="S100" s="54"/>
      <c r="T100" s="54"/>
      <c r="U100" s="54"/>
      <c r="V100" s="54"/>
      <c r="W100" s="54"/>
      <c r="X100" s="54"/>
      <c r="Y100" s="54"/>
      <c r="Z100" s="54"/>
      <c r="AA100" s="55"/>
      <c r="AB100" s="55"/>
      <c r="AC100" s="55"/>
      <c r="AD100" s="55"/>
      <c r="AE100" s="54"/>
      <c r="AF100" s="54"/>
      <c r="AG100" s="54"/>
      <c r="AH100" s="54"/>
      <c r="AI100" s="55"/>
      <c r="AJ100" s="54"/>
      <c r="AW100" s="18">
        <f t="shared" si="13"/>
        <v>0</v>
      </c>
    </row>
    <row r="101" spans="10:49" ht="15">
      <c r="J101" s="398"/>
      <c r="K101" s="54"/>
      <c r="L101" s="398"/>
      <c r="M101" s="491"/>
      <c r="N101" s="82"/>
      <c r="O101" s="54"/>
      <c r="P101" s="54"/>
      <c r="Q101" s="54"/>
      <c r="R101" s="54"/>
      <c r="S101" s="54"/>
      <c r="T101" s="54"/>
      <c r="U101" s="54"/>
      <c r="V101" s="54"/>
      <c r="W101" s="54"/>
      <c r="X101" s="54"/>
      <c r="Y101" s="54"/>
      <c r="Z101" s="54"/>
      <c r="AA101" s="55"/>
      <c r="AB101" s="55"/>
      <c r="AC101" s="55"/>
      <c r="AD101" s="55"/>
      <c r="AE101" s="54"/>
      <c r="AF101" s="54"/>
      <c r="AG101" s="54"/>
      <c r="AH101" s="54"/>
      <c r="AI101" s="55"/>
      <c r="AJ101" s="54"/>
      <c r="AW101" s="18">
        <f t="shared" si="13"/>
        <v>0</v>
      </c>
    </row>
    <row r="102" spans="10:49" ht="15">
      <c r="J102" s="398"/>
      <c r="K102" s="54"/>
      <c r="L102" s="398"/>
      <c r="M102" s="491"/>
      <c r="N102" s="82"/>
      <c r="O102" s="54"/>
      <c r="P102" s="54"/>
      <c r="Q102" s="54"/>
      <c r="R102" s="54"/>
      <c r="S102" s="54"/>
      <c r="T102" s="54"/>
      <c r="U102" s="54"/>
      <c r="V102" s="54"/>
      <c r="W102" s="54"/>
      <c r="X102" s="54"/>
      <c r="Y102" s="54"/>
      <c r="Z102" s="54"/>
      <c r="AA102" s="55"/>
      <c r="AB102" s="55"/>
      <c r="AC102" s="55"/>
      <c r="AD102" s="55"/>
      <c r="AE102" s="54"/>
      <c r="AF102" s="54"/>
      <c r="AG102" s="54"/>
      <c r="AH102" s="54"/>
      <c r="AI102" s="55"/>
      <c r="AJ102" s="54"/>
      <c r="AW102" s="18">
        <f t="shared" si="13"/>
        <v>0</v>
      </c>
    </row>
    <row r="103" spans="10:49" ht="15">
      <c r="J103" s="398"/>
      <c r="K103" s="54"/>
      <c r="L103" s="398"/>
      <c r="M103" s="491"/>
      <c r="N103" s="82"/>
      <c r="O103" s="54"/>
      <c r="P103" s="54"/>
      <c r="Q103" s="54"/>
      <c r="R103" s="54"/>
      <c r="S103" s="54"/>
      <c r="T103" s="54"/>
      <c r="U103" s="54"/>
      <c r="V103" s="54"/>
      <c r="W103" s="54"/>
      <c r="X103" s="54"/>
      <c r="Y103" s="54"/>
      <c r="Z103" s="54"/>
      <c r="AA103" s="55"/>
      <c r="AB103" s="55"/>
      <c r="AC103" s="55"/>
      <c r="AD103" s="55"/>
      <c r="AE103" s="54"/>
      <c r="AF103" s="54"/>
      <c r="AG103" s="54"/>
      <c r="AH103" s="54"/>
      <c r="AI103" s="55"/>
      <c r="AJ103" s="54"/>
      <c r="AW103" s="18">
        <f t="shared" si="13"/>
        <v>0</v>
      </c>
    </row>
    <row r="104" spans="10:49" ht="15">
      <c r="J104" s="398"/>
      <c r="K104" s="54"/>
      <c r="L104" s="398"/>
      <c r="M104" s="491"/>
      <c r="N104" s="82"/>
      <c r="O104" s="54"/>
      <c r="P104" s="54"/>
      <c r="Q104" s="54"/>
      <c r="R104" s="54"/>
      <c r="S104" s="54"/>
      <c r="T104" s="54"/>
      <c r="U104" s="54"/>
      <c r="V104" s="54"/>
      <c r="W104" s="54"/>
      <c r="X104" s="54"/>
      <c r="Y104" s="54"/>
      <c r="Z104" s="54"/>
      <c r="AA104" s="55"/>
      <c r="AB104" s="55"/>
      <c r="AC104" s="55"/>
      <c r="AD104" s="55"/>
      <c r="AE104" s="54"/>
      <c r="AF104" s="54"/>
      <c r="AG104" s="54"/>
      <c r="AH104" s="54"/>
      <c r="AI104" s="55"/>
      <c r="AJ104" s="54"/>
      <c r="AW104" s="18">
        <f t="shared" si="13"/>
        <v>0</v>
      </c>
    </row>
    <row r="105" spans="10:49" ht="15">
      <c r="J105" s="398"/>
      <c r="K105" s="54"/>
      <c r="L105" s="398"/>
      <c r="M105" s="491"/>
      <c r="N105" s="82"/>
      <c r="O105" s="54"/>
      <c r="P105" s="54"/>
      <c r="Q105" s="54"/>
      <c r="R105" s="54"/>
      <c r="S105" s="54"/>
      <c r="T105" s="54"/>
      <c r="U105" s="54"/>
      <c r="V105" s="54"/>
      <c r="W105" s="54"/>
      <c r="X105" s="54"/>
      <c r="Y105" s="54"/>
      <c r="Z105" s="54"/>
      <c r="AA105" s="55"/>
      <c r="AB105" s="55"/>
      <c r="AC105" s="55"/>
      <c r="AD105" s="55"/>
      <c r="AE105" s="54"/>
      <c r="AF105" s="54"/>
      <c r="AG105" s="54"/>
      <c r="AH105" s="54"/>
      <c r="AI105" s="55"/>
      <c r="AJ105" s="54"/>
      <c r="AW105" s="18">
        <f t="shared" si="13"/>
        <v>0</v>
      </c>
    </row>
    <row r="106" spans="10:49" ht="15">
      <c r="J106" s="398"/>
      <c r="K106" s="54"/>
      <c r="L106" s="398"/>
      <c r="M106" s="491"/>
      <c r="N106" s="82"/>
      <c r="O106" s="54"/>
      <c r="P106" s="54"/>
      <c r="Q106" s="54"/>
      <c r="R106" s="54"/>
      <c r="S106" s="54"/>
      <c r="T106" s="54"/>
      <c r="U106" s="54"/>
      <c r="V106" s="54"/>
      <c r="W106" s="54"/>
      <c r="X106" s="54"/>
      <c r="Y106" s="54"/>
      <c r="Z106" s="54"/>
      <c r="AA106" s="55"/>
      <c r="AB106" s="55"/>
      <c r="AC106" s="55"/>
      <c r="AD106" s="55"/>
      <c r="AE106" s="54"/>
      <c r="AF106" s="54"/>
      <c r="AG106" s="54"/>
      <c r="AH106" s="54"/>
      <c r="AI106" s="55"/>
      <c r="AJ106" s="54"/>
      <c r="AW106" s="18">
        <f t="shared" si="13"/>
        <v>0</v>
      </c>
    </row>
    <row r="107" spans="10:49" ht="15">
      <c r="J107" s="398"/>
      <c r="K107" s="54"/>
      <c r="L107" s="398"/>
      <c r="M107" s="491"/>
      <c r="N107" s="82"/>
      <c r="O107" s="54"/>
      <c r="P107" s="54"/>
      <c r="Q107" s="54"/>
      <c r="R107" s="54"/>
      <c r="S107" s="54"/>
      <c r="T107" s="54"/>
      <c r="U107" s="54"/>
      <c r="V107" s="54"/>
      <c r="W107" s="54"/>
      <c r="X107" s="54"/>
      <c r="Y107" s="54"/>
      <c r="Z107" s="54"/>
      <c r="AA107" s="55"/>
      <c r="AB107" s="55"/>
      <c r="AC107" s="55"/>
      <c r="AD107" s="55"/>
      <c r="AE107" s="54"/>
      <c r="AF107" s="54"/>
      <c r="AG107" s="54"/>
      <c r="AH107" s="54"/>
      <c r="AI107" s="55"/>
      <c r="AJ107" s="54"/>
      <c r="AW107" s="18">
        <f t="shared" si="13"/>
        <v>0</v>
      </c>
    </row>
    <row r="108" spans="10:49" ht="15">
      <c r="J108" s="398"/>
      <c r="K108" s="54"/>
      <c r="L108" s="398"/>
      <c r="M108" s="491"/>
      <c r="N108" s="82"/>
      <c r="O108" s="54"/>
      <c r="P108" s="54"/>
      <c r="Q108" s="54"/>
      <c r="R108" s="54"/>
      <c r="S108" s="54"/>
      <c r="T108" s="54"/>
      <c r="U108" s="54"/>
      <c r="V108" s="54"/>
      <c r="W108" s="54"/>
      <c r="X108" s="54"/>
      <c r="Y108" s="54"/>
      <c r="Z108" s="54"/>
      <c r="AA108" s="55"/>
      <c r="AB108" s="55"/>
      <c r="AC108" s="55"/>
      <c r="AD108" s="55"/>
      <c r="AE108" s="54"/>
      <c r="AF108" s="54"/>
      <c r="AG108" s="54"/>
      <c r="AH108" s="54"/>
      <c r="AI108" s="55"/>
      <c r="AJ108" s="54"/>
      <c r="AW108" s="18">
        <f t="shared" si="13"/>
        <v>0</v>
      </c>
    </row>
    <row r="109" spans="10:49" ht="15">
      <c r="J109" s="398"/>
      <c r="K109" s="54"/>
      <c r="L109" s="56"/>
      <c r="M109" s="56"/>
      <c r="N109" s="82"/>
      <c r="O109" s="54"/>
      <c r="P109" s="54"/>
      <c r="Q109" s="54"/>
      <c r="R109" s="54"/>
      <c r="S109" s="54"/>
      <c r="T109" s="54"/>
      <c r="U109" s="54"/>
      <c r="V109" s="54"/>
      <c r="W109" s="54"/>
      <c r="X109" s="54"/>
      <c r="Y109" s="54"/>
      <c r="Z109" s="54"/>
      <c r="AA109" s="55"/>
      <c r="AB109" s="55"/>
      <c r="AC109" s="55"/>
      <c r="AD109" s="55"/>
      <c r="AE109" s="54"/>
      <c r="AF109" s="54"/>
      <c r="AG109" s="54"/>
      <c r="AH109" s="54"/>
      <c r="AI109" s="55"/>
      <c r="AJ109" s="54"/>
      <c r="AW109" s="18">
        <f t="shared" si="13"/>
        <v>0</v>
      </c>
    </row>
    <row r="110" spans="10:49" ht="15">
      <c r="J110" s="398"/>
      <c r="K110" s="54"/>
      <c r="L110" s="56"/>
      <c r="M110" s="56"/>
      <c r="N110" s="82"/>
      <c r="O110" s="54"/>
      <c r="P110" s="54"/>
      <c r="Q110" s="54"/>
      <c r="R110" s="54"/>
      <c r="S110" s="54"/>
      <c r="T110" s="54"/>
      <c r="U110" s="54"/>
      <c r="V110" s="54"/>
      <c r="W110" s="54"/>
      <c r="X110" s="54"/>
      <c r="Y110" s="54"/>
      <c r="Z110" s="54"/>
      <c r="AA110" s="55"/>
      <c r="AB110" s="55"/>
      <c r="AC110" s="55"/>
      <c r="AD110" s="55"/>
      <c r="AE110" s="54"/>
      <c r="AF110" s="54"/>
      <c r="AG110" s="54"/>
      <c r="AH110" s="54"/>
      <c r="AI110" s="55"/>
      <c r="AJ110" s="54"/>
      <c r="AW110" s="18">
        <f t="shared" si="13"/>
        <v>0</v>
      </c>
    </row>
    <row r="111" spans="10:49" ht="15">
      <c r="J111" s="398"/>
      <c r="K111" s="54"/>
      <c r="L111" s="398"/>
      <c r="M111" s="491"/>
      <c r="N111" s="82"/>
      <c r="O111" s="54"/>
      <c r="P111" s="54"/>
      <c r="Q111" s="54"/>
      <c r="R111" s="54"/>
      <c r="S111" s="54"/>
      <c r="T111" s="54"/>
      <c r="U111" s="54"/>
      <c r="V111" s="54"/>
      <c r="W111" s="54"/>
      <c r="X111" s="54"/>
      <c r="Y111" s="54"/>
      <c r="Z111" s="54"/>
      <c r="AA111" s="55"/>
      <c r="AB111" s="55"/>
      <c r="AC111" s="55"/>
      <c r="AD111" s="55"/>
      <c r="AE111" s="54"/>
      <c r="AF111" s="54"/>
      <c r="AG111" s="54"/>
      <c r="AH111" s="54"/>
      <c r="AI111" s="55"/>
      <c r="AJ111" s="54"/>
      <c r="AW111" s="18">
        <f t="shared" si="13"/>
        <v>0</v>
      </c>
    </row>
    <row r="112" spans="10:49" ht="15">
      <c r="J112" s="687"/>
      <c r="K112" s="54"/>
      <c r="L112" s="687"/>
      <c r="M112" s="491"/>
      <c r="N112" s="82"/>
      <c r="O112" s="54"/>
      <c r="P112" s="54"/>
      <c r="Q112" s="54"/>
      <c r="R112" s="54"/>
      <c r="S112" s="54"/>
      <c r="T112" s="54"/>
      <c r="U112" s="54"/>
      <c r="V112" s="54"/>
      <c r="W112" s="54"/>
      <c r="X112" s="54"/>
      <c r="Y112" s="54"/>
      <c r="Z112" s="54"/>
      <c r="AA112" s="54"/>
      <c r="AB112" s="54"/>
      <c r="AC112" s="54"/>
      <c r="AD112" s="54"/>
      <c r="AE112" s="54"/>
      <c r="AF112" s="54"/>
      <c r="AG112" s="54"/>
      <c r="AH112" s="54"/>
      <c r="AI112" s="54"/>
      <c r="AJ112" s="54"/>
      <c r="AW112" s="18">
        <f t="shared" si="13"/>
        <v>0</v>
      </c>
    </row>
    <row r="113" spans="10:49" ht="15">
      <c r="J113" s="687"/>
      <c r="K113" s="54"/>
      <c r="L113" s="687"/>
      <c r="M113" s="491"/>
      <c r="N113" s="82"/>
      <c r="O113" s="54"/>
      <c r="P113" s="54"/>
      <c r="Q113" s="54"/>
      <c r="R113" s="54"/>
      <c r="S113" s="54"/>
      <c r="T113" s="54"/>
      <c r="U113" s="54"/>
      <c r="V113" s="54"/>
      <c r="W113" s="54"/>
      <c r="X113" s="54"/>
      <c r="Y113" s="54"/>
      <c r="Z113" s="54"/>
      <c r="AA113" s="54"/>
      <c r="AB113" s="54"/>
      <c r="AC113" s="54"/>
      <c r="AD113" s="54"/>
      <c r="AE113" s="54"/>
      <c r="AF113" s="54"/>
      <c r="AG113" s="54"/>
      <c r="AH113" s="54"/>
      <c r="AI113" s="54"/>
      <c r="AJ113" s="54"/>
      <c r="AW113" s="18">
        <f t="shared" si="13"/>
        <v>0</v>
      </c>
    </row>
    <row r="114" spans="10:49" ht="15">
      <c r="J114" s="687"/>
      <c r="K114" s="54"/>
      <c r="L114" s="687"/>
      <c r="M114" s="491"/>
      <c r="N114" s="82"/>
      <c r="O114" s="54"/>
      <c r="P114" s="54"/>
      <c r="Q114" s="54"/>
      <c r="R114" s="54"/>
      <c r="S114" s="54"/>
      <c r="T114" s="54"/>
      <c r="U114" s="54"/>
      <c r="V114" s="54"/>
      <c r="W114" s="54"/>
      <c r="X114" s="54"/>
      <c r="Y114" s="54"/>
      <c r="Z114" s="54"/>
      <c r="AA114" s="54"/>
      <c r="AB114" s="54"/>
      <c r="AC114" s="54"/>
      <c r="AD114" s="54"/>
      <c r="AE114" s="54"/>
      <c r="AF114" s="54"/>
      <c r="AG114" s="54"/>
      <c r="AH114" s="54"/>
      <c r="AI114" s="54"/>
      <c r="AJ114" s="54"/>
      <c r="AW114" s="18">
        <f t="shared" si="13"/>
        <v>0</v>
      </c>
    </row>
    <row r="115" spans="10:49" ht="15">
      <c r="J115" s="687"/>
      <c r="K115" s="54"/>
      <c r="L115" s="687"/>
      <c r="M115" s="491"/>
      <c r="N115" s="82"/>
      <c r="O115" s="54"/>
      <c r="P115" s="54"/>
      <c r="Q115" s="54"/>
      <c r="R115" s="54"/>
      <c r="S115" s="54"/>
      <c r="T115" s="54"/>
      <c r="U115" s="54"/>
      <c r="V115" s="54"/>
      <c r="W115" s="54"/>
      <c r="X115" s="54"/>
      <c r="Y115" s="54"/>
      <c r="Z115" s="54"/>
      <c r="AA115" s="54"/>
      <c r="AB115" s="54"/>
      <c r="AC115" s="54"/>
      <c r="AD115" s="54"/>
      <c r="AE115" s="54"/>
      <c r="AF115" s="54"/>
      <c r="AG115" s="54"/>
      <c r="AH115" s="54"/>
      <c r="AI115" s="54"/>
      <c r="AJ115" s="54"/>
      <c r="AW115" s="18">
        <f t="shared" si="13"/>
        <v>0</v>
      </c>
    </row>
    <row r="116" spans="10:49" ht="15">
      <c r="J116" s="687"/>
      <c r="K116" s="54"/>
      <c r="L116" s="687"/>
      <c r="M116" s="491"/>
      <c r="N116" s="82"/>
      <c r="O116" s="54"/>
      <c r="P116" s="54"/>
      <c r="Q116" s="54"/>
      <c r="R116" s="54"/>
      <c r="S116" s="54"/>
      <c r="T116" s="54"/>
      <c r="U116" s="54"/>
      <c r="V116" s="54"/>
      <c r="W116" s="54"/>
      <c r="X116" s="54"/>
      <c r="Y116" s="54"/>
      <c r="Z116" s="54"/>
      <c r="AA116" s="54"/>
      <c r="AB116" s="54"/>
      <c r="AC116" s="54"/>
      <c r="AD116" s="54"/>
      <c r="AE116" s="54"/>
      <c r="AF116" s="54"/>
      <c r="AG116" s="54"/>
      <c r="AH116" s="54"/>
      <c r="AI116" s="54"/>
      <c r="AJ116" s="54"/>
      <c r="AW116" s="18">
        <f t="shared" si="13"/>
        <v>0</v>
      </c>
    </row>
    <row r="117" spans="10:49" ht="15">
      <c r="J117" s="687"/>
      <c r="K117" s="54"/>
      <c r="L117" s="687"/>
      <c r="M117" s="491"/>
      <c r="N117" s="82"/>
      <c r="O117" s="54"/>
      <c r="P117" s="54"/>
      <c r="Q117" s="54"/>
      <c r="R117" s="54"/>
      <c r="S117" s="54"/>
      <c r="T117" s="54"/>
      <c r="U117" s="54"/>
      <c r="V117" s="54"/>
      <c r="W117" s="54"/>
      <c r="X117" s="54"/>
      <c r="Y117" s="54"/>
      <c r="Z117" s="54"/>
      <c r="AA117" s="54"/>
      <c r="AB117" s="54"/>
      <c r="AC117" s="54"/>
      <c r="AD117" s="54"/>
      <c r="AE117" s="54"/>
      <c r="AF117" s="54"/>
      <c r="AG117" s="54"/>
      <c r="AH117" s="54"/>
      <c r="AI117" s="54"/>
      <c r="AJ117" s="54"/>
      <c r="AW117" s="18">
        <f t="shared" si="13"/>
        <v>0</v>
      </c>
    </row>
    <row r="118" spans="10:49" ht="15">
      <c r="J118" s="687"/>
      <c r="K118" s="54"/>
      <c r="L118" s="687"/>
      <c r="M118" s="491"/>
      <c r="N118" s="82"/>
      <c r="O118" s="54"/>
      <c r="P118" s="54"/>
      <c r="Q118" s="54"/>
      <c r="R118" s="54"/>
      <c r="S118" s="54"/>
      <c r="T118" s="54"/>
      <c r="U118" s="54"/>
      <c r="V118" s="54"/>
      <c r="W118" s="54"/>
      <c r="X118" s="54"/>
      <c r="Y118" s="54"/>
      <c r="Z118" s="54"/>
      <c r="AA118" s="54"/>
      <c r="AB118" s="54"/>
      <c r="AC118" s="54"/>
      <c r="AD118" s="54"/>
      <c r="AE118" s="54"/>
      <c r="AF118" s="54"/>
      <c r="AG118" s="54"/>
      <c r="AH118" s="54"/>
      <c r="AI118" s="54"/>
      <c r="AJ118" s="54"/>
      <c r="AW118" s="18">
        <f t="shared" si="13"/>
        <v>0</v>
      </c>
    </row>
    <row r="119" spans="10:49" ht="15">
      <c r="J119" s="687"/>
      <c r="K119" s="54"/>
      <c r="L119" s="687"/>
      <c r="M119" s="491"/>
      <c r="N119" s="82"/>
      <c r="O119" s="54"/>
      <c r="P119" s="54"/>
      <c r="Q119" s="54"/>
      <c r="R119" s="54"/>
      <c r="S119" s="54"/>
      <c r="T119" s="54"/>
      <c r="U119" s="54"/>
      <c r="V119" s="54"/>
      <c r="W119" s="54"/>
      <c r="X119" s="54"/>
      <c r="Y119" s="54"/>
      <c r="Z119" s="54"/>
      <c r="AA119" s="54"/>
      <c r="AB119" s="54"/>
      <c r="AC119" s="54"/>
      <c r="AD119" s="54"/>
      <c r="AE119" s="54"/>
      <c r="AF119" s="54"/>
      <c r="AG119" s="54"/>
      <c r="AH119" s="54"/>
      <c r="AI119" s="54"/>
      <c r="AJ119" s="54"/>
      <c r="AW119" s="18">
        <f t="shared" si="13"/>
        <v>0</v>
      </c>
    </row>
    <row r="120" spans="10:49" ht="15">
      <c r="J120" s="687"/>
      <c r="K120" s="54"/>
      <c r="L120" s="687"/>
      <c r="M120" s="491"/>
      <c r="N120" s="82"/>
      <c r="O120" s="54"/>
      <c r="P120" s="54"/>
      <c r="Q120" s="54"/>
      <c r="R120" s="54"/>
      <c r="S120" s="54"/>
      <c r="T120" s="54"/>
      <c r="U120" s="54"/>
      <c r="V120" s="54"/>
      <c r="W120" s="54"/>
      <c r="X120" s="54"/>
      <c r="Y120" s="54"/>
      <c r="Z120" s="54"/>
      <c r="AA120" s="54"/>
      <c r="AB120" s="54"/>
      <c r="AC120" s="54"/>
      <c r="AD120" s="54"/>
      <c r="AE120" s="54"/>
      <c r="AF120" s="54"/>
      <c r="AG120" s="54"/>
      <c r="AH120" s="54"/>
      <c r="AI120" s="54"/>
      <c r="AJ120" s="54"/>
      <c r="AW120" s="18">
        <f t="shared" si="13"/>
        <v>0</v>
      </c>
    </row>
    <row r="121" spans="10:49" ht="15">
      <c r="J121" s="687"/>
      <c r="K121" s="54"/>
      <c r="L121" s="687"/>
      <c r="M121" s="491"/>
      <c r="N121" s="82"/>
      <c r="O121" s="54"/>
      <c r="P121" s="54"/>
      <c r="Q121" s="54"/>
      <c r="R121" s="54"/>
      <c r="S121" s="54"/>
      <c r="T121" s="54"/>
      <c r="U121" s="54"/>
      <c r="V121" s="54"/>
      <c r="W121" s="54"/>
      <c r="X121" s="54"/>
      <c r="Y121" s="54"/>
      <c r="Z121" s="54"/>
      <c r="AA121" s="54"/>
      <c r="AB121" s="54"/>
      <c r="AC121" s="54"/>
      <c r="AD121" s="54"/>
      <c r="AE121" s="54"/>
      <c r="AF121" s="54"/>
      <c r="AG121" s="54"/>
      <c r="AH121" s="54"/>
      <c r="AI121" s="54"/>
      <c r="AJ121" s="54"/>
      <c r="AW121" s="18">
        <f t="shared" si="13"/>
        <v>0</v>
      </c>
    </row>
    <row r="122" spans="10:49" ht="15">
      <c r="J122" s="687"/>
      <c r="K122" s="54"/>
      <c r="L122" s="687"/>
      <c r="M122" s="491"/>
      <c r="N122" s="82"/>
      <c r="O122" s="54"/>
      <c r="P122" s="54"/>
      <c r="Q122" s="54"/>
      <c r="R122" s="54"/>
      <c r="S122" s="54"/>
      <c r="T122" s="54"/>
      <c r="U122" s="54"/>
      <c r="V122" s="54"/>
      <c r="W122" s="54"/>
      <c r="X122" s="54"/>
      <c r="Y122" s="54"/>
      <c r="Z122" s="54"/>
      <c r="AA122" s="54"/>
      <c r="AB122" s="54"/>
      <c r="AC122" s="54"/>
      <c r="AD122" s="54"/>
      <c r="AE122" s="54"/>
      <c r="AF122" s="54"/>
      <c r="AG122" s="54"/>
      <c r="AH122" s="54"/>
      <c r="AI122" s="54"/>
      <c r="AJ122" s="54"/>
      <c r="AW122" s="18">
        <f t="shared" si="13"/>
        <v>0</v>
      </c>
    </row>
    <row r="123" spans="10:49" ht="15">
      <c r="J123" s="687"/>
      <c r="K123" s="54"/>
      <c r="L123" s="687"/>
      <c r="M123" s="491"/>
      <c r="N123" s="82"/>
      <c r="O123" s="54"/>
      <c r="P123" s="54"/>
      <c r="Q123" s="54"/>
      <c r="R123" s="54"/>
      <c r="S123" s="54"/>
      <c r="T123" s="54"/>
      <c r="U123" s="54"/>
      <c r="V123" s="54"/>
      <c r="W123" s="54"/>
      <c r="X123" s="54"/>
      <c r="Y123" s="54"/>
      <c r="Z123" s="54"/>
      <c r="AA123" s="54"/>
      <c r="AB123" s="54"/>
      <c r="AC123" s="54"/>
      <c r="AD123" s="54"/>
      <c r="AE123" s="54"/>
      <c r="AF123" s="54"/>
      <c r="AG123" s="54"/>
      <c r="AH123" s="54"/>
      <c r="AI123" s="54"/>
      <c r="AJ123" s="54"/>
      <c r="AW123" s="18">
        <f t="shared" si="13"/>
        <v>0</v>
      </c>
    </row>
    <row r="124" spans="10:49" ht="15">
      <c r="J124" s="687"/>
      <c r="K124" s="54"/>
      <c r="L124" s="687"/>
      <c r="M124" s="491"/>
      <c r="N124" s="82"/>
      <c r="O124" s="54"/>
      <c r="P124" s="54"/>
      <c r="Q124" s="54"/>
      <c r="R124" s="54"/>
      <c r="S124" s="54"/>
      <c r="T124" s="54"/>
      <c r="U124" s="54"/>
      <c r="V124" s="54"/>
      <c r="W124" s="54"/>
      <c r="X124" s="54"/>
      <c r="Y124" s="54"/>
      <c r="Z124" s="54"/>
      <c r="AA124" s="54"/>
      <c r="AB124" s="54"/>
      <c r="AC124" s="54"/>
      <c r="AD124" s="54"/>
      <c r="AE124" s="54"/>
      <c r="AF124" s="54"/>
      <c r="AG124" s="54"/>
      <c r="AH124" s="54"/>
      <c r="AI124" s="54"/>
      <c r="AJ124" s="54"/>
      <c r="AW124" s="18">
        <f t="shared" si="13"/>
        <v>0</v>
      </c>
    </row>
    <row r="125" spans="10:49" ht="15">
      <c r="J125" s="687"/>
      <c r="K125" s="54"/>
      <c r="L125" s="687"/>
      <c r="M125" s="491"/>
      <c r="N125" s="82"/>
      <c r="O125" s="54"/>
      <c r="P125" s="54"/>
      <c r="Q125" s="54"/>
      <c r="R125" s="54"/>
      <c r="S125" s="54"/>
      <c r="T125" s="54"/>
      <c r="U125" s="54"/>
      <c r="V125" s="54"/>
      <c r="W125" s="54"/>
      <c r="X125" s="54"/>
      <c r="Y125" s="54"/>
      <c r="Z125" s="54"/>
      <c r="AA125" s="54"/>
      <c r="AB125" s="54"/>
      <c r="AC125" s="54"/>
      <c r="AD125" s="54"/>
      <c r="AE125" s="54"/>
      <c r="AF125" s="54"/>
      <c r="AG125" s="54"/>
      <c r="AH125" s="54"/>
      <c r="AI125" s="54"/>
      <c r="AJ125" s="54"/>
      <c r="AW125" s="18">
        <f t="shared" si="13"/>
        <v>0</v>
      </c>
    </row>
    <row r="126" spans="10:49" ht="15">
      <c r="J126" s="687"/>
      <c r="K126" s="54"/>
      <c r="L126" s="687"/>
      <c r="M126" s="491"/>
      <c r="N126" s="82"/>
      <c r="O126" s="54"/>
      <c r="P126" s="54"/>
      <c r="Q126" s="54"/>
      <c r="R126" s="54"/>
      <c r="S126" s="54"/>
      <c r="T126" s="54"/>
      <c r="U126" s="54"/>
      <c r="V126" s="54"/>
      <c r="W126" s="54"/>
      <c r="X126" s="54"/>
      <c r="Y126" s="54"/>
      <c r="Z126" s="54"/>
      <c r="AA126" s="54"/>
      <c r="AB126" s="54"/>
      <c r="AC126" s="54"/>
      <c r="AD126" s="54"/>
      <c r="AE126" s="54"/>
      <c r="AF126" s="54"/>
      <c r="AG126" s="54"/>
      <c r="AH126" s="54"/>
      <c r="AI126" s="54"/>
      <c r="AJ126" s="54"/>
      <c r="AW126" s="18">
        <f t="shared" si="13"/>
        <v>0</v>
      </c>
    </row>
    <row r="127" spans="10:49" ht="15">
      <c r="J127" s="687"/>
      <c r="K127" s="54"/>
      <c r="L127" s="687"/>
      <c r="M127" s="491"/>
      <c r="N127" s="82"/>
      <c r="O127" s="54"/>
      <c r="P127" s="54"/>
      <c r="Q127" s="54"/>
      <c r="R127" s="54"/>
      <c r="S127" s="54"/>
      <c r="T127" s="54"/>
      <c r="U127" s="54"/>
      <c r="V127" s="54"/>
      <c r="W127" s="54"/>
      <c r="X127" s="54"/>
      <c r="Y127" s="54"/>
      <c r="Z127" s="54"/>
      <c r="AA127" s="54"/>
      <c r="AB127" s="54"/>
      <c r="AC127" s="54"/>
      <c r="AD127" s="54"/>
      <c r="AE127" s="54"/>
      <c r="AF127" s="54"/>
      <c r="AG127" s="54"/>
      <c r="AH127" s="54"/>
      <c r="AI127" s="54"/>
      <c r="AJ127" s="54"/>
      <c r="AW127" s="18">
        <f t="shared" si="13"/>
        <v>0</v>
      </c>
    </row>
    <row r="128" spans="10:49" ht="15">
      <c r="J128" s="687"/>
      <c r="K128" s="54"/>
      <c r="L128" s="687"/>
      <c r="M128" s="491"/>
      <c r="N128" s="82"/>
      <c r="O128" s="54"/>
      <c r="P128" s="54"/>
      <c r="Q128" s="54"/>
      <c r="R128" s="54"/>
      <c r="S128" s="54"/>
      <c r="T128" s="54"/>
      <c r="U128" s="54"/>
      <c r="V128" s="54"/>
      <c r="W128" s="54"/>
      <c r="X128" s="54"/>
      <c r="Y128" s="54"/>
      <c r="Z128" s="54"/>
      <c r="AA128" s="54"/>
      <c r="AB128" s="54"/>
      <c r="AC128" s="54"/>
      <c r="AD128" s="54"/>
      <c r="AE128" s="54"/>
      <c r="AF128" s="54"/>
      <c r="AG128" s="54"/>
      <c r="AH128" s="54"/>
      <c r="AI128" s="54"/>
      <c r="AJ128" s="54"/>
      <c r="AW128" s="18">
        <f t="shared" si="13"/>
        <v>0</v>
      </c>
    </row>
    <row r="129" spans="10:49" ht="15">
      <c r="J129" s="687"/>
      <c r="K129" s="54"/>
      <c r="L129" s="687"/>
      <c r="M129" s="491"/>
      <c r="N129" s="82"/>
      <c r="O129" s="54"/>
      <c r="P129" s="54"/>
      <c r="Q129" s="54"/>
      <c r="R129" s="54"/>
      <c r="S129" s="54"/>
      <c r="T129" s="54"/>
      <c r="U129" s="54"/>
      <c r="V129" s="54"/>
      <c r="W129" s="54"/>
      <c r="X129" s="54"/>
      <c r="Y129" s="54"/>
      <c r="Z129" s="54"/>
      <c r="AA129" s="54"/>
      <c r="AB129" s="54"/>
      <c r="AC129" s="54"/>
      <c r="AD129" s="54"/>
      <c r="AE129" s="54"/>
      <c r="AF129" s="54"/>
      <c r="AG129" s="54"/>
      <c r="AH129" s="54"/>
      <c r="AI129" s="54"/>
      <c r="AJ129" s="54"/>
      <c r="AW129" s="18">
        <f t="shared" si="13"/>
        <v>0</v>
      </c>
    </row>
    <row r="130" spans="10:49" ht="15">
      <c r="J130" s="687"/>
      <c r="K130" s="54"/>
      <c r="L130" s="687"/>
      <c r="M130" s="491"/>
      <c r="N130" s="82"/>
      <c r="O130" s="54"/>
      <c r="P130" s="54"/>
      <c r="Q130" s="54"/>
      <c r="R130" s="54"/>
      <c r="S130" s="54"/>
      <c r="T130" s="54"/>
      <c r="U130" s="54"/>
      <c r="V130" s="54"/>
      <c r="W130" s="54"/>
      <c r="X130" s="54"/>
      <c r="Y130" s="54"/>
      <c r="Z130" s="54"/>
      <c r="AA130" s="54"/>
      <c r="AB130" s="54"/>
      <c r="AC130" s="54"/>
      <c r="AD130" s="54"/>
      <c r="AE130" s="54"/>
      <c r="AF130" s="54"/>
      <c r="AG130" s="54"/>
      <c r="AH130" s="54"/>
      <c r="AI130" s="54"/>
      <c r="AJ130" s="54"/>
      <c r="AW130" s="18">
        <f t="shared" si="13"/>
        <v>0</v>
      </c>
    </row>
    <row r="131" spans="10:49" ht="15">
      <c r="J131" s="687"/>
      <c r="K131" s="54"/>
      <c r="L131" s="687"/>
      <c r="M131" s="491"/>
      <c r="N131" s="82"/>
      <c r="O131" s="54"/>
      <c r="P131" s="54"/>
      <c r="Q131" s="54"/>
      <c r="R131" s="54"/>
      <c r="S131" s="54"/>
      <c r="T131" s="54"/>
      <c r="U131" s="54"/>
      <c r="V131" s="54"/>
      <c r="W131" s="54"/>
      <c r="X131" s="54"/>
      <c r="Y131" s="54"/>
      <c r="Z131" s="54"/>
      <c r="AA131" s="54"/>
      <c r="AB131" s="54"/>
      <c r="AC131" s="54"/>
      <c r="AD131" s="54"/>
      <c r="AE131" s="54"/>
      <c r="AF131" s="54"/>
      <c r="AG131" s="54"/>
      <c r="AH131" s="54"/>
      <c r="AI131" s="54"/>
      <c r="AJ131" s="54"/>
      <c r="AW131" s="18">
        <f t="shared" si="13"/>
        <v>0</v>
      </c>
    </row>
    <row r="132" spans="10:49" ht="15">
      <c r="J132" s="687"/>
      <c r="K132" s="54"/>
      <c r="L132" s="687"/>
      <c r="M132" s="491"/>
      <c r="N132" s="82"/>
      <c r="O132" s="54"/>
      <c r="P132" s="54"/>
      <c r="Q132" s="54"/>
      <c r="R132" s="54"/>
      <c r="S132" s="54"/>
      <c r="T132" s="54"/>
      <c r="U132" s="54"/>
      <c r="V132" s="54"/>
      <c r="W132" s="54"/>
      <c r="X132" s="54"/>
      <c r="Y132" s="54"/>
      <c r="Z132" s="54"/>
      <c r="AA132" s="54"/>
      <c r="AB132" s="54"/>
      <c r="AC132" s="54"/>
      <c r="AD132" s="54"/>
      <c r="AE132" s="54"/>
      <c r="AF132" s="54"/>
      <c r="AG132" s="54"/>
      <c r="AH132" s="54"/>
      <c r="AI132" s="54"/>
      <c r="AJ132" s="54"/>
      <c r="AW132" s="18">
        <f t="shared" si="13"/>
        <v>0</v>
      </c>
    </row>
    <row r="133" spans="10:49" ht="15">
      <c r="J133" s="687"/>
      <c r="K133" s="54"/>
      <c r="L133" s="687"/>
      <c r="M133" s="491"/>
      <c r="N133" s="82"/>
      <c r="O133" s="54"/>
      <c r="P133" s="54"/>
      <c r="Q133" s="54"/>
      <c r="R133" s="54"/>
      <c r="S133" s="54"/>
      <c r="T133" s="54"/>
      <c r="U133" s="54"/>
      <c r="V133" s="54"/>
      <c r="W133" s="54"/>
      <c r="X133" s="54"/>
      <c r="Y133" s="54"/>
      <c r="Z133" s="54"/>
      <c r="AA133" s="54"/>
      <c r="AB133" s="54"/>
      <c r="AC133" s="54"/>
      <c r="AD133" s="54"/>
      <c r="AE133" s="54"/>
      <c r="AF133" s="54"/>
      <c r="AG133" s="54"/>
      <c r="AH133" s="54"/>
      <c r="AI133" s="54"/>
      <c r="AJ133" s="54"/>
      <c r="AW133" s="18">
        <f t="shared" si="13"/>
        <v>0</v>
      </c>
    </row>
    <row r="134" spans="10:49" ht="15">
      <c r="J134" s="687"/>
      <c r="K134" s="54"/>
      <c r="L134" s="687"/>
      <c r="M134" s="491"/>
      <c r="N134" s="82"/>
      <c r="O134" s="54"/>
      <c r="P134" s="54"/>
      <c r="Q134" s="54"/>
      <c r="R134" s="54"/>
      <c r="S134" s="54"/>
      <c r="T134" s="54"/>
      <c r="U134" s="54"/>
      <c r="V134" s="54"/>
      <c r="W134" s="54"/>
      <c r="X134" s="54"/>
      <c r="Y134" s="54"/>
      <c r="Z134" s="54"/>
      <c r="AA134" s="54"/>
      <c r="AB134" s="54"/>
      <c r="AC134" s="54"/>
      <c r="AD134" s="54"/>
      <c r="AE134" s="54"/>
      <c r="AF134" s="54"/>
      <c r="AG134" s="54"/>
      <c r="AH134" s="54"/>
      <c r="AI134" s="54"/>
      <c r="AJ134" s="54"/>
      <c r="AW134" s="18">
        <f t="shared" si="13"/>
        <v>0</v>
      </c>
    </row>
    <row r="135" spans="10:49" ht="15">
      <c r="J135" s="687"/>
      <c r="K135" s="54"/>
      <c r="L135" s="687"/>
      <c r="M135" s="491"/>
      <c r="N135" s="82"/>
      <c r="O135" s="54"/>
      <c r="P135" s="54"/>
      <c r="Q135" s="54"/>
      <c r="R135" s="54"/>
      <c r="S135" s="54"/>
      <c r="T135" s="54"/>
      <c r="U135" s="54"/>
      <c r="V135" s="54"/>
      <c r="W135" s="54"/>
      <c r="X135" s="54"/>
      <c r="Y135" s="54"/>
      <c r="Z135" s="54"/>
      <c r="AA135" s="54"/>
      <c r="AB135" s="54"/>
      <c r="AC135" s="54"/>
      <c r="AD135" s="54"/>
      <c r="AE135" s="54"/>
      <c r="AF135" s="54"/>
      <c r="AG135" s="54"/>
      <c r="AH135" s="54"/>
      <c r="AI135" s="54"/>
      <c r="AJ135" s="54"/>
      <c r="AW135" s="18">
        <f t="shared" si="13"/>
        <v>0</v>
      </c>
    </row>
    <row r="136" spans="10:49" ht="15">
      <c r="J136" s="687"/>
      <c r="K136" s="54"/>
      <c r="L136" s="687"/>
      <c r="M136" s="491"/>
      <c r="N136" s="82"/>
      <c r="O136" s="54"/>
      <c r="P136" s="54"/>
      <c r="Q136" s="54"/>
      <c r="R136" s="54"/>
      <c r="S136" s="54"/>
      <c r="T136" s="54"/>
      <c r="U136" s="54"/>
      <c r="V136" s="54"/>
      <c r="W136" s="54"/>
      <c r="X136" s="54"/>
      <c r="Y136" s="54"/>
      <c r="Z136" s="54"/>
      <c r="AA136" s="54"/>
      <c r="AB136" s="54"/>
      <c r="AC136" s="54"/>
      <c r="AD136" s="54"/>
      <c r="AE136" s="54"/>
      <c r="AF136" s="54"/>
      <c r="AG136" s="54"/>
      <c r="AH136" s="54"/>
      <c r="AI136" s="54"/>
      <c r="AJ136" s="54"/>
      <c r="AW136" s="18">
        <f t="shared" si="13"/>
        <v>0</v>
      </c>
    </row>
    <row r="137" spans="10:49" ht="15">
      <c r="J137" s="687"/>
      <c r="K137" s="54"/>
      <c r="L137" s="687"/>
      <c r="M137" s="491"/>
      <c r="N137" s="82"/>
      <c r="O137" s="54"/>
      <c r="P137" s="54"/>
      <c r="Q137" s="54"/>
      <c r="R137" s="54"/>
      <c r="S137" s="54"/>
      <c r="T137" s="54"/>
      <c r="U137" s="54"/>
      <c r="V137" s="54"/>
      <c r="W137" s="54"/>
      <c r="X137" s="54"/>
      <c r="Y137" s="54"/>
      <c r="Z137" s="54"/>
      <c r="AA137" s="54"/>
      <c r="AB137" s="54"/>
      <c r="AC137" s="54"/>
      <c r="AD137" s="54"/>
      <c r="AE137" s="54"/>
      <c r="AF137" s="54"/>
      <c r="AG137" s="54"/>
      <c r="AH137" s="54"/>
      <c r="AI137" s="54"/>
      <c r="AJ137" s="54"/>
      <c r="AW137" s="18">
        <f t="shared" si="13"/>
        <v>0</v>
      </c>
    </row>
    <row r="138" spans="10:49" ht="15">
      <c r="J138" s="687"/>
      <c r="K138" s="54"/>
      <c r="L138" s="687"/>
      <c r="M138" s="491"/>
      <c r="N138" s="82"/>
      <c r="O138" s="54"/>
      <c r="P138" s="54"/>
      <c r="Q138" s="54"/>
      <c r="R138" s="54"/>
      <c r="S138" s="54"/>
      <c r="T138" s="54"/>
      <c r="U138" s="54"/>
      <c r="V138" s="54"/>
      <c r="W138" s="54"/>
      <c r="X138" s="54"/>
      <c r="Y138" s="54"/>
      <c r="Z138" s="54"/>
      <c r="AA138" s="54"/>
      <c r="AB138" s="54"/>
      <c r="AC138" s="54"/>
      <c r="AD138" s="54"/>
      <c r="AE138" s="54"/>
      <c r="AF138" s="54"/>
      <c r="AG138" s="54"/>
      <c r="AH138" s="54"/>
      <c r="AI138" s="54"/>
      <c r="AJ138" s="54"/>
      <c r="AW138" s="18">
        <f t="shared" si="13"/>
        <v>0</v>
      </c>
    </row>
    <row r="139" spans="10:49" ht="15">
      <c r="J139" s="687"/>
      <c r="K139" s="54"/>
      <c r="L139" s="687"/>
      <c r="M139" s="491"/>
      <c r="N139" s="82"/>
      <c r="O139" s="54"/>
      <c r="P139" s="54"/>
      <c r="Q139" s="54"/>
      <c r="R139" s="54"/>
      <c r="S139" s="54"/>
      <c r="T139" s="54"/>
      <c r="U139" s="54"/>
      <c r="V139" s="54"/>
      <c r="W139" s="54"/>
      <c r="X139" s="54"/>
      <c r="Y139" s="54"/>
      <c r="Z139" s="54"/>
      <c r="AA139" s="54"/>
      <c r="AB139" s="54"/>
      <c r="AC139" s="54"/>
      <c r="AD139" s="54"/>
      <c r="AE139" s="54"/>
      <c r="AF139" s="54"/>
      <c r="AG139" s="54"/>
      <c r="AH139" s="54"/>
      <c r="AI139" s="54"/>
      <c r="AJ139" s="54"/>
      <c r="AW139" s="18">
        <f t="shared" si="13"/>
        <v>0</v>
      </c>
    </row>
    <row r="140" spans="10:49" ht="15">
      <c r="J140" s="687"/>
      <c r="K140" s="54"/>
      <c r="L140" s="687"/>
      <c r="M140" s="491"/>
      <c r="N140" s="82"/>
      <c r="O140" s="54"/>
      <c r="P140" s="54"/>
      <c r="Q140" s="54"/>
      <c r="R140" s="54"/>
      <c r="S140" s="54"/>
      <c r="T140" s="54"/>
      <c r="U140" s="54"/>
      <c r="V140" s="54"/>
      <c r="W140" s="54"/>
      <c r="X140" s="54"/>
      <c r="Y140" s="54"/>
      <c r="Z140" s="54"/>
      <c r="AA140" s="54"/>
      <c r="AB140" s="54"/>
      <c r="AC140" s="54"/>
      <c r="AD140" s="54"/>
      <c r="AE140" s="54"/>
      <c r="AF140" s="54"/>
      <c r="AG140" s="54"/>
      <c r="AH140" s="54"/>
      <c r="AI140" s="54"/>
      <c r="AJ140" s="54"/>
      <c r="AW140" s="18">
        <f t="shared" si="13"/>
        <v>0</v>
      </c>
    </row>
    <row r="141" spans="10:49" ht="15">
      <c r="J141" s="687"/>
      <c r="K141" s="54"/>
      <c r="L141" s="687"/>
      <c r="M141" s="491"/>
      <c r="N141" s="82"/>
      <c r="O141" s="54"/>
      <c r="P141" s="54"/>
      <c r="Q141" s="54"/>
      <c r="R141" s="54"/>
      <c r="S141" s="54"/>
      <c r="T141" s="54"/>
      <c r="U141" s="54"/>
      <c r="V141" s="54"/>
      <c r="W141" s="54"/>
      <c r="X141" s="54"/>
      <c r="Y141" s="54"/>
      <c r="Z141" s="54"/>
      <c r="AA141" s="54"/>
      <c r="AB141" s="54"/>
      <c r="AC141" s="54"/>
      <c r="AD141" s="54"/>
      <c r="AE141" s="54"/>
      <c r="AF141" s="54"/>
      <c r="AG141" s="54"/>
      <c r="AH141" s="54"/>
      <c r="AI141" s="54"/>
      <c r="AJ141" s="54"/>
      <c r="AW141" s="18">
        <f t="shared" si="13"/>
        <v>0</v>
      </c>
    </row>
    <row r="142" spans="10:49" ht="15">
      <c r="J142" s="687"/>
      <c r="K142" s="54"/>
      <c r="L142" s="687"/>
      <c r="M142" s="491"/>
      <c r="N142" s="82"/>
      <c r="O142" s="54"/>
      <c r="P142" s="54"/>
      <c r="Q142" s="54"/>
      <c r="R142" s="54"/>
      <c r="S142" s="54"/>
      <c r="T142" s="54"/>
      <c r="U142" s="54"/>
      <c r="V142" s="54"/>
      <c r="W142" s="54"/>
      <c r="X142" s="54"/>
      <c r="Y142" s="54"/>
      <c r="Z142" s="54"/>
      <c r="AA142" s="54"/>
      <c r="AB142" s="54"/>
      <c r="AC142" s="54"/>
      <c r="AD142" s="54"/>
      <c r="AE142" s="54"/>
      <c r="AF142" s="54"/>
      <c r="AG142" s="54"/>
      <c r="AH142" s="54"/>
      <c r="AI142" s="54"/>
      <c r="AJ142" s="54"/>
      <c r="AW142" s="18">
        <f t="shared" si="13"/>
        <v>0</v>
      </c>
    </row>
    <row r="143" spans="10:49" ht="15">
      <c r="J143" s="687"/>
      <c r="K143" s="54"/>
      <c r="L143" s="687"/>
      <c r="M143" s="491"/>
      <c r="N143" s="82"/>
      <c r="O143" s="54"/>
      <c r="P143" s="54"/>
      <c r="Q143" s="54"/>
      <c r="R143" s="54"/>
      <c r="S143" s="54"/>
      <c r="T143" s="54"/>
      <c r="U143" s="54"/>
      <c r="V143" s="54"/>
      <c r="W143" s="54"/>
      <c r="X143" s="54"/>
      <c r="Y143" s="54"/>
      <c r="Z143" s="54"/>
      <c r="AA143" s="54"/>
      <c r="AB143" s="54"/>
      <c r="AC143" s="54"/>
      <c r="AD143" s="54"/>
      <c r="AE143" s="54"/>
      <c r="AF143" s="54"/>
      <c r="AG143" s="54"/>
      <c r="AH143" s="54"/>
      <c r="AI143" s="54"/>
      <c r="AJ143" s="54"/>
      <c r="AW143" s="18">
        <f t="shared" si="13"/>
        <v>0</v>
      </c>
    </row>
    <row r="144" spans="10:49" ht="15">
      <c r="J144" s="687"/>
      <c r="K144" s="54"/>
      <c r="L144" s="687"/>
      <c r="M144" s="491"/>
      <c r="N144" s="82"/>
      <c r="O144" s="54"/>
      <c r="P144" s="54"/>
      <c r="Q144" s="54"/>
      <c r="R144" s="54"/>
      <c r="S144" s="54"/>
      <c r="T144" s="54"/>
      <c r="U144" s="54"/>
      <c r="V144" s="54"/>
      <c r="W144" s="54"/>
      <c r="X144" s="54"/>
      <c r="Y144" s="54"/>
      <c r="Z144" s="54"/>
      <c r="AA144" s="54"/>
      <c r="AB144" s="54"/>
      <c r="AC144" s="54"/>
      <c r="AD144" s="54"/>
      <c r="AE144" s="54"/>
      <c r="AF144" s="54"/>
      <c r="AG144" s="54"/>
      <c r="AH144" s="54"/>
      <c r="AI144" s="54"/>
      <c r="AJ144" s="54"/>
      <c r="AW144" s="18">
        <f t="shared" si="13"/>
        <v>0</v>
      </c>
    </row>
    <row r="145" spans="10:49" ht="15">
      <c r="J145" s="687"/>
      <c r="K145" s="54"/>
      <c r="L145" s="687"/>
      <c r="M145" s="491"/>
      <c r="N145" s="82"/>
      <c r="O145" s="54"/>
      <c r="P145" s="54"/>
      <c r="Q145" s="54"/>
      <c r="R145" s="54"/>
      <c r="S145" s="54"/>
      <c r="T145" s="54"/>
      <c r="U145" s="54"/>
      <c r="V145" s="54"/>
      <c r="W145" s="54"/>
      <c r="X145" s="54"/>
      <c r="Y145" s="54"/>
      <c r="Z145" s="54"/>
      <c r="AA145" s="54"/>
      <c r="AB145" s="54"/>
      <c r="AC145" s="54"/>
      <c r="AD145" s="54"/>
      <c r="AE145" s="54"/>
      <c r="AF145" s="54"/>
      <c r="AG145" s="54"/>
      <c r="AH145" s="54"/>
      <c r="AI145" s="54"/>
      <c r="AJ145" s="54"/>
      <c r="AW145" s="18">
        <f t="shared" si="13"/>
        <v>0</v>
      </c>
    </row>
    <row r="146" spans="10:49" ht="15">
      <c r="J146" s="687"/>
      <c r="K146" s="54"/>
      <c r="L146" s="687"/>
      <c r="M146" s="491"/>
      <c r="N146" s="82"/>
      <c r="O146" s="54"/>
      <c r="P146" s="54"/>
      <c r="Q146" s="54"/>
      <c r="R146" s="54"/>
      <c r="S146" s="54"/>
      <c r="T146" s="54"/>
      <c r="U146" s="54"/>
      <c r="V146" s="54"/>
      <c r="W146" s="54"/>
      <c r="X146" s="54"/>
      <c r="Y146" s="54"/>
      <c r="Z146" s="54"/>
      <c r="AA146" s="54"/>
      <c r="AB146" s="54"/>
      <c r="AC146" s="54"/>
      <c r="AD146" s="54"/>
      <c r="AE146" s="54"/>
      <c r="AF146" s="54"/>
      <c r="AG146" s="54"/>
      <c r="AH146" s="54"/>
      <c r="AI146" s="54"/>
      <c r="AJ146" s="54"/>
      <c r="AW146" s="18">
        <f t="shared" si="13"/>
        <v>0</v>
      </c>
    </row>
    <row r="147" spans="10:49" ht="15">
      <c r="J147" s="687"/>
      <c r="K147" s="54"/>
      <c r="L147" s="687"/>
      <c r="M147" s="491"/>
      <c r="N147" s="82"/>
      <c r="O147" s="54"/>
      <c r="P147" s="54"/>
      <c r="Q147" s="54"/>
      <c r="R147" s="54"/>
      <c r="S147" s="54"/>
      <c r="T147" s="54"/>
      <c r="U147" s="54"/>
      <c r="V147" s="54"/>
      <c r="W147" s="54"/>
      <c r="X147" s="54"/>
      <c r="Y147" s="54"/>
      <c r="Z147" s="54"/>
      <c r="AA147" s="54"/>
      <c r="AB147" s="54"/>
      <c r="AC147" s="54"/>
      <c r="AD147" s="54"/>
      <c r="AE147" s="54"/>
      <c r="AF147" s="54"/>
      <c r="AG147" s="54"/>
      <c r="AH147" s="54"/>
      <c r="AI147" s="54"/>
      <c r="AJ147" s="54"/>
      <c r="AW147" s="18">
        <f t="shared" si="13"/>
        <v>0</v>
      </c>
    </row>
    <row r="148" spans="10:49" ht="15">
      <c r="J148" s="687"/>
      <c r="K148" s="54"/>
      <c r="L148" s="687"/>
      <c r="M148" s="491"/>
      <c r="N148" s="82"/>
      <c r="O148" s="54"/>
      <c r="P148" s="54"/>
      <c r="Q148" s="54"/>
      <c r="R148" s="54"/>
      <c r="S148" s="54"/>
      <c r="T148" s="54"/>
      <c r="U148" s="54"/>
      <c r="V148" s="54"/>
      <c r="W148" s="54"/>
      <c r="X148" s="54"/>
      <c r="Y148" s="54"/>
      <c r="Z148" s="54"/>
      <c r="AA148" s="54"/>
      <c r="AB148" s="54"/>
      <c r="AC148" s="54"/>
      <c r="AD148" s="54"/>
      <c r="AE148" s="54"/>
      <c r="AF148" s="54"/>
      <c r="AG148" s="54"/>
      <c r="AH148" s="54"/>
      <c r="AI148" s="54"/>
      <c r="AJ148" s="54"/>
      <c r="AW148" s="18">
        <f t="shared" si="13"/>
        <v>0</v>
      </c>
    </row>
    <row r="149" spans="10:49" ht="15">
      <c r="J149" s="687"/>
      <c r="K149" s="54"/>
      <c r="L149" s="687"/>
      <c r="M149" s="491"/>
      <c r="N149" s="82"/>
      <c r="O149" s="54"/>
      <c r="P149" s="54"/>
      <c r="Q149" s="54"/>
      <c r="R149" s="54"/>
      <c r="S149" s="54"/>
      <c r="T149" s="54"/>
      <c r="U149" s="54"/>
      <c r="V149" s="54"/>
      <c r="W149" s="54"/>
      <c r="X149" s="54"/>
      <c r="Y149" s="54"/>
      <c r="Z149" s="54"/>
      <c r="AA149" s="54"/>
      <c r="AB149" s="54"/>
      <c r="AC149" s="54"/>
      <c r="AD149" s="54"/>
      <c r="AE149" s="54"/>
      <c r="AF149" s="54"/>
      <c r="AG149" s="54"/>
      <c r="AH149" s="54"/>
      <c r="AI149" s="54"/>
      <c r="AJ149" s="54"/>
      <c r="AW149" s="18">
        <f t="shared" si="13"/>
        <v>0</v>
      </c>
    </row>
    <row r="150" spans="10:49" ht="15">
      <c r="J150" s="687"/>
      <c r="K150" s="54"/>
      <c r="L150" s="687"/>
      <c r="M150" s="491"/>
      <c r="N150" s="82"/>
      <c r="O150" s="54"/>
      <c r="P150" s="54"/>
      <c r="Q150" s="54"/>
      <c r="R150" s="54"/>
      <c r="S150" s="54"/>
      <c r="T150" s="54"/>
      <c r="U150" s="54"/>
      <c r="V150" s="54"/>
      <c r="W150" s="54"/>
      <c r="X150" s="54"/>
      <c r="Y150" s="54"/>
      <c r="Z150" s="54"/>
      <c r="AA150" s="54"/>
      <c r="AB150" s="54"/>
      <c r="AC150" s="54"/>
      <c r="AD150" s="54"/>
      <c r="AE150" s="54"/>
      <c r="AF150" s="54"/>
      <c r="AG150" s="54"/>
      <c r="AH150" s="54"/>
      <c r="AI150" s="54"/>
      <c r="AJ150" s="54"/>
      <c r="AW150" s="18">
        <f t="shared" si="13"/>
        <v>0</v>
      </c>
    </row>
    <row r="151" spans="10:49" ht="15">
      <c r="J151" s="687"/>
      <c r="K151" s="54"/>
      <c r="L151" s="687"/>
      <c r="M151" s="491"/>
      <c r="N151" s="82"/>
      <c r="O151" s="54"/>
      <c r="P151" s="54"/>
      <c r="Q151" s="54"/>
      <c r="R151" s="54"/>
      <c r="S151" s="54"/>
      <c r="T151" s="54"/>
      <c r="U151" s="54"/>
      <c r="V151" s="54"/>
      <c r="W151" s="54"/>
      <c r="X151" s="54"/>
      <c r="Y151" s="54"/>
      <c r="Z151" s="54"/>
      <c r="AA151" s="54"/>
      <c r="AB151" s="54"/>
      <c r="AC151" s="54"/>
      <c r="AD151" s="54"/>
      <c r="AE151" s="54"/>
      <c r="AF151" s="54"/>
      <c r="AG151" s="54"/>
      <c r="AH151" s="54"/>
      <c r="AI151" s="54"/>
      <c r="AJ151" s="54"/>
      <c r="AW151" s="18">
        <f t="shared" si="13"/>
        <v>0</v>
      </c>
    </row>
    <row r="152" spans="10:49" ht="15">
      <c r="J152" s="687"/>
      <c r="K152" s="54"/>
      <c r="L152" s="687"/>
      <c r="M152" s="491"/>
      <c r="N152" s="82"/>
      <c r="O152" s="54"/>
      <c r="P152" s="54"/>
      <c r="Q152" s="54"/>
      <c r="R152" s="54"/>
      <c r="S152" s="54"/>
      <c r="T152" s="54"/>
      <c r="U152" s="54"/>
      <c r="V152" s="54"/>
      <c r="W152" s="54"/>
      <c r="X152" s="54"/>
      <c r="Y152" s="54"/>
      <c r="Z152" s="54"/>
      <c r="AA152" s="54"/>
      <c r="AB152" s="54"/>
      <c r="AC152" s="54"/>
      <c r="AD152" s="54"/>
      <c r="AE152" s="54"/>
      <c r="AF152" s="54"/>
      <c r="AG152" s="54"/>
      <c r="AH152" s="54"/>
      <c r="AI152" s="54"/>
      <c r="AJ152" s="54"/>
      <c r="AW152" s="18">
        <f t="shared" si="13"/>
        <v>0</v>
      </c>
    </row>
    <row r="153" spans="10:49" ht="15">
      <c r="J153" s="687"/>
      <c r="K153" s="54"/>
      <c r="L153" s="687"/>
      <c r="M153" s="491"/>
      <c r="N153" s="82"/>
      <c r="O153" s="54"/>
      <c r="P153" s="54"/>
      <c r="Q153" s="54"/>
      <c r="R153" s="54"/>
      <c r="S153" s="54"/>
      <c r="T153" s="54"/>
      <c r="U153" s="54"/>
      <c r="V153" s="54"/>
      <c r="W153" s="54"/>
      <c r="X153" s="54"/>
      <c r="Y153" s="54"/>
      <c r="Z153" s="54"/>
      <c r="AA153" s="54"/>
      <c r="AB153" s="54"/>
      <c r="AC153" s="54"/>
      <c r="AD153" s="54"/>
      <c r="AE153" s="54"/>
      <c r="AF153" s="54"/>
      <c r="AG153" s="54"/>
      <c r="AH153" s="54"/>
      <c r="AI153" s="54"/>
      <c r="AJ153" s="54"/>
      <c r="AW153" s="18">
        <f t="shared" si="13"/>
        <v>0</v>
      </c>
    </row>
    <row r="154" spans="10:49" ht="15">
      <c r="J154" s="687"/>
      <c r="K154" s="54"/>
      <c r="L154" s="687"/>
      <c r="M154" s="491"/>
      <c r="N154" s="82"/>
      <c r="O154" s="54"/>
      <c r="P154" s="54"/>
      <c r="Q154" s="54"/>
      <c r="R154" s="54"/>
      <c r="S154" s="54"/>
      <c r="T154" s="54"/>
      <c r="U154" s="54"/>
      <c r="V154" s="54"/>
      <c r="W154" s="54"/>
      <c r="X154" s="54"/>
      <c r="Y154" s="54"/>
      <c r="Z154" s="54"/>
      <c r="AA154" s="54"/>
      <c r="AB154" s="54"/>
      <c r="AC154" s="54"/>
      <c r="AD154" s="54"/>
      <c r="AE154" s="54"/>
      <c r="AF154" s="54"/>
      <c r="AG154" s="54"/>
      <c r="AH154" s="54"/>
      <c r="AI154" s="54"/>
      <c r="AJ154" s="54"/>
      <c r="AW154" s="18">
        <f t="shared" si="13"/>
        <v>0</v>
      </c>
    </row>
    <row r="155" spans="10:49" ht="15">
      <c r="J155" s="687"/>
      <c r="K155" s="54"/>
      <c r="L155" s="687"/>
      <c r="M155" s="491"/>
      <c r="N155" s="82"/>
      <c r="O155" s="54"/>
      <c r="P155" s="54"/>
      <c r="Q155" s="54"/>
      <c r="R155" s="54"/>
      <c r="S155" s="54"/>
      <c r="T155" s="54"/>
      <c r="U155" s="54"/>
      <c r="V155" s="54"/>
      <c r="W155" s="54"/>
      <c r="X155" s="54"/>
      <c r="Y155" s="54"/>
      <c r="Z155" s="54"/>
      <c r="AA155" s="54"/>
      <c r="AB155" s="54"/>
      <c r="AC155" s="54"/>
      <c r="AD155" s="54"/>
      <c r="AE155" s="54"/>
      <c r="AF155" s="54"/>
      <c r="AG155" s="54"/>
      <c r="AH155" s="54"/>
      <c r="AI155" s="54"/>
      <c r="AJ155" s="54"/>
      <c r="AW155" s="18">
        <f t="shared" si="13"/>
        <v>0</v>
      </c>
    </row>
    <row r="156" spans="10:49" ht="15">
      <c r="J156" s="687"/>
      <c r="K156" s="54"/>
      <c r="L156" s="687"/>
      <c r="M156" s="491"/>
      <c r="N156" s="82"/>
      <c r="O156" s="54"/>
      <c r="P156" s="54"/>
      <c r="Q156" s="54"/>
      <c r="R156" s="54"/>
      <c r="S156" s="54"/>
      <c r="T156" s="54"/>
      <c r="U156" s="54"/>
      <c r="V156" s="54"/>
      <c r="W156" s="54"/>
      <c r="X156" s="54"/>
      <c r="Y156" s="54"/>
      <c r="Z156" s="54"/>
      <c r="AA156" s="54"/>
      <c r="AB156" s="54"/>
      <c r="AC156" s="54"/>
      <c r="AD156" s="54"/>
      <c r="AE156" s="54"/>
      <c r="AF156" s="54"/>
      <c r="AG156" s="54"/>
      <c r="AH156" s="54"/>
      <c r="AI156" s="54"/>
      <c r="AJ156" s="54"/>
      <c r="AW156" s="18">
        <f t="shared" si="13"/>
        <v>0</v>
      </c>
    </row>
    <row r="157" spans="10:49" ht="15">
      <c r="J157" s="687"/>
      <c r="K157" s="54"/>
      <c r="L157" s="687"/>
      <c r="M157" s="491"/>
      <c r="N157" s="82"/>
      <c r="O157" s="54"/>
      <c r="P157" s="54"/>
      <c r="Q157" s="54"/>
      <c r="R157" s="54"/>
      <c r="S157" s="54"/>
      <c r="T157" s="54"/>
      <c r="U157" s="54"/>
      <c r="V157" s="54"/>
      <c r="W157" s="54"/>
      <c r="X157" s="54"/>
      <c r="Y157" s="54"/>
      <c r="Z157" s="54"/>
      <c r="AA157" s="54"/>
      <c r="AB157" s="54"/>
      <c r="AC157" s="54"/>
      <c r="AD157" s="54"/>
      <c r="AE157" s="54"/>
      <c r="AF157" s="54"/>
      <c r="AG157" s="54"/>
      <c r="AH157" s="54"/>
      <c r="AI157" s="54"/>
      <c r="AJ157" s="54"/>
      <c r="AW157" s="18">
        <f t="shared" si="13"/>
        <v>0</v>
      </c>
    </row>
    <row r="158" spans="10:49" ht="15">
      <c r="J158" s="687"/>
      <c r="K158" s="54"/>
      <c r="L158" s="687"/>
      <c r="M158" s="491"/>
      <c r="N158" s="82"/>
      <c r="O158" s="54"/>
      <c r="P158" s="54"/>
      <c r="Q158" s="54"/>
      <c r="R158" s="54"/>
      <c r="S158" s="54"/>
      <c r="T158" s="54"/>
      <c r="U158" s="54"/>
      <c r="V158" s="54"/>
      <c r="W158" s="54"/>
      <c r="X158" s="54"/>
      <c r="Y158" s="54"/>
      <c r="Z158" s="54"/>
      <c r="AA158" s="54"/>
      <c r="AB158" s="54"/>
      <c r="AC158" s="54"/>
      <c r="AD158" s="54"/>
      <c r="AE158" s="54"/>
      <c r="AF158" s="54"/>
      <c r="AG158" s="54"/>
      <c r="AH158" s="54"/>
      <c r="AI158" s="54"/>
      <c r="AJ158" s="54"/>
      <c r="AW158" s="18">
        <f t="shared" ref="AW158:AW221" si="14">LEN(L158)</f>
        <v>0</v>
      </c>
    </row>
    <row r="159" spans="10:49" ht="15">
      <c r="J159" s="687"/>
      <c r="K159" s="54"/>
      <c r="L159" s="687"/>
      <c r="M159" s="491"/>
      <c r="N159" s="82"/>
      <c r="O159" s="54"/>
      <c r="P159" s="54"/>
      <c r="Q159" s="54"/>
      <c r="R159" s="54"/>
      <c r="S159" s="54"/>
      <c r="T159" s="54"/>
      <c r="U159" s="54"/>
      <c r="V159" s="54"/>
      <c r="W159" s="54"/>
      <c r="X159" s="54"/>
      <c r="Y159" s="54"/>
      <c r="Z159" s="54"/>
      <c r="AA159" s="54"/>
      <c r="AB159" s="54"/>
      <c r="AC159" s="54"/>
      <c r="AD159" s="54"/>
      <c r="AE159" s="54"/>
      <c r="AF159" s="54"/>
      <c r="AG159" s="54"/>
      <c r="AH159" s="54"/>
      <c r="AI159" s="54"/>
      <c r="AJ159" s="54"/>
      <c r="AW159" s="18">
        <f t="shared" si="14"/>
        <v>0</v>
      </c>
    </row>
    <row r="160" spans="10:49" ht="15">
      <c r="J160" s="687"/>
      <c r="K160" s="54"/>
      <c r="L160" s="687"/>
      <c r="M160" s="491"/>
      <c r="N160" s="82"/>
      <c r="O160" s="54"/>
      <c r="P160" s="54"/>
      <c r="Q160" s="54"/>
      <c r="R160" s="54"/>
      <c r="S160" s="54"/>
      <c r="T160" s="54"/>
      <c r="U160" s="54"/>
      <c r="V160" s="54"/>
      <c r="W160" s="54"/>
      <c r="X160" s="54"/>
      <c r="Y160" s="54"/>
      <c r="Z160" s="54"/>
      <c r="AA160" s="54"/>
      <c r="AB160" s="54"/>
      <c r="AC160" s="54"/>
      <c r="AD160" s="54"/>
      <c r="AE160" s="54"/>
      <c r="AF160" s="54"/>
      <c r="AG160" s="54"/>
      <c r="AH160" s="54"/>
      <c r="AI160" s="54"/>
      <c r="AJ160" s="54"/>
      <c r="AW160" s="18">
        <f t="shared" si="14"/>
        <v>0</v>
      </c>
    </row>
    <row r="161" spans="10:49" ht="15">
      <c r="J161" s="687"/>
      <c r="K161" s="54"/>
      <c r="L161" s="687"/>
      <c r="M161" s="491"/>
      <c r="N161" s="82"/>
      <c r="O161" s="54"/>
      <c r="P161" s="54"/>
      <c r="Q161" s="54"/>
      <c r="R161" s="54"/>
      <c r="S161" s="54"/>
      <c r="T161" s="54"/>
      <c r="U161" s="54"/>
      <c r="V161" s="54"/>
      <c r="W161" s="54"/>
      <c r="X161" s="54"/>
      <c r="Y161" s="54"/>
      <c r="Z161" s="54"/>
      <c r="AA161" s="54"/>
      <c r="AB161" s="54"/>
      <c r="AC161" s="54"/>
      <c r="AD161" s="54"/>
      <c r="AE161" s="54"/>
      <c r="AF161" s="54"/>
      <c r="AG161" s="54"/>
      <c r="AH161" s="54"/>
      <c r="AI161" s="54"/>
      <c r="AJ161" s="54"/>
      <c r="AW161" s="18">
        <f t="shared" si="14"/>
        <v>0</v>
      </c>
    </row>
    <row r="162" spans="10:49" ht="15">
      <c r="J162" s="687"/>
      <c r="K162" s="54"/>
      <c r="L162" s="687"/>
      <c r="M162" s="491"/>
      <c r="N162" s="82"/>
      <c r="O162" s="54"/>
      <c r="P162" s="54"/>
      <c r="Q162" s="54"/>
      <c r="R162" s="54"/>
      <c r="S162" s="54"/>
      <c r="T162" s="54"/>
      <c r="U162" s="54"/>
      <c r="V162" s="54"/>
      <c r="W162" s="54"/>
      <c r="X162" s="54"/>
      <c r="Y162" s="54"/>
      <c r="Z162" s="54"/>
      <c r="AA162" s="54"/>
      <c r="AB162" s="54"/>
      <c r="AC162" s="54"/>
      <c r="AD162" s="54"/>
      <c r="AE162" s="54"/>
      <c r="AF162" s="54"/>
      <c r="AG162" s="54"/>
      <c r="AH162" s="54"/>
      <c r="AI162" s="54"/>
      <c r="AJ162" s="54"/>
      <c r="AW162" s="18">
        <f t="shared" si="14"/>
        <v>0</v>
      </c>
    </row>
    <row r="163" spans="10:49" ht="15">
      <c r="J163" s="687"/>
      <c r="K163" s="54"/>
      <c r="L163" s="687"/>
      <c r="M163" s="491"/>
      <c r="N163" s="82"/>
      <c r="O163" s="54"/>
      <c r="P163" s="54"/>
      <c r="Q163" s="54"/>
      <c r="R163" s="54"/>
      <c r="S163" s="54"/>
      <c r="T163" s="54"/>
      <c r="U163" s="54"/>
      <c r="V163" s="54"/>
      <c r="W163" s="54"/>
      <c r="X163" s="54"/>
      <c r="Y163" s="54"/>
      <c r="Z163" s="54"/>
      <c r="AA163" s="54"/>
      <c r="AB163" s="54"/>
      <c r="AC163" s="54"/>
      <c r="AD163" s="54"/>
      <c r="AE163" s="54"/>
      <c r="AF163" s="54"/>
      <c r="AG163" s="54"/>
      <c r="AH163" s="54"/>
      <c r="AI163" s="54"/>
      <c r="AJ163" s="54"/>
      <c r="AW163" s="18">
        <f t="shared" si="14"/>
        <v>0</v>
      </c>
    </row>
    <row r="164" spans="10:49" ht="15">
      <c r="J164" s="687"/>
      <c r="K164" s="54"/>
      <c r="L164" s="687"/>
      <c r="M164" s="491"/>
      <c r="N164" s="82"/>
      <c r="O164" s="54"/>
      <c r="P164" s="54"/>
      <c r="Q164" s="54"/>
      <c r="R164" s="54"/>
      <c r="S164" s="54"/>
      <c r="T164" s="54"/>
      <c r="U164" s="54"/>
      <c r="V164" s="54"/>
      <c r="W164" s="54"/>
      <c r="X164" s="54"/>
      <c r="Y164" s="54"/>
      <c r="Z164" s="54"/>
      <c r="AA164" s="54"/>
      <c r="AB164" s="54"/>
      <c r="AC164" s="54"/>
      <c r="AD164" s="54"/>
      <c r="AE164" s="54"/>
      <c r="AF164" s="54"/>
      <c r="AG164" s="54"/>
      <c r="AH164" s="54"/>
      <c r="AI164" s="54"/>
      <c r="AJ164" s="54"/>
      <c r="AW164" s="18">
        <f t="shared" si="14"/>
        <v>0</v>
      </c>
    </row>
    <row r="165" spans="10:49" ht="15">
      <c r="J165" s="687"/>
      <c r="K165" s="54"/>
      <c r="L165" s="687"/>
      <c r="M165" s="491"/>
      <c r="N165" s="82"/>
      <c r="O165" s="54"/>
      <c r="P165" s="54"/>
      <c r="Q165" s="54"/>
      <c r="R165" s="54"/>
      <c r="S165" s="54"/>
      <c r="T165" s="54"/>
      <c r="U165" s="54"/>
      <c r="V165" s="54"/>
      <c r="W165" s="54"/>
      <c r="X165" s="54"/>
      <c r="Y165" s="54"/>
      <c r="Z165" s="54"/>
      <c r="AA165" s="54"/>
      <c r="AB165" s="54"/>
      <c r="AC165" s="54"/>
      <c r="AD165" s="54"/>
      <c r="AE165" s="54"/>
      <c r="AF165" s="54"/>
      <c r="AG165" s="54"/>
      <c r="AH165" s="54"/>
      <c r="AI165" s="54"/>
      <c r="AJ165" s="54"/>
      <c r="AW165" s="18">
        <f t="shared" si="14"/>
        <v>0</v>
      </c>
    </row>
    <row r="166" spans="10:49" ht="15">
      <c r="J166" s="687"/>
      <c r="K166" s="54"/>
      <c r="L166" s="687"/>
      <c r="M166" s="491"/>
      <c r="N166" s="82"/>
      <c r="O166" s="54"/>
      <c r="P166" s="54"/>
      <c r="Q166" s="54"/>
      <c r="R166" s="54"/>
      <c r="S166" s="54"/>
      <c r="T166" s="54"/>
      <c r="U166" s="54"/>
      <c r="V166" s="54"/>
      <c r="W166" s="54"/>
      <c r="X166" s="54"/>
      <c r="Y166" s="54"/>
      <c r="Z166" s="54"/>
      <c r="AA166" s="54"/>
      <c r="AB166" s="54"/>
      <c r="AC166" s="54"/>
      <c r="AD166" s="54"/>
      <c r="AE166" s="54"/>
      <c r="AF166" s="54"/>
      <c r="AG166" s="54"/>
      <c r="AH166" s="54"/>
      <c r="AI166" s="54"/>
      <c r="AJ166" s="54"/>
      <c r="AW166" s="18">
        <f t="shared" si="14"/>
        <v>0</v>
      </c>
    </row>
    <row r="167" spans="10:49" ht="15">
      <c r="J167" s="687"/>
      <c r="K167" s="54"/>
      <c r="L167" s="687"/>
      <c r="M167" s="491"/>
      <c r="N167" s="82"/>
      <c r="O167" s="54"/>
      <c r="P167" s="54"/>
      <c r="Q167" s="54"/>
      <c r="R167" s="54"/>
      <c r="S167" s="54"/>
      <c r="T167" s="54"/>
      <c r="U167" s="54"/>
      <c r="V167" s="54"/>
      <c r="W167" s="54"/>
      <c r="X167" s="54"/>
      <c r="Y167" s="54"/>
      <c r="Z167" s="54"/>
      <c r="AA167" s="54"/>
      <c r="AB167" s="54"/>
      <c r="AC167" s="54"/>
      <c r="AD167" s="54"/>
      <c r="AE167" s="54"/>
      <c r="AF167" s="54"/>
      <c r="AG167" s="54"/>
      <c r="AH167" s="54"/>
      <c r="AI167" s="54"/>
      <c r="AJ167" s="54"/>
      <c r="AW167" s="18">
        <f t="shared" si="14"/>
        <v>0</v>
      </c>
    </row>
    <row r="168" spans="10:49" ht="15">
      <c r="J168" s="687"/>
      <c r="K168" s="54"/>
      <c r="L168" s="687"/>
      <c r="M168" s="491"/>
      <c r="N168" s="82"/>
      <c r="O168" s="54"/>
      <c r="P168" s="54"/>
      <c r="Q168" s="54"/>
      <c r="R168" s="54"/>
      <c r="S168" s="54"/>
      <c r="T168" s="54"/>
      <c r="U168" s="54"/>
      <c r="V168" s="54"/>
      <c r="W168" s="54"/>
      <c r="X168" s="54"/>
      <c r="Y168" s="54"/>
      <c r="Z168" s="54"/>
      <c r="AA168" s="54"/>
      <c r="AB168" s="54"/>
      <c r="AC168" s="54"/>
      <c r="AD168" s="54"/>
      <c r="AE168" s="54"/>
      <c r="AF168" s="54"/>
      <c r="AG168" s="54"/>
      <c r="AH168" s="54"/>
      <c r="AI168" s="54"/>
      <c r="AJ168" s="54"/>
      <c r="AW168" s="18">
        <f t="shared" si="14"/>
        <v>0</v>
      </c>
    </row>
    <row r="169" spans="10:49" ht="15">
      <c r="J169" s="687"/>
      <c r="K169" s="54"/>
      <c r="L169" s="687"/>
      <c r="M169" s="491"/>
      <c r="N169" s="82"/>
      <c r="O169" s="54"/>
      <c r="P169" s="54"/>
      <c r="Q169" s="54"/>
      <c r="R169" s="54"/>
      <c r="S169" s="54"/>
      <c r="T169" s="54"/>
      <c r="U169" s="54"/>
      <c r="V169" s="54"/>
      <c r="W169" s="54"/>
      <c r="X169" s="54"/>
      <c r="Y169" s="54"/>
      <c r="Z169" s="54"/>
      <c r="AA169" s="54"/>
      <c r="AB169" s="54"/>
      <c r="AC169" s="54"/>
      <c r="AD169" s="54"/>
      <c r="AE169" s="54"/>
      <c r="AF169" s="54"/>
      <c r="AG169" s="54"/>
      <c r="AH169" s="54"/>
      <c r="AI169" s="54"/>
      <c r="AJ169" s="54"/>
      <c r="AW169" s="18">
        <f t="shared" si="14"/>
        <v>0</v>
      </c>
    </row>
    <row r="170" spans="10:49" ht="15">
      <c r="J170" s="687"/>
      <c r="K170" s="54"/>
      <c r="L170" s="687"/>
      <c r="M170" s="491"/>
      <c r="N170" s="82"/>
      <c r="O170" s="54"/>
      <c r="P170" s="54"/>
      <c r="Q170" s="54"/>
      <c r="R170" s="54"/>
      <c r="S170" s="54"/>
      <c r="T170" s="54"/>
      <c r="U170" s="54"/>
      <c r="V170" s="54"/>
      <c r="W170" s="54"/>
      <c r="X170" s="54"/>
      <c r="Y170" s="54"/>
      <c r="Z170" s="54"/>
      <c r="AA170" s="54"/>
      <c r="AB170" s="54"/>
      <c r="AC170" s="54"/>
      <c r="AD170" s="54"/>
      <c r="AE170" s="54"/>
      <c r="AF170" s="54"/>
      <c r="AG170" s="54"/>
      <c r="AH170" s="54"/>
      <c r="AI170" s="54"/>
      <c r="AJ170" s="54"/>
      <c r="AW170" s="18">
        <f t="shared" si="14"/>
        <v>0</v>
      </c>
    </row>
    <row r="171" spans="10:49" ht="15">
      <c r="J171" s="687"/>
      <c r="K171" s="54"/>
      <c r="L171" s="687"/>
      <c r="M171" s="491"/>
      <c r="N171" s="82"/>
      <c r="O171" s="54"/>
      <c r="P171" s="54"/>
      <c r="Q171" s="54"/>
      <c r="R171" s="54"/>
      <c r="S171" s="54"/>
      <c r="T171" s="54"/>
      <c r="U171" s="54"/>
      <c r="V171" s="54"/>
      <c r="W171" s="54"/>
      <c r="X171" s="54"/>
      <c r="Y171" s="54"/>
      <c r="Z171" s="54"/>
      <c r="AA171" s="54"/>
      <c r="AB171" s="54"/>
      <c r="AC171" s="54"/>
      <c r="AD171" s="54"/>
      <c r="AE171" s="54"/>
      <c r="AF171" s="54"/>
      <c r="AG171" s="54"/>
      <c r="AH171" s="54"/>
      <c r="AI171" s="54"/>
      <c r="AJ171" s="54"/>
      <c r="AW171" s="18">
        <f t="shared" si="14"/>
        <v>0</v>
      </c>
    </row>
    <row r="172" spans="10:49" ht="15">
      <c r="J172" s="687"/>
      <c r="K172" s="54"/>
      <c r="L172" s="687"/>
      <c r="M172" s="491"/>
      <c r="N172" s="82"/>
      <c r="O172" s="54"/>
      <c r="P172" s="54"/>
      <c r="Q172" s="54"/>
      <c r="R172" s="54"/>
      <c r="S172" s="54"/>
      <c r="T172" s="54"/>
      <c r="U172" s="54"/>
      <c r="V172" s="54"/>
      <c r="W172" s="54"/>
      <c r="X172" s="54"/>
      <c r="Y172" s="54"/>
      <c r="Z172" s="54"/>
      <c r="AA172" s="54"/>
      <c r="AB172" s="54"/>
      <c r="AC172" s="54"/>
      <c r="AD172" s="54"/>
      <c r="AE172" s="54"/>
      <c r="AF172" s="54"/>
      <c r="AG172" s="54"/>
      <c r="AH172" s="54"/>
      <c r="AI172" s="54"/>
      <c r="AJ172" s="54"/>
      <c r="AW172" s="18">
        <f t="shared" si="14"/>
        <v>0</v>
      </c>
    </row>
    <row r="173" spans="10:49" ht="15">
      <c r="J173" s="687"/>
      <c r="K173" s="54"/>
      <c r="L173" s="687"/>
      <c r="M173" s="491"/>
      <c r="N173" s="82"/>
      <c r="O173" s="54"/>
      <c r="P173" s="54"/>
      <c r="Q173" s="54"/>
      <c r="R173" s="54"/>
      <c r="S173" s="54"/>
      <c r="T173" s="54"/>
      <c r="U173" s="54"/>
      <c r="V173" s="54"/>
      <c r="W173" s="54"/>
      <c r="X173" s="54"/>
      <c r="Y173" s="54"/>
      <c r="Z173" s="54"/>
      <c r="AA173" s="54"/>
      <c r="AB173" s="54"/>
      <c r="AC173" s="54"/>
      <c r="AD173" s="54"/>
      <c r="AE173" s="54"/>
      <c r="AF173" s="54"/>
      <c r="AG173" s="54"/>
      <c r="AH173" s="54"/>
      <c r="AI173" s="54"/>
      <c r="AJ173" s="54"/>
      <c r="AW173" s="18">
        <f t="shared" si="14"/>
        <v>0</v>
      </c>
    </row>
    <row r="174" spans="10:49" ht="15">
      <c r="J174" s="687"/>
      <c r="K174" s="54"/>
      <c r="L174" s="687"/>
      <c r="M174" s="491"/>
      <c r="N174" s="82"/>
      <c r="O174" s="54"/>
      <c r="P174" s="54"/>
      <c r="Q174" s="54"/>
      <c r="R174" s="54"/>
      <c r="S174" s="54"/>
      <c r="T174" s="54"/>
      <c r="U174" s="54"/>
      <c r="V174" s="54"/>
      <c r="W174" s="54"/>
      <c r="X174" s="54"/>
      <c r="Y174" s="54"/>
      <c r="Z174" s="54"/>
      <c r="AA174" s="54"/>
      <c r="AB174" s="54"/>
      <c r="AC174" s="54"/>
      <c r="AD174" s="54"/>
      <c r="AE174" s="54"/>
      <c r="AF174" s="54"/>
      <c r="AG174" s="54"/>
      <c r="AH174" s="54"/>
      <c r="AI174" s="54"/>
      <c r="AJ174" s="54"/>
      <c r="AW174" s="18">
        <f t="shared" si="14"/>
        <v>0</v>
      </c>
    </row>
    <row r="175" spans="10:49" ht="15">
      <c r="J175" s="687"/>
      <c r="K175" s="54"/>
      <c r="L175" s="687"/>
      <c r="M175" s="491"/>
      <c r="N175" s="82"/>
      <c r="O175" s="54"/>
      <c r="P175" s="54"/>
      <c r="Q175" s="54"/>
      <c r="R175" s="54"/>
      <c r="S175" s="54"/>
      <c r="T175" s="54"/>
      <c r="U175" s="54"/>
      <c r="V175" s="54"/>
      <c r="W175" s="54"/>
      <c r="X175" s="54"/>
      <c r="Y175" s="54"/>
      <c r="Z175" s="54"/>
      <c r="AA175" s="54"/>
      <c r="AB175" s="54"/>
      <c r="AC175" s="54"/>
      <c r="AD175" s="54"/>
      <c r="AE175" s="54"/>
      <c r="AF175" s="54"/>
      <c r="AG175" s="54"/>
      <c r="AH175" s="54"/>
      <c r="AI175" s="54"/>
      <c r="AJ175" s="54"/>
      <c r="AW175" s="18">
        <f t="shared" si="14"/>
        <v>0</v>
      </c>
    </row>
    <row r="176" spans="10:49" ht="15">
      <c r="J176" s="687"/>
      <c r="K176" s="54"/>
      <c r="L176" s="687"/>
      <c r="M176" s="491"/>
      <c r="N176" s="82"/>
      <c r="O176" s="54"/>
      <c r="P176" s="54"/>
      <c r="Q176" s="54"/>
      <c r="R176" s="54"/>
      <c r="S176" s="54"/>
      <c r="T176" s="54"/>
      <c r="U176" s="54"/>
      <c r="V176" s="54"/>
      <c r="W176" s="54"/>
      <c r="X176" s="54"/>
      <c r="Y176" s="54"/>
      <c r="Z176" s="54"/>
      <c r="AA176" s="54"/>
      <c r="AB176" s="54"/>
      <c r="AC176" s="54"/>
      <c r="AD176" s="54"/>
      <c r="AE176" s="54"/>
      <c r="AF176" s="54"/>
      <c r="AG176" s="54"/>
      <c r="AH176" s="54"/>
      <c r="AI176" s="54"/>
      <c r="AJ176" s="54"/>
      <c r="AW176" s="18">
        <f t="shared" si="14"/>
        <v>0</v>
      </c>
    </row>
    <row r="177" spans="10:49" ht="15">
      <c r="J177" s="685"/>
      <c r="L177" s="685"/>
      <c r="M177" s="491"/>
      <c r="AW177" s="18">
        <f t="shared" si="14"/>
        <v>0</v>
      </c>
    </row>
    <row r="178" spans="10:49" ht="15">
      <c r="J178" s="686"/>
      <c r="L178" s="686"/>
      <c r="M178" s="491"/>
      <c r="AW178" s="18">
        <f t="shared" si="14"/>
        <v>0</v>
      </c>
    </row>
    <row r="179" spans="10:49" ht="15">
      <c r="J179" s="686"/>
      <c r="L179" s="686"/>
      <c r="M179" s="491"/>
      <c r="AW179" s="18">
        <f t="shared" si="14"/>
        <v>0</v>
      </c>
    </row>
    <row r="180" spans="10:49" ht="15">
      <c r="J180" s="686"/>
      <c r="L180" s="686"/>
      <c r="M180" s="491"/>
      <c r="AW180" s="18">
        <f t="shared" si="14"/>
        <v>0</v>
      </c>
    </row>
    <row r="181" spans="10:49" ht="15">
      <c r="J181" s="686"/>
      <c r="L181" s="686"/>
      <c r="M181" s="491"/>
      <c r="AW181" s="18">
        <f t="shared" si="14"/>
        <v>0</v>
      </c>
    </row>
    <row r="182" spans="10:49" ht="15">
      <c r="J182" s="686"/>
      <c r="L182" s="686"/>
      <c r="M182" s="491"/>
      <c r="AW182" s="18">
        <f t="shared" si="14"/>
        <v>0</v>
      </c>
    </row>
    <row r="183" spans="10:49" ht="15">
      <c r="J183" s="686"/>
      <c r="L183" s="686"/>
      <c r="M183" s="491"/>
      <c r="AW183" s="18">
        <f t="shared" si="14"/>
        <v>0</v>
      </c>
    </row>
    <row r="184" spans="10:49" ht="15">
      <c r="J184" s="686"/>
      <c r="L184" s="686"/>
      <c r="M184" s="491"/>
      <c r="AW184" s="18">
        <f t="shared" si="14"/>
        <v>0</v>
      </c>
    </row>
    <row r="185" spans="10:49" ht="15">
      <c r="J185" s="686"/>
      <c r="L185" s="686"/>
      <c r="M185" s="491"/>
      <c r="AW185" s="18">
        <f t="shared" si="14"/>
        <v>0</v>
      </c>
    </row>
    <row r="186" spans="10:49" ht="15">
      <c r="J186" s="686"/>
      <c r="L186" s="686"/>
      <c r="M186" s="491"/>
      <c r="AW186" s="18">
        <f t="shared" si="14"/>
        <v>0</v>
      </c>
    </row>
    <row r="187" spans="10:49" ht="15">
      <c r="J187" s="686"/>
      <c r="L187" s="686"/>
      <c r="M187" s="491"/>
      <c r="AW187" s="18">
        <f t="shared" si="14"/>
        <v>0</v>
      </c>
    </row>
    <row r="188" spans="10:49" ht="15">
      <c r="J188" s="686"/>
      <c r="L188" s="686"/>
      <c r="M188" s="491"/>
      <c r="AW188" s="18">
        <f t="shared" si="14"/>
        <v>0</v>
      </c>
    </row>
    <row r="189" spans="10:49" ht="15">
      <c r="J189" s="686"/>
      <c r="L189" s="686"/>
      <c r="M189" s="491"/>
      <c r="AW189" s="18">
        <f t="shared" si="14"/>
        <v>0</v>
      </c>
    </row>
    <row r="190" spans="10:49" ht="15">
      <c r="J190" s="397"/>
      <c r="L190" s="397"/>
      <c r="M190" s="491"/>
      <c r="AW190" s="18">
        <f t="shared" si="14"/>
        <v>0</v>
      </c>
    </row>
    <row r="191" spans="10:49" ht="15">
      <c r="AW191" s="18">
        <f t="shared" si="14"/>
        <v>0</v>
      </c>
    </row>
    <row r="192" spans="10:49" ht="15">
      <c r="AW192" s="18">
        <f t="shared" si="14"/>
        <v>0</v>
      </c>
    </row>
    <row r="193" spans="49:49" ht="15">
      <c r="AW193" s="18">
        <f t="shared" si="14"/>
        <v>0</v>
      </c>
    </row>
    <row r="194" spans="49:49" ht="15">
      <c r="AW194" s="18">
        <f t="shared" si="14"/>
        <v>0</v>
      </c>
    </row>
    <row r="195" spans="49:49" ht="15">
      <c r="AW195" s="18">
        <f t="shared" si="14"/>
        <v>0</v>
      </c>
    </row>
    <row r="196" spans="49:49" ht="15">
      <c r="AW196" s="18">
        <f t="shared" si="14"/>
        <v>0</v>
      </c>
    </row>
    <row r="197" spans="49:49" ht="15">
      <c r="AW197" s="18">
        <f t="shared" si="14"/>
        <v>0</v>
      </c>
    </row>
    <row r="198" spans="49:49" ht="15">
      <c r="AW198" s="18">
        <f t="shared" si="14"/>
        <v>0</v>
      </c>
    </row>
    <row r="199" spans="49:49" ht="15">
      <c r="AW199" s="18">
        <f t="shared" si="14"/>
        <v>0</v>
      </c>
    </row>
    <row r="200" spans="49:49" ht="15">
      <c r="AW200" s="18">
        <f t="shared" si="14"/>
        <v>0</v>
      </c>
    </row>
    <row r="201" spans="49:49" ht="15">
      <c r="AW201" s="18">
        <f t="shared" si="14"/>
        <v>0</v>
      </c>
    </row>
    <row r="202" spans="49:49" ht="15">
      <c r="AW202" s="18">
        <f t="shared" si="14"/>
        <v>0</v>
      </c>
    </row>
    <row r="203" spans="49:49" ht="15">
      <c r="AW203" s="18">
        <f t="shared" si="14"/>
        <v>0</v>
      </c>
    </row>
    <row r="204" spans="49:49" ht="15">
      <c r="AW204" s="18">
        <f t="shared" si="14"/>
        <v>0</v>
      </c>
    </row>
    <row r="205" spans="49:49" ht="15">
      <c r="AW205" s="18">
        <f t="shared" si="14"/>
        <v>0</v>
      </c>
    </row>
    <row r="206" spans="49:49" ht="15">
      <c r="AW206" s="18">
        <f t="shared" si="14"/>
        <v>0</v>
      </c>
    </row>
    <row r="207" spans="49:49" ht="15">
      <c r="AW207" s="18">
        <f t="shared" si="14"/>
        <v>0</v>
      </c>
    </row>
    <row r="208" spans="49:49" ht="15">
      <c r="AW208" s="18">
        <f t="shared" si="14"/>
        <v>0</v>
      </c>
    </row>
    <row r="209" spans="49:49" ht="15">
      <c r="AW209" s="18">
        <f t="shared" si="14"/>
        <v>0</v>
      </c>
    </row>
    <row r="210" spans="49:49" ht="15">
      <c r="AW210" s="18">
        <f t="shared" si="14"/>
        <v>0</v>
      </c>
    </row>
    <row r="211" spans="49:49" ht="15">
      <c r="AW211" s="18">
        <f t="shared" si="14"/>
        <v>0</v>
      </c>
    </row>
    <row r="212" spans="49:49" ht="15">
      <c r="AW212" s="18">
        <f t="shared" si="14"/>
        <v>0</v>
      </c>
    </row>
    <row r="213" spans="49:49" ht="15">
      <c r="AW213" s="18">
        <f t="shared" si="14"/>
        <v>0</v>
      </c>
    </row>
    <row r="214" spans="49:49" ht="15">
      <c r="AW214" s="18">
        <f t="shared" si="14"/>
        <v>0</v>
      </c>
    </row>
    <row r="215" spans="49:49" ht="15">
      <c r="AW215" s="18">
        <f t="shared" si="14"/>
        <v>0</v>
      </c>
    </row>
    <row r="216" spans="49:49" ht="15">
      <c r="AW216" s="18">
        <f t="shared" si="14"/>
        <v>0</v>
      </c>
    </row>
    <row r="217" spans="49:49" ht="15">
      <c r="AW217" s="18">
        <f t="shared" si="14"/>
        <v>0</v>
      </c>
    </row>
    <row r="218" spans="49:49" ht="15">
      <c r="AW218" s="18">
        <f t="shared" si="14"/>
        <v>0</v>
      </c>
    </row>
    <row r="219" spans="49:49" ht="15">
      <c r="AW219" s="18">
        <f t="shared" si="14"/>
        <v>0</v>
      </c>
    </row>
    <row r="220" spans="49:49" ht="15">
      <c r="AW220" s="18">
        <f t="shared" si="14"/>
        <v>0</v>
      </c>
    </row>
    <row r="221" spans="49:49" ht="15">
      <c r="AW221" s="18">
        <f t="shared" si="14"/>
        <v>0</v>
      </c>
    </row>
    <row r="222" spans="49:49" ht="15">
      <c r="AW222" s="18">
        <f t="shared" ref="AW222:AW285" si="15">LEN(L222)</f>
        <v>0</v>
      </c>
    </row>
    <row r="223" spans="49:49" ht="15">
      <c r="AW223" s="18">
        <f t="shared" si="15"/>
        <v>0</v>
      </c>
    </row>
    <row r="224" spans="49:49" ht="15">
      <c r="AW224" s="18">
        <f t="shared" si="15"/>
        <v>0</v>
      </c>
    </row>
    <row r="225" spans="49:49" ht="15">
      <c r="AW225" s="18">
        <f t="shared" si="15"/>
        <v>0</v>
      </c>
    </row>
    <row r="226" spans="49:49" ht="15">
      <c r="AW226" s="18">
        <f t="shared" si="15"/>
        <v>0</v>
      </c>
    </row>
    <row r="227" spans="49:49" ht="15">
      <c r="AW227" s="18">
        <f t="shared" si="15"/>
        <v>0</v>
      </c>
    </row>
    <row r="228" spans="49:49" ht="15">
      <c r="AW228" s="18">
        <f t="shared" si="15"/>
        <v>0</v>
      </c>
    </row>
    <row r="229" spans="49:49" ht="15">
      <c r="AW229" s="18">
        <f t="shared" si="15"/>
        <v>0</v>
      </c>
    </row>
    <row r="230" spans="49:49" ht="15">
      <c r="AW230" s="18">
        <f t="shared" si="15"/>
        <v>0</v>
      </c>
    </row>
    <row r="231" spans="49:49" ht="15">
      <c r="AW231" s="18">
        <f t="shared" si="15"/>
        <v>0</v>
      </c>
    </row>
    <row r="232" spans="49:49" ht="15">
      <c r="AW232" s="18">
        <f t="shared" si="15"/>
        <v>0</v>
      </c>
    </row>
    <row r="233" spans="49:49" ht="15">
      <c r="AW233" s="18">
        <f t="shared" si="15"/>
        <v>0</v>
      </c>
    </row>
    <row r="234" spans="49:49" ht="15">
      <c r="AW234" s="18">
        <f t="shared" si="15"/>
        <v>0</v>
      </c>
    </row>
    <row r="235" spans="49:49" ht="15">
      <c r="AW235" s="18">
        <f t="shared" si="15"/>
        <v>0</v>
      </c>
    </row>
    <row r="236" spans="49:49" ht="15">
      <c r="AW236" s="18">
        <f t="shared" si="15"/>
        <v>0</v>
      </c>
    </row>
    <row r="237" spans="49:49" ht="15">
      <c r="AW237" s="18">
        <f t="shared" si="15"/>
        <v>0</v>
      </c>
    </row>
    <row r="238" spans="49:49" ht="15">
      <c r="AW238" s="18">
        <f t="shared" si="15"/>
        <v>0</v>
      </c>
    </row>
    <row r="239" spans="49:49" ht="15">
      <c r="AW239" s="18">
        <f t="shared" si="15"/>
        <v>0</v>
      </c>
    </row>
    <row r="240" spans="49:49" ht="15">
      <c r="AW240" s="18">
        <f t="shared" si="15"/>
        <v>0</v>
      </c>
    </row>
    <row r="241" spans="49:49" ht="15">
      <c r="AW241" s="18">
        <f t="shared" si="15"/>
        <v>0</v>
      </c>
    </row>
    <row r="242" spans="49:49" ht="15">
      <c r="AW242" s="18">
        <f t="shared" si="15"/>
        <v>0</v>
      </c>
    </row>
    <row r="243" spans="49:49" ht="15">
      <c r="AW243" s="18">
        <f t="shared" si="15"/>
        <v>0</v>
      </c>
    </row>
    <row r="244" spans="49:49" ht="15">
      <c r="AW244" s="18">
        <f t="shared" si="15"/>
        <v>0</v>
      </c>
    </row>
    <row r="245" spans="49:49" ht="15">
      <c r="AW245" s="18">
        <f t="shared" si="15"/>
        <v>0</v>
      </c>
    </row>
    <row r="246" spans="49:49" ht="15">
      <c r="AW246" s="18">
        <f t="shared" si="15"/>
        <v>0</v>
      </c>
    </row>
    <row r="247" spans="49:49" ht="15">
      <c r="AW247" s="18">
        <f t="shared" si="15"/>
        <v>0</v>
      </c>
    </row>
    <row r="248" spans="49:49" ht="15">
      <c r="AW248" s="18">
        <f t="shared" si="15"/>
        <v>0</v>
      </c>
    </row>
    <row r="249" spans="49:49" ht="15">
      <c r="AW249" s="18">
        <f t="shared" si="15"/>
        <v>0</v>
      </c>
    </row>
    <row r="250" spans="49:49" ht="15">
      <c r="AW250" s="18">
        <f t="shared" si="15"/>
        <v>0</v>
      </c>
    </row>
    <row r="251" spans="49:49" ht="15">
      <c r="AW251" s="18">
        <f t="shared" si="15"/>
        <v>0</v>
      </c>
    </row>
    <row r="252" spans="49:49" ht="15">
      <c r="AW252" s="18">
        <f t="shared" si="15"/>
        <v>0</v>
      </c>
    </row>
    <row r="253" spans="49:49" ht="15">
      <c r="AW253" s="18">
        <f t="shared" si="15"/>
        <v>0</v>
      </c>
    </row>
    <row r="254" spans="49:49" ht="15">
      <c r="AW254" s="18">
        <f t="shared" si="15"/>
        <v>0</v>
      </c>
    </row>
    <row r="255" spans="49:49" ht="15">
      <c r="AW255" s="18">
        <f t="shared" si="15"/>
        <v>0</v>
      </c>
    </row>
    <row r="256" spans="49:49" ht="15">
      <c r="AW256" s="18">
        <f t="shared" si="15"/>
        <v>0</v>
      </c>
    </row>
    <row r="257" spans="49:49" ht="15">
      <c r="AW257" s="18">
        <f t="shared" si="15"/>
        <v>0</v>
      </c>
    </row>
    <row r="258" spans="49:49" ht="15">
      <c r="AW258" s="18">
        <f t="shared" si="15"/>
        <v>0</v>
      </c>
    </row>
    <row r="259" spans="49:49" ht="15">
      <c r="AW259" s="18">
        <f t="shared" si="15"/>
        <v>0</v>
      </c>
    </row>
    <row r="260" spans="49:49" ht="15">
      <c r="AW260" s="18">
        <f t="shared" si="15"/>
        <v>0</v>
      </c>
    </row>
    <row r="261" spans="49:49" ht="15">
      <c r="AW261" s="18">
        <f t="shared" si="15"/>
        <v>0</v>
      </c>
    </row>
    <row r="262" spans="49:49" ht="15">
      <c r="AW262" s="18">
        <f t="shared" si="15"/>
        <v>0</v>
      </c>
    </row>
    <row r="263" spans="49:49" ht="15">
      <c r="AW263" s="18">
        <f t="shared" si="15"/>
        <v>0</v>
      </c>
    </row>
    <row r="264" spans="49:49" ht="15">
      <c r="AW264" s="18">
        <f t="shared" si="15"/>
        <v>0</v>
      </c>
    </row>
    <row r="265" spans="49:49" ht="15">
      <c r="AW265" s="18">
        <f t="shared" si="15"/>
        <v>0</v>
      </c>
    </row>
    <row r="266" spans="49:49" ht="15">
      <c r="AW266" s="18">
        <f t="shared" si="15"/>
        <v>0</v>
      </c>
    </row>
    <row r="267" spans="49:49" ht="15">
      <c r="AW267" s="18">
        <f t="shared" si="15"/>
        <v>0</v>
      </c>
    </row>
    <row r="268" spans="49:49" ht="15">
      <c r="AW268" s="18">
        <f t="shared" si="15"/>
        <v>0</v>
      </c>
    </row>
    <row r="269" spans="49:49" ht="15">
      <c r="AW269" s="18">
        <f t="shared" si="15"/>
        <v>0</v>
      </c>
    </row>
    <row r="270" spans="49:49" ht="15">
      <c r="AW270" s="18">
        <f t="shared" si="15"/>
        <v>0</v>
      </c>
    </row>
    <row r="271" spans="49:49" ht="15">
      <c r="AW271" s="18">
        <f t="shared" si="15"/>
        <v>0</v>
      </c>
    </row>
    <row r="272" spans="49:49" ht="15">
      <c r="AW272" s="18">
        <f t="shared" si="15"/>
        <v>0</v>
      </c>
    </row>
    <row r="273" spans="49:49" ht="15">
      <c r="AW273" s="18">
        <f t="shared" si="15"/>
        <v>0</v>
      </c>
    </row>
    <row r="274" spans="49:49" ht="15">
      <c r="AW274" s="18">
        <f t="shared" si="15"/>
        <v>0</v>
      </c>
    </row>
    <row r="275" spans="49:49" ht="15">
      <c r="AW275" s="18">
        <f t="shared" si="15"/>
        <v>0</v>
      </c>
    </row>
    <row r="276" spans="49:49" ht="15">
      <c r="AW276" s="18">
        <f t="shared" si="15"/>
        <v>0</v>
      </c>
    </row>
    <row r="277" spans="49:49" ht="15">
      <c r="AW277" s="18">
        <f t="shared" si="15"/>
        <v>0</v>
      </c>
    </row>
    <row r="278" spans="49:49" ht="15">
      <c r="AW278" s="18">
        <f t="shared" si="15"/>
        <v>0</v>
      </c>
    </row>
    <row r="279" spans="49:49" ht="15">
      <c r="AW279" s="18">
        <f t="shared" si="15"/>
        <v>0</v>
      </c>
    </row>
    <row r="280" spans="49:49" ht="15">
      <c r="AW280" s="18">
        <f t="shared" si="15"/>
        <v>0</v>
      </c>
    </row>
    <row r="281" spans="49:49" ht="15">
      <c r="AW281" s="18">
        <f t="shared" si="15"/>
        <v>0</v>
      </c>
    </row>
    <row r="282" spans="49:49" ht="15">
      <c r="AW282" s="18">
        <f t="shared" si="15"/>
        <v>0</v>
      </c>
    </row>
    <row r="283" spans="49:49" ht="15">
      <c r="AW283" s="18">
        <f t="shared" si="15"/>
        <v>0</v>
      </c>
    </row>
    <row r="284" spans="49:49" ht="15">
      <c r="AW284" s="18">
        <f t="shared" si="15"/>
        <v>0</v>
      </c>
    </row>
    <row r="285" spans="49:49" ht="15">
      <c r="AW285" s="18">
        <f t="shared" si="15"/>
        <v>0</v>
      </c>
    </row>
    <row r="286" spans="49:49" ht="15">
      <c r="AW286" s="18">
        <f t="shared" ref="AW286:AW349" si="16">LEN(L286)</f>
        <v>0</v>
      </c>
    </row>
    <row r="287" spans="49:49" ht="15">
      <c r="AW287" s="18">
        <f t="shared" si="16"/>
        <v>0</v>
      </c>
    </row>
    <row r="288" spans="49:49" ht="15">
      <c r="AW288" s="18">
        <f t="shared" si="16"/>
        <v>0</v>
      </c>
    </row>
    <row r="289" spans="49:49" ht="15">
      <c r="AW289" s="18">
        <f t="shared" si="16"/>
        <v>0</v>
      </c>
    </row>
    <row r="290" spans="49:49" ht="15">
      <c r="AW290" s="18">
        <f t="shared" si="16"/>
        <v>0</v>
      </c>
    </row>
    <row r="291" spans="49:49" ht="15">
      <c r="AW291" s="18">
        <f t="shared" si="16"/>
        <v>0</v>
      </c>
    </row>
    <row r="292" spans="49:49" ht="15">
      <c r="AW292" s="18">
        <f t="shared" si="16"/>
        <v>0</v>
      </c>
    </row>
    <row r="293" spans="49:49" ht="15">
      <c r="AW293" s="18">
        <f t="shared" si="16"/>
        <v>0</v>
      </c>
    </row>
    <row r="294" spans="49:49" ht="15">
      <c r="AW294" s="18">
        <f t="shared" si="16"/>
        <v>0</v>
      </c>
    </row>
    <row r="295" spans="49:49" ht="15">
      <c r="AW295" s="18">
        <f t="shared" si="16"/>
        <v>0</v>
      </c>
    </row>
    <row r="296" spans="49:49" ht="15">
      <c r="AW296" s="18">
        <f t="shared" si="16"/>
        <v>0</v>
      </c>
    </row>
    <row r="297" spans="49:49" ht="15">
      <c r="AW297" s="18">
        <f t="shared" si="16"/>
        <v>0</v>
      </c>
    </row>
    <row r="298" spans="49:49" ht="15">
      <c r="AW298" s="18">
        <f t="shared" si="16"/>
        <v>0</v>
      </c>
    </row>
    <row r="299" spans="49:49" ht="15">
      <c r="AW299" s="18">
        <f t="shared" si="16"/>
        <v>0</v>
      </c>
    </row>
    <row r="300" spans="49:49" ht="15">
      <c r="AW300" s="18">
        <f t="shared" si="16"/>
        <v>0</v>
      </c>
    </row>
    <row r="301" spans="49:49" ht="15">
      <c r="AW301" s="18">
        <f t="shared" si="16"/>
        <v>0</v>
      </c>
    </row>
    <row r="302" spans="49:49" ht="15">
      <c r="AW302" s="18">
        <f t="shared" si="16"/>
        <v>0</v>
      </c>
    </row>
    <row r="303" spans="49:49" ht="15">
      <c r="AW303" s="18">
        <f t="shared" si="16"/>
        <v>0</v>
      </c>
    </row>
    <row r="304" spans="49:49" ht="15">
      <c r="AW304" s="18">
        <f t="shared" si="16"/>
        <v>0</v>
      </c>
    </row>
    <row r="305" spans="49:49" ht="15">
      <c r="AW305" s="18">
        <f t="shared" si="16"/>
        <v>0</v>
      </c>
    </row>
    <row r="306" spans="49:49" ht="15">
      <c r="AW306" s="18">
        <f t="shared" si="16"/>
        <v>0</v>
      </c>
    </row>
    <row r="307" spans="49:49" ht="15">
      <c r="AW307" s="18">
        <f t="shared" si="16"/>
        <v>0</v>
      </c>
    </row>
    <row r="308" spans="49:49" ht="15">
      <c r="AW308" s="18">
        <f t="shared" si="16"/>
        <v>0</v>
      </c>
    </row>
    <row r="309" spans="49:49" ht="15">
      <c r="AW309" s="18">
        <f t="shared" si="16"/>
        <v>0</v>
      </c>
    </row>
    <row r="310" spans="49:49" ht="15">
      <c r="AW310" s="18">
        <f t="shared" si="16"/>
        <v>0</v>
      </c>
    </row>
    <row r="311" spans="49:49" ht="15">
      <c r="AW311" s="18">
        <f t="shared" si="16"/>
        <v>0</v>
      </c>
    </row>
    <row r="312" spans="49:49" ht="15">
      <c r="AW312" s="18">
        <f t="shared" si="16"/>
        <v>0</v>
      </c>
    </row>
    <row r="313" spans="49:49" ht="15">
      <c r="AW313" s="18">
        <f t="shared" si="16"/>
        <v>0</v>
      </c>
    </row>
    <row r="314" spans="49:49" ht="15">
      <c r="AW314" s="18">
        <f t="shared" si="16"/>
        <v>0</v>
      </c>
    </row>
    <row r="315" spans="49:49" ht="15">
      <c r="AW315" s="18">
        <f t="shared" si="16"/>
        <v>0</v>
      </c>
    </row>
    <row r="316" spans="49:49" ht="15">
      <c r="AW316" s="18">
        <f t="shared" si="16"/>
        <v>0</v>
      </c>
    </row>
    <row r="317" spans="49:49" ht="15">
      <c r="AW317" s="18">
        <f t="shared" si="16"/>
        <v>0</v>
      </c>
    </row>
    <row r="318" spans="49:49" ht="15">
      <c r="AW318" s="18">
        <f t="shared" si="16"/>
        <v>0</v>
      </c>
    </row>
    <row r="319" spans="49:49" ht="15">
      <c r="AW319" s="18">
        <f t="shared" si="16"/>
        <v>0</v>
      </c>
    </row>
    <row r="320" spans="49:49" ht="15">
      <c r="AW320" s="18">
        <f t="shared" si="16"/>
        <v>0</v>
      </c>
    </row>
    <row r="321" spans="49:49" ht="15">
      <c r="AW321" s="18">
        <f t="shared" si="16"/>
        <v>0</v>
      </c>
    </row>
    <row r="322" spans="49:49" ht="15">
      <c r="AW322" s="18">
        <f t="shared" si="16"/>
        <v>0</v>
      </c>
    </row>
    <row r="323" spans="49:49" ht="15">
      <c r="AW323" s="18">
        <f t="shared" si="16"/>
        <v>0</v>
      </c>
    </row>
    <row r="324" spans="49:49" ht="15">
      <c r="AW324" s="18">
        <f t="shared" si="16"/>
        <v>0</v>
      </c>
    </row>
    <row r="325" spans="49:49" ht="15">
      <c r="AW325" s="18">
        <f t="shared" si="16"/>
        <v>0</v>
      </c>
    </row>
    <row r="326" spans="49:49" ht="15">
      <c r="AW326" s="18">
        <f t="shared" si="16"/>
        <v>0</v>
      </c>
    </row>
    <row r="327" spans="49:49" ht="15">
      <c r="AW327" s="18">
        <f t="shared" si="16"/>
        <v>0</v>
      </c>
    </row>
    <row r="328" spans="49:49" ht="15">
      <c r="AW328" s="18">
        <f t="shared" si="16"/>
        <v>0</v>
      </c>
    </row>
    <row r="329" spans="49:49" ht="15">
      <c r="AW329" s="18">
        <f t="shared" si="16"/>
        <v>0</v>
      </c>
    </row>
    <row r="330" spans="49:49" ht="15">
      <c r="AW330" s="18">
        <f t="shared" si="16"/>
        <v>0</v>
      </c>
    </row>
    <row r="331" spans="49:49" ht="15">
      <c r="AW331" s="18">
        <f t="shared" si="16"/>
        <v>0</v>
      </c>
    </row>
    <row r="332" spans="49:49" ht="15">
      <c r="AW332" s="18">
        <f t="shared" si="16"/>
        <v>0</v>
      </c>
    </row>
    <row r="333" spans="49:49" ht="15">
      <c r="AW333" s="18">
        <f t="shared" si="16"/>
        <v>0</v>
      </c>
    </row>
    <row r="334" spans="49:49" ht="15">
      <c r="AW334" s="18">
        <f t="shared" si="16"/>
        <v>0</v>
      </c>
    </row>
    <row r="335" spans="49:49" ht="15">
      <c r="AW335" s="18">
        <f t="shared" si="16"/>
        <v>0</v>
      </c>
    </row>
    <row r="336" spans="49:49" ht="15">
      <c r="AW336" s="18">
        <f t="shared" si="16"/>
        <v>0</v>
      </c>
    </row>
    <row r="337" spans="49:49" ht="15">
      <c r="AW337" s="18">
        <f t="shared" si="16"/>
        <v>0</v>
      </c>
    </row>
    <row r="338" spans="49:49" ht="15">
      <c r="AW338" s="18">
        <f t="shared" si="16"/>
        <v>0</v>
      </c>
    </row>
    <row r="339" spans="49:49" ht="15">
      <c r="AW339" s="18">
        <f t="shared" si="16"/>
        <v>0</v>
      </c>
    </row>
    <row r="340" spans="49:49" ht="15">
      <c r="AW340" s="18">
        <f t="shared" si="16"/>
        <v>0</v>
      </c>
    </row>
    <row r="341" spans="49:49" ht="15">
      <c r="AW341" s="18">
        <f t="shared" si="16"/>
        <v>0</v>
      </c>
    </row>
    <row r="342" spans="49:49" ht="15">
      <c r="AW342" s="18">
        <f t="shared" si="16"/>
        <v>0</v>
      </c>
    </row>
    <row r="343" spans="49:49" ht="15">
      <c r="AW343" s="18">
        <f t="shared" si="16"/>
        <v>0</v>
      </c>
    </row>
    <row r="344" spans="49:49" ht="15">
      <c r="AW344" s="18">
        <f t="shared" si="16"/>
        <v>0</v>
      </c>
    </row>
    <row r="345" spans="49:49" ht="15">
      <c r="AW345" s="18">
        <f t="shared" si="16"/>
        <v>0</v>
      </c>
    </row>
    <row r="346" spans="49:49" ht="15">
      <c r="AW346" s="18">
        <f t="shared" si="16"/>
        <v>0</v>
      </c>
    </row>
    <row r="347" spans="49:49" ht="15">
      <c r="AW347" s="18">
        <f t="shared" si="16"/>
        <v>0</v>
      </c>
    </row>
    <row r="348" spans="49:49" ht="15">
      <c r="AW348" s="18">
        <f t="shared" si="16"/>
        <v>0</v>
      </c>
    </row>
    <row r="349" spans="49:49" ht="15">
      <c r="AW349" s="18">
        <f t="shared" si="16"/>
        <v>0</v>
      </c>
    </row>
    <row r="350" spans="49:49" ht="15">
      <c r="AW350" s="18">
        <f t="shared" ref="AW350:AW413" si="17">LEN(L350)</f>
        <v>0</v>
      </c>
    </row>
    <row r="351" spans="49:49" ht="15">
      <c r="AW351" s="18">
        <f t="shared" si="17"/>
        <v>0</v>
      </c>
    </row>
    <row r="352" spans="49:49" ht="15">
      <c r="AW352" s="18">
        <f t="shared" si="17"/>
        <v>0</v>
      </c>
    </row>
    <row r="353" spans="49:49" ht="15">
      <c r="AW353" s="18">
        <f t="shared" si="17"/>
        <v>0</v>
      </c>
    </row>
    <row r="354" spans="49:49" ht="15">
      <c r="AW354" s="18">
        <f t="shared" si="17"/>
        <v>0</v>
      </c>
    </row>
    <row r="355" spans="49:49" ht="15">
      <c r="AW355" s="18">
        <f t="shared" si="17"/>
        <v>0</v>
      </c>
    </row>
    <row r="356" spans="49:49" ht="15">
      <c r="AW356" s="18">
        <f t="shared" si="17"/>
        <v>0</v>
      </c>
    </row>
    <row r="357" spans="49:49" ht="15">
      <c r="AW357" s="18">
        <f t="shared" si="17"/>
        <v>0</v>
      </c>
    </row>
    <row r="358" spans="49:49" ht="15">
      <c r="AW358" s="18">
        <f t="shared" si="17"/>
        <v>0</v>
      </c>
    </row>
    <row r="359" spans="49:49" ht="15">
      <c r="AW359" s="18">
        <f t="shared" si="17"/>
        <v>0</v>
      </c>
    </row>
    <row r="360" spans="49:49" ht="15">
      <c r="AW360" s="18">
        <f t="shared" si="17"/>
        <v>0</v>
      </c>
    </row>
    <row r="361" spans="49:49" ht="15">
      <c r="AW361" s="18">
        <f t="shared" si="17"/>
        <v>0</v>
      </c>
    </row>
    <row r="362" spans="49:49" ht="15">
      <c r="AW362" s="18">
        <f t="shared" si="17"/>
        <v>0</v>
      </c>
    </row>
    <row r="363" spans="49:49" ht="15">
      <c r="AW363" s="18">
        <f t="shared" si="17"/>
        <v>0</v>
      </c>
    </row>
    <row r="364" spans="49:49" ht="15">
      <c r="AW364" s="18">
        <f t="shared" si="17"/>
        <v>0</v>
      </c>
    </row>
    <row r="365" spans="49:49" ht="15">
      <c r="AW365" s="18">
        <f t="shared" si="17"/>
        <v>0</v>
      </c>
    </row>
    <row r="366" spans="49:49" ht="15">
      <c r="AW366" s="18">
        <f t="shared" si="17"/>
        <v>0</v>
      </c>
    </row>
    <row r="367" spans="49:49" ht="15">
      <c r="AW367" s="18">
        <f t="shared" si="17"/>
        <v>0</v>
      </c>
    </row>
    <row r="368" spans="49:49" ht="15">
      <c r="AW368" s="18">
        <f t="shared" si="17"/>
        <v>0</v>
      </c>
    </row>
    <row r="369" spans="49:49" ht="15">
      <c r="AW369" s="18">
        <f t="shared" si="17"/>
        <v>0</v>
      </c>
    </row>
    <row r="370" spans="49:49" ht="15">
      <c r="AW370" s="18">
        <f t="shared" si="17"/>
        <v>0</v>
      </c>
    </row>
    <row r="371" spans="49:49" ht="15">
      <c r="AW371" s="18">
        <f t="shared" si="17"/>
        <v>0</v>
      </c>
    </row>
    <row r="372" spans="49:49" ht="15">
      <c r="AW372" s="18">
        <f t="shared" si="17"/>
        <v>0</v>
      </c>
    </row>
    <row r="373" spans="49:49" ht="15">
      <c r="AW373" s="18">
        <f t="shared" si="17"/>
        <v>0</v>
      </c>
    </row>
    <row r="374" spans="49:49" ht="15">
      <c r="AW374" s="18">
        <f t="shared" si="17"/>
        <v>0</v>
      </c>
    </row>
    <row r="375" spans="49:49" ht="15">
      <c r="AW375" s="18">
        <f t="shared" si="17"/>
        <v>0</v>
      </c>
    </row>
    <row r="376" spans="49:49" ht="15">
      <c r="AW376" s="18">
        <f t="shared" si="17"/>
        <v>0</v>
      </c>
    </row>
    <row r="377" spans="49:49" ht="15">
      <c r="AW377" s="18">
        <f t="shared" si="17"/>
        <v>0</v>
      </c>
    </row>
    <row r="378" spans="49:49" ht="15">
      <c r="AW378" s="18">
        <f t="shared" si="17"/>
        <v>0</v>
      </c>
    </row>
    <row r="379" spans="49:49" ht="15">
      <c r="AW379" s="18">
        <f t="shared" si="17"/>
        <v>0</v>
      </c>
    </row>
    <row r="380" spans="49:49" ht="15">
      <c r="AW380" s="18">
        <f t="shared" si="17"/>
        <v>0</v>
      </c>
    </row>
    <row r="381" spans="49:49" ht="15">
      <c r="AW381" s="18">
        <f t="shared" si="17"/>
        <v>0</v>
      </c>
    </row>
    <row r="382" spans="49:49" ht="15">
      <c r="AW382" s="18">
        <f t="shared" si="17"/>
        <v>0</v>
      </c>
    </row>
    <row r="383" spans="49:49" ht="15">
      <c r="AW383" s="18">
        <f t="shared" si="17"/>
        <v>0</v>
      </c>
    </row>
    <row r="384" spans="49:49" ht="15">
      <c r="AW384" s="18">
        <f t="shared" si="17"/>
        <v>0</v>
      </c>
    </row>
    <row r="385" spans="49:49" ht="15">
      <c r="AW385" s="18">
        <f t="shared" si="17"/>
        <v>0</v>
      </c>
    </row>
    <row r="386" spans="49:49" ht="15">
      <c r="AW386" s="18">
        <f t="shared" si="17"/>
        <v>0</v>
      </c>
    </row>
    <row r="387" spans="49:49" ht="15">
      <c r="AW387" s="18">
        <f t="shared" si="17"/>
        <v>0</v>
      </c>
    </row>
    <row r="388" spans="49:49" ht="15">
      <c r="AW388" s="18">
        <f t="shared" si="17"/>
        <v>0</v>
      </c>
    </row>
    <row r="389" spans="49:49" ht="15">
      <c r="AW389" s="18">
        <f t="shared" si="17"/>
        <v>0</v>
      </c>
    </row>
    <row r="390" spans="49:49" ht="15">
      <c r="AW390" s="18">
        <f t="shared" si="17"/>
        <v>0</v>
      </c>
    </row>
    <row r="391" spans="49:49" ht="15">
      <c r="AW391" s="18">
        <f t="shared" si="17"/>
        <v>0</v>
      </c>
    </row>
    <row r="392" spans="49:49" ht="15">
      <c r="AW392" s="18">
        <f t="shared" si="17"/>
        <v>0</v>
      </c>
    </row>
    <row r="393" spans="49:49" ht="15">
      <c r="AW393" s="18">
        <f t="shared" si="17"/>
        <v>0</v>
      </c>
    </row>
    <row r="394" spans="49:49" ht="15">
      <c r="AW394" s="18">
        <f t="shared" si="17"/>
        <v>0</v>
      </c>
    </row>
    <row r="395" spans="49:49" ht="15">
      <c r="AW395" s="18">
        <f t="shared" si="17"/>
        <v>0</v>
      </c>
    </row>
    <row r="396" spans="49:49" ht="15">
      <c r="AW396" s="18">
        <f t="shared" si="17"/>
        <v>0</v>
      </c>
    </row>
    <row r="397" spans="49:49" ht="15">
      <c r="AW397" s="18">
        <f t="shared" si="17"/>
        <v>0</v>
      </c>
    </row>
    <row r="398" spans="49:49" ht="15">
      <c r="AW398" s="18">
        <f t="shared" si="17"/>
        <v>0</v>
      </c>
    </row>
    <row r="399" spans="49:49" ht="15">
      <c r="AW399" s="18">
        <f t="shared" si="17"/>
        <v>0</v>
      </c>
    </row>
    <row r="400" spans="49:49" ht="15">
      <c r="AW400" s="18">
        <f t="shared" si="17"/>
        <v>0</v>
      </c>
    </row>
    <row r="401" spans="49:49" ht="15">
      <c r="AW401" s="18">
        <f t="shared" si="17"/>
        <v>0</v>
      </c>
    </row>
    <row r="402" spans="49:49" ht="15">
      <c r="AW402" s="18">
        <f t="shared" si="17"/>
        <v>0</v>
      </c>
    </row>
    <row r="403" spans="49:49" ht="15">
      <c r="AW403" s="18">
        <f t="shared" si="17"/>
        <v>0</v>
      </c>
    </row>
    <row r="404" spans="49:49" ht="15">
      <c r="AW404" s="18">
        <f t="shared" si="17"/>
        <v>0</v>
      </c>
    </row>
    <row r="405" spans="49:49" ht="15">
      <c r="AW405" s="18">
        <f t="shared" si="17"/>
        <v>0</v>
      </c>
    </row>
    <row r="406" spans="49:49" ht="15">
      <c r="AW406" s="18">
        <f t="shared" si="17"/>
        <v>0</v>
      </c>
    </row>
    <row r="407" spans="49:49" ht="15">
      <c r="AW407" s="18">
        <f t="shared" si="17"/>
        <v>0</v>
      </c>
    </row>
    <row r="408" spans="49:49" ht="15">
      <c r="AW408" s="18">
        <f t="shared" si="17"/>
        <v>0</v>
      </c>
    </row>
    <row r="409" spans="49:49" ht="15">
      <c r="AW409" s="18">
        <f t="shared" si="17"/>
        <v>0</v>
      </c>
    </row>
    <row r="410" spans="49:49" ht="15">
      <c r="AW410" s="18">
        <f t="shared" si="17"/>
        <v>0</v>
      </c>
    </row>
    <row r="411" spans="49:49" ht="15">
      <c r="AW411" s="18">
        <f t="shared" si="17"/>
        <v>0</v>
      </c>
    </row>
    <row r="412" spans="49:49" ht="15">
      <c r="AW412" s="18">
        <f t="shared" si="17"/>
        <v>0</v>
      </c>
    </row>
    <row r="413" spans="49:49" ht="15">
      <c r="AW413" s="18">
        <f t="shared" si="17"/>
        <v>0</v>
      </c>
    </row>
    <row r="414" spans="49:49" ht="15">
      <c r="AW414" s="18">
        <f t="shared" ref="AW414:AW468" si="18">LEN(L414)</f>
        <v>0</v>
      </c>
    </row>
    <row r="415" spans="49:49" ht="15">
      <c r="AW415" s="18">
        <f t="shared" si="18"/>
        <v>0</v>
      </c>
    </row>
    <row r="416" spans="49:49" ht="15">
      <c r="AW416" s="18">
        <f t="shared" si="18"/>
        <v>0</v>
      </c>
    </row>
    <row r="417" spans="49:49" ht="15">
      <c r="AW417" s="18">
        <f t="shared" si="18"/>
        <v>0</v>
      </c>
    </row>
    <row r="418" spans="49:49" ht="15">
      <c r="AW418" s="18">
        <f t="shared" si="18"/>
        <v>0</v>
      </c>
    </row>
    <row r="419" spans="49:49" ht="15">
      <c r="AW419" s="18">
        <f t="shared" si="18"/>
        <v>0</v>
      </c>
    </row>
    <row r="420" spans="49:49" ht="15">
      <c r="AW420" s="18">
        <f t="shared" si="18"/>
        <v>0</v>
      </c>
    </row>
    <row r="421" spans="49:49" ht="15">
      <c r="AW421" s="18">
        <f t="shared" si="18"/>
        <v>0</v>
      </c>
    </row>
    <row r="422" spans="49:49" ht="15">
      <c r="AW422" s="18">
        <f t="shared" si="18"/>
        <v>0</v>
      </c>
    </row>
    <row r="423" spans="49:49" ht="15">
      <c r="AW423" s="18">
        <f t="shared" si="18"/>
        <v>0</v>
      </c>
    </row>
    <row r="424" spans="49:49" ht="15">
      <c r="AW424" s="18">
        <f t="shared" si="18"/>
        <v>0</v>
      </c>
    </row>
    <row r="425" spans="49:49" ht="15">
      <c r="AW425" s="18">
        <f t="shared" si="18"/>
        <v>0</v>
      </c>
    </row>
    <row r="426" spans="49:49" ht="15">
      <c r="AW426" s="18">
        <f t="shared" si="18"/>
        <v>0</v>
      </c>
    </row>
    <row r="427" spans="49:49" ht="15">
      <c r="AW427" s="18">
        <f t="shared" si="18"/>
        <v>0</v>
      </c>
    </row>
    <row r="428" spans="49:49" ht="15">
      <c r="AW428" s="18">
        <f t="shared" si="18"/>
        <v>0</v>
      </c>
    </row>
    <row r="429" spans="49:49" ht="15">
      <c r="AW429" s="18">
        <f t="shared" si="18"/>
        <v>0</v>
      </c>
    </row>
    <row r="430" spans="49:49" ht="15">
      <c r="AW430" s="18">
        <f t="shared" si="18"/>
        <v>0</v>
      </c>
    </row>
    <row r="431" spans="49:49" ht="15">
      <c r="AW431" s="18">
        <f t="shared" si="18"/>
        <v>0</v>
      </c>
    </row>
    <row r="432" spans="49:49" ht="15">
      <c r="AW432" s="18">
        <f t="shared" si="18"/>
        <v>0</v>
      </c>
    </row>
    <row r="433" spans="49:49" ht="15">
      <c r="AW433" s="18">
        <f t="shared" si="18"/>
        <v>0</v>
      </c>
    </row>
    <row r="434" spans="49:49" ht="15">
      <c r="AW434" s="18">
        <f t="shared" si="18"/>
        <v>0</v>
      </c>
    </row>
    <row r="435" spans="49:49" ht="15">
      <c r="AW435" s="18">
        <f t="shared" si="18"/>
        <v>0</v>
      </c>
    </row>
    <row r="436" spans="49:49" ht="15">
      <c r="AW436" s="18">
        <f t="shared" si="18"/>
        <v>0</v>
      </c>
    </row>
    <row r="437" spans="49:49" ht="15">
      <c r="AW437" s="18">
        <f t="shared" si="18"/>
        <v>0</v>
      </c>
    </row>
    <row r="438" spans="49:49" ht="15">
      <c r="AW438" s="18">
        <f t="shared" si="18"/>
        <v>0</v>
      </c>
    </row>
    <row r="439" spans="49:49" ht="15">
      <c r="AW439" s="18">
        <f t="shared" si="18"/>
        <v>0</v>
      </c>
    </row>
    <row r="440" spans="49:49" ht="15">
      <c r="AW440" s="18">
        <f t="shared" si="18"/>
        <v>0</v>
      </c>
    </row>
    <row r="441" spans="49:49" ht="15">
      <c r="AW441" s="18">
        <f t="shared" si="18"/>
        <v>0</v>
      </c>
    </row>
    <row r="442" spans="49:49" ht="15">
      <c r="AW442" s="18">
        <f t="shared" si="18"/>
        <v>0</v>
      </c>
    </row>
    <row r="443" spans="49:49" ht="15">
      <c r="AW443" s="18">
        <f t="shared" si="18"/>
        <v>0</v>
      </c>
    </row>
    <row r="444" spans="49:49" ht="15">
      <c r="AW444" s="18">
        <f t="shared" si="18"/>
        <v>0</v>
      </c>
    </row>
    <row r="445" spans="49:49" ht="15">
      <c r="AW445" s="18">
        <f t="shared" si="18"/>
        <v>0</v>
      </c>
    </row>
    <row r="446" spans="49:49" ht="15">
      <c r="AW446" s="18">
        <f t="shared" si="18"/>
        <v>0</v>
      </c>
    </row>
    <row r="447" spans="49:49" ht="15">
      <c r="AW447" s="18">
        <f t="shared" si="18"/>
        <v>0</v>
      </c>
    </row>
    <row r="448" spans="49:49" ht="15">
      <c r="AW448" s="18">
        <f t="shared" si="18"/>
        <v>0</v>
      </c>
    </row>
    <row r="449" spans="49:49" ht="15">
      <c r="AW449" s="18">
        <f t="shared" si="18"/>
        <v>0</v>
      </c>
    </row>
    <row r="450" spans="49:49" ht="15">
      <c r="AW450" s="18">
        <f t="shared" si="18"/>
        <v>0</v>
      </c>
    </row>
    <row r="451" spans="49:49" ht="15">
      <c r="AW451" s="18">
        <f t="shared" si="18"/>
        <v>0</v>
      </c>
    </row>
    <row r="452" spans="49:49" ht="15">
      <c r="AW452" s="18">
        <f t="shared" si="18"/>
        <v>0</v>
      </c>
    </row>
    <row r="453" spans="49:49" ht="15">
      <c r="AW453" s="18">
        <f t="shared" si="18"/>
        <v>0</v>
      </c>
    </row>
    <row r="454" spans="49:49" ht="15">
      <c r="AW454" s="18">
        <f t="shared" si="18"/>
        <v>0</v>
      </c>
    </row>
    <row r="455" spans="49:49" ht="15">
      <c r="AW455" s="18">
        <f t="shared" si="18"/>
        <v>0</v>
      </c>
    </row>
    <row r="456" spans="49:49" ht="15">
      <c r="AW456" s="18">
        <f t="shared" si="18"/>
        <v>0</v>
      </c>
    </row>
    <row r="457" spans="49:49" ht="15">
      <c r="AW457" s="18">
        <f t="shared" si="18"/>
        <v>0</v>
      </c>
    </row>
    <row r="458" spans="49:49" ht="15">
      <c r="AW458" s="18">
        <f t="shared" si="18"/>
        <v>0</v>
      </c>
    </row>
    <row r="459" spans="49:49" ht="15">
      <c r="AW459" s="18">
        <f t="shared" si="18"/>
        <v>0</v>
      </c>
    </row>
    <row r="460" spans="49:49" ht="15">
      <c r="AW460" s="18">
        <f t="shared" si="18"/>
        <v>0</v>
      </c>
    </row>
    <row r="461" spans="49:49" ht="15">
      <c r="AW461" s="18">
        <f t="shared" si="18"/>
        <v>0</v>
      </c>
    </row>
    <row r="462" spans="49:49" ht="15">
      <c r="AW462" s="18">
        <f t="shared" si="18"/>
        <v>0</v>
      </c>
    </row>
    <row r="463" spans="49:49" ht="15">
      <c r="AW463" s="18">
        <f t="shared" si="18"/>
        <v>0</v>
      </c>
    </row>
    <row r="464" spans="49:49" ht="15">
      <c r="AW464" s="18">
        <f t="shared" si="18"/>
        <v>0</v>
      </c>
    </row>
    <row r="465" spans="49:49" ht="15">
      <c r="AW465" s="18">
        <f t="shared" si="18"/>
        <v>0</v>
      </c>
    </row>
    <row r="466" spans="49:49" ht="15">
      <c r="AW466" s="18">
        <f t="shared" si="18"/>
        <v>0</v>
      </c>
    </row>
    <row r="467" spans="49:49" ht="15">
      <c r="AW467" s="18">
        <f t="shared" si="18"/>
        <v>0</v>
      </c>
    </row>
    <row r="468" spans="49:49" ht="15">
      <c r="AW468" s="18">
        <f t="shared" si="18"/>
        <v>0</v>
      </c>
    </row>
  </sheetData>
  <mergeCells count="60">
    <mergeCell ref="AO4:AU4"/>
    <mergeCell ref="B5:B6"/>
    <mergeCell ref="C5:C6"/>
    <mergeCell ref="D5:D6"/>
    <mergeCell ref="E5:E6"/>
    <mergeCell ref="H5:H6"/>
    <mergeCell ref="I5:I6"/>
    <mergeCell ref="J5:J6"/>
    <mergeCell ref="P5:P6"/>
    <mergeCell ref="W4:AD4"/>
    <mergeCell ref="AB5:AB6"/>
    <mergeCell ref="AC5:AC6"/>
    <mergeCell ref="AD5:AD6"/>
    <mergeCell ref="Q5:Q6"/>
    <mergeCell ref="W5:W6"/>
    <mergeCell ref="X5:X6"/>
    <mergeCell ref="AE4:AL4"/>
    <mergeCell ref="B4:C4"/>
    <mergeCell ref="AG5:AG6"/>
    <mergeCell ref="AH5:AH6"/>
    <mergeCell ref="R5:R6"/>
    <mergeCell ref="S5:S6"/>
    <mergeCell ref="AL5:AL6"/>
    <mergeCell ref="AI5:AI6"/>
    <mergeCell ref="AJ5:AJ6"/>
    <mergeCell ref="AK5:AK6"/>
    <mergeCell ref="Y5:Y6"/>
    <mergeCell ref="Z5:Z6"/>
    <mergeCell ref="AA5:AA6"/>
    <mergeCell ref="CC5:CD5"/>
    <mergeCell ref="J112:J176"/>
    <mergeCell ref="L112:L176"/>
    <mergeCell ref="AZ5:AZ6"/>
    <mergeCell ref="BA5:BE5"/>
    <mergeCell ref="BF5:BS5"/>
    <mergeCell ref="BT5:BW5"/>
    <mergeCell ref="AT5:AT6"/>
    <mergeCell ref="AU5:AU6"/>
    <mergeCell ref="AV5:AV6"/>
    <mergeCell ref="V5:V6"/>
    <mergeCell ref="K5:K6"/>
    <mergeCell ref="L5:L6"/>
    <mergeCell ref="N5:N6"/>
    <mergeCell ref="O5:O6"/>
    <mergeCell ref="J187:J189"/>
    <mergeCell ref="L187:L189"/>
    <mergeCell ref="BX5:BY5"/>
    <mergeCell ref="BZ5:CB5"/>
    <mergeCell ref="AX5:AX6"/>
    <mergeCell ref="AP5:AP6"/>
    <mergeCell ref="AQ5:AQ6"/>
    <mergeCell ref="AR5:AR6"/>
    <mergeCell ref="AS5:AS6"/>
    <mergeCell ref="AO5:AO6"/>
    <mergeCell ref="T5:T6"/>
    <mergeCell ref="J177:J186"/>
    <mergeCell ref="L177:L186"/>
    <mergeCell ref="U5:U6"/>
    <mergeCell ref="AF5:AF6"/>
    <mergeCell ref="AE5:AE6"/>
  </mergeCells>
  <phoneticPr fontId="14" type="noConversion"/>
  <conditionalFormatting sqref="AW1:AW7 AW12 AW15 AW18 AW21 AW70:AW1048576 AW9 AW29:AW35 AW39:AW41 AW43:AW68">
    <cfRule type="cellIs" dxfId="250" priority="36" stopIfTrue="1" operator="greaterThan">
      <formula>42</formula>
    </cfRule>
  </conditionalFormatting>
  <conditionalFormatting sqref="AW35">
    <cfRule type="cellIs" dxfId="249" priority="35" stopIfTrue="1" operator="greaterThan">
      <formula>42</formula>
    </cfRule>
  </conditionalFormatting>
  <conditionalFormatting sqref="AW43:AW55">
    <cfRule type="cellIs" dxfId="248" priority="34" stopIfTrue="1" operator="greaterThan">
      <formula>42</formula>
    </cfRule>
  </conditionalFormatting>
  <conditionalFormatting sqref="AW10">
    <cfRule type="cellIs" dxfId="247" priority="24" stopIfTrue="1" operator="greaterThan">
      <formula>42</formula>
    </cfRule>
  </conditionalFormatting>
  <conditionalFormatting sqref="AW13">
    <cfRule type="cellIs" dxfId="246" priority="23" stopIfTrue="1" operator="greaterThan">
      <formula>42</formula>
    </cfRule>
  </conditionalFormatting>
  <conditionalFormatting sqref="AW16">
    <cfRule type="cellIs" dxfId="245" priority="22" stopIfTrue="1" operator="greaterThan">
      <formula>42</formula>
    </cfRule>
  </conditionalFormatting>
  <conditionalFormatting sqref="AW19">
    <cfRule type="cellIs" dxfId="244" priority="21" stopIfTrue="1" operator="greaterThan">
      <formula>42</formula>
    </cfRule>
  </conditionalFormatting>
  <conditionalFormatting sqref="AW22">
    <cfRule type="cellIs" dxfId="243" priority="20" stopIfTrue="1" operator="greaterThan">
      <formula>42</formula>
    </cfRule>
  </conditionalFormatting>
  <conditionalFormatting sqref="AW11">
    <cfRule type="cellIs" dxfId="242" priority="19" stopIfTrue="1" operator="greaterThan">
      <formula>42</formula>
    </cfRule>
  </conditionalFormatting>
  <conditionalFormatting sqref="AW14">
    <cfRule type="cellIs" dxfId="241" priority="18" stopIfTrue="1" operator="greaterThan">
      <formula>42</formula>
    </cfRule>
  </conditionalFormatting>
  <conditionalFormatting sqref="AW17">
    <cfRule type="cellIs" dxfId="240" priority="17" stopIfTrue="1" operator="greaterThan">
      <formula>42</formula>
    </cfRule>
  </conditionalFormatting>
  <conditionalFormatting sqref="AW20">
    <cfRule type="cellIs" dxfId="239" priority="16" stopIfTrue="1" operator="greaterThan">
      <formula>42</formula>
    </cfRule>
  </conditionalFormatting>
  <conditionalFormatting sqref="AW23">
    <cfRule type="cellIs" dxfId="238" priority="15" stopIfTrue="1" operator="greaterThan">
      <formula>42</formula>
    </cfRule>
  </conditionalFormatting>
  <conditionalFormatting sqref="AW24">
    <cfRule type="cellIs" dxfId="237" priority="14" stopIfTrue="1" operator="greaterThan">
      <formula>42</formula>
    </cfRule>
  </conditionalFormatting>
  <conditionalFormatting sqref="AW25">
    <cfRule type="cellIs" dxfId="236" priority="13" stopIfTrue="1" operator="greaterThan">
      <formula>42</formula>
    </cfRule>
  </conditionalFormatting>
  <conditionalFormatting sqref="AW26">
    <cfRule type="cellIs" dxfId="235" priority="12" stopIfTrue="1" operator="greaterThan">
      <formula>42</formula>
    </cfRule>
  </conditionalFormatting>
  <conditionalFormatting sqref="AW27">
    <cfRule type="cellIs" dxfId="234" priority="11" stopIfTrue="1" operator="greaterThan">
      <formula>42</formula>
    </cfRule>
  </conditionalFormatting>
  <conditionalFormatting sqref="AW28">
    <cfRule type="cellIs" dxfId="233" priority="10" stopIfTrue="1" operator="greaterThan">
      <formula>42</formula>
    </cfRule>
  </conditionalFormatting>
  <conditionalFormatting sqref="AW69">
    <cfRule type="cellIs" dxfId="232" priority="9" stopIfTrue="1" operator="greaterThan">
      <formula>42</formula>
    </cfRule>
  </conditionalFormatting>
  <conditionalFormatting sqref="AW8">
    <cfRule type="cellIs" dxfId="231" priority="8" stopIfTrue="1" operator="greaterThan">
      <formula>42</formula>
    </cfRule>
  </conditionalFormatting>
  <conditionalFormatting sqref="AW36">
    <cfRule type="cellIs" dxfId="230" priority="7" stopIfTrue="1" operator="greaterThan">
      <formula>42</formula>
    </cfRule>
  </conditionalFormatting>
  <conditionalFormatting sqref="AW37">
    <cfRule type="cellIs" dxfId="229" priority="6" stopIfTrue="1" operator="greaterThan">
      <formula>42</formula>
    </cfRule>
  </conditionalFormatting>
  <conditionalFormatting sqref="AW38">
    <cfRule type="cellIs" dxfId="228" priority="5" stopIfTrue="1" operator="greaterThan">
      <formula>42</formula>
    </cfRule>
  </conditionalFormatting>
  <conditionalFormatting sqref="AW42">
    <cfRule type="cellIs" dxfId="227" priority="4" stopIfTrue="1" operator="greaterThan">
      <formula>42</formula>
    </cfRule>
  </conditionalFormatting>
  <conditionalFormatting sqref="AW44:AW55">
    <cfRule type="cellIs" dxfId="226" priority="3" stopIfTrue="1" operator="greaterThan">
      <formula>42</formula>
    </cfRule>
  </conditionalFormatting>
  <conditionalFormatting sqref="AW44:AW55">
    <cfRule type="cellIs" dxfId="225" priority="2" stopIfTrue="1" operator="greaterThan">
      <formula>42</formula>
    </cfRule>
  </conditionalFormatting>
  <conditionalFormatting sqref="AW44:AW55">
    <cfRule type="cellIs" dxfId="224" priority="1" stopIfTrue="1" operator="greaterThan">
      <formula>42</formula>
    </cfRule>
  </conditionalFormatting>
  <dataValidations count="2">
    <dataValidation type="textLength" allowBlank="1" showInputMessage="1" showErrorMessage="1" sqref="AO44:AT55" xr:uid="{00000000-0002-0000-0900-000000000000}">
      <formula1>0</formula1>
      <formula2>4</formula2>
    </dataValidation>
    <dataValidation type="textLength" operator="lessThan" allowBlank="1" showInputMessage="1" showErrorMessage="1" error="text length exceeded" prompt="max. 64 charcters" sqref="C46 B44:B54 C51:C53" xr:uid="{00000000-0002-0000-0900-000001000000}">
      <formula1>65</formula1>
    </dataValidation>
  </dataValidations>
  <pageMargins left="0.78740157499999996" right="0.78740157499999996" top="0.984251969" bottom="0.984251969" header="0.49212598499999999" footer="0.49212598499999999"/>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3"/>
  <dimension ref="A1:CI534"/>
  <sheetViews>
    <sheetView showGridLines="0" showRuler="0" topLeftCell="A4" zoomScale="60" zoomScaleNormal="60" zoomScalePageLayoutView="70" workbookViewId="0">
      <pane ySplit="3" topLeftCell="A7" activePane="bottomLeft" state="frozenSplit"/>
      <selection activeCell="A4" sqref="A4"/>
      <selection pane="bottomLeft" activeCell="J47" sqref="J47"/>
    </sheetView>
  </sheetViews>
  <sheetFormatPr defaultColWidth="8.88671875" defaultRowHeight="13.2"/>
  <cols>
    <col min="1" max="1" width="5.6640625" style="144" customWidth="1"/>
    <col min="2" max="2" width="46.44140625" hidden="1" customWidth="1"/>
    <col min="3" max="3" width="8.6640625" hidden="1" customWidth="1"/>
    <col min="4" max="4" width="0" hidden="1" customWidth="1"/>
    <col min="5" max="7" width="10" hidden="1" customWidth="1"/>
    <col min="8" max="9" width="0" hidden="1" customWidth="1"/>
    <col min="10" max="10" width="36.6640625" style="144" customWidth="1"/>
    <col min="11" max="11" width="18.33203125" customWidth="1"/>
    <col min="12" max="12" width="43.33203125" style="144" customWidth="1"/>
    <col min="13" max="13" width="36.44140625" customWidth="1"/>
    <col min="14" max="14" width="9" style="138" bestFit="1" customWidth="1"/>
    <col min="15" max="16" width="5.6640625" style="138" customWidth="1"/>
    <col min="17" max="20" width="4.6640625" style="138" customWidth="1"/>
    <col min="21" max="21" width="75.88671875" style="144" customWidth="1"/>
    <col min="22" max="22" width="39.44140625" customWidth="1"/>
    <col min="23" max="23" width="18.33203125" customWidth="1"/>
    <col min="24" max="25" width="5.6640625" customWidth="1"/>
    <col min="26" max="27" width="4.6640625" style="144" customWidth="1"/>
    <col min="28" max="28" width="47.44140625" style="138" customWidth="1"/>
    <col min="29" max="29" width="16.109375" customWidth="1"/>
    <col min="30" max="30" width="22.109375" customWidth="1"/>
    <col min="31" max="31" width="18.33203125" customWidth="1"/>
    <col min="32" max="33" width="5.6640625" customWidth="1"/>
    <col min="34" max="35" width="4.6640625" customWidth="1"/>
    <col min="36" max="36" width="33.6640625" customWidth="1"/>
    <col min="37" max="37" width="8.88671875" customWidth="1"/>
    <col min="38" max="38" width="24.44140625" customWidth="1"/>
    <col min="39" max="39" width="12.44140625" customWidth="1"/>
    <col min="40" max="40" width="30.6640625" customWidth="1"/>
    <col min="48" max="48" width="30.6640625" customWidth="1"/>
    <col min="49" max="49" width="0" hidden="1" customWidth="1"/>
  </cols>
  <sheetData>
    <row r="1" spans="1:86" ht="13.8" hidden="1" thickBot="1"/>
    <row r="2" spans="1:86" ht="13.8" hidden="1" thickBot="1"/>
    <row r="3" spans="1:86" s="1" customFormat="1" ht="13.8" hidden="1" thickBot="1">
      <c r="A3" s="146"/>
      <c r="C3" s="2"/>
      <c r="E3" s="3"/>
      <c r="F3" s="3"/>
      <c r="G3" s="3"/>
      <c r="H3" s="3"/>
      <c r="I3" s="3"/>
      <c r="J3" s="136"/>
      <c r="K3" s="3"/>
      <c r="L3" s="136"/>
      <c r="M3" s="3"/>
      <c r="N3" s="136"/>
      <c r="O3" s="136"/>
      <c r="P3" s="136"/>
      <c r="Q3" s="136"/>
      <c r="R3" s="136"/>
      <c r="S3" s="136"/>
      <c r="T3" s="136"/>
      <c r="U3" s="136"/>
      <c r="V3" s="3"/>
      <c r="W3" s="3"/>
      <c r="X3" s="4"/>
      <c r="Y3" s="5"/>
      <c r="Z3" s="146"/>
      <c r="AA3" s="136"/>
      <c r="AB3" s="136"/>
      <c r="AC3" s="3"/>
      <c r="AD3" s="3"/>
      <c r="AE3" s="3"/>
      <c r="AF3" s="4"/>
      <c r="AG3" s="5"/>
      <c r="AH3" s="5"/>
      <c r="AI3" s="3"/>
      <c r="AJ3" s="3"/>
      <c r="AK3" s="2"/>
      <c r="AL3" s="2"/>
      <c r="AM3" s="2"/>
      <c r="AN3" s="2"/>
      <c r="AO3" s="2"/>
      <c r="AP3" s="2"/>
      <c r="AQ3" s="2"/>
    </row>
    <row r="4" spans="1:86"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604"/>
      <c r="G5" s="604"/>
      <c r="H5" s="637" t="s">
        <v>475</v>
      </c>
      <c r="I5" s="646" t="s">
        <v>476</v>
      </c>
      <c r="J5" s="648" t="s">
        <v>477</v>
      </c>
      <c r="K5" s="648" t="s">
        <v>478</v>
      </c>
      <c r="L5" s="648" t="s">
        <v>479</v>
      </c>
      <c r="M5" s="606"/>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38" customHeight="1" thickBot="1">
      <c r="A6" s="58" t="s">
        <v>501</v>
      </c>
      <c r="B6" s="655"/>
      <c r="C6" s="655"/>
      <c r="D6" s="638"/>
      <c r="E6" s="638"/>
      <c r="F6" s="605" t="s">
        <v>473</v>
      </c>
      <c r="G6" s="605" t="s">
        <v>474</v>
      </c>
      <c r="H6" s="638"/>
      <c r="I6" s="647"/>
      <c r="J6" s="649"/>
      <c r="K6" s="649"/>
      <c r="L6" s="649"/>
      <c r="M6" s="607" t="s">
        <v>3506</v>
      </c>
      <c r="N6" s="649"/>
      <c r="O6" s="649"/>
      <c r="P6" s="649"/>
      <c r="Q6" s="649"/>
      <c r="R6" s="649"/>
      <c r="S6" s="649"/>
      <c r="T6" s="649"/>
      <c r="U6" s="649"/>
      <c r="V6" s="649"/>
      <c r="W6" s="636"/>
      <c r="X6" s="636"/>
      <c r="Y6" s="636"/>
      <c r="Z6" s="641"/>
      <c r="AA6" s="636"/>
      <c r="AB6" s="636"/>
      <c r="AC6" s="636"/>
      <c r="AD6" s="636"/>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52">
        <f t="shared" ref="A7:A70" si="0">ROW() - 6</f>
        <v>1</v>
      </c>
      <c r="B7" s="65"/>
      <c r="C7" s="65"/>
      <c r="D7" s="65"/>
      <c r="E7" s="65"/>
      <c r="F7" s="65"/>
      <c r="G7" s="65"/>
      <c r="H7" s="65"/>
      <c r="I7" s="65"/>
      <c r="J7" s="537" t="s">
        <v>503</v>
      </c>
      <c r="K7" s="65"/>
      <c r="L7" s="142"/>
      <c r="M7" s="65"/>
      <c r="N7" s="137"/>
      <c r="O7" s="137"/>
      <c r="P7" s="137"/>
      <c r="Q7" s="137"/>
      <c r="R7" s="137"/>
      <c r="S7" s="137"/>
      <c r="T7" s="137"/>
      <c r="U7" s="145"/>
      <c r="V7" s="73"/>
      <c r="W7" s="65"/>
      <c r="X7" s="65"/>
      <c r="Y7" s="65"/>
      <c r="Z7" s="142"/>
      <c r="AA7" s="142"/>
      <c r="AB7" s="137"/>
      <c r="AC7" s="65"/>
      <c r="AD7" s="65"/>
      <c r="AE7" s="65"/>
      <c r="AF7" s="65"/>
      <c r="AG7" s="65"/>
      <c r="AH7" s="65"/>
      <c r="AI7" s="65"/>
      <c r="AJ7" s="73"/>
      <c r="AK7" s="65"/>
      <c r="AL7" s="65"/>
      <c r="AM7" s="65"/>
      <c r="AN7" s="65"/>
      <c r="AO7" s="65"/>
      <c r="AP7" s="65"/>
      <c r="AQ7" s="65"/>
      <c r="AR7" s="65"/>
      <c r="AS7" s="65"/>
      <c r="AT7" s="65"/>
      <c r="AU7" s="65"/>
      <c r="AV7" s="545"/>
      <c r="AW7" s="18">
        <f t="shared" ref="AW7:AW37" si="1">LEN(L7)</f>
        <v>0</v>
      </c>
    </row>
    <row r="8" spans="1:86" s="12" customFormat="1" ht="15">
      <c r="A8" s="40">
        <f t="shared" si="0"/>
        <v>2</v>
      </c>
      <c r="B8" s="33"/>
      <c r="C8" s="34"/>
      <c r="D8" s="33"/>
      <c r="E8" s="33"/>
      <c r="F8" s="33"/>
      <c r="G8" s="33"/>
      <c r="H8" s="414"/>
      <c r="I8" s="416"/>
      <c r="J8" s="412" t="s">
        <v>1898</v>
      </c>
      <c r="K8" s="412" t="s">
        <v>122</v>
      </c>
      <c r="L8" s="412" t="s">
        <v>889</v>
      </c>
      <c r="M8" s="412" t="s">
        <v>4037</v>
      </c>
      <c r="N8" s="349" t="s">
        <v>873</v>
      </c>
      <c r="O8" s="40"/>
      <c r="P8" s="40"/>
      <c r="Q8" s="40"/>
      <c r="R8" s="40" t="s">
        <v>6</v>
      </c>
      <c r="S8" s="40" t="s">
        <v>6</v>
      </c>
      <c r="T8" s="40" t="s">
        <v>6</v>
      </c>
      <c r="U8" s="40"/>
      <c r="V8" s="40"/>
      <c r="W8" s="412" t="s">
        <v>123</v>
      </c>
      <c r="X8" s="13"/>
      <c r="Y8" s="13"/>
      <c r="Z8" s="40" t="s">
        <v>6</v>
      </c>
      <c r="AA8" s="40" t="s">
        <v>6</v>
      </c>
      <c r="AB8" s="40"/>
      <c r="AC8" s="13"/>
      <c r="AD8" s="218" t="s">
        <v>1899</v>
      </c>
      <c r="AE8" s="412" t="s">
        <v>123</v>
      </c>
      <c r="AF8" s="13"/>
      <c r="AG8" s="13"/>
      <c r="AH8" s="13" t="s">
        <v>6</v>
      </c>
      <c r="AI8" s="13" t="s">
        <v>6</v>
      </c>
      <c r="AJ8" s="13"/>
      <c r="AK8" s="13"/>
      <c r="AL8" s="218" t="s">
        <v>1899</v>
      </c>
      <c r="AM8" s="43"/>
      <c r="AN8" s="19"/>
      <c r="AO8" s="37"/>
      <c r="AP8" s="37"/>
      <c r="AQ8" s="37"/>
      <c r="AR8" s="37"/>
      <c r="AS8" s="37"/>
      <c r="AT8" s="37"/>
      <c r="AU8" s="13"/>
      <c r="AV8" s="13"/>
      <c r="AW8" s="18">
        <f t="shared" si="1"/>
        <v>31</v>
      </c>
    </row>
    <row r="9" spans="1:86" s="12" customFormat="1" ht="15">
      <c r="A9" s="40">
        <f t="shared" si="0"/>
        <v>3</v>
      </c>
      <c r="B9" s="38"/>
      <c r="C9" s="34"/>
      <c r="D9" s="33"/>
      <c r="E9" s="39"/>
      <c r="F9" s="39"/>
      <c r="G9" s="39"/>
      <c r="H9" s="414"/>
      <c r="I9" s="40"/>
      <c r="J9" s="412" t="s">
        <v>1900</v>
      </c>
      <c r="K9" s="412" t="s">
        <v>122</v>
      </c>
      <c r="L9" s="412" t="s">
        <v>894</v>
      </c>
      <c r="M9" s="412" t="s">
        <v>4037</v>
      </c>
      <c r="N9" s="349" t="s">
        <v>873</v>
      </c>
      <c r="O9" s="40"/>
      <c r="P9" s="40"/>
      <c r="Q9" s="40"/>
      <c r="R9" s="40" t="s">
        <v>6</v>
      </c>
      <c r="S9" s="40" t="s">
        <v>6</v>
      </c>
      <c r="T9" s="40" t="s">
        <v>6</v>
      </c>
      <c r="U9" s="40"/>
      <c r="V9" s="40"/>
      <c r="W9" s="412" t="s">
        <v>123</v>
      </c>
      <c r="X9" s="13"/>
      <c r="Y9" s="13"/>
      <c r="Z9" s="40" t="s">
        <v>6</v>
      </c>
      <c r="AA9" s="40" t="s">
        <v>6</v>
      </c>
      <c r="AB9" s="40"/>
      <c r="AC9" s="13"/>
      <c r="AD9" s="218" t="s">
        <v>1899</v>
      </c>
      <c r="AE9" s="412" t="s">
        <v>123</v>
      </c>
      <c r="AF9" s="13"/>
      <c r="AG9" s="13"/>
      <c r="AH9" s="13" t="s">
        <v>6</v>
      </c>
      <c r="AI9" s="13" t="s">
        <v>6</v>
      </c>
      <c r="AJ9" s="13"/>
      <c r="AK9" s="13"/>
      <c r="AL9" s="218" t="s">
        <v>1899</v>
      </c>
      <c r="AM9" s="43"/>
      <c r="AN9" s="19"/>
      <c r="AO9" s="37"/>
      <c r="AP9" s="37"/>
      <c r="AQ9" s="37"/>
      <c r="AR9" s="37"/>
      <c r="AS9" s="37"/>
      <c r="AT9" s="37"/>
      <c r="AU9" s="13"/>
      <c r="AV9" s="13"/>
      <c r="AW9" s="18">
        <f t="shared" si="1"/>
        <v>31</v>
      </c>
    </row>
    <row r="10" spans="1:86" s="12" customFormat="1" ht="15">
      <c r="A10" s="40">
        <f t="shared" si="0"/>
        <v>4</v>
      </c>
      <c r="B10" s="38"/>
      <c r="C10" s="41"/>
      <c r="D10" s="33"/>
      <c r="E10" s="39"/>
      <c r="F10" s="39"/>
      <c r="G10" s="39"/>
      <c r="H10" s="414"/>
      <c r="I10" s="40"/>
      <c r="J10" s="412" t="s">
        <v>1901</v>
      </c>
      <c r="K10" s="412" t="s">
        <v>122</v>
      </c>
      <c r="L10" s="412" t="s">
        <v>896</v>
      </c>
      <c r="M10" s="412" t="s">
        <v>4037</v>
      </c>
      <c r="N10" s="349" t="s">
        <v>873</v>
      </c>
      <c r="O10" s="416"/>
      <c r="P10" s="416"/>
      <c r="Q10" s="416"/>
      <c r="R10" s="416" t="s">
        <v>6</v>
      </c>
      <c r="S10" s="416" t="s">
        <v>6</v>
      </c>
      <c r="T10" s="416" t="s">
        <v>6</v>
      </c>
      <c r="U10" s="40"/>
      <c r="V10" s="40"/>
      <c r="W10" s="412" t="s">
        <v>123</v>
      </c>
      <c r="X10" s="13"/>
      <c r="Y10" s="13"/>
      <c r="Z10" s="416" t="s">
        <v>6</v>
      </c>
      <c r="AA10" s="416" t="s">
        <v>6</v>
      </c>
      <c r="AB10" s="416"/>
      <c r="AC10" s="414"/>
      <c r="AD10" s="218" t="s">
        <v>1899</v>
      </c>
      <c r="AE10" s="412" t="s">
        <v>123</v>
      </c>
      <c r="AF10" s="13"/>
      <c r="AG10" s="13"/>
      <c r="AH10" s="414" t="s">
        <v>6</v>
      </c>
      <c r="AI10" s="414" t="s">
        <v>6</v>
      </c>
      <c r="AJ10" s="414"/>
      <c r="AK10" s="414"/>
      <c r="AL10" s="218" t="s">
        <v>1899</v>
      </c>
      <c r="AM10" s="36"/>
      <c r="AN10" s="35"/>
      <c r="AO10" s="37"/>
      <c r="AP10" s="37"/>
      <c r="AQ10" s="37"/>
      <c r="AR10" s="37"/>
      <c r="AS10" s="37"/>
      <c r="AT10" s="37"/>
      <c r="AU10" s="13"/>
      <c r="AV10" s="13"/>
      <c r="AW10" s="18">
        <f t="shared" si="1"/>
        <v>31</v>
      </c>
    </row>
    <row r="11" spans="1:86" s="12" customFormat="1" ht="15">
      <c r="A11" s="40">
        <f t="shared" si="0"/>
        <v>5</v>
      </c>
      <c r="B11" s="38"/>
      <c r="C11" s="41"/>
      <c r="D11" s="33"/>
      <c r="E11" s="39"/>
      <c r="F11" s="39"/>
      <c r="G11" s="39"/>
      <c r="H11" s="414"/>
      <c r="I11" s="40"/>
      <c r="J11" s="412" t="s">
        <v>1902</v>
      </c>
      <c r="K11" s="412" t="s">
        <v>122</v>
      </c>
      <c r="L11" s="215" t="s">
        <v>1903</v>
      </c>
      <c r="M11" s="412" t="s">
        <v>4037</v>
      </c>
      <c r="N11" s="349" t="s">
        <v>873</v>
      </c>
      <c r="O11" s="416"/>
      <c r="P11" s="416"/>
      <c r="Q11" s="416" t="s">
        <v>6</v>
      </c>
      <c r="R11" s="416" t="s">
        <v>6</v>
      </c>
      <c r="S11" s="416" t="s">
        <v>6</v>
      </c>
      <c r="T11" s="416" t="s">
        <v>6</v>
      </c>
      <c r="U11" s="40"/>
      <c r="V11" s="40"/>
      <c r="W11" s="412" t="s">
        <v>123</v>
      </c>
      <c r="X11" s="413"/>
      <c r="Y11" s="413"/>
      <c r="Z11" s="416" t="s">
        <v>6</v>
      </c>
      <c r="AA11" s="416" t="s">
        <v>6</v>
      </c>
      <c r="AB11" s="460"/>
      <c r="AC11" s="401"/>
      <c r="AD11" s="218" t="s">
        <v>1899</v>
      </c>
      <c r="AE11" s="412" t="s">
        <v>123</v>
      </c>
      <c r="AF11" s="413"/>
      <c r="AG11" s="413"/>
      <c r="AH11" s="414" t="s">
        <v>6</v>
      </c>
      <c r="AI11" s="414" t="s">
        <v>6</v>
      </c>
      <c r="AJ11" s="401"/>
      <c r="AK11" s="401"/>
      <c r="AL11" s="218" t="s">
        <v>1899</v>
      </c>
      <c r="AM11" s="36"/>
      <c r="AN11" s="267"/>
      <c r="AO11" s="37"/>
      <c r="AP11" s="37"/>
      <c r="AQ11" s="37"/>
      <c r="AR11" s="37"/>
      <c r="AS11" s="37"/>
      <c r="AT11" s="37"/>
      <c r="AU11" s="13"/>
      <c r="AV11" s="13"/>
      <c r="AW11" s="18">
        <f t="shared" si="1"/>
        <v>21</v>
      </c>
    </row>
    <row r="12" spans="1:86" s="14" customFormat="1" ht="15">
      <c r="A12" s="40">
        <f t="shared" si="0"/>
        <v>6</v>
      </c>
      <c r="B12" s="38"/>
      <c r="C12" s="42"/>
      <c r="D12" s="19"/>
      <c r="E12" s="19"/>
      <c r="F12" s="35"/>
      <c r="G12" s="35"/>
      <c r="H12" s="414"/>
      <c r="I12" s="13"/>
      <c r="J12" s="412" t="s">
        <v>1904</v>
      </c>
      <c r="K12" s="412" t="s">
        <v>132</v>
      </c>
      <c r="L12" s="412" t="s">
        <v>1905</v>
      </c>
      <c r="M12" s="472" t="s">
        <v>3809</v>
      </c>
      <c r="N12" s="416" t="s">
        <v>504</v>
      </c>
      <c r="O12" s="40"/>
      <c r="P12" s="40"/>
      <c r="Q12" s="416" t="s">
        <v>6</v>
      </c>
      <c r="R12" s="416" t="s">
        <v>6</v>
      </c>
      <c r="S12" s="416" t="s">
        <v>6</v>
      </c>
      <c r="T12" s="416" t="s">
        <v>6</v>
      </c>
      <c r="U12" s="40"/>
      <c r="V12" s="13"/>
      <c r="W12" s="412" t="s">
        <v>133</v>
      </c>
      <c r="X12" s="413"/>
      <c r="Y12" s="413"/>
      <c r="Z12" s="416" t="s">
        <v>6</v>
      </c>
      <c r="AA12" s="416" t="s">
        <v>6</v>
      </c>
      <c r="AB12" s="415"/>
      <c r="AC12" s="415"/>
      <c r="AD12" s="218" t="s">
        <v>1899</v>
      </c>
      <c r="AE12" s="412" t="s">
        <v>133</v>
      </c>
      <c r="AF12" s="413"/>
      <c r="AG12" s="413"/>
      <c r="AH12" s="414" t="s">
        <v>6</v>
      </c>
      <c r="AI12" s="414" t="s">
        <v>6</v>
      </c>
      <c r="AJ12" s="413"/>
      <c r="AK12" s="415"/>
      <c r="AL12" s="218" t="s">
        <v>1899</v>
      </c>
      <c r="AM12" s="43"/>
      <c r="AN12" s="44"/>
      <c r="AO12" s="13"/>
      <c r="AP12" s="13"/>
      <c r="AQ12" s="13"/>
      <c r="AR12" s="13"/>
      <c r="AS12" s="13"/>
      <c r="AT12" s="13"/>
      <c r="AU12" s="13"/>
      <c r="AV12" s="13"/>
      <c r="AW12" s="18">
        <f t="shared" si="1"/>
        <v>38</v>
      </c>
    </row>
    <row r="13" spans="1:86" s="12" customFormat="1" ht="15">
      <c r="A13" s="40">
        <f t="shared" si="0"/>
        <v>7</v>
      </c>
      <c r="B13" s="38"/>
      <c r="C13" s="42"/>
      <c r="D13" s="19"/>
      <c r="E13" s="19"/>
      <c r="F13" s="35"/>
      <c r="G13" s="35"/>
      <c r="H13" s="414"/>
      <c r="I13" s="13"/>
      <c r="J13" s="412" t="s">
        <v>1906</v>
      </c>
      <c r="K13" s="412" t="s">
        <v>122</v>
      </c>
      <c r="L13" s="215" t="s">
        <v>1907</v>
      </c>
      <c r="M13" s="215" t="s">
        <v>3602</v>
      </c>
      <c r="N13" s="349" t="s">
        <v>873</v>
      </c>
      <c r="O13" s="40"/>
      <c r="P13" s="40"/>
      <c r="Q13" s="416" t="s">
        <v>6</v>
      </c>
      <c r="R13" s="416" t="s">
        <v>6</v>
      </c>
      <c r="S13" s="416" t="s">
        <v>6</v>
      </c>
      <c r="T13" s="416" t="s">
        <v>6</v>
      </c>
      <c r="U13" s="40"/>
      <c r="V13" s="13"/>
      <c r="W13" s="412" t="s">
        <v>123</v>
      </c>
      <c r="X13" s="413"/>
      <c r="Y13" s="413"/>
      <c r="Z13" s="416" t="s">
        <v>6</v>
      </c>
      <c r="AA13" s="416" t="s">
        <v>6</v>
      </c>
      <c r="AB13" s="415"/>
      <c r="AC13" s="415"/>
      <c r="AD13" s="218" t="s">
        <v>1899</v>
      </c>
      <c r="AE13" s="412" t="s">
        <v>123</v>
      </c>
      <c r="AF13" s="413"/>
      <c r="AG13" s="413"/>
      <c r="AH13" s="414" t="s">
        <v>6</v>
      </c>
      <c r="AI13" s="414" t="s">
        <v>6</v>
      </c>
      <c r="AJ13" s="413"/>
      <c r="AK13" s="415"/>
      <c r="AL13" s="218" t="s">
        <v>1899</v>
      </c>
      <c r="AM13" s="43"/>
      <c r="AN13" s="44"/>
      <c r="AO13" s="13"/>
      <c r="AP13" s="13"/>
      <c r="AQ13" s="13"/>
      <c r="AR13" s="13"/>
      <c r="AS13" s="13"/>
      <c r="AT13" s="13"/>
      <c r="AU13" s="13"/>
      <c r="AV13" s="13"/>
      <c r="AW13" s="18">
        <f t="shared" si="1"/>
        <v>20</v>
      </c>
    </row>
    <row r="14" spans="1:86" s="12" customFormat="1" ht="15">
      <c r="A14" s="40">
        <f t="shared" si="0"/>
        <v>8</v>
      </c>
      <c r="B14" s="19"/>
      <c r="C14" s="41"/>
      <c r="D14" s="19"/>
      <c r="E14" s="19"/>
      <c r="F14" s="19"/>
      <c r="G14" s="19"/>
      <c r="H14" s="13"/>
      <c r="I14" s="13"/>
      <c r="J14" s="412" t="s">
        <v>1908</v>
      </c>
      <c r="K14" s="412" t="s">
        <v>122</v>
      </c>
      <c r="L14" s="215" t="s">
        <v>1909</v>
      </c>
      <c r="M14" s="215" t="s">
        <v>3602</v>
      </c>
      <c r="N14" s="349" t="s">
        <v>873</v>
      </c>
      <c r="O14" s="40"/>
      <c r="P14" s="40"/>
      <c r="Q14" s="416" t="s">
        <v>6</v>
      </c>
      <c r="R14" s="416" t="s">
        <v>6</v>
      </c>
      <c r="S14" s="416" t="s">
        <v>6</v>
      </c>
      <c r="T14" s="416" t="s">
        <v>6</v>
      </c>
      <c r="U14" s="40"/>
      <c r="V14" s="13"/>
      <c r="W14" s="412" t="s">
        <v>123</v>
      </c>
      <c r="X14" s="415"/>
      <c r="Y14" s="413"/>
      <c r="Z14" s="416" t="s">
        <v>6</v>
      </c>
      <c r="AA14" s="416" t="s">
        <v>6</v>
      </c>
      <c r="AB14" s="415"/>
      <c r="AC14" s="415"/>
      <c r="AD14" s="218" t="s">
        <v>1899</v>
      </c>
      <c r="AE14" s="412" t="s">
        <v>123</v>
      </c>
      <c r="AF14" s="415"/>
      <c r="AG14" s="413"/>
      <c r="AH14" s="414" t="s">
        <v>6</v>
      </c>
      <c r="AI14" s="414" t="s">
        <v>6</v>
      </c>
      <c r="AJ14" s="45"/>
      <c r="AK14" s="415"/>
      <c r="AL14" s="218" t="s">
        <v>1899</v>
      </c>
      <c r="AM14" s="43"/>
      <c r="AN14" s="13"/>
      <c r="AO14" s="15"/>
      <c r="AP14" s="15"/>
      <c r="AQ14" s="15"/>
      <c r="AR14" s="15"/>
      <c r="AS14" s="15"/>
      <c r="AT14" s="15"/>
      <c r="AU14" s="13"/>
      <c r="AV14" s="15"/>
      <c r="AW14" s="18">
        <f t="shared" si="1"/>
        <v>24</v>
      </c>
      <c r="AX14" s="16"/>
      <c r="AY14" s="17"/>
    </row>
    <row r="15" spans="1:86" s="12" customFormat="1" ht="15">
      <c r="A15" s="40">
        <f t="shared" si="0"/>
        <v>9</v>
      </c>
      <c r="B15" s="38"/>
      <c r="C15" s="42"/>
      <c r="D15" s="19"/>
      <c r="E15" s="19"/>
      <c r="F15" s="19"/>
      <c r="G15" s="19"/>
      <c r="H15" s="13"/>
      <c r="I15" s="13"/>
      <c r="J15" s="412" t="s">
        <v>1910</v>
      </c>
      <c r="K15" s="412" t="s">
        <v>122</v>
      </c>
      <c r="L15" s="215" t="s">
        <v>1911</v>
      </c>
      <c r="M15" s="215" t="s">
        <v>3602</v>
      </c>
      <c r="N15" s="349" t="s">
        <v>873</v>
      </c>
      <c r="O15" s="40"/>
      <c r="P15" s="40"/>
      <c r="Q15" s="416" t="s">
        <v>6</v>
      </c>
      <c r="R15" s="416" t="s">
        <v>6</v>
      </c>
      <c r="S15" s="416" t="s">
        <v>6</v>
      </c>
      <c r="T15" s="416" t="s">
        <v>6</v>
      </c>
      <c r="U15" s="40"/>
      <c r="V15" s="13"/>
      <c r="W15" s="412" t="s">
        <v>123</v>
      </c>
      <c r="X15" s="413"/>
      <c r="Y15" s="413"/>
      <c r="Z15" s="416" t="s">
        <v>6</v>
      </c>
      <c r="AA15" s="416" t="s">
        <v>6</v>
      </c>
      <c r="AB15" s="415"/>
      <c r="AC15" s="415"/>
      <c r="AD15" s="218" t="s">
        <v>1899</v>
      </c>
      <c r="AE15" s="412" t="s">
        <v>123</v>
      </c>
      <c r="AF15" s="413"/>
      <c r="AG15" s="413"/>
      <c r="AH15" s="414" t="s">
        <v>6</v>
      </c>
      <c r="AI15" s="414" t="s">
        <v>6</v>
      </c>
      <c r="AJ15" s="413"/>
      <c r="AK15" s="415"/>
      <c r="AL15" s="218" t="s">
        <v>1899</v>
      </c>
      <c r="AM15" s="43"/>
      <c r="AN15" s="44"/>
      <c r="AO15" s="13"/>
      <c r="AP15" s="13"/>
      <c r="AQ15" s="13"/>
      <c r="AR15" s="13"/>
      <c r="AS15" s="13"/>
      <c r="AT15" s="13"/>
      <c r="AU15" s="13"/>
      <c r="AV15" s="13"/>
      <c r="AW15" s="18">
        <f t="shared" si="1"/>
        <v>22</v>
      </c>
      <c r="AX15" s="16"/>
      <c r="AY15" s="17"/>
    </row>
    <row r="16" spans="1:86" s="12" customFormat="1" ht="15">
      <c r="A16" s="40">
        <f t="shared" si="0"/>
        <v>10</v>
      </c>
      <c r="B16" s="38"/>
      <c r="C16" s="42"/>
      <c r="D16" s="19"/>
      <c r="E16" s="19"/>
      <c r="F16" s="19"/>
      <c r="G16" s="19"/>
      <c r="H16" s="13"/>
      <c r="I16" s="13"/>
      <c r="J16" s="412" t="s">
        <v>1912</v>
      </c>
      <c r="K16" s="412" t="s">
        <v>122</v>
      </c>
      <c r="L16" s="215" t="s">
        <v>1913</v>
      </c>
      <c r="M16" s="215" t="s">
        <v>3602</v>
      </c>
      <c r="N16" s="349" t="s">
        <v>873</v>
      </c>
      <c r="O16" s="40"/>
      <c r="P16" s="40"/>
      <c r="Q16" s="416" t="s">
        <v>6</v>
      </c>
      <c r="R16" s="416" t="s">
        <v>6</v>
      </c>
      <c r="S16" s="416" t="s">
        <v>6</v>
      </c>
      <c r="T16" s="416" t="s">
        <v>6</v>
      </c>
      <c r="U16" s="40"/>
      <c r="V16" s="13"/>
      <c r="W16" s="412" t="s">
        <v>123</v>
      </c>
      <c r="X16" s="413"/>
      <c r="Y16" s="413"/>
      <c r="Z16" s="416" t="s">
        <v>6</v>
      </c>
      <c r="AA16" s="416" t="s">
        <v>6</v>
      </c>
      <c r="AB16" s="415"/>
      <c r="AC16" s="415"/>
      <c r="AD16" s="218" t="s">
        <v>1899</v>
      </c>
      <c r="AE16" s="412" t="s">
        <v>123</v>
      </c>
      <c r="AF16" s="413"/>
      <c r="AG16" s="413"/>
      <c r="AH16" s="414" t="s">
        <v>6</v>
      </c>
      <c r="AI16" s="414" t="s">
        <v>6</v>
      </c>
      <c r="AJ16" s="413"/>
      <c r="AK16" s="415"/>
      <c r="AL16" s="218" t="s">
        <v>1899</v>
      </c>
      <c r="AM16" s="43"/>
      <c r="AN16" s="44"/>
      <c r="AO16" s="13"/>
      <c r="AP16" s="13"/>
      <c r="AQ16" s="13"/>
      <c r="AR16" s="13"/>
      <c r="AS16" s="13"/>
      <c r="AT16" s="13"/>
      <c r="AU16" s="13"/>
      <c r="AV16" s="13"/>
      <c r="AW16" s="18">
        <f t="shared" si="1"/>
        <v>42</v>
      </c>
      <c r="AX16" s="16"/>
      <c r="AY16" s="17"/>
    </row>
    <row r="17" spans="1:87" s="18" customFormat="1" ht="15">
      <c r="A17" s="40">
        <f t="shared" si="0"/>
        <v>11</v>
      </c>
      <c r="B17" s="38"/>
      <c r="C17" s="42"/>
      <c r="D17" s="38"/>
      <c r="E17" s="46"/>
      <c r="F17" s="46"/>
      <c r="G17" s="46"/>
      <c r="H17" s="13"/>
      <c r="I17" s="40"/>
      <c r="J17" s="412" t="s">
        <v>1914</v>
      </c>
      <c r="K17" s="412" t="s">
        <v>122</v>
      </c>
      <c r="L17" s="215" t="s">
        <v>1915</v>
      </c>
      <c r="M17" s="215" t="s">
        <v>4378</v>
      </c>
      <c r="N17" s="349" t="s">
        <v>873</v>
      </c>
      <c r="O17" s="40"/>
      <c r="P17" s="40"/>
      <c r="Q17" s="416" t="s">
        <v>6</v>
      </c>
      <c r="R17" s="416" t="s">
        <v>6</v>
      </c>
      <c r="S17" s="416" t="s">
        <v>6</v>
      </c>
      <c r="T17" s="416" t="s">
        <v>6</v>
      </c>
      <c r="U17" s="40"/>
      <c r="V17" s="13"/>
      <c r="W17" s="412" t="s">
        <v>123</v>
      </c>
      <c r="X17" s="413"/>
      <c r="Y17" s="413"/>
      <c r="Z17" s="416" t="s">
        <v>6</v>
      </c>
      <c r="AA17" s="416" t="s">
        <v>6</v>
      </c>
      <c r="AB17" s="415"/>
      <c r="AC17" s="413"/>
      <c r="AD17" s="218" t="s">
        <v>1899</v>
      </c>
      <c r="AE17" s="412" t="s">
        <v>123</v>
      </c>
      <c r="AF17" s="413"/>
      <c r="AG17" s="413"/>
      <c r="AH17" s="414" t="s">
        <v>6</v>
      </c>
      <c r="AI17" s="414" t="s">
        <v>6</v>
      </c>
      <c r="AJ17" s="413"/>
      <c r="AK17" s="413"/>
      <c r="AL17" s="218" t="s">
        <v>1899</v>
      </c>
      <c r="AM17" s="43"/>
      <c r="AN17" s="19"/>
      <c r="AO17" s="15"/>
      <c r="AP17" s="15"/>
      <c r="AQ17" s="15"/>
      <c r="AR17" s="15"/>
      <c r="AS17" s="15"/>
      <c r="AT17" s="15"/>
      <c r="AU17" s="15"/>
      <c r="AV17" s="13"/>
      <c r="AW17" s="18">
        <f t="shared" si="1"/>
        <v>36</v>
      </c>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row>
    <row r="18" spans="1:87" s="18" customFormat="1" ht="15">
      <c r="A18" s="40">
        <f t="shared" si="0"/>
        <v>12</v>
      </c>
      <c r="B18" s="38"/>
      <c r="C18" s="42"/>
      <c r="D18" s="38"/>
      <c r="E18" s="46"/>
      <c r="F18" s="46"/>
      <c r="G18" s="46"/>
      <c r="H18" s="13"/>
      <c r="I18" s="40"/>
      <c r="J18" s="412" t="s">
        <v>1916</v>
      </c>
      <c r="K18" s="412" t="s">
        <v>132</v>
      </c>
      <c r="L18" s="215" t="s">
        <v>1917</v>
      </c>
      <c r="M18" s="509" t="s">
        <v>3781</v>
      </c>
      <c r="N18" s="416" t="s">
        <v>504</v>
      </c>
      <c r="O18" s="40"/>
      <c r="P18" s="40"/>
      <c r="Q18" s="416" t="s">
        <v>6</v>
      </c>
      <c r="R18" s="416" t="s">
        <v>6</v>
      </c>
      <c r="S18" s="416" t="s">
        <v>6</v>
      </c>
      <c r="T18" s="416" t="s">
        <v>6</v>
      </c>
      <c r="U18" s="40"/>
      <c r="V18" s="13"/>
      <c r="W18" s="412" t="s">
        <v>133</v>
      </c>
      <c r="X18" s="13"/>
      <c r="Y18" s="13"/>
      <c r="Z18" s="416" t="s">
        <v>6</v>
      </c>
      <c r="AA18" s="416" t="s">
        <v>6</v>
      </c>
      <c r="AB18" s="415"/>
      <c r="AC18" s="413"/>
      <c r="AD18" s="413"/>
      <c r="AE18" s="412" t="s">
        <v>133</v>
      </c>
      <c r="AF18" s="13"/>
      <c r="AG18" s="13"/>
      <c r="AH18" s="414" t="s">
        <v>6</v>
      </c>
      <c r="AI18" s="414" t="s">
        <v>6</v>
      </c>
      <c r="AJ18" s="413"/>
      <c r="AK18" s="413"/>
      <c r="AL18" s="413"/>
      <c r="AM18" s="43" t="s">
        <v>1918</v>
      </c>
      <c r="AN18" s="19"/>
      <c r="AO18" s="15"/>
      <c r="AP18" s="15"/>
      <c r="AQ18" s="15"/>
      <c r="AR18" s="15"/>
      <c r="AS18" s="15"/>
      <c r="AT18" s="15"/>
      <c r="AU18" s="15"/>
      <c r="AV18" s="13"/>
      <c r="AW18" s="18">
        <f t="shared" si="1"/>
        <v>21</v>
      </c>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row>
    <row r="19" spans="1:87" s="18" customFormat="1" ht="15">
      <c r="A19" s="40">
        <f t="shared" si="0"/>
        <v>13</v>
      </c>
      <c r="B19" s="38"/>
      <c r="C19" s="42"/>
      <c r="D19" s="38"/>
      <c r="E19" s="46"/>
      <c r="F19" s="46"/>
      <c r="G19" s="46"/>
      <c r="H19" s="13"/>
      <c r="I19" s="40"/>
      <c r="J19" s="412" t="s">
        <v>1919</v>
      </c>
      <c r="K19" s="412" t="s">
        <v>132</v>
      </c>
      <c r="L19" s="215" t="s">
        <v>1920</v>
      </c>
      <c r="M19" s="509" t="s">
        <v>3781</v>
      </c>
      <c r="N19" s="416" t="s">
        <v>504</v>
      </c>
      <c r="O19" s="40"/>
      <c r="P19" s="40"/>
      <c r="Q19" s="416" t="s">
        <v>6</v>
      </c>
      <c r="R19" s="416" t="s">
        <v>6</v>
      </c>
      <c r="S19" s="416" t="s">
        <v>6</v>
      </c>
      <c r="T19" s="416" t="s">
        <v>6</v>
      </c>
      <c r="U19" s="40"/>
      <c r="V19" s="13"/>
      <c r="W19" s="412" t="s">
        <v>133</v>
      </c>
      <c r="X19" s="13"/>
      <c r="Y19" s="13"/>
      <c r="Z19" s="416" t="s">
        <v>6</v>
      </c>
      <c r="AA19" s="416" t="s">
        <v>6</v>
      </c>
      <c r="AB19" s="415"/>
      <c r="AC19" s="413"/>
      <c r="AD19" s="413"/>
      <c r="AE19" s="412" t="s">
        <v>133</v>
      </c>
      <c r="AF19" s="13"/>
      <c r="AG19" s="13"/>
      <c r="AH19" s="414" t="s">
        <v>6</v>
      </c>
      <c r="AI19" s="414" t="s">
        <v>6</v>
      </c>
      <c r="AJ19" s="413"/>
      <c r="AK19" s="413"/>
      <c r="AL19" s="413"/>
      <c r="AM19" s="43" t="s">
        <v>1918</v>
      </c>
      <c r="AN19" s="19"/>
      <c r="AO19" s="15"/>
      <c r="AP19" s="15"/>
      <c r="AQ19" s="15"/>
      <c r="AR19" s="15"/>
      <c r="AS19" s="15"/>
      <c r="AT19" s="15"/>
      <c r="AU19" s="15"/>
      <c r="AV19" s="13"/>
      <c r="AW19" s="18">
        <f>LEN(L19)</f>
        <v>29</v>
      </c>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row>
    <row r="20" spans="1:87" s="12" customFormat="1" ht="15">
      <c r="A20" s="40">
        <f t="shared" si="0"/>
        <v>14</v>
      </c>
      <c r="B20" s="38"/>
      <c r="C20" s="42"/>
      <c r="D20" s="19"/>
      <c r="E20" s="19"/>
      <c r="F20" s="19"/>
      <c r="G20" s="19"/>
      <c r="H20" s="13"/>
      <c r="I20" s="13"/>
      <c r="J20" s="412" t="s">
        <v>1921</v>
      </c>
      <c r="K20" s="412" t="s">
        <v>132</v>
      </c>
      <c r="L20" s="215" t="s">
        <v>1922</v>
      </c>
      <c r="M20" s="509" t="s">
        <v>5186</v>
      </c>
      <c r="N20" s="416" t="s">
        <v>504</v>
      </c>
      <c r="O20" s="40"/>
      <c r="P20" s="40"/>
      <c r="Q20" s="416" t="s">
        <v>6</v>
      </c>
      <c r="R20" s="416" t="s">
        <v>6</v>
      </c>
      <c r="S20" s="416" t="s">
        <v>6</v>
      </c>
      <c r="T20" s="416" t="s">
        <v>6</v>
      </c>
      <c r="U20" s="40"/>
      <c r="V20" s="13"/>
      <c r="W20" s="412" t="s">
        <v>133</v>
      </c>
      <c r="X20" s="13"/>
      <c r="Y20" s="13"/>
      <c r="Z20" s="416" t="s">
        <v>6</v>
      </c>
      <c r="AA20" s="416" t="s">
        <v>6</v>
      </c>
      <c r="AB20" s="40"/>
      <c r="AC20" s="40"/>
      <c r="AD20" s="40"/>
      <c r="AE20" s="412" t="s">
        <v>133</v>
      </c>
      <c r="AF20" s="13"/>
      <c r="AG20" s="13"/>
      <c r="AH20" s="414" t="s">
        <v>6</v>
      </c>
      <c r="AI20" s="414" t="s">
        <v>6</v>
      </c>
      <c r="AJ20" s="13"/>
      <c r="AK20" s="40"/>
      <c r="AL20" s="40"/>
      <c r="AM20" s="43" t="s">
        <v>1923</v>
      </c>
      <c r="AN20" s="13"/>
      <c r="AO20" s="13"/>
      <c r="AP20" s="13"/>
      <c r="AQ20" s="13"/>
      <c r="AR20" s="13"/>
      <c r="AS20" s="13"/>
      <c r="AT20" s="13"/>
      <c r="AU20" s="13"/>
      <c r="AV20" s="13"/>
      <c r="AW20" s="18">
        <f t="shared" si="1"/>
        <v>18</v>
      </c>
    </row>
    <row r="21" spans="1:87" s="12" customFormat="1" ht="15">
      <c r="A21" s="40">
        <f t="shared" si="0"/>
        <v>15</v>
      </c>
      <c r="B21" s="38"/>
      <c r="C21" s="42"/>
      <c r="D21" s="19"/>
      <c r="E21" s="19"/>
      <c r="F21" s="19"/>
      <c r="G21" s="19"/>
      <c r="H21" s="13"/>
      <c r="I21" s="13"/>
      <c r="J21" s="412" t="s">
        <v>1924</v>
      </c>
      <c r="K21" s="412" t="s">
        <v>132</v>
      </c>
      <c r="L21" s="412" t="s">
        <v>1925</v>
      </c>
      <c r="M21" s="472" t="s">
        <v>3809</v>
      </c>
      <c r="N21" s="416" t="s">
        <v>504</v>
      </c>
      <c r="O21" s="40"/>
      <c r="P21" s="40"/>
      <c r="Q21" s="416" t="s">
        <v>6</v>
      </c>
      <c r="R21" s="416" t="s">
        <v>6</v>
      </c>
      <c r="S21" s="416" t="s">
        <v>6</v>
      </c>
      <c r="T21" s="416" t="s">
        <v>6</v>
      </c>
      <c r="U21" s="40"/>
      <c r="V21" s="13"/>
      <c r="W21" s="412" t="s">
        <v>133</v>
      </c>
      <c r="X21" s="13"/>
      <c r="Y21" s="13"/>
      <c r="Z21" s="416" t="s">
        <v>6</v>
      </c>
      <c r="AA21" s="416" t="s">
        <v>6</v>
      </c>
      <c r="AB21" s="416"/>
      <c r="AC21" s="416"/>
      <c r="AD21" s="416"/>
      <c r="AE21" s="412" t="s">
        <v>133</v>
      </c>
      <c r="AF21" s="13"/>
      <c r="AG21" s="13"/>
      <c r="AH21" s="414" t="s">
        <v>6</v>
      </c>
      <c r="AI21" s="414" t="s">
        <v>6</v>
      </c>
      <c r="AJ21" s="414"/>
      <c r="AK21" s="416"/>
      <c r="AL21" s="416"/>
      <c r="AM21" s="43"/>
      <c r="AN21" s="13"/>
      <c r="AO21" s="13"/>
      <c r="AP21" s="13"/>
      <c r="AQ21" s="13"/>
      <c r="AR21" s="13"/>
      <c r="AS21" s="13"/>
      <c r="AT21" s="13"/>
      <c r="AU21" s="13"/>
      <c r="AV21" s="13"/>
      <c r="AW21" s="18">
        <f>LEN(L21)</f>
        <v>40</v>
      </c>
    </row>
    <row r="22" spans="1:87" s="12" customFormat="1" ht="15">
      <c r="A22" s="40">
        <f t="shared" si="0"/>
        <v>16</v>
      </c>
      <c r="B22" s="38"/>
      <c r="C22" s="42"/>
      <c r="D22" s="19"/>
      <c r="E22" s="19"/>
      <c r="F22" s="19"/>
      <c r="G22" s="19"/>
      <c r="H22" s="13"/>
      <c r="I22" s="13"/>
      <c r="J22" s="412" t="s">
        <v>1926</v>
      </c>
      <c r="K22" s="412" t="s">
        <v>132</v>
      </c>
      <c r="L22" s="412" t="s">
        <v>1925</v>
      </c>
      <c r="M22" s="472" t="s">
        <v>3809</v>
      </c>
      <c r="N22" s="416" t="s">
        <v>504</v>
      </c>
      <c r="O22" s="40"/>
      <c r="P22" s="40"/>
      <c r="Q22" s="416" t="s">
        <v>6</v>
      </c>
      <c r="R22" s="416" t="s">
        <v>6</v>
      </c>
      <c r="S22" s="416" t="s">
        <v>6</v>
      </c>
      <c r="T22" s="416" t="s">
        <v>6</v>
      </c>
      <c r="U22" s="40"/>
      <c r="V22" s="13"/>
      <c r="W22" s="412" t="s">
        <v>133</v>
      </c>
      <c r="X22" s="13"/>
      <c r="Y22" s="13"/>
      <c r="Z22" s="416" t="s">
        <v>6</v>
      </c>
      <c r="AA22" s="416" t="s">
        <v>6</v>
      </c>
      <c r="AB22" s="416"/>
      <c r="AC22" s="416"/>
      <c r="AD22" s="416"/>
      <c r="AE22" s="412" t="s">
        <v>133</v>
      </c>
      <c r="AF22" s="13"/>
      <c r="AG22" s="13"/>
      <c r="AH22" s="414" t="s">
        <v>6</v>
      </c>
      <c r="AI22" s="414" t="s">
        <v>6</v>
      </c>
      <c r="AJ22" s="414"/>
      <c r="AK22" s="416"/>
      <c r="AL22" s="416"/>
      <c r="AM22" s="43"/>
      <c r="AN22" s="13"/>
      <c r="AO22" s="13"/>
      <c r="AP22" s="13"/>
      <c r="AQ22" s="13"/>
      <c r="AR22" s="13"/>
      <c r="AS22" s="13"/>
      <c r="AT22" s="13"/>
      <c r="AU22" s="13"/>
      <c r="AV22" s="13"/>
      <c r="AW22" s="18">
        <f t="shared" si="1"/>
        <v>40</v>
      </c>
    </row>
    <row r="23" spans="1:87" s="12" customFormat="1" ht="15">
      <c r="A23" s="40">
        <f t="shared" si="0"/>
        <v>17</v>
      </c>
      <c r="B23" s="38"/>
      <c r="C23" s="42"/>
      <c r="D23" s="19"/>
      <c r="E23" s="19"/>
      <c r="F23" s="19"/>
      <c r="G23" s="19"/>
      <c r="H23" s="13"/>
      <c r="I23" s="13"/>
      <c r="J23" s="412" t="s">
        <v>1927</v>
      </c>
      <c r="K23" s="412" t="s">
        <v>132</v>
      </c>
      <c r="L23" s="412" t="s">
        <v>1928</v>
      </c>
      <c r="M23" s="472" t="s">
        <v>3809</v>
      </c>
      <c r="N23" s="416" t="s">
        <v>504</v>
      </c>
      <c r="O23" s="40"/>
      <c r="P23" s="40"/>
      <c r="Q23" s="416" t="s">
        <v>6</v>
      </c>
      <c r="R23" s="416" t="s">
        <v>6</v>
      </c>
      <c r="S23" s="416" t="s">
        <v>6</v>
      </c>
      <c r="T23" s="416" t="s">
        <v>6</v>
      </c>
      <c r="U23" s="40"/>
      <c r="V23" s="13"/>
      <c r="W23" s="412" t="s">
        <v>133</v>
      </c>
      <c r="X23" s="13"/>
      <c r="Y23" s="13"/>
      <c r="Z23" s="416" t="s">
        <v>6</v>
      </c>
      <c r="AA23" s="416" t="s">
        <v>6</v>
      </c>
      <c r="AB23" s="416"/>
      <c r="AC23" s="416"/>
      <c r="AD23" s="416"/>
      <c r="AE23" s="412" t="s">
        <v>133</v>
      </c>
      <c r="AF23" s="13"/>
      <c r="AG23" s="13"/>
      <c r="AH23" s="414" t="s">
        <v>6</v>
      </c>
      <c r="AI23" s="414" t="s">
        <v>6</v>
      </c>
      <c r="AJ23" s="414"/>
      <c r="AK23" s="416"/>
      <c r="AL23" s="416"/>
      <c r="AM23" s="43"/>
      <c r="AN23" s="13"/>
      <c r="AO23" s="13"/>
      <c r="AP23" s="13"/>
      <c r="AQ23" s="13"/>
      <c r="AR23" s="13"/>
      <c r="AS23" s="13"/>
      <c r="AT23" s="13"/>
      <c r="AU23" s="13"/>
      <c r="AV23" s="13"/>
      <c r="AW23" s="18">
        <f t="shared" si="1"/>
        <v>40</v>
      </c>
    </row>
    <row r="24" spans="1:87" s="12" customFormat="1" ht="15">
      <c r="A24" s="40">
        <f t="shared" si="0"/>
        <v>18</v>
      </c>
      <c r="B24" s="38"/>
      <c r="C24" s="42"/>
      <c r="D24" s="19"/>
      <c r="E24" s="19"/>
      <c r="F24" s="19"/>
      <c r="G24" s="19"/>
      <c r="H24" s="13"/>
      <c r="I24" s="13"/>
      <c r="J24" s="412" t="s">
        <v>1929</v>
      </c>
      <c r="K24" s="412" t="s">
        <v>132</v>
      </c>
      <c r="L24" s="412" t="s">
        <v>1930</v>
      </c>
      <c r="M24" s="472" t="s">
        <v>3809</v>
      </c>
      <c r="N24" s="416" t="s">
        <v>504</v>
      </c>
      <c r="O24" s="40"/>
      <c r="P24" s="40"/>
      <c r="Q24" s="416" t="s">
        <v>6</v>
      </c>
      <c r="R24" s="416" t="s">
        <v>6</v>
      </c>
      <c r="S24" s="416" t="s">
        <v>6</v>
      </c>
      <c r="T24" s="416" t="s">
        <v>6</v>
      </c>
      <c r="U24" s="204" t="str">
        <f>"Atende também ao item 8.2.1.6(b)(7) do ONS, agrupado no item "&amp;A51</f>
        <v>Atende também ao item 8.2.1.6(b)(7) do ONS, agrupado no item 45</v>
      </c>
      <c r="V24" s="13"/>
      <c r="W24" s="412" t="s">
        <v>133</v>
      </c>
      <c r="X24" s="13"/>
      <c r="Y24" s="13"/>
      <c r="Z24" s="416" t="s">
        <v>6</v>
      </c>
      <c r="AA24" s="416" t="s">
        <v>6</v>
      </c>
      <c r="AB24" s="416"/>
      <c r="AC24" s="416"/>
      <c r="AD24" s="218" t="s">
        <v>1899</v>
      </c>
      <c r="AE24" s="412" t="s">
        <v>133</v>
      </c>
      <c r="AF24" s="13"/>
      <c r="AG24" s="13"/>
      <c r="AH24" s="414" t="s">
        <v>6</v>
      </c>
      <c r="AI24" s="414" t="s">
        <v>6</v>
      </c>
      <c r="AJ24" s="414"/>
      <c r="AK24" s="416"/>
      <c r="AL24" s="218" t="s">
        <v>1899</v>
      </c>
      <c r="AM24" s="43"/>
      <c r="AN24" s="13"/>
      <c r="AO24" s="13"/>
      <c r="AP24" s="13"/>
      <c r="AQ24" s="13"/>
      <c r="AR24" s="13"/>
      <c r="AS24" s="13"/>
      <c r="AT24" s="13"/>
      <c r="AU24" s="13"/>
      <c r="AV24" s="13"/>
      <c r="AW24" s="18">
        <f t="shared" si="1"/>
        <v>18</v>
      </c>
    </row>
    <row r="25" spans="1:87" s="12" customFormat="1" ht="15">
      <c r="A25" s="40">
        <f t="shared" si="0"/>
        <v>19</v>
      </c>
      <c r="B25" s="38"/>
      <c r="C25" s="42"/>
      <c r="D25" s="19"/>
      <c r="E25" s="19"/>
      <c r="F25" s="19"/>
      <c r="G25" s="19"/>
      <c r="H25" s="13"/>
      <c r="I25" s="13"/>
      <c r="J25" s="412" t="s">
        <v>1933</v>
      </c>
      <c r="K25" s="412" t="s">
        <v>117</v>
      </c>
      <c r="L25" s="412" t="s">
        <v>1931</v>
      </c>
      <c r="M25" s="472" t="s">
        <v>4954</v>
      </c>
      <c r="N25" s="416" t="s">
        <v>504</v>
      </c>
      <c r="O25" s="40"/>
      <c r="P25" s="40"/>
      <c r="Q25" s="416" t="s">
        <v>6</v>
      </c>
      <c r="R25" s="416" t="s">
        <v>6</v>
      </c>
      <c r="S25" s="416" t="s">
        <v>6</v>
      </c>
      <c r="T25" s="416" t="s">
        <v>6</v>
      </c>
      <c r="U25" s="204" t="s">
        <v>1934</v>
      </c>
      <c r="V25" s="13"/>
      <c r="W25" s="412" t="s">
        <v>133</v>
      </c>
      <c r="X25" s="13"/>
      <c r="Y25" s="13"/>
      <c r="Z25" s="416" t="s">
        <v>6</v>
      </c>
      <c r="AA25" s="416" t="s">
        <v>6</v>
      </c>
      <c r="AB25" s="416"/>
      <c r="AC25" s="416"/>
      <c r="AD25" s="416"/>
      <c r="AE25" s="412" t="s">
        <v>133</v>
      </c>
      <c r="AF25" s="13"/>
      <c r="AG25" s="13"/>
      <c r="AH25" s="414" t="s">
        <v>6</v>
      </c>
      <c r="AI25" s="414" t="s">
        <v>6</v>
      </c>
      <c r="AJ25" s="414"/>
      <c r="AK25" s="416"/>
      <c r="AL25" s="416"/>
      <c r="AM25" s="40" t="s">
        <v>1932</v>
      </c>
      <c r="AN25" s="13"/>
      <c r="AO25" s="13"/>
      <c r="AP25" s="13"/>
      <c r="AQ25" s="13"/>
      <c r="AR25" s="13"/>
      <c r="AS25" s="13"/>
      <c r="AT25" s="13"/>
      <c r="AU25" s="13"/>
      <c r="AV25" s="13"/>
      <c r="AW25" s="18">
        <f t="shared" si="1"/>
        <v>24</v>
      </c>
    </row>
    <row r="26" spans="1:87" s="18" customFormat="1" ht="15">
      <c r="A26" s="40">
        <f t="shared" si="0"/>
        <v>20</v>
      </c>
      <c r="B26" s="19"/>
      <c r="C26" s="41"/>
      <c r="D26" s="19"/>
      <c r="E26" s="19"/>
      <c r="F26" s="19"/>
      <c r="G26" s="19"/>
      <c r="H26" s="13"/>
      <c r="I26" s="13"/>
      <c r="J26" s="412" t="s">
        <v>1935</v>
      </c>
      <c r="K26" s="412" t="s">
        <v>132</v>
      </c>
      <c r="L26" s="412" t="s">
        <v>1936</v>
      </c>
      <c r="M26" s="472" t="s">
        <v>3560</v>
      </c>
      <c r="N26" s="416" t="s">
        <v>504</v>
      </c>
      <c r="O26" s="40"/>
      <c r="P26" s="40"/>
      <c r="Q26" s="416" t="s">
        <v>6</v>
      </c>
      <c r="R26" s="416" t="s">
        <v>6</v>
      </c>
      <c r="S26" s="416" t="s">
        <v>6</v>
      </c>
      <c r="T26" s="416" t="s">
        <v>6</v>
      </c>
      <c r="U26" s="40"/>
      <c r="V26" s="13"/>
      <c r="W26" s="412" t="s">
        <v>133</v>
      </c>
      <c r="X26" s="415"/>
      <c r="Y26" s="413"/>
      <c r="Z26" s="416" t="s">
        <v>6</v>
      </c>
      <c r="AA26" s="416" t="s">
        <v>6</v>
      </c>
      <c r="AB26" s="415"/>
      <c r="AC26" s="415"/>
      <c r="AD26" s="415"/>
      <c r="AE26" s="412" t="s">
        <v>133</v>
      </c>
      <c r="AF26" s="415"/>
      <c r="AG26" s="413"/>
      <c r="AH26" s="414" t="s">
        <v>6</v>
      </c>
      <c r="AI26" s="414" t="s">
        <v>6</v>
      </c>
      <c r="AJ26" s="45"/>
      <c r="AK26" s="415"/>
      <c r="AL26" s="415"/>
      <c r="AM26" s="43"/>
      <c r="AN26" s="13"/>
      <c r="AO26" s="15"/>
      <c r="AP26" s="15"/>
      <c r="AQ26" s="15"/>
      <c r="AR26" s="15"/>
      <c r="AS26" s="15"/>
      <c r="AT26" s="15"/>
      <c r="AU26" s="13"/>
      <c r="AV26" s="15"/>
      <c r="AW26" s="18">
        <f t="shared" si="1"/>
        <v>19</v>
      </c>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row>
    <row r="27" spans="1:87" s="18" customFormat="1" ht="15">
      <c r="A27" s="40">
        <f t="shared" si="0"/>
        <v>21</v>
      </c>
      <c r="B27" s="19"/>
      <c r="C27" s="41"/>
      <c r="D27" s="19"/>
      <c r="E27" s="19"/>
      <c r="F27" s="19"/>
      <c r="G27" s="19"/>
      <c r="H27" s="13"/>
      <c r="I27" s="13"/>
      <c r="J27" s="412" t="s">
        <v>1937</v>
      </c>
      <c r="K27" s="412" t="s">
        <v>132</v>
      </c>
      <c r="L27" s="412" t="s">
        <v>1938</v>
      </c>
      <c r="M27" s="472"/>
      <c r="N27" s="416" t="s">
        <v>504</v>
      </c>
      <c r="O27" s="40"/>
      <c r="P27" s="40"/>
      <c r="Q27" s="416" t="s">
        <v>6</v>
      </c>
      <c r="R27" s="416" t="s">
        <v>6</v>
      </c>
      <c r="S27" s="416" t="s">
        <v>6</v>
      </c>
      <c r="T27" s="416" t="s">
        <v>6</v>
      </c>
      <c r="U27" s="40"/>
      <c r="V27" s="13"/>
      <c r="W27" s="412" t="s">
        <v>133</v>
      </c>
      <c r="X27" s="415"/>
      <c r="Y27" s="413"/>
      <c r="Z27" s="416" t="s">
        <v>6</v>
      </c>
      <c r="AA27" s="416" t="s">
        <v>6</v>
      </c>
      <c r="AB27" s="415"/>
      <c r="AC27" s="415"/>
      <c r="AD27" s="415"/>
      <c r="AE27" s="412" t="s">
        <v>133</v>
      </c>
      <c r="AF27" s="415"/>
      <c r="AG27" s="413"/>
      <c r="AH27" s="414" t="s">
        <v>6</v>
      </c>
      <c r="AI27" s="414" t="s">
        <v>6</v>
      </c>
      <c r="AJ27" s="45"/>
      <c r="AK27" s="415"/>
      <c r="AL27" s="415"/>
      <c r="AM27" s="43"/>
      <c r="AN27" s="13"/>
      <c r="AO27" s="15"/>
      <c r="AP27" s="15"/>
      <c r="AQ27" s="15"/>
      <c r="AR27" s="15"/>
      <c r="AS27" s="15"/>
      <c r="AT27" s="15"/>
      <c r="AU27" s="13"/>
      <c r="AV27" s="15"/>
      <c r="AW27" s="18">
        <f t="shared" si="1"/>
        <v>37</v>
      </c>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row>
    <row r="28" spans="1:87" s="18" customFormat="1" ht="15">
      <c r="A28" s="40">
        <f t="shared" si="0"/>
        <v>22</v>
      </c>
      <c r="B28" s="19"/>
      <c r="C28" s="41"/>
      <c r="D28" s="19"/>
      <c r="E28" s="19"/>
      <c r="F28" s="19"/>
      <c r="G28" s="19"/>
      <c r="H28" s="13"/>
      <c r="I28" s="13"/>
      <c r="J28" s="412" t="s">
        <v>1939</v>
      </c>
      <c r="K28" s="412" t="s">
        <v>132</v>
      </c>
      <c r="L28" s="412" t="s">
        <v>1940</v>
      </c>
      <c r="M28" s="472"/>
      <c r="N28" s="416" t="s">
        <v>504</v>
      </c>
      <c r="O28" s="40"/>
      <c r="P28" s="40"/>
      <c r="Q28" s="416" t="s">
        <v>6</v>
      </c>
      <c r="R28" s="416" t="s">
        <v>6</v>
      </c>
      <c r="S28" s="416" t="s">
        <v>6</v>
      </c>
      <c r="T28" s="416" t="s">
        <v>6</v>
      </c>
      <c r="U28" s="40"/>
      <c r="V28" s="13"/>
      <c r="W28" s="412" t="s">
        <v>133</v>
      </c>
      <c r="X28" s="415"/>
      <c r="Y28" s="413"/>
      <c r="Z28" s="416" t="s">
        <v>6</v>
      </c>
      <c r="AA28" s="416" t="s">
        <v>6</v>
      </c>
      <c r="AB28" s="415"/>
      <c r="AC28" s="415"/>
      <c r="AD28" s="415"/>
      <c r="AE28" s="412" t="s">
        <v>133</v>
      </c>
      <c r="AF28" s="415"/>
      <c r="AG28" s="413"/>
      <c r="AH28" s="414" t="s">
        <v>6</v>
      </c>
      <c r="AI28" s="414" t="s">
        <v>6</v>
      </c>
      <c r="AJ28" s="45"/>
      <c r="AK28" s="415"/>
      <c r="AL28" s="415"/>
      <c r="AM28" s="43"/>
      <c r="AN28" s="13"/>
      <c r="AO28" s="15"/>
      <c r="AP28" s="15"/>
      <c r="AQ28" s="15"/>
      <c r="AR28" s="15"/>
      <c r="AS28" s="15"/>
      <c r="AT28" s="15"/>
      <c r="AU28" s="13"/>
      <c r="AV28" s="15"/>
      <c r="AW28" s="18">
        <f t="shared" si="1"/>
        <v>40</v>
      </c>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row>
    <row r="29" spans="1:87" s="12" customFormat="1" ht="15">
      <c r="A29" s="40">
        <f t="shared" si="0"/>
        <v>23</v>
      </c>
      <c r="B29" s="19"/>
      <c r="C29" s="41"/>
      <c r="D29" s="19"/>
      <c r="E29" s="19"/>
      <c r="F29" s="19"/>
      <c r="G29" s="19"/>
      <c r="H29" s="13"/>
      <c r="I29" s="13"/>
      <c r="J29" s="412" t="s">
        <v>1941</v>
      </c>
      <c r="K29" s="412" t="s">
        <v>122</v>
      </c>
      <c r="L29" s="215" t="s">
        <v>1942</v>
      </c>
      <c r="M29" s="215"/>
      <c r="N29" s="349" t="s">
        <v>873</v>
      </c>
      <c r="O29" s="40"/>
      <c r="P29" s="40"/>
      <c r="Q29" s="416" t="s">
        <v>6</v>
      </c>
      <c r="R29" s="416" t="s">
        <v>6</v>
      </c>
      <c r="S29" s="416" t="s">
        <v>6</v>
      </c>
      <c r="T29" s="416" t="s">
        <v>6</v>
      </c>
      <c r="U29" s="40"/>
      <c r="V29" s="13"/>
      <c r="W29" s="412" t="s">
        <v>123</v>
      </c>
      <c r="X29" s="415"/>
      <c r="Y29" s="413"/>
      <c r="Z29" s="416" t="s">
        <v>6</v>
      </c>
      <c r="AA29" s="416" t="s">
        <v>6</v>
      </c>
      <c r="AB29" s="415"/>
      <c r="AC29" s="415"/>
      <c r="AD29" s="415"/>
      <c r="AE29" s="412" t="s">
        <v>123</v>
      </c>
      <c r="AF29" s="415"/>
      <c r="AG29" s="413"/>
      <c r="AH29" s="414" t="s">
        <v>6</v>
      </c>
      <c r="AI29" s="414" t="s">
        <v>6</v>
      </c>
      <c r="AJ29" s="45"/>
      <c r="AK29" s="415"/>
      <c r="AL29" s="415"/>
      <c r="AM29" s="43"/>
      <c r="AN29" s="13"/>
      <c r="AO29" s="15"/>
      <c r="AP29" s="15"/>
      <c r="AQ29" s="15"/>
      <c r="AR29" s="15"/>
      <c r="AS29" s="15"/>
      <c r="AT29" s="15"/>
      <c r="AU29" s="13"/>
      <c r="AV29" s="15"/>
      <c r="AW29" s="18">
        <f t="shared" si="1"/>
        <v>26</v>
      </c>
      <c r="AX29" s="16"/>
      <c r="AY29" s="17"/>
    </row>
    <row r="30" spans="1:87" s="12" customFormat="1" ht="15">
      <c r="A30" s="40">
        <f t="shared" si="0"/>
        <v>24</v>
      </c>
      <c r="B30" s="19"/>
      <c r="C30" s="41"/>
      <c r="D30" s="19"/>
      <c r="E30" s="19"/>
      <c r="F30" s="19"/>
      <c r="G30" s="19"/>
      <c r="H30" s="13"/>
      <c r="I30" s="13"/>
      <c r="J30" s="412" t="s">
        <v>1943</v>
      </c>
      <c r="K30" s="412" t="s">
        <v>122</v>
      </c>
      <c r="L30" s="215" t="s">
        <v>1944</v>
      </c>
      <c r="M30" s="215"/>
      <c r="N30" s="349" t="s">
        <v>873</v>
      </c>
      <c r="O30" s="40"/>
      <c r="P30" s="40"/>
      <c r="Q30" s="416" t="s">
        <v>6</v>
      </c>
      <c r="R30" s="416" t="s">
        <v>6</v>
      </c>
      <c r="S30" s="416" t="s">
        <v>6</v>
      </c>
      <c r="T30" s="416" t="s">
        <v>6</v>
      </c>
      <c r="U30" s="40"/>
      <c r="V30" s="13"/>
      <c r="W30" s="412" t="s">
        <v>123</v>
      </c>
      <c r="X30" s="415"/>
      <c r="Y30" s="413"/>
      <c r="Z30" s="416" t="s">
        <v>6</v>
      </c>
      <c r="AA30" s="416" t="s">
        <v>6</v>
      </c>
      <c r="AB30" s="415"/>
      <c r="AC30" s="415"/>
      <c r="AD30" s="415"/>
      <c r="AE30" s="412" t="s">
        <v>123</v>
      </c>
      <c r="AF30" s="415"/>
      <c r="AG30" s="413"/>
      <c r="AH30" s="414" t="s">
        <v>6</v>
      </c>
      <c r="AI30" s="414" t="s">
        <v>6</v>
      </c>
      <c r="AJ30" s="45"/>
      <c r="AK30" s="415"/>
      <c r="AL30" s="415"/>
      <c r="AM30" s="43"/>
      <c r="AN30" s="13"/>
      <c r="AO30" s="15"/>
      <c r="AP30" s="15"/>
      <c r="AQ30" s="15"/>
      <c r="AR30" s="15"/>
      <c r="AS30" s="15"/>
      <c r="AT30" s="15"/>
      <c r="AU30" s="13"/>
      <c r="AV30" s="15"/>
      <c r="AW30" s="18">
        <f t="shared" si="1"/>
        <v>24</v>
      </c>
      <c r="AX30" s="16"/>
      <c r="AY30" s="17"/>
    </row>
    <row r="31" spans="1:87" s="18" customFormat="1" ht="15">
      <c r="A31" s="40">
        <f t="shared" si="0"/>
        <v>25</v>
      </c>
      <c r="B31" s="38"/>
      <c r="C31" s="42"/>
      <c r="D31" s="38"/>
      <c r="E31" s="46"/>
      <c r="F31" s="46"/>
      <c r="G31" s="46"/>
      <c r="H31" s="13"/>
      <c r="I31" s="40"/>
      <c r="J31" s="412" t="s">
        <v>1945</v>
      </c>
      <c r="K31" s="412" t="s">
        <v>122</v>
      </c>
      <c r="L31" s="215" t="s">
        <v>1946</v>
      </c>
      <c r="M31" s="215"/>
      <c r="N31" s="349" t="s">
        <v>873</v>
      </c>
      <c r="O31" s="40"/>
      <c r="P31" s="40"/>
      <c r="Q31" s="416" t="s">
        <v>6</v>
      </c>
      <c r="R31" s="416" t="s">
        <v>6</v>
      </c>
      <c r="S31" s="416" t="s">
        <v>6</v>
      </c>
      <c r="T31" s="416" t="s">
        <v>6</v>
      </c>
      <c r="U31" s="40"/>
      <c r="V31" s="13"/>
      <c r="W31" s="412" t="s">
        <v>123</v>
      </c>
      <c r="X31" s="413"/>
      <c r="Y31" s="413"/>
      <c r="Z31" s="416" t="s">
        <v>6</v>
      </c>
      <c r="AA31" s="416" t="s">
        <v>6</v>
      </c>
      <c r="AB31" s="415"/>
      <c r="AC31" s="413"/>
      <c r="AD31" s="413"/>
      <c r="AE31" s="412" t="s">
        <v>123</v>
      </c>
      <c r="AF31" s="413"/>
      <c r="AG31" s="413"/>
      <c r="AH31" s="414" t="s">
        <v>6</v>
      </c>
      <c r="AI31" s="414" t="s">
        <v>6</v>
      </c>
      <c r="AJ31" s="413"/>
      <c r="AK31" s="413"/>
      <c r="AL31" s="413"/>
      <c r="AM31" s="40" t="s">
        <v>1947</v>
      </c>
      <c r="AN31" s="40"/>
      <c r="AO31" s="15"/>
      <c r="AP31" s="15"/>
      <c r="AQ31" s="15"/>
      <c r="AR31" s="15"/>
      <c r="AS31" s="15"/>
      <c r="AT31" s="15"/>
      <c r="AU31" s="15"/>
      <c r="AV31" s="13"/>
      <c r="AW31" s="18">
        <f t="shared" si="1"/>
        <v>38</v>
      </c>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row>
    <row r="32" spans="1:87" s="18" customFormat="1" ht="15">
      <c r="A32" s="40">
        <f t="shared" si="0"/>
        <v>26</v>
      </c>
      <c r="B32" s="38"/>
      <c r="C32" s="42"/>
      <c r="D32" s="38"/>
      <c r="E32" s="46"/>
      <c r="F32" s="46"/>
      <c r="G32" s="46"/>
      <c r="H32" s="13"/>
      <c r="I32" s="40"/>
      <c r="J32" s="412" t="s">
        <v>1948</v>
      </c>
      <c r="K32" s="412" t="s">
        <v>122</v>
      </c>
      <c r="L32" s="215" t="s">
        <v>1949</v>
      </c>
      <c r="M32" s="215" t="s">
        <v>3602</v>
      </c>
      <c r="N32" s="349" t="s">
        <v>873</v>
      </c>
      <c r="O32" s="40"/>
      <c r="P32" s="40"/>
      <c r="Q32" s="416" t="s">
        <v>6</v>
      </c>
      <c r="R32" s="416" t="s">
        <v>6</v>
      </c>
      <c r="S32" s="416" t="s">
        <v>6</v>
      </c>
      <c r="T32" s="416" t="s">
        <v>6</v>
      </c>
      <c r="U32" s="40"/>
      <c r="V32" s="13"/>
      <c r="W32" s="412" t="s">
        <v>123</v>
      </c>
      <c r="X32" s="413"/>
      <c r="Y32" s="413"/>
      <c r="Z32" s="416" t="s">
        <v>6</v>
      </c>
      <c r="AA32" s="416" t="s">
        <v>6</v>
      </c>
      <c r="AB32" s="415"/>
      <c r="AC32" s="413"/>
      <c r="AD32" s="413"/>
      <c r="AE32" s="412" t="s">
        <v>123</v>
      </c>
      <c r="AF32" s="413"/>
      <c r="AG32" s="413"/>
      <c r="AH32" s="414" t="s">
        <v>6</v>
      </c>
      <c r="AI32" s="414" t="s">
        <v>6</v>
      </c>
      <c r="AJ32" s="413"/>
      <c r="AK32" s="413"/>
      <c r="AL32" s="413"/>
      <c r="AM32" s="43"/>
      <c r="AN32" s="19"/>
      <c r="AO32" s="15"/>
      <c r="AP32" s="15"/>
      <c r="AQ32" s="15"/>
      <c r="AR32" s="15"/>
      <c r="AS32" s="15"/>
      <c r="AT32" s="15"/>
      <c r="AU32" s="15"/>
      <c r="AV32" s="13"/>
      <c r="AW32" s="18">
        <f t="shared" si="1"/>
        <v>20</v>
      </c>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row>
    <row r="33" spans="1:87" s="18" customFormat="1" ht="15">
      <c r="A33" s="40">
        <f t="shared" si="0"/>
        <v>27</v>
      </c>
      <c r="B33" s="38"/>
      <c r="C33" s="42"/>
      <c r="D33" s="38"/>
      <c r="E33" s="46"/>
      <c r="F33" s="46"/>
      <c r="G33" s="46"/>
      <c r="H33" s="13"/>
      <c r="I33" s="40"/>
      <c r="J33" s="412" t="s">
        <v>1950</v>
      </c>
      <c r="K33" s="412" t="s">
        <v>122</v>
      </c>
      <c r="L33" s="215" t="s">
        <v>1951</v>
      </c>
      <c r="M33" s="215" t="s">
        <v>3602</v>
      </c>
      <c r="N33" s="349" t="s">
        <v>873</v>
      </c>
      <c r="O33" s="40"/>
      <c r="P33" s="40"/>
      <c r="Q33" s="416" t="s">
        <v>6</v>
      </c>
      <c r="R33" s="416" t="s">
        <v>6</v>
      </c>
      <c r="S33" s="416" t="s">
        <v>6</v>
      </c>
      <c r="T33" s="416" t="s">
        <v>6</v>
      </c>
      <c r="U33" s="40"/>
      <c r="V33" s="13"/>
      <c r="W33" s="412" t="s">
        <v>123</v>
      </c>
      <c r="X33" s="413"/>
      <c r="Y33" s="413"/>
      <c r="Z33" s="416" t="s">
        <v>6</v>
      </c>
      <c r="AA33" s="416" t="s">
        <v>6</v>
      </c>
      <c r="AB33" s="415"/>
      <c r="AC33" s="413"/>
      <c r="AD33" s="413"/>
      <c r="AE33" s="412" t="s">
        <v>123</v>
      </c>
      <c r="AF33" s="413"/>
      <c r="AG33" s="413"/>
      <c r="AH33" s="414" t="s">
        <v>6</v>
      </c>
      <c r="AI33" s="414" t="s">
        <v>6</v>
      </c>
      <c r="AJ33" s="413"/>
      <c r="AK33" s="413"/>
      <c r="AL33" s="413"/>
      <c r="AM33" s="43"/>
      <c r="AN33" s="19"/>
      <c r="AO33" s="15"/>
      <c r="AP33" s="15"/>
      <c r="AQ33" s="15"/>
      <c r="AR33" s="15"/>
      <c r="AS33" s="15"/>
      <c r="AT33" s="15"/>
      <c r="AU33" s="15"/>
      <c r="AV33" s="13"/>
      <c r="AW33" s="18">
        <f t="shared" si="1"/>
        <v>26</v>
      </c>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row>
    <row r="34" spans="1:87" s="18" customFormat="1" ht="15">
      <c r="A34" s="40">
        <f t="shared" si="0"/>
        <v>28</v>
      </c>
      <c r="B34" s="38"/>
      <c r="C34" s="42"/>
      <c r="D34" s="38"/>
      <c r="E34" s="46"/>
      <c r="F34" s="46"/>
      <c r="G34" s="46"/>
      <c r="H34" s="13"/>
      <c r="I34" s="40"/>
      <c r="J34" s="412" t="s">
        <v>1952</v>
      </c>
      <c r="K34" s="412" t="s">
        <v>122</v>
      </c>
      <c r="L34" s="215" t="s">
        <v>1953</v>
      </c>
      <c r="M34" s="509"/>
      <c r="N34" s="416" t="s">
        <v>504</v>
      </c>
      <c r="O34" s="40"/>
      <c r="P34" s="40"/>
      <c r="Q34" s="416" t="s">
        <v>6</v>
      </c>
      <c r="R34" s="416" t="s">
        <v>6</v>
      </c>
      <c r="S34" s="416" t="s">
        <v>6</v>
      </c>
      <c r="T34" s="416" t="s">
        <v>6</v>
      </c>
      <c r="U34" s="40"/>
      <c r="V34" s="13"/>
      <c r="W34" s="412" t="s">
        <v>123</v>
      </c>
      <c r="X34" s="413"/>
      <c r="Y34" s="413"/>
      <c r="Z34" s="416" t="s">
        <v>6</v>
      </c>
      <c r="AA34" s="416" t="s">
        <v>6</v>
      </c>
      <c r="AB34" s="415"/>
      <c r="AC34" s="413"/>
      <c r="AD34" s="413"/>
      <c r="AE34" s="412" t="s">
        <v>123</v>
      </c>
      <c r="AF34" s="413"/>
      <c r="AG34" s="413"/>
      <c r="AH34" s="414" t="s">
        <v>6</v>
      </c>
      <c r="AI34" s="414" t="s">
        <v>6</v>
      </c>
      <c r="AJ34" s="413"/>
      <c r="AK34" s="413"/>
      <c r="AL34" s="413"/>
      <c r="AM34" s="43"/>
      <c r="AN34" s="19"/>
      <c r="AO34" s="15"/>
      <c r="AP34" s="15"/>
      <c r="AQ34" s="15"/>
      <c r="AR34" s="15"/>
      <c r="AS34" s="15"/>
      <c r="AT34" s="15"/>
      <c r="AU34" s="15"/>
      <c r="AV34" s="13"/>
      <c r="AW34" s="18">
        <f t="shared" si="1"/>
        <v>28</v>
      </c>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row>
    <row r="35" spans="1:87" s="18" customFormat="1" ht="15">
      <c r="A35" s="40">
        <f t="shared" si="0"/>
        <v>29</v>
      </c>
      <c r="B35" s="38"/>
      <c r="C35" s="42"/>
      <c r="D35" s="38"/>
      <c r="E35" s="46"/>
      <c r="F35" s="46"/>
      <c r="G35" s="46"/>
      <c r="H35" s="13"/>
      <c r="I35" s="40"/>
      <c r="J35" s="412" t="s">
        <v>1954</v>
      </c>
      <c r="K35" s="412" t="s">
        <v>122</v>
      </c>
      <c r="L35" s="215" t="s">
        <v>1955</v>
      </c>
      <c r="M35" s="215" t="s">
        <v>3602</v>
      </c>
      <c r="N35" s="349" t="s">
        <v>873</v>
      </c>
      <c r="O35" s="40"/>
      <c r="P35" s="40"/>
      <c r="Q35" s="416" t="s">
        <v>6</v>
      </c>
      <c r="R35" s="416" t="s">
        <v>6</v>
      </c>
      <c r="S35" s="416" t="s">
        <v>6</v>
      </c>
      <c r="T35" s="416" t="s">
        <v>6</v>
      </c>
      <c r="U35" s="40"/>
      <c r="V35" s="13"/>
      <c r="W35" s="412" t="s">
        <v>123</v>
      </c>
      <c r="X35" s="413"/>
      <c r="Y35" s="413"/>
      <c r="Z35" s="416" t="s">
        <v>6</v>
      </c>
      <c r="AA35" s="416" t="s">
        <v>6</v>
      </c>
      <c r="AB35" s="415"/>
      <c r="AC35" s="413"/>
      <c r="AD35" s="413"/>
      <c r="AE35" s="412" t="s">
        <v>123</v>
      </c>
      <c r="AF35" s="413"/>
      <c r="AG35" s="413"/>
      <c r="AH35" s="414" t="s">
        <v>6</v>
      </c>
      <c r="AI35" s="414" t="s">
        <v>6</v>
      </c>
      <c r="AJ35" s="413"/>
      <c r="AK35" s="413"/>
      <c r="AL35" s="413"/>
      <c r="AM35" s="43"/>
      <c r="AN35" s="19"/>
      <c r="AO35" s="15"/>
      <c r="AP35" s="15"/>
      <c r="AQ35" s="15"/>
      <c r="AR35" s="15"/>
      <c r="AS35" s="15"/>
      <c r="AT35" s="15"/>
      <c r="AU35" s="15"/>
      <c r="AV35" s="13"/>
      <c r="AW35" s="18">
        <f t="shared" si="1"/>
        <v>28</v>
      </c>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row>
    <row r="36" spans="1:87" s="18" customFormat="1" ht="15">
      <c r="A36" s="40">
        <f t="shared" si="0"/>
        <v>30</v>
      </c>
      <c r="B36" s="38"/>
      <c r="C36" s="42"/>
      <c r="D36" s="38"/>
      <c r="E36" s="46"/>
      <c r="F36" s="46"/>
      <c r="G36" s="46"/>
      <c r="H36" s="13"/>
      <c r="I36" s="40"/>
      <c r="J36" s="412" t="s">
        <v>1956</v>
      </c>
      <c r="K36" s="412" t="s">
        <v>75</v>
      </c>
      <c r="L36" s="204" t="s">
        <v>1957</v>
      </c>
      <c r="M36" s="536"/>
      <c r="N36" s="416" t="s">
        <v>504</v>
      </c>
      <c r="O36" s="40"/>
      <c r="P36" s="40"/>
      <c r="Q36" s="416" t="s">
        <v>6</v>
      </c>
      <c r="R36" s="416" t="s">
        <v>6</v>
      </c>
      <c r="S36" s="416" t="s">
        <v>6</v>
      </c>
      <c r="T36" s="416" t="s">
        <v>6</v>
      </c>
      <c r="U36" s="40"/>
      <c r="V36" s="13"/>
      <c r="W36" s="412" t="s">
        <v>75</v>
      </c>
      <c r="X36" s="413"/>
      <c r="Y36" s="413"/>
      <c r="Z36" s="416" t="s">
        <v>6</v>
      </c>
      <c r="AA36" s="416" t="s">
        <v>6</v>
      </c>
      <c r="AB36" s="415"/>
      <c r="AC36" s="413"/>
      <c r="AD36" s="413"/>
      <c r="AE36" s="412" t="s">
        <v>75</v>
      </c>
      <c r="AF36" s="413"/>
      <c r="AG36" s="413"/>
      <c r="AH36" s="414" t="s">
        <v>6</v>
      </c>
      <c r="AI36" s="414" t="s">
        <v>6</v>
      </c>
      <c r="AJ36" s="413"/>
      <c r="AK36" s="413"/>
      <c r="AL36" s="413"/>
      <c r="AM36" s="43"/>
      <c r="AN36" s="19"/>
      <c r="AO36" s="15"/>
      <c r="AP36" s="15"/>
      <c r="AQ36" s="15"/>
      <c r="AR36" s="15"/>
      <c r="AS36" s="15"/>
      <c r="AT36" s="15"/>
      <c r="AU36" s="15"/>
      <c r="AV36" s="13"/>
      <c r="AW36" s="18">
        <f t="shared" si="1"/>
        <v>30</v>
      </c>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row>
    <row r="37" spans="1:87" s="20" customFormat="1" ht="26.4">
      <c r="A37" s="40">
        <f t="shared" si="0"/>
        <v>31</v>
      </c>
      <c r="B37" s="59"/>
      <c r="C37" s="59"/>
      <c r="D37" s="59"/>
      <c r="E37" s="59"/>
      <c r="F37" s="59"/>
      <c r="G37" s="59"/>
      <c r="H37" s="59"/>
      <c r="I37" s="59"/>
      <c r="J37" s="218" t="s">
        <v>1958</v>
      </c>
      <c r="K37" s="232" t="s">
        <v>117</v>
      </c>
      <c r="L37" s="204" t="s">
        <v>729</v>
      </c>
      <c r="M37" s="367"/>
      <c r="N37" s="416" t="s">
        <v>504</v>
      </c>
      <c r="O37" s="126"/>
      <c r="P37" s="126"/>
      <c r="Q37" s="126" t="s">
        <v>6</v>
      </c>
      <c r="R37" s="126" t="s">
        <v>6</v>
      </c>
      <c r="S37" s="126" t="s">
        <v>6</v>
      </c>
      <c r="T37" s="416" t="s">
        <v>6</v>
      </c>
      <c r="U37" s="204" t="s">
        <v>742</v>
      </c>
      <c r="V37" s="206"/>
      <c r="W37" s="232" t="s">
        <v>125</v>
      </c>
      <c r="X37" s="59"/>
      <c r="Y37" s="59"/>
      <c r="Z37" s="199"/>
      <c r="AA37" s="126" t="s">
        <v>6</v>
      </c>
      <c r="AB37" s="40"/>
      <c r="AC37" s="59"/>
      <c r="AD37" s="59"/>
      <c r="AE37" s="232" t="s">
        <v>125</v>
      </c>
      <c r="AF37" s="59"/>
      <c r="AG37" s="59"/>
      <c r="AH37" s="59"/>
      <c r="AI37" s="61" t="s">
        <v>6</v>
      </c>
      <c r="AJ37" s="15"/>
      <c r="AK37" s="59"/>
      <c r="AL37" s="59"/>
      <c r="AM37" s="59"/>
      <c r="AN37" s="59"/>
      <c r="AO37" s="59"/>
      <c r="AP37" s="59"/>
      <c r="AQ37" s="59"/>
      <c r="AR37" s="59"/>
      <c r="AS37" s="59"/>
      <c r="AT37" s="59"/>
      <c r="AU37" s="59"/>
      <c r="AV37" s="59"/>
      <c r="AW37" s="18">
        <f t="shared" si="1"/>
        <v>18</v>
      </c>
    </row>
    <row r="38" spans="1:87" s="12" customFormat="1" ht="66">
      <c r="A38" s="40">
        <f t="shared" si="0"/>
        <v>32</v>
      </c>
      <c r="B38" s="38"/>
      <c r="C38" s="42"/>
      <c r="D38" s="19"/>
      <c r="E38" s="19"/>
      <c r="F38" s="19"/>
      <c r="G38" s="19"/>
      <c r="H38" s="13"/>
      <c r="I38" s="13"/>
      <c r="J38" s="412" t="s">
        <v>1959</v>
      </c>
      <c r="K38" s="412" t="s">
        <v>117</v>
      </c>
      <c r="L38" s="215" t="s">
        <v>1960</v>
      </c>
      <c r="M38" s="509"/>
      <c r="N38" s="416" t="s">
        <v>504</v>
      </c>
      <c r="O38" s="40"/>
      <c r="P38" s="40"/>
      <c r="Q38" s="416" t="s">
        <v>6</v>
      </c>
      <c r="R38" s="416" t="s">
        <v>6</v>
      </c>
      <c r="S38" s="416" t="s">
        <v>6</v>
      </c>
      <c r="T38" s="416" t="s">
        <v>6</v>
      </c>
      <c r="U38" s="538"/>
      <c r="V38" s="268"/>
      <c r="W38" s="412" t="s">
        <v>133</v>
      </c>
      <c r="X38" s="13"/>
      <c r="Y38" s="13"/>
      <c r="Z38" s="416" t="s">
        <v>6</v>
      </c>
      <c r="AA38" s="416" t="s">
        <v>6</v>
      </c>
      <c r="AB38" s="202" t="s">
        <v>1961</v>
      </c>
      <c r="AC38" s="415"/>
      <c r="AD38" s="415"/>
      <c r="AE38" s="412" t="s">
        <v>133</v>
      </c>
      <c r="AF38" s="13"/>
      <c r="AG38" s="13"/>
      <c r="AH38" s="414" t="s">
        <v>6</v>
      </c>
      <c r="AI38" s="414" t="s">
        <v>6</v>
      </c>
      <c r="AJ38" s="368" t="s">
        <v>1961</v>
      </c>
      <c r="AK38" s="415"/>
      <c r="AL38" s="415"/>
      <c r="AM38" s="43"/>
      <c r="AN38" s="269"/>
      <c r="AO38" s="13"/>
      <c r="AP38" s="13"/>
      <c r="AQ38" s="13"/>
      <c r="AR38" s="13"/>
      <c r="AS38" s="13"/>
      <c r="AT38" s="13"/>
      <c r="AU38" s="13"/>
      <c r="AV38" s="13"/>
      <c r="AW38" s="18">
        <f t="shared" ref="AW38:AW57" si="2">LEN(L38)</f>
        <v>33</v>
      </c>
      <c r="AX38" s="16"/>
      <c r="AY38" s="17"/>
    </row>
    <row r="39" spans="1:87" s="20" customFormat="1" ht="25.5" customHeight="1">
      <c r="A39" s="40">
        <f t="shared" si="0"/>
        <v>33</v>
      </c>
      <c r="B39" s="59"/>
      <c r="C39" s="59"/>
      <c r="D39" s="59"/>
      <c r="E39" s="59"/>
      <c r="F39" s="59"/>
      <c r="G39" s="59"/>
      <c r="H39" s="59"/>
      <c r="I39" s="59"/>
      <c r="J39" s="218" t="s">
        <v>1962</v>
      </c>
      <c r="K39" s="204" t="s">
        <v>128</v>
      </c>
      <c r="L39" s="204" t="s">
        <v>703</v>
      </c>
      <c r="M39" s="204"/>
      <c r="N39" s="40" t="s">
        <v>504</v>
      </c>
      <c r="O39" s="126"/>
      <c r="P39" s="126"/>
      <c r="Q39" s="40" t="s">
        <v>6</v>
      </c>
      <c r="R39" s="40" t="s">
        <v>6</v>
      </c>
      <c r="S39" s="40" t="s">
        <v>6</v>
      </c>
      <c r="T39" s="416" t="s">
        <v>6</v>
      </c>
      <c r="U39" s="204" t="s">
        <v>768</v>
      </c>
      <c r="V39" s="206"/>
      <c r="W39" s="204" t="s">
        <v>125</v>
      </c>
      <c r="X39" s="59"/>
      <c r="Y39" s="59"/>
      <c r="Z39" s="199"/>
      <c r="AA39" s="40" t="s">
        <v>6</v>
      </c>
      <c r="AB39" s="40"/>
      <c r="AC39" s="59"/>
      <c r="AD39" s="59"/>
      <c r="AE39" s="204" t="s">
        <v>125</v>
      </c>
      <c r="AF39" s="59"/>
      <c r="AG39" s="59"/>
      <c r="AH39" s="59"/>
      <c r="AI39" s="40" t="s">
        <v>6</v>
      </c>
      <c r="AJ39" s="15"/>
      <c r="AK39" s="59"/>
      <c r="AL39" s="59"/>
      <c r="AM39" s="59"/>
      <c r="AN39" s="59"/>
      <c r="AO39" s="59"/>
      <c r="AP39" s="59"/>
      <c r="AQ39" s="59"/>
      <c r="AR39" s="59"/>
      <c r="AS39" s="59"/>
      <c r="AT39" s="59"/>
      <c r="AU39" s="59"/>
      <c r="AV39" s="59"/>
      <c r="AW39" s="18">
        <f t="shared" si="2"/>
        <v>19</v>
      </c>
    </row>
    <row r="40" spans="1:87" s="18" customFormat="1" ht="15">
      <c r="A40" s="40">
        <f t="shared" si="0"/>
        <v>34</v>
      </c>
      <c r="B40" s="38"/>
      <c r="C40" s="42"/>
      <c r="D40" s="38"/>
      <c r="E40" s="46"/>
      <c r="F40" s="46"/>
      <c r="G40" s="46"/>
      <c r="H40" s="13"/>
      <c r="I40" s="40"/>
      <c r="J40" s="215" t="s">
        <v>1963</v>
      </c>
      <c r="K40" s="412" t="s">
        <v>117</v>
      </c>
      <c r="L40" s="215" t="s">
        <v>3377</v>
      </c>
      <c r="M40" s="215"/>
      <c r="N40" s="40" t="s">
        <v>504</v>
      </c>
      <c r="O40" s="40"/>
      <c r="P40" s="40"/>
      <c r="Q40" s="126" t="s">
        <v>6</v>
      </c>
      <c r="R40" s="126" t="s">
        <v>6</v>
      </c>
      <c r="S40" s="126" t="s">
        <v>6</v>
      </c>
      <c r="T40" s="40" t="s">
        <v>6</v>
      </c>
      <c r="U40" s="204"/>
      <c r="V40" s="204"/>
      <c r="W40" s="215" t="s">
        <v>125</v>
      </c>
      <c r="X40" s="40"/>
      <c r="Y40" s="413"/>
      <c r="Z40" s="126"/>
      <c r="AA40" s="126" t="s">
        <v>6</v>
      </c>
      <c r="AB40" s="415"/>
      <c r="AC40" s="413"/>
      <c r="AD40" s="413"/>
      <c r="AE40" s="215" t="s">
        <v>125</v>
      </c>
      <c r="AF40" s="40"/>
      <c r="AG40" s="413"/>
      <c r="AH40" s="61"/>
      <c r="AI40" s="61" t="s">
        <v>6</v>
      </c>
      <c r="AJ40" s="413"/>
      <c r="AK40" s="413"/>
      <c r="AL40" s="413"/>
      <c r="AM40" s="45"/>
      <c r="AN40" s="53"/>
      <c r="AO40" s="266"/>
      <c r="AP40" s="266"/>
      <c r="AQ40" s="266"/>
      <c r="AR40" s="266"/>
      <c r="AS40" s="15"/>
      <c r="AT40" s="15"/>
      <c r="AU40" s="15"/>
      <c r="AV40" s="13"/>
      <c r="AW40" s="18">
        <f t="shared" si="2"/>
        <v>27</v>
      </c>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row>
    <row r="41" spans="1:87" s="236" customFormat="1" ht="15">
      <c r="A41" s="40">
        <f t="shared" si="0"/>
        <v>35</v>
      </c>
      <c r="B41" s="199"/>
      <c r="C41" s="199"/>
      <c r="D41" s="199"/>
      <c r="E41" s="199"/>
      <c r="F41" s="199"/>
      <c r="G41" s="199"/>
      <c r="H41" s="199"/>
      <c r="I41" s="199" t="s">
        <v>868</v>
      </c>
      <c r="J41" s="218" t="s">
        <v>1965</v>
      </c>
      <c r="K41" s="232" t="s">
        <v>117</v>
      </c>
      <c r="L41" s="204" t="s">
        <v>763</v>
      </c>
      <c r="M41" s="204"/>
      <c r="N41" s="40" t="s">
        <v>504</v>
      </c>
      <c r="O41" s="126"/>
      <c r="P41" s="126"/>
      <c r="Q41" s="40" t="s">
        <v>6</v>
      </c>
      <c r="R41" s="40" t="s">
        <v>6</v>
      </c>
      <c r="S41" s="126" t="s">
        <v>6</v>
      </c>
      <c r="T41" s="40" t="s">
        <v>6</v>
      </c>
      <c r="U41" s="204"/>
      <c r="V41" s="204"/>
      <c r="W41" s="232" t="s">
        <v>125</v>
      </c>
      <c r="X41" s="211"/>
      <c r="Y41" s="211"/>
      <c r="Z41" s="211"/>
      <c r="AA41" s="126" t="s">
        <v>6</v>
      </c>
      <c r="AB41" s="40"/>
      <c r="AC41" s="199"/>
      <c r="AD41" s="199"/>
      <c r="AE41" s="232" t="s">
        <v>125</v>
      </c>
      <c r="AF41" s="211"/>
      <c r="AG41" s="211"/>
      <c r="AH41" s="211"/>
      <c r="AI41" s="126" t="s">
        <v>6</v>
      </c>
      <c r="AJ41" s="198"/>
      <c r="AK41" s="199"/>
      <c r="AL41" s="199"/>
      <c r="AM41" s="199"/>
      <c r="AN41" s="199"/>
      <c r="AO41" s="199"/>
      <c r="AP41" s="199"/>
      <c r="AQ41" s="199"/>
      <c r="AR41" s="199"/>
      <c r="AS41" s="199"/>
      <c r="AT41" s="199"/>
      <c r="AU41" s="199"/>
      <c r="AV41" s="199"/>
      <c r="AW41" s="155">
        <f t="shared" si="2"/>
        <v>24</v>
      </c>
    </row>
    <row r="42" spans="1:87" s="236" customFormat="1" ht="15">
      <c r="A42" s="40">
        <f t="shared" si="0"/>
        <v>36</v>
      </c>
      <c r="B42" s="199"/>
      <c r="C42" s="199"/>
      <c r="D42" s="199"/>
      <c r="E42" s="199"/>
      <c r="F42" s="199"/>
      <c r="G42" s="199"/>
      <c r="H42" s="199"/>
      <c r="I42" s="199" t="s">
        <v>868</v>
      </c>
      <c r="J42" s="218" t="s">
        <v>1966</v>
      </c>
      <c r="K42" s="232" t="s">
        <v>117</v>
      </c>
      <c r="L42" s="204" t="s">
        <v>765</v>
      </c>
      <c r="M42" s="204"/>
      <c r="N42" s="40" t="s">
        <v>504</v>
      </c>
      <c r="O42" s="126"/>
      <c r="P42" s="126"/>
      <c r="Q42" s="40" t="s">
        <v>6</v>
      </c>
      <c r="R42" s="40" t="s">
        <v>6</v>
      </c>
      <c r="S42" s="126" t="s">
        <v>6</v>
      </c>
      <c r="T42" s="40" t="s">
        <v>6</v>
      </c>
      <c r="U42" s="200"/>
      <c r="V42" s="204"/>
      <c r="W42" s="232" t="s">
        <v>125</v>
      </c>
      <c r="X42" s="199"/>
      <c r="Y42" s="199"/>
      <c r="Z42" s="199"/>
      <c r="AA42" s="126" t="s">
        <v>6</v>
      </c>
      <c r="AB42" s="40"/>
      <c r="AC42" s="199"/>
      <c r="AD42" s="199"/>
      <c r="AE42" s="232" t="s">
        <v>125</v>
      </c>
      <c r="AF42" s="199"/>
      <c r="AG42" s="199"/>
      <c r="AH42" s="199"/>
      <c r="AI42" s="126" t="s">
        <v>6</v>
      </c>
      <c r="AJ42" s="198"/>
      <c r="AK42" s="199"/>
      <c r="AL42" s="199"/>
      <c r="AM42" s="199"/>
      <c r="AN42" s="199"/>
      <c r="AO42" s="199"/>
      <c r="AP42" s="199"/>
      <c r="AQ42" s="199"/>
      <c r="AR42" s="199"/>
      <c r="AS42" s="199"/>
      <c r="AT42" s="199"/>
      <c r="AU42" s="199"/>
      <c r="AV42" s="199"/>
      <c r="AW42" s="155">
        <f t="shared" si="2"/>
        <v>25</v>
      </c>
    </row>
    <row r="43" spans="1:87" s="236" customFormat="1" ht="15">
      <c r="A43" s="40">
        <f t="shared" si="0"/>
        <v>37</v>
      </c>
      <c r="B43" s="199"/>
      <c r="C43" s="199"/>
      <c r="D43" s="199"/>
      <c r="E43" s="199"/>
      <c r="F43" s="199"/>
      <c r="G43" s="199"/>
      <c r="H43" s="199"/>
      <c r="I43" s="199" t="s">
        <v>868</v>
      </c>
      <c r="J43" s="218" t="s">
        <v>1967</v>
      </c>
      <c r="K43" s="232" t="s">
        <v>117</v>
      </c>
      <c r="L43" s="204" t="s">
        <v>767</v>
      </c>
      <c r="M43" s="204"/>
      <c r="N43" s="40" t="s">
        <v>504</v>
      </c>
      <c r="O43" s="126"/>
      <c r="P43" s="126"/>
      <c r="Q43" s="40" t="s">
        <v>6</v>
      </c>
      <c r="R43" s="40" t="s">
        <v>6</v>
      </c>
      <c r="S43" s="126" t="s">
        <v>6</v>
      </c>
      <c r="T43" s="40" t="s">
        <v>6</v>
      </c>
      <c r="U43" s="200"/>
      <c r="V43" s="204"/>
      <c r="W43" s="232" t="s">
        <v>125</v>
      </c>
      <c r="X43" s="199"/>
      <c r="Y43" s="199"/>
      <c r="Z43" s="199"/>
      <c r="AA43" s="126" t="s">
        <v>6</v>
      </c>
      <c r="AB43" s="40"/>
      <c r="AC43" s="199"/>
      <c r="AD43" s="199"/>
      <c r="AE43" s="232" t="s">
        <v>125</v>
      </c>
      <c r="AF43" s="199"/>
      <c r="AG43" s="199"/>
      <c r="AH43" s="199"/>
      <c r="AI43" s="126" t="s">
        <v>6</v>
      </c>
      <c r="AJ43" s="198"/>
      <c r="AK43" s="199"/>
      <c r="AL43" s="199"/>
      <c r="AM43" s="199"/>
      <c r="AN43" s="199"/>
      <c r="AO43" s="199"/>
      <c r="AP43" s="199"/>
      <c r="AQ43" s="199"/>
      <c r="AR43" s="199"/>
      <c r="AS43" s="199"/>
      <c r="AT43" s="199"/>
      <c r="AU43" s="199"/>
      <c r="AV43" s="199"/>
      <c r="AW43" s="155">
        <f t="shared" si="2"/>
        <v>25</v>
      </c>
    </row>
    <row r="44" spans="1:87" s="236" customFormat="1" ht="15">
      <c r="A44" s="40">
        <f t="shared" si="0"/>
        <v>38</v>
      </c>
      <c r="B44" s="199"/>
      <c r="C44" s="199"/>
      <c r="D44" s="199"/>
      <c r="E44" s="199"/>
      <c r="F44" s="199"/>
      <c r="G44" s="199"/>
      <c r="H44" s="199"/>
      <c r="I44" s="199"/>
      <c r="J44" s="218" t="s">
        <v>3347</v>
      </c>
      <c r="K44" s="232" t="s">
        <v>117</v>
      </c>
      <c r="L44" s="204" t="s">
        <v>3333</v>
      </c>
      <c r="M44" s="204"/>
      <c r="N44" s="40" t="s">
        <v>504</v>
      </c>
      <c r="O44" s="126"/>
      <c r="P44" s="126"/>
      <c r="Q44" s="40"/>
      <c r="R44" s="40" t="s">
        <v>6</v>
      </c>
      <c r="S44" s="126" t="s">
        <v>6</v>
      </c>
      <c r="T44" s="40" t="s">
        <v>6</v>
      </c>
      <c r="U44" s="200"/>
      <c r="V44" s="204"/>
      <c r="W44" s="204" t="s">
        <v>133</v>
      </c>
      <c r="X44" s="199"/>
      <c r="Y44" s="199"/>
      <c r="Z44" s="40" t="s">
        <v>6</v>
      </c>
      <c r="AA44" s="126" t="s">
        <v>6</v>
      </c>
      <c r="AB44" s="40"/>
      <c r="AC44" s="199"/>
      <c r="AD44" s="199"/>
      <c r="AE44" s="232" t="s">
        <v>125</v>
      </c>
      <c r="AF44" s="199"/>
      <c r="AG44" s="199"/>
      <c r="AH44" s="199"/>
      <c r="AI44" s="126" t="s">
        <v>6</v>
      </c>
      <c r="AJ44" s="198"/>
      <c r="AK44" s="199"/>
      <c r="AL44" s="199"/>
      <c r="AM44" s="199"/>
      <c r="AN44" s="199"/>
      <c r="AO44" s="199"/>
      <c r="AP44" s="199"/>
      <c r="AQ44" s="199"/>
      <c r="AR44" s="199"/>
      <c r="AS44" s="199"/>
      <c r="AT44" s="199"/>
      <c r="AU44" s="199"/>
      <c r="AV44" s="199"/>
      <c r="AW44" s="155">
        <f t="shared" si="2"/>
        <v>32</v>
      </c>
    </row>
    <row r="45" spans="1:87" s="236" customFormat="1" ht="15">
      <c r="A45" s="40">
        <f t="shared" si="0"/>
        <v>39</v>
      </c>
      <c r="B45" s="199"/>
      <c r="C45" s="199"/>
      <c r="D45" s="199"/>
      <c r="E45" s="199"/>
      <c r="F45" s="199"/>
      <c r="G45" s="199"/>
      <c r="H45" s="199"/>
      <c r="I45" s="199"/>
      <c r="J45" s="218" t="s">
        <v>3348</v>
      </c>
      <c r="K45" s="232" t="s">
        <v>117</v>
      </c>
      <c r="L45" s="204" t="s">
        <v>3335</v>
      </c>
      <c r="M45" s="204"/>
      <c r="N45" s="40" t="s">
        <v>504</v>
      </c>
      <c r="O45" s="126"/>
      <c r="P45" s="126"/>
      <c r="Q45" s="40"/>
      <c r="R45" s="40" t="s">
        <v>6</v>
      </c>
      <c r="S45" s="126" t="s">
        <v>6</v>
      </c>
      <c r="T45" s="40" t="s">
        <v>6</v>
      </c>
      <c r="U45" s="200"/>
      <c r="V45" s="204"/>
      <c r="W45" s="204" t="s">
        <v>133</v>
      </c>
      <c r="X45" s="199"/>
      <c r="Y45" s="199"/>
      <c r="Z45" s="40" t="s">
        <v>6</v>
      </c>
      <c r="AA45" s="126" t="s">
        <v>6</v>
      </c>
      <c r="AB45" s="40"/>
      <c r="AC45" s="199"/>
      <c r="AD45" s="199"/>
      <c r="AE45" s="232" t="s">
        <v>125</v>
      </c>
      <c r="AF45" s="199"/>
      <c r="AG45" s="199"/>
      <c r="AH45" s="199"/>
      <c r="AI45" s="126" t="s">
        <v>6</v>
      </c>
      <c r="AJ45" s="198"/>
      <c r="AK45" s="199"/>
      <c r="AL45" s="199"/>
      <c r="AM45" s="199"/>
      <c r="AN45" s="199"/>
      <c r="AO45" s="199"/>
      <c r="AP45" s="199"/>
      <c r="AQ45" s="199"/>
      <c r="AR45" s="199"/>
      <c r="AS45" s="199"/>
      <c r="AT45" s="199"/>
      <c r="AU45" s="199"/>
      <c r="AV45" s="199"/>
      <c r="AW45" s="155">
        <f t="shared" si="2"/>
        <v>32</v>
      </c>
    </row>
    <row r="46" spans="1:87" s="236" customFormat="1" ht="15">
      <c r="A46" s="40">
        <f t="shared" si="0"/>
        <v>40</v>
      </c>
      <c r="B46" s="199"/>
      <c r="C46" s="199"/>
      <c r="D46" s="199"/>
      <c r="E46" s="199"/>
      <c r="F46" s="199"/>
      <c r="G46" s="199"/>
      <c r="H46" s="199"/>
      <c r="I46" s="199"/>
      <c r="J46" s="218" t="s">
        <v>3349</v>
      </c>
      <c r="K46" s="232" t="s">
        <v>117</v>
      </c>
      <c r="L46" s="204" t="s">
        <v>3337</v>
      </c>
      <c r="M46" s="204"/>
      <c r="N46" s="40" t="s">
        <v>504</v>
      </c>
      <c r="O46" s="126"/>
      <c r="P46" s="126"/>
      <c r="Q46" s="40"/>
      <c r="R46" s="40" t="s">
        <v>6</v>
      </c>
      <c r="S46" s="126" t="s">
        <v>6</v>
      </c>
      <c r="T46" s="40" t="s">
        <v>6</v>
      </c>
      <c r="U46" s="200"/>
      <c r="V46" s="204"/>
      <c r="W46" s="204" t="s">
        <v>133</v>
      </c>
      <c r="X46" s="199"/>
      <c r="Y46" s="199"/>
      <c r="Z46" s="40" t="s">
        <v>6</v>
      </c>
      <c r="AA46" s="126" t="s">
        <v>6</v>
      </c>
      <c r="AB46" s="40"/>
      <c r="AC46" s="199"/>
      <c r="AD46" s="199"/>
      <c r="AE46" s="232" t="s">
        <v>125</v>
      </c>
      <c r="AF46" s="199"/>
      <c r="AG46" s="199"/>
      <c r="AH46" s="199"/>
      <c r="AI46" s="126" t="s">
        <v>6</v>
      </c>
      <c r="AJ46" s="198"/>
      <c r="AK46" s="199"/>
      <c r="AL46" s="199"/>
      <c r="AM46" s="199"/>
      <c r="AN46" s="199"/>
      <c r="AO46" s="199"/>
      <c r="AP46" s="199"/>
      <c r="AQ46" s="199"/>
      <c r="AR46" s="199"/>
      <c r="AS46" s="199"/>
      <c r="AT46" s="199"/>
      <c r="AU46" s="199"/>
      <c r="AV46" s="199"/>
      <c r="AW46" s="155">
        <f t="shared" si="2"/>
        <v>32</v>
      </c>
    </row>
    <row r="47" spans="1:87" s="236" customFormat="1" ht="15">
      <c r="A47" s="40">
        <f t="shared" si="0"/>
        <v>41</v>
      </c>
      <c r="B47" s="199"/>
      <c r="C47" s="199"/>
      <c r="D47" s="199"/>
      <c r="E47" s="199"/>
      <c r="F47" s="199"/>
      <c r="G47" s="199"/>
      <c r="H47" s="199"/>
      <c r="I47" s="199"/>
      <c r="J47" s="218" t="s">
        <v>3378</v>
      </c>
      <c r="K47" s="204" t="s">
        <v>117</v>
      </c>
      <c r="L47" s="204" t="s">
        <v>732</v>
      </c>
      <c r="M47" s="204"/>
      <c r="N47" s="40" t="s">
        <v>504</v>
      </c>
      <c r="O47" s="199"/>
      <c r="P47" s="199"/>
      <c r="Q47" s="40" t="s">
        <v>6</v>
      </c>
      <c r="R47" s="40" t="s">
        <v>6</v>
      </c>
      <c r="S47" s="40" t="s">
        <v>6</v>
      </c>
      <c r="T47" s="40" t="s">
        <v>6</v>
      </c>
      <c r="U47" s="204" t="s">
        <v>733</v>
      </c>
      <c r="V47" s="204"/>
      <c r="W47" s="204"/>
      <c r="X47" s="199"/>
      <c r="Y47" s="199"/>
      <c r="Z47" s="40"/>
      <c r="AA47" s="40"/>
      <c r="AB47" s="202"/>
      <c r="AC47" s="199"/>
      <c r="AD47" s="218"/>
      <c r="AE47" s="204"/>
      <c r="AF47" s="199"/>
      <c r="AG47" s="199"/>
      <c r="AH47" s="199"/>
      <c r="AI47" s="40"/>
      <c r="AJ47" s="218"/>
      <c r="AK47" s="199"/>
      <c r="AL47" s="218"/>
      <c r="AM47" s="199"/>
      <c r="AN47" s="199"/>
      <c r="AO47" s="199"/>
      <c r="AP47" s="199"/>
      <c r="AQ47" s="199"/>
      <c r="AR47" s="199"/>
      <c r="AS47" s="199"/>
      <c r="AT47" s="199"/>
      <c r="AU47" s="199"/>
      <c r="AV47" s="199"/>
      <c r="AW47" s="155">
        <f t="shared" ref="AW47" si="3">LEN(L47)</f>
        <v>29</v>
      </c>
    </row>
    <row r="48" spans="1:87" s="20" customFormat="1" ht="15">
      <c r="A48" s="40">
        <f t="shared" si="0"/>
        <v>42</v>
      </c>
      <c r="B48" s="59"/>
      <c r="C48" s="59"/>
      <c r="D48" s="59"/>
      <c r="E48" s="59"/>
      <c r="F48" s="59"/>
      <c r="G48" s="59"/>
      <c r="H48" s="59"/>
      <c r="I48" s="59"/>
      <c r="J48" s="218" t="s">
        <v>1968</v>
      </c>
      <c r="K48" s="204" t="s">
        <v>117</v>
      </c>
      <c r="L48" s="204" t="s">
        <v>735</v>
      </c>
      <c r="M48" s="204"/>
      <c r="N48" s="40" t="s">
        <v>504</v>
      </c>
      <c r="O48" s="126"/>
      <c r="P48" s="126"/>
      <c r="Q48" s="40" t="s">
        <v>6</v>
      </c>
      <c r="R48" s="40" t="s">
        <v>6</v>
      </c>
      <c r="S48" s="40" t="s">
        <v>6</v>
      </c>
      <c r="T48" s="40" t="s">
        <v>6</v>
      </c>
      <c r="U48" s="204"/>
      <c r="V48" s="206"/>
      <c r="W48" s="204" t="s">
        <v>125</v>
      </c>
      <c r="X48" s="59"/>
      <c r="Y48" s="59"/>
      <c r="Z48" s="199"/>
      <c r="AA48" s="40" t="s">
        <v>6</v>
      </c>
      <c r="AB48" s="202"/>
      <c r="AC48" s="59"/>
      <c r="AD48" s="218"/>
      <c r="AE48" s="204" t="s">
        <v>125</v>
      </c>
      <c r="AF48" s="59"/>
      <c r="AG48" s="59"/>
      <c r="AH48" s="59"/>
      <c r="AI48" s="40" t="s">
        <v>6</v>
      </c>
      <c r="AJ48" s="218"/>
      <c r="AK48" s="59"/>
      <c r="AL48" s="218"/>
      <c r="AM48" s="59"/>
      <c r="AN48" s="59"/>
      <c r="AO48" s="59"/>
      <c r="AP48" s="59"/>
      <c r="AQ48" s="59"/>
      <c r="AR48" s="59"/>
      <c r="AS48" s="59"/>
      <c r="AT48" s="59"/>
      <c r="AU48" s="59"/>
      <c r="AV48" s="59"/>
      <c r="AW48" s="18">
        <f t="shared" si="2"/>
        <v>14</v>
      </c>
    </row>
    <row r="49" spans="1:87" s="20" customFormat="1" ht="15">
      <c r="A49" s="40">
        <f t="shared" si="0"/>
        <v>43</v>
      </c>
      <c r="B49" s="59"/>
      <c r="C49" s="59"/>
      <c r="D49" s="59"/>
      <c r="E49" s="59"/>
      <c r="F49" s="59"/>
      <c r="G49" s="59"/>
      <c r="H49" s="59"/>
      <c r="I49" s="59"/>
      <c r="J49" s="218" t="s">
        <v>1969</v>
      </c>
      <c r="K49" s="204" t="s">
        <v>117</v>
      </c>
      <c r="L49" s="204" t="s">
        <v>737</v>
      </c>
      <c r="M49" s="204"/>
      <c r="N49" s="40" t="s">
        <v>504</v>
      </c>
      <c r="O49" s="126"/>
      <c r="P49" s="126"/>
      <c r="Q49" s="40" t="s">
        <v>6</v>
      </c>
      <c r="R49" s="40" t="s">
        <v>6</v>
      </c>
      <c r="S49" s="40" t="s">
        <v>6</v>
      </c>
      <c r="T49" s="40" t="s">
        <v>6</v>
      </c>
      <c r="U49" s="204"/>
      <c r="V49" s="206"/>
      <c r="W49" s="204" t="s">
        <v>125</v>
      </c>
      <c r="X49" s="59"/>
      <c r="Y49" s="59"/>
      <c r="Z49" s="199"/>
      <c r="AA49" s="40" t="s">
        <v>6</v>
      </c>
      <c r="AB49" s="40"/>
      <c r="AC49" s="59"/>
      <c r="AD49" s="59"/>
      <c r="AE49" s="204" t="s">
        <v>125</v>
      </c>
      <c r="AF49" s="59"/>
      <c r="AG49" s="59"/>
      <c r="AH49" s="59"/>
      <c r="AI49" s="40" t="s">
        <v>6</v>
      </c>
      <c r="AJ49" s="15"/>
      <c r="AK49" s="59"/>
      <c r="AL49" s="59"/>
      <c r="AM49" s="59"/>
      <c r="AN49" s="59"/>
      <c r="AO49" s="59"/>
      <c r="AP49" s="59"/>
      <c r="AQ49" s="59"/>
      <c r="AR49" s="59"/>
      <c r="AS49" s="59"/>
      <c r="AT49" s="59"/>
      <c r="AU49" s="59"/>
      <c r="AV49" s="59"/>
      <c r="AW49" s="18">
        <f t="shared" si="2"/>
        <v>28</v>
      </c>
    </row>
    <row r="50" spans="1:87" s="18" customFormat="1" ht="15">
      <c r="A50" s="40">
        <f t="shared" si="0"/>
        <v>44</v>
      </c>
      <c r="B50" s="19"/>
      <c r="C50" s="41"/>
      <c r="D50" s="19"/>
      <c r="E50" s="19"/>
      <c r="F50" s="19"/>
      <c r="G50" s="19"/>
      <c r="H50" s="13"/>
      <c r="I50" s="13"/>
      <c r="J50" s="218" t="s">
        <v>3319</v>
      </c>
      <c r="K50" s="412" t="s">
        <v>117</v>
      </c>
      <c r="L50" s="204" t="s">
        <v>740</v>
      </c>
      <c r="M50" s="204"/>
      <c r="N50" s="40" t="s">
        <v>504</v>
      </c>
      <c r="O50" s="126"/>
      <c r="P50" s="40"/>
      <c r="Q50" s="126" t="s">
        <v>6</v>
      </c>
      <c r="R50" s="126" t="s">
        <v>6</v>
      </c>
      <c r="S50" s="126" t="s">
        <v>6</v>
      </c>
      <c r="T50" s="40" t="s">
        <v>6</v>
      </c>
      <c r="U50" s="204" t="s">
        <v>741</v>
      </c>
      <c r="V50" s="206"/>
      <c r="W50" s="412" t="s">
        <v>125</v>
      </c>
      <c r="X50" s="59"/>
      <c r="Y50" s="59"/>
      <c r="Z50" s="199"/>
      <c r="AA50" s="126" t="s">
        <v>6</v>
      </c>
      <c r="AB50" s="126"/>
      <c r="AC50" s="59"/>
      <c r="AD50" s="218" t="s">
        <v>809</v>
      </c>
      <c r="AE50" s="412" t="s">
        <v>125</v>
      </c>
      <c r="AF50" s="59"/>
      <c r="AG50" s="59"/>
      <c r="AH50" s="59"/>
      <c r="AI50" s="61" t="s">
        <v>6</v>
      </c>
      <c r="AJ50" s="79"/>
      <c r="AK50" s="59"/>
      <c r="AL50" s="218" t="s">
        <v>809</v>
      </c>
      <c r="AM50" s="43"/>
      <c r="AN50" s="19"/>
      <c r="AO50" s="15"/>
      <c r="AP50" s="15"/>
      <c r="AQ50" s="15"/>
      <c r="AR50" s="15"/>
      <c r="AS50" s="15"/>
      <c r="AT50" s="15"/>
      <c r="AU50" s="13"/>
      <c r="AV50" s="15"/>
      <c r="AW50" s="18">
        <f t="shared" si="2"/>
        <v>26</v>
      </c>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row>
    <row r="51" spans="1:87" s="20" customFormat="1" ht="15">
      <c r="A51" s="40">
        <f t="shared" si="0"/>
        <v>45</v>
      </c>
      <c r="B51" s="59"/>
      <c r="C51" s="59"/>
      <c r="D51" s="59"/>
      <c r="E51" s="59"/>
      <c r="F51" s="59"/>
      <c r="G51" s="59"/>
      <c r="H51" s="59"/>
      <c r="I51" s="59"/>
      <c r="J51" s="218" t="s">
        <v>1899</v>
      </c>
      <c r="K51" s="204" t="s">
        <v>125</v>
      </c>
      <c r="L51" s="204" t="s">
        <v>798</v>
      </c>
      <c r="M51" s="367"/>
      <c r="N51" s="416" t="s">
        <v>504</v>
      </c>
      <c r="O51" s="126"/>
      <c r="P51" s="126"/>
      <c r="Q51" s="40"/>
      <c r="R51" s="126"/>
      <c r="S51" s="40" t="s">
        <v>6</v>
      </c>
      <c r="T51" s="416" t="s">
        <v>6</v>
      </c>
      <c r="U51" s="236"/>
      <c r="V51" s="275"/>
      <c r="W51" s="204" t="s">
        <v>125</v>
      </c>
      <c r="X51" s="59"/>
      <c r="Y51" s="59"/>
      <c r="Z51" s="199"/>
      <c r="AA51" s="40" t="s">
        <v>6</v>
      </c>
      <c r="AB51" s="203" t="str">
        <f>"Agrupamento itens "&amp;A8&amp;" a "&amp;A17&amp;" e "&amp;A24</f>
        <v>Agrupamento itens 2 a 11 e 18</v>
      </c>
      <c r="AC51" s="59"/>
      <c r="AD51" s="59"/>
      <c r="AE51" s="204" t="s">
        <v>125</v>
      </c>
      <c r="AF51" s="59"/>
      <c r="AG51" s="59"/>
      <c r="AH51" s="59"/>
      <c r="AI51" s="40" t="s">
        <v>6</v>
      </c>
      <c r="AJ51" s="15"/>
      <c r="AK51" s="59"/>
      <c r="AL51" s="59"/>
      <c r="AM51" s="40" t="s">
        <v>1970</v>
      </c>
      <c r="AN51" s="59"/>
      <c r="AO51" s="59"/>
      <c r="AP51" s="59"/>
      <c r="AQ51" s="59"/>
      <c r="AR51" s="59"/>
      <c r="AS51" s="59"/>
      <c r="AT51" s="59"/>
      <c r="AU51" s="59"/>
      <c r="AV51" s="59"/>
      <c r="AW51" s="18">
        <f t="shared" si="2"/>
        <v>29</v>
      </c>
    </row>
    <row r="52" spans="1:87" s="12" customFormat="1" ht="27" customHeight="1">
      <c r="A52" s="40">
        <f t="shared" si="0"/>
        <v>46</v>
      </c>
      <c r="B52" s="38"/>
      <c r="C52" s="42"/>
      <c r="D52" s="19"/>
      <c r="E52" s="19"/>
      <c r="F52" s="19"/>
      <c r="G52" s="19"/>
      <c r="H52" s="13"/>
      <c r="I52" s="13"/>
      <c r="J52" s="218" t="s">
        <v>1971</v>
      </c>
      <c r="K52" s="412" t="s">
        <v>117</v>
      </c>
      <c r="L52" s="204" t="s">
        <v>801</v>
      </c>
      <c r="M52" s="367"/>
      <c r="N52" s="416" t="s">
        <v>504</v>
      </c>
      <c r="O52" s="126"/>
      <c r="P52" s="126"/>
      <c r="Q52" s="416" t="s">
        <v>6</v>
      </c>
      <c r="R52" s="416" t="s">
        <v>6</v>
      </c>
      <c r="S52" s="40" t="s">
        <v>6</v>
      </c>
      <c r="T52" s="416" t="s">
        <v>6</v>
      </c>
      <c r="U52" s="200" t="s">
        <v>802</v>
      </c>
      <c r="V52" s="206"/>
      <c r="W52" s="412" t="s">
        <v>125</v>
      </c>
      <c r="X52" s="59"/>
      <c r="Y52" s="59"/>
      <c r="Z52" s="199"/>
      <c r="AA52" s="40" t="s">
        <v>6</v>
      </c>
      <c r="AB52" s="415"/>
      <c r="AC52" s="415"/>
      <c r="AD52" s="415"/>
      <c r="AE52" s="412" t="s">
        <v>125</v>
      </c>
      <c r="AF52" s="59"/>
      <c r="AG52" s="59"/>
      <c r="AH52" s="59"/>
      <c r="AI52" s="40" t="s">
        <v>6</v>
      </c>
      <c r="AJ52" s="413"/>
      <c r="AK52" s="415"/>
      <c r="AL52" s="415"/>
      <c r="AM52" s="43"/>
      <c r="AN52" s="44"/>
      <c r="AO52" s="13"/>
      <c r="AP52" s="13"/>
      <c r="AQ52" s="13"/>
      <c r="AR52" s="13"/>
      <c r="AS52" s="13"/>
      <c r="AT52" s="13"/>
      <c r="AU52" s="13"/>
      <c r="AV52" s="13"/>
      <c r="AW52" s="18">
        <f t="shared" si="2"/>
        <v>21</v>
      </c>
      <c r="AX52" s="16"/>
      <c r="AY52" s="17"/>
    </row>
    <row r="53" spans="1:87" s="18" customFormat="1" ht="15">
      <c r="A53" s="40">
        <f t="shared" si="0"/>
        <v>47</v>
      </c>
      <c r="B53" s="38"/>
      <c r="C53" s="42"/>
      <c r="D53" s="38"/>
      <c r="E53" s="46"/>
      <c r="F53" s="46"/>
      <c r="G53" s="46"/>
      <c r="H53" s="13"/>
      <c r="I53" s="40"/>
      <c r="J53" s="218" t="s">
        <v>1972</v>
      </c>
      <c r="K53" s="412" t="s">
        <v>117</v>
      </c>
      <c r="L53" s="204" t="s">
        <v>804</v>
      </c>
      <c r="M53" s="367"/>
      <c r="N53" s="416" t="s">
        <v>504</v>
      </c>
      <c r="O53" s="126"/>
      <c r="P53" s="126"/>
      <c r="Q53" s="416" t="s">
        <v>6</v>
      </c>
      <c r="R53" s="416" t="s">
        <v>6</v>
      </c>
      <c r="S53" s="40" t="s">
        <v>6</v>
      </c>
      <c r="T53" s="416" t="s">
        <v>6</v>
      </c>
      <c r="U53" s="200" t="s">
        <v>802</v>
      </c>
      <c r="V53" s="206"/>
      <c r="W53" s="412" t="s">
        <v>125</v>
      </c>
      <c r="X53" s="59"/>
      <c r="Y53" s="59"/>
      <c r="Z53" s="199"/>
      <c r="AA53" s="40" t="s">
        <v>6</v>
      </c>
      <c r="AB53" s="415"/>
      <c r="AC53" s="413"/>
      <c r="AD53" s="413"/>
      <c r="AE53" s="412" t="s">
        <v>125</v>
      </c>
      <c r="AF53" s="59"/>
      <c r="AG53" s="59"/>
      <c r="AH53" s="59"/>
      <c r="AI53" s="40" t="s">
        <v>6</v>
      </c>
      <c r="AJ53" s="413"/>
      <c r="AK53" s="413"/>
      <c r="AL53" s="413"/>
      <c r="AM53" s="43"/>
      <c r="AN53" s="19"/>
      <c r="AO53" s="15"/>
      <c r="AP53" s="15"/>
      <c r="AQ53" s="15"/>
      <c r="AR53" s="15"/>
      <c r="AS53" s="15"/>
      <c r="AT53" s="15"/>
      <c r="AU53" s="15"/>
      <c r="AV53" s="13"/>
      <c r="AW53" s="18">
        <f t="shared" si="2"/>
        <v>25</v>
      </c>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row>
    <row r="54" spans="1:87" s="236" customFormat="1" ht="15">
      <c r="A54" s="40">
        <f t="shared" si="0"/>
        <v>48</v>
      </c>
      <c r="B54" s="199"/>
      <c r="C54" s="199"/>
      <c r="D54" s="199"/>
      <c r="E54" s="199"/>
      <c r="F54" s="199"/>
      <c r="G54" s="199"/>
      <c r="H54" s="199"/>
      <c r="I54" s="199"/>
      <c r="J54" s="218" t="s">
        <v>3375</v>
      </c>
      <c r="K54" s="204" t="s">
        <v>117</v>
      </c>
      <c r="L54" s="204" t="s">
        <v>732</v>
      </c>
      <c r="M54" s="204"/>
      <c r="N54" s="40" t="s">
        <v>504</v>
      </c>
      <c r="O54" s="199"/>
      <c r="P54" s="199"/>
      <c r="Q54" s="40" t="s">
        <v>6</v>
      </c>
      <c r="R54" s="40" t="s">
        <v>6</v>
      </c>
      <c r="S54" s="40" t="s">
        <v>6</v>
      </c>
      <c r="T54" s="40" t="s">
        <v>6</v>
      </c>
      <c r="U54" s="204" t="s">
        <v>733</v>
      </c>
      <c r="V54" s="204"/>
      <c r="W54" s="204"/>
      <c r="X54" s="199"/>
      <c r="Y54" s="199"/>
      <c r="Z54" s="40"/>
      <c r="AA54" s="40"/>
      <c r="AB54" s="202"/>
      <c r="AC54" s="199"/>
      <c r="AD54" s="218"/>
      <c r="AE54" s="204"/>
      <c r="AF54" s="199"/>
      <c r="AG54" s="199"/>
      <c r="AH54" s="199"/>
      <c r="AI54" s="40"/>
      <c r="AJ54" s="218"/>
      <c r="AK54" s="199"/>
      <c r="AL54" s="218"/>
      <c r="AM54" s="199"/>
      <c r="AN54" s="199"/>
      <c r="AO54" s="199"/>
      <c r="AP54" s="199"/>
      <c r="AQ54" s="199"/>
      <c r="AR54" s="199"/>
      <c r="AS54" s="199"/>
      <c r="AT54" s="199"/>
      <c r="AU54" s="199"/>
      <c r="AV54" s="199"/>
      <c r="AW54" s="155">
        <f t="shared" si="2"/>
        <v>29</v>
      </c>
    </row>
    <row r="55" spans="1:87" s="20" customFormat="1" ht="15">
      <c r="A55" s="40">
        <f t="shared" si="0"/>
        <v>49</v>
      </c>
      <c r="B55" s="59"/>
      <c r="C55" s="59"/>
      <c r="D55" s="59"/>
      <c r="E55" s="59"/>
      <c r="F55" s="59"/>
      <c r="G55" s="59"/>
      <c r="H55" s="59"/>
      <c r="I55" s="59"/>
      <c r="J55" s="218" t="s">
        <v>1973</v>
      </c>
      <c r="K55" s="232" t="s">
        <v>134</v>
      </c>
      <c r="L55" s="204" t="s">
        <v>744</v>
      </c>
      <c r="M55" s="367"/>
      <c r="N55" s="416" t="s">
        <v>504</v>
      </c>
      <c r="O55" s="126"/>
      <c r="P55" s="126"/>
      <c r="Q55" s="40" t="s">
        <v>6</v>
      </c>
      <c r="R55" s="40" t="s">
        <v>6</v>
      </c>
      <c r="S55" s="40" t="s">
        <v>6</v>
      </c>
      <c r="T55" s="416" t="s">
        <v>6</v>
      </c>
      <c r="U55" s="200" t="s">
        <v>802</v>
      </c>
      <c r="V55" s="206"/>
      <c r="W55" s="232" t="s">
        <v>137</v>
      </c>
      <c r="X55" s="59"/>
      <c r="Y55" s="59"/>
      <c r="Z55" s="199"/>
      <c r="AA55" s="40" t="s">
        <v>6</v>
      </c>
      <c r="AB55" s="40"/>
      <c r="AC55" s="59"/>
      <c r="AD55" s="59"/>
      <c r="AE55" s="232" t="s">
        <v>137</v>
      </c>
      <c r="AF55" s="59"/>
      <c r="AG55" s="59"/>
      <c r="AH55" s="59"/>
      <c r="AI55" s="40" t="s">
        <v>6</v>
      </c>
      <c r="AJ55" s="15"/>
      <c r="AK55" s="59"/>
      <c r="AL55" s="59"/>
      <c r="AM55" s="59"/>
      <c r="AN55" s="59"/>
      <c r="AO55" s="59"/>
      <c r="AP55" s="59"/>
      <c r="AQ55" s="59"/>
      <c r="AR55" s="59"/>
      <c r="AS55" s="59"/>
      <c r="AT55" s="59"/>
      <c r="AU55" s="59"/>
      <c r="AV55" s="59"/>
      <c r="AW55" s="18">
        <f t="shared" si="2"/>
        <v>17</v>
      </c>
    </row>
    <row r="56" spans="1:87" s="20" customFormat="1" ht="15">
      <c r="A56" s="40">
        <f t="shared" si="0"/>
        <v>50</v>
      </c>
      <c r="B56" s="59"/>
      <c r="C56" s="59"/>
      <c r="D56" s="59"/>
      <c r="E56" s="59"/>
      <c r="F56" s="59"/>
      <c r="G56" s="59"/>
      <c r="H56" s="59"/>
      <c r="I56" s="59"/>
      <c r="J56" s="218" t="s">
        <v>3376</v>
      </c>
      <c r="K56" s="232" t="s">
        <v>117</v>
      </c>
      <c r="L56" s="204" t="s">
        <v>3362</v>
      </c>
      <c r="M56" s="204"/>
      <c r="N56" s="40" t="s">
        <v>504</v>
      </c>
      <c r="O56" s="126"/>
      <c r="P56" s="126"/>
      <c r="Q56" s="40" t="s">
        <v>6</v>
      </c>
      <c r="R56" s="40" t="s">
        <v>6</v>
      </c>
      <c r="S56" s="40" t="s">
        <v>6</v>
      </c>
      <c r="T56" s="40" t="s">
        <v>6</v>
      </c>
      <c r="U56" s="200" t="s">
        <v>747</v>
      </c>
      <c r="V56" s="206"/>
      <c r="W56" s="204"/>
      <c r="X56" s="59"/>
      <c r="Y56" s="59"/>
      <c r="Z56" s="40"/>
      <c r="AA56" s="40"/>
      <c r="AB56" s="40"/>
      <c r="AC56" s="59"/>
      <c r="AD56" s="59"/>
      <c r="AE56" s="232"/>
      <c r="AF56" s="59"/>
      <c r="AG56" s="59"/>
      <c r="AH56" s="59"/>
      <c r="AI56" s="40"/>
      <c r="AJ56" s="15"/>
      <c r="AK56" s="59"/>
      <c r="AL56" s="59"/>
      <c r="AM56" s="59"/>
      <c r="AN56" s="59"/>
      <c r="AO56" s="59"/>
      <c r="AP56" s="59"/>
      <c r="AQ56" s="59"/>
      <c r="AR56" s="59"/>
      <c r="AS56" s="59"/>
      <c r="AT56" s="59"/>
      <c r="AU56" s="59"/>
      <c r="AV56" s="59"/>
      <c r="AW56" s="18"/>
    </row>
    <row r="57" spans="1:87" s="20" customFormat="1" ht="15">
      <c r="A57" s="40">
        <f t="shared" si="0"/>
        <v>51</v>
      </c>
      <c r="B57" s="59"/>
      <c r="C57" s="59"/>
      <c r="D57" s="59"/>
      <c r="E57" s="59"/>
      <c r="F57" s="59"/>
      <c r="G57" s="59"/>
      <c r="H57" s="59"/>
      <c r="I57" s="59"/>
      <c r="J57" s="218" t="s">
        <v>1974</v>
      </c>
      <c r="K57" s="204" t="s">
        <v>117</v>
      </c>
      <c r="L57" s="204" t="s">
        <v>737</v>
      </c>
      <c r="M57" s="367"/>
      <c r="N57" s="416" t="s">
        <v>504</v>
      </c>
      <c r="O57" s="126"/>
      <c r="P57" s="126"/>
      <c r="Q57" s="40" t="s">
        <v>6</v>
      </c>
      <c r="R57" s="40" t="s">
        <v>6</v>
      </c>
      <c r="S57" s="40" t="s">
        <v>6</v>
      </c>
      <c r="T57" s="416" t="s">
        <v>6</v>
      </c>
      <c r="U57" s="200" t="s">
        <v>802</v>
      </c>
      <c r="V57" s="206"/>
      <c r="W57" s="204" t="s">
        <v>125</v>
      </c>
      <c r="X57" s="59"/>
      <c r="Y57" s="59"/>
      <c r="Z57" s="199"/>
      <c r="AA57" s="40" t="s">
        <v>6</v>
      </c>
      <c r="AB57" s="40"/>
      <c r="AC57" s="59"/>
      <c r="AD57" s="59"/>
      <c r="AE57" s="204" t="s">
        <v>125</v>
      </c>
      <c r="AF57" s="59"/>
      <c r="AG57" s="59"/>
      <c r="AH57" s="59"/>
      <c r="AI57" s="40" t="s">
        <v>6</v>
      </c>
      <c r="AJ57" s="15"/>
      <c r="AK57" s="59"/>
      <c r="AL57" s="59"/>
      <c r="AM57" s="59"/>
      <c r="AN57" s="59"/>
      <c r="AO57" s="59"/>
      <c r="AP57" s="59"/>
      <c r="AQ57" s="59"/>
      <c r="AR57" s="59"/>
      <c r="AS57" s="59"/>
      <c r="AT57" s="59"/>
      <c r="AU57" s="59"/>
      <c r="AV57" s="59"/>
      <c r="AW57" s="18">
        <f t="shared" si="2"/>
        <v>28</v>
      </c>
    </row>
    <row r="58" spans="1:87" s="20" customFormat="1" ht="15">
      <c r="A58" s="40">
        <f t="shared" si="0"/>
        <v>52</v>
      </c>
      <c r="B58" s="59"/>
      <c r="C58" s="59"/>
      <c r="D58" s="59"/>
      <c r="E58" s="59"/>
      <c r="F58" s="59"/>
      <c r="G58" s="59"/>
      <c r="H58" s="59"/>
      <c r="I58" s="59"/>
      <c r="J58" s="218" t="s">
        <v>1975</v>
      </c>
      <c r="K58" s="204" t="s">
        <v>117</v>
      </c>
      <c r="L58" s="204" t="s">
        <v>735</v>
      </c>
      <c r="M58" s="204"/>
      <c r="N58" s="40" t="s">
        <v>504</v>
      </c>
      <c r="O58" s="126"/>
      <c r="P58" s="126"/>
      <c r="Q58" s="40" t="s">
        <v>6</v>
      </c>
      <c r="R58" s="40" t="s">
        <v>6</v>
      </c>
      <c r="S58" s="40" t="s">
        <v>6</v>
      </c>
      <c r="T58" s="40" t="s">
        <v>6</v>
      </c>
      <c r="U58" s="200" t="s">
        <v>802</v>
      </c>
      <c r="V58" s="206"/>
      <c r="W58" s="204" t="s">
        <v>125</v>
      </c>
      <c r="X58" s="59"/>
      <c r="Y58" s="59"/>
      <c r="Z58" s="199"/>
      <c r="AA58" s="40" t="s">
        <v>6</v>
      </c>
      <c r="AB58" s="202"/>
      <c r="AC58" s="59"/>
      <c r="AD58" s="218"/>
      <c r="AE58" s="204" t="s">
        <v>125</v>
      </c>
      <c r="AF58" s="59"/>
      <c r="AG58" s="59"/>
      <c r="AH58" s="59"/>
      <c r="AI58" s="40" t="s">
        <v>6</v>
      </c>
      <c r="AJ58" s="218"/>
      <c r="AK58" s="59"/>
      <c r="AL58" s="218"/>
      <c r="AM58" s="59"/>
      <c r="AN58" s="59"/>
      <c r="AO58" s="59"/>
      <c r="AP58" s="59"/>
      <c r="AQ58" s="59"/>
      <c r="AR58" s="59"/>
      <c r="AS58" s="59"/>
      <c r="AT58" s="59"/>
      <c r="AU58" s="59"/>
      <c r="AV58" s="59"/>
      <c r="AW58" s="18">
        <v>14</v>
      </c>
    </row>
    <row r="59" spans="1:87" s="18" customFormat="1" ht="15">
      <c r="A59" s="40">
        <f t="shared" si="0"/>
        <v>53</v>
      </c>
      <c r="B59" s="19"/>
      <c r="C59" s="41"/>
      <c r="D59" s="19"/>
      <c r="E59" s="19"/>
      <c r="F59" s="19"/>
      <c r="G59" s="19"/>
      <c r="H59" s="13"/>
      <c r="I59" s="13"/>
      <c r="J59" s="218" t="s">
        <v>3320</v>
      </c>
      <c r="K59" s="412" t="s">
        <v>117</v>
      </c>
      <c r="L59" s="204" t="s">
        <v>740</v>
      </c>
      <c r="M59" s="204"/>
      <c r="N59" s="40" t="s">
        <v>504</v>
      </c>
      <c r="O59" s="126"/>
      <c r="P59" s="40"/>
      <c r="Q59" s="126" t="s">
        <v>6</v>
      </c>
      <c r="R59" s="126" t="s">
        <v>6</v>
      </c>
      <c r="S59" s="126" t="s">
        <v>6</v>
      </c>
      <c r="T59" s="40" t="s">
        <v>6</v>
      </c>
      <c r="U59" s="200" t="s">
        <v>3382</v>
      </c>
      <c r="V59" s="206"/>
      <c r="W59" s="412" t="s">
        <v>125</v>
      </c>
      <c r="X59" s="59"/>
      <c r="Y59" s="59"/>
      <c r="Z59" s="199"/>
      <c r="AA59" s="126" t="s">
        <v>6</v>
      </c>
      <c r="AB59" s="126"/>
      <c r="AC59" s="59"/>
      <c r="AD59" s="218" t="s">
        <v>809</v>
      </c>
      <c r="AE59" s="412" t="s">
        <v>125</v>
      </c>
      <c r="AF59" s="59"/>
      <c r="AG59" s="59"/>
      <c r="AH59" s="59"/>
      <c r="AI59" s="61" t="s">
        <v>6</v>
      </c>
      <c r="AJ59" s="79"/>
      <c r="AK59" s="59"/>
      <c r="AL59" s="218" t="s">
        <v>809</v>
      </c>
      <c r="AM59" s="43"/>
      <c r="AN59" s="19"/>
      <c r="AO59" s="15"/>
      <c r="AP59" s="15"/>
      <c r="AQ59" s="15"/>
      <c r="AR59" s="15"/>
      <c r="AS59" s="15"/>
      <c r="AT59" s="15"/>
      <c r="AU59" s="13"/>
      <c r="AV59" s="15"/>
      <c r="AW59" s="18">
        <v>18</v>
      </c>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row>
    <row r="60" spans="1:87" s="12" customFormat="1" ht="15">
      <c r="A60" s="40">
        <f t="shared" si="0"/>
        <v>54</v>
      </c>
      <c r="B60" s="19"/>
      <c r="C60" s="41"/>
      <c r="D60" s="19"/>
      <c r="E60" s="19"/>
      <c r="F60" s="19"/>
      <c r="G60" s="19"/>
      <c r="H60" s="13"/>
      <c r="I60" s="13"/>
      <c r="J60" s="215" t="s">
        <v>1976</v>
      </c>
      <c r="K60" s="412" t="s">
        <v>140</v>
      </c>
      <c r="L60" s="412" t="s">
        <v>1977</v>
      </c>
      <c r="M60" s="412"/>
      <c r="N60" s="40" t="s">
        <v>504</v>
      </c>
      <c r="O60" s="126"/>
      <c r="P60" s="40"/>
      <c r="Q60" s="126" t="s">
        <v>6</v>
      </c>
      <c r="R60" s="126" t="s">
        <v>6</v>
      </c>
      <c r="S60" s="126" t="s">
        <v>6</v>
      </c>
      <c r="T60" s="126" t="s">
        <v>6</v>
      </c>
      <c r="U60" s="40"/>
      <c r="V60" s="13"/>
      <c r="W60" s="412" t="s">
        <v>140</v>
      </c>
      <c r="X60" s="13"/>
      <c r="Y60" s="13"/>
      <c r="Z60" s="40"/>
      <c r="AA60" s="416"/>
      <c r="AB60" s="415"/>
      <c r="AC60" s="415"/>
      <c r="AD60" s="415"/>
      <c r="AE60" s="412" t="s">
        <v>140</v>
      </c>
      <c r="AF60" s="13" t="s">
        <v>861</v>
      </c>
      <c r="AG60" s="13"/>
      <c r="AH60" s="13"/>
      <c r="AI60" s="414"/>
      <c r="AJ60" s="413"/>
      <c r="AK60" s="415"/>
      <c r="AL60" s="415"/>
      <c r="AM60" s="429"/>
      <c r="AN60" s="19"/>
      <c r="AO60" s="15"/>
      <c r="AP60" s="15"/>
      <c r="AQ60" s="15"/>
      <c r="AR60" s="15"/>
      <c r="AS60" s="15"/>
      <c r="AT60" s="15"/>
      <c r="AU60" s="15"/>
      <c r="AV60" s="15"/>
      <c r="AW60" s="18">
        <f>LEN(L60)</f>
        <v>41</v>
      </c>
      <c r="AX60" s="16"/>
      <c r="AY60" s="17"/>
    </row>
    <row r="61" spans="1:87" s="12" customFormat="1" ht="15">
      <c r="A61" s="40">
        <f t="shared" si="0"/>
        <v>55</v>
      </c>
      <c r="B61" s="19"/>
      <c r="C61" s="41"/>
      <c r="D61" s="19"/>
      <c r="E61" s="19"/>
      <c r="F61" s="19"/>
      <c r="G61" s="19"/>
      <c r="H61" s="13"/>
      <c r="I61" s="13"/>
      <c r="J61" s="215" t="s">
        <v>1978</v>
      </c>
      <c r="K61" s="399" t="s">
        <v>140</v>
      </c>
      <c r="L61" s="412" t="s">
        <v>1979</v>
      </c>
      <c r="M61" s="412"/>
      <c r="N61" s="40" t="s">
        <v>504</v>
      </c>
      <c r="O61" s="126"/>
      <c r="P61" s="40"/>
      <c r="Q61" s="126" t="s">
        <v>6</v>
      </c>
      <c r="R61" s="126" t="s">
        <v>6</v>
      </c>
      <c r="S61" s="126" t="s">
        <v>6</v>
      </c>
      <c r="T61" s="126" t="s">
        <v>6</v>
      </c>
      <c r="U61" s="40"/>
      <c r="V61" s="13"/>
      <c r="W61" s="399"/>
      <c r="X61" s="13"/>
      <c r="Y61" s="13"/>
      <c r="Z61" s="40"/>
      <c r="AA61" s="416"/>
      <c r="AB61" s="415"/>
      <c r="AC61" s="403"/>
      <c r="AD61" s="403"/>
      <c r="AE61" s="399"/>
      <c r="AF61" s="13"/>
      <c r="AG61" s="13"/>
      <c r="AH61" s="13"/>
      <c r="AI61" s="402"/>
      <c r="AJ61" s="400"/>
      <c r="AK61" s="403"/>
      <c r="AL61" s="403"/>
      <c r="AM61" s="429"/>
      <c r="AN61" s="19"/>
      <c r="AO61" s="15"/>
      <c r="AP61" s="15"/>
      <c r="AQ61" s="15"/>
      <c r="AR61" s="15"/>
      <c r="AS61" s="15"/>
      <c r="AT61" s="15"/>
      <c r="AU61" s="15"/>
      <c r="AV61" s="15"/>
      <c r="AW61" s="18"/>
      <c r="AX61" s="16"/>
      <c r="AY61" s="17"/>
    </row>
    <row r="62" spans="1:87" s="12" customFormat="1" ht="15">
      <c r="A62" s="40">
        <f t="shared" si="0"/>
        <v>56</v>
      </c>
      <c r="B62" s="19"/>
      <c r="C62" s="41"/>
      <c r="D62" s="19"/>
      <c r="E62" s="19"/>
      <c r="F62" s="19"/>
      <c r="G62" s="19"/>
      <c r="H62" s="13"/>
      <c r="I62" s="13"/>
      <c r="J62" s="215" t="s">
        <v>1980</v>
      </c>
      <c r="K62" s="399" t="s">
        <v>140</v>
      </c>
      <c r="L62" s="412" t="s">
        <v>1981</v>
      </c>
      <c r="M62" s="412"/>
      <c r="N62" s="40" t="s">
        <v>504</v>
      </c>
      <c r="O62" s="126"/>
      <c r="P62" s="40"/>
      <c r="Q62" s="126" t="s">
        <v>6</v>
      </c>
      <c r="R62" s="126" t="s">
        <v>6</v>
      </c>
      <c r="S62" s="126" t="s">
        <v>6</v>
      </c>
      <c r="T62" s="126" t="s">
        <v>6</v>
      </c>
      <c r="U62" s="40"/>
      <c r="V62" s="13"/>
      <c r="W62" s="399"/>
      <c r="X62" s="13"/>
      <c r="Y62" s="13"/>
      <c r="Z62" s="40"/>
      <c r="AA62" s="416"/>
      <c r="AB62" s="415"/>
      <c r="AC62" s="403"/>
      <c r="AD62" s="403"/>
      <c r="AE62" s="399"/>
      <c r="AF62" s="13"/>
      <c r="AG62" s="13"/>
      <c r="AH62" s="13"/>
      <c r="AI62" s="402"/>
      <c r="AJ62" s="400"/>
      <c r="AK62" s="403"/>
      <c r="AL62" s="403"/>
      <c r="AM62" s="429"/>
      <c r="AN62" s="19"/>
      <c r="AO62" s="15"/>
      <c r="AP62" s="15"/>
      <c r="AQ62" s="15"/>
      <c r="AR62" s="15"/>
      <c r="AS62" s="15"/>
      <c r="AT62" s="15"/>
      <c r="AU62" s="15"/>
      <c r="AV62" s="15"/>
      <c r="AW62" s="18"/>
      <c r="AX62" s="16"/>
      <c r="AY62" s="17"/>
    </row>
    <row r="63" spans="1:87" s="12" customFormat="1" ht="15">
      <c r="A63" s="40">
        <f t="shared" si="0"/>
        <v>57</v>
      </c>
      <c r="B63" s="19"/>
      <c r="C63" s="41"/>
      <c r="D63" s="19"/>
      <c r="E63" s="19"/>
      <c r="F63" s="19"/>
      <c r="G63" s="19"/>
      <c r="H63" s="13"/>
      <c r="I63" s="13"/>
      <c r="J63" s="215" t="s">
        <v>1982</v>
      </c>
      <c r="K63" s="399" t="s">
        <v>140</v>
      </c>
      <c r="L63" s="412" t="s">
        <v>1983</v>
      </c>
      <c r="M63" s="412"/>
      <c r="N63" s="40" t="s">
        <v>504</v>
      </c>
      <c r="O63" s="126"/>
      <c r="P63" s="40"/>
      <c r="Q63" s="126" t="s">
        <v>6</v>
      </c>
      <c r="R63" s="126" t="s">
        <v>6</v>
      </c>
      <c r="S63" s="126" t="s">
        <v>6</v>
      </c>
      <c r="T63" s="126" t="s">
        <v>6</v>
      </c>
      <c r="U63" s="40"/>
      <c r="V63" s="13"/>
      <c r="W63" s="399"/>
      <c r="X63" s="13"/>
      <c r="Y63" s="13"/>
      <c r="Z63" s="40"/>
      <c r="AA63" s="416"/>
      <c r="AB63" s="415"/>
      <c r="AC63" s="403"/>
      <c r="AD63" s="403"/>
      <c r="AE63" s="399"/>
      <c r="AF63" s="13"/>
      <c r="AG63" s="13"/>
      <c r="AH63" s="13"/>
      <c r="AI63" s="402"/>
      <c r="AJ63" s="400"/>
      <c r="AK63" s="403"/>
      <c r="AL63" s="403"/>
      <c r="AM63" s="429"/>
      <c r="AN63" s="19"/>
      <c r="AO63" s="15"/>
      <c r="AP63" s="15"/>
      <c r="AQ63" s="15"/>
      <c r="AR63" s="15"/>
      <c r="AS63" s="15"/>
      <c r="AT63" s="15"/>
      <c r="AU63" s="15"/>
      <c r="AV63" s="15"/>
      <c r="AW63" s="18"/>
      <c r="AX63" s="16"/>
      <c r="AY63" s="17"/>
    </row>
    <row r="64" spans="1:87" s="12" customFormat="1" ht="15">
      <c r="A64" s="40">
        <f t="shared" si="0"/>
        <v>58</v>
      </c>
      <c r="B64" s="19"/>
      <c r="C64" s="41"/>
      <c r="D64" s="19"/>
      <c r="E64" s="19"/>
      <c r="F64" s="19"/>
      <c r="G64" s="19"/>
      <c r="H64" s="13"/>
      <c r="I64" s="13"/>
      <c r="J64" s="215" t="s">
        <v>1984</v>
      </c>
      <c r="K64" s="399" t="s">
        <v>140</v>
      </c>
      <c r="L64" s="412" t="s">
        <v>1424</v>
      </c>
      <c r="M64" s="412"/>
      <c r="N64" s="40" t="s">
        <v>504</v>
      </c>
      <c r="O64" s="126"/>
      <c r="P64" s="40"/>
      <c r="Q64" s="126" t="s">
        <v>6</v>
      </c>
      <c r="R64" s="126" t="s">
        <v>6</v>
      </c>
      <c r="S64" s="126" t="s">
        <v>6</v>
      </c>
      <c r="T64" s="126" t="s">
        <v>6</v>
      </c>
      <c r="U64" s="40"/>
      <c r="V64" s="13"/>
      <c r="W64" s="399" t="s">
        <v>140</v>
      </c>
      <c r="X64" s="13"/>
      <c r="Y64" s="13"/>
      <c r="Z64" s="40"/>
      <c r="AA64" s="416"/>
      <c r="AB64" s="415"/>
      <c r="AC64" s="403"/>
      <c r="AD64" s="403"/>
      <c r="AE64" s="399" t="s">
        <v>140</v>
      </c>
      <c r="AF64" s="13" t="s">
        <v>861</v>
      </c>
      <c r="AG64" s="13"/>
      <c r="AH64" s="13"/>
      <c r="AI64" s="402"/>
      <c r="AJ64" s="400"/>
      <c r="AK64" s="403"/>
      <c r="AL64" s="403"/>
      <c r="AM64" s="429"/>
      <c r="AN64" s="19"/>
      <c r="AO64" s="15"/>
      <c r="AP64" s="15"/>
      <c r="AQ64" s="15"/>
      <c r="AR64" s="15"/>
      <c r="AS64" s="15"/>
      <c r="AT64" s="15"/>
      <c r="AU64" s="15"/>
      <c r="AV64" s="15"/>
      <c r="AW64" s="18">
        <f>LEN(L64)</f>
        <v>20</v>
      </c>
      <c r="AX64" s="16"/>
      <c r="AY64" s="17"/>
    </row>
    <row r="65" spans="1:87" s="18" customFormat="1" ht="15">
      <c r="A65" s="40">
        <f t="shared" si="0"/>
        <v>59</v>
      </c>
      <c r="B65" s="19"/>
      <c r="C65" s="41"/>
      <c r="D65" s="19"/>
      <c r="E65" s="19"/>
      <c r="F65" s="19"/>
      <c r="G65" s="19"/>
      <c r="H65" s="13"/>
      <c r="I65" s="13"/>
      <c r="J65" s="215" t="s">
        <v>1985</v>
      </c>
      <c r="K65" s="399" t="s">
        <v>117</v>
      </c>
      <c r="L65" s="412" t="s">
        <v>1986</v>
      </c>
      <c r="M65" s="412"/>
      <c r="N65" s="40" t="s">
        <v>504</v>
      </c>
      <c r="O65" s="213"/>
      <c r="P65" s="403"/>
      <c r="Q65" s="126" t="s">
        <v>6</v>
      </c>
      <c r="R65" s="126" t="s">
        <v>6</v>
      </c>
      <c r="S65" s="126" t="s">
        <v>6</v>
      </c>
      <c r="T65" s="126" t="s">
        <v>6</v>
      </c>
      <c r="U65" s="200"/>
      <c r="V65" s="206"/>
      <c r="W65" s="399" t="s">
        <v>117</v>
      </c>
      <c r="X65" s="260"/>
      <c r="Y65" s="260"/>
      <c r="Z65" s="207"/>
      <c r="AA65" s="226"/>
      <c r="AB65" s="126"/>
      <c r="AC65" s="260"/>
      <c r="AD65" s="310"/>
      <c r="AE65" s="399" t="s">
        <v>117</v>
      </c>
      <c r="AF65" s="260"/>
      <c r="AG65" s="260"/>
      <c r="AH65" s="258"/>
      <c r="AI65" s="270"/>
      <c r="AJ65" s="79"/>
      <c r="AK65" s="260"/>
      <c r="AL65" s="310"/>
      <c r="AM65" s="43"/>
      <c r="AN65" s="19"/>
      <c r="AO65" s="15"/>
      <c r="AP65" s="15"/>
      <c r="AQ65" s="15"/>
      <c r="AR65" s="15"/>
      <c r="AS65" s="15"/>
      <c r="AT65" s="15"/>
      <c r="AU65" s="13"/>
      <c r="AV65" s="15"/>
      <c r="AW65" s="155">
        <f>LEN(L65)</f>
        <v>15</v>
      </c>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row>
    <row r="66" spans="1:87" s="18" customFormat="1" ht="15">
      <c r="A66" s="40">
        <f t="shared" si="0"/>
        <v>60</v>
      </c>
      <c r="B66" s="19"/>
      <c r="C66" s="41"/>
      <c r="D66" s="19"/>
      <c r="E66" s="19"/>
      <c r="F66" s="19"/>
      <c r="G66" s="19"/>
      <c r="H66" s="13"/>
      <c r="I66" s="13"/>
      <c r="J66" s="215" t="s">
        <v>1987</v>
      </c>
      <c r="K66" s="399" t="s">
        <v>117</v>
      </c>
      <c r="L66" s="412" t="s">
        <v>1988</v>
      </c>
      <c r="M66" s="412"/>
      <c r="N66" s="40" t="s">
        <v>504</v>
      </c>
      <c r="O66" s="213"/>
      <c r="P66" s="403"/>
      <c r="Q66" s="126" t="s">
        <v>6</v>
      </c>
      <c r="R66" s="126" t="s">
        <v>6</v>
      </c>
      <c r="S66" s="126" t="s">
        <v>6</v>
      </c>
      <c r="T66" s="126" t="s">
        <v>6</v>
      </c>
      <c r="U66" s="200"/>
      <c r="V66" s="206"/>
      <c r="W66" s="399" t="s">
        <v>117</v>
      </c>
      <c r="X66" s="260"/>
      <c r="Y66" s="260"/>
      <c r="Z66" s="207"/>
      <c r="AA66" s="226"/>
      <c r="AB66" s="126"/>
      <c r="AC66" s="260"/>
      <c r="AD66" s="310"/>
      <c r="AE66" s="399" t="s">
        <v>117</v>
      </c>
      <c r="AF66" s="260"/>
      <c r="AG66" s="260"/>
      <c r="AH66" s="258"/>
      <c r="AI66" s="270"/>
      <c r="AJ66" s="79"/>
      <c r="AK66" s="260"/>
      <c r="AL66" s="310"/>
      <c r="AM66" s="43"/>
      <c r="AN66" s="19"/>
      <c r="AO66" s="15"/>
      <c r="AP66" s="15"/>
      <c r="AQ66" s="15"/>
      <c r="AR66" s="15"/>
      <c r="AS66" s="15"/>
      <c r="AT66" s="15"/>
      <c r="AU66" s="13"/>
      <c r="AV66" s="15"/>
      <c r="AW66" s="155">
        <f>LEN(L66)</f>
        <v>29</v>
      </c>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row>
    <row r="67" spans="1:87" s="236" customFormat="1" ht="15">
      <c r="A67" s="40">
        <f t="shared" si="0"/>
        <v>61</v>
      </c>
      <c r="B67" s="199"/>
      <c r="C67" s="199"/>
      <c r="D67" s="199"/>
      <c r="E67" s="199"/>
      <c r="F67" s="199"/>
      <c r="G67" s="199"/>
      <c r="H67" s="199"/>
      <c r="I67" s="199"/>
      <c r="J67" s="215" t="s">
        <v>1989</v>
      </c>
      <c r="K67" s="199" t="s">
        <v>117</v>
      </c>
      <c r="L67" s="204" t="s">
        <v>1990</v>
      </c>
      <c r="M67" s="204"/>
      <c r="N67" s="271" t="s">
        <v>504</v>
      </c>
      <c r="O67" s="369"/>
      <c r="P67" s="126"/>
      <c r="Q67" s="226" t="s">
        <v>6</v>
      </c>
      <c r="R67" s="226" t="s">
        <v>6</v>
      </c>
      <c r="S67" s="226" t="s">
        <v>6</v>
      </c>
      <c r="T67" s="126" t="s">
        <v>6</v>
      </c>
      <c r="U67" s="200" t="s">
        <v>1991</v>
      </c>
      <c r="V67" s="204"/>
      <c r="W67" s="199" t="s">
        <v>133</v>
      </c>
      <c r="X67" s="199"/>
      <c r="Y67" s="199"/>
      <c r="Z67" s="226" t="s">
        <v>6</v>
      </c>
      <c r="AA67" s="226" t="s">
        <v>6</v>
      </c>
      <c r="AB67" s="126" t="s">
        <v>1100</v>
      </c>
      <c r="AC67" s="199"/>
      <c r="AD67" s="199"/>
      <c r="AE67" s="199"/>
      <c r="AF67" s="199"/>
      <c r="AG67" s="199"/>
      <c r="AH67" s="226"/>
      <c r="AI67" s="226"/>
      <c r="AJ67" s="199"/>
      <c r="AK67" s="199"/>
      <c r="AL67" s="199"/>
      <c r="AM67" s="199"/>
      <c r="AN67" s="199"/>
      <c r="AO67" s="199"/>
      <c r="AP67" s="199"/>
      <c r="AQ67" s="199"/>
      <c r="AR67" s="199"/>
      <c r="AS67" s="199"/>
      <c r="AT67" s="199"/>
      <c r="AU67" s="199"/>
      <c r="AV67" s="199"/>
      <c r="AW67" s="155">
        <f>LEN(L67)</f>
        <v>15</v>
      </c>
    </row>
    <row r="68" spans="1:87" s="236" customFormat="1" ht="15">
      <c r="A68" s="40">
        <f t="shared" si="0"/>
        <v>62</v>
      </c>
      <c r="B68" s="199"/>
      <c r="C68" s="199"/>
      <c r="D68" s="199"/>
      <c r="E68" s="199"/>
      <c r="F68" s="199"/>
      <c r="G68" s="199"/>
      <c r="H68" s="199"/>
      <c r="I68" s="199"/>
      <c r="J68" s="215" t="s">
        <v>1992</v>
      </c>
      <c r="K68" s="199" t="s">
        <v>117</v>
      </c>
      <c r="L68" s="204" t="s">
        <v>1993</v>
      </c>
      <c r="M68" s="204"/>
      <c r="N68" s="271" t="s">
        <v>504</v>
      </c>
      <c r="O68" s="370"/>
      <c r="P68" s="213"/>
      <c r="Q68" s="126"/>
      <c r="R68" s="126" t="s">
        <v>6</v>
      </c>
      <c r="S68" s="126" t="s">
        <v>6</v>
      </c>
      <c r="T68" s="126" t="s">
        <v>6</v>
      </c>
      <c r="U68" s="200"/>
      <c r="V68" s="204"/>
      <c r="W68" s="199"/>
      <c r="X68" s="211"/>
      <c r="Y68" s="211"/>
      <c r="Z68" s="226"/>
      <c r="AA68" s="226"/>
      <c r="AB68" s="126"/>
      <c r="AC68" s="211"/>
      <c r="AD68" s="211"/>
      <c r="AE68" s="199"/>
      <c r="AF68" s="211"/>
      <c r="AG68" s="211"/>
      <c r="AH68" s="226"/>
      <c r="AI68" s="226"/>
      <c r="AJ68" s="199"/>
      <c r="AK68" s="211"/>
      <c r="AL68" s="211"/>
      <c r="AM68" s="199"/>
      <c r="AN68" s="199"/>
      <c r="AO68" s="199"/>
      <c r="AP68" s="199"/>
      <c r="AQ68" s="199"/>
      <c r="AR68" s="199"/>
      <c r="AS68" s="199"/>
      <c r="AT68" s="199"/>
      <c r="AU68" s="199"/>
      <c r="AV68" s="199"/>
      <c r="AW68" s="155">
        <f t="shared" ref="AW68:AW87" si="4">LEN(L68)</f>
        <v>30</v>
      </c>
    </row>
    <row r="69" spans="1:87" s="236" customFormat="1" ht="15">
      <c r="A69" s="40">
        <f t="shared" si="0"/>
        <v>63</v>
      </c>
      <c r="B69" s="199"/>
      <c r="C69" s="199"/>
      <c r="D69" s="199"/>
      <c r="E69" s="199"/>
      <c r="F69" s="199"/>
      <c r="G69" s="199"/>
      <c r="H69" s="199"/>
      <c r="I69" s="199"/>
      <c r="J69" s="215" t="s">
        <v>1994</v>
      </c>
      <c r="K69" s="199" t="s">
        <v>117</v>
      </c>
      <c r="L69" s="204" t="s">
        <v>1995</v>
      </c>
      <c r="M69" s="204"/>
      <c r="N69" s="271" t="s">
        <v>504</v>
      </c>
      <c r="O69" s="370"/>
      <c r="P69" s="213"/>
      <c r="Q69" s="126"/>
      <c r="R69" s="126" t="s">
        <v>6</v>
      </c>
      <c r="S69" s="126" t="s">
        <v>6</v>
      </c>
      <c r="T69" s="126" t="s">
        <v>6</v>
      </c>
      <c r="U69" s="200"/>
      <c r="V69" s="204"/>
      <c r="W69" s="199"/>
      <c r="X69" s="211"/>
      <c r="Y69" s="211"/>
      <c r="Z69" s="226"/>
      <c r="AA69" s="226"/>
      <c r="AB69" s="126"/>
      <c r="AC69" s="211"/>
      <c r="AD69" s="211"/>
      <c r="AE69" s="199"/>
      <c r="AF69" s="211"/>
      <c r="AG69" s="211"/>
      <c r="AH69" s="226"/>
      <c r="AI69" s="226"/>
      <c r="AJ69" s="199"/>
      <c r="AK69" s="211"/>
      <c r="AL69" s="211"/>
      <c r="AM69" s="199"/>
      <c r="AN69" s="199"/>
      <c r="AO69" s="199"/>
      <c r="AP69" s="199"/>
      <c r="AQ69" s="199"/>
      <c r="AR69" s="199"/>
      <c r="AS69" s="199"/>
      <c r="AT69" s="199"/>
      <c r="AU69" s="199"/>
      <c r="AV69" s="199"/>
      <c r="AW69" s="155">
        <f t="shared" si="4"/>
        <v>35</v>
      </c>
    </row>
    <row r="70" spans="1:87" s="236" customFormat="1" ht="15">
      <c r="A70" s="40">
        <f t="shared" si="0"/>
        <v>64</v>
      </c>
      <c r="B70" s="199"/>
      <c r="C70" s="199"/>
      <c r="D70" s="199"/>
      <c r="E70" s="199"/>
      <c r="F70" s="199"/>
      <c r="G70" s="199"/>
      <c r="H70" s="199"/>
      <c r="I70" s="199"/>
      <c r="J70" s="215" t="s">
        <v>1996</v>
      </c>
      <c r="K70" s="199" t="s">
        <v>117</v>
      </c>
      <c r="L70" s="204" t="s">
        <v>1997</v>
      </c>
      <c r="M70" s="204"/>
      <c r="N70" s="271" t="s">
        <v>504</v>
      </c>
      <c r="O70" s="370"/>
      <c r="P70" s="213"/>
      <c r="Q70" s="126"/>
      <c r="R70" s="126" t="s">
        <v>6</v>
      </c>
      <c r="S70" s="126" t="s">
        <v>6</v>
      </c>
      <c r="T70" s="126" t="s">
        <v>6</v>
      </c>
      <c r="U70" s="200"/>
      <c r="V70" s="204"/>
      <c r="W70" s="199"/>
      <c r="X70" s="211"/>
      <c r="Y70" s="211"/>
      <c r="Z70" s="226"/>
      <c r="AA70" s="226"/>
      <c r="AB70" s="126"/>
      <c r="AC70" s="211"/>
      <c r="AD70" s="211"/>
      <c r="AE70" s="199"/>
      <c r="AF70" s="211"/>
      <c r="AG70" s="211"/>
      <c r="AH70" s="226"/>
      <c r="AI70" s="226"/>
      <c r="AJ70" s="199"/>
      <c r="AK70" s="211"/>
      <c r="AL70" s="211"/>
      <c r="AM70" s="199"/>
      <c r="AN70" s="199"/>
      <c r="AO70" s="199"/>
      <c r="AP70" s="199"/>
      <c r="AQ70" s="199"/>
      <c r="AR70" s="199"/>
      <c r="AS70" s="199"/>
      <c r="AT70" s="199"/>
      <c r="AU70" s="199"/>
      <c r="AV70" s="199"/>
      <c r="AW70" s="155">
        <f t="shared" si="4"/>
        <v>32</v>
      </c>
    </row>
    <row r="71" spans="1:87" s="236" customFormat="1" ht="15">
      <c r="A71" s="40">
        <f t="shared" ref="A71:A116" si="5">ROW() - 6</f>
        <v>65</v>
      </c>
      <c r="B71" s="199"/>
      <c r="C71" s="199"/>
      <c r="D71" s="199"/>
      <c r="E71" s="199"/>
      <c r="F71" s="199"/>
      <c r="G71" s="199"/>
      <c r="H71" s="199"/>
      <c r="I71" s="199"/>
      <c r="J71" s="215" t="s">
        <v>1998</v>
      </c>
      <c r="K71" s="199" t="s">
        <v>117</v>
      </c>
      <c r="L71" s="204" t="s">
        <v>1999</v>
      </c>
      <c r="M71" s="204"/>
      <c r="N71" s="271" t="s">
        <v>504</v>
      </c>
      <c r="O71" s="370"/>
      <c r="P71" s="213"/>
      <c r="Q71" s="126"/>
      <c r="R71" s="126" t="s">
        <v>6</v>
      </c>
      <c r="S71" s="126" t="s">
        <v>6</v>
      </c>
      <c r="T71" s="126" t="s">
        <v>6</v>
      </c>
      <c r="U71" s="200"/>
      <c r="V71" s="204"/>
      <c r="W71" s="199"/>
      <c r="X71" s="211"/>
      <c r="Y71" s="211"/>
      <c r="Z71" s="226"/>
      <c r="AA71" s="226"/>
      <c r="AB71" s="126"/>
      <c r="AC71" s="211"/>
      <c r="AD71" s="211"/>
      <c r="AE71" s="199"/>
      <c r="AF71" s="211"/>
      <c r="AG71" s="211"/>
      <c r="AH71" s="226"/>
      <c r="AI71" s="226"/>
      <c r="AJ71" s="199"/>
      <c r="AK71" s="211"/>
      <c r="AL71" s="211"/>
      <c r="AM71" s="199"/>
      <c r="AN71" s="199"/>
      <c r="AO71" s="199"/>
      <c r="AP71" s="199"/>
      <c r="AQ71" s="199"/>
      <c r="AR71" s="199"/>
      <c r="AS71" s="199"/>
      <c r="AT71" s="199"/>
      <c r="AU71" s="199"/>
      <c r="AV71" s="199"/>
      <c r="AW71" s="155">
        <f t="shared" si="4"/>
        <v>25</v>
      </c>
    </row>
    <row r="72" spans="1:87" s="236" customFormat="1" ht="15">
      <c r="A72" s="40">
        <f t="shared" si="5"/>
        <v>66</v>
      </c>
      <c r="B72" s="199"/>
      <c r="C72" s="199"/>
      <c r="D72" s="199"/>
      <c r="E72" s="199"/>
      <c r="F72" s="199"/>
      <c r="G72" s="199"/>
      <c r="H72" s="199"/>
      <c r="I72" s="199"/>
      <c r="J72" s="215" t="s">
        <v>2000</v>
      </c>
      <c r="K72" s="199" t="s">
        <v>117</v>
      </c>
      <c r="L72" s="204" t="s">
        <v>2001</v>
      </c>
      <c r="M72" s="204"/>
      <c r="N72" s="271" t="s">
        <v>504</v>
      </c>
      <c r="O72" s="370"/>
      <c r="P72" s="213"/>
      <c r="Q72" s="126"/>
      <c r="R72" s="126" t="s">
        <v>6</v>
      </c>
      <c r="S72" s="126" t="s">
        <v>6</v>
      </c>
      <c r="T72" s="126" t="s">
        <v>6</v>
      </c>
      <c r="U72" s="200"/>
      <c r="V72" s="204"/>
      <c r="W72" s="199"/>
      <c r="X72" s="211"/>
      <c r="Y72" s="211"/>
      <c r="Z72" s="226"/>
      <c r="AA72" s="226"/>
      <c r="AB72" s="126"/>
      <c r="AC72" s="211"/>
      <c r="AD72" s="211"/>
      <c r="AE72" s="199"/>
      <c r="AF72" s="211"/>
      <c r="AG72" s="211"/>
      <c r="AH72" s="226"/>
      <c r="AI72" s="226"/>
      <c r="AJ72" s="199"/>
      <c r="AK72" s="211"/>
      <c r="AL72" s="211"/>
      <c r="AM72" s="199"/>
      <c r="AN72" s="199"/>
      <c r="AO72" s="199"/>
      <c r="AP72" s="199"/>
      <c r="AQ72" s="199"/>
      <c r="AR72" s="199"/>
      <c r="AS72" s="199"/>
      <c r="AT72" s="199"/>
      <c r="AU72" s="199"/>
      <c r="AV72" s="199"/>
      <c r="AW72" s="155">
        <f t="shared" si="4"/>
        <v>23</v>
      </c>
    </row>
    <row r="73" spans="1:87" s="236" customFormat="1" ht="15">
      <c r="A73" s="40">
        <f t="shared" si="5"/>
        <v>67</v>
      </c>
      <c r="B73" s="199"/>
      <c r="C73" s="199"/>
      <c r="D73" s="199"/>
      <c r="E73" s="199"/>
      <c r="F73" s="199"/>
      <c r="G73" s="199"/>
      <c r="H73" s="199"/>
      <c r="I73" s="199"/>
      <c r="J73" s="215" t="s">
        <v>2002</v>
      </c>
      <c r="K73" s="199" t="s">
        <v>117</v>
      </c>
      <c r="L73" s="204" t="s">
        <v>2003</v>
      </c>
      <c r="M73" s="204"/>
      <c r="N73" s="271" t="s">
        <v>504</v>
      </c>
      <c r="O73" s="370"/>
      <c r="P73" s="213"/>
      <c r="Q73" s="126"/>
      <c r="R73" s="126" t="s">
        <v>6</v>
      </c>
      <c r="S73" s="126" t="s">
        <v>6</v>
      </c>
      <c r="T73" s="126" t="s">
        <v>6</v>
      </c>
      <c r="U73" s="200"/>
      <c r="V73" s="204"/>
      <c r="W73" s="199"/>
      <c r="X73" s="211"/>
      <c r="Y73" s="211"/>
      <c r="Z73" s="226"/>
      <c r="AA73" s="226"/>
      <c r="AB73" s="126"/>
      <c r="AC73" s="211"/>
      <c r="AD73" s="211"/>
      <c r="AE73" s="199"/>
      <c r="AF73" s="211"/>
      <c r="AG73" s="211"/>
      <c r="AH73" s="226"/>
      <c r="AI73" s="226"/>
      <c r="AJ73" s="199"/>
      <c r="AK73" s="211"/>
      <c r="AL73" s="211"/>
      <c r="AM73" s="199"/>
      <c r="AN73" s="199"/>
      <c r="AO73" s="199"/>
      <c r="AP73" s="199"/>
      <c r="AQ73" s="199"/>
      <c r="AR73" s="199"/>
      <c r="AS73" s="199"/>
      <c r="AT73" s="199"/>
      <c r="AU73" s="199"/>
      <c r="AV73" s="199"/>
      <c r="AW73" s="155">
        <f>LEN(L73)</f>
        <v>30</v>
      </c>
    </row>
    <row r="74" spans="1:87" s="236" customFormat="1" ht="15">
      <c r="A74" s="40">
        <f t="shared" si="5"/>
        <v>68</v>
      </c>
      <c r="B74" s="199"/>
      <c r="C74" s="199"/>
      <c r="D74" s="199"/>
      <c r="E74" s="199"/>
      <c r="F74" s="199"/>
      <c r="G74" s="199"/>
      <c r="H74" s="199"/>
      <c r="I74" s="199"/>
      <c r="J74" s="215" t="s">
        <v>2004</v>
      </c>
      <c r="K74" s="199" t="s">
        <v>128</v>
      </c>
      <c r="L74" s="204" t="s">
        <v>2005</v>
      </c>
      <c r="M74" s="204"/>
      <c r="N74" s="271" t="s">
        <v>504</v>
      </c>
      <c r="O74" s="370"/>
      <c r="P74" s="213"/>
      <c r="Q74" s="126" t="s">
        <v>6</v>
      </c>
      <c r="R74" s="126" t="s">
        <v>6</v>
      </c>
      <c r="S74" s="126" t="s">
        <v>6</v>
      </c>
      <c r="T74" s="126" t="s">
        <v>6</v>
      </c>
      <c r="U74" s="200"/>
      <c r="V74" s="204"/>
      <c r="W74" s="199"/>
      <c r="X74" s="211"/>
      <c r="Y74" s="211"/>
      <c r="Z74" s="226"/>
      <c r="AA74" s="226"/>
      <c r="AB74" s="126"/>
      <c r="AC74" s="211"/>
      <c r="AD74" s="211"/>
      <c r="AE74" s="199"/>
      <c r="AF74" s="211"/>
      <c r="AG74" s="211"/>
      <c r="AH74" s="226"/>
      <c r="AI74" s="226"/>
      <c r="AJ74" s="199"/>
      <c r="AK74" s="211"/>
      <c r="AL74" s="211"/>
      <c r="AM74" s="199"/>
      <c r="AN74" s="199"/>
      <c r="AO74" s="199"/>
      <c r="AP74" s="199"/>
      <c r="AQ74" s="199"/>
      <c r="AR74" s="199"/>
      <c r="AS74" s="199"/>
      <c r="AT74" s="199"/>
      <c r="AU74" s="199"/>
      <c r="AV74" s="199"/>
      <c r="AW74" s="155">
        <f t="shared" si="4"/>
        <v>34</v>
      </c>
    </row>
    <row r="75" spans="1:87" s="236" customFormat="1" ht="15">
      <c r="A75" s="40">
        <f t="shared" si="5"/>
        <v>69</v>
      </c>
      <c r="B75" s="199"/>
      <c r="C75" s="199"/>
      <c r="D75" s="199"/>
      <c r="E75" s="199"/>
      <c r="F75" s="199"/>
      <c r="G75" s="199"/>
      <c r="H75" s="199"/>
      <c r="I75" s="199"/>
      <c r="J75" s="215" t="s">
        <v>2006</v>
      </c>
      <c r="K75" s="199" t="s">
        <v>103</v>
      </c>
      <c r="L75" s="204" t="s">
        <v>2007</v>
      </c>
      <c r="M75" s="204"/>
      <c r="N75" s="271" t="s">
        <v>504</v>
      </c>
      <c r="O75" s="370"/>
      <c r="P75" s="213"/>
      <c r="Q75" s="126" t="s">
        <v>6</v>
      </c>
      <c r="R75" s="126" t="s">
        <v>6</v>
      </c>
      <c r="S75" s="126" t="s">
        <v>6</v>
      </c>
      <c r="T75" s="126" t="s">
        <v>6</v>
      </c>
      <c r="U75" s="200"/>
      <c r="V75" s="204"/>
      <c r="W75" s="199"/>
      <c r="X75" s="211"/>
      <c r="Y75" s="211"/>
      <c r="Z75" s="226"/>
      <c r="AA75" s="226"/>
      <c r="AB75" s="126"/>
      <c r="AC75" s="211"/>
      <c r="AD75" s="211"/>
      <c r="AE75" s="199"/>
      <c r="AF75" s="211"/>
      <c r="AG75" s="211"/>
      <c r="AH75" s="226"/>
      <c r="AI75" s="226"/>
      <c r="AJ75" s="199"/>
      <c r="AK75" s="211"/>
      <c r="AL75" s="211"/>
      <c r="AM75" s="199"/>
      <c r="AN75" s="199"/>
      <c r="AO75" s="199"/>
      <c r="AP75" s="199"/>
      <c r="AQ75" s="199"/>
      <c r="AR75" s="199"/>
      <c r="AS75" s="199"/>
      <c r="AT75" s="199"/>
      <c r="AU75" s="199"/>
      <c r="AV75" s="199"/>
      <c r="AW75" s="155">
        <f t="shared" si="4"/>
        <v>21</v>
      </c>
    </row>
    <row r="76" spans="1:87" s="236" customFormat="1" ht="15">
      <c r="A76" s="40">
        <f t="shared" si="5"/>
        <v>70</v>
      </c>
      <c r="B76" s="199"/>
      <c r="C76" s="199"/>
      <c r="D76" s="199"/>
      <c r="E76" s="199"/>
      <c r="F76" s="199"/>
      <c r="G76" s="199"/>
      <c r="H76" s="199"/>
      <c r="I76" s="199"/>
      <c r="J76" s="215" t="s">
        <v>2008</v>
      </c>
      <c r="K76" s="199" t="s">
        <v>103</v>
      </c>
      <c r="L76" s="204" t="s">
        <v>2009</v>
      </c>
      <c r="M76" s="204"/>
      <c r="N76" s="271" t="s">
        <v>504</v>
      </c>
      <c r="O76" s="370"/>
      <c r="P76" s="213"/>
      <c r="Q76" s="126" t="s">
        <v>6</v>
      </c>
      <c r="R76" s="126" t="s">
        <v>6</v>
      </c>
      <c r="S76" s="126" t="s">
        <v>6</v>
      </c>
      <c r="T76" s="126" t="s">
        <v>6</v>
      </c>
      <c r="U76" s="200"/>
      <c r="V76" s="204"/>
      <c r="W76" s="199"/>
      <c r="X76" s="211"/>
      <c r="Y76" s="211"/>
      <c r="Z76" s="226"/>
      <c r="AA76" s="226"/>
      <c r="AB76" s="126"/>
      <c r="AC76" s="211"/>
      <c r="AD76" s="211"/>
      <c r="AE76" s="199"/>
      <c r="AF76" s="211"/>
      <c r="AG76" s="211"/>
      <c r="AH76" s="226"/>
      <c r="AI76" s="226"/>
      <c r="AJ76" s="199"/>
      <c r="AK76" s="211"/>
      <c r="AL76" s="211"/>
      <c r="AM76" s="199"/>
      <c r="AN76" s="199"/>
      <c r="AO76" s="199"/>
      <c r="AP76" s="199"/>
      <c r="AQ76" s="199"/>
      <c r="AR76" s="199"/>
      <c r="AS76" s="199"/>
      <c r="AT76" s="199"/>
      <c r="AU76" s="199"/>
      <c r="AV76" s="199"/>
      <c r="AW76" s="155">
        <f t="shared" si="4"/>
        <v>17</v>
      </c>
    </row>
    <row r="77" spans="1:87" s="236" customFormat="1" ht="15">
      <c r="A77" s="40">
        <f t="shared" si="5"/>
        <v>71</v>
      </c>
      <c r="B77" s="199"/>
      <c r="C77" s="199"/>
      <c r="D77" s="199"/>
      <c r="E77" s="199"/>
      <c r="F77" s="199"/>
      <c r="G77" s="199"/>
      <c r="H77" s="199"/>
      <c r="I77" s="199"/>
      <c r="J77" s="215" t="s">
        <v>2010</v>
      </c>
      <c r="K77" s="199" t="s">
        <v>128</v>
      </c>
      <c r="L77" s="204" t="s">
        <v>2011</v>
      </c>
      <c r="M77" s="204"/>
      <c r="N77" s="271" t="s">
        <v>504</v>
      </c>
      <c r="O77" s="370"/>
      <c r="P77" s="213"/>
      <c r="Q77" s="126" t="s">
        <v>6</v>
      </c>
      <c r="R77" s="126" t="s">
        <v>6</v>
      </c>
      <c r="S77" s="126" t="s">
        <v>6</v>
      </c>
      <c r="T77" s="126" t="s">
        <v>6</v>
      </c>
      <c r="U77" s="200"/>
      <c r="V77" s="204"/>
      <c r="W77" s="199"/>
      <c r="X77" s="211"/>
      <c r="Y77" s="211"/>
      <c r="Z77" s="226"/>
      <c r="AA77" s="226"/>
      <c r="AB77" s="126"/>
      <c r="AC77" s="211"/>
      <c r="AD77" s="211"/>
      <c r="AE77" s="199"/>
      <c r="AF77" s="211"/>
      <c r="AG77" s="211"/>
      <c r="AH77" s="226"/>
      <c r="AI77" s="226"/>
      <c r="AJ77" s="199"/>
      <c r="AK77" s="211"/>
      <c r="AL77" s="211"/>
      <c r="AM77" s="199"/>
      <c r="AN77" s="199"/>
      <c r="AO77" s="199"/>
      <c r="AP77" s="199"/>
      <c r="AQ77" s="199"/>
      <c r="AR77" s="199"/>
      <c r="AS77" s="199"/>
      <c r="AT77" s="199"/>
      <c r="AU77" s="199"/>
      <c r="AV77" s="199"/>
      <c r="AW77" s="155">
        <f t="shared" si="4"/>
        <v>28</v>
      </c>
    </row>
    <row r="78" spans="1:87" s="236" customFormat="1" ht="15">
      <c r="A78" s="40">
        <f t="shared" si="5"/>
        <v>72</v>
      </c>
      <c r="B78" s="199"/>
      <c r="C78" s="199"/>
      <c r="D78" s="199"/>
      <c r="E78" s="199"/>
      <c r="F78" s="199"/>
      <c r="G78" s="199"/>
      <c r="H78" s="199"/>
      <c r="I78" s="199"/>
      <c r="J78" s="215" t="s">
        <v>2012</v>
      </c>
      <c r="K78" s="199" t="s">
        <v>128</v>
      </c>
      <c r="L78" s="204" t="s">
        <v>2013</v>
      </c>
      <c r="M78" s="204"/>
      <c r="N78" s="271" t="s">
        <v>504</v>
      </c>
      <c r="O78" s="370"/>
      <c r="P78" s="213"/>
      <c r="Q78" s="126" t="s">
        <v>6</v>
      </c>
      <c r="R78" s="126" t="s">
        <v>6</v>
      </c>
      <c r="S78" s="126" t="s">
        <v>6</v>
      </c>
      <c r="T78" s="126" t="s">
        <v>6</v>
      </c>
      <c r="U78" s="200"/>
      <c r="V78" s="204"/>
      <c r="W78" s="199"/>
      <c r="X78" s="211"/>
      <c r="Y78" s="211"/>
      <c r="Z78" s="226"/>
      <c r="AA78" s="226"/>
      <c r="AB78" s="126"/>
      <c r="AC78" s="211"/>
      <c r="AD78" s="211"/>
      <c r="AE78" s="199"/>
      <c r="AF78" s="211"/>
      <c r="AG78" s="211"/>
      <c r="AH78" s="226"/>
      <c r="AI78" s="226"/>
      <c r="AJ78" s="199"/>
      <c r="AK78" s="211"/>
      <c r="AL78" s="211"/>
      <c r="AM78" s="199"/>
      <c r="AN78" s="199"/>
      <c r="AO78" s="199"/>
      <c r="AP78" s="199"/>
      <c r="AQ78" s="199"/>
      <c r="AR78" s="199"/>
      <c r="AS78" s="199"/>
      <c r="AT78" s="199"/>
      <c r="AU78" s="199"/>
      <c r="AV78" s="199"/>
      <c r="AW78" s="155">
        <f t="shared" si="4"/>
        <v>28</v>
      </c>
    </row>
    <row r="79" spans="1:87" s="236" customFormat="1" ht="15">
      <c r="A79" s="40">
        <f t="shared" si="5"/>
        <v>73</v>
      </c>
      <c r="B79" s="199"/>
      <c r="C79" s="199"/>
      <c r="D79" s="199"/>
      <c r="E79" s="199"/>
      <c r="F79" s="199"/>
      <c r="G79" s="199"/>
      <c r="H79" s="199"/>
      <c r="I79" s="199"/>
      <c r="J79" s="215" t="s">
        <v>2014</v>
      </c>
      <c r="K79" s="199" t="s">
        <v>103</v>
      </c>
      <c r="L79" s="204" t="s">
        <v>2015</v>
      </c>
      <c r="M79" s="204"/>
      <c r="N79" s="271" t="s">
        <v>504</v>
      </c>
      <c r="O79" s="370"/>
      <c r="P79" s="213"/>
      <c r="Q79" s="126" t="s">
        <v>6</v>
      </c>
      <c r="R79" s="126" t="s">
        <v>6</v>
      </c>
      <c r="S79" s="126" t="s">
        <v>6</v>
      </c>
      <c r="T79" s="126" t="s">
        <v>6</v>
      </c>
      <c r="U79" s="200"/>
      <c r="V79" s="204"/>
      <c r="W79" s="199"/>
      <c r="X79" s="211"/>
      <c r="Y79" s="211"/>
      <c r="Z79" s="226"/>
      <c r="AA79" s="226"/>
      <c r="AB79" s="126"/>
      <c r="AC79" s="211"/>
      <c r="AD79" s="211"/>
      <c r="AE79" s="199"/>
      <c r="AF79" s="211"/>
      <c r="AG79" s="211"/>
      <c r="AH79" s="226"/>
      <c r="AI79" s="226"/>
      <c r="AJ79" s="199"/>
      <c r="AK79" s="211"/>
      <c r="AL79" s="211"/>
      <c r="AM79" s="199"/>
      <c r="AN79" s="199"/>
      <c r="AO79" s="199"/>
      <c r="AP79" s="199"/>
      <c r="AQ79" s="199"/>
      <c r="AR79" s="199"/>
      <c r="AS79" s="199"/>
      <c r="AT79" s="199"/>
      <c r="AU79" s="199"/>
      <c r="AV79" s="199"/>
      <c r="AW79" s="155">
        <f t="shared" si="4"/>
        <v>18</v>
      </c>
    </row>
    <row r="80" spans="1:87" s="236" customFormat="1" ht="15">
      <c r="A80" s="40">
        <f t="shared" si="5"/>
        <v>74</v>
      </c>
      <c r="B80" s="199"/>
      <c r="C80" s="199"/>
      <c r="D80" s="199"/>
      <c r="E80" s="199"/>
      <c r="F80" s="199"/>
      <c r="G80" s="199"/>
      <c r="H80" s="199"/>
      <c r="I80" s="199"/>
      <c r="J80" s="215" t="s">
        <v>2016</v>
      </c>
      <c r="K80" s="199" t="s">
        <v>128</v>
      </c>
      <c r="L80" s="204" t="s">
        <v>2017</v>
      </c>
      <c r="M80" s="204"/>
      <c r="N80" s="271" t="s">
        <v>504</v>
      </c>
      <c r="O80" s="370"/>
      <c r="P80" s="213"/>
      <c r="Q80" s="126" t="s">
        <v>6</v>
      </c>
      <c r="R80" s="126" t="s">
        <v>6</v>
      </c>
      <c r="S80" s="126" t="s">
        <v>6</v>
      </c>
      <c r="T80" s="126" t="s">
        <v>6</v>
      </c>
      <c r="U80" s="200"/>
      <c r="V80" s="204"/>
      <c r="W80" s="199"/>
      <c r="X80" s="211"/>
      <c r="Y80" s="211"/>
      <c r="Z80" s="226"/>
      <c r="AA80" s="226"/>
      <c r="AB80" s="126"/>
      <c r="AC80" s="211"/>
      <c r="AD80" s="211"/>
      <c r="AE80" s="199"/>
      <c r="AF80" s="211"/>
      <c r="AG80" s="211"/>
      <c r="AH80" s="226"/>
      <c r="AI80" s="226"/>
      <c r="AJ80" s="199"/>
      <c r="AK80" s="211"/>
      <c r="AL80" s="211"/>
      <c r="AM80" s="199"/>
      <c r="AN80" s="199"/>
      <c r="AO80" s="199"/>
      <c r="AP80" s="199"/>
      <c r="AQ80" s="199"/>
      <c r="AR80" s="199"/>
      <c r="AS80" s="199"/>
      <c r="AT80" s="199"/>
      <c r="AU80" s="199"/>
      <c r="AV80" s="199"/>
      <c r="AW80" s="155">
        <f t="shared" si="4"/>
        <v>32</v>
      </c>
    </row>
    <row r="81" spans="1:49" s="236" customFormat="1" ht="15">
      <c r="A81" s="40">
        <f t="shared" si="5"/>
        <v>75</v>
      </c>
      <c r="B81" s="199"/>
      <c r="C81" s="199"/>
      <c r="D81" s="199"/>
      <c r="E81" s="199"/>
      <c r="F81" s="199"/>
      <c r="G81" s="199"/>
      <c r="H81" s="199"/>
      <c r="I81" s="199"/>
      <c r="J81" s="215" t="s">
        <v>2018</v>
      </c>
      <c r="K81" s="199" t="s">
        <v>128</v>
      </c>
      <c r="L81" s="204" t="s">
        <v>2019</v>
      </c>
      <c r="M81" s="204"/>
      <c r="N81" s="271" t="s">
        <v>504</v>
      </c>
      <c r="O81" s="370"/>
      <c r="P81" s="213"/>
      <c r="Q81" s="126" t="s">
        <v>6</v>
      </c>
      <c r="R81" s="126" t="s">
        <v>6</v>
      </c>
      <c r="S81" s="126" t="s">
        <v>6</v>
      </c>
      <c r="T81" s="126" t="s">
        <v>6</v>
      </c>
      <c r="U81" s="200"/>
      <c r="V81" s="204"/>
      <c r="W81" s="199"/>
      <c r="X81" s="211"/>
      <c r="Y81" s="211"/>
      <c r="Z81" s="226"/>
      <c r="AA81" s="226"/>
      <c r="AB81" s="126"/>
      <c r="AC81" s="211"/>
      <c r="AD81" s="211"/>
      <c r="AE81" s="199"/>
      <c r="AF81" s="211"/>
      <c r="AG81" s="211"/>
      <c r="AH81" s="226"/>
      <c r="AI81" s="226"/>
      <c r="AJ81" s="199"/>
      <c r="AK81" s="211"/>
      <c r="AL81" s="211"/>
      <c r="AM81" s="199"/>
      <c r="AN81" s="199"/>
      <c r="AO81" s="199"/>
      <c r="AP81" s="199"/>
      <c r="AQ81" s="199"/>
      <c r="AR81" s="199"/>
      <c r="AS81" s="199"/>
      <c r="AT81" s="199"/>
      <c r="AU81" s="199"/>
      <c r="AV81" s="199"/>
      <c r="AW81" s="155">
        <f t="shared" si="4"/>
        <v>21</v>
      </c>
    </row>
    <row r="82" spans="1:49" s="236" customFormat="1" ht="15">
      <c r="A82" s="40">
        <f t="shared" si="5"/>
        <v>76</v>
      </c>
      <c r="B82" s="199"/>
      <c r="C82" s="199"/>
      <c r="D82" s="199"/>
      <c r="E82" s="199"/>
      <c r="F82" s="199"/>
      <c r="G82" s="199"/>
      <c r="H82" s="199"/>
      <c r="I82" s="199"/>
      <c r="J82" s="215" t="s">
        <v>2020</v>
      </c>
      <c r="K82" s="199" t="s">
        <v>128</v>
      </c>
      <c r="L82" s="204" t="s">
        <v>2021</v>
      </c>
      <c r="M82" s="204"/>
      <c r="N82" s="271" t="s">
        <v>504</v>
      </c>
      <c r="O82" s="370"/>
      <c r="P82" s="213"/>
      <c r="Q82" s="126" t="s">
        <v>6</v>
      </c>
      <c r="R82" s="126" t="s">
        <v>6</v>
      </c>
      <c r="S82" s="126" t="s">
        <v>6</v>
      </c>
      <c r="T82" s="126" t="s">
        <v>6</v>
      </c>
      <c r="U82" s="200"/>
      <c r="V82" s="204"/>
      <c r="W82" s="199"/>
      <c r="X82" s="211"/>
      <c r="Y82" s="211"/>
      <c r="Z82" s="226"/>
      <c r="AA82" s="226"/>
      <c r="AB82" s="126"/>
      <c r="AC82" s="211"/>
      <c r="AD82" s="211"/>
      <c r="AE82" s="199"/>
      <c r="AF82" s="211"/>
      <c r="AG82" s="211"/>
      <c r="AH82" s="226"/>
      <c r="AI82" s="226"/>
      <c r="AJ82" s="199"/>
      <c r="AK82" s="211"/>
      <c r="AL82" s="211"/>
      <c r="AM82" s="199"/>
      <c r="AN82" s="199"/>
      <c r="AO82" s="199"/>
      <c r="AP82" s="199"/>
      <c r="AQ82" s="199"/>
      <c r="AR82" s="199"/>
      <c r="AS82" s="199"/>
      <c r="AT82" s="199"/>
      <c r="AU82" s="199"/>
      <c r="AV82" s="199"/>
      <c r="AW82" s="155">
        <f t="shared" si="4"/>
        <v>31</v>
      </c>
    </row>
    <row r="83" spans="1:49" s="236" customFormat="1" ht="15">
      <c r="A83" s="40">
        <f t="shared" si="5"/>
        <v>77</v>
      </c>
      <c r="B83" s="199"/>
      <c r="C83" s="199"/>
      <c r="D83" s="199"/>
      <c r="E83" s="199"/>
      <c r="F83" s="199"/>
      <c r="G83" s="199"/>
      <c r="H83" s="199"/>
      <c r="I83" s="199"/>
      <c r="J83" s="215" t="s">
        <v>2022</v>
      </c>
      <c r="K83" s="199" t="s">
        <v>128</v>
      </c>
      <c r="L83" s="204" t="s">
        <v>2023</v>
      </c>
      <c r="M83" s="204"/>
      <c r="N83" s="271" t="s">
        <v>504</v>
      </c>
      <c r="O83" s="370"/>
      <c r="P83" s="213"/>
      <c r="Q83" s="126" t="s">
        <v>6</v>
      </c>
      <c r="R83" s="126" t="s">
        <v>6</v>
      </c>
      <c r="S83" s="126" t="s">
        <v>6</v>
      </c>
      <c r="T83" s="126" t="s">
        <v>6</v>
      </c>
      <c r="U83" s="200"/>
      <c r="V83" s="204"/>
      <c r="W83" s="199"/>
      <c r="X83" s="211"/>
      <c r="Y83" s="211"/>
      <c r="Z83" s="226"/>
      <c r="AA83" s="226"/>
      <c r="AB83" s="126"/>
      <c r="AC83" s="211"/>
      <c r="AD83" s="211"/>
      <c r="AE83" s="199"/>
      <c r="AF83" s="211"/>
      <c r="AG83" s="211"/>
      <c r="AH83" s="226"/>
      <c r="AI83" s="226"/>
      <c r="AJ83" s="199"/>
      <c r="AK83" s="211"/>
      <c r="AL83" s="211"/>
      <c r="AM83" s="199"/>
      <c r="AN83" s="199"/>
      <c r="AO83" s="199"/>
      <c r="AP83" s="199"/>
      <c r="AQ83" s="199"/>
      <c r="AR83" s="199"/>
      <c r="AS83" s="199"/>
      <c r="AT83" s="199"/>
      <c r="AU83" s="199"/>
      <c r="AV83" s="199"/>
      <c r="AW83" s="155">
        <f t="shared" si="4"/>
        <v>15</v>
      </c>
    </row>
    <row r="84" spans="1:49" s="236" customFormat="1" ht="15">
      <c r="A84" s="40">
        <f t="shared" si="5"/>
        <v>78</v>
      </c>
      <c r="B84" s="199"/>
      <c r="C84" s="199"/>
      <c r="D84" s="199"/>
      <c r="E84" s="199"/>
      <c r="F84" s="199"/>
      <c r="G84" s="199"/>
      <c r="H84" s="199"/>
      <c r="I84" s="199"/>
      <c r="J84" s="215" t="s">
        <v>2024</v>
      </c>
      <c r="K84" s="199" t="s">
        <v>128</v>
      </c>
      <c r="L84" s="204" t="s">
        <v>2025</v>
      </c>
      <c r="M84" s="204"/>
      <c r="N84" s="271" t="s">
        <v>504</v>
      </c>
      <c r="O84" s="370"/>
      <c r="P84" s="213"/>
      <c r="Q84" s="126" t="s">
        <v>6</v>
      </c>
      <c r="R84" s="126" t="s">
        <v>6</v>
      </c>
      <c r="S84" s="126" t="s">
        <v>6</v>
      </c>
      <c r="T84" s="126" t="s">
        <v>6</v>
      </c>
      <c r="U84" s="200"/>
      <c r="V84" s="204"/>
      <c r="W84" s="199"/>
      <c r="X84" s="211"/>
      <c r="Y84" s="211"/>
      <c r="Z84" s="226"/>
      <c r="AA84" s="226"/>
      <c r="AB84" s="126"/>
      <c r="AC84" s="211"/>
      <c r="AD84" s="211"/>
      <c r="AE84" s="199"/>
      <c r="AF84" s="211"/>
      <c r="AG84" s="211"/>
      <c r="AH84" s="226"/>
      <c r="AI84" s="226"/>
      <c r="AJ84" s="199"/>
      <c r="AK84" s="211"/>
      <c r="AL84" s="211"/>
      <c r="AM84" s="199"/>
      <c r="AN84" s="199"/>
      <c r="AO84" s="199"/>
      <c r="AP84" s="199"/>
      <c r="AQ84" s="199"/>
      <c r="AR84" s="199"/>
      <c r="AS84" s="199"/>
      <c r="AT84" s="199"/>
      <c r="AU84" s="199"/>
      <c r="AV84" s="199"/>
      <c r="AW84" s="155">
        <f>LEN(L84)</f>
        <v>29</v>
      </c>
    </row>
    <row r="85" spans="1:49" s="236" customFormat="1" ht="15">
      <c r="A85" s="40">
        <f t="shared" si="5"/>
        <v>79</v>
      </c>
      <c r="B85" s="199"/>
      <c r="C85" s="199"/>
      <c r="D85" s="199"/>
      <c r="E85" s="199"/>
      <c r="F85" s="199"/>
      <c r="G85" s="199"/>
      <c r="H85" s="199"/>
      <c r="I85" s="199"/>
      <c r="J85" s="215" t="s">
        <v>2026</v>
      </c>
      <c r="K85" s="199" t="s">
        <v>128</v>
      </c>
      <c r="L85" s="204" t="s">
        <v>2027</v>
      </c>
      <c r="M85" s="204"/>
      <c r="N85" s="271" t="s">
        <v>504</v>
      </c>
      <c r="O85" s="370"/>
      <c r="P85" s="213"/>
      <c r="Q85" s="126" t="s">
        <v>6</v>
      </c>
      <c r="R85" s="126" t="s">
        <v>6</v>
      </c>
      <c r="S85" s="126" t="s">
        <v>6</v>
      </c>
      <c r="T85" s="126" t="s">
        <v>6</v>
      </c>
      <c r="U85" s="200"/>
      <c r="V85" s="204"/>
      <c r="W85" s="199"/>
      <c r="X85" s="211"/>
      <c r="Y85" s="211"/>
      <c r="Z85" s="226"/>
      <c r="AA85" s="226"/>
      <c r="AB85" s="126"/>
      <c r="AC85" s="211"/>
      <c r="AD85" s="211"/>
      <c r="AE85" s="199"/>
      <c r="AF85" s="211"/>
      <c r="AG85" s="211"/>
      <c r="AH85" s="226"/>
      <c r="AI85" s="226"/>
      <c r="AJ85" s="199"/>
      <c r="AK85" s="211"/>
      <c r="AL85" s="211"/>
      <c r="AM85" s="199"/>
      <c r="AN85" s="199"/>
      <c r="AO85" s="199"/>
      <c r="AP85" s="199"/>
      <c r="AQ85" s="199"/>
      <c r="AR85" s="199"/>
      <c r="AS85" s="199"/>
      <c r="AT85" s="199"/>
      <c r="AU85" s="199"/>
      <c r="AV85" s="199"/>
      <c r="AW85" s="155">
        <f t="shared" si="4"/>
        <v>28</v>
      </c>
    </row>
    <row r="86" spans="1:49" s="236" customFormat="1" ht="15">
      <c r="A86" s="40">
        <f t="shared" si="5"/>
        <v>80</v>
      </c>
      <c r="B86" s="199"/>
      <c r="C86" s="199"/>
      <c r="D86" s="199"/>
      <c r="E86" s="199"/>
      <c r="F86" s="199"/>
      <c r="G86" s="199"/>
      <c r="H86" s="199"/>
      <c r="I86" s="199"/>
      <c r="J86" s="215" t="s">
        <v>2028</v>
      </c>
      <c r="K86" s="198" t="s">
        <v>132</v>
      </c>
      <c r="L86" s="204" t="s">
        <v>2029</v>
      </c>
      <c r="M86" s="204" t="s">
        <v>3602</v>
      </c>
      <c r="N86" s="271" t="s">
        <v>504</v>
      </c>
      <c r="O86" s="370"/>
      <c r="P86" s="213"/>
      <c r="Q86" s="126" t="s">
        <v>6</v>
      </c>
      <c r="R86" s="126" t="s">
        <v>6</v>
      </c>
      <c r="S86" s="126" t="s">
        <v>6</v>
      </c>
      <c r="T86" s="126" t="s">
        <v>6</v>
      </c>
      <c r="U86" s="200"/>
      <c r="V86" s="204"/>
      <c r="W86" s="199"/>
      <c r="X86" s="211"/>
      <c r="Y86" s="211"/>
      <c r="Z86" s="226"/>
      <c r="AA86" s="226"/>
      <c r="AB86" s="126"/>
      <c r="AC86" s="211"/>
      <c r="AD86" s="211"/>
      <c r="AE86" s="199"/>
      <c r="AF86" s="211"/>
      <c r="AG86" s="211"/>
      <c r="AH86" s="226"/>
      <c r="AI86" s="226"/>
      <c r="AJ86" s="199"/>
      <c r="AK86" s="211"/>
      <c r="AL86" s="211"/>
      <c r="AM86" s="199"/>
      <c r="AN86" s="199"/>
      <c r="AO86" s="199"/>
      <c r="AP86" s="199"/>
      <c r="AQ86" s="199"/>
      <c r="AR86" s="199"/>
      <c r="AS86" s="199"/>
      <c r="AT86" s="199"/>
      <c r="AU86" s="199"/>
      <c r="AV86" s="199"/>
      <c r="AW86" s="155">
        <f>LEN(L86)</f>
        <v>37</v>
      </c>
    </row>
    <row r="87" spans="1:49" s="236" customFormat="1" ht="15">
      <c r="A87" s="40">
        <f t="shared" si="5"/>
        <v>81</v>
      </c>
      <c r="B87" s="199"/>
      <c r="C87" s="199"/>
      <c r="D87" s="199"/>
      <c r="E87" s="199"/>
      <c r="F87" s="199"/>
      <c r="G87" s="199"/>
      <c r="H87" s="199"/>
      <c r="I87" s="199"/>
      <c r="J87" s="215" t="s">
        <v>2030</v>
      </c>
      <c r="K87" s="204" t="s">
        <v>140</v>
      </c>
      <c r="L87" s="204" t="s">
        <v>749</v>
      </c>
      <c r="M87" s="204"/>
      <c r="N87" s="271" t="s">
        <v>504</v>
      </c>
      <c r="O87" s="370"/>
      <c r="P87" s="213"/>
      <c r="Q87" s="126" t="s">
        <v>6</v>
      </c>
      <c r="R87" s="126" t="s">
        <v>6</v>
      </c>
      <c r="S87" s="126" t="s">
        <v>6</v>
      </c>
      <c r="T87" s="126" t="s">
        <v>6</v>
      </c>
      <c r="U87" s="200"/>
      <c r="V87" s="204"/>
      <c r="W87" s="199"/>
      <c r="X87" s="211"/>
      <c r="Y87" s="211"/>
      <c r="Z87" s="226"/>
      <c r="AA87" s="226"/>
      <c r="AB87" s="126"/>
      <c r="AC87" s="211"/>
      <c r="AD87" s="211"/>
      <c r="AE87" s="199"/>
      <c r="AF87" s="211"/>
      <c r="AG87" s="211"/>
      <c r="AH87" s="226"/>
      <c r="AI87" s="226"/>
      <c r="AJ87" s="199"/>
      <c r="AK87" s="211"/>
      <c r="AL87" s="211"/>
      <c r="AM87" s="199"/>
      <c r="AN87" s="199"/>
      <c r="AO87" s="199"/>
      <c r="AP87" s="199"/>
      <c r="AQ87" s="199"/>
      <c r="AR87" s="199"/>
      <c r="AS87" s="199"/>
      <c r="AT87" s="199"/>
      <c r="AU87" s="199"/>
      <c r="AV87" s="199"/>
      <c r="AW87" s="155">
        <f t="shared" si="4"/>
        <v>28</v>
      </c>
    </row>
    <row r="88" spans="1:49" s="236" customFormat="1" ht="26.4">
      <c r="A88" s="40">
        <f t="shared" si="5"/>
        <v>82</v>
      </c>
      <c r="B88" s="199"/>
      <c r="C88" s="199"/>
      <c r="D88" s="199"/>
      <c r="E88" s="199"/>
      <c r="F88" s="199"/>
      <c r="G88" s="199"/>
      <c r="H88" s="199"/>
      <c r="I88" s="199"/>
      <c r="J88" s="234" t="s">
        <v>2031</v>
      </c>
      <c r="K88" s="204" t="s">
        <v>140</v>
      </c>
      <c r="L88" s="204" t="s">
        <v>749</v>
      </c>
      <c r="M88" s="204"/>
      <c r="N88" s="271" t="s">
        <v>504</v>
      </c>
      <c r="O88" s="199"/>
      <c r="P88" s="199"/>
      <c r="Q88" s="40"/>
      <c r="R88" s="40"/>
      <c r="S88" s="40" t="s">
        <v>6</v>
      </c>
      <c r="T88" s="126" t="s">
        <v>6</v>
      </c>
      <c r="U88" s="244" t="s">
        <v>752</v>
      </c>
      <c r="V88" s="204"/>
      <c r="W88" s="204" t="s">
        <v>140</v>
      </c>
      <c r="X88" s="199"/>
      <c r="Y88" s="199"/>
      <c r="Z88" s="40" t="s">
        <v>6</v>
      </c>
      <c r="AA88" s="40" t="s">
        <v>6</v>
      </c>
      <c r="AB88" s="202"/>
      <c r="AC88" s="199"/>
      <c r="AD88" s="218" t="s">
        <v>709</v>
      </c>
      <c r="AE88" s="204" t="s">
        <v>137</v>
      </c>
      <c r="AF88" s="199"/>
      <c r="AG88" s="199"/>
      <c r="AH88" s="199"/>
      <c r="AI88" s="40" t="s">
        <v>6</v>
      </c>
      <c r="AJ88" s="218"/>
      <c r="AK88" s="199"/>
      <c r="AL88" s="218" t="s">
        <v>709</v>
      </c>
      <c r="AM88" s="199"/>
      <c r="AN88" s="199"/>
      <c r="AO88" s="199"/>
      <c r="AP88" s="199"/>
      <c r="AQ88" s="199"/>
      <c r="AR88" s="199"/>
      <c r="AS88" s="199"/>
      <c r="AT88" s="199"/>
      <c r="AU88" s="199"/>
      <c r="AV88" s="199"/>
      <c r="AW88" s="155">
        <f>LEN(L88)</f>
        <v>28</v>
      </c>
    </row>
    <row r="89" spans="1:49" s="236" customFormat="1" ht="15">
      <c r="A89" s="40">
        <f t="shared" si="5"/>
        <v>83</v>
      </c>
      <c r="B89" s="199"/>
      <c r="C89" s="199"/>
      <c r="D89" s="199"/>
      <c r="E89" s="199"/>
      <c r="F89" s="199"/>
      <c r="G89" s="199"/>
      <c r="H89" s="199"/>
      <c r="I89" s="199"/>
      <c r="J89" s="215" t="s">
        <v>2032</v>
      </c>
      <c r="K89" s="199" t="s">
        <v>132</v>
      </c>
      <c r="L89" s="204" t="s">
        <v>2033</v>
      </c>
      <c r="M89" s="204" t="s">
        <v>3602</v>
      </c>
      <c r="N89" s="271" t="s">
        <v>504</v>
      </c>
      <c r="O89" s="370"/>
      <c r="P89" s="213"/>
      <c r="Q89" s="126" t="s">
        <v>6</v>
      </c>
      <c r="R89" s="126" t="s">
        <v>6</v>
      </c>
      <c r="S89" s="126" t="s">
        <v>6</v>
      </c>
      <c r="T89" s="126" t="s">
        <v>6</v>
      </c>
      <c r="U89" s="200"/>
      <c r="V89" s="204"/>
      <c r="W89" s="199"/>
      <c r="X89" s="211"/>
      <c r="Y89" s="211"/>
      <c r="Z89" s="226"/>
      <c r="AA89" s="226"/>
      <c r="AB89" s="126"/>
      <c r="AC89" s="211"/>
      <c r="AD89" s="211"/>
      <c r="AE89" s="199"/>
      <c r="AF89" s="211"/>
      <c r="AG89" s="211"/>
      <c r="AH89" s="226"/>
      <c r="AI89" s="226"/>
      <c r="AJ89" s="199"/>
      <c r="AK89" s="211"/>
      <c r="AL89" s="211"/>
      <c r="AM89" s="199"/>
      <c r="AN89" s="199"/>
      <c r="AO89" s="199"/>
      <c r="AP89" s="199"/>
      <c r="AQ89" s="199"/>
      <c r="AR89" s="199"/>
      <c r="AS89" s="199"/>
      <c r="AT89" s="199"/>
      <c r="AU89" s="199"/>
      <c r="AV89" s="199"/>
      <c r="AW89" s="155">
        <f t="shared" ref="AW89:AW97" si="6">LEN(L89)</f>
        <v>35</v>
      </c>
    </row>
    <row r="90" spans="1:49" s="236" customFormat="1" ht="15">
      <c r="A90" s="40">
        <f t="shared" si="5"/>
        <v>84</v>
      </c>
      <c r="B90" s="199"/>
      <c r="C90" s="199"/>
      <c r="D90" s="199"/>
      <c r="E90" s="199"/>
      <c r="F90" s="199"/>
      <c r="G90" s="199"/>
      <c r="H90" s="199"/>
      <c r="I90" s="199"/>
      <c r="J90" s="215" t="s">
        <v>2034</v>
      </c>
      <c r="K90" s="199" t="s">
        <v>117</v>
      </c>
      <c r="L90" s="204" t="s">
        <v>2035</v>
      </c>
      <c r="M90" s="204"/>
      <c r="N90" s="271" t="s">
        <v>504</v>
      </c>
      <c r="O90" s="370"/>
      <c r="P90" s="213"/>
      <c r="Q90" s="126" t="s">
        <v>6</v>
      </c>
      <c r="R90" s="126" t="s">
        <v>6</v>
      </c>
      <c r="S90" s="126" t="s">
        <v>6</v>
      </c>
      <c r="T90" s="126" t="s">
        <v>6</v>
      </c>
      <c r="U90" s="200"/>
      <c r="V90" s="204"/>
      <c r="W90" s="199"/>
      <c r="X90" s="211"/>
      <c r="Y90" s="211"/>
      <c r="Z90" s="226"/>
      <c r="AA90" s="226"/>
      <c r="AB90" s="126"/>
      <c r="AC90" s="211"/>
      <c r="AD90" s="211"/>
      <c r="AE90" s="199"/>
      <c r="AF90" s="211"/>
      <c r="AG90" s="211"/>
      <c r="AH90" s="226"/>
      <c r="AI90" s="226"/>
      <c r="AJ90" s="199"/>
      <c r="AK90" s="211"/>
      <c r="AL90" s="211"/>
      <c r="AM90" s="199"/>
      <c r="AN90" s="199"/>
      <c r="AO90" s="199"/>
      <c r="AP90" s="199"/>
      <c r="AQ90" s="199"/>
      <c r="AR90" s="199"/>
      <c r="AS90" s="199"/>
      <c r="AT90" s="199"/>
      <c r="AU90" s="199"/>
      <c r="AV90" s="199"/>
      <c r="AW90" s="155">
        <f>LEN(L90)</f>
        <v>30</v>
      </c>
    </row>
    <row r="91" spans="1:49" s="236" customFormat="1" ht="15">
      <c r="A91" s="40">
        <f t="shared" si="5"/>
        <v>85</v>
      </c>
      <c r="B91" s="199"/>
      <c r="C91" s="199"/>
      <c r="D91" s="199"/>
      <c r="E91" s="199"/>
      <c r="F91" s="199"/>
      <c r="G91" s="199"/>
      <c r="H91" s="199"/>
      <c r="I91" s="199"/>
      <c r="J91" s="215" t="s">
        <v>2036</v>
      </c>
      <c r="K91" s="199" t="s">
        <v>117</v>
      </c>
      <c r="L91" s="204" t="s">
        <v>2037</v>
      </c>
      <c r="M91" s="204"/>
      <c r="N91" s="271" t="s">
        <v>504</v>
      </c>
      <c r="O91" s="370"/>
      <c r="P91" s="213"/>
      <c r="Q91" s="126"/>
      <c r="R91" s="126" t="s">
        <v>6</v>
      </c>
      <c r="S91" s="126" t="s">
        <v>6</v>
      </c>
      <c r="T91" s="126" t="s">
        <v>6</v>
      </c>
      <c r="U91" s="200"/>
      <c r="V91" s="204"/>
      <c r="W91" s="199"/>
      <c r="X91" s="211"/>
      <c r="Y91" s="211"/>
      <c r="Z91" s="226"/>
      <c r="AA91" s="226"/>
      <c r="AB91" s="126"/>
      <c r="AC91" s="211"/>
      <c r="AD91" s="211"/>
      <c r="AE91" s="199"/>
      <c r="AF91" s="211"/>
      <c r="AG91" s="211"/>
      <c r="AH91" s="226"/>
      <c r="AI91" s="226"/>
      <c r="AJ91" s="199"/>
      <c r="AK91" s="211"/>
      <c r="AL91" s="211"/>
      <c r="AM91" s="199"/>
      <c r="AN91" s="199"/>
      <c r="AO91" s="199"/>
      <c r="AP91" s="199"/>
      <c r="AQ91" s="199"/>
      <c r="AR91" s="199"/>
      <c r="AS91" s="199"/>
      <c r="AT91" s="199"/>
      <c r="AU91" s="199"/>
      <c r="AV91" s="199"/>
      <c r="AW91" s="155">
        <f t="shared" si="6"/>
        <v>38</v>
      </c>
    </row>
    <row r="92" spans="1:49" s="236" customFormat="1" ht="15">
      <c r="A92" s="40">
        <f t="shared" si="5"/>
        <v>86</v>
      </c>
      <c r="B92" s="199"/>
      <c r="C92" s="199"/>
      <c r="D92" s="199"/>
      <c r="E92" s="199"/>
      <c r="F92" s="199"/>
      <c r="G92" s="199"/>
      <c r="H92" s="199"/>
      <c r="I92" s="199"/>
      <c r="J92" s="215" t="s">
        <v>2038</v>
      </c>
      <c r="K92" s="199" t="s">
        <v>117</v>
      </c>
      <c r="L92" s="204" t="s">
        <v>2039</v>
      </c>
      <c r="M92" s="204"/>
      <c r="N92" s="540" t="s">
        <v>873</v>
      </c>
      <c r="O92" s="370"/>
      <c r="P92" s="213"/>
      <c r="Q92" s="126" t="s">
        <v>6</v>
      </c>
      <c r="R92" s="126" t="s">
        <v>6</v>
      </c>
      <c r="S92" s="126" t="s">
        <v>6</v>
      </c>
      <c r="T92" s="126" t="s">
        <v>6</v>
      </c>
      <c r="U92" s="200"/>
      <c r="V92" s="204"/>
      <c r="W92" s="199"/>
      <c r="X92" s="211"/>
      <c r="Y92" s="211"/>
      <c r="Z92" s="226"/>
      <c r="AA92" s="226"/>
      <c r="AB92" s="126"/>
      <c r="AC92" s="211"/>
      <c r="AD92" s="211"/>
      <c r="AE92" s="199"/>
      <c r="AF92" s="211"/>
      <c r="AG92" s="211"/>
      <c r="AH92" s="226"/>
      <c r="AI92" s="226"/>
      <c r="AJ92" s="199"/>
      <c r="AK92" s="211"/>
      <c r="AL92" s="211"/>
      <c r="AM92" s="199"/>
      <c r="AN92" s="199"/>
      <c r="AO92" s="199"/>
      <c r="AP92" s="199"/>
      <c r="AQ92" s="199"/>
      <c r="AR92" s="199"/>
      <c r="AS92" s="199"/>
      <c r="AT92" s="199"/>
      <c r="AU92" s="199"/>
      <c r="AV92" s="199"/>
      <c r="AW92" s="155">
        <f t="shared" si="6"/>
        <v>34</v>
      </c>
    </row>
    <row r="93" spans="1:49" s="236" customFormat="1" ht="15">
      <c r="A93" s="40">
        <f t="shared" si="5"/>
        <v>87</v>
      </c>
      <c r="B93" s="199"/>
      <c r="C93" s="199"/>
      <c r="D93" s="199"/>
      <c r="E93" s="199"/>
      <c r="F93" s="199"/>
      <c r="G93" s="199"/>
      <c r="H93" s="199"/>
      <c r="I93" s="199"/>
      <c r="J93" s="215" t="s">
        <v>2040</v>
      </c>
      <c r="K93" s="204" t="s">
        <v>140</v>
      </c>
      <c r="L93" s="204" t="s">
        <v>2041</v>
      </c>
      <c r="M93" s="204"/>
      <c r="N93" s="271" t="s">
        <v>504</v>
      </c>
      <c r="O93" s="370"/>
      <c r="P93" s="213"/>
      <c r="Q93" s="126" t="s">
        <v>6</v>
      </c>
      <c r="R93" s="126" t="s">
        <v>6</v>
      </c>
      <c r="S93" s="126" t="s">
        <v>6</v>
      </c>
      <c r="T93" s="126" t="s">
        <v>6</v>
      </c>
      <c r="U93" s="200"/>
      <c r="V93" s="204"/>
      <c r="W93" s="199"/>
      <c r="X93" s="211"/>
      <c r="Y93" s="211"/>
      <c r="Z93" s="226"/>
      <c r="AA93" s="226"/>
      <c r="AB93" s="126"/>
      <c r="AC93" s="211"/>
      <c r="AD93" s="211"/>
      <c r="AE93" s="199"/>
      <c r="AF93" s="211"/>
      <c r="AG93" s="211"/>
      <c r="AH93" s="226"/>
      <c r="AI93" s="226"/>
      <c r="AJ93" s="199"/>
      <c r="AK93" s="211"/>
      <c r="AL93" s="211"/>
      <c r="AM93" s="199"/>
      <c r="AN93" s="199"/>
      <c r="AO93" s="199"/>
      <c r="AP93" s="199"/>
      <c r="AQ93" s="199"/>
      <c r="AR93" s="199"/>
      <c r="AS93" s="199"/>
      <c r="AT93" s="199"/>
      <c r="AU93" s="199"/>
      <c r="AV93" s="199"/>
      <c r="AW93" s="155">
        <f t="shared" si="6"/>
        <v>22</v>
      </c>
    </row>
    <row r="94" spans="1:49" s="236" customFormat="1" ht="15">
      <c r="A94" s="40">
        <f t="shared" si="5"/>
        <v>88</v>
      </c>
      <c r="B94" s="199"/>
      <c r="C94" s="199"/>
      <c r="D94" s="199"/>
      <c r="E94" s="199"/>
      <c r="F94" s="199"/>
      <c r="G94" s="199"/>
      <c r="H94" s="199"/>
      <c r="I94" s="199"/>
      <c r="J94" s="215" t="s">
        <v>2042</v>
      </c>
      <c r="K94" s="204" t="s">
        <v>140</v>
      </c>
      <c r="L94" s="204" t="s">
        <v>2043</v>
      </c>
      <c r="M94" s="204"/>
      <c r="N94" s="271" t="s">
        <v>504</v>
      </c>
      <c r="O94" s="370"/>
      <c r="P94" s="213"/>
      <c r="Q94" s="126" t="s">
        <v>6</v>
      </c>
      <c r="R94" s="126" t="s">
        <v>6</v>
      </c>
      <c r="S94" s="126" t="s">
        <v>6</v>
      </c>
      <c r="T94" s="126" t="s">
        <v>6</v>
      </c>
      <c r="U94" s="200"/>
      <c r="V94" s="204"/>
      <c r="W94" s="199"/>
      <c r="X94" s="211"/>
      <c r="Y94" s="211"/>
      <c r="Z94" s="226"/>
      <c r="AA94" s="226"/>
      <c r="AB94" s="126"/>
      <c r="AC94" s="211"/>
      <c r="AD94" s="211"/>
      <c r="AE94" s="199"/>
      <c r="AF94" s="211"/>
      <c r="AG94" s="211"/>
      <c r="AH94" s="226"/>
      <c r="AI94" s="226"/>
      <c r="AJ94" s="199"/>
      <c r="AK94" s="211"/>
      <c r="AL94" s="211"/>
      <c r="AM94" s="199"/>
      <c r="AN94" s="199"/>
      <c r="AO94" s="199"/>
      <c r="AP94" s="199"/>
      <c r="AQ94" s="199"/>
      <c r="AR94" s="199"/>
      <c r="AS94" s="199"/>
      <c r="AT94" s="199"/>
      <c r="AU94" s="199"/>
      <c r="AV94" s="199"/>
      <c r="AW94" s="155">
        <f t="shared" si="6"/>
        <v>33</v>
      </c>
    </row>
    <row r="95" spans="1:49" s="236" customFormat="1" ht="15">
      <c r="A95" s="40">
        <f t="shared" si="5"/>
        <v>89</v>
      </c>
      <c r="B95" s="199"/>
      <c r="C95" s="199"/>
      <c r="D95" s="199"/>
      <c r="E95" s="199"/>
      <c r="F95" s="199"/>
      <c r="G95" s="199"/>
      <c r="H95" s="199"/>
      <c r="I95" s="199"/>
      <c r="J95" s="215" t="s">
        <v>2044</v>
      </c>
      <c r="K95" s="204" t="s">
        <v>140</v>
      </c>
      <c r="L95" s="204" t="s">
        <v>2045</v>
      </c>
      <c r="M95" s="204"/>
      <c r="N95" s="271" t="s">
        <v>504</v>
      </c>
      <c r="O95" s="370"/>
      <c r="P95" s="213"/>
      <c r="Q95" s="126" t="s">
        <v>6</v>
      </c>
      <c r="R95" s="126" t="s">
        <v>6</v>
      </c>
      <c r="S95" s="126" t="s">
        <v>6</v>
      </c>
      <c r="T95" s="126" t="s">
        <v>6</v>
      </c>
      <c r="U95" s="200"/>
      <c r="V95" s="204"/>
      <c r="W95" s="199"/>
      <c r="X95" s="211"/>
      <c r="Y95" s="211"/>
      <c r="Z95" s="226"/>
      <c r="AA95" s="226"/>
      <c r="AB95" s="126"/>
      <c r="AC95" s="211"/>
      <c r="AD95" s="211"/>
      <c r="AE95" s="199"/>
      <c r="AF95" s="211"/>
      <c r="AG95" s="211"/>
      <c r="AH95" s="226"/>
      <c r="AI95" s="226"/>
      <c r="AJ95" s="199"/>
      <c r="AK95" s="211"/>
      <c r="AL95" s="211"/>
      <c r="AM95" s="199"/>
      <c r="AN95" s="199"/>
      <c r="AO95" s="199"/>
      <c r="AP95" s="199"/>
      <c r="AQ95" s="199"/>
      <c r="AR95" s="199"/>
      <c r="AS95" s="199"/>
      <c r="AT95" s="199"/>
      <c r="AU95" s="199"/>
      <c r="AV95" s="199"/>
      <c r="AW95" s="155">
        <f t="shared" si="6"/>
        <v>48</v>
      </c>
    </row>
    <row r="96" spans="1:49" s="236" customFormat="1" ht="26.4">
      <c r="A96" s="40">
        <f t="shared" si="5"/>
        <v>90</v>
      </c>
      <c r="B96" s="199"/>
      <c r="C96" s="199"/>
      <c r="D96" s="199"/>
      <c r="E96" s="199"/>
      <c r="F96" s="199"/>
      <c r="G96" s="199"/>
      <c r="H96" s="199"/>
      <c r="I96" s="199"/>
      <c r="J96" s="215" t="s">
        <v>2046</v>
      </c>
      <c r="K96" s="204" t="s">
        <v>140</v>
      </c>
      <c r="L96" s="204" t="s">
        <v>2047</v>
      </c>
      <c r="M96" s="204"/>
      <c r="N96" s="271" t="s">
        <v>504</v>
      </c>
      <c r="O96" s="370"/>
      <c r="P96" s="213"/>
      <c r="Q96" s="126" t="s">
        <v>6</v>
      </c>
      <c r="R96" s="126" t="s">
        <v>6</v>
      </c>
      <c r="S96" s="126" t="s">
        <v>6</v>
      </c>
      <c r="T96" s="126" t="s">
        <v>6</v>
      </c>
      <c r="U96" s="200"/>
      <c r="V96" s="204"/>
      <c r="W96" s="199"/>
      <c r="X96" s="211"/>
      <c r="Y96" s="211"/>
      <c r="Z96" s="226"/>
      <c r="AA96" s="226"/>
      <c r="AB96" s="126"/>
      <c r="AC96" s="211"/>
      <c r="AD96" s="211"/>
      <c r="AE96" s="199"/>
      <c r="AF96" s="211"/>
      <c r="AG96" s="211"/>
      <c r="AH96" s="226"/>
      <c r="AI96" s="226"/>
      <c r="AJ96" s="199"/>
      <c r="AK96" s="211"/>
      <c r="AL96" s="211"/>
      <c r="AM96" s="199"/>
      <c r="AN96" s="199"/>
      <c r="AO96" s="199"/>
      <c r="AP96" s="199"/>
      <c r="AQ96" s="199"/>
      <c r="AR96" s="199"/>
      <c r="AS96" s="199"/>
      <c r="AT96" s="199"/>
      <c r="AU96" s="199"/>
      <c r="AV96" s="199"/>
      <c r="AW96" s="155">
        <f t="shared" si="6"/>
        <v>49</v>
      </c>
    </row>
    <row r="97" spans="1:49" s="236" customFormat="1" ht="15">
      <c r="A97" s="40">
        <f t="shared" si="5"/>
        <v>91</v>
      </c>
      <c r="B97" s="199"/>
      <c r="C97" s="199"/>
      <c r="D97" s="199"/>
      <c r="E97" s="199"/>
      <c r="F97" s="199"/>
      <c r="G97" s="199"/>
      <c r="H97" s="199"/>
      <c r="I97" s="199"/>
      <c r="J97" s="215" t="s">
        <v>2048</v>
      </c>
      <c r="K97" s="199" t="s">
        <v>117</v>
      </c>
      <c r="L97" s="204" t="s">
        <v>2049</v>
      </c>
      <c r="M97" s="204"/>
      <c r="N97" s="271" t="s">
        <v>504</v>
      </c>
      <c r="O97" s="370"/>
      <c r="P97" s="213"/>
      <c r="Q97" s="126" t="s">
        <v>6</v>
      </c>
      <c r="R97" s="126" t="s">
        <v>6</v>
      </c>
      <c r="S97" s="126" t="s">
        <v>6</v>
      </c>
      <c r="T97" s="126" t="s">
        <v>6</v>
      </c>
      <c r="U97" s="200"/>
      <c r="V97" s="204"/>
      <c r="W97" s="199"/>
      <c r="X97" s="211"/>
      <c r="Y97" s="211"/>
      <c r="Z97" s="226"/>
      <c r="AA97" s="226"/>
      <c r="AB97" s="126"/>
      <c r="AC97" s="211"/>
      <c r="AD97" s="211"/>
      <c r="AE97" s="199"/>
      <c r="AF97" s="211"/>
      <c r="AG97" s="211"/>
      <c r="AH97" s="226"/>
      <c r="AI97" s="226"/>
      <c r="AJ97" s="199"/>
      <c r="AK97" s="211"/>
      <c r="AL97" s="211"/>
      <c r="AM97" s="199"/>
      <c r="AN97" s="199"/>
      <c r="AO97" s="199"/>
      <c r="AP97" s="199"/>
      <c r="AQ97" s="199"/>
      <c r="AR97" s="199"/>
      <c r="AS97" s="199"/>
      <c r="AT97" s="199"/>
      <c r="AU97" s="199"/>
      <c r="AV97" s="199"/>
      <c r="AW97" s="155">
        <f t="shared" si="6"/>
        <v>40</v>
      </c>
    </row>
    <row r="98" spans="1:49" s="236" customFormat="1" ht="15">
      <c r="A98" s="40">
        <f t="shared" si="5"/>
        <v>92</v>
      </c>
      <c r="B98" s="199"/>
      <c r="C98" s="199"/>
      <c r="D98" s="199"/>
      <c r="E98" s="199"/>
      <c r="F98" s="199"/>
      <c r="G98" s="199"/>
      <c r="H98" s="199"/>
      <c r="I98" s="199"/>
      <c r="J98" s="215" t="s">
        <v>2050</v>
      </c>
      <c r="K98" s="199" t="s">
        <v>117</v>
      </c>
      <c r="L98" s="204" t="s">
        <v>2051</v>
      </c>
      <c r="M98" s="204"/>
      <c r="N98" s="271" t="s">
        <v>504</v>
      </c>
      <c r="O98" s="370"/>
      <c r="P98" s="213"/>
      <c r="Q98" s="126" t="s">
        <v>6</v>
      </c>
      <c r="R98" s="126" t="s">
        <v>6</v>
      </c>
      <c r="S98" s="126" t="s">
        <v>6</v>
      </c>
      <c r="T98" s="126" t="s">
        <v>6</v>
      </c>
      <c r="U98" s="200"/>
      <c r="V98" s="204"/>
      <c r="W98" s="199"/>
      <c r="X98" s="211"/>
      <c r="Y98" s="211"/>
      <c r="Z98" s="226"/>
      <c r="AA98" s="226"/>
      <c r="AB98" s="126"/>
      <c r="AC98" s="211"/>
      <c r="AD98" s="211"/>
      <c r="AE98" s="199"/>
      <c r="AF98" s="211"/>
      <c r="AG98" s="211"/>
      <c r="AH98" s="226"/>
      <c r="AI98" s="226"/>
      <c r="AJ98" s="199"/>
      <c r="AK98" s="211"/>
      <c r="AL98" s="211"/>
      <c r="AM98" s="199"/>
      <c r="AN98" s="199"/>
      <c r="AO98" s="199"/>
      <c r="AP98" s="199"/>
      <c r="AQ98" s="199"/>
      <c r="AR98" s="199"/>
      <c r="AS98" s="199"/>
      <c r="AT98" s="199"/>
      <c r="AU98" s="199"/>
      <c r="AV98" s="199"/>
      <c r="AW98" s="18">
        <f t="shared" ref="AW98:AW112" si="7">LEN(L98)</f>
        <v>40</v>
      </c>
    </row>
    <row r="99" spans="1:49" s="236" customFormat="1" ht="15">
      <c r="A99" s="40">
        <f t="shared" si="5"/>
        <v>93</v>
      </c>
      <c r="B99" s="199"/>
      <c r="C99" s="199"/>
      <c r="D99" s="199"/>
      <c r="E99" s="199"/>
      <c r="F99" s="199"/>
      <c r="G99" s="199"/>
      <c r="H99" s="199"/>
      <c r="I99" s="199"/>
      <c r="J99" s="215" t="s">
        <v>2052</v>
      </c>
      <c r="K99" s="199" t="s">
        <v>117</v>
      </c>
      <c r="L99" s="204" t="s">
        <v>2053</v>
      </c>
      <c r="M99" s="204"/>
      <c r="N99" s="271" t="s">
        <v>504</v>
      </c>
      <c r="O99" s="370"/>
      <c r="P99" s="213"/>
      <c r="Q99" s="126" t="s">
        <v>6</v>
      </c>
      <c r="R99" s="126" t="s">
        <v>6</v>
      </c>
      <c r="S99" s="126" t="s">
        <v>6</v>
      </c>
      <c r="T99" s="126" t="s">
        <v>6</v>
      </c>
      <c r="U99" s="200"/>
      <c r="V99" s="204"/>
      <c r="W99" s="199"/>
      <c r="X99" s="211"/>
      <c r="Y99" s="211"/>
      <c r="Z99" s="226"/>
      <c r="AA99" s="226"/>
      <c r="AB99" s="126"/>
      <c r="AC99" s="211"/>
      <c r="AD99" s="211"/>
      <c r="AE99" s="199"/>
      <c r="AF99" s="211"/>
      <c r="AG99" s="211"/>
      <c r="AH99" s="226"/>
      <c r="AI99" s="226"/>
      <c r="AJ99" s="199"/>
      <c r="AK99" s="211"/>
      <c r="AL99" s="211"/>
      <c r="AM99" s="199"/>
      <c r="AN99" s="199"/>
      <c r="AO99" s="199"/>
      <c r="AP99" s="199"/>
      <c r="AQ99" s="199"/>
      <c r="AR99" s="199"/>
      <c r="AS99" s="199"/>
      <c r="AT99" s="199"/>
      <c r="AU99" s="199"/>
      <c r="AV99" s="199"/>
      <c r="AW99" s="18">
        <f t="shared" si="7"/>
        <v>38</v>
      </c>
    </row>
    <row r="100" spans="1:49" s="236" customFormat="1" ht="15">
      <c r="A100" s="40">
        <f t="shared" si="5"/>
        <v>94</v>
      </c>
      <c r="B100" s="199"/>
      <c r="C100" s="199"/>
      <c r="D100" s="199"/>
      <c r="E100" s="199"/>
      <c r="F100" s="199"/>
      <c r="G100" s="199"/>
      <c r="H100" s="199"/>
      <c r="I100" s="199"/>
      <c r="J100" s="215" t="s">
        <v>2054</v>
      </c>
      <c r="K100" s="199" t="s">
        <v>117</v>
      </c>
      <c r="L100" s="204" t="s">
        <v>2055</v>
      </c>
      <c r="M100" s="204"/>
      <c r="N100" s="271" t="s">
        <v>504</v>
      </c>
      <c r="O100" s="370"/>
      <c r="P100" s="213"/>
      <c r="Q100" s="126" t="s">
        <v>6</v>
      </c>
      <c r="R100" s="126" t="s">
        <v>6</v>
      </c>
      <c r="S100" s="126" t="s">
        <v>6</v>
      </c>
      <c r="T100" s="126" t="s">
        <v>6</v>
      </c>
      <c r="U100" s="200"/>
      <c r="V100" s="204"/>
      <c r="W100" s="199"/>
      <c r="X100" s="211"/>
      <c r="Y100" s="211"/>
      <c r="Z100" s="226"/>
      <c r="AA100" s="226"/>
      <c r="AB100" s="126"/>
      <c r="AC100" s="211"/>
      <c r="AD100" s="211"/>
      <c r="AE100" s="199"/>
      <c r="AF100" s="211"/>
      <c r="AG100" s="211"/>
      <c r="AH100" s="226"/>
      <c r="AI100" s="226"/>
      <c r="AJ100" s="199"/>
      <c r="AK100" s="211"/>
      <c r="AL100" s="211"/>
      <c r="AM100" s="199"/>
      <c r="AN100" s="199"/>
      <c r="AO100" s="199"/>
      <c r="AP100" s="199"/>
      <c r="AQ100" s="199"/>
      <c r="AR100" s="199"/>
      <c r="AS100" s="199"/>
      <c r="AT100" s="199"/>
      <c r="AU100" s="199"/>
      <c r="AV100" s="199"/>
      <c r="AW100" s="18">
        <f t="shared" si="7"/>
        <v>28</v>
      </c>
    </row>
    <row r="101" spans="1:49" s="236" customFormat="1" ht="15">
      <c r="A101" s="40">
        <f t="shared" si="5"/>
        <v>95</v>
      </c>
      <c r="B101" s="199"/>
      <c r="C101" s="199"/>
      <c r="D101" s="199"/>
      <c r="E101" s="199"/>
      <c r="F101" s="199"/>
      <c r="G101" s="199"/>
      <c r="H101" s="199"/>
      <c r="I101" s="199"/>
      <c r="J101" s="215" t="s">
        <v>2056</v>
      </c>
      <c r="K101" s="199" t="s">
        <v>122</v>
      </c>
      <c r="L101" s="204" t="s">
        <v>2057</v>
      </c>
      <c r="M101" s="361" t="s">
        <v>3602</v>
      </c>
      <c r="N101" s="541" t="s">
        <v>873</v>
      </c>
      <c r="O101" s="370"/>
      <c r="P101" s="213"/>
      <c r="Q101" s="126" t="s">
        <v>6</v>
      </c>
      <c r="R101" s="126" t="s">
        <v>6</v>
      </c>
      <c r="S101" s="126" t="s">
        <v>6</v>
      </c>
      <c r="T101" s="126" t="s">
        <v>6</v>
      </c>
      <c r="U101" s="200"/>
      <c r="V101" s="204"/>
      <c r="W101" s="199"/>
      <c r="X101" s="211"/>
      <c r="Y101" s="211"/>
      <c r="Z101" s="226"/>
      <c r="AA101" s="226"/>
      <c r="AB101" s="126"/>
      <c r="AC101" s="211"/>
      <c r="AD101" s="211"/>
      <c r="AE101" s="199"/>
      <c r="AF101" s="211"/>
      <c r="AG101" s="211"/>
      <c r="AH101" s="226"/>
      <c r="AI101" s="226"/>
      <c r="AJ101" s="199"/>
      <c r="AK101" s="211"/>
      <c r="AL101" s="211"/>
      <c r="AM101" s="199"/>
      <c r="AN101" s="199"/>
      <c r="AO101" s="199"/>
      <c r="AP101" s="199"/>
      <c r="AQ101" s="199"/>
      <c r="AR101" s="199"/>
      <c r="AS101" s="199"/>
      <c r="AT101" s="199"/>
      <c r="AU101" s="199"/>
      <c r="AV101" s="199"/>
      <c r="AW101" s="18">
        <f t="shared" si="7"/>
        <v>41</v>
      </c>
    </row>
    <row r="102" spans="1:49" s="236" customFormat="1" ht="15">
      <c r="A102" s="40">
        <f t="shared" si="5"/>
        <v>96</v>
      </c>
      <c r="B102" s="199"/>
      <c r="C102" s="199"/>
      <c r="D102" s="199"/>
      <c r="E102" s="199"/>
      <c r="F102" s="199"/>
      <c r="G102" s="199"/>
      <c r="H102" s="199"/>
      <c r="I102" s="199"/>
      <c r="J102" s="215" t="s">
        <v>2058</v>
      </c>
      <c r="K102" s="199" t="s">
        <v>117</v>
      </c>
      <c r="L102" s="204" t="s">
        <v>2059</v>
      </c>
      <c r="M102" s="204"/>
      <c r="N102" s="271" t="s">
        <v>504</v>
      </c>
      <c r="O102" s="370"/>
      <c r="P102" s="213"/>
      <c r="Q102" s="126" t="s">
        <v>6</v>
      </c>
      <c r="R102" s="126" t="s">
        <v>6</v>
      </c>
      <c r="S102" s="126" t="s">
        <v>6</v>
      </c>
      <c r="T102" s="126" t="s">
        <v>6</v>
      </c>
      <c r="U102" s="200"/>
      <c r="V102" s="204"/>
      <c r="W102" s="199"/>
      <c r="X102" s="211"/>
      <c r="Y102" s="211"/>
      <c r="Z102" s="226"/>
      <c r="AA102" s="226"/>
      <c r="AB102" s="126"/>
      <c r="AC102" s="211"/>
      <c r="AD102" s="211"/>
      <c r="AE102" s="199"/>
      <c r="AF102" s="211"/>
      <c r="AG102" s="211"/>
      <c r="AH102" s="226"/>
      <c r="AI102" s="226"/>
      <c r="AJ102" s="199"/>
      <c r="AK102" s="211"/>
      <c r="AL102" s="211"/>
      <c r="AM102" s="199"/>
      <c r="AN102" s="199"/>
      <c r="AO102" s="199"/>
      <c r="AP102" s="199"/>
      <c r="AQ102" s="199"/>
      <c r="AR102" s="199"/>
      <c r="AS102" s="199"/>
      <c r="AT102" s="199"/>
      <c r="AU102" s="199"/>
      <c r="AV102" s="199"/>
      <c r="AW102" s="18">
        <f t="shared" si="7"/>
        <v>41</v>
      </c>
    </row>
    <row r="103" spans="1:49" s="236" customFormat="1" ht="15">
      <c r="A103" s="40">
        <f t="shared" si="5"/>
        <v>97</v>
      </c>
      <c r="B103" s="199"/>
      <c r="C103" s="199"/>
      <c r="D103" s="199"/>
      <c r="E103" s="199"/>
      <c r="F103" s="199"/>
      <c r="G103" s="199"/>
      <c r="H103" s="199"/>
      <c r="I103" s="199"/>
      <c r="J103" s="215" t="s">
        <v>2060</v>
      </c>
      <c r="K103" s="199" t="s">
        <v>117</v>
      </c>
      <c r="L103" s="204" t="s">
        <v>2061</v>
      </c>
      <c r="M103" s="204"/>
      <c r="N103" s="271" t="s">
        <v>504</v>
      </c>
      <c r="O103" s="370"/>
      <c r="P103" s="213"/>
      <c r="Q103" s="126" t="s">
        <v>6</v>
      </c>
      <c r="R103" s="126" t="s">
        <v>6</v>
      </c>
      <c r="S103" s="126" t="s">
        <v>6</v>
      </c>
      <c r="T103" s="126" t="s">
        <v>6</v>
      </c>
      <c r="U103" s="200"/>
      <c r="V103" s="204"/>
      <c r="W103" s="199"/>
      <c r="X103" s="211"/>
      <c r="Y103" s="211"/>
      <c r="Z103" s="226"/>
      <c r="AA103" s="226"/>
      <c r="AB103" s="126"/>
      <c r="AC103" s="211"/>
      <c r="AD103" s="211"/>
      <c r="AE103" s="199"/>
      <c r="AF103" s="211"/>
      <c r="AG103" s="211"/>
      <c r="AH103" s="226"/>
      <c r="AI103" s="226"/>
      <c r="AJ103" s="199"/>
      <c r="AK103" s="211"/>
      <c r="AL103" s="211"/>
      <c r="AM103" s="199"/>
      <c r="AN103" s="199"/>
      <c r="AO103" s="199"/>
      <c r="AP103" s="199"/>
      <c r="AQ103" s="199"/>
      <c r="AR103" s="199"/>
      <c r="AS103" s="199"/>
      <c r="AT103" s="199"/>
      <c r="AU103" s="199"/>
      <c r="AV103" s="199"/>
      <c r="AW103" s="18">
        <f t="shared" si="7"/>
        <v>42</v>
      </c>
    </row>
    <row r="104" spans="1:49" s="236" customFormat="1" ht="15">
      <c r="A104" s="40">
        <f t="shared" si="5"/>
        <v>98</v>
      </c>
      <c r="B104" s="199"/>
      <c r="C104" s="199"/>
      <c r="D104" s="199"/>
      <c r="E104" s="199"/>
      <c r="F104" s="199"/>
      <c r="G104" s="199"/>
      <c r="H104" s="199"/>
      <c r="I104" s="199"/>
      <c r="J104" s="215" t="s">
        <v>2062</v>
      </c>
      <c r="K104" s="199" t="s">
        <v>117</v>
      </c>
      <c r="L104" s="204" t="s">
        <v>2063</v>
      </c>
      <c r="M104" s="204"/>
      <c r="N104" s="271" t="s">
        <v>504</v>
      </c>
      <c r="O104" s="370"/>
      <c r="P104" s="213"/>
      <c r="Q104" s="126" t="s">
        <v>6</v>
      </c>
      <c r="R104" s="126" t="s">
        <v>6</v>
      </c>
      <c r="S104" s="126" t="s">
        <v>6</v>
      </c>
      <c r="T104" s="126" t="s">
        <v>6</v>
      </c>
      <c r="U104" s="200"/>
      <c r="V104" s="204"/>
      <c r="W104" s="199"/>
      <c r="X104" s="211"/>
      <c r="Y104" s="211"/>
      <c r="Z104" s="226"/>
      <c r="AA104" s="226"/>
      <c r="AB104" s="126"/>
      <c r="AC104" s="211"/>
      <c r="AD104" s="211"/>
      <c r="AE104" s="199"/>
      <c r="AF104" s="211"/>
      <c r="AG104" s="211"/>
      <c r="AH104" s="226"/>
      <c r="AI104" s="226"/>
      <c r="AJ104" s="199"/>
      <c r="AK104" s="211"/>
      <c r="AL104" s="211"/>
      <c r="AM104" s="199"/>
      <c r="AN104" s="199"/>
      <c r="AO104" s="199"/>
      <c r="AP104" s="199"/>
      <c r="AQ104" s="199"/>
      <c r="AR104" s="199"/>
      <c r="AS104" s="199"/>
      <c r="AT104" s="199"/>
      <c r="AU104" s="199"/>
      <c r="AV104" s="199"/>
      <c r="AW104" s="18">
        <f t="shared" si="7"/>
        <v>31</v>
      </c>
    </row>
    <row r="105" spans="1:49" s="236" customFormat="1" ht="15">
      <c r="A105" s="40">
        <f t="shared" si="5"/>
        <v>99</v>
      </c>
      <c r="B105" s="199"/>
      <c r="C105" s="199"/>
      <c r="D105" s="199"/>
      <c r="E105" s="199"/>
      <c r="F105" s="199"/>
      <c r="G105" s="199"/>
      <c r="H105" s="199"/>
      <c r="I105" s="199"/>
      <c r="J105" s="215" t="s">
        <v>2064</v>
      </c>
      <c r="K105" s="199" t="s">
        <v>117</v>
      </c>
      <c r="L105" s="204" t="s">
        <v>2065</v>
      </c>
      <c r="M105" s="204"/>
      <c r="N105" s="271" t="s">
        <v>504</v>
      </c>
      <c r="O105" s="370"/>
      <c r="P105" s="213"/>
      <c r="Q105" s="126" t="s">
        <v>6</v>
      </c>
      <c r="R105" s="126" t="s">
        <v>6</v>
      </c>
      <c r="S105" s="126" t="s">
        <v>6</v>
      </c>
      <c r="T105" s="126" t="s">
        <v>6</v>
      </c>
      <c r="U105" s="200"/>
      <c r="V105" s="204"/>
      <c r="W105" s="199"/>
      <c r="X105" s="211"/>
      <c r="Y105" s="211"/>
      <c r="Z105" s="226"/>
      <c r="AA105" s="226"/>
      <c r="AB105" s="126"/>
      <c r="AC105" s="211"/>
      <c r="AD105" s="211"/>
      <c r="AE105" s="199"/>
      <c r="AF105" s="211"/>
      <c r="AG105" s="211"/>
      <c r="AH105" s="226"/>
      <c r="AI105" s="226"/>
      <c r="AJ105" s="199"/>
      <c r="AK105" s="211"/>
      <c r="AL105" s="211"/>
      <c r="AM105" s="199"/>
      <c r="AN105" s="199"/>
      <c r="AO105" s="199"/>
      <c r="AP105" s="199"/>
      <c r="AQ105" s="199"/>
      <c r="AR105" s="199"/>
      <c r="AS105" s="199"/>
      <c r="AT105" s="199"/>
      <c r="AU105" s="199"/>
      <c r="AV105" s="199"/>
      <c r="AW105" s="18">
        <f t="shared" si="7"/>
        <v>28</v>
      </c>
    </row>
    <row r="106" spans="1:49" s="236" customFormat="1" ht="15">
      <c r="A106" s="40">
        <f t="shared" si="5"/>
        <v>100</v>
      </c>
      <c r="B106" s="199"/>
      <c r="C106" s="199"/>
      <c r="D106" s="199"/>
      <c r="E106" s="199"/>
      <c r="F106" s="199"/>
      <c r="G106" s="199"/>
      <c r="H106" s="199"/>
      <c r="I106" s="199"/>
      <c r="J106" s="215" t="s">
        <v>2066</v>
      </c>
      <c r="K106" s="199" t="s">
        <v>117</v>
      </c>
      <c r="L106" s="204" t="s">
        <v>2067</v>
      </c>
      <c r="M106" s="204"/>
      <c r="N106" s="271" t="s">
        <v>504</v>
      </c>
      <c r="O106" s="370"/>
      <c r="P106" s="213"/>
      <c r="Q106" s="126" t="s">
        <v>6</v>
      </c>
      <c r="R106" s="126" t="s">
        <v>6</v>
      </c>
      <c r="S106" s="126" t="s">
        <v>6</v>
      </c>
      <c r="T106" s="126" t="s">
        <v>6</v>
      </c>
      <c r="U106" s="200"/>
      <c r="V106" s="204"/>
      <c r="W106" s="199"/>
      <c r="X106" s="211"/>
      <c r="Y106" s="211"/>
      <c r="Z106" s="226"/>
      <c r="AA106" s="226"/>
      <c r="AB106" s="126"/>
      <c r="AC106" s="211"/>
      <c r="AD106" s="211"/>
      <c r="AE106" s="199"/>
      <c r="AF106" s="211"/>
      <c r="AG106" s="211"/>
      <c r="AH106" s="226"/>
      <c r="AI106" s="226"/>
      <c r="AJ106" s="199"/>
      <c r="AK106" s="211"/>
      <c r="AL106" s="211"/>
      <c r="AM106" s="199"/>
      <c r="AN106" s="199"/>
      <c r="AO106" s="199"/>
      <c r="AP106" s="199"/>
      <c r="AQ106" s="199"/>
      <c r="AR106" s="199"/>
      <c r="AS106" s="199"/>
      <c r="AT106" s="199"/>
      <c r="AU106" s="199"/>
      <c r="AV106" s="199"/>
      <c r="AW106" s="18">
        <f t="shared" si="7"/>
        <v>32</v>
      </c>
    </row>
    <row r="107" spans="1:49" s="236" customFormat="1" ht="15">
      <c r="A107" s="40">
        <f t="shared" si="5"/>
        <v>101</v>
      </c>
      <c r="B107" s="199"/>
      <c r="C107" s="199"/>
      <c r="D107" s="199"/>
      <c r="E107" s="199"/>
      <c r="F107" s="199"/>
      <c r="G107" s="199"/>
      <c r="H107" s="199"/>
      <c r="I107" s="199"/>
      <c r="J107" s="215" t="s">
        <v>2068</v>
      </c>
      <c r="K107" s="199" t="s">
        <v>117</v>
      </c>
      <c r="L107" s="204" t="s">
        <v>2069</v>
      </c>
      <c r="M107" s="204"/>
      <c r="N107" s="271" t="s">
        <v>504</v>
      </c>
      <c r="O107" s="370"/>
      <c r="P107" s="213"/>
      <c r="Q107" s="126"/>
      <c r="R107" s="126" t="s">
        <v>6</v>
      </c>
      <c r="S107" s="126" t="s">
        <v>6</v>
      </c>
      <c r="T107" s="126" t="s">
        <v>6</v>
      </c>
      <c r="U107" s="200"/>
      <c r="V107" s="204"/>
      <c r="W107" s="199"/>
      <c r="X107" s="211"/>
      <c r="Y107" s="211"/>
      <c r="Z107" s="226"/>
      <c r="AA107" s="226"/>
      <c r="AB107" s="126"/>
      <c r="AC107" s="211"/>
      <c r="AD107" s="211"/>
      <c r="AE107" s="199"/>
      <c r="AF107" s="211"/>
      <c r="AG107" s="211"/>
      <c r="AH107" s="226"/>
      <c r="AI107" s="226"/>
      <c r="AJ107" s="199"/>
      <c r="AK107" s="211"/>
      <c r="AL107" s="211"/>
      <c r="AM107" s="199"/>
      <c r="AN107" s="199"/>
      <c r="AO107" s="199"/>
      <c r="AP107" s="199"/>
      <c r="AQ107" s="199"/>
      <c r="AR107" s="199"/>
      <c r="AS107" s="199"/>
      <c r="AT107" s="199"/>
      <c r="AU107" s="199"/>
      <c r="AV107" s="199"/>
      <c r="AW107" s="18">
        <f t="shared" si="7"/>
        <v>28</v>
      </c>
    </row>
    <row r="108" spans="1:49" s="236" customFormat="1" ht="15">
      <c r="A108" s="40">
        <f t="shared" si="5"/>
        <v>102</v>
      </c>
      <c r="B108" s="199"/>
      <c r="C108" s="199"/>
      <c r="D108" s="199"/>
      <c r="E108" s="199"/>
      <c r="F108" s="199"/>
      <c r="G108" s="199"/>
      <c r="H108" s="199"/>
      <c r="I108" s="199"/>
      <c r="J108" s="215" t="s">
        <v>2070</v>
      </c>
      <c r="K108" s="199" t="s">
        <v>117</v>
      </c>
      <c r="L108" s="204" t="s">
        <v>2071</v>
      </c>
      <c r="M108" s="204"/>
      <c r="N108" s="271" t="s">
        <v>504</v>
      </c>
      <c r="O108" s="370"/>
      <c r="P108" s="213"/>
      <c r="Q108" s="126"/>
      <c r="R108" s="126" t="s">
        <v>6</v>
      </c>
      <c r="S108" s="126" t="s">
        <v>6</v>
      </c>
      <c r="T108" s="126" t="s">
        <v>6</v>
      </c>
      <c r="U108" s="200"/>
      <c r="V108" s="204"/>
      <c r="W108" s="199"/>
      <c r="X108" s="211"/>
      <c r="Y108" s="211"/>
      <c r="Z108" s="226"/>
      <c r="AA108" s="226"/>
      <c r="AB108" s="126"/>
      <c r="AC108" s="211"/>
      <c r="AD108" s="211"/>
      <c r="AE108" s="199"/>
      <c r="AF108" s="211"/>
      <c r="AG108" s="211"/>
      <c r="AH108" s="226"/>
      <c r="AI108" s="226"/>
      <c r="AJ108" s="199"/>
      <c r="AK108" s="211"/>
      <c r="AL108" s="211"/>
      <c r="AM108" s="199"/>
      <c r="AN108" s="199"/>
      <c r="AO108" s="199"/>
      <c r="AP108" s="199"/>
      <c r="AQ108" s="199"/>
      <c r="AR108" s="199"/>
      <c r="AS108" s="199"/>
      <c r="AT108" s="199"/>
      <c r="AU108" s="199"/>
      <c r="AV108" s="199"/>
      <c r="AW108" s="18">
        <f t="shared" si="7"/>
        <v>31</v>
      </c>
    </row>
    <row r="109" spans="1:49" s="236" customFormat="1" ht="15">
      <c r="A109" s="40">
        <f t="shared" si="5"/>
        <v>103</v>
      </c>
      <c r="B109" s="199"/>
      <c r="C109" s="199"/>
      <c r="D109" s="199"/>
      <c r="E109" s="199"/>
      <c r="F109" s="199"/>
      <c r="G109" s="199"/>
      <c r="H109" s="199"/>
      <c r="I109" s="199"/>
      <c r="J109" s="215" t="s">
        <v>2072</v>
      </c>
      <c r="K109" s="199" t="s">
        <v>117</v>
      </c>
      <c r="L109" s="204" t="s">
        <v>2073</v>
      </c>
      <c r="M109" s="204"/>
      <c r="N109" s="271" t="s">
        <v>504</v>
      </c>
      <c r="O109" s="370"/>
      <c r="P109" s="213"/>
      <c r="Q109" s="126"/>
      <c r="R109" s="126" t="s">
        <v>6</v>
      </c>
      <c r="S109" s="126" t="s">
        <v>6</v>
      </c>
      <c r="T109" s="126" t="s">
        <v>6</v>
      </c>
      <c r="U109" s="200"/>
      <c r="V109" s="204"/>
      <c r="W109" s="199"/>
      <c r="X109" s="211"/>
      <c r="Y109" s="211"/>
      <c r="Z109" s="226"/>
      <c r="AA109" s="226"/>
      <c r="AB109" s="126"/>
      <c r="AC109" s="211"/>
      <c r="AD109" s="211"/>
      <c r="AE109" s="199"/>
      <c r="AF109" s="211"/>
      <c r="AG109" s="211"/>
      <c r="AH109" s="226"/>
      <c r="AI109" s="226"/>
      <c r="AJ109" s="199"/>
      <c r="AK109" s="211"/>
      <c r="AL109" s="211"/>
      <c r="AM109" s="199"/>
      <c r="AN109" s="199"/>
      <c r="AO109" s="199"/>
      <c r="AP109" s="199"/>
      <c r="AQ109" s="199"/>
      <c r="AR109" s="199"/>
      <c r="AS109" s="199"/>
      <c r="AT109" s="199"/>
      <c r="AU109" s="199"/>
      <c r="AV109" s="199"/>
      <c r="AW109" s="18">
        <f t="shared" si="7"/>
        <v>38</v>
      </c>
    </row>
    <row r="110" spans="1:49" s="236" customFormat="1" ht="15">
      <c r="A110" s="40">
        <f t="shared" si="5"/>
        <v>104</v>
      </c>
      <c r="B110" s="199"/>
      <c r="C110" s="199"/>
      <c r="D110" s="199"/>
      <c r="E110" s="199"/>
      <c r="F110" s="199"/>
      <c r="G110" s="199"/>
      <c r="H110" s="199"/>
      <c r="I110" s="199"/>
      <c r="J110" s="215" t="s">
        <v>2074</v>
      </c>
      <c r="K110" s="199" t="s">
        <v>117</v>
      </c>
      <c r="L110" s="204" t="s">
        <v>2075</v>
      </c>
      <c r="M110" s="204"/>
      <c r="N110" s="271" t="s">
        <v>504</v>
      </c>
      <c r="O110" s="370"/>
      <c r="P110" s="213"/>
      <c r="Q110" s="126" t="s">
        <v>6</v>
      </c>
      <c r="R110" s="126" t="s">
        <v>6</v>
      </c>
      <c r="S110" s="126" t="s">
        <v>6</v>
      </c>
      <c r="T110" s="126" t="s">
        <v>6</v>
      </c>
      <c r="U110" s="200"/>
      <c r="V110" s="204"/>
      <c r="W110" s="199"/>
      <c r="X110" s="211"/>
      <c r="Y110" s="211"/>
      <c r="Z110" s="226"/>
      <c r="AA110" s="226"/>
      <c r="AB110" s="126"/>
      <c r="AC110" s="211"/>
      <c r="AD110" s="211"/>
      <c r="AE110" s="199"/>
      <c r="AF110" s="211"/>
      <c r="AG110" s="211"/>
      <c r="AH110" s="226"/>
      <c r="AI110" s="226"/>
      <c r="AJ110" s="199"/>
      <c r="AK110" s="211"/>
      <c r="AL110" s="211"/>
      <c r="AM110" s="199"/>
      <c r="AN110" s="199"/>
      <c r="AO110" s="199"/>
      <c r="AP110" s="199"/>
      <c r="AQ110" s="199"/>
      <c r="AR110" s="199"/>
      <c r="AS110" s="199"/>
      <c r="AT110" s="199"/>
      <c r="AU110" s="199"/>
      <c r="AV110" s="199"/>
      <c r="AW110" s="18">
        <f t="shared" si="7"/>
        <v>15</v>
      </c>
    </row>
    <row r="111" spans="1:49" s="236" customFormat="1" ht="15">
      <c r="A111" s="40">
        <f t="shared" si="5"/>
        <v>105</v>
      </c>
      <c r="B111" s="199"/>
      <c r="C111" s="199"/>
      <c r="D111" s="199"/>
      <c r="E111" s="199"/>
      <c r="F111" s="199"/>
      <c r="G111" s="199"/>
      <c r="H111" s="199"/>
      <c r="I111" s="199"/>
      <c r="J111" s="215" t="s">
        <v>2076</v>
      </c>
      <c r="K111" s="199" t="s">
        <v>117</v>
      </c>
      <c r="L111" s="204" t="s">
        <v>2077</v>
      </c>
      <c r="M111" s="204"/>
      <c r="N111" s="271" t="s">
        <v>504</v>
      </c>
      <c r="O111" s="370"/>
      <c r="P111" s="213"/>
      <c r="Q111" s="126"/>
      <c r="R111" s="126" t="s">
        <v>6</v>
      </c>
      <c r="S111" s="126" t="s">
        <v>6</v>
      </c>
      <c r="T111" s="126" t="s">
        <v>6</v>
      </c>
      <c r="U111" s="200"/>
      <c r="V111" s="204"/>
      <c r="W111" s="199"/>
      <c r="X111" s="211"/>
      <c r="Y111" s="211"/>
      <c r="Z111" s="226"/>
      <c r="AA111" s="226"/>
      <c r="AB111" s="126"/>
      <c r="AC111" s="211"/>
      <c r="AD111" s="211"/>
      <c r="AE111" s="199"/>
      <c r="AF111" s="211"/>
      <c r="AG111" s="211"/>
      <c r="AH111" s="226"/>
      <c r="AI111" s="226"/>
      <c r="AJ111" s="199"/>
      <c r="AK111" s="211"/>
      <c r="AL111" s="211"/>
      <c r="AM111" s="199"/>
      <c r="AN111" s="199"/>
      <c r="AO111" s="199"/>
      <c r="AP111" s="199"/>
      <c r="AQ111" s="199"/>
      <c r="AR111" s="199"/>
      <c r="AS111" s="199"/>
      <c r="AT111" s="199"/>
      <c r="AU111" s="199"/>
      <c r="AV111" s="199"/>
      <c r="AW111" s="18">
        <f t="shared" si="7"/>
        <v>30</v>
      </c>
    </row>
    <row r="112" spans="1:49" s="236" customFormat="1" ht="15">
      <c r="A112" s="40">
        <f t="shared" si="5"/>
        <v>106</v>
      </c>
      <c r="B112" s="199"/>
      <c r="C112" s="199"/>
      <c r="D112" s="199"/>
      <c r="E112" s="199"/>
      <c r="F112" s="199"/>
      <c r="G112" s="199"/>
      <c r="H112" s="199"/>
      <c r="I112" s="199"/>
      <c r="J112" s="215" t="s">
        <v>2078</v>
      </c>
      <c r="K112" s="198" t="s">
        <v>132</v>
      </c>
      <c r="L112" s="204" t="s">
        <v>2079</v>
      </c>
      <c r="M112" s="204" t="s">
        <v>3602</v>
      </c>
      <c r="N112" s="271" t="s">
        <v>504</v>
      </c>
      <c r="O112" s="370"/>
      <c r="P112" s="213"/>
      <c r="Q112" s="126" t="s">
        <v>6</v>
      </c>
      <c r="R112" s="126" t="s">
        <v>6</v>
      </c>
      <c r="S112" s="126" t="s">
        <v>6</v>
      </c>
      <c r="T112" s="126" t="s">
        <v>6</v>
      </c>
      <c r="U112" s="200"/>
      <c r="V112" s="204"/>
      <c r="W112" s="199"/>
      <c r="X112" s="211"/>
      <c r="Y112" s="211"/>
      <c r="Z112" s="226"/>
      <c r="AA112" s="226"/>
      <c r="AB112" s="126"/>
      <c r="AC112" s="211"/>
      <c r="AD112" s="211"/>
      <c r="AE112" s="199"/>
      <c r="AF112" s="211"/>
      <c r="AG112" s="211"/>
      <c r="AH112" s="226"/>
      <c r="AI112" s="226"/>
      <c r="AJ112" s="199"/>
      <c r="AK112" s="211"/>
      <c r="AL112" s="211"/>
      <c r="AM112" s="199"/>
      <c r="AN112" s="199"/>
      <c r="AO112" s="199"/>
      <c r="AP112" s="199"/>
      <c r="AQ112" s="199"/>
      <c r="AR112" s="199"/>
      <c r="AS112" s="199"/>
      <c r="AT112" s="199"/>
      <c r="AU112" s="199"/>
      <c r="AV112" s="199"/>
      <c r="AW112" s="18">
        <f t="shared" si="7"/>
        <v>21</v>
      </c>
    </row>
    <row r="113" spans="1:87" s="236" customFormat="1" ht="15">
      <c r="A113" s="40">
        <f t="shared" si="5"/>
        <v>107</v>
      </c>
      <c r="B113" s="199"/>
      <c r="C113" s="199"/>
      <c r="D113" s="199"/>
      <c r="E113" s="199"/>
      <c r="F113" s="199"/>
      <c r="G113" s="199"/>
      <c r="H113" s="199"/>
      <c r="I113" s="199"/>
      <c r="J113" s="215" t="s">
        <v>2080</v>
      </c>
      <c r="K113" s="198" t="s">
        <v>117</v>
      </c>
      <c r="L113" s="204" t="s">
        <v>2081</v>
      </c>
      <c r="M113" s="204"/>
      <c r="N113" s="271" t="s">
        <v>504</v>
      </c>
      <c r="O113" s="370"/>
      <c r="P113" s="213"/>
      <c r="Q113" s="126" t="s">
        <v>6</v>
      </c>
      <c r="R113" s="126" t="s">
        <v>6</v>
      </c>
      <c r="S113" s="126" t="s">
        <v>6</v>
      </c>
      <c r="T113" s="126" t="s">
        <v>6</v>
      </c>
      <c r="U113" s="200"/>
      <c r="V113" s="204"/>
      <c r="W113" s="199"/>
      <c r="X113" s="211"/>
      <c r="Y113" s="211"/>
      <c r="Z113" s="226"/>
      <c r="AA113" s="226"/>
      <c r="AB113" s="126"/>
      <c r="AC113" s="211"/>
      <c r="AD113" s="211"/>
      <c r="AE113" s="199"/>
      <c r="AF113" s="211"/>
      <c r="AG113" s="211"/>
      <c r="AH113" s="226"/>
      <c r="AI113" s="226"/>
      <c r="AJ113" s="199"/>
      <c r="AK113" s="211"/>
      <c r="AL113" s="211"/>
      <c r="AM113" s="199"/>
      <c r="AN113" s="199"/>
      <c r="AO113" s="199"/>
      <c r="AP113" s="199"/>
      <c r="AQ113" s="199"/>
      <c r="AR113" s="199"/>
      <c r="AS113" s="199"/>
      <c r="AT113" s="199"/>
      <c r="AU113" s="199"/>
      <c r="AV113" s="199"/>
      <c r="AW113" s="18">
        <f t="shared" ref="AW113:AW132" si="8">LEN(L113)</f>
        <v>18</v>
      </c>
    </row>
    <row r="114" spans="1:87" s="236" customFormat="1" ht="15">
      <c r="A114" s="40">
        <f t="shared" si="5"/>
        <v>108</v>
      </c>
      <c r="B114" s="199"/>
      <c r="C114" s="199"/>
      <c r="D114" s="199"/>
      <c r="E114" s="199"/>
      <c r="F114" s="199"/>
      <c r="G114" s="199"/>
      <c r="H114" s="199"/>
      <c r="I114" s="199"/>
      <c r="J114" s="215" t="s">
        <v>2082</v>
      </c>
      <c r="K114" s="198" t="s">
        <v>117</v>
      </c>
      <c r="L114" s="204" t="s">
        <v>2083</v>
      </c>
      <c r="M114" s="204"/>
      <c r="N114" s="271" t="s">
        <v>504</v>
      </c>
      <c r="O114" s="370"/>
      <c r="P114" s="213"/>
      <c r="Q114" s="126" t="s">
        <v>6</v>
      </c>
      <c r="R114" s="126" t="s">
        <v>6</v>
      </c>
      <c r="S114" s="126" t="s">
        <v>6</v>
      </c>
      <c r="T114" s="126" t="s">
        <v>6</v>
      </c>
      <c r="U114" s="200"/>
      <c r="V114" s="204"/>
      <c r="W114" s="199"/>
      <c r="X114" s="211"/>
      <c r="Y114" s="211"/>
      <c r="Z114" s="226"/>
      <c r="AA114" s="226"/>
      <c r="AB114" s="126"/>
      <c r="AC114" s="211"/>
      <c r="AD114" s="211"/>
      <c r="AE114" s="199"/>
      <c r="AF114" s="211"/>
      <c r="AG114" s="211"/>
      <c r="AH114" s="226"/>
      <c r="AI114" s="226"/>
      <c r="AJ114" s="199"/>
      <c r="AK114" s="211"/>
      <c r="AL114" s="211"/>
      <c r="AM114" s="199"/>
      <c r="AN114" s="199"/>
      <c r="AO114" s="199"/>
      <c r="AP114" s="199"/>
      <c r="AQ114" s="199"/>
      <c r="AR114" s="199"/>
      <c r="AS114" s="199"/>
      <c r="AT114" s="199"/>
      <c r="AU114" s="199"/>
      <c r="AV114" s="199"/>
      <c r="AW114" s="18">
        <f t="shared" si="8"/>
        <v>31</v>
      </c>
    </row>
    <row r="115" spans="1:87" s="236" customFormat="1" ht="15">
      <c r="A115" s="40">
        <f t="shared" si="5"/>
        <v>109</v>
      </c>
      <c r="B115" s="199"/>
      <c r="C115" s="199"/>
      <c r="D115" s="199"/>
      <c r="E115" s="199"/>
      <c r="F115" s="199"/>
      <c r="G115" s="199"/>
      <c r="H115" s="199"/>
      <c r="I115" s="199"/>
      <c r="J115" s="215" t="s">
        <v>2084</v>
      </c>
      <c r="K115" s="198" t="s">
        <v>117</v>
      </c>
      <c r="L115" s="204" t="s">
        <v>2085</v>
      </c>
      <c r="M115" s="204" t="s">
        <v>3602</v>
      </c>
      <c r="N115" s="271" t="s">
        <v>504</v>
      </c>
      <c r="O115" s="370"/>
      <c r="P115" s="213"/>
      <c r="Q115" s="126" t="s">
        <v>6</v>
      </c>
      <c r="R115" s="126" t="s">
        <v>6</v>
      </c>
      <c r="S115" s="126" t="s">
        <v>6</v>
      </c>
      <c r="T115" s="126" t="s">
        <v>6</v>
      </c>
      <c r="U115" s="200"/>
      <c r="V115" s="204"/>
      <c r="W115" s="199"/>
      <c r="X115" s="211"/>
      <c r="Y115" s="211"/>
      <c r="Z115" s="226"/>
      <c r="AA115" s="226"/>
      <c r="AB115" s="126"/>
      <c r="AC115" s="211"/>
      <c r="AD115" s="211"/>
      <c r="AE115" s="199"/>
      <c r="AF115" s="211"/>
      <c r="AG115" s="211"/>
      <c r="AH115" s="226"/>
      <c r="AI115" s="226"/>
      <c r="AJ115" s="199"/>
      <c r="AK115" s="211"/>
      <c r="AL115" s="211"/>
      <c r="AM115" s="199"/>
      <c r="AN115" s="199"/>
      <c r="AO115" s="199"/>
      <c r="AP115" s="199"/>
      <c r="AQ115" s="199"/>
      <c r="AR115" s="199"/>
      <c r="AS115" s="199"/>
      <c r="AT115" s="199"/>
      <c r="AU115" s="199"/>
      <c r="AV115" s="199"/>
      <c r="AW115" s="18">
        <f t="shared" si="8"/>
        <v>14</v>
      </c>
    </row>
    <row r="116" spans="1:87" s="12" customFormat="1" ht="15">
      <c r="A116" s="40">
        <f t="shared" si="5"/>
        <v>110</v>
      </c>
      <c r="B116" s="38"/>
      <c r="C116" s="42"/>
      <c r="D116" s="19"/>
      <c r="E116" s="19"/>
      <c r="F116" s="19"/>
      <c r="G116" s="19"/>
      <c r="H116" s="13"/>
      <c r="I116" s="13"/>
      <c r="J116" s="412" t="s">
        <v>5170</v>
      </c>
      <c r="K116" s="412" t="s">
        <v>117</v>
      </c>
      <c r="L116" s="412" t="s">
        <v>1931</v>
      </c>
      <c r="M116" s="472" t="s">
        <v>4954</v>
      </c>
      <c r="N116" s="416" t="s">
        <v>504</v>
      </c>
      <c r="O116" s="40"/>
      <c r="P116" s="40"/>
      <c r="Q116" s="416" t="s">
        <v>6</v>
      </c>
      <c r="R116" s="416" t="s">
        <v>6</v>
      </c>
      <c r="S116" s="416" t="s">
        <v>6</v>
      </c>
      <c r="T116" s="416"/>
      <c r="U116" s="204"/>
      <c r="V116" s="13"/>
      <c r="W116" s="412" t="s">
        <v>133</v>
      </c>
      <c r="X116" s="13"/>
      <c r="Y116" s="13"/>
      <c r="Z116" s="416" t="s">
        <v>6</v>
      </c>
      <c r="AA116" s="416" t="s">
        <v>6</v>
      </c>
      <c r="AB116" s="416"/>
      <c r="AC116" s="416"/>
      <c r="AD116" s="416"/>
      <c r="AE116" s="412" t="s">
        <v>133</v>
      </c>
      <c r="AF116" s="13"/>
      <c r="AG116" s="13"/>
      <c r="AH116" s="414" t="s">
        <v>6</v>
      </c>
      <c r="AI116" s="414" t="s">
        <v>6</v>
      </c>
      <c r="AJ116" s="414"/>
      <c r="AK116" s="416"/>
      <c r="AL116" s="416"/>
      <c r="AM116" s="40" t="s">
        <v>1932</v>
      </c>
      <c r="AN116" s="13"/>
      <c r="AO116" s="13"/>
      <c r="AP116" s="13"/>
      <c r="AQ116" s="13"/>
      <c r="AR116" s="13"/>
      <c r="AS116" s="13"/>
      <c r="AT116" s="13"/>
      <c r="AU116" s="13"/>
      <c r="AV116" s="13"/>
      <c r="AW116" s="18">
        <v>24</v>
      </c>
    </row>
    <row r="117" spans="1:87" s="12" customFormat="1" ht="39.6">
      <c r="A117" s="40">
        <f t="shared" ref="A117:A129" si="9">ROW() - 6</f>
        <v>111</v>
      </c>
      <c r="B117" s="38"/>
      <c r="C117" s="42"/>
      <c r="D117" s="19"/>
      <c r="E117" s="19"/>
      <c r="F117" s="19"/>
      <c r="G117" s="19"/>
      <c r="H117" s="13"/>
      <c r="I117" s="13"/>
      <c r="J117" s="412" t="s">
        <v>5171</v>
      </c>
      <c r="K117" s="412" t="s">
        <v>117</v>
      </c>
      <c r="L117" s="412" t="s">
        <v>1931</v>
      </c>
      <c r="M117" s="472" t="s">
        <v>4954</v>
      </c>
      <c r="N117" s="416" t="s">
        <v>504</v>
      </c>
      <c r="O117" s="40"/>
      <c r="P117" s="40"/>
      <c r="Q117" s="416" t="s">
        <v>6</v>
      </c>
      <c r="R117" s="416" t="s">
        <v>6</v>
      </c>
      <c r="S117" s="416" t="s">
        <v>6</v>
      </c>
      <c r="T117" s="416"/>
      <c r="U117" s="200" t="s">
        <v>5172</v>
      </c>
      <c r="V117" s="13"/>
      <c r="W117" s="412" t="s">
        <v>133</v>
      </c>
      <c r="X117" s="13"/>
      <c r="Y117" s="13"/>
      <c r="Z117" s="416" t="s">
        <v>6</v>
      </c>
      <c r="AA117" s="416" t="s">
        <v>6</v>
      </c>
      <c r="AB117" s="416"/>
      <c r="AC117" s="416"/>
      <c r="AD117" s="416"/>
      <c r="AE117" s="412" t="s">
        <v>133</v>
      </c>
      <c r="AF117" s="13"/>
      <c r="AG117" s="13"/>
      <c r="AH117" s="414" t="s">
        <v>6</v>
      </c>
      <c r="AI117" s="414" t="s">
        <v>6</v>
      </c>
      <c r="AJ117" s="414"/>
      <c r="AK117" s="416"/>
      <c r="AL117" s="416"/>
      <c r="AM117" s="40" t="s">
        <v>1932</v>
      </c>
      <c r="AN117" s="13"/>
      <c r="AO117" s="13"/>
      <c r="AP117" s="13"/>
      <c r="AQ117" s="13"/>
      <c r="AR117" s="13"/>
      <c r="AS117" s="13"/>
      <c r="AT117" s="13"/>
      <c r="AU117" s="13"/>
      <c r="AV117" s="13"/>
      <c r="AW117" s="18">
        <v>24</v>
      </c>
    </row>
    <row r="118" spans="1:87" s="20" customFormat="1" ht="26.4">
      <c r="A118" s="40">
        <f t="shared" si="9"/>
        <v>112</v>
      </c>
      <c r="B118" s="59"/>
      <c r="C118" s="59"/>
      <c r="D118" s="59"/>
      <c r="E118" s="59"/>
      <c r="F118" s="59"/>
      <c r="G118" s="59"/>
      <c r="H118" s="59"/>
      <c r="I118" s="59"/>
      <c r="J118" s="218" t="s">
        <v>5173</v>
      </c>
      <c r="K118" s="232" t="s">
        <v>117</v>
      </c>
      <c r="L118" s="204" t="s">
        <v>729</v>
      </c>
      <c r="M118" s="367"/>
      <c r="N118" s="416" t="s">
        <v>504</v>
      </c>
      <c r="O118" s="126"/>
      <c r="P118" s="126"/>
      <c r="Q118" s="126" t="s">
        <v>6</v>
      </c>
      <c r="R118" s="126" t="s">
        <v>6</v>
      </c>
      <c r="S118" s="126" t="s">
        <v>6</v>
      </c>
      <c r="T118" s="126"/>
      <c r="U118" s="204" t="s">
        <v>742</v>
      </c>
      <c r="V118" s="206"/>
      <c r="W118" s="232" t="s">
        <v>125</v>
      </c>
      <c r="X118" s="59"/>
      <c r="Y118" s="59"/>
      <c r="Z118" s="199"/>
      <c r="AA118" s="126" t="s">
        <v>6</v>
      </c>
      <c r="AB118" s="40"/>
      <c r="AC118" s="59"/>
      <c r="AD118" s="59"/>
      <c r="AE118" s="232" t="s">
        <v>125</v>
      </c>
      <c r="AF118" s="59"/>
      <c r="AG118" s="59"/>
      <c r="AH118" s="59"/>
      <c r="AI118" s="61" t="s">
        <v>6</v>
      </c>
      <c r="AJ118" s="15"/>
      <c r="AK118" s="59"/>
      <c r="AL118" s="59"/>
      <c r="AM118" s="59"/>
      <c r="AN118" s="59"/>
      <c r="AO118" s="59"/>
      <c r="AP118" s="59"/>
      <c r="AQ118" s="59"/>
      <c r="AR118" s="59"/>
      <c r="AS118" s="59"/>
      <c r="AT118" s="59"/>
      <c r="AU118" s="59"/>
      <c r="AV118" s="59"/>
      <c r="AW118" s="18">
        <v>18</v>
      </c>
    </row>
    <row r="119" spans="1:87" s="20" customFormat="1" ht="25.5" customHeight="1">
      <c r="A119" s="40">
        <f t="shared" si="9"/>
        <v>113</v>
      </c>
      <c r="B119" s="59"/>
      <c r="C119" s="59"/>
      <c r="D119" s="59"/>
      <c r="E119" s="59"/>
      <c r="F119" s="59"/>
      <c r="G119" s="59"/>
      <c r="H119" s="59"/>
      <c r="I119" s="59"/>
      <c r="J119" s="218" t="s">
        <v>5174</v>
      </c>
      <c r="K119" s="204" t="s">
        <v>128</v>
      </c>
      <c r="L119" s="204" t="s">
        <v>703</v>
      </c>
      <c r="M119" s="204"/>
      <c r="N119" s="40" t="s">
        <v>504</v>
      </c>
      <c r="O119" s="126"/>
      <c r="P119" s="126"/>
      <c r="Q119" s="40" t="s">
        <v>6</v>
      </c>
      <c r="R119" s="40" t="s">
        <v>6</v>
      </c>
      <c r="S119" s="40" t="s">
        <v>6</v>
      </c>
      <c r="T119" s="40"/>
      <c r="U119" s="204" t="s">
        <v>768</v>
      </c>
      <c r="V119" s="206"/>
      <c r="W119" s="204" t="s">
        <v>125</v>
      </c>
      <c r="X119" s="59"/>
      <c r="Y119" s="59"/>
      <c r="Z119" s="199"/>
      <c r="AA119" s="40" t="s">
        <v>6</v>
      </c>
      <c r="AB119" s="40"/>
      <c r="AC119" s="59"/>
      <c r="AD119" s="59"/>
      <c r="AE119" s="204" t="s">
        <v>125</v>
      </c>
      <c r="AF119" s="59"/>
      <c r="AG119" s="59"/>
      <c r="AH119" s="59"/>
      <c r="AI119" s="40" t="s">
        <v>6</v>
      </c>
      <c r="AJ119" s="15"/>
      <c r="AK119" s="59"/>
      <c r="AL119" s="59"/>
      <c r="AM119" s="59"/>
      <c r="AN119" s="59"/>
      <c r="AO119" s="59"/>
      <c r="AP119" s="59"/>
      <c r="AQ119" s="59"/>
      <c r="AR119" s="59"/>
      <c r="AS119" s="59"/>
      <c r="AT119" s="59"/>
      <c r="AU119" s="59"/>
      <c r="AV119" s="59"/>
      <c r="AW119" s="18">
        <v>19</v>
      </c>
    </row>
    <row r="120" spans="1:87" s="18" customFormat="1" ht="26.4">
      <c r="A120" s="40">
        <f t="shared" si="9"/>
        <v>114</v>
      </c>
      <c r="B120" s="38"/>
      <c r="C120" s="42"/>
      <c r="D120" s="38"/>
      <c r="E120" s="46"/>
      <c r="F120" s="46"/>
      <c r="G120" s="46"/>
      <c r="H120" s="13"/>
      <c r="I120" s="40"/>
      <c r="J120" s="215" t="s">
        <v>5175</v>
      </c>
      <c r="K120" s="412" t="s">
        <v>117</v>
      </c>
      <c r="L120" s="215" t="s">
        <v>1760</v>
      </c>
      <c r="M120" s="215"/>
      <c r="N120" s="126" t="s">
        <v>504</v>
      </c>
      <c r="O120" s="40"/>
      <c r="P120" s="40"/>
      <c r="Q120" s="126" t="s">
        <v>6</v>
      </c>
      <c r="R120" s="126" t="s">
        <v>6</v>
      </c>
      <c r="S120" s="126" t="s">
        <v>6</v>
      </c>
      <c r="T120" s="126"/>
      <c r="U120" s="204" t="s">
        <v>1964</v>
      </c>
      <c r="V120" s="204"/>
      <c r="W120" s="215" t="s">
        <v>125</v>
      </c>
      <c r="X120" s="40"/>
      <c r="Y120" s="413"/>
      <c r="Z120" s="126"/>
      <c r="AA120" s="126" t="s">
        <v>6</v>
      </c>
      <c r="AB120" s="415"/>
      <c r="AC120" s="413"/>
      <c r="AD120" s="413"/>
      <c r="AE120" s="215" t="s">
        <v>125</v>
      </c>
      <c r="AF120" s="40"/>
      <c r="AG120" s="413"/>
      <c r="AH120" s="61"/>
      <c r="AI120" s="61" t="s">
        <v>6</v>
      </c>
      <c r="AJ120" s="413"/>
      <c r="AK120" s="413"/>
      <c r="AL120" s="413"/>
      <c r="AM120" s="45"/>
      <c r="AN120" s="53"/>
      <c r="AO120" s="266"/>
      <c r="AP120" s="266"/>
      <c r="AQ120" s="266"/>
      <c r="AR120" s="266"/>
      <c r="AS120" s="15"/>
      <c r="AT120" s="15"/>
      <c r="AU120" s="15"/>
      <c r="AV120" s="13"/>
      <c r="AW120" s="18">
        <v>27</v>
      </c>
      <c r="AX120" s="12"/>
      <c r="AY120" s="12"/>
      <c r="AZ120" s="12"/>
      <c r="BA120" s="12"/>
      <c r="BB120" s="12"/>
      <c r="BC120" s="12"/>
      <c r="BD120" s="12"/>
      <c r="BE120" s="12"/>
      <c r="BF120" s="12"/>
      <c r="BG120" s="12"/>
      <c r="BH120" s="12"/>
      <c r="BI120" s="12"/>
      <c r="BJ120" s="12"/>
      <c r="BK120" s="12"/>
      <c r="BL120" s="12"/>
      <c r="BM120" s="12"/>
      <c r="BN120" s="12"/>
      <c r="BO120" s="12"/>
      <c r="BP120" s="12"/>
      <c r="BQ120" s="12"/>
      <c r="BR120" s="12"/>
      <c r="BS120" s="12"/>
      <c r="BT120" s="12"/>
      <c r="BU120" s="12"/>
      <c r="BV120" s="12"/>
      <c r="BW120" s="12"/>
      <c r="BX120" s="12"/>
      <c r="BY120" s="12"/>
      <c r="BZ120" s="12"/>
      <c r="CA120" s="12"/>
      <c r="CB120" s="12"/>
      <c r="CC120" s="12"/>
      <c r="CD120" s="12"/>
      <c r="CE120" s="12"/>
      <c r="CF120" s="12"/>
      <c r="CG120" s="12"/>
      <c r="CH120" s="12"/>
      <c r="CI120" s="12"/>
    </row>
    <row r="121" spans="1:87" s="20" customFormat="1" ht="25.5" customHeight="1">
      <c r="A121" s="40">
        <f t="shared" si="9"/>
        <v>115</v>
      </c>
      <c r="B121" s="59"/>
      <c r="C121" s="59"/>
      <c r="D121" s="59"/>
      <c r="E121" s="59"/>
      <c r="F121" s="59"/>
      <c r="G121" s="59"/>
      <c r="H121" s="59"/>
      <c r="I121" s="59"/>
      <c r="J121" s="218" t="s">
        <v>5176</v>
      </c>
      <c r="K121" s="204" t="s">
        <v>117</v>
      </c>
      <c r="L121" s="204" t="s">
        <v>3983</v>
      </c>
      <c r="M121" s="204"/>
      <c r="N121" s="126" t="s">
        <v>504</v>
      </c>
      <c r="O121" s="126"/>
      <c r="P121" s="126"/>
      <c r="Q121" s="40" t="s">
        <v>6</v>
      </c>
      <c r="R121" s="40" t="s">
        <v>6</v>
      </c>
      <c r="S121" s="40" t="s">
        <v>6</v>
      </c>
      <c r="T121" s="40"/>
      <c r="U121" s="204" t="s">
        <v>768</v>
      </c>
      <c r="V121" s="206"/>
      <c r="W121" s="204" t="s">
        <v>125</v>
      </c>
      <c r="X121" s="59"/>
      <c r="Y121" s="59"/>
      <c r="Z121" s="199"/>
      <c r="AA121" s="40" t="s">
        <v>6</v>
      </c>
      <c r="AB121" s="202"/>
      <c r="AC121" s="59"/>
      <c r="AD121" s="218" t="s">
        <v>709</v>
      </c>
      <c r="AE121" s="204" t="s">
        <v>125</v>
      </c>
      <c r="AF121" s="59"/>
      <c r="AG121" s="59"/>
      <c r="AH121" s="59"/>
      <c r="AI121" s="40" t="s">
        <v>6</v>
      </c>
      <c r="AJ121" s="218"/>
      <c r="AK121" s="59"/>
      <c r="AL121" s="218" t="s">
        <v>709</v>
      </c>
      <c r="AM121" s="59"/>
      <c r="AN121" s="59"/>
      <c r="AO121" s="59"/>
      <c r="AP121" s="59"/>
      <c r="AQ121" s="59"/>
      <c r="AR121" s="59"/>
      <c r="AS121" s="59"/>
      <c r="AT121" s="59"/>
      <c r="AU121" s="59"/>
      <c r="AV121" s="59"/>
      <c r="AW121" s="18">
        <v>15</v>
      </c>
    </row>
    <row r="122" spans="1:87" s="20" customFormat="1" ht="39.6">
      <c r="A122" s="40">
        <f t="shared" si="9"/>
        <v>116</v>
      </c>
      <c r="B122" s="59"/>
      <c r="C122" s="59"/>
      <c r="D122" s="59"/>
      <c r="E122" s="59"/>
      <c r="F122" s="59"/>
      <c r="G122" s="59"/>
      <c r="H122" s="59"/>
      <c r="I122" s="59"/>
      <c r="J122" s="218" t="s">
        <v>5177</v>
      </c>
      <c r="K122" s="204" t="s">
        <v>117</v>
      </c>
      <c r="L122" s="204" t="s">
        <v>4025</v>
      </c>
      <c r="M122" s="204"/>
      <c r="N122" s="126" t="s">
        <v>504</v>
      </c>
      <c r="O122" s="126"/>
      <c r="P122" s="126"/>
      <c r="Q122" s="40" t="s">
        <v>6</v>
      </c>
      <c r="R122" s="40" t="s">
        <v>6</v>
      </c>
      <c r="S122" s="40" t="s">
        <v>6</v>
      </c>
      <c r="T122" s="40"/>
      <c r="U122" s="204" t="s">
        <v>4787</v>
      </c>
      <c r="V122" s="206"/>
      <c r="W122" s="215" t="s">
        <v>125</v>
      </c>
      <c r="X122" s="59"/>
      <c r="Y122" s="59"/>
      <c r="Z122" s="40"/>
      <c r="AA122" s="40" t="s">
        <v>6</v>
      </c>
      <c r="AB122" s="202"/>
      <c r="AC122" s="59"/>
      <c r="AD122" s="59"/>
      <c r="AE122" s="215" t="s">
        <v>125</v>
      </c>
      <c r="AF122" s="59"/>
      <c r="AG122" s="59"/>
      <c r="AH122" s="40"/>
      <c r="AI122" s="40" t="s">
        <v>6</v>
      </c>
      <c r="AJ122" s="218"/>
      <c r="AK122" s="59"/>
      <c r="AL122" s="59"/>
      <c r="AM122" s="59"/>
      <c r="AN122" s="59"/>
      <c r="AO122" s="59"/>
      <c r="AP122" s="59"/>
      <c r="AQ122" s="59"/>
      <c r="AR122" s="59"/>
      <c r="AS122" s="59"/>
      <c r="AT122" s="59"/>
      <c r="AU122" s="59"/>
      <c r="AV122" s="59"/>
      <c r="AW122" s="18">
        <v>29</v>
      </c>
    </row>
    <row r="123" spans="1:87" s="20" customFormat="1" ht="39.6">
      <c r="A123" s="40">
        <f t="shared" si="9"/>
        <v>117</v>
      </c>
      <c r="B123" s="59"/>
      <c r="C123" s="59"/>
      <c r="D123" s="59"/>
      <c r="E123" s="59"/>
      <c r="F123" s="59"/>
      <c r="G123" s="59"/>
      <c r="H123" s="59"/>
      <c r="I123" s="59"/>
      <c r="J123" s="218" t="s">
        <v>5178</v>
      </c>
      <c r="K123" s="204" t="s">
        <v>117</v>
      </c>
      <c r="L123" s="204" t="s">
        <v>793</v>
      </c>
      <c r="M123" s="204"/>
      <c r="N123" s="126" t="s">
        <v>504</v>
      </c>
      <c r="O123" s="126"/>
      <c r="P123" s="126"/>
      <c r="Q123" s="40" t="s">
        <v>6</v>
      </c>
      <c r="R123" s="40" t="s">
        <v>6</v>
      </c>
      <c r="S123" s="40" t="s">
        <v>6</v>
      </c>
      <c r="T123" s="40"/>
      <c r="U123" s="204" t="s">
        <v>4795</v>
      </c>
      <c r="V123" s="204"/>
      <c r="W123" s="215" t="s">
        <v>125</v>
      </c>
      <c r="X123" s="59"/>
      <c r="Y123" s="59"/>
      <c r="Z123" s="40"/>
      <c r="AA123" s="40" t="s">
        <v>6</v>
      </c>
      <c r="AB123" s="202"/>
      <c r="AC123" s="59"/>
      <c r="AD123" s="59"/>
      <c r="AE123" s="215" t="s">
        <v>125</v>
      </c>
      <c r="AF123" s="59"/>
      <c r="AG123" s="59"/>
      <c r="AH123" s="40"/>
      <c r="AI123" s="40" t="s">
        <v>6</v>
      </c>
      <c r="AJ123" s="218"/>
      <c r="AK123" s="59"/>
      <c r="AL123" s="59"/>
      <c r="AM123" s="59"/>
      <c r="AN123" s="59"/>
      <c r="AO123" s="59"/>
      <c r="AP123" s="59"/>
      <c r="AQ123" s="59"/>
      <c r="AR123" s="59"/>
      <c r="AS123" s="59"/>
      <c r="AT123" s="59"/>
      <c r="AU123" s="59"/>
      <c r="AV123" s="59"/>
      <c r="AW123" s="18">
        <v>15</v>
      </c>
    </row>
    <row r="124" spans="1:87" s="20" customFormat="1" ht="26.4">
      <c r="A124" s="40">
        <f t="shared" si="9"/>
        <v>118</v>
      </c>
      <c r="B124" s="59"/>
      <c r="C124" s="59"/>
      <c r="D124" s="59"/>
      <c r="E124" s="59"/>
      <c r="F124" s="59"/>
      <c r="G124" s="59"/>
      <c r="H124" s="59"/>
      <c r="I124" s="59"/>
      <c r="J124" s="218" t="s">
        <v>5179</v>
      </c>
      <c r="K124" s="232" t="s">
        <v>117</v>
      </c>
      <c r="L124" s="204" t="s">
        <v>1391</v>
      </c>
      <c r="M124" s="204"/>
      <c r="N124" s="126" t="s">
        <v>504</v>
      </c>
      <c r="O124" s="126"/>
      <c r="P124" s="126"/>
      <c r="Q124" s="126" t="s">
        <v>6</v>
      </c>
      <c r="R124" s="126" t="s">
        <v>6</v>
      </c>
      <c r="S124" s="126" t="s">
        <v>6</v>
      </c>
      <c r="T124" s="40"/>
      <c r="U124" s="204" t="s">
        <v>4739</v>
      </c>
      <c r="V124" s="206"/>
      <c r="W124" s="232" t="s">
        <v>125</v>
      </c>
      <c r="X124" s="59"/>
      <c r="Y124" s="59"/>
      <c r="Z124" s="199"/>
      <c r="AA124" s="126" t="s">
        <v>6</v>
      </c>
      <c r="AB124" s="40"/>
      <c r="AC124" s="59"/>
      <c r="AD124" s="59"/>
      <c r="AE124" s="232" t="s">
        <v>125</v>
      </c>
      <c r="AF124" s="59"/>
      <c r="AG124" s="59"/>
      <c r="AH124" s="59"/>
      <c r="AI124" s="61" t="s">
        <v>6</v>
      </c>
      <c r="AJ124" s="15"/>
      <c r="AK124" s="59"/>
      <c r="AL124" s="59"/>
      <c r="AM124" s="59"/>
      <c r="AN124" s="59"/>
      <c r="AO124" s="59"/>
      <c r="AP124" s="59"/>
      <c r="AQ124" s="59"/>
      <c r="AR124" s="59"/>
      <c r="AS124" s="59"/>
      <c r="AT124" s="59"/>
      <c r="AU124" s="59"/>
      <c r="AV124" s="59"/>
      <c r="AW124" s="18">
        <v>38</v>
      </c>
    </row>
    <row r="125" spans="1:87" s="20" customFormat="1" ht="26.4">
      <c r="A125" s="40">
        <f t="shared" si="9"/>
        <v>119</v>
      </c>
      <c r="B125" s="59"/>
      <c r="C125" s="59"/>
      <c r="D125" s="59"/>
      <c r="E125" s="59"/>
      <c r="F125" s="59"/>
      <c r="G125" s="59"/>
      <c r="H125" s="59"/>
      <c r="I125" s="59"/>
      <c r="J125" s="218" t="s">
        <v>5180</v>
      </c>
      <c r="K125" s="204" t="s">
        <v>117</v>
      </c>
      <c r="L125" s="204" t="s">
        <v>735</v>
      </c>
      <c r="M125" s="204"/>
      <c r="N125" s="126" t="s">
        <v>504</v>
      </c>
      <c r="O125" s="126"/>
      <c r="P125" s="126"/>
      <c r="Q125" s="40" t="s">
        <v>6</v>
      </c>
      <c r="R125" s="40" t="s">
        <v>6</v>
      </c>
      <c r="S125" s="40" t="s">
        <v>6</v>
      </c>
      <c r="T125" s="40"/>
      <c r="U125" s="204" t="s">
        <v>4739</v>
      </c>
      <c r="V125" s="206"/>
      <c r="W125" s="204" t="s">
        <v>125</v>
      </c>
      <c r="X125" s="59"/>
      <c r="Y125" s="59"/>
      <c r="Z125" s="199"/>
      <c r="AA125" s="40" t="s">
        <v>6</v>
      </c>
      <c r="AB125" s="202"/>
      <c r="AC125" s="59"/>
      <c r="AD125" s="218"/>
      <c r="AE125" s="204" t="s">
        <v>125</v>
      </c>
      <c r="AF125" s="59"/>
      <c r="AG125" s="59"/>
      <c r="AH125" s="59"/>
      <c r="AI125" s="40" t="s">
        <v>6</v>
      </c>
      <c r="AJ125" s="218"/>
      <c r="AK125" s="59"/>
      <c r="AL125" s="218"/>
      <c r="AM125" s="59"/>
      <c r="AN125" s="59"/>
      <c r="AO125" s="59"/>
      <c r="AP125" s="59"/>
      <c r="AQ125" s="59"/>
      <c r="AR125" s="59"/>
      <c r="AS125" s="59"/>
      <c r="AT125" s="59"/>
      <c r="AU125" s="59"/>
      <c r="AV125" s="59"/>
      <c r="AW125" s="18">
        <v>14</v>
      </c>
    </row>
    <row r="126" spans="1:87" s="20" customFormat="1" ht="26.4">
      <c r="A126" s="40">
        <f t="shared" si="9"/>
        <v>120</v>
      </c>
      <c r="B126" s="59"/>
      <c r="C126" s="59"/>
      <c r="D126" s="59"/>
      <c r="E126" s="59"/>
      <c r="F126" s="59"/>
      <c r="G126" s="59"/>
      <c r="H126" s="59"/>
      <c r="I126" s="59"/>
      <c r="J126" s="218" t="s">
        <v>5181</v>
      </c>
      <c r="K126" s="204" t="s">
        <v>117</v>
      </c>
      <c r="L126" s="204" t="s">
        <v>737</v>
      </c>
      <c r="M126" s="204"/>
      <c r="N126" s="126" t="s">
        <v>504</v>
      </c>
      <c r="O126" s="126"/>
      <c r="P126" s="126"/>
      <c r="Q126" s="40" t="s">
        <v>6</v>
      </c>
      <c r="R126" s="40" t="s">
        <v>6</v>
      </c>
      <c r="S126" s="40" t="s">
        <v>6</v>
      </c>
      <c r="T126" s="40"/>
      <c r="U126" s="204" t="s">
        <v>1394</v>
      </c>
      <c r="V126" s="206"/>
      <c r="W126" s="204" t="s">
        <v>125</v>
      </c>
      <c r="X126" s="59"/>
      <c r="Y126" s="59"/>
      <c r="Z126" s="199"/>
      <c r="AA126" s="40" t="s">
        <v>6</v>
      </c>
      <c r="AB126" s="40"/>
      <c r="AC126" s="59"/>
      <c r="AD126" s="59"/>
      <c r="AE126" s="204" t="s">
        <v>125</v>
      </c>
      <c r="AF126" s="59"/>
      <c r="AG126" s="59"/>
      <c r="AH126" s="59"/>
      <c r="AI126" s="40" t="s">
        <v>6</v>
      </c>
      <c r="AJ126" s="15"/>
      <c r="AK126" s="59"/>
      <c r="AL126" s="59"/>
      <c r="AM126" s="59"/>
      <c r="AN126" s="59"/>
      <c r="AO126" s="59"/>
      <c r="AP126" s="59"/>
      <c r="AQ126" s="59"/>
      <c r="AR126" s="59"/>
      <c r="AS126" s="59"/>
      <c r="AT126" s="59"/>
      <c r="AU126" s="59"/>
      <c r="AV126" s="59"/>
      <c r="AW126" s="18">
        <v>28</v>
      </c>
    </row>
    <row r="127" spans="1:87" s="20" customFormat="1" ht="26.4">
      <c r="A127" s="40">
        <f t="shared" si="9"/>
        <v>121</v>
      </c>
      <c r="B127" s="59"/>
      <c r="C127" s="59"/>
      <c r="D127" s="59"/>
      <c r="E127" s="59"/>
      <c r="F127" s="59"/>
      <c r="G127" s="59"/>
      <c r="H127" s="59"/>
      <c r="I127" s="59"/>
      <c r="J127" s="218" t="s">
        <v>5182</v>
      </c>
      <c r="K127" s="232" t="s">
        <v>117</v>
      </c>
      <c r="L127" s="204" t="s">
        <v>3949</v>
      </c>
      <c r="M127" s="204"/>
      <c r="N127" s="126" t="s">
        <v>504</v>
      </c>
      <c r="O127" s="126"/>
      <c r="P127" s="126"/>
      <c r="Q127" s="40" t="s">
        <v>6</v>
      </c>
      <c r="R127" s="40" t="s">
        <v>6</v>
      </c>
      <c r="S127" s="40" t="s">
        <v>6</v>
      </c>
      <c r="T127" s="40"/>
      <c r="U127" s="204" t="s">
        <v>742</v>
      </c>
      <c r="V127" s="206"/>
      <c r="W127" s="232" t="s">
        <v>125</v>
      </c>
      <c r="X127" s="59"/>
      <c r="Y127" s="59"/>
      <c r="Z127" s="199"/>
      <c r="AA127" s="40" t="s">
        <v>6</v>
      </c>
      <c r="AB127" s="40"/>
      <c r="AC127" s="59"/>
      <c r="AD127" s="59"/>
      <c r="AE127" s="232" t="s">
        <v>125</v>
      </c>
      <c r="AF127" s="59"/>
      <c r="AG127" s="59"/>
      <c r="AH127" s="59"/>
      <c r="AI127" s="40" t="s">
        <v>6</v>
      </c>
      <c r="AJ127" s="15"/>
      <c r="AK127" s="59"/>
      <c r="AL127" s="59"/>
      <c r="AM127" s="59"/>
      <c r="AN127" s="59"/>
      <c r="AO127" s="59"/>
      <c r="AP127" s="59"/>
      <c r="AQ127" s="59"/>
      <c r="AR127" s="59"/>
      <c r="AS127" s="59"/>
      <c r="AT127" s="59"/>
      <c r="AU127" s="59"/>
      <c r="AV127" s="59"/>
      <c r="AW127" s="18">
        <v>21</v>
      </c>
    </row>
    <row r="128" spans="1:87" s="12" customFormat="1" ht="66">
      <c r="A128" s="40">
        <f t="shared" si="9"/>
        <v>122</v>
      </c>
      <c r="B128" s="38"/>
      <c r="C128" s="42"/>
      <c r="D128" s="38"/>
      <c r="E128" s="46"/>
      <c r="F128" s="46"/>
      <c r="G128" s="46"/>
      <c r="H128" s="13"/>
      <c r="I128" s="40"/>
      <c r="J128" s="412" t="s">
        <v>5183</v>
      </c>
      <c r="K128" s="412" t="s">
        <v>117</v>
      </c>
      <c r="L128" s="215" t="s">
        <v>1409</v>
      </c>
      <c r="M128" s="215"/>
      <c r="N128" s="40" t="s">
        <v>504</v>
      </c>
      <c r="O128" s="40"/>
      <c r="P128" s="40"/>
      <c r="Q128" s="40"/>
      <c r="R128" s="40" t="s">
        <v>6</v>
      </c>
      <c r="S128" s="40" t="s">
        <v>6</v>
      </c>
      <c r="T128" s="40"/>
      <c r="U128" s="538"/>
      <c r="V128" s="268"/>
      <c r="W128" s="412" t="s">
        <v>133</v>
      </c>
      <c r="X128" s="413"/>
      <c r="Y128" s="413"/>
      <c r="Z128" s="416" t="s">
        <v>6</v>
      </c>
      <c r="AA128" s="416" t="s">
        <v>6</v>
      </c>
      <c r="AB128" s="202" t="s">
        <v>1961</v>
      </c>
      <c r="AC128" s="413"/>
      <c r="AD128" s="413"/>
      <c r="AE128" s="412" t="s">
        <v>133</v>
      </c>
      <c r="AF128" s="413"/>
      <c r="AG128" s="413"/>
      <c r="AH128" s="414" t="s">
        <v>6</v>
      </c>
      <c r="AI128" s="414" t="s">
        <v>6</v>
      </c>
      <c r="AJ128" s="368" t="s">
        <v>1961</v>
      </c>
      <c r="AK128" s="413"/>
      <c r="AL128" s="413"/>
      <c r="AM128" s="43"/>
      <c r="AN128" s="268"/>
      <c r="AO128" s="15"/>
      <c r="AP128" s="15"/>
      <c r="AQ128" s="15"/>
      <c r="AR128" s="15"/>
      <c r="AS128" s="15"/>
      <c r="AT128" s="15"/>
      <c r="AU128" s="15"/>
      <c r="AV128" s="13"/>
      <c r="AW128" s="18">
        <v>32</v>
      </c>
    </row>
    <row r="129" spans="1:87" s="18" customFormat="1" ht="26.4">
      <c r="A129" s="40">
        <f t="shared" si="9"/>
        <v>123</v>
      </c>
      <c r="B129" s="38"/>
      <c r="C129" s="42"/>
      <c r="D129" s="38"/>
      <c r="E129" s="46"/>
      <c r="F129" s="46"/>
      <c r="G129" s="46"/>
      <c r="H129" s="13"/>
      <c r="I129" s="40"/>
      <c r="J129" s="218" t="s">
        <v>5184</v>
      </c>
      <c r="K129" s="412" t="s">
        <v>117</v>
      </c>
      <c r="L129" s="204" t="s">
        <v>794</v>
      </c>
      <c r="M129" s="204"/>
      <c r="N129" s="40" t="s">
        <v>504</v>
      </c>
      <c r="O129" s="126"/>
      <c r="P129" s="126"/>
      <c r="Q129" s="40" t="s">
        <v>6</v>
      </c>
      <c r="R129" s="40" t="s">
        <v>6</v>
      </c>
      <c r="S129" s="40" t="s">
        <v>6</v>
      </c>
      <c r="T129" s="40"/>
      <c r="U129" s="204" t="s">
        <v>795</v>
      </c>
      <c r="V129" s="206"/>
      <c r="W129" s="412" t="s">
        <v>125</v>
      </c>
      <c r="X129" s="59"/>
      <c r="Y129" s="59"/>
      <c r="Z129" s="199"/>
      <c r="AA129" s="40" t="s">
        <v>6</v>
      </c>
      <c r="AB129" s="415"/>
      <c r="AC129" s="413"/>
      <c r="AD129" s="413"/>
      <c r="AE129" s="412" t="s">
        <v>125</v>
      </c>
      <c r="AF129" s="59"/>
      <c r="AG129" s="59"/>
      <c r="AH129" s="59"/>
      <c r="AI129" s="40" t="s">
        <v>6</v>
      </c>
      <c r="AJ129" s="413"/>
      <c r="AK129" s="413"/>
      <c r="AL129" s="413"/>
      <c r="AM129" s="43"/>
      <c r="AN129" s="19"/>
      <c r="AO129" s="15"/>
      <c r="AP129" s="15"/>
      <c r="AQ129" s="15"/>
      <c r="AR129" s="15"/>
      <c r="AS129" s="15"/>
      <c r="AT129" s="15"/>
      <c r="AU129" s="15"/>
      <c r="AV129" s="13"/>
      <c r="AW129" s="18">
        <v>20</v>
      </c>
      <c r="AX129" s="12"/>
      <c r="AY129" s="12"/>
      <c r="AZ129" s="12"/>
      <c r="BA129" s="12"/>
      <c r="BB129" s="12"/>
      <c r="BC129" s="12"/>
      <c r="BD129" s="12"/>
      <c r="BE129" s="12"/>
      <c r="BF129" s="12"/>
      <c r="BG129" s="12"/>
      <c r="BH129" s="12"/>
      <c r="BI129" s="12"/>
      <c r="BJ129" s="12"/>
      <c r="BK129" s="12"/>
      <c r="BL129" s="12"/>
      <c r="BM129" s="12"/>
      <c r="BN129" s="12"/>
      <c r="BO129" s="12"/>
      <c r="BP129" s="12"/>
      <c r="BQ129" s="12"/>
      <c r="BR129" s="12"/>
      <c r="BS129" s="12"/>
      <c r="BT129" s="12"/>
      <c r="BU129" s="12"/>
      <c r="BV129" s="12"/>
      <c r="BW129" s="12"/>
      <c r="BX129" s="12"/>
      <c r="BY129" s="12"/>
      <c r="BZ129" s="12"/>
      <c r="CA129" s="12"/>
      <c r="CB129" s="12"/>
      <c r="CC129" s="12"/>
      <c r="CD129" s="12"/>
      <c r="CE129" s="12"/>
      <c r="CF129" s="12"/>
      <c r="CG129" s="12"/>
      <c r="CH129" s="12"/>
      <c r="CI129" s="12"/>
    </row>
    <row r="130" spans="1:87" ht="15">
      <c r="A130" s="452">
        <f t="shared" ref="A130:A152" si="10">ROW() - 6</f>
        <v>124</v>
      </c>
      <c r="B130" s="62"/>
      <c r="C130" s="62"/>
      <c r="D130" s="62"/>
      <c r="E130" s="62"/>
      <c r="F130" s="62"/>
      <c r="G130" s="62"/>
      <c r="H130" s="62"/>
      <c r="I130" s="62"/>
      <c r="J130" s="465" t="s">
        <v>821</v>
      </c>
      <c r="K130" s="63"/>
      <c r="L130" s="143"/>
      <c r="M130" s="63"/>
      <c r="N130" s="139"/>
      <c r="O130" s="139"/>
      <c r="P130" s="139"/>
      <c r="Q130" s="139"/>
      <c r="R130" s="139"/>
      <c r="S130" s="139"/>
      <c r="T130" s="139"/>
      <c r="U130" s="354"/>
      <c r="V130" s="311"/>
      <c r="W130" s="63"/>
      <c r="X130" s="63"/>
      <c r="Y130" s="63"/>
      <c r="Z130" s="143"/>
      <c r="AA130" s="143"/>
      <c r="AB130" s="539"/>
      <c r="AC130" s="63"/>
      <c r="AD130" s="63"/>
      <c r="AE130" s="63"/>
      <c r="AF130" s="63"/>
      <c r="AG130" s="63"/>
      <c r="AH130" s="63"/>
      <c r="AI130" s="63"/>
      <c r="AJ130" s="312"/>
      <c r="AK130" s="63"/>
      <c r="AL130" s="63"/>
      <c r="AM130" s="63"/>
      <c r="AN130" s="63"/>
      <c r="AO130" s="63"/>
      <c r="AP130" s="63"/>
      <c r="AQ130" s="63"/>
      <c r="AR130" s="63"/>
      <c r="AS130" s="63"/>
      <c r="AT130" s="63"/>
      <c r="AU130" s="63"/>
      <c r="AV130" s="63"/>
      <c r="AW130" s="18">
        <f t="shared" si="8"/>
        <v>0</v>
      </c>
    </row>
    <row r="131" spans="1:87" s="20" customFormat="1" ht="15">
      <c r="A131" s="40">
        <f t="shared" si="10"/>
        <v>125</v>
      </c>
      <c r="B131" s="59"/>
      <c r="C131" s="59"/>
      <c r="D131" s="59"/>
      <c r="E131" s="59"/>
      <c r="F131" s="59"/>
      <c r="G131" s="59"/>
      <c r="H131" s="59"/>
      <c r="I131" s="59"/>
      <c r="J131" s="215" t="s">
        <v>2086</v>
      </c>
      <c r="K131" s="204" t="s">
        <v>163</v>
      </c>
      <c r="L131" s="204" t="s">
        <v>2087</v>
      </c>
      <c r="M131" s="204"/>
      <c r="N131" s="40" t="s">
        <v>829</v>
      </c>
      <c r="O131" s="40"/>
      <c r="P131" s="40"/>
      <c r="Q131" s="40"/>
      <c r="R131" s="40"/>
      <c r="S131" s="40"/>
      <c r="T131" s="126" t="s">
        <v>6</v>
      </c>
      <c r="U131" s="204"/>
      <c r="V131" s="204"/>
      <c r="W131" s="204" t="s">
        <v>163</v>
      </c>
      <c r="X131" s="13"/>
      <c r="Y131" s="13" t="s">
        <v>829</v>
      </c>
      <c r="Z131" s="199"/>
      <c r="AA131" s="199"/>
      <c r="AB131" s="40"/>
      <c r="AC131" s="59"/>
      <c r="AD131" s="59"/>
      <c r="AE131" s="204" t="s">
        <v>163</v>
      </c>
      <c r="AF131" s="13"/>
      <c r="AG131" s="13" t="s">
        <v>829</v>
      </c>
      <c r="AH131" s="59"/>
      <c r="AI131" s="59"/>
      <c r="AJ131" s="15"/>
      <c r="AK131" s="59"/>
      <c r="AL131" s="59"/>
      <c r="AM131" s="59" t="s">
        <v>2088</v>
      </c>
      <c r="AN131" s="59"/>
      <c r="AO131" s="59"/>
      <c r="AP131" s="59"/>
      <c r="AQ131" s="59"/>
      <c r="AR131" s="59"/>
      <c r="AS131" s="59"/>
      <c r="AT131" s="59"/>
      <c r="AU131" s="59"/>
      <c r="AV131" s="59"/>
      <c r="AW131" s="18">
        <f t="shared" si="8"/>
        <v>16</v>
      </c>
    </row>
    <row r="132" spans="1:87" s="20" customFormat="1" ht="15">
      <c r="A132" s="40">
        <f t="shared" si="10"/>
        <v>126</v>
      </c>
      <c r="B132" s="59"/>
      <c r="C132" s="59"/>
      <c r="D132" s="59"/>
      <c r="E132" s="59"/>
      <c r="F132" s="59"/>
      <c r="G132" s="59"/>
      <c r="H132" s="59"/>
      <c r="I132" s="59"/>
      <c r="J132" s="412" t="s">
        <v>2089</v>
      </c>
      <c r="K132" s="204" t="s">
        <v>163</v>
      </c>
      <c r="L132" s="412" t="s">
        <v>2090</v>
      </c>
      <c r="M132" s="412"/>
      <c r="N132" s="126" t="s">
        <v>1502</v>
      </c>
      <c r="O132" s="40"/>
      <c r="P132" s="40"/>
      <c r="Q132" s="40"/>
      <c r="R132" s="40"/>
      <c r="S132" s="40"/>
      <c r="T132" s="213" t="s">
        <v>6</v>
      </c>
      <c r="U132" s="204"/>
      <c r="V132" s="204"/>
      <c r="W132" s="204" t="s">
        <v>163</v>
      </c>
      <c r="X132" s="13"/>
      <c r="Y132" s="61" t="s">
        <v>1502</v>
      </c>
      <c r="Z132" s="199"/>
      <c r="AA132" s="199"/>
      <c r="AB132" s="40"/>
      <c r="AC132" s="59"/>
      <c r="AD132" s="59"/>
      <c r="AE132" s="204" t="s">
        <v>163</v>
      </c>
      <c r="AF132" s="13"/>
      <c r="AG132" s="13" t="s">
        <v>829</v>
      </c>
      <c r="AH132" s="59"/>
      <c r="AI132" s="59"/>
      <c r="AJ132" s="15"/>
      <c r="AK132" s="59"/>
      <c r="AL132" s="59"/>
      <c r="AM132" s="59" t="s">
        <v>2088</v>
      </c>
      <c r="AN132" s="59"/>
      <c r="AO132" s="59"/>
      <c r="AP132" s="59"/>
      <c r="AQ132" s="59"/>
      <c r="AR132" s="59"/>
      <c r="AS132" s="59"/>
      <c r="AT132" s="59"/>
      <c r="AU132" s="59"/>
      <c r="AV132" s="59"/>
      <c r="AW132" s="18">
        <f t="shared" si="8"/>
        <v>29</v>
      </c>
    </row>
    <row r="133" spans="1:87" s="20" customFormat="1" ht="15">
      <c r="A133" s="40">
        <f t="shared" si="10"/>
        <v>127</v>
      </c>
      <c r="B133" s="59"/>
      <c r="C133" s="59"/>
      <c r="D133" s="59"/>
      <c r="E133" s="59"/>
      <c r="F133" s="59"/>
      <c r="G133" s="59"/>
      <c r="H133" s="59"/>
      <c r="I133" s="59"/>
      <c r="J133" s="412" t="s">
        <v>2091</v>
      </c>
      <c r="K133" s="204" t="s">
        <v>163</v>
      </c>
      <c r="L133" s="412" t="s">
        <v>2092</v>
      </c>
      <c r="M133" s="412"/>
      <c r="N133" s="40" t="s">
        <v>829</v>
      </c>
      <c r="O133" s="40"/>
      <c r="P133" s="40"/>
      <c r="Q133" s="40"/>
      <c r="R133" s="40"/>
      <c r="S133" s="40"/>
      <c r="T133" s="213" t="s">
        <v>6</v>
      </c>
      <c r="U133" s="204"/>
      <c r="V133" s="204"/>
      <c r="W133" s="204" t="s">
        <v>163</v>
      </c>
      <c r="X133" s="13"/>
      <c r="Y133" s="13" t="s">
        <v>829</v>
      </c>
      <c r="Z133" s="199"/>
      <c r="AA133" s="199"/>
      <c r="AB133" s="40"/>
      <c r="AC133" s="59"/>
      <c r="AD133" s="59"/>
      <c r="AE133" s="204" t="s">
        <v>163</v>
      </c>
      <c r="AF133" s="13"/>
      <c r="AG133" s="13" t="s">
        <v>829</v>
      </c>
      <c r="AH133" s="59"/>
      <c r="AI133" s="59"/>
      <c r="AJ133" s="15"/>
      <c r="AK133" s="59"/>
      <c r="AL133" s="59"/>
      <c r="AM133" s="59" t="s">
        <v>2088</v>
      </c>
      <c r="AN133" s="59"/>
      <c r="AO133" s="59"/>
      <c r="AP133" s="59"/>
      <c r="AQ133" s="59"/>
      <c r="AR133" s="59"/>
      <c r="AS133" s="59"/>
      <c r="AT133" s="59"/>
      <c r="AU133" s="59"/>
      <c r="AV133" s="59"/>
      <c r="AW133" s="18">
        <f t="shared" ref="AW133:AW139" si="11">LEN(L133)</f>
        <v>27</v>
      </c>
    </row>
    <row r="134" spans="1:87" s="20" customFormat="1" ht="15">
      <c r="A134" s="40">
        <f t="shared" si="10"/>
        <v>128</v>
      </c>
      <c r="B134" s="59"/>
      <c r="C134" s="59"/>
      <c r="D134" s="59"/>
      <c r="E134" s="59"/>
      <c r="F134" s="59"/>
      <c r="G134" s="59"/>
      <c r="H134" s="59"/>
      <c r="I134" s="59"/>
      <c r="J134" s="412" t="s">
        <v>2093</v>
      </c>
      <c r="K134" s="204" t="s">
        <v>163</v>
      </c>
      <c r="L134" s="412" t="s">
        <v>2094</v>
      </c>
      <c r="M134" s="412"/>
      <c r="N134" s="126" t="s">
        <v>2095</v>
      </c>
      <c r="O134" s="40"/>
      <c r="P134" s="40"/>
      <c r="Q134" s="40"/>
      <c r="R134" s="40"/>
      <c r="S134" s="40"/>
      <c r="T134" s="213" t="s">
        <v>6</v>
      </c>
      <c r="U134" s="204"/>
      <c r="V134" s="204"/>
      <c r="W134" s="204" t="s">
        <v>163</v>
      </c>
      <c r="X134" s="13"/>
      <c r="Y134" s="61" t="s">
        <v>846</v>
      </c>
      <c r="Z134" s="199"/>
      <c r="AA134" s="199"/>
      <c r="AB134" s="40"/>
      <c r="AC134" s="59"/>
      <c r="AD134" s="59"/>
      <c r="AE134" s="204" t="s">
        <v>163</v>
      </c>
      <c r="AF134" s="13"/>
      <c r="AG134" s="13" t="s">
        <v>829</v>
      </c>
      <c r="AH134" s="59"/>
      <c r="AI134" s="59"/>
      <c r="AJ134" s="15"/>
      <c r="AK134" s="59"/>
      <c r="AL134" s="59"/>
      <c r="AM134" s="59" t="s">
        <v>2088</v>
      </c>
      <c r="AN134" s="59"/>
      <c r="AO134" s="59"/>
      <c r="AP134" s="59"/>
      <c r="AQ134" s="59"/>
      <c r="AR134" s="59"/>
      <c r="AS134" s="59"/>
      <c r="AT134" s="59"/>
      <c r="AU134" s="59"/>
      <c r="AV134" s="59"/>
      <c r="AW134" s="18">
        <f t="shared" si="11"/>
        <v>40</v>
      </c>
    </row>
    <row r="135" spans="1:87" s="20" customFormat="1" ht="15">
      <c r="A135" s="40">
        <f t="shared" si="10"/>
        <v>129</v>
      </c>
      <c r="B135" s="59"/>
      <c r="C135" s="59"/>
      <c r="D135" s="59"/>
      <c r="E135" s="59"/>
      <c r="F135" s="59"/>
      <c r="G135" s="59"/>
      <c r="H135" s="59"/>
      <c r="I135" s="59"/>
      <c r="J135" s="412" t="s">
        <v>2096</v>
      </c>
      <c r="K135" s="204" t="s">
        <v>163</v>
      </c>
      <c r="L135" s="412" t="s">
        <v>2097</v>
      </c>
      <c r="M135" s="412"/>
      <c r="N135" s="126" t="s">
        <v>2098</v>
      </c>
      <c r="O135" s="40"/>
      <c r="P135" s="40"/>
      <c r="Q135" s="40"/>
      <c r="R135" s="40"/>
      <c r="S135" s="40"/>
      <c r="T135" s="213" t="s">
        <v>6</v>
      </c>
      <c r="U135" s="204"/>
      <c r="V135" s="204"/>
      <c r="W135" s="204" t="s">
        <v>163</v>
      </c>
      <c r="X135" s="13"/>
      <c r="Y135" s="61" t="s">
        <v>2098</v>
      </c>
      <c r="Z135" s="199"/>
      <c r="AA135" s="199"/>
      <c r="AB135" s="40"/>
      <c r="AC135" s="59"/>
      <c r="AD135" s="59"/>
      <c r="AE135" s="204" t="s">
        <v>163</v>
      </c>
      <c r="AF135" s="13"/>
      <c r="AG135" s="13" t="s">
        <v>829</v>
      </c>
      <c r="AH135" s="59"/>
      <c r="AI135" s="59"/>
      <c r="AJ135" s="15"/>
      <c r="AK135" s="59"/>
      <c r="AL135" s="59"/>
      <c r="AM135" s="59" t="s">
        <v>2088</v>
      </c>
      <c r="AN135" s="59"/>
      <c r="AO135" s="59"/>
      <c r="AP135" s="59"/>
      <c r="AQ135" s="59"/>
      <c r="AR135" s="59"/>
      <c r="AS135" s="59"/>
      <c r="AT135" s="59"/>
      <c r="AU135" s="59"/>
      <c r="AV135" s="59"/>
      <c r="AW135" s="18">
        <f t="shared" si="11"/>
        <v>22</v>
      </c>
    </row>
    <row r="136" spans="1:87" s="20" customFormat="1" ht="15">
      <c r="A136" s="40">
        <f t="shared" si="10"/>
        <v>130</v>
      </c>
      <c r="B136" s="59"/>
      <c r="C136" s="59"/>
      <c r="D136" s="59"/>
      <c r="E136" s="59"/>
      <c r="F136" s="59"/>
      <c r="G136" s="59"/>
      <c r="H136" s="59"/>
      <c r="I136" s="59"/>
      <c r="J136" s="412" t="s">
        <v>2099</v>
      </c>
      <c r="K136" s="204" t="s">
        <v>163</v>
      </c>
      <c r="L136" s="412" t="s">
        <v>2100</v>
      </c>
      <c r="M136" s="412"/>
      <c r="N136" s="126" t="s">
        <v>2101</v>
      </c>
      <c r="O136" s="40"/>
      <c r="P136" s="40"/>
      <c r="Q136" s="40"/>
      <c r="R136" s="40"/>
      <c r="S136" s="40"/>
      <c r="T136" s="213" t="s">
        <v>6</v>
      </c>
      <c r="U136" s="204"/>
      <c r="V136" s="204"/>
      <c r="W136" s="204" t="s">
        <v>163</v>
      </c>
      <c r="X136" s="13"/>
      <c r="Y136" s="61" t="s">
        <v>2102</v>
      </c>
      <c r="Z136" s="199"/>
      <c r="AA136" s="199"/>
      <c r="AB136" s="40"/>
      <c r="AC136" s="59"/>
      <c r="AD136" s="59"/>
      <c r="AE136" s="204" t="s">
        <v>163</v>
      </c>
      <c r="AF136" s="13"/>
      <c r="AG136" s="13" t="s">
        <v>829</v>
      </c>
      <c r="AH136" s="59"/>
      <c r="AI136" s="59"/>
      <c r="AJ136" s="15"/>
      <c r="AK136" s="59"/>
      <c r="AL136" s="59"/>
      <c r="AM136" s="59" t="s">
        <v>2088</v>
      </c>
      <c r="AN136" s="59"/>
      <c r="AO136" s="59"/>
      <c r="AP136" s="59"/>
      <c r="AQ136" s="59"/>
      <c r="AR136" s="59"/>
      <c r="AS136" s="59"/>
      <c r="AT136" s="59"/>
      <c r="AU136" s="59"/>
      <c r="AV136" s="59"/>
      <c r="AW136" s="18">
        <f>LEN(L136)</f>
        <v>22</v>
      </c>
    </row>
    <row r="137" spans="1:87" s="20" customFormat="1" ht="15">
      <c r="A137" s="40">
        <f t="shared" si="10"/>
        <v>131</v>
      </c>
      <c r="B137" s="59"/>
      <c r="C137" s="59"/>
      <c r="D137" s="59"/>
      <c r="E137" s="59"/>
      <c r="F137" s="59"/>
      <c r="G137" s="59"/>
      <c r="H137" s="59"/>
      <c r="I137" s="59"/>
      <c r="J137" s="412" t="s">
        <v>2103</v>
      </c>
      <c r="K137" s="204" t="s">
        <v>163</v>
      </c>
      <c r="L137" s="412" t="s">
        <v>2104</v>
      </c>
      <c r="M137" s="412"/>
      <c r="N137" s="126" t="s">
        <v>1502</v>
      </c>
      <c r="O137" s="40"/>
      <c r="P137" s="40"/>
      <c r="Q137" s="40"/>
      <c r="R137" s="40"/>
      <c r="S137" s="40"/>
      <c r="T137" s="213" t="s">
        <v>6</v>
      </c>
      <c r="U137" s="204"/>
      <c r="V137" s="204"/>
      <c r="W137" s="204" t="s">
        <v>163</v>
      </c>
      <c r="X137" s="13"/>
      <c r="Y137" s="61" t="s">
        <v>1502</v>
      </c>
      <c r="Z137" s="199"/>
      <c r="AA137" s="199"/>
      <c r="AB137" s="40"/>
      <c r="AC137" s="59"/>
      <c r="AD137" s="59"/>
      <c r="AE137" s="204" t="s">
        <v>163</v>
      </c>
      <c r="AF137" s="13"/>
      <c r="AG137" s="13" t="s">
        <v>829</v>
      </c>
      <c r="AH137" s="59"/>
      <c r="AI137" s="59"/>
      <c r="AJ137" s="15"/>
      <c r="AK137" s="59"/>
      <c r="AL137" s="59"/>
      <c r="AM137" s="59" t="s">
        <v>2088</v>
      </c>
      <c r="AN137" s="59"/>
      <c r="AO137" s="59"/>
      <c r="AP137" s="59"/>
      <c r="AQ137" s="59"/>
      <c r="AR137" s="59"/>
      <c r="AS137" s="59"/>
      <c r="AT137" s="59"/>
      <c r="AU137" s="59"/>
      <c r="AV137" s="59"/>
      <c r="AW137" s="18">
        <f>LEN(L137)</f>
        <v>25</v>
      </c>
    </row>
    <row r="138" spans="1:87" s="20" customFormat="1" ht="15">
      <c r="A138" s="40">
        <f t="shared" si="10"/>
        <v>132</v>
      </c>
      <c r="B138" s="59"/>
      <c r="C138" s="59"/>
      <c r="D138" s="59"/>
      <c r="E138" s="59"/>
      <c r="F138" s="59"/>
      <c r="G138" s="59"/>
      <c r="H138" s="59"/>
      <c r="I138" s="59"/>
      <c r="J138" s="412" t="s">
        <v>2105</v>
      </c>
      <c r="K138" s="204" t="s">
        <v>163</v>
      </c>
      <c r="L138" s="412" t="s">
        <v>2106</v>
      </c>
      <c r="M138" s="412"/>
      <c r="N138" s="126" t="s">
        <v>2095</v>
      </c>
      <c r="O138" s="40"/>
      <c r="P138" s="40"/>
      <c r="Q138" s="40"/>
      <c r="R138" s="40"/>
      <c r="S138" s="40"/>
      <c r="T138" s="213" t="s">
        <v>6</v>
      </c>
      <c r="U138" s="204"/>
      <c r="V138" s="204"/>
      <c r="W138" s="204" t="s">
        <v>163</v>
      </c>
      <c r="X138" s="13"/>
      <c r="Y138" s="61" t="s">
        <v>846</v>
      </c>
      <c r="Z138" s="199"/>
      <c r="AA138" s="199"/>
      <c r="AB138" s="40"/>
      <c r="AC138" s="59"/>
      <c r="AD138" s="59"/>
      <c r="AE138" s="204" t="s">
        <v>163</v>
      </c>
      <c r="AF138" s="13"/>
      <c r="AG138" s="13" t="s">
        <v>829</v>
      </c>
      <c r="AH138" s="59"/>
      <c r="AI138" s="59"/>
      <c r="AJ138" s="15"/>
      <c r="AK138" s="59"/>
      <c r="AL138" s="59"/>
      <c r="AM138" s="59" t="s">
        <v>2088</v>
      </c>
      <c r="AN138" s="59"/>
      <c r="AO138" s="59"/>
      <c r="AP138" s="59"/>
      <c r="AQ138" s="59"/>
      <c r="AR138" s="59"/>
      <c r="AS138" s="59"/>
      <c r="AT138" s="59"/>
      <c r="AU138" s="59"/>
      <c r="AV138" s="59"/>
      <c r="AW138" s="18">
        <f>LEN(L138)</f>
        <v>38</v>
      </c>
    </row>
    <row r="139" spans="1:87" s="20" customFormat="1" ht="15">
      <c r="A139" s="40">
        <f t="shared" si="10"/>
        <v>133</v>
      </c>
      <c r="B139" s="59"/>
      <c r="C139" s="59"/>
      <c r="D139" s="59"/>
      <c r="E139" s="59"/>
      <c r="F139" s="59"/>
      <c r="G139" s="59"/>
      <c r="H139" s="59"/>
      <c r="I139" s="59"/>
      <c r="J139" s="412" t="s">
        <v>2107</v>
      </c>
      <c r="K139" s="204" t="s">
        <v>163</v>
      </c>
      <c r="L139" s="412" t="s">
        <v>2108</v>
      </c>
      <c r="M139" s="412"/>
      <c r="N139" s="126" t="s">
        <v>1502</v>
      </c>
      <c r="O139" s="40"/>
      <c r="P139" s="40"/>
      <c r="Q139" s="40"/>
      <c r="R139" s="40"/>
      <c r="S139" s="40"/>
      <c r="T139" s="213" t="s">
        <v>6</v>
      </c>
      <c r="U139" s="204"/>
      <c r="V139" s="204"/>
      <c r="W139" s="204" t="s">
        <v>163</v>
      </c>
      <c r="X139" s="13"/>
      <c r="Y139" s="61" t="s">
        <v>2109</v>
      </c>
      <c r="Z139" s="199"/>
      <c r="AA139" s="199"/>
      <c r="AB139" s="40"/>
      <c r="AC139" s="59"/>
      <c r="AD139" s="59"/>
      <c r="AE139" s="204" t="s">
        <v>163</v>
      </c>
      <c r="AF139" s="13"/>
      <c r="AG139" s="13" t="s">
        <v>829</v>
      </c>
      <c r="AH139" s="59"/>
      <c r="AI139" s="59"/>
      <c r="AJ139" s="15"/>
      <c r="AK139" s="59"/>
      <c r="AL139" s="59"/>
      <c r="AM139" s="59" t="s">
        <v>2088</v>
      </c>
      <c r="AN139" s="59"/>
      <c r="AO139" s="59"/>
      <c r="AP139" s="59"/>
      <c r="AQ139" s="59"/>
      <c r="AR139" s="59"/>
      <c r="AS139" s="59"/>
      <c r="AT139" s="59"/>
      <c r="AU139" s="59"/>
      <c r="AV139" s="59"/>
      <c r="AW139" s="18">
        <f t="shared" si="11"/>
        <v>15</v>
      </c>
    </row>
    <row r="140" spans="1:87" s="20" customFormat="1" ht="15">
      <c r="A140" s="40">
        <f t="shared" si="10"/>
        <v>134</v>
      </c>
      <c r="B140" s="59"/>
      <c r="C140" s="59"/>
      <c r="D140" s="59"/>
      <c r="E140" s="59"/>
      <c r="F140" s="59"/>
      <c r="G140" s="59"/>
      <c r="H140" s="59"/>
      <c r="I140" s="59"/>
      <c r="J140" s="412" t="s">
        <v>2110</v>
      </c>
      <c r="K140" s="204" t="s">
        <v>163</v>
      </c>
      <c r="L140" s="412" t="s">
        <v>2111</v>
      </c>
      <c r="M140" s="412"/>
      <c r="N140" s="126" t="s">
        <v>2095</v>
      </c>
      <c r="O140" s="40"/>
      <c r="P140" s="40"/>
      <c r="Q140" s="40"/>
      <c r="R140" s="40"/>
      <c r="S140" s="40"/>
      <c r="T140" s="213" t="s">
        <v>6</v>
      </c>
      <c r="U140" s="204"/>
      <c r="V140" s="204"/>
      <c r="W140" s="204" t="s">
        <v>163</v>
      </c>
      <c r="X140" s="13"/>
      <c r="Y140" s="61" t="s">
        <v>846</v>
      </c>
      <c r="Z140" s="199"/>
      <c r="AA140" s="199"/>
      <c r="AB140" s="40"/>
      <c r="AC140" s="59"/>
      <c r="AD140" s="59"/>
      <c r="AE140" s="204" t="s">
        <v>163</v>
      </c>
      <c r="AF140" s="13"/>
      <c r="AG140" s="13" t="s">
        <v>829</v>
      </c>
      <c r="AH140" s="59"/>
      <c r="AI140" s="59"/>
      <c r="AJ140" s="15"/>
      <c r="AK140" s="59"/>
      <c r="AL140" s="59"/>
      <c r="AM140" s="59" t="s">
        <v>2088</v>
      </c>
      <c r="AN140" s="59"/>
      <c r="AO140" s="59"/>
      <c r="AP140" s="59"/>
      <c r="AQ140" s="59"/>
      <c r="AR140" s="59"/>
      <c r="AS140" s="59"/>
      <c r="AT140" s="59"/>
      <c r="AU140" s="59"/>
      <c r="AV140" s="59"/>
      <c r="AW140" s="18">
        <f t="shared" ref="AW140:AW144" si="12">LEN(L140)</f>
        <v>29</v>
      </c>
    </row>
    <row r="141" spans="1:87" ht="15">
      <c r="A141" s="452">
        <f t="shared" si="10"/>
        <v>135</v>
      </c>
      <c r="B141" s="62"/>
      <c r="C141" s="62"/>
      <c r="D141" s="62"/>
      <c r="E141" s="62"/>
      <c r="F141" s="62"/>
      <c r="G141" s="62"/>
      <c r="H141" s="62"/>
      <c r="I141" s="62"/>
      <c r="J141" s="483" t="s">
        <v>858</v>
      </c>
      <c r="K141" s="63"/>
      <c r="L141" s="143"/>
      <c r="M141" s="63"/>
      <c r="N141" s="139"/>
      <c r="O141" s="139"/>
      <c r="P141" s="139"/>
      <c r="Q141" s="139"/>
      <c r="R141" s="139"/>
      <c r="S141" s="139"/>
      <c r="T141" s="139"/>
      <c r="U141" s="354"/>
      <c r="V141" s="311"/>
      <c r="W141" s="63"/>
      <c r="X141" s="63"/>
      <c r="Y141" s="63"/>
      <c r="Z141" s="143"/>
      <c r="AA141" s="143"/>
      <c r="AB141" s="539"/>
      <c r="AC141" s="63"/>
      <c r="AD141" s="63"/>
      <c r="AE141" s="63"/>
      <c r="AF141" s="63"/>
      <c r="AG141" s="63"/>
      <c r="AH141" s="63"/>
      <c r="AI141" s="63"/>
      <c r="AJ141" s="312"/>
      <c r="AK141" s="63"/>
      <c r="AL141" s="63"/>
      <c r="AM141" s="63"/>
      <c r="AN141" s="63"/>
      <c r="AO141" s="63"/>
      <c r="AP141" s="63"/>
      <c r="AQ141" s="63"/>
      <c r="AR141" s="63"/>
      <c r="AS141" s="63"/>
      <c r="AT141" s="63"/>
      <c r="AU141" s="63"/>
      <c r="AV141" s="63"/>
      <c r="AW141" s="18">
        <f t="shared" si="12"/>
        <v>0</v>
      </c>
    </row>
    <row r="142" spans="1:87" s="12" customFormat="1" ht="15">
      <c r="A142" s="40">
        <f t="shared" si="10"/>
        <v>136</v>
      </c>
      <c r="B142" s="19"/>
      <c r="C142" s="41"/>
      <c r="D142" s="19"/>
      <c r="E142" s="19"/>
      <c r="F142" s="19"/>
      <c r="G142" s="19"/>
      <c r="H142" s="13"/>
      <c r="I142" s="13"/>
      <c r="J142" s="215" t="s">
        <v>1978</v>
      </c>
      <c r="K142" s="19"/>
      <c r="L142" s="412" t="s">
        <v>1979</v>
      </c>
      <c r="M142" s="476"/>
      <c r="N142" s="223" t="s">
        <v>256</v>
      </c>
      <c r="O142" s="126" t="s">
        <v>862</v>
      </c>
      <c r="P142" s="40"/>
      <c r="Q142" s="40" t="s">
        <v>6</v>
      </c>
      <c r="R142" s="40"/>
      <c r="S142" s="40"/>
      <c r="T142" s="126" t="s">
        <v>6</v>
      </c>
      <c r="U142" s="40"/>
      <c r="V142" s="13"/>
      <c r="W142" s="19"/>
      <c r="X142" s="13" t="s">
        <v>861</v>
      </c>
      <c r="Y142" s="13"/>
      <c r="Z142" s="40"/>
      <c r="AA142" s="416"/>
      <c r="AB142" s="415"/>
      <c r="AC142" s="403"/>
      <c r="AD142" s="403"/>
      <c r="AE142" s="19"/>
      <c r="AF142" s="13" t="s">
        <v>861</v>
      </c>
      <c r="AG142" s="13"/>
      <c r="AH142" s="13"/>
      <c r="AI142" s="402"/>
      <c r="AJ142" s="400"/>
      <c r="AK142" s="403"/>
      <c r="AL142" s="403"/>
      <c r="AN142" s="19"/>
      <c r="AO142" s="15"/>
      <c r="AP142" s="15"/>
      <c r="AQ142" s="15"/>
      <c r="AR142" s="15"/>
      <c r="AS142" s="15"/>
      <c r="AT142" s="15"/>
      <c r="AU142" s="15"/>
      <c r="AV142" s="15"/>
      <c r="AW142" s="18">
        <f t="shared" si="12"/>
        <v>31</v>
      </c>
      <c r="AX142" s="16"/>
      <c r="AY142" s="17"/>
    </row>
    <row r="143" spans="1:87" s="12" customFormat="1" ht="15">
      <c r="A143" s="40">
        <f t="shared" si="10"/>
        <v>137</v>
      </c>
      <c r="B143" s="19"/>
      <c r="C143" s="41"/>
      <c r="D143" s="19"/>
      <c r="E143" s="19"/>
      <c r="F143" s="19"/>
      <c r="G143" s="19"/>
      <c r="H143" s="13"/>
      <c r="I143" s="13"/>
      <c r="J143" s="215" t="s">
        <v>1980</v>
      </c>
      <c r="K143" s="19"/>
      <c r="L143" s="412" t="s">
        <v>1981</v>
      </c>
      <c r="M143" s="476"/>
      <c r="N143" s="223" t="s">
        <v>256</v>
      </c>
      <c r="O143" s="126" t="s">
        <v>862</v>
      </c>
      <c r="P143" s="40"/>
      <c r="Q143" s="40" t="s">
        <v>6</v>
      </c>
      <c r="R143" s="40"/>
      <c r="S143" s="40"/>
      <c r="T143" s="126" t="s">
        <v>6</v>
      </c>
      <c r="U143" s="40"/>
      <c r="V143" s="13"/>
      <c r="W143" s="19"/>
      <c r="X143" s="13" t="s">
        <v>861</v>
      </c>
      <c r="Y143" s="13"/>
      <c r="Z143" s="40"/>
      <c r="AA143" s="416"/>
      <c r="AB143" s="415"/>
      <c r="AC143" s="403"/>
      <c r="AD143" s="403"/>
      <c r="AE143" s="19"/>
      <c r="AF143" s="13" t="s">
        <v>861</v>
      </c>
      <c r="AG143" s="13"/>
      <c r="AH143" s="13"/>
      <c r="AI143" s="402"/>
      <c r="AJ143" s="400"/>
      <c r="AK143" s="403"/>
      <c r="AL143" s="403"/>
      <c r="AN143" s="19"/>
      <c r="AO143" s="15"/>
      <c r="AP143" s="15"/>
      <c r="AQ143" s="15"/>
      <c r="AR143" s="15"/>
      <c r="AS143" s="15"/>
      <c r="AT143" s="15"/>
      <c r="AU143" s="15"/>
      <c r="AV143" s="15"/>
      <c r="AW143" s="18">
        <f t="shared" si="12"/>
        <v>32</v>
      </c>
      <c r="AX143" s="16"/>
      <c r="AY143" s="17"/>
    </row>
    <row r="144" spans="1:87" s="12" customFormat="1" ht="15">
      <c r="A144" s="40">
        <f t="shared" si="10"/>
        <v>138</v>
      </c>
      <c r="B144" s="19"/>
      <c r="C144" s="41"/>
      <c r="D144" s="19"/>
      <c r="E144" s="19"/>
      <c r="F144" s="19"/>
      <c r="G144" s="19"/>
      <c r="H144" s="13"/>
      <c r="I144" s="13"/>
      <c r="J144" s="215" t="s">
        <v>1982</v>
      </c>
      <c r="K144" s="19"/>
      <c r="L144" s="412" t="s">
        <v>1983</v>
      </c>
      <c r="M144" s="476"/>
      <c r="N144" s="223" t="s">
        <v>256</v>
      </c>
      <c r="O144" s="126" t="s">
        <v>862</v>
      </c>
      <c r="P144" s="40"/>
      <c r="Q144" s="40" t="s">
        <v>6</v>
      </c>
      <c r="R144" s="40"/>
      <c r="S144" s="40"/>
      <c r="T144" s="126" t="s">
        <v>6</v>
      </c>
      <c r="U144" s="40"/>
      <c r="V144" s="13"/>
      <c r="W144" s="19"/>
      <c r="X144" s="13" t="s">
        <v>861</v>
      </c>
      <c r="Y144" s="13"/>
      <c r="Z144" s="40"/>
      <c r="AA144" s="416"/>
      <c r="AB144" s="415"/>
      <c r="AC144" s="403"/>
      <c r="AD144" s="403"/>
      <c r="AE144" s="19"/>
      <c r="AF144" s="13" t="s">
        <v>861</v>
      </c>
      <c r="AG144" s="13"/>
      <c r="AH144" s="13"/>
      <c r="AI144" s="402"/>
      <c r="AJ144" s="400"/>
      <c r="AK144" s="403"/>
      <c r="AL144" s="403"/>
      <c r="AN144" s="19"/>
      <c r="AO144" s="15"/>
      <c r="AP144" s="15"/>
      <c r="AQ144" s="15"/>
      <c r="AR144" s="15"/>
      <c r="AS144" s="15"/>
      <c r="AT144" s="15"/>
      <c r="AU144" s="15"/>
      <c r="AV144" s="15"/>
      <c r="AW144" s="18">
        <f t="shared" si="12"/>
        <v>42</v>
      </c>
      <c r="AX144" s="16"/>
      <c r="AY144" s="17"/>
    </row>
    <row r="145" spans="1:51" s="12" customFormat="1" ht="15">
      <c r="A145" s="40">
        <f t="shared" si="10"/>
        <v>139</v>
      </c>
      <c r="B145" s="19"/>
      <c r="C145" s="41"/>
      <c r="D145" s="19"/>
      <c r="E145" s="19"/>
      <c r="F145" s="19"/>
      <c r="G145" s="19"/>
      <c r="H145" s="13"/>
      <c r="I145" s="13"/>
      <c r="J145" s="215" t="s">
        <v>1984</v>
      </c>
      <c r="K145" s="19"/>
      <c r="L145" s="412" t="s">
        <v>1424</v>
      </c>
      <c r="M145" s="476"/>
      <c r="N145" s="223" t="s">
        <v>256</v>
      </c>
      <c r="O145" s="126" t="s">
        <v>862</v>
      </c>
      <c r="P145" s="40"/>
      <c r="Q145" s="40" t="s">
        <v>6</v>
      </c>
      <c r="R145" s="40"/>
      <c r="S145" s="40"/>
      <c r="T145" s="126" t="s">
        <v>6</v>
      </c>
      <c r="U145" s="40"/>
      <c r="V145" s="13"/>
      <c r="W145" s="19"/>
      <c r="X145" s="13" t="s">
        <v>861</v>
      </c>
      <c r="Y145" s="13"/>
      <c r="Z145" s="40"/>
      <c r="AA145" s="416"/>
      <c r="AB145" s="415"/>
      <c r="AC145" s="403"/>
      <c r="AD145" s="403"/>
      <c r="AE145" s="19"/>
      <c r="AF145" s="13" t="s">
        <v>861</v>
      </c>
      <c r="AG145" s="13"/>
      <c r="AH145" s="13"/>
      <c r="AI145" s="402"/>
      <c r="AJ145" s="400"/>
      <c r="AK145" s="403"/>
      <c r="AL145" s="403"/>
      <c r="AN145" s="19"/>
      <c r="AO145" s="15"/>
      <c r="AP145" s="15"/>
      <c r="AQ145" s="15"/>
      <c r="AR145" s="15"/>
      <c r="AS145" s="15"/>
      <c r="AT145" s="15"/>
      <c r="AU145" s="15"/>
      <c r="AV145" s="15"/>
      <c r="AW145" s="18">
        <f t="shared" ref="AW145:AW155" si="13">LEN(L145)</f>
        <v>20</v>
      </c>
      <c r="AX145" s="16"/>
      <c r="AY145" s="17"/>
    </row>
    <row r="146" spans="1:51" s="12" customFormat="1" ht="15">
      <c r="A146" s="40">
        <f t="shared" si="10"/>
        <v>140</v>
      </c>
      <c r="B146" s="38"/>
      <c r="C146" s="41"/>
      <c r="D146" s="19"/>
      <c r="E146" s="19"/>
      <c r="F146" s="19"/>
      <c r="G146" s="19"/>
      <c r="H146" s="13"/>
      <c r="I146" s="13"/>
      <c r="J146" s="412" t="s">
        <v>2089</v>
      </c>
      <c r="K146" s="19"/>
      <c r="L146" s="412" t="s">
        <v>2090</v>
      </c>
      <c r="M146" s="412"/>
      <c r="N146" s="40" t="s">
        <v>266</v>
      </c>
      <c r="O146" s="224" t="s">
        <v>1565</v>
      </c>
      <c r="P146" s="40"/>
      <c r="Q146" s="40" t="s">
        <v>6</v>
      </c>
      <c r="R146" s="126"/>
      <c r="S146" s="126"/>
      <c r="T146" s="40" t="s">
        <v>6</v>
      </c>
      <c r="U146" s="202" t="s">
        <v>2113</v>
      </c>
      <c r="V146" s="371"/>
      <c r="W146" s="19"/>
      <c r="X146" s="224" t="s">
        <v>1565</v>
      </c>
      <c r="Y146" s="13"/>
      <c r="Z146" s="40"/>
      <c r="AA146" s="416"/>
      <c r="AB146" s="40"/>
      <c r="AC146" s="40"/>
      <c r="AD146" s="40"/>
      <c r="AE146" s="19"/>
      <c r="AF146" s="224" t="s">
        <v>1565</v>
      </c>
      <c r="AG146" s="13"/>
      <c r="AH146" s="13"/>
      <c r="AI146" s="402"/>
      <c r="AJ146" s="13"/>
      <c r="AK146" s="40"/>
      <c r="AL146" s="40"/>
      <c r="AM146" s="43"/>
      <c r="AN146" s="13"/>
      <c r="AO146" s="15"/>
      <c r="AP146" s="15"/>
      <c r="AQ146" s="15"/>
      <c r="AR146" s="15"/>
      <c r="AS146" s="15"/>
      <c r="AT146" s="15"/>
      <c r="AU146" s="15"/>
      <c r="AV146" s="15"/>
      <c r="AW146" s="18">
        <f t="shared" si="13"/>
        <v>29</v>
      </c>
      <c r="AX146" s="16"/>
      <c r="AY146" s="17"/>
    </row>
    <row r="147" spans="1:51" s="12" customFormat="1" ht="15">
      <c r="A147" s="40">
        <f t="shared" si="10"/>
        <v>141</v>
      </c>
      <c r="B147" s="38"/>
      <c r="C147" s="41"/>
      <c r="D147" s="19"/>
      <c r="E147" s="19"/>
      <c r="F147" s="19"/>
      <c r="G147" s="19"/>
      <c r="H147" s="13"/>
      <c r="I147" s="13"/>
      <c r="J147" s="412" t="s">
        <v>2091</v>
      </c>
      <c r="K147" s="19"/>
      <c r="L147" s="412" t="s">
        <v>2092</v>
      </c>
      <c r="M147" s="412"/>
      <c r="N147" s="40" t="s">
        <v>266</v>
      </c>
      <c r="O147" s="224" t="s">
        <v>1565</v>
      </c>
      <c r="P147" s="40"/>
      <c r="Q147" s="40" t="s">
        <v>6</v>
      </c>
      <c r="R147" s="126"/>
      <c r="S147" s="126"/>
      <c r="T147" s="40" t="s">
        <v>6</v>
      </c>
      <c r="U147" s="202" t="s">
        <v>2114</v>
      </c>
      <c r="V147" s="371"/>
      <c r="W147" s="19"/>
      <c r="X147" s="224" t="s">
        <v>1565</v>
      </c>
      <c r="Y147" s="13"/>
      <c r="Z147" s="40"/>
      <c r="AA147" s="416"/>
      <c r="AB147" s="40"/>
      <c r="AC147" s="40"/>
      <c r="AD147" s="40"/>
      <c r="AE147" s="19"/>
      <c r="AF147" s="224" t="s">
        <v>1565</v>
      </c>
      <c r="AG147" s="13"/>
      <c r="AH147" s="13"/>
      <c r="AI147" s="402"/>
      <c r="AJ147" s="13"/>
      <c r="AK147" s="40"/>
      <c r="AL147" s="40"/>
      <c r="AM147" s="43"/>
      <c r="AN147" s="13"/>
      <c r="AO147" s="15"/>
      <c r="AP147" s="15"/>
      <c r="AQ147" s="15"/>
      <c r="AR147" s="15"/>
      <c r="AS147" s="15"/>
      <c r="AT147" s="15"/>
      <c r="AU147" s="15"/>
      <c r="AV147" s="15"/>
      <c r="AW147" s="18">
        <f t="shared" si="13"/>
        <v>27</v>
      </c>
      <c r="AX147" s="16"/>
      <c r="AY147" s="17"/>
    </row>
    <row r="148" spans="1:51" s="12" customFormat="1" ht="15">
      <c r="A148" s="40">
        <f t="shared" si="10"/>
        <v>142</v>
      </c>
      <c r="B148" s="38"/>
      <c r="C148" s="41"/>
      <c r="D148" s="19"/>
      <c r="E148" s="19"/>
      <c r="F148" s="19"/>
      <c r="G148" s="19"/>
      <c r="H148" s="13"/>
      <c r="I148" s="13"/>
      <c r="J148" s="412" t="s">
        <v>2093</v>
      </c>
      <c r="K148" s="19"/>
      <c r="L148" s="412" t="s">
        <v>2094</v>
      </c>
      <c r="M148" s="412"/>
      <c r="N148" s="40" t="s">
        <v>266</v>
      </c>
      <c r="O148" s="224" t="s">
        <v>1565</v>
      </c>
      <c r="P148" s="40"/>
      <c r="Q148" s="40" t="s">
        <v>6</v>
      </c>
      <c r="R148" s="126"/>
      <c r="S148" s="126"/>
      <c r="T148" s="40" t="s">
        <v>6</v>
      </c>
      <c r="U148" s="202" t="s">
        <v>2114</v>
      </c>
      <c r="V148" s="371"/>
      <c r="W148" s="19"/>
      <c r="X148" s="224" t="s">
        <v>1565</v>
      </c>
      <c r="Y148" s="13"/>
      <c r="Z148" s="40"/>
      <c r="AA148" s="416"/>
      <c r="AB148" s="40"/>
      <c r="AC148" s="40"/>
      <c r="AD148" s="40"/>
      <c r="AE148" s="19"/>
      <c r="AF148" s="224" t="s">
        <v>1565</v>
      </c>
      <c r="AG148" s="13"/>
      <c r="AH148" s="13"/>
      <c r="AI148" s="402"/>
      <c r="AJ148" s="13"/>
      <c r="AK148" s="40"/>
      <c r="AL148" s="40"/>
      <c r="AM148" s="43"/>
      <c r="AN148" s="13"/>
      <c r="AO148" s="15"/>
      <c r="AP148" s="15"/>
      <c r="AQ148" s="15"/>
      <c r="AR148" s="15"/>
      <c r="AS148" s="15"/>
      <c r="AT148" s="15"/>
      <c r="AU148" s="15"/>
      <c r="AV148" s="15"/>
      <c r="AW148" s="18">
        <f>LEN(L148)</f>
        <v>40</v>
      </c>
      <c r="AX148" s="16"/>
      <c r="AY148" s="17"/>
    </row>
    <row r="149" spans="1:51" s="12" customFormat="1" ht="15">
      <c r="A149" s="40">
        <f t="shared" si="10"/>
        <v>143</v>
      </c>
      <c r="B149" s="19"/>
      <c r="C149" s="41"/>
      <c r="D149" s="19"/>
      <c r="E149" s="19"/>
      <c r="F149" s="19"/>
      <c r="G149" s="19"/>
      <c r="H149" s="13"/>
      <c r="I149" s="13"/>
      <c r="J149" s="215" t="s">
        <v>1985</v>
      </c>
      <c r="K149" s="19"/>
      <c r="L149" s="412" t="s">
        <v>2115</v>
      </c>
      <c r="M149" s="476"/>
      <c r="N149" s="223" t="s">
        <v>256</v>
      </c>
      <c r="O149" s="126" t="s">
        <v>862</v>
      </c>
      <c r="P149" s="40"/>
      <c r="Q149" s="40" t="s">
        <v>6</v>
      </c>
      <c r="R149" s="40"/>
      <c r="S149" s="40"/>
      <c r="T149" s="126" t="s">
        <v>6</v>
      </c>
      <c r="U149" s="40"/>
      <c r="V149" s="13"/>
      <c r="W149" s="19"/>
      <c r="X149" s="13" t="s">
        <v>861</v>
      </c>
      <c r="Y149" s="13"/>
      <c r="Z149" s="40"/>
      <c r="AA149" s="416"/>
      <c r="AB149" s="415"/>
      <c r="AC149" s="403"/>
      <c r="AD149" s="403"/>
      <c r="AE149" s="19"/>
      <c r="AF149" s="13" t="s">
        <v>861</v>
      </c>
      <c r="AG149" s="13"/>
      <c r="AH149" s="13"/>
      <c r="AI149" s="402"/>
      <c r="AJ149" s="400"/>
      <c r="AK149" s="403"/>
      <c r="AL149" s="403"/>
      <c r="AN149" s="19"/>
      <c r="AO149" s="15"/>
      <c r="AP149" s="15"/>
      <c r="AQ149" s="15"/>
      <c r="AR149" s="15"/>
      <c r="AS149" s="15"/>
      <c r="AT149" s="15"/>
      <c r="AU149" s="15"/>
      <c r="AV149" s="15"/>
      <c r="AW149" s="18">
        <f t="shared" si="13"/>
        <v>19</v>
      </c>
      <c r="AX149" s="16"/>
      <c r="AY149" s="17"/>
    </row>
    <row r="150" spans="1:51" s="12" customFormat="1" ht="15">
      <c r="A150" s="40">
        <f t="shared" si="10"/>
        <v>144</v>
      </c>
      <c r="B150" s="19"/>
      <c r="C150" s="41"/>
      <c r="D150" s="19"/>
      <c r="E150" s="19"/>
      <c r="F150" s="19"/>
      <c r="G150" s="19"/>
      <c r="H150" s="13"/>
      <c r="I150" s="13"/>
      <c r="J150" s="215" t="s">
        <v>1987</v>
      </c>
      <c r="K150" s="19"/>
      <c r="L150" s="412" t="s">
        <v>2116</v>
      </c>
      <c r="M150" s="476"/>
      <c r="N150" s="223" t="s">
        <v>256</v>
      </c>
      <c r="O150" s="126" t="s">
        <v>862</v>
      </c>
      <c r="P150" s="40"/>
      <c r="Q150" s="40" t="s">
        <v>6</v>
      </c>
      <c r="R150" s="40"/>
      <c r="S150" s="40"/>
      <c r="T150" s="126" t="s">
        <v>6</v>
      </c>
      <c r="U150" s="40"/>
      <c r="V150" s="13"/>
      <c r="W150" s="19"/>
      <c r="X150" s="13" t="s">
        <v>861</v>
      </c>
      <c r="Y150" s="13"/>
      <c r="Z150" s="40"/>
      <c r="AA150" s="416"/>
      <c r="AB150" s="415"/>
      <c r="AC150" s="403"/>
      <c r="AD150" s="403"/>
      <c r="AE150" s="19"/>
      <c r="AF150" s="13" t="s">
        <v>861</v>
      </c>
      <c r="AG150" s="13"/>
      <c r="AH150" s="13"/>
      <c r="AI150" s="402"/>
      <c r="AJ150" s="400"/>
      <c r="AK150" s="403"/>
      <c r="AL150" s="403"/>
      <c r="AN150" s="19"/>
      <c r="AO150" s="15"/>
      <c r="AP150" s="15"/>
      <c r="AQ150" s="15"/>
      <c r="AR150" s="15"/>
      <c r="AS150" s="15"/>
      <c r="AT150" s="15"/>
      <c r="AU150" s="15"/>
      <c r="AV150" s="15"/>
      <c r="AW150" s="18">
        <f>LEN(L150)</f>
        <v>18</v>
      </c>
      <c r="AX150" s="16"/>
      <c r="AY150" s="17"/>
    </row>
    <row r="151" spans="1:51" s="12" customFormat="1" ht="15">
      <c r="A151" s="40">
        <f t="shared" si="10"/>
        <v>145</v>
      </c>
      <c r="B151" s="19"/>
      <c r="C151" s="41"/>
      <c r="D151" s="19"/>
      <c r="E151" s="19"/>
      <c r="F151" s="19"/>
      <c r="G151" s="19"/>
      <c r="H151" s="13"/>
      <c r="I151" s="13"/>
      <c r="J151" s="215" t="s">
        <v>2024</v>
      </c>
      <c r="K151" s="19"/>
      <c r="L151" s="412" t="s">
        <v>2117</v>
      </c>
      <c r="M151" s="476"/>
      <c r="N151" s="223" t="s">
        <v>256</v>
      </c>
      <c r="O151" s="126" t="s">
        <v>862</v>
      </c>
      <c r="P151" s="40"/>
      <c r="Q151" s="40" t="s">
        <v>6</v>
      </c>
      <c r="R151" s="40"/>
      <c r="S151" s="40"/>
      <c r="T151" s="126" t="s">
        <v>6</v>
      </c>
      <c r="U151" s="40"/>
      <c r="V151" s="13"/>
      <c r="W151" s="19"/>
      <c r="X151" s="13" t="s">
        <v>861</v>
      </c>
      <c r="Y151" s="13"/>
      <c r="Z151" s="40"/>
      <c r="AA151" s="416"/>
      <c r="AB151" s="415"/>
      <c r="AC151" s="403"/>
      <c r="AD151" s="403"/>
      <c r="AE151" s="19"/>
      <c r="AF151" s="13" t="s">
        <v>861</v>
      </c>
      <c r="AG151" s="13"/>
      <c r="AH151" s="13"/>
      <c r="AI151" s="402"/>
      <c r="AJ151" s="400"/>
      <c r="AK151" s="403"/>
      <c r="AL151" s="403"/>
      <c r="AN151" s="19"/>
      <c r="AO151" s="15"/>
      <c r="AP151" s="15"/>
      <c r="AQ151" s="15"/>
      <c r="AR151" s="15"/>
      <c r="AS151" s="15"/>
      <c r="AT151" s="15"/>
      <c r="AU151" s="15"/>
      <c r="AV151" s="15"/>
      <c r="AW151" s="18">
        <f t="shared" si="13"/>
        <v>28</v>
      </c>
      <c r="AX151" s="16"/>
      <c r="AY151" s="17"/>
    </row>
    <row r="152" spans="1:51" s="12" customFormat="1" ht="15">
      <c r="A152" s="40">
        <f t="shared" si="10"/>
        <v>146</v>
      </c>
      <c r="B152" s="19"/>
      <c r="C152" s="41"/>
      <c r="D152" s="19"/>
      <c r="E152" s="19"/>
      <c r="F152" s="19"/>
      <c r="G152" s="19"/>
      <c r="H152" s="13"/>
      <c r="I152" s="13"/>
      <c r="J152" s="215" t="s">
        <v>2118</v>
      </c>
      <c r="K152" s="19"/>
      <c r="L152" s="412" t="s">
        <v>2119</v>
      </c>
      <c r="M152" s="476"/>
      <c r="N152" s="223" t="s">
        <v>256</v>
      </c>
      <c r="O152" s="126" t="s">
        <v>862</v>
      </c>
      <c r="P152" s="40"/>
      <c r="Q152" s="40" t="s">
        <v>6</v>
      </c>
      <c r="R152" s="40"/>
      <c r="S152" s="40"/>
      <c r="T152" s="126" t="s">
        <v>6</v>
      </c>
      <c r="U152" s="40"/>
      <c r="V152" s="13"/>
      <c r="W152" s="19"/>
      <c r="X152" s="13" t="s">
        <v>861</v>
      </c>
      <c r="Y152" s="13"/>
      <c r="Z152" s="40"/>
      <c r="AA152" s="416"/>
      <c r="AB152" s="415"/>
      <c r="AC152" s="403"/>
      <c r="AD152" s="403"/>
      <c r="AE152" s="19"/>
      <c r="AF152" s="13" t="s">
        <v>861</v>
      </c>
      <c r="AG152" s="13"/>
      <c r="AH152" s="13"/>
      <c r="AI152" s="402"/>
      <c r="AJ152" s="400"/>
      <c r="AK152" s="403"/>
      <c r="AL152" s="403"/>
      <c r="AN152" s="19"/>
      <c r="AO152" s="15"/>
      <c r="AP152" s="15"/>
      <c r="AQ152" s="15"/>
      <c r="AR152" s="15"/>
      <c r="AS152" s="15"/>
      <c r="AT152" s="15"/>
      <c r="AU152" s="15"/>
      <c r="AV152" s="15"/>
      <c r="AW152" s="18">
        <f t="shared" si="13"/>
        <v>27</v>
      </c>
      <c r="AX152" s="16"/>
      <c r="AY152" s="17"/>
    </row>
    <row r="153" spans="1:51" s="236" customFormat="1" ht="15">
      <c r="A153" s="40">
        <f>ROW() - 6</f>
        <v>147</v>
      </c>
      <c r="B153" s="199"/>
      <c r="C153" s="199"/>
      <c r="D153" s="199"/>
      <c r="E153" s="199"/>
      <c r="F153" s="199"/>
      <c r="G153" s="199"/>
      <c r="H153" s="199"/>
      <c r="I153" s="199"/>
      <c r="J153" s="215" t="s">
        <v>2120</v>
      </c>
      <c r="K153" s="204"/>
      <c r="L153" s="253" t="s">
        <v>1549</v>
      </c>
      <c r="M153" s="253"/>
      <c r="N153" s="126" t="s">
        <v>413</v>
      </c>
      <c r="O153" s="40" t="s">
        <v>862</v>
      </c>
      <c r="P153" s="40"/>
      <c r="Q153" s="40" t="s">
        <v>6</v>
      </c>
      <c r="R153" s="40"/>
      <c r="S153" s="40"/>
      <c r="T153" s="126" t="s">
        <v>6</v>
      </c>
      <c r="U153" s="204"/>
      <c r="V153" s="204"/>
      <c r="W153" s="204"/>
      <c r="X153" s="40" t="s">
        <v>862</v>
      </c>
      <c r="Y153" s="40"/>
      <c r="Z153" s="199"/>
      <c r="AA153" s="199"/>
      <c r="AB153" s="40"/>
      <c r="AC153" s="199"/>
      <c r="AD153" s="199"/>
      <c r="AE153" s="204"/>
      <c r="AF153" s="40" t="s">
        <v>862</v>
      </c>
      <c r="AG153" s="40"/>
      <c r="AH153" s="199"/>
      <c r="AI153" s="199"/>
      <c r="AJ153" s="198"/>
      <c r="AK153" s="199"/>
      <c r="AL153" s="199"/>
      <c r="AM153" s="199"/>
      <c r="AN153" s="199"/>
      <c r="AO153" s="199"/>
      <c r="AP153" s="199"/>
      <c r="AQ153" s="199"/>
      <c r="AR153" s="199"/>
      <c r="AS153" s="199"/>
      <c r="AT153" s="199"/>
      <c r="AU153" s="199"/>
      <c r="AV153" s="199"/>
      <c r="AW153" s="155">
        <f t="shared" si="13"/>
        <v>20</v>
      </c>
    </row>
    <row r="154" spans="1:51" s="12" customFormat="1" ht="15">
      <c r="A154" s="40">
        <f t="shared" ref="A154:A155" si="14">ROW() - 6</f>
        <v>148</v>
      </c>
      <c r="B154" s="19"/>
      <c r="C154" s="41"/>
      <c r="D154" s="19"/>
      <c r="E154" s="19"/>
      <c r="F154" s="19"/>
      <c r="G154" s="19"/>
      <c r="H154" s="13"/>
      <c r="I154" s="13"/>
      <c r="J154" s="215" t="s">
        <v>5185</v>
      </c>
      <c r="K154" s="19"/>
      <c r="L154" s="412" t="s">
        <v>2112</v>
      </c>
      <c r="M154" s="476"/>
      <c r="N154" s="223" t="s">
        <v>248</v>
      </c>
      <c r="O154" s="40" t="s">
        <v>861</v>
      </c>
      <c r="P154" s="40"/>
      <c r="Q154" s="40"/>
      <c r="R154" s="40"/>
      <c r="S154" s="40"/>
      <c r="T154" s="415"/>
      <c r="U154" s="40"/>
      <c r="V154" s="13"/>
      <c r="W154" s="19"/>
      <c r="X154" s="13" t="s">
        <v>861</v>
      </c>
      <c r="Y154" s="13"/>
      <c r="Z154" s="40"/>
      <c r="AA154" s="416"/>
      <c r="AB154" s="415"/>
      <c r="AC154" s="415"/>
      <c r="AD154" s="415"/>
      <c r="AE154" s="19"/>
      <c r="AF154" s="13" t="s">
        <v>861</v>
      </c>
      <c r="AG154" s="13"/>
      <c r="AH154" s="13"/>
      <c r="AI154" s="414"/>
      <c r="AJ154" s="413"/>
      <c r="AK154" s="415"/>
      <c r="AL154" s="415"/>
      <c r="AN154" s="19"/>
      <c r="AO154" s="15"/>
      <c r="AP154" s="15"/>
      <c r="AQ154" s="15"/>
      <c r="AR154" s="15"/>
      <c r="AS154" s="15"/>
      <c r="AT154" s="15"/>
      <c r="AU154" s="15"/>
      <c r="AV154" s="15"/>
      <c r="AW154" s="18">
        <f t="shared" si="13"/>
        <v>38</v>
      </c>
      <c r="AX154" s="16"/>
      <c r="AY154" s="17"/>
    </row>
    <row r="155" spans="1:51" s="12" customFormat="1" ht="15">
      <c r="A155" s="40">
        <f t="shared" si="14"/>
        <v>149</v>
      </c>
      <c r="B155" s="19"/>
      <c r="C155" s="41"/>
      <c r="D155" s="19"/>
      <c r="E155" s="19"/>
      <c r="F155" s="19"/>
      <c r="G155" s="19"/>
      <c r="H155" s="13"/>
      <c r="I155" s="13"/>
      <c r="J155" s="215" t="s">
        <v>1976</v>
      </c>
      <c r="K155" s="19"/>
      <c r="L155" s="412" t="s">
        <v>1977</v>
      </c>
      <c r="M155" s="476"/>
      <c r="N155" s="223" t="s">
        <v>459</v>
      </c>
      <c r="O155" s="126" t="s">
        <v>861</v>
      </c>
      <c r="P155" s="40"/>
      <c r="Q155" s="40"/>
      <c r="R155" s="40"/>
      <c r="S155" s="40"/>
      <c r="T155" s="126"/>
      <c r="U155" s="40"/>
      <c r="V155" s="13"/>
      <c r="W155" s="19"/>
      <c r="X155" s="13" t="s">
        <v>861</v>
      </c>
      <c r="Y155" s="13"/>
      <c r="Z155" s="40"/>
      <c r="AA155" s="416"/>
      <c r="AB155" s="415"/>
      <c r="AC155" s="415"/>
      <c r="AD155" s="415"/>
      <c r="AE155" s="19"/>
      <c r="AF155" s="13" t="s">
        <v>861</v>
      </c>
      <c r="AG155" s="13"/>
      <c r="AH155" s="13"/>
      <c r="AI155" s="414"/>
      <c r="AJ155" s="413"/>
      <c r="AK155" s="415"/>
      <c r="AL155" s="415"/>
      <c r="AN155" s="19"/>
      <c r="AO155" s="15"/>
      <c r="AP155" s="15"/>
      <c r="AQ155" s="15"/>
      <c r="AR155" s="15"/>
      <c r="AS155" s="15"/>
      <c r="AT155" s="15"/>
      <c r="AU155" s="15"/>
      <c r="AV155" s="15"/>
      <c r="AW155" s="18">
        <f t="shared" si="13"/>
        <v>41</v>
      </c>
      <c r="AX155" s="16"/>
      <c r="AY155" s="17"/>
    </row>
    <row r="156" spans="1:51" ht="15">
      <c r="J156" s="491"/>
      <c r="K156" s="54"/>
      <c r="L156" s="491"/>
      <c r="M156" s="491"/>
      <c r="N156" s="68"/>
      <c r="O156" s="68"/>
      <c r="P156" s="68"/>
      <c r="Q156" s="68"/>
      <c r="R156" s="68"/>
      <c r="S156" s="68"/>
      <c r="T156" s="68"/>
      <c r="U156" s="161"/>
      <c r="V156" s="54"/>
      <c r="W156" s="54"/>
      <c r="X156" s="54"/>
      <c r="Y156" s="54"/>
      <c r="Z156" s="161"/>
      <c r="AA156" s="67"/>
      <c r="AB156" s="67"/>
      <c r="AC156" s="55"/>
      <c r="AD156" s="55"/>
      <c r="AE156" s="54"/>
      <c r="AF156" s="54"/>
      <c r="AG156" s="54"/>
      <c r="AH156" s="54"/>
      <c r="AI156" s="55"/>
      <c r="AJ156" s="54"/>
      <c r="AW156" s="18">
        <f t="shared" ref="AW156:AW159" si="15">LEN(L156)</f>
        <v>0</v>
      </c>
    </row>
    <row r="157" spans="1:51" ht="15">
      <c r="J157" s="491"/>
      <c r="K157" s="54"/>
      <c r="L157" s="491"/>
      <c r="M157" s="491"/>
      <c r="N157" s="68"/>
      <c r="O157" s="68"/>
      <c r="P157" s="68"/>
      <c r="Q157" s="68"/>
      <c r="R157" s="68"/>
      <c r="S157" s="68"/>
      <c r="T157" s="68"/>
      <c r="U157" s="161"/>
      <c r="V157" s="54"/>
      <c r="W157" s="54"/>
      <c r="X157" s="54"/>
      <c r="Y157" s="54"/>
      <c r="Z157" s="161"/>
      <c r="AA157" s="67"/>
      <c r="AB157" s="67"/>
      <c r="AC157" s="55"/>
      <c r="AD157" s="55"/>
      <c r="AE157" s="54"/>
      <c r="AF157" s="54"/>
      <c r="AG157" s="54"/>
      <c r="AH157" s="54"/>
      <c r="AI157" s="55"/>
      <c r="AJ157" s="54"/>
      <c r="AW157" s="18">
        <f t="shared" si="15"/>
        <v>0</v>
      </c>
    </row>
    <row r="158" spans="1:51" ht="15">
      <c r="J158" s="491"/>
      <c r="K158" s="54"/>
      <c r="L158" s="491"/>
      <c r="M158" s="491"/>
      <c r="N158" s="68"/>
      <c r="O158" s="68"/>
      <c r="P158" s="68"/>
      <c r="Q158" s="68"/>
      <c r="R158" s="68"/>
      <c r="S158" s="68"/>
      <c r="T158" s="68"/>
      <c r="U158" s="161"/>
      <c r="V158" s="54"/>
      <c r="W158" s="54"/>
      <c r="X158" s="54"/>
      <c r="Y158" s="54"/>
      <c r="Z158" s="161"/>
      <c r="AA158" s="67"/>
      <c r="AB158" s="67"/>
      <c r="AC158" s="55"/>
      <c r="AD158" s="55"/>
      <c r="AE158" s="54"/>
      <c r="AF158" s="54"/>
      <c r="AG158" s="54"/>
      <c r="AH158" s="54"/>
      <c r="AI158" s="55"/>
      <c r="AJ158" s="54"/>
      <c r="AW158" s="18">
        <f t="shared" si="15"/>
        <v>0</v>
      </c>
    </row>
    <row r="159" spans="1:51" ht="15">
      <c r="J159" s="491"/>
      <c r="K159" s="54"/>
      <c r="L159" s="491"/>
      <c r="M159" s="491"/>
      <c r="N159" s="68"/>
      <c r="O159" s="68"/>
      <c r="P159" s="68"/>
      <c r="Q159" s="68"/>
      <c r="R159" s="68"/>
      <c r="S159" s="68"/>
      <c r="T159" s="68"/>
      <c r="U159" s="161"/>
      <c r="V159" s="54"/>
      <c r="W159" s="54"/>
      <c r="X159" s="54"/>
      <c r="Y159" s="54"/>
      <c r="Z159" s="161"/>
      <c r="AA159" s="67"/>
      <c r="AB159" s="67"/>
      <c r="AC159" s="55"/>
      <c r="AD159" s="55"/>
      <c r="AE159" s="54"/>
      <c r="AF159" s="54"/>
      <c r="AG159" s="54"/>
      <c r="AH159" s="54"/>
      <c r="AI159" s="55"/>
      <c r="AJ159" s="54"/>
      <c r="AW159" s="18">
        <f t="shared" si="15"/>
        <v>0</v>
      </c>
    </row>
    <row r="160" spans="1:51" ht="15">
      <c r="J160" s="491"/>
      <c r="K160" s="54"/>
      <c r="L160" s="491"/>
      <c r="M160" s="491"/>
      <c r="N160" s="68"/>
      <c r="O160" s="68"/>
      <c r="P160" s="68"/>
      <c r="Q160" s="68"/>
      <c r="R160" s="68"/>
      <c r="S160" s="68"/>
      <c r="T160" s="68"/>
      <c r="U160" s="161"/>
      <c r="V160" s="54"/>
      <c r="W160" s="54"/>
      <c r="X160" s="54"/>
      <c r="Y160" s="54"/>
      <c r="Z160" s="161"/>
      <c r="AA160" s="67"/>
      <c r="AB160" s="67"/>
      <c r="AC160" s="55"/>
      <c r="AD160" s="55"/>
      <c r="AE160" s="54"/>
      <c r="AF160" s="54"/>
      <c r="AG160" s="54"/>
      <c r="AH160" s="54"/>
      <c r="AI160" s="55"/>
      <c r="AJ160" s="54"/>
      <c r="AW160" s="18">
        <f t="shared" ref="AW160:AW223" si="16">LEN(L160)</f>
        <v>0</v>
      </c>
    </row>
    <row r="161" spans="10:49" ht="15">
      <c r="J161" s="491"/>
      <c r="K161" s="54"/>
      <c r="L161" s="491"/>
      <c r="M161" s="491"/>
      <c r="N161" s="68"/>
      <c r="O161" s="68"/>
      <c r="P161" s="68"/>
      <c r="Q161" s="68"/>
      <c r="R161" s="68"/>
      <c r="S161" s="68"/>
      <c r="T161" s="68"/>
      <c r="U161" s="161"/>
      <c r="V161" s="54"/>
      <c r="W161" s="54"/>
      <c r="X161" s="54"/>
      <c r="Y161" s="54"/>
      <c r="Z161" s="161"/>
      <c r="AA161" s="67"/>
      <c r="AB161" s="67"/>
      <c r="AC161" s="55"/>
      <c r="AD161" s="55"/>
      <c r="AE161" s="54"/>
      <c r="AF161" s="54"/>
      <c r="AG161" s="54"/>
      <c r="AH161" s="54"/>
      <c r="AI161" s="55"/>
      <c r="AJ161" s="54"/>
      <c r="AW161" s="18">
        <f t="shared" si="16"/>
        <v>0</v>
      </c>
    </row>
    <row r="162" spans="10:49" ht="15">
      <c r="J162" s="491"/>
      <c r="K162" s="54"/>
      <c r="L162" s="491"/>
      <c r="M162" s="491"/>
      <c r="N162" s="68"/>
      <c r="O162" s="68"/>
      <c r="P162" s="68"/>
      <c r="Q162" s="68"/>
      <c r="R162" s="68"/>
      <c r="S162" s="68"/>
      <c r="T162" s="68"/>
      <c r="U162" s="161"/>
      <c r="V162" s="54"/>
      <c r="W162" s="54"/>
      <c r="X162" s="54"/>
      <c r="Y162" s="54"/>
      <c r="Z162" s="161"/>
      <c r="AA162" s="67"/>
      <c r="AB162" s="67"/>
      <c r="AC162" s="55"/>
      <c r="AD162" s="55"/>
      <c r="AE162" s="54"/>
      <c r="AF162" s="54"/>
      <c r="AG162" s="54"/>
      <c r="AH162" s="54"/>
      <c r="AI162" s="55"/>
      <c r="AJ162" s="54"/>
      <c r="AW162" s="18">
        <f t="shared" si="16"/>
        <v>0</v>
      </c>
    </row>
    <row r="163" spans="10:49" ht="15">
      <c r="J163" s="491"/>
      <c r="K163" s="54"/>
      <c r="L163" s="491"/>
      <c r="M163" s="491"/>
      <c r="N163" s="68"/>
      <c r="O163" s="68"/>
      <c r="P163" s="68"/>
      <c r="Q163" s="68"/>
      <c r="R163" s="68"/>
      <c r="S163" s="68"/>
      <c r="T163" s="68"/>
      <c r="U163" s="161"/>
      <c r="V163" s="54"/>
      <c r="W163" s="54"/>
      <c r="X163" s="54"/>
      <c r="Y163" s="54"/>
      <c r="Z163" s="161"/>
      <c r="AA163" s="67"/>
      <c r="AB163" s="67"/>
      <c r="AC163" s="55"/>
      <c r="AD163" s="55"/>
      <c r="AE163" s="54"/>
      <c r="AF163" s="54"/>
      <c r="AG163" s="54"/>
      <c r="AH163" s="54"/>
      <c r="AI163" s="55"/>
      <c r="AJ163" s="54"/>
      <c r="AW163" s="18">
        <f t="shared" si="16"/>
        <v>0</v>
      </c>
    </row>
    <row r="164" spans="10:49" ht="15">
      <c r="J164" s="491"/>
      <c r="K164" s="54"/>
      <c r="L164" s="491"/>
      <c r="M164" s="491"/>
      <c r="N164" s="68"/>
      <c r="O164" s="68"/>
      <c r="P164" s="68"/>
      <c r="Q164" s="68"/>
      <c r="R164" s="68"/>
      <c r="S164" s="68"/>
      <c r="T164" s="68"/>
      <c r="U164" s="161"/>
      <c r="V164" s="54"/>
      <c r="W164" s="54"/>
      <c r="X164" s="54"/>
      <c r="Y164" s="54"/>
      <c r="Z164" s="161"/>
      <c r="AA164" s="67"/>
      <c r="AB164" s="67"/>
      <c r="AC164" s="55"/>
      <c r="AD164" s="55"/>
      <c r="AE164" s="54"/>
      <c r="AF164" s="54"/>
      <c r="AG164" s="54"/>
      <c r="AH164" s="54"/>
      <c r="AI164" s="55"/>
      <c r="AJ164" s="54"/>
      <c r="AW164" s="18">
        <f t="shared" si="16"/>
        <v>0</v>
      </c>
    </row>
    <row r="165" spans="10:49" ht="15">
      <c r="J165" s="491"/>
      <c r="K165" s="54"/>
      <c r="L165" s="491"/>
      <c r="M165" s="491"/>
      <c r="N165" s="68"/>
      <c r="O165" s="68"/>
      <c r="P165" s="68"/>
      <c r="Q165" s="68"/>
      <c r="R165" s="68"/>
      <c r="S165" s="68"/>
      <c r="T165" s="68"/>
      <c r="U165" s="161"/>
      <c r="V165" s="54"/>
      <c r="W165" s="54"/>
      <c r="X165" s="54"/>
      <c r="Y165" s="54"/>
      <c r="Z165" s="161"/>
      <c r="AA165" s="67"/>
      <c r="AB165" s="67"/>
      <c r="AC165" s="55"/>
      <c r="AD165" s="55"/>
      <c r="AE165" s="54"/>
      <c r="AF165" s="54"/>
      <c r="AG165" s="54"/>
      <c r="AH165" s="54"/>
      <c r="AI165" s="55"/>
      <c r="AJ165" s="54"/>
      <c r="AW165" s="18">
        <f t="shared" si="16"/>
        <v>0</v>
      </c>
    </row>
    <row r="166" spans="10:49" ht="15">
      <c r="J166" s="314"/>
      <c r="K166" s="80"/>
      <c r="L166" s="314"/>
      <c r="M166" s="314"/>
      <c r="N166" s="140"/>
      <c r="O166" s="140"/>
      <c r="P166" s="140"/>
      <c r="Q166" s="140"/>
      <c r="R166" s="68"/>
      <c r="S166" s="68"/>
      <c r="T166" s="68"/>
      <c r="U166" s="161"/>
      <c r="V166" s="54"/>
      <c r="W166" s="54"/>
      <c r="X166" s="54"/>
      <c r="Y166" s="54"/>
      <c r="Z166" s="161"/>
      <c r="AA166" s="67"/>
      <c r="AB166" s="67"/>
      <c r="AC166" s="55"/>
      <c r="AD166" s="55"/>
      <c r="AE166" s="54"/>
      <c r="AF166" s="54"/>
      <c r="AG166" s="54"/>
      <c r="AH166" s="54"/>
      <c r="AI166" s="55"/>
      <c r="AJ166" s="54"/>
      <c r="AW166" s="18">
        <f t="shared" si="16"/>
        <v>0</v>
      </c>
    </row>
    <row r="167" spans="10:49" ht="15">
      <c r="J167" s="314"/>
      <c r="K167" s="80"/>
      <c r="L167" s="314"/>
      <c r="M167" s="314"/>
      <c r="N167" s="140"/>
      <c r="O167" s="140"/>
      <c r="P167" s="140"/>
      <c r="Q167" s="140"/>
      <c r="R167" s="68"/>
      <c r="S167" s="68"/>
      <c r="T167" s="68"/>
      <c r="U167" s="161"/>
      <c r="V167" s="54"/>
      <c r="W167" s="54"/>
      <c r="X167" s="54"/>
      <c r="Y167" s="54"/>
      <c r="Z167" s="161"/>
      <c r="AA167" s="67"/>
      <c r="AB167" s="67"/>
      <c r="AC167" s="55"/>
      <c r="AD167" s="55"/>
      <c r="AE167" s="54"/>
      <c r="AF167" s="54"/>
      <c r="AG167" s="54"/>
      <c r="AH167" s="54"/>
      <c r="AI167" s="55"/>
      <c r="AJ167" s="54"/>
      <c r="AW167" s="18">
        <f t="shared" si="16"/>
        <v>0</v>
      </c>
    </row>
    <row r="168" spans="10:49" ht="15">
      <c r="J168" s="314"/>
      <c r="K168" s="80"/>
      <c r="L168" s="314"/>
      <c r="M168" s="314"/>
      <c r="N168" s="140"/>
      <c r="O168" s="140"/>
      <c r="P168" s="140"/>
      <c r="Q168" s="140"/>
      <c r="R168" s="68"/>
      <c r="S168" s="68"/>
      <c r="T168" s="68"/>
      <c r="U168" s="161"/>
      <c r="V168" s="54"/>
      <c r="W168" s="54"/>
      <c r="X168" s="54"/>
      <c r="Y168" s="54"/>
      <c r="Z168" s="161"/>
      <c r="AA168" s="67"/>
      <c r="AB168" s="67"/>
      <c r="AC168" s="55"/>
      <c r="AD168" s="55"/>
      <c r="AE168" s="54"/>
      <c r="AF168" s="54"/>
      <c r="AG168" s="54"/>
      <c r="AH168" s="54"/>
      <c r="AI168" s="55"/>
      <c r="AJ168" s="54"/>
      <c r="AW168" s="18">
        <f t="shared" si="16"/>
        <v>0</v>
      </c>
    </row>
    <row r="169" spans="10:49" ht="15">
      <c r="J169" s="314"/>
      <c r="K169" s="80"/>
      <c r="L169" s="314"/>
      <c r="M169" s="314"/>
      <c r="N169" s="140"/>
      <c r="O169" s="140"/>
      <c r="P169" s="140"/>
      <c r="Q169" s="140"/>
      <c r="R169" s="68"/>
      <c r="S169" s="68"/>
      <c r="T169" s="68"/>
      <c r="U169" s="161"/>
      <c r="V169" s="54"/>
      <c r="W169" s="54"/>
      <c r="X169" s="54"/>
      <c r="Y169" s="54"/>
      <c r="Z169" s="161"/>
      <c r="AA169" s="67"/>
      <c r="AB169" s="67"/>
      <c r="AC169" s="55"/>
      <c r="AD169" s="55"/>
      <c r="AE169" s="54"/>
      <c r="AF169" s="54"/>
      <c r="AG169" s="54"/>
      <c r="AH169" s="54"/>
      <c r="AI169" s="55"/>
      <c r="AJ169" s="54"/>
      <c r="AW169" s="18">
        <f t="shared" si="16"/>
        <v>0</v>
      </c>
    </row>
    <row r="170" spans="10:49" ht="15">
      <c r="J170" s="314"/>
      <c r="K170" s="80"/>
      <c r="L170" s="314"/>
      <c r="M170" s="314"/>
      <c r="N170" s="140"/>
      <c r="O170" s="140"/>
      <c r="P170" s="140"/>
      <c r="Q170" s="140"/>
      <c r="R170" s="68"/>
      <c r="S170" s="68"/>
      <c r="T170" s="68"/>
      <c r="U170" s="161"/>
      <c r="V170" s="54"/>
      <c r="W170" s="54"/>
      <c r="X170" s="54"/>
      <c r="Y170" s="54"/>
      <c r="Z170" s="161"/>
      <c r="AA170" s="67"/>
      <c r="AB170" s="67"/>
      <c r="AC170" s="55"/>
      <c r="AD170" s="55"/>
      <c r="AE170" s="54"/>
      <c r="AF170" s="54"/>
      <c r="AG170" s="54"/>
      <c r="AH170" s="54"/>
      <c r="AI170" s="55"/>
      <c r="AJ170" s="54"/>
      <c r="AW170" s="18">
        <f t="shared" si="16"/>
        <v>0</v>
      </c>
    </row>
    <row r="171" spans="10:49" ht="15">
      <c r="J171" s="314"/>
      <c r="K171" s="80"/>
      <c r="L171" s="314"/>
      <c r="M171" s="314"/>
      <c r="N171" s="140"/>
      <c r="O171" s="140"/>
      <c r="P171" s="140"/>
      <c r="Q171" s="140"/>
      <c r="R171" s="68"/>
      <c r="S171" s="68"/>
      <c r="T171" s="68"/>
      <c r="U171" s="161"/>
      <c r="V171" s="54"/>
      <c r="W171" s="54"/>
      <c r="X171" s="54"/>
      <c r="Y171" s="54"/>
      <c r="Z171" s="161"/>
      <c r="AA171" s="67"/>
      <c r="AB171" s="67"/>
      <c r="AC171" s="55"/>
      <c r="AD171" s="55"/>
      <c r="AE171" s="54"/>
      <c r="AF171" s="54"/>
      <c r="AG171" s="54"/>
      <c r="AH171" s="54"/>
      <c r="AI171" s="55"/>
      <c r="AJ171" s="54"/>
      <c r="AW171" s="18">
        <f t="shared" si="16"/>
        <v>0</v>
      </c>
    </row>
    <row r="172" spans="10:49" ht="15">
      <c r="J172" s="314"/>
      <c r="K172" s="80"/>
      <c r="L172" s="314"/>
      <c r="M172" s="314"/>
      <c r="N172" s="140"/>
      <c r="O172" s="140"/>
      <c r="P172" s="140"/>
      <c r="Q172" s="140"/>
      <c r="R172" s="68"/>
      <c r="S172" s="68"/>
      <c r="T172" s="68"/>
      <c r="U172" s="161"/>
      <c r="V172" s="54"/>
      <c r="W172" s="54"/>
      <c r="X172" s="54"/>
      <c r="Y172" s="54"/>
      <c r="Z172" s="161"/>
      <c r="AA172" s="67"/>
      <c r="AB172" s="67"/>
      <c r="AC172" s="55"/>
      <c r="AD172" s="55"/>
      <c r="AE172" s="54"/>
      <c r="AF172" s="54"/>
      <c r="AG172" s="54"/>
      <c r="AH172" s="54"/>
      <c r="AI172" s="55"/>
      <c r="AJ172" s="54"/>
      <c r="AW172" s="18">
        <f t="shared" si="16"/>
        <v>0</v>
      </c>
    </row>
    <row r="173" spans="10:49" ht="15">
      <c r="J173" s="314"/>
      <c r="K173" s="80"/>
      <c r="L173" s="314"/>
      <c r="M173" s="314"/>
      <c r="N173" s="140"/>
      <c r="O173" s="140"/>
      <c r="P173" s="140"/>
      <c r="Q173" s="140"/>
      <c r="R173" s="68"/>
      <c r="S173" s="68"/>
      <c r="T173" s="68"/>
      <c r="U173" s="161"/>
      <c r="V173" s="54"/>
      <c r="W173" s="54"/>
      <c r="X173" s="54"/>
      <c r="Y173" s="54"/>
      <c r="Z173" s="161"/>
      <c r="AA173" s="67"/>
      <c r="AB173" s="67"/>
      <c r="AC173" s="55"/>
      <c r="AD173" s="55"/>
      <c r="AE173" s="54"/>
      <c r="AF173" s="54"/>
      <c r="AG173" s="54"/>
      <c r="AH173" s="54"/>
      <c r="AI173" s="55"/>
      <c r="AJ173" s="54"/>
      <c r="AW173" s="18">
        <f t="shared" si="16"/>
        <v>0</v>
      </c>
    </row>
    <row r="174" spans="10:49" ht="15">
      <c r="J174" s="314"/>
      <c r="K174" s="80"/>
      <c r="L174" s="314"/>
      <c r="M174" s="314"/>
      <c r="N174" s="140"/>
      <c r="O174" s="140"/>
      <c r="P174" s="140"/>
      <c r="Q174" s="140"/>
      <c r="R174" s="68"/>
      <c r="S174" s="68"/>
      <c r="T174" s="68"/>
      <c r="U174" s="161"/>
      <c r="V174" s="54"/>
      <c r="W174" s="54"/>
      <c r="X174" s="54"/>
      <c r="Y174" s="54"/>
      <c r="Z174" s="161"/>
      <c r="AA174" s="67"/>
      <c r="AB174" s="67"/>
      <c r="AC174" s="55"/>
      <c r="AD174" s="55"/>
      <c r="AE174" s="54"/>
      <c r="AF174" s="54"/>
      <c r="AG174" s="54"/>
      <c r="AH174" s="54"/>
      <c r="AI174" s="55"/>
      <c r="AJ174" s="54"/>
      <c r="AW174" s="18">
        <f t="shared" si="16"/>
        <v>0</v>
      </c>
    </row>
    <row r="175" spans="10:49" ht="15">
      <c r="J175" s="314"/>
      <c r="K175" s="80"/>
      <c r="L175" s="314"/>
      <c r="M175" s="314"/>
      <c r="N175" s="140"/>
      <c r="O175" s="140"/>
      <c r="P175" s="140"/>
      <c r="Q175" s="140"/>
      <c r="R175" s="68"/>
      <c r="S175" s="68"/>
      <c r="T175" s="68"/>
      <c r="U175" s="161"/>
      <c r="V175" s="54"/>
      <c r="W175" s="54"/>
      <c r="X175" s="54"/>
      <c r="Y175" s="54"/>
      <c r="Z175" s="161"/>
      <c r="AA175" s="67"/>
      <c r="AB175" s="67"/>
      <c r="AC175" s="55"/>
      <c r="AD175" s="55"/>
      <c r="AE175" s="54"/>
      <c r="AF175" s="54"/>
      <c r="AG175" s="54"/>
      <c r="AH175" s="54"/>
      <c r="AI175" s="55"/>
      <c r="AJ175" s="54"/>
      <c r="AW175" s="18">
        <f t="shared" si="16"/>
        <v>0</v>
      </c>
    </row>
    <row r="176" spans="10:49" ht="15">
      <c r="J176" s="314"/>
      <c r="K176" s="80"/>
      <c r="L176" s="222"/>
      <c r="M176" s="222"/>
      <c r="N176" s="140"/>
      <c r="O176" s="140"/>
      <c r="P176" s="140"/>
      <c r="Q176" s="140"/>
      <c r="R176" s="68"/>
      <c r="S176" s="68"/>
      <c r="T176" s="68"/>
      <c r="U176" s="161"/>
      <c r="V176" s="54"/>
      <c r="W176" s="54"/>
      <c r="X176" s="54"/>
      <c r="Y176" s="54"/>
      <c r="Z176" s="161"/>
      <c r="AA176" s="67"/>
      <c r="AB176" s="67"/>
      <c r="AC176" s="55"/>
      <c r="AD176" s="55"/>
      <c r="AE176" s="54"/>
      <c r="AF176" s="54"/>
      <c r="AG176" s="54"/>
      <c r="AH176" s="54"/>
      <c r="AI176" s="55"/>
      <c r="AJ176" s="54"/>
      <c r="AW176" s="18">
        <f t="shared" si="16"/>
        <v>0</v>
      </c>
    </row>
    <row r="177" spans="10:49" ht="15">
      <c r="J177" s="314"/>
      <c r="K177" s="80"/>
      <c r="L177" s="222"/>
      <c r="M177" s="222"/>
      <c r="N177" s="140"/>
      <c r="O177" s="140"/>
      <c r="P177" s="140"/>
      <c r="Q177" s="140"/>
      <c r="R177" s="68"/>
      <c r="S177" s="68"/>
      <c r="T177" s="68"/>
      <c r="U177" s="161"/>
      <c r="V177" s="54"/>
      <c r="W177" s="54"/>
      <c r="X177" s="54"/>
      <c r="Y177" s="54"/>
      <c r="Z177" s="161"/>
      <c r="AA177" s="67"/>
      <c r="AB177" s="67"/>
      <c r="AC177" s="55"/>
      <c r="AD177" s="55"/>
      <c r="AE177" s="54"/>
      <c r="AF177" s="54"/>
      <c r="AG177" s="54"/>
      <c r="AH177" s="54"/>
      <c r="AI177" s="55"/>
      <c r="AJ177" s="54"/>
      <c r="AW177" s="18">
        <f t="shared" si="16"/>
        <v>0</v>
      </c>
    </row>
    <row r="178" spans="10:49" ht="15">
      <c r="J178" s="314"/>
      <c r="K178" s="80"/>
      <c r="L178" s="314"/>
      <c r="M178" s="314"/>
      <c r="N178" s="140"/>
      <c r="O178" s="140"/>
      <c r="P178" s="140"/>
      <c r="Q178" s="140"/>
      <c r="R178" s="68"/>
      <c r="S178" s="68"/>
      <c r="T178" s="68"/>
      <c r="U178" s="161"/>
      <c r="V178" s="54"/>
      <c r="W178" s="54"/>
      <c r="X178" s="54"/>
      <c r="Y178" s="54"/>
      <c r="Z178" s="161"/>
      <c r="AA178" s="67"/>
      <c r="AB178" s="67"/>
      <c r="AC178" s="55"/>
      <c r="AD178" s="55"/>
      <c r="AE178" s="54"/>
      <c r="AF178" s="54"/>
      <c r="AG178" s="54"/>
      <c r="AH178" s="54"/>
      <c r="AI178" s="55"/>
      <c r="AJ178" s="54"/>
      <c r="AW178" s="18">
        <f t="shared" si="16"/>
        <v>0</v>
      </c>
    </row>
    <row r="179" spans="10:49" ht="15">
      <c r="J179" s="314"/>
      <c r="K179" s="80"/>
      <c r="L179" s="314"/>
      <c r="M179" s="314"/>
      <c r="N179" s="140"/>
      <c r="O179" s="140"/>
      <c r="P179" s="140"/>
      <c r="Q179" s="140"/>
      <c r="R179" s="68"/>
      <c r="S179" s="68"/>
      <c r="T179" s="68"/>
      <c r="U179" s="161"/>
      <c r="V179" s="54"/>
      <c r="W179" s="54"/>
      <c r="X179" s="54"/>
      <c r="Y179" s="54"/>
      <c r="Z179" s="161"/>
      <c r="AA179" s="67"/>
      <c r="AB179" s="67"/>
      <c r="AC179" s="55"/>
      <c r="AD179" s="55"/>
      <c r="AE179" s="54"/>
      <c r="AF179" s="54"/>
      <c r="AG179" s="54"/>
      <c r="AH179" s="54"/>
      <c r="AI179" s="55"/>
      <c r="AJ179" s="54"/>
      <c r="AW179" s="18">
        <f t="shared" si="16"/>
        <v>0</v>
      </c>
    </row>
    <row r="180" spans="10:49" ht="15">
      <c r="J180" s="314"/>
      <c r="K180" s="80"/>
      <c r="L180" s="314"/>
      <c r="M180" s="314"/>
      <c r="N180" s="140"/>
      <c r="O180" s="140"/>
      <c r="P180" s="140"/>
      <c r="Q180" s="140"/>
      <c r="R180" s="68"/>
      <c r="S180" s="68"/>
      <c r="T180" s="68"/>
      <c r="U180" s="161"/>
      <c r="V180" s="54"/>
      <c r="W180" s="54"/>
      <c r="X180" s="54"/>
      <c r="Y180" s="54"/>
      <c r="Z180" s="161"/>
      <c r="AA180" s="67"/>
      <c r="AB180" s="67"/>
      <c r="AC180" s="55"/>
      <c r="AD180" s="55"/>
      <c r="AE180" s="54"/>
      <c r="AF180" s="54"/>
      <c r="AG180" s="54"/>
      <c r="AH180" s="54"/>
      <c r="AI180" s="55"/>
      <c r="AJ180" s="54"/>
      <c r="AW180" s="18">
        <f t="shared" si="16"/>
        <v>0</v>
      </c>
    </row>
    <row r="181" spans="10:49" ht="15">
      <c r="J181" s="314"/>
      <c r="K181" s="80"/>
      <c r="L181" s="314"/>
      <c r="M181" s="314"/>
      <c r="N181" s="140"/>
      <c r="O181" s="140"/>
      <c r="P181" s="140"/>
      <c r="Q181" s="140"/>
      <c r="R181" s="68"/>
      <c r="S181" s="68"/>
      <c r="T181" s="68"/>
      <c r="U181" s="161"/>
      <c r="V181" s="54"/>
      <c r="W181" s="54"/>
      <c r="X181" s="54"/>
      <c r="Y181" s="54"/>
      <c r="Z181" s="161"/>
      <c r="AA181" s="67"/>
      <c r="AB181" s="67"/>
      <c r="AC181" s="55"/>
      <c r="AD181" s="55"/>
      <c r="AE181" s="54"/>
      <c r="AF181" s="54"/>
      <c r="AG181" s="54"/>
      <c r="AH181" s="54"/>
      <c r="AI181" s="55"/>
      <c r="AJ181" s="54"/>
      <c r="AW181" s="18">
        <f t="shared" si="16"/>
        <v>0</v>
      </c>
    </row>
    <row r="182" spans="10:49" ht="15">
      <c r="J182" s="314"/>
      <c r="K182" s="80"/>
      <c r="L182" s="314"/>
      <c r="M182" s="314"/>
      <c r="N182" s="140"/>
      <c r="O182" s="140"/>
      <c r="P182" s="140"/>
      <c r="Q182" s="140"/>
      <c r="R182" s="68"/>
      <c r="S182" s="68"/>
      <c r="T182" s="68"/>
      <c r="U182" s="161"/>
      <c r="V182" s="54"/>
      <c r="W182" s="54"/>
      <c r="X182" s="54"/>
      <c r="Y182" s="54"/>
      <c r="Z182" s="161"/>
      <c r="AA182" s="67"/>
      <c r="AB182" s="67"/>
      <c r="AC182" s="55"/>
      <c r="AD182" s="55"/>
      <c r="AE182" s="54"/>
      <c r="AF182" s="54"/>
      <c r="AG182" s="54"/>
      <c r="AH182" s="54"/>
      <c r="AI182" s="55"/>
      <c r="AJ182" s="54"/>
      <c r="AW182" s="18">
        <f t="shared" si="16"/>
        <v>0</v>
      </c>
    </row>
    <row r="183" spans="10:49" ht="15">
      <c r="J183" s="314"/>
      <c r="K183" s="80"/>
      <c r="L183" s="314"/>
      <c r="M183" s="314"/>
      <c r="N183" s="140"/>
      <c r="O183" s="140"/>
      <c r="P183" s="140"/>
      <c r="Q183" s="140"/>
      <c r="R183" s="68"/>
      <c r="S183" s="68"/>
      <c r="T183" s="68"/>
      <c r="U183" s="161"/>
      <c r="V183" s="54"/>
      <c r="W183" s="54"/>
      <c r="X183" s="54"/>
      <c r="Y183" s="54"/>
      <c r="Z183" s="161"/>
      <c r="AA183" s="67"/>
      <c r="AB183" s="67"/>
      <c r="AC183" s="55"/>
      <c r="AD183" s="55"/>
      <c r="AE183" s="54"/>
      <c r="AF183" s="54"/>
      <c r="AG183" s="54"/>
      <c r="AH183" s="54"/>
      <c r="AI183" s="55"/>
      <c r="AJ183" s="54"/>
      <c r="AW183" s="18">
        <f t="shared" si="16"/>
        <v>0</v>
      </c>
    </row>
    <row r="184" spans="10:49" ht="15">
      <c r="J184" s="314"/>
      <c r="K184" s="80"/>
      <c r="L184" s="314"/>
      <c r="M184" s="314"/>
      <c r="N184" s="140"/>
      <c r="O184" s="140"/>
      <c r="P184" s="140"/>
      <c r="Q184" s="140"/>
      <c r="R184" s="68"/>
      <c r="S184" s="68"/>
      <c r="T184" s="68"/>
      <c r="U184" s="161"/>
      <c r="V184" s="54"/>
      <c r="W184" s="54"/>
      <c r="X184" s="54"/>
      <c r="Y184" s="54"/>
      <c r="Z184" s="161"/>
      <c r="AA184" s="67"/>
      <c r="AB184" s="67"/>
      <c r="AC184" s="55"/>
      <c r="AD184" s="55"/>
      <c r="AE184" s="54"/>
      <c r="AF184" s="54"/>
      <c r="AG184" s="54"/>
      <c r="AH184" s="54"/>
      <c r="AI184" s="55"/>
      <c r="AJ184" s="54"/>
      <c r="AW184" s="18">
        <f t="shared" si="16"/>
        <v>0</v>
      </c>
    </row>
    <row r="185" spans="10:49" ht="15">
      <c r="J185" s="314"/>
      <c r="K185" s="80"/>
      <c r="L185" s="314"/>
      <c r="M185" s="314"/>
      <c r="N185" s="140"/>
      <c r="O185" s="140"/>
      <c r="P185" s="140"/>
      <c r="Q185" s="140"/>
      <c r="R185" s="68"/>
      <c r="S185" s="68"/>
      <c r="T185" s="68"/>
      <c r="U185" s="161"/>
      <c r="V185" s="54"/>
      <c r="W185" s="54"/>
      <c r="X185" s="54"/>
      <c r="Y185" s="54"/>
      <c r="Z185" s="161"/>
      <c r="AA185" s="67"/>
      <c r="AB185" s="67"/>
      <c r="AC185" s="55"/>
      <c r="AD185" s="55"/>
      <c r="AE185" s="54"/>
      <c r="AF185" s="54"/>
      <c r="AG185" s="54"/>
      <c r="AH185" s="54"/>
      <c r="AI185" s="55"/>
      <c r="AJ185" s="54"/>
      <c r="AW185" s="18">
        <f t="shared" si="16"/>
        <v>0</v>
      </c>
    </row>
    <row r="186" spans="10:49" ht="15">
      <c r="J186" s="314"/>
      <c r="K186" s="80"/>
      <c r="L186" s="314"/>
      <c r="M186" s="314"/>
      <c r="N186" s="140"/>
      <c r="O186" s="140"/>
      <c r="P186" s="140"/>
      <c r="Q186" s="140"/>
      <c r="R186" s="68"/>
      <c r="S186" s="68"/>
      <c r="T186" s="68"/>
      <c r="U186" s="161"/>
      <c r="V186" s="54"/>
      <c r="W186" s="54"/>
      <c r="X186" s="54"/>
      <c r="Y186" s="54"/>
      <c r="Z186" s="161"/>
      <c r="AA186" s="67"/>
      <c r="AB186" s="67"/>
      <c r="AC186" s="55"/>
      <c r="AD186" s="55"/>
      <c r="AE186" s="54"/>
      <c r="AF186" s="54"/>
      <c r="AG186" s="54"/>
      <c r="AH186" s="54"/>
      <c r="AI186" s="55"/>
      <c r="AJ186" s="54"/>
      <c r="AW186" s="18">
        <f t="shared" si="16"/>
        <v>0</v>
      </c>
    </row>
    <row r="187" spans="10:49" ht="15">
      <c r="J187" s="314"/>
      <c r="K187" s="80"/>
      <c r="L187" s="314"/>
      <c r="M187" s="314"/>
      <c r="N187" s="140"/>
      <c r="O187" s="140"/>
      <c r="P187" s="140"/>
      <c r="Q187" s="140"/>
      <c r="R187" s="68"/>
      <c r="S187" s="68"/>
      <c r="T187" s="68"/>
      <c r="U187" s="161"/>
      <c r="V187" s="54"/>
      <c r="W187" s="54"/>
      <c r="X187" s="54"/>
      <c r="Y187" s="54"/>
      <c r="Z187" s="161"/>
      <c r="AA187" s="67"/>
      <c r="AB187" s="67"/>
      <c r="AC187" s="55"/>
      <c r="AD187" s="55"/>
      <c r="AE187" s="54"/>
      <c r="AF187" s="54"/>
      <c r="AG187" s="54"/>
      <c r="AH187" s="54"/>
      <c r="AI187" s="55"/>
      <c r="AJ187" s="54"/>
      <c r="AW187" s="18">
        <f t="shared" si="16"/>
        <v>0</v>
      </c>
    </row>
    <row r="188" spans="10:49" ht="15">
      <c r="J188" s="314"/>
      <c r="K188" s="80"/>
      <c r="L188" s="314"/>
      <c r="M188" s="314"/>
      <c r="N188" s="140"/>
      <c r="O188" s="140"/>
      <c r="P188" s="140"/>
      <c r="Q188" s="140"/>
      <c r="R188" s="68"/>
      <c r="S188" s="68"/>
      <c r="T188" s="68"/>
      <c r="U188" s="161"/>
      <c r="V188" s="54"/>
      <c r="W188" s="54"/>
      <c r="X188" s="54"/>
      <c r="Y188" s="54"/>
      <c r="Z188" s="161"/>
      <c r="AA188" s="67"/>
      <c r="AB188" s="67"/>
      <c r="AC188" s="55"/>
      <c r="AD188" s="55"/>
      <c r="AE188" s="54"/>
      <c r="AF188" s="54"/>
      <c r="AG188" s="54"/>
      <c r="AH188" s="54"/>
      <c r="AI188" s="55"/>
      <c r="AJ188" s="54"/>
      <c r="AW188" s="18">
        <f t="shared" si="16"/>
        <v>0</v>
      </c>
    </row>
    <row r="189" spans="10:49" ht="15">
      <c r="J189" s="314"/>
      <c r="K189" s="80"/>
      <c r="L189" s="314"/>
      <c r="M189" s="314"/>
      <c r="N189" s="140"/>
      <c r="O189" s="140"/>
      <c r="P189" s="140"/>
      <c r="Q189" s="140"/>
      <c r="R189" s="68"/>
      <c r="S189" s="68"/>
      <c r="T189" s="68"/>
      <c r="U189" s="161"/>
      <c r="V189" s="54"/>
      <c r="W189" s="54"/>
      <c r="X189" s="54"/>
      <c r="Y189" s="54"/>
      <c r="Z189" s="161"/>
      <c r="AA189" s="67"/>
      <c r="AB189" s="67"/>
      <c r="AC189" s="55"/>
      <c r="AD189" s="55"/>
      <c r="AE189" s="54"/>
      <c r="AF189" s="54"/>
      <c r="AG189" s="54"/>
      <c r="AH189" s="54"/>
      <c r="AI189" s="55"/>
      <c r="AJ189" s="54"/>
      <c r="AW189" s="18">
        <f t="shared" si="16"/>
        <v>0</v>
      </c>
    </row>
    <row r="190" spans="10:49" ht="15">
      <c r="J190" s="314"/>
      <c r="K190" s="80"/>
      <c r="L190" s="314"/>
      <c r="M190" s="314"/>
      <c r="N190" s="140"/>
      <c r="O190" s="140"/>
      <c r="P190" s="140"/>
      <c r="Q190" s="140"/>
      <c r="R190" s="68"/>
      <c r="S190" s="68"/>
      <c r="T190" s="68"/>
      <c r="U190" s="161"/>
      <c r="V190" s="54"/>
      <c r="W190" s="54"/>
      <c r="X190" s="54"/>
      <c r="Y190" s="54"/>
      <c r="Z190" s="161"/>
      <c r="AA190" s="67"/>
      <c r="AB190" s="67"/>
      <c r="AC190" s="55"/>
      <c r="AD190" s="55"/>
      <c r="AE190" s="54"/>
      <c r="AF190" s="54"/>
      <c r="AG190" s="54"/>
      <c r="AH190" s="54"/>
      <c r="AI190" s="55"/>
      <c r="AJ190" s="54"/>
      <c r="AW190" s="18">
        <f t="shared" si="16"/>
        <v>0</v>
      </c>
    </row>
    <row r="191" spans="10:49" ht="15">
      <c r="J191" s="314"/>
      <c r="K191" s="80"/>
      <c r="L191" s="314"/>
      <c r="M191" s="314"/>
      <c r="N191" s="140"/>
      <c r="O191" s="140"/>
      <c r="P191" s="140"/>
      <c r="Q191" s="140"/>
      <c r="R191" s="68"/>
      <c r="S191" s="68"/>
      <c r="T191" s="68"/>
      <c r="U191" s="161"/>
      <c r="V191" s="54"/>
      <c r="W191" s="54"/>
      <c r="X191" s="54"/>
      <c r="Y191" s="54"/>
      <c r="Z191" s="161"/>
      <c r="AA191" s="67"/>
      <c r="AB191" s="67"/>
      <c r="AC191" s="55"/>
      <c r="AD191" s="55"/>
      <c r="AE191" s="54"/>
      <c r="AF191" s="54"/>
      <c r="AG191" s="54"/>
      <c r="AH191" s="54"/>
      <c r="AI191" s="55"/>
      <c r="AJ191" s="54"/>
      <c r="AW191" s="18">
        <f t="shared" si="16"/>
        <v>0</v>
      </c>
    </row>
    <row r="192" spans="10:49" ht="15">
      <c r="J192" s="314"/>
      <c r="K192" s="80"/>
      <c r="L192" s="314"/>
      <c r="M192" s="314"/>
      <c r="N192" s="140"/>
      <c r="O192" s="140"/>
      <c r="P192" s="140"/>
      <c r="Q192" s="140"/>
      <c r="R192" s="68"/>
      <c r="S192" s="68"/>
      <c r="T192" s="68"/>
      <c r="U192" s="161"/>
      <c r="V192" s="54"/>
      <c r="W192" s="54"/>
      <c r="X192" s="54"/>
      <c r="Y192" s="54"/>
      <c r="Z192" s="161"/>
      <c r="AA192" s="67"/>
      <c r="AB192" s="67"/>
      <c r="AC192" s="55"/>
      <c r="AD192" s="55"/>
      <c r="AE192" s="54"/>
      <c r="AF192" s="54"/>
      <c r="AG192" s="54"/>
      <c r="AH192" s="54"/>
      <c r="AI192" s="55"/>
      <c r="AJ192" s="54"/>
      <c r="AW192" s="18">
        <f t="shared" si="16"/>
        <v>0</v>
      </c>
    </row>
    <row r="193" spans="10:49" ht="15">
      <c r="J193" s="314"/>
      <c r="K193" s="80"/>
      <c r="L193" s="314"/>
      <c r="M193" s="314"/>
      <c r="N193" s="140"/>
      <c r="O193" s="140"/>
      <c r="P193" s="140"/>
      <c r="Q193" s="140"/>
      <c r="R193" s="68"/>
      <c r="S193" s="68"/>
      <c r="T193" s="68"/>
      <c r="U193" s="161"/>
      <c r="V193" s="54"/>
      <c r="W193" s="54"/>
      <c r="X193" s="54"/>
      <c r="Y193" s="54"/>
      <c r="Z193" s="161"/>
      <c r="AA193" s="67"/>
      <c r="AB193" s="67"/>
      <c r="AC193" s="55"/>
      <c r="AD193" s="55"/>
      <c r="AE193" s="54"/>
      <c r="AF193" s="54"/>
      <c r="AG193" s="54"/>
      <c r="AH193" s="54"/>
      <c r="AI193" s="55"/>
      <c r="AJ193" s="54"/>
      <c r="AW193" s="18">
        <f t="shared" si="16"/>
        <v>0</v>
      </c>
    </row>
    <row r="194" spans="10:49" ht="15">
      <c r="J194" s="314"/>
      <c r="K194" s="80"/>
      <c r="L194" s="314"/>
      <c r="M194" s="314"/>
      <c r="N194" s="140"/>
      <c r="O194" s="140"/>
      <c r="P194" s="140"/>
      <c r="Q194" s="140"/>
      <c r="R194" s="68"/>
      <c r="S194" s="68"/>
      <c r="T194" s="68"/>
      <c r="U194" s="161"/>
      <c r="V194" s="54"/>
      <c r="W194" s="54"/>
      <c r="X194" s="54"/>
      <c r="Y194" s="54"/>
      <c r="Z194" s="161"/>
      <c r="AA194" s="67"/>
      <c r="AB194" s="67"/>
      <c r="AC194" s="55"/>
      <c r="AD194" s="55"/>
      <c r="AE194" s="54"/>
      <c r="AF194" s="54"/>
      <c r="AG194" s="54"/>
      <c r="AH194" s="54"/>
      <c r="AI194" s="55"/>
      <c r="AJ194" s="54"/>
      <c r="AW194" s="18">
        <f t="shared" si="16"/>
        <v>0</v>
      </c>
    </row>
    <row r="195" spans="10:49" ht="15">
      <c r="J195" s="491"/>
      <c r="K195" s="54"/>
      <c r="L195" s="491"/>
      <c r="M195" s="491"/>
      <c r="N195" s="68"/>
      <c r="O195" s="68"/>
      <c r="P195" s="68"/>
      <c r="Q195" s="68"/>
      <c r="R195" s="68"/>
      <c r="S195" s="68"/>
      <c r="T195" s="68"/>
      <c r="U195" s="161"/>
      <c r="V195" s="54"/>
      <c r="W195" s="54"/>
      <c r="X195" s="54"/>
      <c r="Y195" s="54"/>
      <c r="Z195" s="161"/>
      <c r="AA195" s="67"/>
      <c r="AB195" s="67"/>
      <c r="AC195" s="55"/>
      <c r="AD195" s="55"/>
      <c r="AE195" s="54"/>
      <c r="AF195" s="54"/>
      <c r="AG195" s="54"/>
      <c r="AH195" s="54"/>
      <c r="AI195" s="55"/>
      <c r="AJ195" s="54"/>
      <c r="AW195" s="18">
        <f t="shared" si="16"/>
        <v>0</v>
      </c>
    </row>
    <row r="196" spans="10:49" ht="15">
      <c r="J196" s="491"/>
      <c r="K196" s="54"/>
      <c r="L196" s="491"/>
      <c r="M196" s="491"/>
      <c r="N196" s="68"/>
      <c r="O196" s="68"/>
      <c r="P196" s="68"/>
      <c r="Q196" s="68"/>
      <c r="R196" s="68"/>
      <c r="S196" s="68"/>
      <c r="T196" s="68"/>
      <c r="U196" s="161"/>
      <c r="V196" s="54"/>
      <c r="W196" s="54"/>
      <c r="X196" s="54"/>
      <c r="Y196" s="54"/>
      <c r="Z196" s="161"/>
      <c r="AA196" s="67"/>
      <c r="AB196" s="67"/>
      <c r="AC196" s="55"/>
      <c r="AD196" s="55"/>
      <c r="AE196" s="54"/>
      <c r="AF196" s="54"/>
      <c r="AG196" s="54"/>
      <c r="AH196" s="54"/>
      <c r="AI196" s="55"/>
      <c r="AJ196" s="54"/>
      <c r="AW196" s="18">
        <f t="shared" si="16"/>
        <v>0</v>
      </c>
    </row>
    <row r="197" spans="10:49" ht="15">
      <c r="J197" s="491"/>
      <c r="K197" s="54"/>
      <c r="L197" s="491"/>
      <c r="M197" s="491"/>
      <c r="N197" s="68"/>
      <c r="O197" s="68"/>
      <c r="P197" s="68"/>
      <c r="Q197" s="68"/>
      <c r="R197" s="68"/>
      <c r="S197" s="68"/>
      <c r="T197" s="68"/>
      <c r="U197" s="161"/>
      <c r="V197" s="54"/>
      <c r="W197" s="54"/>
      <c r="X197" s="54"/>
      <c r="Y197" s="54"/>
      <c r="Z197" s="161"/>
      <c r="AA197" s="67"/>
      <c r="AB197" s="67"/>
      <c r="AC197" s="55"/>
      <c r="AD197" s="55"/>
      <c r="AE197" s="54"/>
      <c r="AF197" s="54"/>
      <c r="AG197" s="54"/>
      <c r="AH197" s="54"/>
      <c r="AI197" s="55"/>
      <c r="AJ197" s="54"/>
      <c r="AW197" s="18">
        <f t="shared" si="16"/>
        <v>0</v>
      </c>
    </row>
    <row r="198" spans="10:49" ht="15">
      <c r="J198" s="491"/>
      <c r="K198" s="54"/>
      <c r="L198" s="491"/>
      <c r="M198" s="491"/>
      <c r="N198" s="68"/>
      <c r="O198" s="68"/>
      <c r="P198" s="68"/>
      <c r="Q198" s="68"/>
      <c r="R198" s="68"/>
      <c r="S198" s="68"/>
      <c r="T198" s="68"/>
      <c r="U198" s="161"/>
      <c r="V198" s="54"/>
      <c r="W198" s="54"/>
      <c r="X198" s="54"/>
      <c r="Y198" s="54"/>
      <c r="Z198" s="161"/>
      <c r="AA198" s="67"/>
      <c r="AB198" s="67"/>
      <c r="AC198" s="55"/>
      <c r="AD198" s="55"/>
      <c r="AE198" s="54"/>
      <c r="AF198" s="54"/>
      <c r="AG198" s="54"/>
      <c r="AH198" s="54"/>
      <c r="AI198" s="55"/>
      <c r="AJ198" s="54"/>
      <c r="AW198" s="18">
        <f t="shared" si="16"/>
        <v>0</v>
      </c>
    </row>
    <row r="199" spans="10:49" ht="15">
      <c r="J199" s="491"/>
      <c r="K199" s="54"/>
      <c r="L199" s="491"/>
      <c r="M199" s="491"/>
      <c r="N199" s="68"/>
      <c r="O199" s="68"/>
      <c r="P199" s="68"/>
      <c r="Q199" s="68"/>
      <c r="R199" s="68"/>
      <c r="S199" s="68"/>
      <c r="T199" s="68"/>
      <c r="U199" s="161"/>
      <c r="V199" s="54"/>
      <c r="W199" s="54"/>
      <c r="X199" s="54"/>
      <c r="Y199" s="54"/>
      <c r="Z199" s="161"/>
      <c r="AA199" s="67"/>
      <c r="AB199" s="67"/>
      <c r="AC199" s="55"/>
      <c r="AD199" s="55"/>
      <c r="AE199" s="54"/>
      <c r="AF199" s="54"/>
      <c r="AG199" s="54"/>
      <c r="AH199" s="54"/>
      <c r="AI199" s="55"/>
      <c r="AJ199" s="54"/>
      <c r="AW199" s="18">
        <f t="shared" si="16"/>
        <v>0</v>
      </c>
    </row>
    <row r="200" spans="10:49" ht="15">
      <c r="J200" s="491"/>
      <c r="K200" s="54"/>
      <c r="L200" s="56"/>
      <c r="M200" s="56"/>
      <c r="N200" s="68"/>
      <c r="O200" s="68"/>
      <c r="P200" s="68"/>
      <c r="Q200" s="68"/>
      <c r="R200" s="68"/>
      <c r="S200" s="68"/>
      <c r="T200" s="68"/>
      <c r="U200" s="161"/>
      <c r="V200" s="54"/>
      <c r="W200" s="54"/>
      <c r="X200" s="54"/>
      <c r="Y200" s="54"/>
      <c r="Z200" s="161"/>
      <c r="AA200" s="67"/>
      <c r="AB200" s="67"/>
      <c r="AC200" s="55"/>
      <c r="AD200" s="55"/>
      <c r="AE200" s="54"/>
      <c r="AF200" s="54"/>
      <c r="AG200" s="54"/>
      <c r="AH200" s="54"/>
      <c r="AI200" s="55"/>
      <c r="AJ200" s="54"/>
      <c r="AW200" s="18">
        <f t="shared" si="16"/>
        <v>0</v>
      </c>
    </row>
    <row r="201" spans="10:49" ht="15">
      <c r="J201" s="491"/>
      <c r="K201" s="54"/>
      <c r="L201" s="56"/>
      <c r="M201" s="56"/>
      <c r="N201" s="68"/>
      <c r="O201" s="68"/>
      <c r="P201" s="68"/>
      <c r="Q201" s="68"/>
      <c r="R201" s="68"/>
      <c r="S201" s="68"/>
      <c r="T201" s="68"/>
      <c r="U201" s="161"/>
      <c r="V201" s="54"/>
      <c r="W201" s="54"/>
      <c r="X201" s="54"/>
      <c r="Y201" s="54"/>
      <c r="Z201" s="161"/>
      <c r="AA201" s="67"/>
      <c r="AB201" s="67"/>
      <c r="AC201" s="55"/>
      <c r="AD201" s="55"/>
      <c r="AE201" s="54"/>
      <c r="AF201" s="54"/>
      <c r="AG201" s="54"/>
      <c r="AH201" s="54"/>
      <c r="AI201" s="55"/>
      <c r="AJ201" s="54"/>
      <c r="AW201" s="18">
        <f t="shared" si="16"/>
        <v>0</v>
      </c>
    </row>
    <row r="202" spans="10:49" ht="15">
      <c r="J202" s="491"/>
      <c r="K202" s="54"/>
      <c r="L202" s="491"/>
      <c r="M202" s="491"/>
      <c r="N202" s="68"/>
      <c r="O202" s="68"/>
      <c r="P202" s="68"/>
      <c r="Q202" s="68"/>
      <c r="R202" s="68"/>
      <c r="S202" s="68"/>
      <c r="T202" s="68"/>
      <c r="U202" s="161"/>
      <c r="V202" s="54"/>
      <c r="W202" s="54"/>
      <c r="X202" s="54"/>
      <c r="Y202" s="54"/>
      <c r="Z202" s="161"/>
      <c r="AA202" s="67"/>
      <c r="AB202" s="67"/>
      <c r="AC202" s="55"/>
      <c r="AD202" s="55"/>
      <c r="AE202" s="54"/>
      <c r="AF202" s="54"/>
      <c r="AG202" s="54"/>
      <c r="AH202" s="54"/>
      <c r="AI202" s="55"/>
      <c r="AJ202" s="54"/>
      <c r="AW202" s="18">
        <f t="shared" si="16"/>
        <v>0</v>
      </c>
    </row>
    <row r="203" spans="10:49" ht="15">
      <c r="J203" s="687"/>
      <c r="K203" s="54"/>
      <c r="L203" s="687"/>
      <c r="M203" s="491"/>
      <c r="N203" s="68"/>
      <c r="O203" s="68"/>
      <c r="P203" s="68"/>
      <c r="Q203" s="68"/>
      <c r="R203" s="68"/>
      <c r="S203" s="68"/>
      <c r="T203" s="68"/>
      <c r="U203" s="161"/>
      <c r="V203" s="54"/>
      <c r="W203" s="54"/>
      <c r="X203" s="54"/>
      <c r="Y203" s="54"/>
      <c r="Z203" s="161"/>
      <c r="AA203" s="161"/>
      <c r="AB203" s="68"/>
      <c r="AC203" s="54"/>
      <c r="AD203" s="54"/>
      <c r="AE203" s="54"/>
      <c r="AF203" s="54"/>
      <c r="AG203" s="54"/>
      <c r="AH203" s="54"/>
      <c r="AI203" s="54"/>
      <c r="AJ203" s="54"/>
      <c r="AW203" s="18">
        <f t="shared" si="16"/>
        <v>0</v>
      </c>
    </row>
    <row r="204" spans="10:49" ht="15">
      <c r="J204" s="687"/>
      <c r="K204" s="54"/>
      <c r="L204" s="687"/>
      <c r="M204" s="491"/>
      <c r="N204" s="68"/>
      <c r="O204" s="68"/>
      <c r="P204" s="68"/>
      <c r="Q204" s="68"/>
      <c r="R204" s="68"/>
      <c r="S204" s="68"/>
      <c r="T204" s="68"/>
      <c r="U204" s="161"/>
      <c r="V204" s="54"/>
      <c r="W204" s="54"/>
      <c r="X204" s="54"/>
      <c r="Y204" s="54"/>
      <c r="Z204" s="161"/>
      <c r="AA204" s="161"/>
      <c r="AB204" s="68"/>
      <c r="AC204" s="54"/>
      <c r="AD204" s="54"/>
      <c r="AE204" s="54"/>
      <c r="AF204" s="54"/>
      <c r="AG204" s="54"/>
      <c r="AH204" s="54"/>
      <c r="AI204" s="54"/>
      <c r="AJ204" s="54"/>
      <c r="AW204" s="18">
        <f t="shared" si="16"/>
        <v>0</v>
      </c>
    </row>
    <row r="205" spans="10:49" ht="15">
      <c r="J205" s="687"/>
      <c r="K205" s="54"/>
      <c r="L205" s="687"/>
      <c r="M205" s="491"/>
      <c r="N205" s="68"/>
      <c r="O205" s="68"/>
      <c r="P205" s="68"/>
      <c r="Q205" s="68"/>
      <c r="R205" s="68"/>
      <c r="S205" s="68"/>
      <c r="T205" s="68"/>
      <c r="U205" s="161"/>
      <c r="V205" s="54"/>
      <c r="W205" s="54"/>
      <c r="X205" s="54"/>
      <c r="Y205" s="54"/>
      <c r="Z205" s="161"/>
      <c r="AA205" s="161"/>
      <c r="AB205" s="68"/>
      <c r="AC205" s="54"/>
      <c r="AD205" s="54"/>
      <c r="AE205" s="54"/>
      <c r="AF205" s="54"/>
      <c r="AG205" s="54"/>
      <c r="AH205" s="54"/>
      <c r="AI205" s="54"/>
      <c r="AJ205" s="54"/>
      <c r="AW205" s="18">
        <f t="shared" si="16"/>
        <v>0</v>
      </c>
    </row>
    <row r="206" spans="10:49" ht="15">
      <c r="J206" s="687"/>
      <c r="K206" s="54"/>
      <c r="L206" s="687"/>
      <c r="M206" s="491"/>
      <c r="N206" s="68"/>
      <c r="O206" s="68"/>
      <c r="P206" s="68"/>
      <c r="Q206" s="68"/>
      <c r="R206" s="68"/>
      <c r="S206" s="68"/>
      <c r="T206" s="68"/>
      <c r="U206" s="161"/>
      <c r="V206" s="54"/>
      <c r="W206" s="54"/>
      <c r="X206" s="54"/>
      <c r="Y206" s="54"/>
      <c r="Z206" s="161"/>
      <c r="AA206" s="161"/>
      <c r="AB206" s="68"/>
      <c r="AC206" s="54"/>
      <c r="AD206" s="54"/>
      <c r="AE206" s="54"/>
      <c r="AF206" s="54"/>
      <c r="AG206" s="54"/>
      <c r="AH206" s="54"/>
      <c r="AI206" s="54"/>
      <c r="AJ206" s="54"/>
      <c r="AW206" s="18">
        <f t="shared" si="16"/>
        <v>0</v>
      </c>
    </row>
    <row r="207" spans="10:49" ht="15">
      <c r="J207" s="687"/>
      <c r="K207" s="54"/>
      <c r="L207" s="687"/>
      <c r="M207" s="491"/>
      <c r="N207" s="68"/>
      <c r="O207" s="68"/>
      <c r="P207" s="68"/>
      <c r="Q207" s="68"/>
      <c r="R207" s="68"/>
      <c r="S207" s="68"/>
      <c r="T207" s="68"/>
      <c r="U207" s="161"/>
      <c r="V207" s="54"/>
      <c r="W207" s="54"/>
      <c r="X207" s="54"/>
      <c r="Y207" s="54"/>
      <c r="Z207" s="161"/>
      <c r="AA207" s="161"/>
      <c r="AB207" s="68"/>
      <c r="AC207" s="54"/>
      <c r="AD207" s="54"/>
      <c r="AE207" s="54"/>
      <c r="AF207" s="54"/>
      <c r="AG207" s="54"/>
      <c r="AH207" s="54"/>
      <c r="AI207" s="54"/>
      <c r="AJ207" s="54"/>
      <c r="AW207" s="18">
        <f t="shared" si="16"/>
        <v>0</v>
      </c>
    </row>
    <row r="208" spans="10:49" ht="15">
      <c r="J208" s="687"/>
      <c r="K208" s="54"/>
      <c r="L208" s="687"/>
      <c r="M208" s="491"/>
      <c r="N208" s="68"/>
      <c r="O208" s="68"/>
      <c r="P208" s="68"/>
      <c r="Q208" s="68"/>
      <c r="R208" s="68"/>
      <c r="S208" s="68"/>
      <c r="T208" s="68"/>
      <c r="U208" s="161"/>
      <c r="V208" s="54"/>
      <c r="W208" s="54"/>
      <c r="X208" s="54"/>
      <c r="Y208" s="54"/>
      <c r="Z208" s="161"/>
      <c r="AA208" s="161"/>
      <c r="AB208" s="68"/>
      <c r="AC208" s="54"/>
      <c r="AD208" s="54"/>
      <c r="AE208" s="54"/>
      <c r="AF208" s="54"/>
      <c r="AG208" s="54"/>
      <c r="AH208" s="54"/>
      <c r="AI208" s="54"/>
      <c r="AJ208" s="54"/>
      <c r="AW208" s="18">
        <f t="shared" si="16"/>
        <v>0</v>
      </c>
    </row>
    <row r="209" spans="10:49" ht="15">
      <c r="J209" s="687"/>
      <c r="K209" s="54"/>
      <c r="L209" s="687"/>
      <c r="M209" s="491"/>
      <c r="N209" s="68"/>
      <c r="O209" s="68"/>
      <c r="P209" s="68"/>
      <c r="Q209" s="68"/>
      <c r="R209" s="68"/>
      <c r="S209" s="68"/>
      <c r="T209" s="68"/>
      <c r="U209" s="161"/>
      <c r="V209" s="54"/>
      <c r="W209" s="54"/>
      <c r="X209" s="54"/>
      <c r="Y209" s="54"/>
      <c r="Z209" s="161"/>
      <c r="AA209" s="161"/>
      <c r="AB209" s="68"/>
      <c r="AC209" s="54"/>
      <c r="AD209" s="54"/>
      <c r="AE209" s="54"/>
      <c r="AF209" s="54"/>
      <c r="AG209" s="54"/>
      <c r="AH209" s="54"/>
      <c r="AI209" s="54"/>
      <c r="AJ209" s="54"/>
      <c r="AW209" s="18">
        <f t="shared" si="16"/>
        <v>0</v>
      </c>
    </row>
    <row r="210" spans="10:49" ht="15">
      <c r="J210" s="687"/>
      <c r="K210" s="54"/>
      <c r="L210" s="687"/>
      <c r="M210" s="491"/>
      <c r="N210" s="68"/>
      <c r="O210" s="68"/>
      <c r="P210" s="68"/>
      <c r="Q210" s="68"/>
      <c r="R210" s="68"/>
      <c r="S210" s="68"/>
      <c r="T210" s="68"/>
      <c r="U210" s="161"/>
      <c r="V210" s="54"/>
      <c r="W210" s="54"/>
      <c r="X210" s="54"/>
      <c r="Y210" s="54"/>
      <c r="Z210" s="161"/>
      <c r="AA210" s="161"/>
      <c r="AB210" s="68"/>
      <c r="AC210" s="54"/>
      <c r="AD210" s="54"/>
      <c r="AE210" s="54"/>
      <c r="AF210" s="54"/>
      <c r="AG210" s="54"/>
      <c r="AH210" s="54"/>
      <c r="AI210" s="54"/>
      <c r="AJ210" s="54"/>
      <c r="AW210" s="18">
        <f t="shared" si="16"/>
        <v>0</v>
      </c>
    </row>
    <row r="211" spans="10:49" ht="15">
      <c r="J211" s="687"/>
      <c r="K211" s="54"/>
      <c r="L211" s="687"/>
      <c r="M211" s="491"/>
      <c r="N211" s="68"/>
      <c r="O211" s="68"/>
      <c r="P211" s="68"/>
      <c r="Q211" s="68"/>
      <c r="R211" s="68"/>
      <c r="S211" s="68"/>
      <c r="T211" s="68"/>
      <c r="U211" s="161"/>
      <c r="V211" s="54"/>
      <c r="W211" s="54"/>
      <c r="X211" s="54"/>
      <c r="Y211" s="54"/>
      <c r="Z211" s="161"/>
      <c r="AA211" s="161"/>
      <c r="AB211" s="68"/>
      <c r="AC211" s="54"/>
      <c r="AD211" s="54"/>
      <c r="AE211" s="54"/>
      <c r="AF211" s="54"/>
      <c r="AG211" s="54"/>
      <c r="AH211" s="54"/>
      <c r="AI211" s="54"/>
      <c r="AJ211" s="54"/>
      <c r="AW211" s="18">
        <f t="shared" si="16"/>
        <v>0</v>
      </c>
    </row>
    <row r="212" spans="10:49" ht="15">
      <c r="J212" s="687"/>
      <c r="K212" s="54"/>
      <c r="L212" s="687"/>
      <c r="M212" s="491"/>
      <c r="N212" s="68"/>
      <c r="O212" s="68"/>
      <c r="P212" s="68"/>
      <c r="Q212" s="68"/>
      <c r="R212" s="68"/>
      <c r="S212" s="68"/>
      <c r="T212" s="68"/>
      <c r="U212" s="161"/>
      <c r="V212" s="54"/>
      <c r="W212" s="54"/>
      <c r="X212" s="54"/>
      <c r="Y212" s="54"/>
      <c r="Z212" s="161"/>
      <c r="AA212" s="161"/>
      <c r="AB212" s="68"/>
      <c r="AC212" s="54"/>
      <c r="AD212" s="54"/>
      <c r="AE212" s="54"/>
      <c r="AF212" s="54"/>
      <c r="AG212" s="54"/>
      <c r="AH212" s="54"/>
      <c r="AI212" s="54"/>
      <c r="AJ212" s="54"/>
      <c r="AW212" s="18">
        <f t="shared" si="16"/>
        <v>0</v>
      </c>
    </row>
    <row r="213" spans="10:49" ht="15">
      <c r="J213" s="687"/>
      <c r="K213" s="54"/>
      <c r="L213" s="687"/>
      <c r="M213" s="491"/>
      <c r="N213" s="68"/>
      <c r="O213" s="68"/>
      <c r="P213" s="68"/>
      <c r="Q213" s="68"/>
      <c r="R213" s="68"/>
      <c r="S213" s="68"/>
      <c r="T213" s="68"/>
      <c r="U213" s="161"/>
      <c r="V213" s="54"/>
      <c r="W213" s="54"/>
      <c r="X213" s="54"/>
      <c r="Y213" s="54"/>
      <c r="Z213" s="161"/>
      <c r="AA213" s="161"/>
      <c r="AB213" s="68"/>
      <c r="AC213" s="54"/>
      <c r="AD213" s="54"/>
      <c r="AE213" s="54"/>
      <c r="AF213" s="54"/>
      <c r="AG213" s="54"/>
      <c r="AH213" s="54"/>
      <c r="AI213" s="54"/>
      <c r="AJ213" s="54"/>
      <c r="AW213" s="18">
        <f t="shared" si="16"/>
        <v>0</v>
      </c>
    </row>
    <row r="214" spans="10:49" ht="15">
      <c r="J214" s="687"/>
      <c r="K214" s="54"/>
      <c r="L214" s="687"/>
      <c r="M214" s="491"/>
      <c r="N214" s="68"/>
      <c r="O214" s="68"/>
      <c r="P214" s="68"/>
      <c r="Q214" s="68"/>
      <c r="R214" s="68"/>
      <c r="S214" s="68"/>
      <c r="T214" s="68"/>
      <c r="U214" s="161"/>
      <c r="V214" s="54"/>
      <c r="W214" s="54"/>
      <c r="X214" s="54"/>
      <c r="Y214" s="54"/>
      <c r="Z214" s="161"/>
      <c r="AA214" s="161"/>
      <c r="AB214" s="68"/>
      <c r="AC214" s="54"/>
      <c r="AD214" s="54"/>
      <c r="AE214" s="54"/>
      <c r="AF214" s="54"/>
      <c r="AG214" s="54"/>
      <c r="AH214" s="54"/>
      <c r="AI214" s="54"/>
      <c r="AJ214" s="54"/>
      <c r="AW214" s="18">
        <f t="shared" si="16"/>
        <v>0</v>
      </c>
    </row>
    <row r="215" spans="10:49" ht="15">
      <c r="J215" s="687"/>
      <c r="K215" s="54"/>
      <c r="L215" s="687"/>
      <c r="M215" s="491"/>
      <c r="N215" s="68"/>
      <c r="O215" s="68"/>
      <c r="P215" s="68"/>
      <c r="Q215" s="68"/>
      <c r="R215" s="68"/>
      <c r="S215" s="68"/>
      <c r="T215" s="68"/>
      <c r="U215" s="161"/>
      <c r="V215" s="54"/>
      <c r="W215" s="54"/>
      <c r="X215" s="54"/>
      <c r="Y215" s="54"/>
      <c r="Z215" s="161"/>
      <c r="AA215" s="161"/>
      <c r="AB215" s="68"/>
      <c r="AC215" s="54"/>
      <c r="AD215" s="54"/>
      <c r="AE215" s="54"/>
      <c r="AF215" s="54"/>
      <c r="AG215" s="54"/>
      <c r="AH215" s="54"/>
      <c r="AI215" s="54"/>
      <c r="AJ215" s="54"/>
      <c r="AW215" s="18">
        <f t="shared" si="16"/>
        <v>0</v>
      </c>
    </row>
    <row r="216" spans="10:49" ht="15">
      <c r="J216" s="687"/>
      <c r="K216" s="54"/>
      <c r="L216" s="687"/>
      <c r="M216" s="491"/>
      <c r="N216" s="68"/>
      <c r="O216" s="68"/>
      <c r="P216" s="68"/>
      <c r="Q216" s="68"/>
      <c r="R216" s="68"/>
      <c r="S216" s="68"/>
      <c r="T216" s="68"/>
      <c r="U216" s="161"/>
      <c r="V216" s="54"/>
      <c r="W216" s="54"/>
      <c r="X216" s="54"/>
      <c r="Y216" s="54"/>
      <c r="Z216" s="161"/>
      <c r="AA216" s="161"/>
      <c r="AB216" s="68"/>
      <c r="AC216" s="54"/>
      <c r="AD216" s="54"/>
      <c r="AE216" s="54"/>
      <c r="AF216" s="54"/>
      <c r="AG216" s="54"/>
      <c r="AH216" s="54"/>
      <c r="AI216" s="54"/>
      <c r="AJ216" s="54"/>
      <c r="AW216" s="18">
        <f t="shared" si="16"/>
        <v>0</v>
      </c>
    </row>
    <row r="217" spans="10:49" ht="15">
      <c r="J217" s="687"/>
      <c r="K217" s="54"/>
      <c r="L217" s="687"/>
      <c r="M217" s="491"/>
      <c r="N217" s="68"/>
      <c r="O217" s="68"/>
      <c r="P217" s="68"/>
      <c r="Q217" s="68"/>
      <c r="R217" s="68"/>
      <c r="S217" s="68"/>
      <c r="T217" s="68"/>
      <c r="U217" s="161"/>
      <c r="V217" s="54"/>
      <c r="W217" s="54"/>
      <c r="X217" s="54"/>
      <c r="Y217" s="54"/>
      <c r="Z217" s="161"/>
      <c r="AA217" s="161"/>
      <c r="AB217" s="68"/>
      <c r="AC217" s="54"/>
      <c r="AD217" s="54"/>
      <c r="AE217" s="54"/>
      <c r="AF217" s="54"/>
      <c r="AG217" s="54"/>
      <c r="AH217" s="54"/>
      <c r="AI217" s="54"/>
      <c r="AJ217" s="54"/>
      <c r="AW217" s="18">
        <f t="shared" si="16"/>
        <v>0</v>
      </c>
    </row>
    <row r="218" spans="10:49" ht="15">
      <c r="J218" s="687"/>
      <c r="K218" s="54"/>
      <c r="L218" s="687"/>
      <c r="M218" s="491"/>
      <c r="N218" s="68"/>
      <c r="O218" s="68"/>
      <c r="P218" s="68"/>
      <c r="Q218" s="68"/>
      <c r="R218" s="68"/>
      <c r="S218" s="68"/>
      <c r="T218" s="68"/>
      <c r="U218" s="161"/>
      <c r="V218" s="54"/>
      <c r="W218" s="54"/>
      <c r="X218" s="54"/>
      <c r="Y218" s="54"/>
      <c r="Z218" s="161"/>
      <c r="AA218" s="161"/>
      <c r="AB218" s="68"/>
      <c r="AC218" s="54"/>
      <c r="AD218" s="54"/>
      <c r="AE218" s="54"/>
      <c r="AF218" s="54"/>
      <c r="AG218" s="54"/>
      <c r="AH218" s="54"/>
      <c r="AI218" s="54"/>
      <c r="AJ218" s="54"/>
      <c r="AW218" s="18">
        <f t="shared" si="16"/>
        <v>0</v>
      </c>
    </row>
    <row r="219" spans="10:49" ht="15">
      <c r="J219" s="687"/>
      <c r="K219" s="54"/>
      <c r="L219" s="687"/>
      <c r="M219" s="491"/>
      <c r="N219" s="68"/>
      <c r="O219" s="68"/>
      <c r="P219" s="68"/>
      <c r="Q219" s="68"/>
      <c r="R219" s="68"/>
      <c r="S219" s="68"/>
      <c r="T219" s="68"/>
      <c r="U219" s="161"/>
      <c r="V219" s="54"/>
      <c r="W219" s="54"/>
      <c r="X219" s="54"/>
      <c r="Y219" s="54"/>
      <c r="Z219" s="161"/>
      <c r="AA219" s="161"/>
      <c r="AB219" s="68"/>
      <c r="AC219" s="54"/>
      <c r="AD219" s="54"/>
      <c r="AE219" s="54"/>
      <c r="AF219" s="54"/>
      <c r="AG219" s="54"/>
      <c r="AH219" s="54"/>
      <c r="AI219" s="54"/>
      <c r="AJ219" s="54"/>
      <c r="AW219" s="18">
        <f t="shared" si="16"/>
        <v>0</v>
      </c>
    </row>
    <row r="220" spans="10:49" ht="15">
      <c r="J220" s="687"/>
      <c r="K220" s="54"/>
      <c r="L220" s="687"/>
      <c r="M220" s="491"/>
      <c r="N220" s="68"/>
      <c r="O220" s="68"/>
      <c r="P220" s="68"/>
      <c r="Q220" s="68"/>
      <c r="R220" s="68"/>
      <c r="S220" s="68"/>
      <c r="T220" s="68"/>
      <c r="U220" s="161"/>
      <c r="V220" s="54"/>
      <c r="W220" s="54"/>
      <c r="X220" s="54"/>
      <c r="Y220" s="54"/>
      <c r="Z220" s="161"/>
      <c r="AA220" s="161"/>
      <c r="AB220" s="68"/>
      <c r="AC220" s="54"/>
      <c r="AD220" s="54"/>
      <c r="AE220" s="54"/>
      <c r="AF220" s="54"/>
      <c r="AG220" s="54"/>
      <c r="AH220" s="54"/>
      <c r="AI220" s="54"/>
      <c r="AJ220" s="54"/>
      <c r="AW220" s="18">
        <f t="shared" si="16"/>
        <v>0</v>
      </c>
    </row>
    <row r="221" spans="10:49" ht="15">
      <c r="J221" s="687"/>
      <c r="K221" s="54"/>
      <c r="L221" s="687"/>
      <c r="M221" s="491"/>
      <c r="N221" s="68"/>
      <c r="O221" s="68"/>
      <c r="P221" s="68"/>
      <c r="Q221" s="68"/>
      <c r="R221" s="68"/>
      <c r="S221" s="68"/>
      <c r="T221" s="68"/>
      <c r="U221" s="161"/>
      <c r="V221" s="54"/>
      <c r="W221" s="54"/>
      <c r="X221" s="54"/>
      <c r="Y221" s="54"/>
      <c r="Z221" s="161"/>
      <c r="AA221" s="161"/>
      <c r="AB221" s="68"/>
      <c r="AC221" s="54"/>
      <c r="AD221" s="54"/>
      <c r="AE221" s="54"/>
      <c r="AF221" s="54"/>
      <c r="AG221" s="54"/>
      <c r="AH221" s="54"/>
      <c r="AI221" s="54"/>
      <c r="AJ221" s="54"/>
      <c r="AW221" s="18">
        <f t="shared" si="16"/>
        <v>0</v>
      </c>
    </row>
    <row r="222" spans="10:49" ht="15">
      <c r="J222" s="687"/>
      <c r="K222" s="54"/>
      <c r="L222" s="687"/>
      <c r="M222" s="491"/>
      <c r="N222" s="68"/>
      <c r="O222" s="68"/>
      <c r="P222" s="68"/>
      <c r="Q222" s="68"/>
      <c r="R222" s="68"/>
      <c r="S222" s="68"/>
      <c r="T222" s="68"/>
      <c r="U222" s="161"/>
      <c r="V222" s="54"/>
      <c r="W222" s="54"/>
      <c r="X222" s="54"/>
      <c r="Y222" s="54"/>
      <c r="Z222" s="161"/>
      <c r="AA222" s="161"/>
      <c r="AB222" s="68"/>
      <c r="AC222" s="54"/>
      <c r="AD222" s="54"/>
      <c r="AE222" s="54"/>
      <c r="AF222" s="54"/>
      <c r="AG222" s="54"/>
      <c r="AH222" s="54"/>
      <c r="AI222" s="54"/>
      <c r="AJ222" s="54"/>
      <c r="AW222" s="18">
        <f t="shared" si="16"/>
        <v>0</v>
      </c>
    </row>
    <row r="223" spans="10:49" ht="15">
      <c r="J223" s="687"/>
      <c r="K223" s="54"/>
      <c r="L223" s="687"/>
      <c r="M223" s="491"/>
      <c r="N223" s="68"/>
      <c r="O223" s="68"/>
      <c r="P223" s="68"/>
      <c r="Q223" s="68"/>
      <c r="R223" s="68"/>
      <c r="S223" s="68"/>
      <c r="T223" s="68"/>
      <c r="U223" s="161"/>
      <c r="V223" s="54"/>
      <c r="W223" s="54"/>
      <c r="X223" s="54"/>
      <c r="Y223" s="54"/>
      <c r="Z223" s="161"/>
      <c r="AA223" s="161"/>
      <c r="AB223" s="68"/>
      <c r="AC223" s="54"/>
      <c r="AD223" s="54"/>
      <c r="AE223" s="54"/>
      <c r="AF223" s="54"/>
      <c r="AG223" s="54"/>
      <c r="AH223" s="54"/>
      <c r="AI223" s="54"/>
      <c r="AJ223" s="54"/>
      <c r="AW223" s="18">
        <f t="shared" si="16"/>
        <v>0</v>
      </c>
    </row>
    <row r="224" spans="10:49" ht="15">
      <c r="J224" s="687"/>
      <c r="K224" s="54"/>
      <c r="L224" s="687"/>
      <c r="M224" s="491"/>
      <c r="N224" s="68"/>
      <c r="O224" s="68"/>
      <c r="P224" s="68"/>
      <c r="Q224" s="68"/>
      <c r="R224" s="68"/>
      <c r="S224" s="68"/>
      <c r="T224" s="68"/>
      <c r="U224" s="161"/>
      <c r="V224" s="54"/>
      <c r="W224" s="54"/>
      <c r="X224" s="54"/>
      <c r="Y224" s="54"/>
      <c r="Z224" s="161"/>
      <c r="AA224" s="161"/>
      <c r="AB224" s="68"/>
      <c r="AC224" s="54"/>
      <c r="AD224" s="54"/>
      <c r="AE224" s="54"/>
      <c r="AF224" s="54"/>
      <c r="AG224" s="54"/>
      <c r="AH224" s="54"/>
      <c r="AI224" s="54"/>
      <c r="AJ224" s="54"/>
      <c r="AW224" s="18">
        <f t="shared" ref="AW224:AW287" si="17">LEN(L224)</f>
        <v>0</v>
      </c>
    </row>
    <row r="225" spans="10:49" ht="15">
      <c r="J225" s="687"/>
      <c r="K225" s="54"/>
      <c r="L225" s="687"/>
      <c r="M225" s="491"/>
      <c r="N225" s="68"/>
      <c r="O225" s="68"/>
      <c r="P225" s="68"/>
      <c r="Q225" s="68"/>
      <c r="R225" s="68"/>
      <c r="S225" s="68"/>
      <c r="T225" s="68"/>
      <c r="U225" s="161"/>
      <c r="V225" s="54"/>
      <c r="W225" s="54"/>
      <c r="X225" s="54"/>
      <c r="Y225" s="54"/>
      <c r="Z225" s="161"/>
      <c r="AA225" s="161"/>
      <c r="AB225" s="68"/>
      <c r="AC225" s="54"/>
      <c r="AD225" s="54"/>
      <c r="AE225" s="54"/>
      <c r="AF225" s="54"/>
      <c r="AG225" s="54"/>
      <c r="AH225" s="54"/>
      <c r="AI225" s="54"/>
      <c r="AJ225" s="54"/>
      <c r="AW225" s="18">
        <f t="shared" si="17"/>
        <v>0</v>
      </c>
    </row>
    <row r="226" spans="10:49" ht="15">
      <c r="J226" s="687"/>
      <c r="K226" s="54"/>
      <c r="L226" s="687"/>
      <c r="M226" s="491"/>
      <c r="N226" s="68"/>
      <c r="O226" s="68"/>
      <c r="P226" s="68"/>
      <c r="Q226" s="68"/>
      <c r="R226" s="68"/>
      <c r="S226" s="68"/>
      <c r="T226" s="68"/>
      <c r="U226" s="161"/>
      <c r="V226" s="54"/>
      <c r="W226" s="54"/>
      <c r="X226" s="54"/>
      <c r="Y226" s="54"/>
      <c r="Z226" s="161"/>
      <c r="AA226" s="161"/>
      <c r="AB226" s="68"/>
      <c r="AC226" s="54"/>
      <c r="AD226" s="54"/>
      <c r="AE226" s="54"/>
      <c r="AF226" s="54"/>
      <c r="AG226" s="54"/>
      <c r="AH226" s="54"/>
      <c r="AI226" s="54"/>
      <c r="AJ226" s="54"/>
      <c r="AW226" s="18">
        <f t="shared" si="17"/>
        <v>0</v>
      </c>
    </row>
    <row r="227" spans="10:49" ht="15">
      <c r="J227" s="687"/>
      <c r="K227" s="54"/>
      <c r="L227" s="687"/>
      <c r="M227" s="491"/>
      <c r="N227" s="68"/>
      <c r="O227" s="68"/>
      <c r="P227" s="68"/>
      <c r="Q227" s="68"/>
      <c r="R227" s="68"/>
      <c r="S227" s="68"/>
      <c r="T227" s="68"/>
      <c r="U227" s="161"/>
      <c r="V227" s="54"/>
      <c r="W227" s="54"/>
      <c r="X227" s="54"/>
      <c r="Y227" s="54"/>
      <c r="Z227" s="161"/>
      <c r="AA227" s="161"/>
      <c r="AB227" s="68"/>
      <c r="AC227" s="54"/>
      <c r="AD227" s="54"/>
      <c r="AE227" s="54"/>
      <c r="AF227" s="54"/>
      <c r="AG227" s="54"/>
      <c r="AH227" s="54"/>
      <c r="AI227" s="54"/>
      <c r="AJ227" s="54"/>
      <c r="AW227" s="18">
        <f t="shared" si="17"/>
        <v>0</v>
      </c>
    </row>
    <row r="228" spans="10:49" ht="15">
      <c r="J228" s="687"/>
      <c r="K228" s="54"/>
      <c r="L228" s="687"/>
      <c r="M228" s="491"/>
      <c r="N228" s="68"/>
      <c r="O228" s="68"/>
      <c r="P228" s="68"/>
      <c r="Q228" s="68"/>
      <c r="R228" s="68"/>
      <c r="S228" s="68"/>
      <c r="T228" s="68"/>
      <c r="U228" s="161"/>
      <c r="V228" s="54"/>
      <c r="W228" s="54"/>
      <c r="X228" s="54"/>
      <c r="Y228" s="54"/>
      <c r="Z228" s="161"/>
      <c r="AA228" s="161"/>
      <c r="AB228" s="68"/>
      <c r="AC228" s="54"/>
      <c r="AD228" s="54"/>
      <c r="AE228" s="54"/>
      <c r="AF228" s="54"/>
      <c r="AG228" s="54"/>
      <c r="AH228" s="54"/>
      <c r="AI228" s="54"/>
      <c r="AJ228" s="54"/>
      <c r="AW228" s="18">
        <f t="shared" si="17"/>
        <v>0</v>
      </c>
    </row>
    <row r="229" spans="10:49" ht="15">
      <c r="J229" s="687"/>
      <c r="K229" s="54"/>
      <c r="L229" s="687"/>
      <c r="M229" s="491"/>
      <c r="N229" s="68"/>
      <c r="O229" s="68"/>
      <c r="P229" s="68"/>
      <c r="Q229" s="68"/>
      <c r="R229" s="68"/>
      <c r="S229" s="68"/>
      <c r="T229" s="68"/>
      <c r="U229" s="161"/>
      <c r="V229" s="54"/>
      <c r="W229" s="54"/>
      <c r="X229" s="54"/>
      <c r="Y229" s="54"/>
      <c r="Z229" s="161"/>
      <c r="AA229" s="161"/>
      <c r="AB229" s="68"/>
      <c r="AC229" s="54"/>
      <c r="AD229" s="54"/>
      <c r="AE229" s="54"/>
      <c r="AF229" s="54"/>
      <c r="AG229" s="54"/>
      <c r="AH229" s="54"/>
      <c r="AI229" s="54"/>
      <c r="AJ229" s="54"/>
      <c r="AW229" s="18">
        <f t="shared" si="17"/>
        <v>0</v>
      </c>
    </row>
    <row r="230" spans="10:49" ht="15">
      <c r="J230" s="687"/>
      <c r="K230" s="54"/>
      <c r="L230" s="687"/>
      <c r="M230" s="491"/>
      <c r="N230" s="68"/>
      <c r="O230" s="68"/>
      <c r="P230" s="68"/>
      <c r="Q230" s="68"/>
      <c r="R230" s="68"/>
      <c r="S230" s="68"/>
      <c r="T230" s="68"/>
      <c r="U230" s="161"/>
      <c r="V230" s="54"/>
      <c r="W230" s="54"/>
      <c r="X230" s="54"/>
      <c r="Y230" s="54"/>
      <c r="Z230" s="161"/>
      <c r="AA230" s="161"/>
      <c r="AB230" s="68"/>
      <c r="AC230" s="54"/>
      <c r="AD230" s="54"/>
      <c r="AE230" s="54"/>
      <c r="AF230" s="54"/>
      <c r="AG230" s="54"/>
      <c r="AH230" s="54"/>
      <c r="AI230" s="54"/>
      <c r="AJ230" s="54"/>
      <c r="AW230" s="18">
        <f t="shared" si="17"/>
        <v>0</v>
      </c>
    </row>
    <row r="231" spans="10:49" ht="15">
      <c r="J231" s="687"/>
      <c r="K231" s="54"/>
      <c r="L231" s="687"/>
      <c r="M231" s="491"/>
      <c r="N231" s="68"/>
      <c r="O231" s="68"/>
      <c r="P231" s="68"/>
      <c r="Q231" s="68"/>
      <c r="R231" s="68"/>
      <c r="S231" s="68"/>
      <c r="T231" s="68"/>
      <c r="U231" s="161"/>
      <c r="V231" s="54"/>
      <c r="W231" s="54"/>
      <c r="X231" s="54"/>
      <c r="Y231" s="54"/>
      <c r="Z231" s="161"/>
      <c r="AA231" s="161"/>
      <c r="AB231" s="68"/>
      <c r="AC231" s="54"/>
      <c r="AD231" s="54"/>
      <c r="AE231" s="54"/>
      <c r="AF231" s="54"/>
      <c r="AG231" s="54"/>
      <c r="AH231" s="54"/>
      <c r="AI231" s="54"/>
      <c r="AJ231" s="54"/>
      <c r="AW231" s="18">
        <f t="shared" si="17"/>
        <v>0</v>
      </c>
    </row>
    <row r="232" spans="10:49" ht="15">
      <c r="J232" s="687"/>
      <c r="K232" s="54"/>
      <c r="L232" s="687"/>
      <c r="M232" s="491"/>
      <c r="N232" s="68"/>
      <c r="O232" s="68"/>
      <c r="P232" s="68"/>
      <c r="Q232" s="68"/>
      <c r="R232" s="68"/>
      <c r="S232" s="68"/>
      <c r="T232" s="68"/>
      <c r="U232" s="161"/>
      <c r="V232" s="54"/>
      <c r="W232" s="54"/>
      <c r="X232" s="54"/>
      <c r="Y232" s="54"/>
      <c r="Z232" s="161"/>
      <c r="AA232" s="161"/>
      <c r="AB232" s="68"/>
      <c r="AC232" s="54"/>
      <c r="AD232" s="54"/>
      <c r="AE232" s="54"/>
      <c r="AF232" s="54"/>
      <c r="AG232" s="54"/>
      <c r="AH232" s="54"/>
      <c r="AI232" s="54"/>
      <c r="AJ232" s="54"/>
      <c r="AW232" s="18">
        <f t="shared" si="17"/>
        <v>0</v>
      </c>
    </row>
    <row r="233" spans="10:49" ht="15">
      <c r="J233" s="687"/>
      <c r="K233" s="54"/>
      <c r="L233" s="687"/>
      <c r="M233" s="491"/>
      <c r="N233" s="68"/>
      <c r="O233" s="68"/>
      <c r="P233" s="68"/>
      <c r="Q233" s="68"/>
      <c r="R233" s="68"/>
      <c r="S233" s="68"/>
      <c r="T233" s="68"/>
      <c r="U233" s="161"/>
      <c r="V233" s="54"/>
      <c r="W233" s="54"/>
      <c r="X233" s="54"/>
      <c r="Y233" s="54"/>
      <c r="Z233" s="161"/>
      <c r="AA233" s="161"/>
      <c r="AB233" s="68"/>
      <c r="AC233" s="54"/>
      <c r="AD233" s="54"/>
      <c r="AE233" s="54"/>
      <c r="AF233" s="54"/>
      <c r="AG233" s="54"/>
      <c r="AH233" s="54"/>
      <c r="AI233" s="54"/>
      <c r="AJ233" s="54"/>
      <c r="AW233" s="18">
        <f t="shared" si="17"/>
        <v>0</v>
      </c>
    </row>
    <row r="234" spans="10:49" ht="15">
      <c r="J234" s="687"/>
      <c r="K234" s="54"/>
      <c r="L234" s="687"/>
      <c r="M234" s="491"/>
      <c r="N234" s="68"/>
      <c r="O234" s="68"/>
      <c r="P234" s="68"/>
      <c r="Q234" s="68"/>
      <c r="R234" s="68"/>
      <c r="S234" s="68"/>
      <c r="T234" s="68"/>
      <c r="U234" s="161"/>
      <c r="V234" s="54"/>
      <c r="W234" s="54"/>
      <c r="X234" s="54"/>
      <c r="Y234" s="54"/>
      <c r="Z234" s="161"/>
      <c r="AA234" s="161"/>
      <c r="AB234" s="68"/>
      <c r="AC234" s="54"/>
      <c r="AD234" s="54"/>
      <c r="AE234" s="54"/>
      <c r="AF234" s="54"/>
      <c r="AG234" s="54"/>
      <c r="AH234" s="54"/>
      <c r="AI234" s="54"/>
      <c r="AJ234" s="54"/>
      <c r="AW234" s="18">
        <f t="shared" si="17"/>
        <v>0</v>
      </c>
    </row>
    <row r="235" spans="10:49" ht="15">
      <c r="J235" s="687"/>
      <c r="K235" s="54"/>
      <c r="L235" s="687"/>
      <c r="M235" s="491"/>
      <c r="N235" s="68"/>
      <c r="O235" s="68"/>
      <c r="P235" s="68"/>
      <c r="Q235" s="68"/>
      <c r="R235" s="68"/>
      <c r="S235" s="68"/>
      <c r="T235" s="68"/>
      <c r="U235" s="161"/>
      <c r="V235" s="54"/>
      <c r="W235" s="54"/>
      <c r="X235" s="54"/>
      <c r="Y235" s="54"/>
      <c r="Z235" s="161"/>
      <c r="AA235" s="161"/>
      <c r="AB235" s="68"/>
      <c r="AC235" s="54"/>
      <c r="AD235" s="54"/>
      <c r="AE235" s="54"/>
      <c r="AF235" s="54"/>
      <c r="AG235" s="54"/>
      <c r="AH235" s="54"/>
      <c r="AI235" s="54"/>
      <c r="AJ235" s="54"/>
      <c r="AW235" s="18">
        <f t="shared" si="17"/>
        <v>0</v>
      </c>
    </row>
    <row r="236" spans="10:49" ht="15">
      <c r="J236" s="687"/>
      <c r="K236" s="54"/>
      <c r="L236" s="687"/>
      <c r="M236" s="491"/>
      <c r="N236" s="68"/>
      <c r="O236" s="68"/>
      <c r="P236" s="68"/>
      <c r="Q236" s="68"/>
      <c r="R236" s="68"/>
      <c r="S236" s="68"/>
      <c r="T236" s="68"/>
      <c r="U236" s="161"/>
      <c r="V236" s="54"/>
      <c r="W236" s="54"/>
      <c r="X236" s="54"/>
      <c r="Y236" s="54"/>
      <c r="Z236" s="161"/>
      <c r="AA236" s="161"/>
      <c r="AB236" s="68"/>
      <c r="AC236" s="54"/>
      <c r="AD236" s="54"/>
      <c r="AE236" s="54"/>
      <c r="AF236" s="54"/>
      <c r="AG236" s="54"/>
      <c r="AH236" s="54"/>
      <c r="AI236" s="54"/>
      <c r="AJ236" s="54"/>
      <c r="AW236" s="18">
        <f t="shared" si="17"/>
        <v>0</v>
      </c>
    </row>
    <row r="237" spans="10:49" ht="15">
      <c r="J237" s="687"/>
      <c r="K237" s="54"/>
      <c r="L237" s="687"/>
      <c r="M237" s="491"/>
      <c r="N237" s="68"/>
      <c r="O237" s="68"/>
      <c r="P237" s="68"/>
      <c r="Q237" s="68"/>
      <c r="R237" s="68"/>
      <c r="S237" s="68"/>
      <c r="T237" s="68"/>
      <c r="U237" s="161"/>
      <c r="V237" s="54"/>
      <c r="W237" s="54"/>
      <c r="X237" s="54"/>
      <c r="Y237" s="54"/>
      <c r="Z237" s="161"/>
      <c r="AA237" s="161"/>
      <c r="AB237" s="68"/>
      <c r="AC237" s="54"/>
      <c r="AD237" s="54"/>
      <c r="AE237" s="54"/>
      <c r="AF237" s="54"/>
      <c r="AG237" s="54"/>
      <c r="AH237" s="54"/>
      <c r="AI237" s="54"/>
      <c r="AJ237" s="54"/>
      <c r="AW237" s="18">
        <f t="shared" si="17"/>
        <v>0</v>
      </c>
    </row>
    <row r="238" spans="10:49" ht="15">
      <c r="J238" s="687"/>
      <c r="K238" s="54"/>
      <c r="L238" s="687"/>
      <c r="M238" s="491"/>
      <c r="N238" s="68"/>
      <c r="O238" s="68"/>
      <c r="P238" s="68"/>
      <c r="Q238" s="68"/>
      <c r="R238" s="68"/>
      <c r="S238" s="68"/>
      <c r="T238" s="68"/>
      <c r="U238" s="161"/>
      <c r="V238" s="54"/>
      <c r="W238" s="54"/>
      <c r="X238" s="54"/>
      <c r="Y238" s="54"/>
      <c r="Z238" s="161"/>
      <c r="AA238" s="161"/>
      <c r="AB238" s="68"/>
      <c r="AC238" s="54"/>
      <c r="AD238" s="54"/>
      <c r="AE238" s="54"/>
      <c r="AF238" s="54"/>
      <c r="AG238" s="54"/>
      <c r="AH238" s="54"/>
      <c r="AI238" s="54"/>
      <c r="AJ238" s="54"/>
      <c r="AW238" s="18">
        <f t="shared" si="17"/>
        <v>0</v>
      </c>
    </row>
    <row r="239" spans="10:49" ht="15">
      <c r="J239" s="687"/>
      <c r="K239" s="54"/>
      <c r="L239" s="687"/>
      <c r="M239" s="491"/>
      <c r="N239" s="68"/>
      <c r="O239" s="68"/>
      <c r="P239" s="68"/>
      <c r="Q239" s="68"/>
      <c r="R239" s="68"/>
      <c r="S239" s="68"/>
      <c r="T239" s="68"/>
      <c r="U239" s="161"/>
      <c r="V239" s="54"/>
      <c r="W239" s="54"/>
      <c r="X239" s="54"/>
      <c r="Y239" s="54"/>
      <c r="Z239" s="161"/>
      <c r="AA239" s="161"/>
      <c r="AB239" s="68"/>
      <c r="AC239" s="54"/>
      <c r="AD239" s="54"/>
      <c r="AE239" s="54"/>
      <c r="AF239" s="54"/>
      <c r="AG239" s="54"/>
      <c r="AH239" s="54"/>
      <c r="AI239" s="54"/>
      <c r="AJ239" s="54"/>
      <c r="AW239" s="18">
        <f t="shared" si="17"/>
        <v>0</v>
      </c>
    </row>
    <row r="240" spans="10:49" ht="15">
      <c r="J240" s="687"/>
      <c r="K240" s="54"/>
      <c r="L240" s="687"/>
      <c r="M240" s="491"/>
      <c r="N240" s="68"/>
      <c r="O240" s="68"/>
      <c r="P240" s="68"/>
      <c r="Q240" s="68"/>
      <c r="R240" s="68"/>
      <c r="S240" s="68"/>
      <c r="T240" s="68"/>
      <c r="U240" s="161"/>
      <c r="V240" s="54"/>
      <c r="W240" s="54"/>
      <c r="X240" s="54"/>
      <c r="Y240" s="54"/>
      <c r="Z240" s="161"/>
      <c r="AA240" s="161"/>
      <c r="AB240" s="68"/>
      <c r="AC240" s="54"/>
      <c r="AD240" s="54"/>
      <c r="AE240" s="54"/>
      <c r="AF240" s="54"/>
      <c r="AG240" s="54"/>
      <c r="AH240" s="54"/>
      <c r="AI240" s="54"/>
      <c r="AJ240" s="54"/>
      <c r="AW240" s="18">
        <f t="shared" si="17"/>
        <v>0</v>
      </c>
    </row>
    <row r="241" spans="10:49" ht="15">
      <c r="J241" s="687"/>
      <c r="K241" s="54"/>
      <c r="L241" s="687"/>
      <c r="M241" s="491"/>
      <c r="N241" s="68"/>
      <c r="O241" s="68"/>
      <c r="P241" s="68"/>
      <c r="Q241" s="68"/>
      <c r="R241" s="68"/>
      <c r="S241" s="68"/>
      <c r="T241" s="68"/>
      <c r="U241" s="161"/>
      <c r="V241" s="54"/>
      <c r="W241" s="54"/>
      <c r="X241" s="54"/>
      <c r="Y241" s="54"/>
      <c r="Z241" s="161"/>
      <c r="AA241" s="161"/>
      <c r="AB241" s="68"/>
      <c r="AC241" s="54"/>
      <c r="AD241" s="54"/>
      <c r="AE241" s="54"/>
      <c r="AF241" s="54"/>
      <c r="AG241" s="54"/>
      <c r="AH241" s="54"/>
      <c r="AI241" s="54"/>
      <c r="AJ241" s="54"/>
      <c r="AW241" s="18">
        <f t="shared" si="17"/>
        <v>0</v>
      </c>
    </row>
    <row r="242" spans="10:49" ht="15">
      <c r="J242" s="687"/>
      <c r="K242" s="54"/>
      <c r="L242" s="687"/>
      <c r="M242" s="491"/>
      <c r="N242" s="68"/>
      <c r="O242" s="68"/>
      <c r="P242" s="68"/>
      <c r="Q242" s="68"/>
      <c r="R242" s="68"/>
      <c r="S242" s="68"/>
      <c r="T242" s="68"/>
      <c r="U242" s="161"/>
      <c r="V242" s="54"/>
      <c r="W242" s="54"/>
      <c r="X242" s="54"/>
      <c r="Y242" s="54"/>
      <c r="Z242" s="161"/>
      <c r="AA242" s="161"/>
      <c r="AB242" s="68"/>
      <c r="AC242" s="54"/>
      <c r="AD242" s="54"/>
      <c r="AE242" s="54"/>
      <c r="AF242" s="54"/>
      <c r="AG242" s="54"/>
      <c r="AH242" s="54"/>
      <c r="AI242" s="54"/>
      <c r="AJ242" s="54"/>
      <c r="AW242" s="18">
        <f t="shared" si="17"/>
        <v>0</v>
      </c>
    </row>
    <row r="243" spans="10:49" ht="15">
      <c r="J243" s="687"/>
      <c r="K243" s="54"/>
      <c r="L243" s="687"/>
      <c r="M243" s="491"/>
      <c r="N243" s="68"/>
      <c r="O243" s="68"/>
      <c r="P243" s="68"/>
      <c r="Q243" s="68"/>
      <c r="R243" s="68"/>
      <c r="S243" s="68"/>
      <c r="T243" s="68"/>
      <c r="U243" s="161"/>
      <c r="V243" s="54"/>
      <c r="W243" s="54"/>
      <c r="X243" s="54"/>
      <c r="Y243" s="54"/>
      <c r="Z243" s="161"/>
      <c r="AA243" s="161"/>
      <c r="AB243" s="68"/>
      <c r="AC243" s="54"/>
      <c r="AD243" s="54"/>
      <c r="AE243" s="54"/>
      <c r="AF243" s="54"/>
      <c r="AG243" s="54"/>
      <c r="AH243" s="54"/>
      <c r="AI243" s="54"/>
      <c r="AJ243" s="54"/>
      <c r="AW243" s="18">
        <f t="shared" si="17"/>
        <v>0</v>
      </c>
    </row>
    <row r="244" spans="10:49" ht="15">
      <c r="J244" s="687"/>
      <c r="K244" s="54"/>
      <c r="L244" s="687"/>
      <c r="M244" s="491"/>
      <c r="N244" s="68"/>
      <c r="O244" s="68"/>
      <c r="P244" s="68"/>
      <c r="Q244" s="68"/>
      <c r="R244" s="68"/>
      <c r="S244" s="68"/>
      <c r="T244" s="68"/>
      <c r="U244" s="161"/>
      <c r="V244" s="54"/>
      <c r="W244" s="54"/>
      <c r="X244" s="54"/>
      <c r="Y244" s="54"/>
      <c r="Z244" s="161"/>
      <c r="AA244" s="161"/>
      <c r="AB244" s="68"/>
      <c r="AC244" s="54"/>
      <c r="AD244" s="54"/>
      <c r="AE244" s="54"/>
      <c r="AF244" s="54"/>
      <c r="AG244" s="54"/>
      <c r="AH244" s="54"/>
      <c r="AI244" s="54"/>
      <c r="AJ244" s="54"/>
      <c r="AW244" s="18">
        <f t="shared" si="17"/>
        <v>0</v>
      </c>
    </row>
    <row r="245" spans="10:49" ht="15">
      <c r="J245" s="687"/>
      <c r="K245" s="54"/>
      <c r="L245" s="687"/>
      <c r="M245" s="491"/>
      <c r="N245" s="68"/>
      <c r="O245" s="68"/>
      <c r="P245" s="68"/>
      <c r="Q245" s="68"/>
      <c r="R245" s="68"/>
      <c r="S245" s="68"/>
      <c r="T245" s="68"/>
      <c r="U245" s="161"/>
      <c r="V245" s="54"/>
      <c r="W245" s="54"/>
      <c r="X245" s="54"/>
      <c r="Y245" s="54"/>
      <c r="Z245" s="161"/>
      <c r="AA245" s="161"/>
      <c r="AB245" s="68"/>
      <c r="AC245" s="54"/>
      <c r="AD245" s="54"/>
      <c r="AE245" s="54"/>
      <c r="AF245" s="54"/>
      <c r="AG245" s="54"/>
      <c r="AH245" s="54"/>
      <c r="AI245" s="54"/>
      <c r="AJ245" s="54"/>
      <c r="AW245" s="18">
        <f t="shared" si="17"/>
        <v>0</v>
      </c>
    </row>
    <row r="246" spans="10:49" ht="15">
      <c r="J246" s="687"/>
      <c r="K246" s="54"/>
      <c r="L246" s="687"/>
      <c r="M246" s="491"/>
      <c r="N246" s="68"/>
      <c r="O246" s="68"/>
      <c r="P246" s="68"/>
      <c r="Q246" s="68"/>
      <c r="R246" s="68"/>
      <c r="S246" s="68"/>
      <c r="T246" s="68"/>
      <c r="U246" s="161"/>
      <c r="V246" s="54"/>
      <c r="W246" s="54"/>
      <c r="X246" s="54"/>
      <c r="Y246" s="54"/>
      <c r="Z246" s="161"/>
      <c r="AA246" s="161"/>
      <c r="AB246" s="68"/>
      <c r="AC246" s="54"/>
      <c r="AD246" s="54"/>
      <c r="AE246" s="54"/>
      <c r="AF246" s="54"/>
      <c r="AG246" s="54"/>
      <c r="AH246" s="54"/>
      <c r="AI246" s="54"/>
      <c r="AJ246" s="54"/>
      <c r="AW246" s="18">
        <f t="shared" si="17"/>
        <v>0</v>
      </c>
    </row>
    <row r="247" spans="10:49" ht="15">
      <c r="J247" s="687"/>
      <c r="K247" s="54"/>
      <c r="L247" s="687"/>
      <c r="M247" s="491"/>
      <c r="N247" s="68"/>
      <c r="O247" s="68"/>
      <c r="P247" s="68"/>
      <c r="Q247" s="68"/>
      <c r="R247" s="68"/>
      <c r="S247" s="68"/>
      <c r="T247" s="68"/>
      <c r="U247" s="161"/>
      <c r="V247" s="54"/>
      <c r="W247" s="54"/>
      <c r="X247" s="54"/>
      <c r="Y247" s="54"/>
      <c r="Z247" s="161"/>
      <c r="AA247" s="161"/>
      <c r="AB247" s="68"/>
      <c r="AC247" s="54"/>
      <c r="AD247" s="54"/>
      <c r="AE247" s="54"/>
      <c r="AF247" s="54"/>
      <c r="AG247" s="54"/>
      <c r="AH247" s="54"/>
      <c r="AI247" s="54"/>
      <c r="AJ247" s="54"/>
      <c r="AW247" s="18">
        <f t="shared" si="17"/>
        <v>0</v>
      </c>
    </row>
    <row r="248" spans="10:49" ht="15">
      <c r="J248" s="687"/>
      <c r="K248" s="54"/>
      <c r="L248" s="687"/>
      <c r="M248" s="491"/>
      <c r="N248" s="68"/>
      <c r="O248" s="68"/>
      <c r="P248" s="68"/>
      <c r="Q248" s="68"/>
      <c r="R248" s="68"/>
      <c r="S248" s="68"/>
      <c r="T248" s="68"/>
      <c r="U248" s="161"/>
      <c r="V248" s="54"/>
      <c r="W248" s="54"/>
      <c r="X248" s="54"/>
      <c r="Y248" s="54"/>
      <c r="Z248" s="161"/>
      <c r="AA248" s="161"/>
      <c r="AB248" s="68"/>
      <c r="AC248" s="54"/>
      <c r="AD248" s="54"/>
      <c r="AE248" s="54"/>
      <c r="AF248" s="54"/>
      <c r="AG248" s="54"/>
      <c r="AH248" s="54"/>
      <c r="AI248" s="54"/>
      <c r="AJ248" s="54"/>
      <c r="AW248" s="18">
        <f t="shared" si="17"/>
        <v>0</v>
      </c>
    </row>
    <row r="249" spans="10:49" ht="15">
      <c r="J249" s="687"/>
      <c r="K249" s="54"/>
      <c r="L249" s="687"/>
      <c r="M249" s="491"/>
      <c r="N249" s="68"/>
      <c r="O249" s="68"/>
      <c r="P249" s="68"/>
      <c r="Q249" s="68"/>
      <c r="R249" s="68"/>
      <c r="S249" s="68"/>
      <c r="T249" s="68"/>
      <c r="U249" s="161"/>
      <c r="V249" s="54"/>
      <c r="W249" s="54"/>
      <c r="X249" s="54"/>
      <c r="Y249" s="54"/>
      <c r="Z249" s="161"/>
      <c r="AA249" s="161"/>
      <c r="AB249" s="68"/>
      <c r="AC249" s="54"/>
      <c r="AD249" s="54"/>
      <c r="AE249" s="54"/>
      <c r="AF249" s="54"/>
      <c r="AG249" s="54"/>
      <c r="AH249" s="54"/>
      <c r="AI249" s="54"/>
      <c r="AJ249" s="54"/>
      <c r="AW249" s="18">
        <f t="shared" si="17"/>
        <v>0</v>
      </c>
    </row>
    <row r="250" spans="10:49" ht="15">
      <c r="J250" s="687"/>
      <c r="K250" s="54"/>
      <c r="L250" s="687"/>
      <c r="M250" s="491"/>
      <c r="N250" s="68"/>
      <c r="O250" s="68"/>
      <c r="P250" s="68"/>
      <c r="Q250" s="68"/>
      <c r="R250" s="68"/>
      <c r="S250" s="68"/>
      <c r="T250" s="68"/>
      <c r="U250" s="161"/>
      <c r="V250" s="54"/>
      <c r="W250" s="54"/>
      <c r="X250" s="54"/>
      <c r="Y250" s="54"/>
      <c r="Z250" s="161"/>
      <c r="AA250" s="161"/>
      <c r="AB250" s="68"/>
      <c r="AC250" s="54"/>
      <c r="AD250" s="54"/>
      <c r="AE250" s="54"/>
      <c r="AF250" s="54"/>
      <c r="AG250" s="54"/>
      <c r="AH250" s="54"/>
      <c r="AI250" s="54"/>
      <c r="AJ250" s="54"/>
      <c r="AW250" s="18">
        <f t="shared" si="17"/>
        <v>0</v>
      </c>
    </row>
    <row r="251" spans="10:49" ht="15">
      <c r="J251" s="687"/>
      <c r="K251" s="54"/>
      <c r="L251" s="687"/>
      <c r="M251" s="491"/>
      <c r="N251" s="68"/>
      <c r="O251" s="68"/>
      <c r="P251" s="68"/>
      <c r="Q251" s="68"/>
      <c r="R251" s="68"/>
      <c r="S251" s="68"/>
      <c r="T251" s="68"/>
      <c r="U251" s="161"/>
      <c r="V251" s="54"/>
      <c r="W251" s="54"/>
      <c r="X251" s="54"/>
      <c r="Y251" s="54"/>
      <c r="Z251" s="161"/>
      <c r="AA251" s="161"/>
      <c r="AB251" s="68"/>
      <c r="AC251" s="54"/>
      <c r="AD251" s="54"/>
      <c r="AE251" s="54"/>
      <c r="AF251" s="54"/>
      <c r="AG251" s="54"/>
      <c r="AH251" s="54"/>
      <c r="AI251" s="54"/>
      <c r="AJ251" s="54"/>
      <c r="AW251" s="18">
        <f t="shared" si="17"/>
        <v>0</v>
      </c>
    </row>
    <row r="252" spans="10:49" ht="15">
      <c r="J252" s="687"/>
      <c r="K252" s="54"/>
      <c r="L252" s="687"/>
      <c r="M252" s="491"/>
      <c r="N252" s="68"/>
      <c r="O252" s="68"/>
      <c r="P252" s="68"/>
      <c r="Q252" s="68"/>
      <c r="R252" s="68"/>
      <c r="S252" s="68"/>
      <c r="T252" s="68"/>
      <c r="U252" s="161"/>
      <c r="V252" s="54"/>
      <c r="W252" s="54"/>
      <c r="X252" s="54"/>
      <c r="Y252" s="54"/>
      <c r="Z252" s="161"/>
      <c r="AA252" s="161"/>
      <c r="AB252" s="68"/>
      <c r="AC252" s="54"/>
      <c r="AD252" s="54"/>
      <c r="AE252" s="54"/>
      <c r="AF252" s="54"/>
      <c r="AG252" s="54"/>
      <c r="AH252" s="54"/>
      <c r="AI252" s="54"/>
      <c r="AJ252" s="54"/>
      <c r="AW252" s="18">
        <f t="shared" si="17"/>
        <v>0</v>
      </c>
    </row>
    <row r="253" spans="10:49" ht="15">
      <c r="J253" s="687"/>
      <c r="K253" s="54"/>
      <c r="L253" s="687"/>
      <c r="M253" s="491"/>
      <c r="N253" s="68"/>
      <c r="O253" s="68"/>
      <c r="P253" s="68"/>
      <c r="Q253" s="68"/>
      <c r="R253" s="68"/>
      <c r="S253" s="68"/>
      <c r="T253" s="68"/>
      <c r="U253" s="161"/>
      <c r="V253" s="54"/>
      <c r="W253" s="54"/>
      <c r="X253" s="54"/>
      <c r="Y253" s="54"/>
      <c r="Z253" s="161"/>
      <c r="AA253" s="161"/>
      <c r="AB253" s="68"/>
      <c r="AC253" s="54"/>
      <c r="AD253" s="54"/>
      <c r="AE253" s="54"/>
      <c r="AF253" s="54"/>
      <c r="AG253" s="54"/>
      <c r="AH253" s="54"/>
      <c r="AI253" s="54"/>
      <c r="AJ253" s="54"/>
      <c r="AW253" s="18">
        <f t="shared" si="17"/>
        <v>0</v>
      </c>
    </row>
    <row r="254" spans="10:49" ht="15">
      <c r="J254" s="687"/>
      <c r="K254" s="54"/>
      <c r="L254" s="687"/>
      <c r="M254" s="491"/>
      <c r="N254" s="68"/>
      <c r="O254" s="68"/>
      <c r="P254" s="68"/>
      <c r="Q254" s="68"/>
      <c r="R254" s="68"/>
      <c r="S254" s="68"/>
      <c r="T254" s="68"/>
      <c r="U254" s="161"/>
      <c r="V254" s="54"/>
      <c r="W254" s="54"/>
      <c r="X254" s="54"/>
      <c r="Y254" s="54"/>
      <c r="Z254" s="161"/>
      <c r="AA254" s="161"/>
      <c r="AB254" s="68"/>
      <c r="AC254" s="54"/>
      <c r="AD254" s="54"/>
      <c r="AE254" s="54"/>
      <c r="AF254" s="54"/>
      <c r="AG254" s="54"/>
      <c r="AH254" s="54"/>
      <c r="AI254" s="54"/>
      <c r="AJ254" s="54"/>
      <c r="AW254" s="18">
        <f t="shared" si="17"/>
        <v>0</v>
      </c>
    </row>
    <row r="255" spans="10:49" ht="15">
      <c r="J255" s="687"/>
      <c r="K255" s="54"/>
      <c r="L255" s="687"/>
      <c r="M255" s="491"/>
      <c r="N255" s="68"/>
      <c r="O255" s="68"/>
      <c r="P255" s="68"/>
      <c r="Q255" s="68"/>
      <c r="R255" s="68"/>
      <c r="S255" s="68"/>
      <c r="T255" s="68"/>
      <c r="U255" s="161"/>
      <c r="V255" s="54"/>
      <c r="W255" s="54"/>
      <c r="X255" s="54"/>
      <c r="Y255" s="54"/>
      <c r="Z255" s="161"/>
      <c r="AA255" s="161"/>
      <c r="AB255" s="68"/>
      <c r="AC255" s="54"/>
      <c r="AD255" s="54"/>
      <c r="AE255" s="54"/>
      <c r="AF255" s="54"/>
      <c r="AG255" s="54"/>
      <c r="AH255" s="54"/>
      <c r="AI255" s="54"/>
      <c r="AJ255" s="54"/>
      <c r="AW255" s="18">
        <f t="shared" si="17"/>
        <v>0</v>
      </c>
    </row>
    <row r="256" spans="10:49" ht="15">
      <c r="J256" s="687"/>
      <c r="K256" s="54"/>
      <c r="L256" s="687"/>
      <c r="M256" s="491"/>
      <c r="N256" s="68"/>
      <c r="O256" s="68"/>
      <c r="P256" s="68"/>
      <c r="Q256" s="68"/>
      <c r="R256" s="68"/>
      <c r="S256" s="68"/>
      <c r="T256" s="68"/>
      <c r="U256" s="161"/>
      <c r="V256" s="54"/>
      <c r="W256" s="54"/>
      <c r="X256" s="54"/>
      <c r="Y256" s="54"/>
      <c r="Z256" s="161"/>
      <c r="AA256" s="161"/>
      <c r="AB256" s="68"/>
      <c r="AC256" s="54"/>
      <c r="AD256" s="54"/>
      <c r="AE256" s="54"/>
      <c r="AF256" s="54"/>
      <c r="AG256" s="54"/>
      <c r="AH256" s="54"/>
      <c r="AI256" s="54"/>
      <c r="AJ256" s="54"/>
      <c r="AW256" s="18">
        <f t="shared" si="17"/>
        <v>0</v>
      </c>
    </row>
    <row r="257" spans="10:49" ht="15">
      <c r="J257" s="687"/>
      <c r="K257" s="54"/>
      <c r="L257" s="687"/>
      <c r="M257" s="491"/>
      <c r="N257" s="68"/>
      <c r="O257" s="68"/>
      <c r="P257" s="68"/>
      <c r="Q257" s="68"/>
      <c r="R257" s="68"/>
      <c r="S257" s="68"/>
      <c r="T257" s="68"/>
      <c r="U257" s="161"/>
      <c r="V257" s="54"/>
      <c r="W257" s="54"/>
      <c r="X257" s="54"/>
      <c r="Y257" s="54"/>
      <c r="Z257" s="161"/>
      <c r="AA257" s="161"/>
      <c r="AB257" s="68"/>
      <c r="AC257" s="54"/>
      <c r="AD257" s="54"/>
      <c r="AE257" s="54"/>
      <c r="AF257" s="54"/>
      <c r="AG257" s="54"/>
      <c r="AH257" s="54"/>
      <c r="AI257" s="54"/>
      <c r="AJ257" s="54"/>
      <c r="AW257" s="18">
        <f t="shared" si="17"/>
        <v>0</v>
      </c>
    </row>
    <row r="258" spans="10:49" ht="15">
      <c r="J258" s="687"/>
      <c r="K258" s="54"/>
      <c r="L258" s="687"/>
      <c r="M258" s="491"/>
      <c r="N258" s="68"/>
      <c r="O258" s="68"/>
      <c r="P258" s="68"/>
      <c r="Q258" s="68"/>
      <c r="R258" s="68"/>
      <c r="S258" s="68"/>
      <c r="T258" s="68"/>
      <c r="U258" s="161"/>
      <c r="V258" s="54"/>
      <c r="W258" s="54"/>
      <c r="X258" s="54"/>
      <c r="Y258" s="54"/>
      <c r="Z258" s="161"/>
      <c r="AA258" s="161"/>
      <c r="AB258" s="68"/>
      <c r="AC258" s="54"/>
      <c r="AD258" s="54"/>
      <c r="AE258" s="54"/>
      <c r="AF258" s="54"/>
      <c r="AG258" s="54"/>
      <c r="AH258" s="54"/>
      <c r="AI258" s="54"/>
      <c r="AJ258" s="54"/>
      <c r="AW258" s="18">
        <f t="shared" si="17"/>
        <v>0</v>
      </c>
    </row>
    <row r="259" spans="10:49" ht="15">
      <c r="J259" s="687"/>
      <c r="K259" s="54"/>
      <c r="L259" s="687"/>
      <c r="M259" s="491"/>
      <c r="N259" s="68"/>
      <c r="O259" s="68"/>
      <c r="P259" s="68"/>
      <c r="Q259" s="68"/>
      <c r="R259" s="68"/>
      <c r="S259" s="68"/>
      <c r="T259" s="68"/>
      <c r="U259" s="161"/>
      <c r="V259" s="54"/>
      <c r="W259" s="54"/>
      <c r="X259" s="54"/>
      <c r="Y259" s="54"/>
      <c r="Z259" s="161"/>
      <c r="AA259" s="161"/>
      <c r="AB259" s="68"/>
      <c r="AC259" s="54"/>
      <c r="AD259" s="54"/>
      <c r="AE259" s="54"/>
      <c r="AF259" s="54"/>
      <c r="AG259" s="54"/>
      <c r="AH259" s="54"/>
      <c r="AI259" s="54"/>
      <c r="AJ259" s="54"/>
      <c r="AW259" s="18">
        <f t="shared" si="17"/>
        <v>0</v>
      </c>
    </row>
    <row r="260" spans="10:49" ht="15">
      <c r="J260" s="687"/>
      <c r="K260" s="54"/>
      <c r="L260" s="687"/>
      <c r="M260" s="491"/>
      <c r="N260" s="68"/>
      <c r="O260" s="68"/>
      <c r="P260" s="68"/>
      <c r="Q260" s="68"/>
      <c r="R260" s="68"/>
      <c r="S260" s="68"/>
      <c r="T260" s="68"/>
      <c r="U260" s="161"/>
      <c r="V260" s="54"/>
      <c r="W260" s="54"/>
      <c r="X260" s="54"/>
      <c r="Y260" s="54"/>
      <c r="Z260" s="161"/>
      <c r="AA260" s="161"/>
      <c r="AB260" s="68"/>
      <c r="AC260" s="54"/>
      <c r="AD260" s="54"/>
      <c r="AE260" s="54"/>
      <c r="AF260" s="54"/>
      <c r="AG260" s="54"/>
      <c r="AH260" s="54"/>
      <c r="AI260" s="54"/>
      <c r="AJ260" s="54"/>
      <c r="AW260" s="18">
        <f t="shared" si="17"/>
        <v>0</v>
      </c>
    </row>
    <row r="261" spans="10:49" ht="15">
      <c r="J261" s="687"/>
      <c r="K261" s="54"/>
      <c r="L261" s="687"/>
      <c r="M261" s="491"/>
      <c r="N261" s="68"/>
      <c r="O261" s="68"/>
      <c r="P261" s="68"/>
      <c r="Q261" s="68"/>
      <c r="R261" s="68"/>
      <c r="S261" s="68"/>
      <c r="T261" s="68"/>
      <c r="U261" s="161"/>
      <c r="V261" s="54"/>
      <c r="W261" s="54"/>
      <c r="X261" s="54"/>
      <c r="Y261" s="54"/>
      <c r="Z261" s="161"/>
      <c r="AA261" s="161"/>
      <c r="AB261" s="68"/>
      <c r="AC261" s="54"/>
      <c r="AD261" s="54"/>
      <c r="AE261" s="54"/>
      <c r="AF261" s="54"/>
      <c r="AG261" s="54"/>
      <c r="AH261" s="54"/>
      <c r="AI261" s="54"/>
      <c r="AJ261" s="54"/>
      <c r="AW261" s="18">
        <f t="shared" si="17"/>
        <v>0</v>
      </c>
    </row>
    <row r="262" spans="10:49" ht="15">
      <c r="J262" s="687"/>
      <c r="K262" s="54"/>
      <c r="L262" s="687"/>
      <c r="M262" s="491"/>
      <c r="N262" s="68"/>
      <c r="O262" s="68"/>
      <c r="P262" s="68"/>
      <c r="Q262" s="68"/>
      <c r="R262" s="68"/>
      <c r="S262" s="68"/>
      <c r="T262" s="68"/>
      <c r="U262" s="161"/>
      <c r="V262" s="54"/>
      <c r="W262" s="54"/>
      <c r="X262" s="54"/>
      <c r="Y262" s="54"/>
      <c r="Z262" s="161"/>
      <c r="AA262" s="161"/>
      <c r="AB262" s="68"/>
      <c r="AC262" s="54"/>
      <c r="AD262" s="54"/>
      <c r="AE262" s="54"/>
      <c r="AF262" s="54"/>
      <c r="AG262" s="54"/>
      <c r="AH262" s="54"/>
      <c r="AI262" s="54"/>
      <c r="AJ262" s="54"/>
      <c r="AW262" s="18">
        <f t="shared" si="17"/>
        <v>0</v>
      </c>
    </row>
    <row r="263" spans="10:49" ht="15">
      <c r="J263" s="687"/>
      <c r="K263" s="54"/>
      <c r="L263" s="687"/>
      <c r="M263" s="491"/>
      <c r="N263" s="68"/>
      <c r="O263" s="68"/>
      <c r="P263" s="68"/>
      <c r="Q263" s="68"/>
      <c r="R263" s="68"/>
      <c r="S263" s="68"/>
      <c r="T263" s="68"/>
      <c r="U263" s="161"/>
      <c r="V263" s="54"/>
      <c r="W263" s="54"/>
      <c r="X263" s="54"/>
      <c r="Y263" s="54"/>
      <c r="Z263" s="161"/>
      <c r="AA263" s="161"/>
      <c r="AB263" s="68"/>
      <c r="AC263" s="54"/>
      <c r="AD263" s="54"/>
      <c r="AE263" s="54"/>
      <c r="AF263" s="54"/>
      <c r="AG263" s="54"/>
      <c r="AH263" s="54"/>
      <c r="AI263" s="54"/>
      <c r="AJ263" s="54"/>
      <c r="AW263" s="18">
        <f t="shared" si="17"/>
        <v>0</v>
      </c>
    </row>
    <row r="264" spans="10:49" ht="15">
      <c r="J264" s="687"/>
      <c r="K264" s="54"/>
      <c r="L264" s="687"/>
      <c r="M264" s="491"/>
      <c r="N264" s="68"/>
      <c r="O264" s="68"/>
      <c r="P264" s="68"/>
      <c r="Q264" s="68"/>
      <c r="R264" s="68"/>
      <c r="S264" s="68"/>
      <c r="T264" s="68"/>
      <c r="U264" s="161"/>
      <c r="V264" s="54"/>
      <c r="W264" s="54"/>
      <c r="X264" s="54"/>
      <c r="Y264" s="54"/>
      <c r="Z264" s="161"/>
      <c r="AA264" s="161"/>
      <c r="AB264" s="68"/>
      <c r="AC264" s="54"/>
      <c r="AD264" s="54"/>
      <c r="AE264" s="54"/>
      <c r="AF264" s="54"/>
      <c r="AG264" s="54"/>
      <c r="AH264" s="54"/>
      <c r="AI264" s="54"/>
      <c r="AJ264" s="54"/>
      <c r="AW264" s="18">
        <f t="shared" si="17"/>
        <v>0</v>
      </c>
    </row>
    <row r="265" spans="10:49" ht="15">
      <c r="J265" s="687"/>
      <c r="K265" s="54"/>
      <c r="L265" s="687"/>
      <c r="M265" s="491"/>
      <c r="N265" s="68"/>
      <c r="O265" s="68"/>
      <c r="P265" s="68"/>
      <c r="Q265" s="68"/>
      <c r="R265" s="68"/>
      <c r="S265" s="68"/>
      <c r="T265" s="68"/>
      <c r="U265" s="161"/>
      <c r="V265" s="54"/>
      <c r="W265" s="54"/>
      <c r="X265" s="54"/>
      <c r="Y265" s="54"/>
      <c r="Z265" s="161"/>
      <c r="AA265" s="161"/>
      <c r="AB265" s="68"/>
      <c r="AC265" s="54"/>
      <c r="AD265" s="54"/>
      <c r="AE265" s="54"/>
      <c r="AF265" s="54"/>
      <c r="AG265" s="54"/>
      <c r="AH265" s="54"/>
      <c r="AI265" s="54"/>
      <c r="AJ265" s="54"/>
      <c r="AW265" s="18">
        <f t="shared" si="17"/>
        <v>0</v>
      </c>
    </row>
    <row r="266" spans="10:49" ht="15">
      <c r="J266" s="687"/>
      <c r="K266" s="54"/>
      <c r="L266" s="687"/>
      <c r="M266" s="491"/>
      <c r="N266" s="68"/>
      <c r="O266" s="68"/>
      <c r="P266" s="68"/>
      <c r="Q266" s="68"/>
      <c r="R266" s="68"/>
      <c r="S266" s="68"/>
      <c r="T266" s="68"/>
      <c r="U266" s="161"/>
      <c r="V266" s="54"/>
      <c r="W266" s="54"/>
      <c r="X266" s="54"/>
      <c r="Y266" s="54"/>
      <c r="Z266" s="161"/>
      <c r="AA266" s="161"/>
      <c r="AB266" s="68"/>
      <c r="AC266" s="54"/>
      <c r="AD266" s="54"/>
      <c r="AE266" s="54"/>
      <c r="AF266" s="54"/>
      <c r="AG266" s="54"/>
      <c r="AH266" s="54"/>
      <c r="AI266" s="54"/>
      <c r="AJ266" s="54"/>
      <c r="AW266" s="18">
        <f t="shared" si="17"/>
        <v>0</v>
      </c>
    </row>
    <row r="267" spans="10:49" ht="15">
      <c r="J267" s="687"/>
      <c r="K267" s="54"/>
      <c r="L267" s="687"/>
      <c r="M267" s="491"/>
      <c r="N267" s="68"/>
      <c r="O267" s="68"/>
      <c r="P267" s="68"/>
      <c r="Q267" s="68"/>
      <c r="R267" s="68"/>
      <c r="S267" s="68"/>
      <c r="T267" s="68"/>
      <c r="U267" s="161"/>
      <c r="V267" s="54"/>
      <c r="W267" s="54"/>
      <c r="X267" s="54"/>
      <c r="Y267" s="54"/>
      <c r="Z267" s="161"/>
      <c r="AA267" s="161"/>
      <c r="AB267" s="68"/>
      <c r="AC267" s="54"/>
      <c r="AD267" s="54"/>
      <c r="AE267" s="54"/>
      <c r="AF267" s="54"/>
      <c r="AG267" s="54"/>
      <c r="AH267" s="54"/>
      <c r="AI267" s="54"/>
      <c r="AJ267" s="54"/>
      <c r="AW267" s="18">
        <f t="shared" si="17"/>
        <v>0</v>
      </c>
    </row>
    <row r="268" spans="10:49" ht="15">
      <c r="J268" s="685"/>
      <c r="L268" s="685"/>
      <c r="M268" s="491"/>
      <c r="AW268" s="18">
        <f t="shared" si="17"/>
        <v>0</v>
      </c>
    </row>
    <row r="269" spans="10:49" ht="15">
      <c r="J269" s="686"/>
      <c r="L269" s="686"/>
      <c r="M269" s="491"/>
      <c r="AW269" s="18">
        <f t="shared" si="17"/>
        <v>0</v>
      </c>
    </row>
    <row r="270" spans="10:49" ht="15">
      <c r="J270" s="686"/>
      <c r="L270" s="686"/>
      <c r="M270" s="491"/>
      <c r="AW270" s="18">
        <f t="shared" si="17"/>
        <v>0</v>
      </c>
    </row>
    <row r="271" spans="10:49" ht="15">
      <c r="J271" s="686"/>
      <c r="L271" s="686"/>
      <c r="M271" s="491"/>
      <c r="AW271" s="18">
        <f t="shared" si="17"/>
        <v>0</v>
      </c>
    </row>
    <row r="272" spans="10:49" ht="15">
      <c r="J272" s="686"/>
      <c r="L272" s="686"/>
      <c r="M272" s="491"/>
      <c r="AW272" s="18">
        <f t="shared" si="17"/>
        <v>0</v>
      </c>
    </row>
    <row r="273" spans="10:49" ht="15">
      <c r="J273" s="686"/>
      <c r="L273" s="686"/>
      <c r="M273" s="491"/>
      <c r="AW273" s="18">
        <f t="shared" si="17"/>
        <v>0</v>
      </c>
    </row>
    <row r="274" spans="10:49" ht="15">
      <c r="J274" s="686"/>
      <c r="L274" s="686"/>
      <c r="M274" s="491"/>
      <c r="AW274" s="18">
        <f t="shared" si="17"/>
        <v>0</v>
      </c>
    </row>
    <row r="275" spans="10:49" ht="15">
      <c r="J275" s="686"/>
      <c r="L275" s="686"/>
      <c r="M275" s="491"/>
      <c r="AW275" s="18">
        <f t="shared" si="17"/>
        <v>0</v>
      </c>
    </row>
    <row r="276" spans="10:49" ht="15">
      <c r="J276" s="686"/>
      <c r="L276" s="686"/>
      <c r="M276" s="491"/>
      <c r="AW276" s="18">
        <f t="shared" si="17"/>
        <v>0</v>
      </c>
    </row>
    <row r="277" spans="10:49" ht="15">
      <c r="J277" s="686"/>
      <c r="L277" s="686"/>
      <c r="M277" s="491"/>
      <c r="AW277" s="18">
        <f t="shared" si="17"/>
        <v>0</v>
      </c>
    </row>
    <row r="278" spans="10:49" ht="15">
      <c r="J278" s="686"/>
      <c r="L278" s="686"/>
      <c r="M278" s="491"/>
      <c r="AW278" s="18">
        <f t="shared" si="17"/>
        <v>0</v>
      </c>
    </row>
    <row r="279" spans="10:49" ht="15">
      <c r="J279" s="686"/>
      <c r="L279" s="686"/>
      <c r="M279" s="491"/>
      <c r="AW279" s="18">
        <f t="shared" si="17"/>
        <v>0</v>
      </c>
    </row>
    <row r="280" spans="10:49" ht="15">
      <c r="J280" s="686"/>
      <c r="L280" s="686"/>
      <c r="M280" s="491"/>
      <c r="AW280" s="18">
        <f t="shared" si="17"/>
        <v>0</v>
      </c>
    </row>
    <row r="281" spans="10:49" ht="15">
      <c r="J281" s="490"/>
      <c r="L281" s="490"/>
      <c r="M281" s="491"/>
      <c r="AW281" s="18">
        <f t="shared" si="17"/>
        <v>0</v>
      </c>
    </row>
    <row r="282" spans="10:49" ht="15">
      <c r="AW282" s="18">
        <f t="shared" si="17"/>
        <v>0</v>
      </c>
    </row>
    <row r="283" spans="10:49" ht="15">
      <c r="AW283" s="18">
        <f t="shared" si="17"/>
        <v>0</v>
      </c>
    </row>
    <row r="284" spans="10:49" ht="15">
      <c r="AW284" s="18">
        <f t="shared" si="17"/>
        <v>0</v>
      </c>
    </row>
    <row r="285" spans="10:49" ht="15">
      <c r="AW285" s="18">
        <f t="shared" si="17"/>
        <v>0</v>
      </c>
    </row>
    <row r="286" spans="10:49" ht="15">
      <c r="AW286" s="18">
        <f t="shared" si="17"/>
        <v>0</v>
      </c>
    </row>
    <row r="287" spans="10:49" ht="15">
      <c r="AW287" s="18">
        <f t="shared" si="17"/>
        <v>0</v>
      </c>
    </row>
    <row r="288" spans="10:49" ht="15">
      <c r="AW288" s="18">
        <f t="shared" ref="AW288:AW351" si="18">LEN(L288)</f>
        <v>0</v>
      </c>
    </row>
    <row r="289" spans="49:49" ht="15">
      <c r="AW289" s="18">
        <f t="shared" si="18"/>
        <v>0</v>
      </c>
    </row>
    <row r="290" spans="49:49" ht="15">
      <c r="AW290" s="18">
        <f t="shared" si="18"/>
        <v>0</v>
      </c>
    </row>
    <row r="291" spans="49:49" ht="15">
      <c r="AW291" s="18">
        <f t="shared" si="18"/>
        <v>0</v>
      </c>
    </row>
    <row r="292" spans="49:49" ht="15">
      <c r="AW292" s="18">
        <f t="shared" si="18"/>
        <v>0</v>
      </c>
    </row>
    <row r="293" spans="49:49" ht="15">
      <c r="AW293" s="18">
        <f t="shared" si="18"/>
        <v>0</v>
      </c>
    </row>
    <row r="294" spans="49:49" ht="15">
      <c r="AW294" s="18">
        <f t="shared" si="18"/>
        <v>0</v>
      </c>
    </row>
    <row r="295" spans="49:49" ht="15">
      <c r="AW295" s="18">
        <f t="shared" si="18"/>
        <v>0</v>
      </c>
    </row>
    <row r="296" spans="49:49" ht="15">
      <c r="AW296" s="18">
        <f t="shared" si="18"/>
        <v>0</v>
      </c>
    </row>
    <row r="297" spans="49:49" ht="15">
      <c r="AW297" s="18">
        <f t="shared" si="18"/>
        <v>0</v>
      </c>
    </row>
    <row r="298" spans="49:49" ht="15">
      <c r="AW298" s="18">
        <f t="shared" si="18"/>
        <v>0</v>
      </c>
    </row>
    <row r="299" spans="49:49" ht="15">
      <c r="AW299" s="18">
        <f t="shared" si="18"/>
        <v>0</v>
      </c>
    </row>
    <row r="300" spans="49:49" ht="15">
      <c r="AW300" s="18">
        <f t="shared" si="18"/>
        <v>0</v>
      </c>
    </row>
    <row r="301" spans="49:49" ht="15">
      <c r="AW301" s="18">
        <f t="shared" si="18"/>
        <v>0</v>
      </c>
    </row>
    <row r="302" spans="49:49" ht="15">
      <c r="AW302" s="18">
        <f t="shared" si="18"/>
        <v>0</v>
      </c>
    </row>
    <row r="303" spans="49:49" ht="15">
      <c r="AW303" s="18">
        <f t="shared" si="18"/>
        <v>0</v>
      </c>
    </row>
    <row r="304" spans="49:49" ht="15">
      <c r="AW304" s="18">
        <f t="shared" si="18"/>
        <v>0</v>
      </c>
    </row>
    <row r="305" spans="49:49" ht="15">
      <c r="AW305" s="18">
        <f t="shared" si="18"/>
        <v>0</v>
      </c>
    </row>
    <row r="306" spans="49:49" ht="15">
      <c r="AW306" s="18">
        <f t="shared" si="18"/>
        <v>0</v>
      </c>
    </row>
    <row r="307" spans="49:49" ht="15">
      <c r="AW307" s="18">
        <f t="shared" si="18"/>
        <v>0</v>
      </c>
    </row>
    <row r="308" spans="49:49" ht="15">
      <c r="AW308" s="18">
        <f t="shared" si="18"/>
        <v>0</v>
      </c>
    </row>
    <row r="309" spans="49:49" ht="15">
      <c r="AW309" s="18">
        <f t="shared" si="18"/>
        <v>0</v>
      </c>
    </row>
    <row r="310" spans="49:49" ht="15">
      <c r="AW310" s="18">
        <f t="shared" si="18"/>
        <v>0</v>
      </c>
    </row>
    <row r="311" spans="49:49" ht="15">
      <c r="AW311" s="18">
        <f t="shared" si="18"/>
        <v>0</v>
      </c>
    </row>
    <row r="312" spans="49:49" ht="15">
      <c r="AW312" s="18">
        <f t="shared" si="18"/>
        <v>0</v>
      </c>
    </row>
    <row r="313" spans="49:49" ht="15">
      <c r="AW313" s="18">
        <f t="shared" si="18"/>
        <v>0</v>
      </c>
    </row>
    <row r="314" spans="49:49" ht="15">
      <c r="AW314" s="18">
        <f t="shared" si="18"/>
        <v>0</v>
      </c>
    </row>
    <row r="315" spans="49:49" ht="15">
      <c r="AW315" s="18">
        <f t="shared" si="18"/>
        <v>0</v>
      </c>
    </row>
    <row r="316" spans="49:49" ht="15">
      <c r="AW316" s="18">
        <f t="shared" si="18"/>
        <v>0</v>
      </c>
    </row>
    <row r="317" spans="49:49" ht="15">
      <c r="AW317" s="18">
        <f t="shared" si="18"/>
        <v>0</v>
      </c>
    </row>
    <row r="318" spans="49:49" ht="15">
      <c r="AW318" s="18">
        <f t="shared" si="18"/>
        <v>0</v>
      </c>
    </row>
    <row r="319" spans="49:49" ht="15">
      <c r="AW319" s="18">
        <f t="shared" si="18"/>
        <v>0</v>
      </c>
    </row>
    <row r="320" spans="49:49" ht="15">
      <c r="AW320" s="18">
        <f t="shared" si="18"/>
        <v>0</v>
      </c>
    </row>
    <row r="321" spans="49:49" ht="15">
      <c r="AW321" s="18">
        <f t="shared" si="18"/>
        <v>0</v>
      </c>
    </row>
    <row r="322" spans="49:49" ht="15">
      <c r="AW322" s="18">
        <f t="shared" si="18"/>
        <v>0</v>
      </c>
    </row>
    <row r="323" spans="49:49" ht="15">
      <c r="AW323" s="18">
        <f t="shared" si="18"/>
        <v>0</v>
      </c>
    </row>
    <row r="324" spans="49:49" ht="15">
      <c r="AW324" s="18">
        <f t="shared" si="18"/>
        <v>0</v>
      </c>
    </row>
    <row r="325" spans="49:49" ht="15">
      <c r="AW325" s="18">
        <f t="shared" si="18"/>
        <v>0</v>
      </c>
    </row>
    <row r="326" spans="49:49" ht="15">
      <c r="AW326" s="18">
        <f t="shared" si="18"/>
        <v>0</v>
      </c>
    </row>
    <row r="327" spans="49:49" ht="15">
      <c r="AW327" s="18">
        <f t="shared" si="18"/>
        <v>0</v>
      </c>
    </row>
    <row r="328" spans="49:49" ht="15">
      <c r="AW328" s="18">
        <f t="shared" si="18"/>
        <v>0</v>
      </c>
    </row>
    <row r="329" spans="49:49" ht="15">
      <c r="AW329" s="18">
        <f t="shared" si="18"/>
        <v>0</v>
      </c>
    </row>
    <row r="330" spans="49:49" ht="15">
      <c r="AW330" s="18">
        <f t="shared" si="18"/>
        <v>0</v>
      </c>
    </row>
    <row r="331" spans="49:49" ht="15">
      <c r="AW331" s="18">
        <f t="shared" si="18"/>
        <v>0</v>
      </c>
    </row>
    <row r="332" spans="49:49" ht="15">
      <c r="AW332" s="18">
        <f t="shared" si="18"/>
        <v>0</v>
      </c>
    </row>
    <row r="333" spans="49:49" ht="15">
      <c r="AW333" s="18">
        <f t="shared" si="18"/>
        <v>0</v>
      </c>
    </row>
    <row r="334" spans="49:49" ht="15">
      <c r="AW334" s="18">
        <f t="shared" si="18"/>
        <v>0</v>
      </c>
    </row>
    <row r="335" spans="49:49" ht="15">
      <c r="AW335" s="18">
        <f t="shared" si="18"/>
        <v>0</v>
      </c>
    </row>
    <row r="336" spans="49:49" ht="15">
      <c r="AW336" s="18">
        <f t="shared" si="18"/>
        <v>0</v>
      </c>
    </row>
    <row r="337" spans="49:49" ht="15">
      <c r="AW337" s="18">
        <f t="shared" si="18"/>
        <v>0</v>
      </c>
    </row>
    <row r="338" spans="49:49" ht="15">
      <c r="AW338" s="18">
        <f t="shared" si="18"/>
        <v>0</v>
      </c>
    </row>
    <row r="339" spans="49:49" ht="15">
      <c r="AW339" s="18">
        <f t="shared" si="18"/>
        <v>0</v>
      </c>
    </row>
    <row r="340" spans="49:49" ht="15">
      <c r="AW340" s="18">
        <f t="shared" si="18"/>
        <v>0</v>
      </c>
    </row>
    <row r="341" spans="49:49" ht="15">
      <c r="AW341" s="18">
        <f t="shared" si="18"/>
        <v>0</v>
      </c>
    </row>
    <row r="342" spans="49:49" ht="15">
      <c r="AW342" s="18">
        <f t="shared" si="18"/>
        <v>0</v>
      </c>
    </row>
    <row r="343" spans="49:49" ht="15">
      <c r="AW343" s="18">
        <f t="shared" si="18"/>
        <v>0</v>
      </c>
    </row>
    <row r="344" spans="49:49" ht="15">
      <c r="AW344" s="18">
        <f t="shared" si="18"/>
        <v>0</v>
      </c>
    </row>
    <row r="345" spans="49:49" ht="15">
      <c r="AW345" s="18">
        <f t="shared" si="18"/>
        <v>0</v>
      </c>
    </row>
    <row r="346" spans="49:49" ht="15">
      <c r="AW346" s="18">
        <f t="shared" si="18"/>
        <v>0</v>
      </c>
    </row>
    <row r="347" spans="49:49" ht="15">
      <c r="AW347" s="18">
        <f t="shared" si="18"/>
        <v>0</v>
      </c>
    </row>
    <row r="348" spans="49:49" ht="15">
      <c r="AW348" s="18">
        <f t="shared" si="18"/>
        <v>0</v>
      </c>
    </row>
    <row r="349" spans="49:49" ht="15">
      <c r="AW349" s="18">
        <f t="shared" si="18"/>
        <v>0</v>
      </c>
    </row>
    <row r="350" spans="49:49" ht="15">
      <c r="AW350" s="18">
        <f t="shared" si="18"/>
        <v>0</v>
      </c>
    </row>
    <row r="351" spans="49:49" ht="15">
      <c r="AW351" s="18">
        <f t="shared" si="18"/>
        <v>0</v>
      </c>
    </row>
    <row r="352" spans="49:49" ht="15">
      <c r="AW352" s="18">
        <f t="shared" ref="AW352:AW415" si="19">LEN(L352)</f>
        <v>0</v>
      </c>
    </row>
    <row r="353" spans="49:49" ht="15">
      <c r="AW353" s="18">
        <f t="shared" si="19"/>
        <v>0</v>
      </c>
    </row>
    <row r="354" spans="49:49" ht="15">
      <c r="AW354" s="18">
        <f t="shared" si="19"/>
        <v>0</v>
      </c>
    </row>
    <row r="355" spans="49:49" ht="15">
      <c r="AW355" s="18">
        <f t="shared" si="19"/>
        <v>0</v>
      </c>
    </row>
    <row r="356" spans="49:49" ht="15">
      <c r="AW356" s="18">
        <f t="shared" si="19"/>
        <v>0</v>
      </c>
    </row>
    <row r="357" spans="49:49" ht="15">
      <c r="AW357" s="18">
        <f t="shared" si="19"/>
        <v>0</v>
      </c>
    </row>
    <row r="358" spans="49:49" ht="15">
      <c r="AW358" s="18">
        <f t="shared" si="19"/>
        <v>0</v>
      </c>
    </row>
    <row r="359" spans="49:49" ht="15">
      <c r="AW359" s="18">
        <f t="shared" si="19"/>
        <v>0</v>
      </c>
    </row>
    <row r="360" spans="49:49" ht="15">
      <c r="AW360" s="18">
        <f t="shared" si="19"/>
        <v>0</v>
      </c>
    </row>
    <row r="361" spans="49:49" ht="15">
      <c r="AW361" s="18">
        <f t="shared" si="19"/>
        <v>0</v>
      </c>
    </row>
    <row r="362" spans="49:49" ht="15">
      <c r="AW362" s="18">
        <f t="shared" si="19"/>
        <v>0</v>
      </c>
    </row>
    <row r="363" spans="49:49" ht="15">
      <c r="AW363" s="18">
        <f t="shared" si="19"/>
        <v>0</v>
      </c>
    </row>
    <row r="364" spans="49:49" ht="15">
      <c r="AW364" s="18">
        <f t="shared" si="19"/>
        <v>0</v>
      </c>
    </row>
    <row r="365" spans="49:49" ht="15">
      <c r="AW365" s="18">
        <f t="shared" si="19"/>
        <v>0</v>
      </c>
    </row>
    <row r="366" spans="49:49" ht="15">
      <c r="AW366" s="18">
        <f t="shared" si="19"/>
        <v>0</v>
      </c>
    </row>
    <row r="367" spans="49:49" ht="15">
      <c r="AW367" s="18">
        <f t="shared" si="19"/>
        <v>0</v>
      </c>
    </row>
    <row r="368" spans="49:49" ht="15">
      <c r="AW368" s="18">
        <f t="shared" si="19"/>
        <v>0</v>
      </c>
    </row>
    <row r="369" spans="49:49" ht="15">
      <c r="AW369" s="18">
        <f t="shared" si="19"/>
        <v>0</v>
      </c>
    </row>
    <row r="370" spans="49:49" ht="15">
      <c r="AW370" s="18">
        <f t="shared" si="19"/>
        <v>0</v>
      </c>
    </row>
    <row r="371" spans="49:49" ht="15">
      <c r="AW371" s="18">
        <f t="shared" si="19"/>
        <v>0</v>
      </c>
    </row>
    <row r="372" spans="49:49" ht="15">
      <c r="AW372" s="18">
        <f t="shared" si="19"/>
        <v>0</v>
      </c>
    </row>
    <row r="373" spans="49:49" ht="15">
      <c r="AW373" s="18">
        <f t="shared" si="19"/>
        <v>0</v>
      </c>
    </row>
    <row r="374" spans="49:49" ht="15">
      <c r="AW374" s="18">
        <f t="shared" si="19"/>
        <v>0</v>
      </c>
    </row>
    <row r="375" spans="49:49" ht="15">
      <c r="AW375" s="18">
        <f t="shared" si="19"/>
        <v>0</v>
      </c>
    </row>
    <row r="376" spans="49:49" ht="15">
      <c r="AW376" s="18">
        <f t="shared" si="19"/>
        <v>0</v>
      </c>
    </row>
    <row r="377" spans="49:49" ht="15">
      <c r="AW377" s="18">
        <f t="shared" si="19"/>
        <v>0</v>
      </c>
    </row>
    <row r="378" spans="49:49" ht="15">
      <c r="AW378" s="18">
        <f t="shared" si="19"/>
        <v>0</v>
      </c>
    </row>
    <row r="379" spans="49:49" ht="15">
      <c r="AW379" s="18">
        <f t="shared" si="19"/>
        <v>0</v>
      </c>
    </row>
    <row r="380" spans="49:49" ht="15">
      <c r="AW380" s="18">
        <f t="shared" si="19"/>
        <v>0</v>
      </c>
    </row>
    <row r="381" spans="49:49" ht="15">
      <c r="AW381" s="18">
        <f t="shared" si="19"/>
        <v>0</v>
      </c>
    </row>
    <row r="382" spans="49:49" ht="15">
      <c r="AW382" s="18">
        <f t="shared" si="19"/>
        <v>0</v>
      </c>
    </row>
    <row r="383" spans="49:49" ht="15">
      <c r="AW383" s="18">
        <f t="shared" si="19"/>
        <v>0</v>
      </c>
    </row>
    <row r="384" spans="49:49" ht="15">
      <c r="AW384" s="18">
        <f t="shared" si="19"/>
        <v>0</v>
      </c>
    </row>
    <row r="385" spans="49:49" ht="15">
      <c r="AW385" s="18">
        <f t="shared" si="19"/>
        <v>0</v>
      </c>
    </row>
    <row r="386" spans="49:49" ht="15">
      <c r="AW386" s="18">
        <f t="shared" si="19"/>
        <v>0</v>
      </c>
    </row>
    <row r="387" spans="49:49" ht="15">
      <c r="AW387" s="18">
        <f t="shared" si="19"/>
        <v>0</v>
      </c>
    </row>
    <row r="388" spans="49:49" ht="15">
      <c r="AW388" s="18">
        <f t="shared" si="19"/>
        <v>0</v>
      </c>
    </row>
    <row r="389" spans="49:49" ht="15">
      <c r="AW389" s="18">
        <f t="shared" si="19"/>
        <v>0</v>
      </c>
    </row>
    <row r="390" spans="49:49" ht="15">
      <c r="AW390" s="18">
        <f t="shared" si="19"/>
        <v>0</v>
      </c>
    </row>
    <row r="391" spans="49:49" ht="15">
      <c r="AW391" s="18">
        <f t="shared" si="19"/>
        <v>0</v>
      </c>
    </row>
    <row r="392" spans="49:49" ht="15">
      <c r="AW392" s="18">
        <f t="shared" si="19"/>
        <v>0</v>
      </c>
    </row>
    <row r="393" spans="49:49" ht="15">
      <c r="AW393" s="18">
        <f t="shared" si="19"/>
        <v>0</v>
      </c>
    </row>
    <row r="394" spans="49:49" ht="15">
      <c r="AW394" s="18">
        <f t="shared" si="19"/>
        <v>0</v>
      </c>
    </row>
    <row r="395" spans="49:49" ht="15">
      <c r="AW395" s="18">
        <f t="shared" si="19"/>
        <v>0</v>
      </c>
    </row>
    <row r="396" spans="49:49" ht="15">
      <c r="AW396" s="18">
        <f t="shared" si="19"/>
        <v>0</v>
      </c>
    </row>
    <row r="397" spans="49:49" ht="15">
      <c r="AW397" s="18">
        <f t="shared" si="19"/>
        <v>0</v>
      </c>
    </row>
    <row r="398" spans="49:49" ht="15">
      <c r="AW398" s="18">
        <f t="shared" si="19"/>
        <v>0</v>
      </c>
    </row>
    <row r="399" spans="49:49" ht="15">
      <c r="AW399" s="18">
        <f t="shared" si="19"/>
        <v>0</v>
      </c>
    </row>
    <row r="400" spans="49:49" ht="15">
      <c r="AW400" s="18">
        <f t="shared" si="19"/>
        <v>0</v>
      </c>
    </row>
    <row r="401" spans="49:49" ht="15">
      <c r="AW401" s="18">
        <f t="shared" si="19"/>
        <v>0</v>
      </c>
    </row>
    <row r="402" spans="49:49" ht="15">
      <c r="AW402" s="18">
        <f t="shared" si="19"/>
        <v>0</v>
      </c>
    </row>
    <row r="403" spans="49:49" ht="15">
      <c r="AW403" s="18">
        <f t="shared" si="19"/>
        <v>0</v>
      </c>
    </row>
    <row r="404" spans="49:49" ht="15">
      <c r="AW404" s="18">
        <f t="shared" si="19"/>
        <v>0</v>
      </c>
    </row>
    <row r="405" spans="49:49" ht="15">
      <c r="AW405" s="18">
        <f t="shared" si="19"/>
        <v>0</v>
      </c>
    </row>
    <row r="406" spans="49:49" ht="15">
      <c r="AW406" s="18">
        <f t="shared" si="19"/>
        <v>0</v>
      </c>
    </row>
    <row r="407" spans="49:49" ht="15">
      <c r="AW407" s="18">
        <f t="shared" si="19"/>
        <v>0</v>
      </c>
    </row>
    <row r="408" spans="49:49" ht="15">
      <c r="AW408" s="18">
        <f t="shared" si="19"/>
        <v>0</v>
      </c>
    </row>
    <row r="409" spans="49:49" ht="15">
      <c r="AW409" s="18">
        <f t="shared" si="19"/>
        <v>0</v>
      </c>
    </row>
    <row r="410" spans="49:49" ht="15">
      <c r="AW410" s="18">
        <f t="shared" si="19"/>
        <v>0</v>
      </c>
    </row>
    <row r="411" spans="49:49" ht="15">
      <c r="AW411" s="18">
        <f t="shared" si="19"/>
        <v>0</v>
      </c>
    </row>
    <row r="412" spans="49:49" ht="15">
      <c r="AW412" s="18">
        <f t="shared" si="19"/>
        <v>0</v>
      </c>
    </row>
    <row r="413" spans="49:49" ht="15">
      <c r="AW413" s="18">
        <f t="shared" si="19"/>
        <v>0</v>
      </c>
    </row>
    <row r="414" spans="49:49" ht="15">
      <c r="AW414" s="18">
        <f t="shared" si="19"/>
        <v>0</v>
      </c>
    </row>
    <row r="415" spans="49:49" ht="15">
      <c r="AW415" s="18">
        <f t="shared" si="19"/>
        <v>0</v>
      </c>
    </row>
    <row r="416" spans="49:49" ht="15">
      <c r="AW416" s="18">
        <f t="shared" ref="AW416:AW479" si="20">LEN(L416)</f>
        <v>0</v>
      </c>
    </row>
    <row r="417" spans="49:49" ht="15">
      <c r="AW417" s="18">
        <f t="shared" si="20"/>
        <v>0</v>
      </c>
    </row>
    <row r="418" spans="49:49" ht="15">
      <c r="AW418" s="18">
        <f t="shared" si="20"/>
        <v>0</v>
      </c>
    </row>
    <row r="419" spans="49:49" ht="15">
      <c r="AW419" s="18">
        <f t="shared" si="20"/>
        <v>0</v>
      </c>
    </row>
    <row r="420" spans="49:49" ht="15">
      <c r="AW420" s="18">
        <f t="shared" si="20"/>
        <v>0</v>
      </c>
    </row>
    <row r="421" spans="49:49" ht="15">
      <c r="AW421" s="18">
        <f t="shared" si="20"/>
        <v>0</v>
      </c>
    </row>
    <row r="422" spans="49:49" ht="15">
      <c r="AW422" s="18">
        <f t="shared" si="20"/>
        <v>0</v>
      </c>
    </row>
    <row r="423" spans="49:49" ht="15">
      <c r="AW423" s="18">
        <f t="shared" si="20"/>
        <v>0</v>
      </c>
    </row>
    <row r="424" spans="49:49" ht="15">
      <c r="AW424" s="18">
        <f t="shared" si="20"/>
        <v>0</v>
      </c>
    </row>
    <row r="425" spans="49:49" ht="15">
      <c r="AW425" s="18">
        <f t="shared" si="20"/>
        <v>0</v>
      </c>
    </row>
    <row r="426" spans="49:49" ht="15">
      <c r="AW426" s="18">
        <f t="shared" si="20"/>
        <v>0</v>
      </c>
    </row>
    <row r="427" spans="49:49" ht="15">
      <c r="AW427" s="18">
        <f t="shared" si="20"/>
        <v>0</v>
      </c>
    </row>
    <row r="428" spans="49:49" ht="15">
      <c r="AW428" s="18">
        <f t="shared" si="20"/>
        <v>0</v>
      </c>
    </row>
    <row r="429" spans="49:49" ht="15">
      <c r="AW429" s="18">
        <f t="shared" si="20"/>
        <v>0</v>
      </c>
    </row>
    <row r="430" spans="49:49" ht="15">
      <c r="AW430" s="18">
        <f t="shared" si="20"/>
        <v>0</v>
      </c>
    </row>
    <row r="431" spans="49:49" ht="15">
      <c r="AW431" s="18">
        <f t="shared" si="20"/>
        <v>0</v>
      </c>
    </row>
    <row r="432" spans="49:49" ht="15">
      <c r="AW432" s="18">
        <f t="shared" si="20"/>
        <v>0</v>
      </c>
    </row>
    <row r="433" spans="49:49" ht="15">
      <c r="AW433" s="18">
        <f t="shared" si="20"/>
        <v>0</v>
      </c>
    </row>
    <row r="434" spans="49:49" ht="15">
      <c r="AW434" s="18">
        <f t="shared" si="20"/>
        <v>0</v>
      </c>
    </row>
    <row r="435" spans="49:49" ht="15">
      <c r="AW435" s="18">
        <f t="shared" si="20"/>
        <v>0</v>
      </c>
    </row>
    <row r="436" spans="49:49" ht="15">
      <c r="AW436" s="18">
        <f t="shared" si="20"/>
        <v>0</v>
      </c>
    </row>
    <row r="437" spans="49:49" ht="15">
      <c r="AW437" s="18">
        <f t="shared" si="20"/>
        <v>0</v>
      </c>
    </row>
    <row r="438" spans="49:49" ht="15">
      <c r="AW438" s="18">
        <f t="shared" si="20"/>
        <v>0</v>
      </c>
    </row>
    <row r="439" spans="49:49" ht="15">
      <c r="AW439" s="18">
        <f t="shared" si="20"/>
        <v>0</v>
      </c>
    </row>
    <row r="440" spans="49:49" ht="15">
      <c r="AW440" s="18">
        <f t="shared" si="20"/>
        <v>0</v>
      </c>
    </row>
    <row r="441" spans="49:49" ht="15">
      <c r="AW441" s="18">
        <f t="shared" si="20"/>
        <v>0</v>
      </c>
    </row>
    <row r="442" spans="49:49" ht="15">
      <c r="AW442" s="18">
        <f t="shared" si="20"/>
        <v>0</v>
      </c>
    </row>
    <row r="443" spans="49:49" ht="15">
      <c r="AW443" s="18">
        <f t="shared" si="20"/>
        <v>0</v>
      </c>
    </row>
    <row r="444" spans="49:49" ht="15">
      <c r="AW444" s="18">
        <f t="shared" si="20"/>
        <v>0</v>
      </c>
    </row>
    <row r="445" spans="49:49" ht="15">
      <c r="AW445" s="18">
        <f t="shared" si="20"/>
        <v>0</v>
      </c>
    </row>
    <row r="446" spans="49:49" ht="15">
      <c r="AW446" s="18">
        <f t="shared" si="20"/>
        <v>0</v>
      </c>
    </row>
    <row r="447" spans="49:49" ht="15">
      <c r="AW447" s="18">
        <f t="shared" si="20"/>
        <v>0</v>
      </c>
    </row>
    <row r="448" spans="49:49" ht="15">
      <c r="AW448" s="18">
        <f t="shared" si="20"/>
        <v>0</v>
      </c>
    </row>
    <row r="449" spans="49:49" ht="15">
      <c r="AW449" s="18">
        <f t="shared" si="20"/>
        <v>0</v>
      </c>
    </row>
    <row r="450" spans="49:49" ht="15">
      <c r="AW450" s="18">
        <f t="shared" si="20"/>
        <v>0</v>
      </c>
    </row>
    <row r="451" spans="49:49" ht="15">
      <c r="AW451" s="18">
        <f t="shared" si="20"/>
        <v>0</v>
      </c>
    </row>
    <row r="452" spans="49:49" ht="15">
      <c r="AW452" s="18">
        <f t="shared" si="20"/>
        <v>0</v>
      </c>
    </row>
    <row r="453" spans="49:49" ht="15">
      <c r="AW453" s="18">
        <f t="shared" si="20"/>
        <v>0</v>
      </c>
    </row>
    <row r="454" spans="49:49" ht="15">
      <c r="AW454" s="18">
        <f t="shared" si="20"/>
        <v>0</v>
      </c>
    </row>
    <row r="455" spans="49:49" ht="15">
      <c r="AW455" s="18">
        <f t="shared" si="20"/>
        <v>0</v>
      </c>
    </row>
    <row r="456" spans="49:49" ht="15">
      <c r="AW456" s="18">
        <f t="shared" si="20"/>
        <v>0</v>
      </c>
    </row>
    <row r="457" spans="49:49" ht="15">
      <c r="AW457" s="18">
        <f t="shared" si="20"/>
        <v>0</v>
      </c>
    </row>
    <row r="458" spans="49:49" ht="15">
      <c r="AW458" s="18">
        <f t="shared" si="20"/>
        <v>0</v>
      </c>
    </row>
    <row r="459" spans="49:49" ht="15">
      <c r="AW459" s="18">
        <f t="shared" si="20"/>
        <v>0</v>
      </c>
    </row>
    <row r="460" spans="49:49" ht="15">
      <c r="AW460" s="18">
        <f t="shared" si="20"/>
        <v>0</v>
      </c>
    </row>
    <row r="461" spans="49:49" ht="15">
      <c r="AW461" s="18">
        <f t="shared" si="20"/>
        <v>0</v>
      </c>
    </row>
    <row r="462" spans="49:49" ht="15">
      <c r="AW462" s="18">
        <f t="shared" si="20"/>
        <v>0</v>
      </c>
    </row>
    <row r="463" spans="49:49" ht="15">
      <c r="AW463" s="18">
        <f t="shared" si="20"/>
        <v>0</v>
      </c>
    </row>
    <row r="464" spans="49:49" ht="15">
      <c r="AW464" s="18">
        <f t="shared" si="20"/>
        <v>0</v>
      </c>
    </row>
    <row r="465" spans="49:49" ht="15">
      <c r="AW465" s="18">
        <f t="shared" si="20"/>
        <v>0</v>
      </c>
    </row>
    <row r="466" spans="49:49" ht="15">
      <c r="AW466" s="18">
        <f t="shared" si="20"/>
        <v>0</v>
      </c>
    </row>
    <row r="467" spans="49:49" ht="15">
      <c r="AW467" s="18">
        <f t="shared" si="20"/>
        <v>0</v>
      </c>
    </row>
    <row r="468" spans="49:49" ht="15">
      <c r="AW468" s="18">
        <f t="shared" si="20"/>
        <v>0</v>
      </c>
    </row>
    <row r="469" spans="49:49" ht="15">
      <c r="AW469" s="18">
        <f t="shared" si="20"/>
        <v>0</v>
      </c>
    </row>
    <row r="470" spans="49:49" ht="15">
      <c r="AW470" s="18">
        <f t="shared" si="20"/>
        <v>0</v>
      </c>
    </row>
    <row r="471" spans="49:49" ht="15">
      <c r="AW471" s="18">
        <f t="shared" si="20"/>
        <v>0</v>
      </c>
    </row>
    <row r="472" spans="49:49" ht="15">
      <c r="AW472" s="18">
        <f t="shared" si="20"/>
        <v>0</v>
      </c>
    </row>
    <row r="473" spans="49:49" ht="15">
      <c r="AW473" s="18">
        <f t="shared" si="20"/>
        <v>0</v>
      </c>
    </row>
    <row r="474" spans="49:49" ht="15">
      <c r="AW474" s="18">
        <f t="shared" si="20"/>
        <v>0</v>
      </c>
    </row>
    <row r="475" spans="49:49" ht="15">
      <c r="AW475" s="18">
        <f t="shared" si="20"/>
        <v>0</v>
      </c>
    </row>
    <row r="476" spans="49:49" ht="15">
      <c r="AW476" s="18">
        <f t="shared" si="20"/>
        <v>0</v>
      </c>
    </row>
    <row r="477" spans="49:49" ht="15">
      <c r="AW477" s="18">
        <f t="shared" si="20"/>
        <v>0</v>
      </c>
    </row>
    <row r="478" spans="49:49" ht="15">
      <c r="AW478" s="18">
        <f t="shared" si="20"/>
        <v>0</v>
      </c>
    </row>
    <row r="479" spans="49:49" ht="15">
      <c r="AW479" s="18">
        <f t="shared" si="20"/>
        <v>0</v>
      </c>
    </row>
    <row r="480" spans="49:49" ht="15">
      <c r="AW480" s="18">
        <f t="shared" ref="AW480:AW534" si="21">LEN(L480)</f>
        <v>0</v>
      </c>
    </row>
    <row r="481" spans="49:49" ht="15">
      <c r="AW481" s="18">
        <f t="shared" si="21"/>
        <v>0</v>
      </c>
    </row>
    <row r="482" spans="49:49" ht="15">
      <c r="AW482" s="18">
        <f t="shared" si="21"/>
        <v>0</v>
      </c>
    </row>
    <row r="483" spans="49:49" ht="15">
      <c r="AW483" s="18">
        <f t="shared" si="21"/>
        <v>0</v>
      </c>
    </row>
    <row r="484" spans="49:49" ht="15">
      <c r="AW484" s="18">
        <f t="shared" si="21"/>
        <v>0</v>
      </c>
    </row>
    <row r="485" spans="49:49" ht="15">
      <c r="AW485" s="18">
        <f t="shared" si="21"/>
        <v>0</v>
      </c>
    </row>
    <row r="486" spans="49:49" ht="15">
      <c r="AW486" s="18">
        <f t="shared" si="21"/>
        <v>0</v>
      </c>
    </row>
    <row r="487" spans="49:49" ht="15">
      <c r="AW487" s="18">
        <f t="shared" si="21"/>
        <v>0</v>
      </c>
    </row>
    <row r="488" spans="49:49" ht="15">
      <c r="AW488" s="18">
        <f t="shared" si="21"/>
        <v>0</v>
      </c>
    </row>
    <row r="489" spans="49:49" ht="15">
      <c r="AW489" s="18">
        <f t="shared" si="21"/>
        <v>0</v>
      </c>
    </row>
    <row r="490" spans="49:49" ht="15">
      <c r="AW490" s="18">
        <f t="shared" si="21"/>
        <v>0</v>
      </c>
    </row>
    <row r="491" spans="49:49" ht="15">
      <c r="AW491" s="18">
        <f t="shared" si="21"/>
        <v>0</v>
      </c>
    </row>
    <row r="492" spans="49:49" ht="15">
      <c r="AW492" s="18">
        <f t="shared" si="21"/>
        <v>0</v>
      </c>
    </row>
    <row r="493" spans="49:49" ht="15">
      <c r="AW493" s="18">
        <f t="shared" si="21"/>
        <v>0</v>
      </c>
    </row>
    <row r="494" spans="49:49" ht="15">
      <c r="AW494" s="18">
        <f t="shared" si="21"/>
        <v>0</v>
      </c>
    </row>
    <row r="495" spans="49:49" ht="15">
      <c r="AW495" s="18">
        <f t="shared" si="21"/>
        <v>0</v>
      </c>
    </row>
    <row r="496" spans="49:49" ht="15">
      <c r="AW496" s="18">
        <f t="shared" si="21"/>
        <v>0</v>
      </c>
    </row>
    <row r="497" spans="49:49" ht="15">
      <c r="AW497" s="18">
        <f t="shared" si="21"/>
        <v>0</v>
      </c>
    </row>
    <row r="498" spans="49:49" ht="15">
      <c r="AW498" s="18">
        <f t="shared" si="21"/>
        <v>0</v>
      </c>
    </row>
    <row r="499" spans="49:49" ht="15">
      <c r="AW499" s="18">
        <f t="shared" si="21"/>
        <v>0</v>
      </c>
    </row>
    <row r="500" spans="49:49" ht="15">
      <c r="AW500" s="18">
        <f t="shared" si="21"/>
        <v>0</v>
      </c>
    </row>
    <row r="501" spans="49:49" ht="15">
      <c r="AW501" s="18">
        <f t="shared" si="21"/>
        <v>0</v>
      </c>
    </row>
    <row r="502" spans="49:49" ht="15">
      <c r="AW502" s="18">
        <f t="shared" si="21"/>
        <v>0</v>
      </c>
    </row>
    <row r="503" spans="49:49" ht="15">
      <c r="AW503" s="18">
        <f t="shared" si="21"/>
        <v>0</v>
      </c>
    </row>
    <row r="504" spans="49:49" ht="15">
      <c r="AW504" s="18">
        <f t="shared" si="21"/>
        <v>0</v>
      </c>
    </row>
    <row r="505" spans="49:49" ht="15">
      <c r="AW505" s="18">
        <f t="shared" si="21"/>
        <v>0</v>
      </c>
    </row>
    <row r="506" spans="49:49" ht="15">
      <c r="AW506" s="18">
        <f t="shared" si="21"/>
        <v>0</v>
      </c>
    </row>
    <row r="507" spans="49:49" ht="15">
      <c r="AW507" s="18">
        <f t="shared" si="21"/>
        <v>0</v>
      </c>
    </row>
    <row r="508" spans="49:49" ht="15">
      <c r="AW508" s="18">
        <f t="shared" si="21"/>
        <v>0</v>
      </c>
    </row>
    <row r="509" spans="49:49" ht="15">
      <c r="AW509" s="18">
        <f t="shared" si="21"/>
        <v>0</v>
      </c>
    </row>
    <row r="510" spans="49:49" ht="15">
      <c r="AW510" s="18">
        <f t="shared" si="21"/>
        <v>0</v>
      </c>
    </row>
    <row r="511" spans="49:49" ht="15">
      <c r="AW511" s="18">
        <f t="shared" si="21"/>
        <v>0</v>
      </c>
    </row>
    <row r="512" spans="49:49" ht="15">
      <c r="AW512" s="18">
        <f t="shared" si="21"/>
        <v>0</v>
      </c>
    </row>
    <row r="513" spans="49:49" ht="15">
      <c r="AW513" s="18">
        <f t="shared" si="21"/>
        <v>0</v>
      </c>
    </row>
    <row r="514" spans="49:49" ht="15">
      <c r="AW514" s="18">
        <f t="shared" si="21"/>
        <v>0</v>
      </c>
    </row>
    <row r="515" spans="49:49" ht="15">
      <c r="AW515" s="18">
        <f t="shared" si="21"/>
        <v>0</v>
      </c>
    </row>
    <row r="516" spans="49:49" ht="15">
      <c r="AW516" s="18">
        <f t="shared" si="21"/>
        <v>0</v>
      </c>
    </row>
    <row r="517" spans="49:49" ht="15">
      <c r="AW517" s="18">
        <f t="shared" si="21"/>
        <v>0</v>
      </c>
    </row>
    <row r="518" spans="49:49" ht="15">
      <c r="AW518" s="18">
        <f t="shared" si="21"/>
        <v>0</v>
      </c>
    </row>
    <row r="519" spans="49:49" ht="15">
      <c r="AW519" s="18">
        <f t="shared" si="21"/>
        <v>0</v>
      </c>
    </row>
    <row r="520" spans="49:49" ht="15">
      <c r="AW520" s="18">
        <f t="shared" si="21"/>
        <v>0</v>
      </c>
    </row>
    <row r="521" spans="49:49" ht="15">
      <c r="AW521" s="18">
        <f t="shared" si="21"/>
        <v>0</v>
      </c>
    </row>
    <row r="522" spans="49:49" ht="15">
      <c r="AW522" s="18">
        <f t="shared" si="21"/>
        <v>0</v>
      </c>
    </row>
    <row r="523" spans="49:49" ht="15">
      <c r="AW523" s="18">
        <f t="shared" si="21"/>
        <v>0</v>
      </c>
    </row>
    <row r="524" spans="49:49" ht="15">
      <c r="AW524" s="18">
        <f t="shared" si="21"/>
        <v>0</v>
      </c>
    </row>
    <row r="525" spans="49:49" ht="15">
      <c r="AW525" s="18">
        <f t="shared" si="21"/>
        <v>0</v>
      </c>
    </row>
    <row r="526" spans="49:49" ht="15">
      <c r="AW526" s="18">
        <f t="shared" si="21"/>
        <v>0</v>
      </c>
    </row>
    <row r="527" spans="49:49" ht="15">
      <c r="AW527" s="18">
        <f t="shared" si="21"/>
        <v>0</v>
      </c>
    </row>
    <row r="528" spans="49:49" ht="15">
      <c r="AW528" s="18">
        <f t="shared" si="21"/>
        <v>0</v>
      </c>
    </row>
    <row r="529" spans="49:49" ht="15">
      <c r="AW529" s="18">
        <f t="shared" si="21"/>
        <v>0</v>
      </c>
    </row>
    <row r="530" spans="49:49" ht="15">
      <c r="AW530" s="18">
        <f t="shared" si="21"/>
        <v>0</v>
      </c>
    </row>
    <row r="531" spans="49:49" ht="15">
      <c r="AW531" s="18">
        <f t="shared" si="21"/>
        <v>0</v>
      </c>
    </row>
    <row r="532" spans="49:49" ht="15">
      <c r="AW532" s="18">
        <f t="shared" si="21"/>
        <v>0</v>
      </c>
    </row>
    <row r="533" spans="49:49" ht="15">
      <c r="AW533" s="18">
        <f t="shared" si="21"/>
        <v>0</v>
      </c>
    </row>
    <row r="534" spans="49:49" ht="15">
      <c r="AW534" s="18">
        <f t="shared" si="21"/>
        <v>0</v>
      </c>
    </row>
  </sheetData>
  <mergeCells count="60">
    <mergeCell ref="W4:AD4"/>
    <mergeCell ref="AB5:AB6"/>
    <mergeCell ref="AC5:AC6"/>
    <mergeCell ref="AD5:AD6"/>
    <mergeCell ref="AF5:AF6"/>
    <mergeCell ref="W5:W6"/>
    <mergeCell ref="X5:X6"/>
    <mergeCell ref="Y5:Y6"/>
    <mergeCell ref="Z5:Z6"/>
    <mergeCell ref="AA5:AA6"/>
    <mergeCell ref="AO4:AU4"/>
    <mergeCell ref="B5:B6"/>
    <mergeCell ref="C5:C6"/>
    <mergeCell ref="D5:D6"/>
    <mergeCell ref="E5:E6"/>
    <mergeCell ref="H5:H6"/>
    <mergeCell ref="AI5:AI6"/>
    <mergeCell ref="AJ5:AJ6"/>
    <mergeCell ref="R5:R6"/>
    <mergeCell ref="S5:S6"/>
    <mergeCell ref="AE4:AL4"/>
    <mergeCell ref="B4:C4"/>
    <mergeCell ref="K5:K6"/>
    <mergeCell ref="L5:L6"/>
    <mergeCell ref="I5:I6"/>
    <mergeCell ref="J5:J6"/>
    <mergeCell ref="CC5:CD5"/>
    <mergeCell ref="J203:J267"/>
    <mergeCell ref="L203:L267"/>
    <mergeCell ref="AZ5:AZ6"/>
    <mergeCell ref="BA5:BE5"/>
    <mergeCell ref="BF5:BS5"/>
    <mergeCell ref="AV5:AV6"/>
    <mergeCell ref="AX5:AX6"/>
    <mergeCell ref="N5:N6"/>
    <mergeCell ref="O5:O6"/>
    <mergeCell ref="P5:P6"/>
    <mergeCell ref="Q5:Q6"/>
    <mergeCell ref="U5:U6"/>
    <mergeCell ref="AK5:AK6"/>
    <mergeCell ref="AO5:AO6"/>
    <mergeCell ref="AL5:AL6"/>
    <mergeCell ref="V5:V6"/>
    <mergeCell ref="T5:T6"/>
    <mergeCell ref="J278:J280"/>
    <mergeCell ref="L278:L280"/>
    <mergeCell ref="BX5:BY5"/>
    <mergeCell ref="AG5:AG6"/>
    <mergeCell ref="AH5:AH6"/>
    <mergeCell ref="AE5:AE6"/>
    <mergeCell ref="J268:J277"/>
    <mergeCell ref="L268:L277"/>
    <mergeCell ref="BZ5:CB5"/>
    <mergeCell ref="AP5:AP6"/>
    <mergeCell ref="AQ5:AQ6"/>
    <mergeCell ref="AR5:AR6"/>
    <mergeCell ref="AS5:AS6"/>
    <mergeCell ref="BT5:BW5"/>
    <mergeCell ref="AT5:AT6"/>
    <mergeCell ref="AU5:AU6"/>
  </mergeCells>
  <phoneticPr fontId="13" type="noConversion"/>
  <conditionalFormatting sqref="AW1:AW43 AW89:AW1048576 AW48:AW53 AW55 AW57:AW87">
    <cfRule type="cellIs" dxfId="223" priority="94" stopIfTrue="1" operator="greaterThan">
      <formula>42</formula>
    </cfRule>
  </conditionalFormatting>
  <conditionalFormatting sqref="AW153">
    <cfRule type="cellIs" dxfId="222" priority="18" stopIfTrue="1" operator="greaterThan">
      <formula>42</formula>
    </cfRule>
  </conditionalFormatting>
  <conditionalFormatting sqref="AW88">
    <cfRule type="cellIs" dxfId="221" priority="11" stopIfTrue="1" operator="greaterThan">
      <formula>42</formula>
    </cfRule>
  </conditionalFormatting>
  <conditionalFormatting sqref="AW44">
    <cfRule type="cellIs" dxfId="220" priority="10" stopIfTrue="1" operator="greaterThan">
      <formula>42</formula>
    </cfRule>
  </conditionalFormatting>
  <conditionalFormatting sqref="AW45">
    <cfRule type="cellIs" dxfId="219" priority="9" stopIfTrue="1" operator="greaterThan">
      <formula>42</formula>
    </cfRule>
  </conditionalFormatting>
  <conditionalFormatting sqref="AW46">
    <cfRule type="cellIs" dxfId="218" priority="8" stopIfTrue="1" operator="greaterThan">
      <formula>42</formula>
    </cfRule>
  </conditionalFormatting>
  <conditionalFormatting sqref="AW54">
    <cfRule type="cellIs" dxfId="217" priority="7" stopIfTrue="1" operator="greaterThan">
      <formula>42</formula>
    </cfRule>
  </conditionalFormatting>
  <conditionalFormatting sqref="AW56">
    <cfRule type="cellIs" dxfId="216" priority="6" stopIfTrue="1" operator="greaterThan">
      <formula>42</formula>
    </cfRule>
  </conditionalFormatting>
  <conditionalFormatting sqref="AW47">
    <cfRule type="cellIs" dxfId="215" priority="5" stopIfTrue="1" operator="greaterThan">
      <formula>42</formula>
    </cfRule>
  </conditionalFormatting>
  <conditionalFormatting sqref="AW116:AW129">
    <cfRule type="cellIs" dxfId="214" priority="4" stopIfTrue="1" operator="greaterThan">
      <formula>42</formula>
    </cfRule>
  </conditionalFormatting>
  <conditionalFormatting sqref="AW116:AW129">
    <cfRule type="cellIs" dxfId="213" priority="3" stopIfTrue="1" operator="greaterThan">
      <formula>42</formula>
    </cfRule>
  </conditionalFormatting>
  <conditionalFormatting sqref="AW154:AW155">
    <cfRule type="cellIs" dxfId="212" priority="2" stopIfTrue="1" operator="greaterThan">
      <formula>42</formula>
    </cfRule>
  </conditionalFormatting>
  <conditionalFormatting sqref="AW154:AW155">
    <cfRule type="cellIs" dxfId="211" priority="1" stopIfTrue="1" operator="greaterThan">
      <formula>42</formula>
    </cfRule>
  </conditionalFormatting>
  <dataValidations count="3">
    <dataValidation type="textLength" operator="lessThanOrEqual" allowBlank="1" showInputMessage="1" showErrorMessage="1" sqref="AO116:AT117" xr:uid="{00000000-0002-0000-0A00-000000000000}">
      <formula1>4</formula1>
    </dataValidation>
    <dataValidation type="textLength" operator="lessThan" allowBlank="1" showInputMessage="1" showErrorMessage="1" error="text length exceeded" prompt="max. 64 charcters" sqref="B116:D117 C120 C128 B129:C129 B154:B155" xr:uid="{00000000-0002-0000-0A00-000001000000}">
      <formula1>65</formula1>
    </dataValidation>
    <dataValidation type="textLength" allowBlank="1" showInputMessage="1" showErrorMessage="1" sqref="AO120:AT120 AO128:AT129 AO154:AT155" xr:uid="{00000000-0002-0000-0A00-000002000000}">
      <formula1>0</formula1>
      <formula2>4</formula2>
    </dataValidation>
  </dataValidations>
  <pageMargins left="0.78740157499999996" right="0.78740157499999996" top="0.984251969" bottom="0.984251969" header="0.49212598499999999" footer="0.49212598499999999"/>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4"/>
  <dimension ref="A1:CI456"/>
  <sheetViews>
    <sheetView showGridLines="0" showRuler="0" topLeftCell="A4" zoomScale="60" zoomScaleNormal="60" zoomScalePageLayoutView="80" workbookViewId="0">
      <pane ySplit="3" topLeftCell="A16" activePane="bottomLeft" state="frozenSplit"/>
      <selection activeCell="A4" sqref="A4"/>
      <selection pane="bottomLeft" activeCell="J62" sqref="J62"/>
    </sheetView>
  </sheetViews>
  <sheetFormatPr defaultColWidth="8.88671875" defaultRowHeight="13.2"/>
  <cols>
    <col min="1" max="1" width="5.6640625" style="144" customWidth="1"/>
    <col min="2" max="2" width="46.44140625" hidden="1" customWidth="1"/>
    <col min="3" max="3" width="8.6640625" hidden="1" customWidth="1"/>
    <col min="4" max="4" width="0" hidden="1" customWidth="1"/>
    <col min="5" max="7" width="10" hidden="1" customWidth="1"/>
    <col min="8" max="9" width="0" hidden="1" customWidth="1"/>
    <col min="10" max="10" width="36.6640625" customWidth="1"/>
    <col min="11" max="11" width="27.5546875" customWidth="1"/>
    <col min="12" max="12" width="53.88671875" style="144" customWidth="1"/>
    <col min="13" max="13" width="39.88671875" customWidth="1"/>
    <col min="14" max="14" width="7.44140625" style="138" customWidth="1"/>
    <col min="15" max="16" width="5.6640625" style="138" customWidth="1"/>
    <col min="17" max="20" width="4.6640625" style="138" customWidth="1"/>
    <col min="21" max="21" width="54.44140625" customWidth="1"/>
    <col min="22" max="22" width="32.6640625" customWidth="1"/>
    <col min="23" max="23" width="20.44140625" customWidth="1"/>
    <col min="24" max="24" width="5.6640625" customWidth="1"/>
    <col min="25" max="25" width="20.44140625" bestFit="1" customWidth="1"/>
    <col min="26" max="27" width="4.6640625" style="138" customWidth="1"/>
    <col min="28" max="28" width="19.109375" customWidth="1"/>
    <col min="29" max="29" width="16.109375" customWidth="1"/>
    <col min="30" max="30" width="22.109375" customWidth="1"/>
    <col min="31" max="31" width="18.33203125" customWidth="1"/>
    <col min="32" max="33" width="5.6640625" customWidth="1"/>
    <col min="34" max="35" width="4.6640625" customWidth="1"/>
    <col min="36" max="36" width="33.6640625" customWidth="1"/>
    <col min="37" max="37" width="8.88671875" customWidth="1"/>
    <col min="38" max="38" width="24.44140625" customWidth="1"/>
    <col min="39" max="39" width="13" customWidth="1"/>
    <col min="40" max="40" width="30.6640625" customWidth="1"/>
    <col min="48" max="48" width="30.6640625" customWidth="1"/>
    <col min="49" max="49" width="0" hidden="1" customWidth="1"/>
  </cols>
  <sheetData>
    <row r="1" spans="1:86" ht="13.8" hidden="1" thickBot="1"/>
    <row r="2" spans="1:86" ht="13.8" hidden="1" thickBot="1"/>
    <row r="3" spans="1:86" s="1" customFormat="1" ht="13.8" hidden="1" thickBot="1">
      <c r="A3" s="146"/>
      <c r="C3" s="2"/>
      <c r="E3" s="3"/>
      <c r="F3" s="3"/>
      <c r="G3" s="3"/>
      <c r="H3" s="3"/>
      <c r="I3" s="3"/>
      <c r="J3" s="3"/>
      <c r="K3" s="3"/>
      <c r="L3" s="136"/>
      <c r="M3" s="3"/>
      <c r="N3" s="136"/>
      <c r="O3" s="136"/>
      <c r="P3" s="136"/>
      <c r="Q3" s="136"/>
      <c r="R3" s="136"/>
      <c r="S3" s="136"/>
      <c r="T3" s="136"/>
      <c r="U3" s="3"/>
      <c r="V3" s="3"/>
      <c r="W3" s="3"/>
      <c r="X3" s="4"/>
      <c r="Y3" s="5"/>
      <c r="Z3" s="136"/>
      <c r="AA3" s="136"/>
      <c r="AB3" s="3"/>
      <c r="AC3" s="3"/>
      <c r="AD3" s="3"/>
      <c r="AE3" s="3"/>
      <c r="AF3" s="4"/>
      <c r="AG3" s="5"/>
      <c r="AH3" s="5"/>
      <c r="AI3" s="3"/>
      <c r="AJ3" s="3"/>
      <c r="AK3" s="2"/>
      <c r="AL3" s="2"/>
      <c r="AM3" s="2"/>
      <c r="AN3" s="2"/>
      <c r="AO3" s="2"/>
      <c r="AP3" s="2"/>
      <c r="AQ3" s="2"/>
    </row>
    <row r="4" spans="1:86"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513"/>
      <c r="G5" s="513"/>
      <c r="H5" s="637" t="s">
        <v>475</v>
      </c>
      <c r="I5" s="646" t="s">
        <v>476</v>
      </c>
      <c r="J5" s="648" t="s">
        <v>477</v>
      </c>
      <c r="K5" s="648" t="s">
        <v>478</v>
      </c>
      <c r="L5" s="648" t="s">
        <v>479</v>
      </c>
      <c r="M5" s="515"/>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75"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23" customHeight="1" thickBot="1">
      <c r="A6" s="58" t="s">
        <v>501</v>
      </c>
      <c r="B6" s="655"/>
      <c r="C6" s="655"/>
      <c r="D6" s="638"/>
      <c r="E6" s="638"/>
      <c r="F6" s="514" t="s">
        <v>473</v>
      </c>
      <c r="G6" s="514" t="s">
        <v>474</v>
      </c>
      <c r="H6" s="638"/>
      <c r="I6" s="647"/>
      <c r="J6" s="649"/>
      <c r="K6" s="649"/>
      <c r="L6" s="649"/>
      <c r="M6" s="516" t="s">
        <v>3506</v>
      </c>
      <c r="N6" s="649"/>
      <c r="O6" s="649"/>
      <c r="P6" s="649"/>
      <c r="Q6" s="649"/>
      <c r="R6" s="649"/>
      <c r="S6" s="649"/>
      <c r="T6" s="649"/>
      <c r="U6" s="649"/>
      <c r="V6" s="649"/>
      <c r="W6" s="636"/>
      <c r="X6" s="636"/>
      <c r="Y6" s="636"/>
      <c r="Z6" s="641"/>
      <c r="AA6" s="636"/>
      <c r="AB6" s="636"/>
      <c r="AC6" s="636"/>
      <c r="AD6" s="636"/>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52">
        <f>ROW() - 6</f>
        <v>1</v>
      </c>
      <c r="B7" s="65"/>
      <c r="C7" s="65"/>
      <c r="D7" s="65"/>
      <c r="E7" s="65"/>
      <c r="F7" s="65"/>
      <c r="G7" s="65"/>
      <c r="H7" s="65"/>
      <c r="I7" s="65"/>
      <c r="J7" s="508" t="s">
        <v>503</v>
      </c>
      <c r="K7" s="65"/>
      <c r="L7" s="142"/>
      <c r="M7" s="65"/>
      <c r="N7" s="137"/>
      <c r="O7" s="137"/>
      <c r="P7" s="137"/>
      <c r="Q7" s="137"/>
      <c r="R7" s="137"/>
      <c r="S7" s="137"/>
      <c r="T7" s="137"/>
      <c r="U7" s="73"/>
      <c r="V7" s="73"/>
      <c r="W7" s="65"/>
      <c r="X7" s="65"/>
      <c r="Y7" s="65"/>
      <c r="Z7" s="137"/>
      <c r="AA7" s="137"/>
      <c r="AB7" s="65"/>
      <c r="AC7" s="65"/>
      <c r="AD7" s="65"/>
      <c r="AE7" s="65"/>
      <c r="AF7" s="65"/>
      <c r="AG7" s="65"/>
      <c r="AH7" s="65"/>
      <c r="AI7" s="65"/>
      <c r="AJ7" s="73"/>
      <c r="AK7" s="65"/>
      <c r="AL7" s="65"/>
      <c r="AM7" s="65"/>
      <c r="AN7" s="65"/>
      <c r="AO7" s="65"/>
      <c r="AP7" s="65"/>
      <c r="AQ7" s="65"/>
      <c r="AR7" s="65"/>
      <c r="AS7" s="65"/>
      <c r="AT7" s="65"/>
      <c r="AU7" s="65"/>
      <c r="AV7" s="545"/>
      <c r="AW7" s="18">
        <f>LEN(L7)</f>
        <v>0</v>
      </c>
    </row>
    <row r="8" spans="1:86" s="12" customFormat="1" ht="15">
      <c r="A8" s="40">
        <f t="shared" ref="A8:A93" si="0">ROW() - 6</f>
        <v>2</v>
      </c>
      <c r="B8" s="38"/>
      <c r="C8" s="34"/>
      <c r="D8" s="33"/>
      <c r="E8" s="39"/>
      <c r="F8" s="39"/>
      <c r="G8" s="39"/>
      <c r="H8" s="402"/>
      <c r="I8" s="40"/>
      <c r="J8" s="399" t="s">
        <v>2121</v>
      </c>
      <c r="K8" s="399" t="s">
        <v>122</v>
      </c>
      <c r="L8" s="412" t="s">
        <v>2122</v>
      </c>
      <c r="M8" s="412" t="s">
        <v>3602</v>
      </c>
      <c r="N8" s="349" t="s">
        <v>873</v>
      </c>
      <c r="O8" s="40"/>
      <c r="P8" s="40"/>
      <c r="Q8" s="40" t="s">
        <v>6</v>
      </c>
      <c r="R8" s="40" t="s">
        <v>6</v>
      </c>
      <c r="S8" s="40" t="s">
        <v>6</v>
      </c>
      <c r="T8" s="126" t="s">
        <v>6</v>
      </c>
      <c r="U8" s="40"/>
      <c r="V8" s="40"/>
      <c r="W8" s="412" t="s">
        <v>123</v>
      </c>
      <c r="X8" s="13"/>
      <c r="Y8" s="13"/>
      <c r="Z8" s="40" t="s">
        <v>6</v>
      </c>
      <c r="AA8" s="40" t="s">
        <v>6</v>
      </c>
      <c r="AB8" s="13"/>
      <c r="AC8" s="13"/>
      <c r="AD8" s="218" t="s">
        <v>2123</v>
      </c>
      <c r="AE8" s="412" t="s">
        <v>123</v>
      </c>
      <c r="AF8" s="13"/>
      <c r="AG8" s="13"/>
      <c r="AH8" s="13" t="s">
        <v>6</v>
      </c>
      <c r="AI8" s="13" t="s">
        <v>6</v>
      </c>
      <c r="AJ8" s="13"/>
      <c r="AK8" s="13"/>
      <c r="AL8" s="218" t="s">
        <v>2123</v>
      </c>
      <c r="AM8" s="43"/>
      <c r="AN8" s="19"/>
      <c r="AO8" s="37"/>
      <c r="AP8" s="37"/>
      <c r="AQ8" s="37"/>
      <c r="AR8" s="37"/>
      <c r="AS8" s="37"/>
      <c r="AT8" s="37"/>
      <c r="AU8" s="13"/>
      <c r="AV8" s="13"/>
      <c r="AW8" s="18">
        <f t="shared" ref="AW8:AW67" si="1">LEN(L8)</f>
        <v>23</v>
      </c>
    </row>
    <row r="9" spans="1:86" s="12" customFormat="1" ht="15">
      <c r="A9" s="40">
        <f t="shared" si="0"/>
        <v>3</v>
      </c>
      <c r="B9" s="38"/>
      <c r="C9" s="34"/>
      <c r="D9" s="33"/>
      <c r="E9" s="39"/>
      <c r="F9" s="39"/>
      <c r="G9" s="39"/>
      <c r="H9" s="402"/>
      <c r="I9" s="40"/>
      <c r="J9" s="399" t="s">
        <v>2124</v>
      </c>
      <c r="K9" s="399" t="s">
        <v>122</v>
      </c>
      <c r="L9" s="412" t="s">
        <v>2125</v>
      </c>
      <c r="M9" s="412" t="s">
        <v>3602</v>
      </c>
      <c r="N9" s="349" t="s">
        <v>873</v>
      </c>
      <c r="O9" s="404"/>
      <c r="P9" s="404"/>
      <c r="Q9" s="40" t="s">
        <v>6</v>
      </c>
      <c r="R9" s="40" t="s">
        <v>6</v>
      </c>
      <c r="S9" s="404" t="s">
        <v>6</v>
      </c>
      <c r="T9" s="126" t="s">
        <v>6</v>
      </c>
      <c r="U9" s="40"/>
      <c r="V9" s="40"/>
      <c r="W9" s="399" t="s">
        <v>123</v>
      </c>
      <c r="X9" s="13"/>
      <c r="Y9" s="402"/>
      <c r="Z9" s="40" t="s">
        <v>6</v>
      </c>
      <c r="AA9" s="416" t="s">
        <v>6</v>
      </c>
      <c r="AB9" s="402"/>
      <c r="AC9" s="402"/>
      <c r="AD9" s="218" t="s">
        <v>2123</v>
      </c>
      <c r="AE9" s="399" t="s">
        <v>123</v>
      </c>
      <c r="AF9" s="13"/>
      <c r="AG9" s="402"/>
      <c r="AH9" s="13" t="s">
        <v>6</v>
      </c>
      <c r="AI9" s="402" t="s">
        <v>6</v>
      </c>
      <c r="AJ9" s="402"/>
      <c r="AK9" s="402"/>
      <c r="AL9" s="218" t="s">
        <v>2123</v>
      </c>
      <c r="AM9" s="36"/>
      <c r="AN9" s="35"/>
      <c r="AO9" s="37"/>
      <c r="AP9" s="37"/>
      <c r="AQ9" s="37"/>
      <c r="AR9" s="37"/>
      <c r="AS9" s="37"/>
      <c r="AT9" s="37"/>
      <c r="AU9" s="13"/>
      <c r="AV9" s="13"/>
      <c r="AW9" s="18">
        <f t="shared" si="1"/>
        <v>29</v>
      </c>
    </row>
    <row r="10" spans="1:86" s="12" customFormat="1" ht="15">
      <c r="A10" s="40">
        <f t="shared" si="0"/>
        <v>4</v>
      </c>
      <c r="B10" s="38"/>
      <c r="C10" s="41"/>
      <c r="D10" s="33"/>
      <c r="E10" s="39"/>
      <c r="F10" s="39"/>
      <c r="G10" s="39"/>
      <c r="H10" s="402"/>
      <c r="I10" s="40"/>
      <c r="J10" s="399" t="s">
        <v>2126</v>
      </c>
      <c r="K10" s="399" t="s">
        <v>122</v>
      </c>
      <c r="L10" s="412" t="s">
        <v>2127</v>
      </c>
      <c r="M10" s="412" t="s">
        <v>3602</v>
      </c>
      <c r="N10" s="349" t="s">
        <v>873</v>
      </c>
      <c r="O10" s="404"/>
      <c r="P10" s="404"/>
      <c r="Q10" s="40" t="s">
        <v>6</v>
      </c>
      <c r="R10" s="40" t="s">
        <v>6</v>
      </c>
      <c r="S10" s="404" t="s">
        <v>6</v>
      </c>
      <c r="T10" s="126" t="s">
        <v>6</v>
      </c>
      <c r="U10" s="40"/>
      <c r="V10" s="40"/>
      <c r="W10" s="399" t="s">
        <v>123</v>
      </c>
      <c r="X10" s="13"/>
      <c r="Y10" s="402"/>
      <c r="Z10" s="40" t="s">
        <v>6</v>
      </c>
      <c r="AA10" s="416" t="s">
        <v>6</v>
      </c>
      <c r="AB10" s="402"/>
      <c r="AC10" s="402"/>
      <c r="AD10" s="218" t="s">
        <v>2123</v>
      </c>
      <c r="AE10" s="399" t="s">
        <v>123</v>
      </c>
      <c r="AF10" s="13"/>
      <c r="AG10" s="402"/>
      <c r="AH10" s="13" t="s">
        <v>6</v>
      </c>
      <c r="AI10" s="402" t="s">
        <v>6</v>
      </c>
      <c r="AJ10" s="402"/>
      <c r="AK10" s="402"/>
      <c r="AL10" s="218" t="s">
        <v>2123</v>
      </c>
      <c r="AM10" s="36"/>
      <c r="AN10" s="35"/>
      <c r="AO10" s="37"/>
      <c r="AP10" s="37"/>
      <c r="AQ10" s="37"/>
      <c r="AR10" s="37"/>
      <c r="AS10" s="37"/>
      <c r="AT10" s="37"/>
      <c r="AU10" s="13"/>
      <c r="AV10" s="13"/>
      <c r="AW10" s="18">
        <f t="shared" si="1"/>
        <v>28</v>
      </c>
    </row>
    <row r="11" spans="1:86" s="14" customFormat="1" ht="15">
      <c r="A11" s="40">
        <f t="shared" si="0"/>
        <v>5</v>
      </c>
      <c r="B11" s="38"/>
      <c r="C11" s="42"/>
      <c r="D11" s="19"/>
      <c r="E11" s="19"/>
      <c r="F11" s="35"/>
      <c r="G11" s="35"/>
      <c r="H11" s="402"/>
      <c r="I11" s="13"/>
      <c r="J11" s="399" t="s">
        <v>2128</v>
      </c>
      <c r="K11" s="399" t="s">
        <v>122</v>
      </c>
      <c r="L11" s="412" t="s">
        <v>2129</v>
      </c>
      <c r="M11" s="412" t="s">
        <v>3602</v>
      </c>
      <c r="N11" s="349" t="s">
        <v>873</v>
      </c>
      <c r="O11" s="40"/>
      <c r="P11" s="40"/>
      <c r="Q11" s="40" t="s">
        <v>6</v>
      </c>
      <c r="R11" s="403" t="s">
        <v>6</v>
      </c>
      <c r="S11" s="404" t="s">
        <v>6</v>
      </c>
      <c r="T11" s="126" t="s">
        <v>6</v>
      </c>
      <c r="U11" s="13"/>
      <c r="V11" s="13"/>
      <c r="W11" s="399" t="s">
        <v>123</v>
      </c>
      <c r="X11" s="400"/>
      <c r="Y11" s="402"/>
      <c r="Z11" s="415" t="s">
        <v>6</v>
      </c>
      <c r="AA11" s="416" t="s">
        <v>6</v>
      </c>
      <c r="AB11" s="400"/>
      <c r="AC11" s="403"/>
      <c r="AD11" s="218" t="s">
        <v>2123</v>
      </c>
      <c r="AE11" s="399" t="s">
        <v>123</v>
      </c>
      <c r="AF11" s="400"/>
      <c r="AG11" s="402"/>
      <c r="AH11" s="400" t="s">
        <v>6</v>
      </c>
      <c r="AI11" s="402" t="s">
        <v>6</v>
      </c>
      <c r="AJ11" s="400"/>
      <c r="AK11" s="403"/>
      <c r="AL11" s="218" t="s">
        <v>2123</v>
      </c>
      <c r="AM11" s="43"/>
      <c r="AN11" s="44"/>
      <c r="AO11" s="13"/>
      <c r="AP11" s="13"/>
      <c r="AQ11" s="13"/>
      <c r="AR11" s="13"/>
      <c r="AS11" s="13"/>
      <c r="AT11" s="13"/>
      <c r="AU11" s="13"/>
      <c r="AV11" s="13"/>
      <c r="AW11" s="18">
        <f t="shared" si="1"/>
        <v>17</v>
      </c>
    </row>
    <row r="12" spans="1:86" s="14" customFormat="1" ht="15">
      <c r="A12" s="40">
        <f t="shared" si="0"/>
        <v>6</v>
      </c>
      <c r="B12" s="38"/>
      <c r="C12" s="42"/>
      <c r="D12" s="19"/>
      <c r="E12" s="19"/>
      <c r="F12" s="35"/>
      <c r="G12" s="35"/>
      <c r="H12" s="402"/>
      <c r="I12" s="13"/>
      <c r="J12" s="399" t="s">
        <v>2130</v>
      </c>
      <c r="K12" s="399" t="s">
        <v>122</v>
      </c>
      <c r="L12" s="412" t="s">
        <v>2131</v>
      </c>
      <c r="M12" s="412" t="s">
        <v>3602</v>
      </c>
      <c r="N12" s="349" t="s">
        <v>873</v>
      </c>
      <c r="O12" s="40"/>
      <c r="P12" s="40"/>
      <c r="Q12" s="40" t="s">
        <v>6</v>
      </c>
      <c r="R12" s="403" t="s">
        <v>6</v>
      </c>
      <c r="S12" s="404" t="s">
        <v>6</v>
      </c>
      <c r="T12" s="126" t="s">
        <v>6</v>
      </c>
      <c r="U12" s="13"/>
      <c r="V12" s="13"/>
      <c r="W12" s="399" t="s">
        <v>123</v>
      </c>
      <c r="X12" s="400"/>
      <c r="Y12" s="402"/>
      <c r="Z12" s="415" t="s">
        <v>6</v>
      </c>
      <c r="AA12" s="416" t="s">
        <v>6</v>
      </c>
      <c r="AB12" s="400"/>
      <c r="AC12" s="403"/>
      <c r="AD12" s="218" t="s">
        <v>2123</v>
      </c>
      <c r="AE12" s="399" t="s">
        <v>123</v>
      </c>
      <c r="AF12" s="400"/>
      <c r="AG12" s="402"/>
      <c r="AH12" s="400" t="s">
        <v>6</v>
      </c>
      <c r="AI12" s="402" t="s">
        <v>6</v>
      </c>
      <c r="AJ12" s="400"/>
      <c r="AK12" s="403"/>
      <c r="AL12" s="218" t="s">
        <v>2123</v>
      </c>
      <c r="AM12" s="43"/>
      <c r="AN12" s="44"/>
      <c r="AO12" s="13"/>
      <c r="AP12" s="13"/>
      <c r="AQ12" s="13"/>
      <c r="AR12" s="13"/>
      <c r="AS12" s="13"/>
      <c r="AT12" s="13"/>
      <c r="AU12" s="13"/>
      <c r="AV12" s="13"/>
      <c r="AW12" s="18">
        <f t="shared" si="1"/>
        <v>19</v>
      </c>
    </row>
    <row r="13" spans="1:86" s="14" customFormat="1" ht="15">
      <c r="A13" s="40">
        <f t="shared" si="0"/>
        <v>7</v>
      </c>
      <c r="B13" s="38"/>
      <c r="C13" s="42"/>
      <c r="D13" s="19"/>
      <c r="E13" s="19"/>
      <c r="F13" s="35"/>
      <c r="G13" s="35"/>
      <c r="H13" s="402"/>
      <c r="I13" s="13"/>
      <c r="J13" s="399" t="s">
        <v>2132</v>
      </c>
      <c r="K13" s="399" t="s">
        <v>122</v>
      </c>
      <c r="L13" s="412" t="s">
        <v>2133</v>
      </c>
      <c r="M13" s="412" t="s">
        <v>3602</v>
      </c>
      <c r="N13" s="349" t="s">
        <v>873</v>
      </c>
      <c r="O13" s="40"/>
      <c r="P13" s="40"/>
      <c r="Q13" s="40" t="s">
        <v>6</v>
      </c>
      <c r="R13" s="403" t="s">
        <v>6</v>
      </c>
      <c r="S13" s="404" t="s">
        <v>6</v>
      </c>
      <c r="T13" s="126" t="s">
        <v>6</v>
      </c>
      <c r="U13" s="13"/>
      <c r="V13" s="13"/>
      <c r="W13" s="399" t="s">
        <v>123</v>
      </c>
      <c r="X13" s="400"/>
      <c r="Y13" s="402"/>
      <c r="Z13" s="415" t="s">
        <v>6</v>
      </c>
      <c r="AA13" s="416" t="s">
        <v>6</v>
      </c>
      <c r="AB13" s="400"/>
      <c r="AC13" s="403"/>
      <c r="AD13" s="218" t="s">
        <v>2123</v>
      </c>
      <c r="AE13" s="399" t="s">
        <v>123</v>
      </c>
      <c r="AF13" s="400"/>
      <c r="AG13" s="402"/>
      <c r="AH13" s="400" t="s">
        <v>6</v>
      </c>
      <c r="AI13" s="402" t="s">
        <v>6</v>
      </c>
      <c r="AJ13" s="400"/>
      <c r="AK13" s="403"/>
      <c r="AL13" s="218" t="s">
        <v>2123</v>
      </c>
      <c r="AM13" s="43"/>
      <c r="AN13" s="44"/>
      <c r="AO13" s="13"/>
      <c r="AP13" s="13"/>
      <c r="AQ13" s="13"/>
      <c r="AR13" s="13"/>
      <c r="AS13" s="13"/>
      <c r="AT13" s="13"/>
      <c r="AU13" s="13"/>
      <c r="AV13" s="13"/>
      <c r="AW13" s="18">
        <f t="shared" si="1"/>
        <v>26</v>
      </c>
    </row>
    <row r="14" spans="1:86" s="14" customFormat="1" ht="15">
      <c r="A14" s="40">
        <f t="shared" si="0"/>
        <v>8</v>
      </c>
      <c r="B14" s="38"/>
      <c r="C14" s="42"/>
      <c r="D14" s="19"/>
      <c r="E14" s="19"/>
      <c r="F14" s="35"/>
      <c r="G14" s="35"/>
      <c r="H14" s="402"/>
      <c r="I14" s="13"/>
      <c r="J14" s="399" t="s">
        <v>2134</v>
      </c>
      <c r="K14" s="399" t="s">
        <v>122</v>
      </c>
      <c r="L14" s="412" t="s">
        <v>2135</v>
      </c>
      <c r="M14" s="412" t="s">
        <v>3602</v>
      </c>
      <c r="N14" s="349" t="s">
        <v>873</v>
      </c>
      <c r="O14" s="40"/>
      <c r="P14" s="40"/>
      <c r="Q14" s="40" t="s">
        <v>6</v>
      </c>
      <c r="R14" s="403" t="s">
        <v>6</v>
      </c>
      <c r="S14" s="404" t="s">
        <v>6</v>
      </c>
      <c r="T14" s="126" t="s">
        <v>6</v>
      </c>
      <c r="U14" s="13"/>
      <c r="V14" s="13"/>
      <c r="W14" s="399" t="s">
        <v>123</v>
      </c>
      <c r="X14" s="400"/>
      <c r="Y14" s="402"/>
      <c r="Z14" s="415" t="s">
        <v>6</v>
      </c>
      <c r="AA14" s="416" t="s">
        <v>6</v>
      </c>
      <c r="AB14" s="400"/>
      <c r="AC14" s="403"/>
      <c r="AD14" s="218" t="s">
        <v>2123</v>
      </c>
      <c r="AE14" s="399" t="s">
        <v>123</v>
      </c>
      <c r="AF14" s="400"/>
      <c r="AG14" s="402"/>
      <c r="AH14" s="400" t="s">
        <v>6</v>
      </c>
      <c r="AI14" s="402" t="s">
        <v>6</v>
      </c>
      <c r="AJ14" s="400"/>
      <c r="AK14" s="403"/>
      <c r="AL14" s="218" t="s">
        <v>2123</v>
      </c>
      <c r="AM14" s="43"/>
      <c r="AN14" s="44"/>
      <c r="AO14" s="13"/>
      <c r="AP14" s="13"/>
      <c r="AQ14" s="13"/>
      <c r="AR14" s="13"/>
      <c r="AS14" s="13"/>
      <c r="AT14" s="13"/>
      <c r="AU14" s="13"/>
      <c r="AV14" s="13"/>
      <c r="AW14" s="18">
        <f t="shared" si="1"/>
        <v>11</v>
      </c>
    </row>
    <row r="15" spans="1:86" s="12" customFormat="1" ht="15">
      <c r="A15" s="40">
        <f>ROW() - 6</f>
        <v>9</v>
      </c>
      <c r="B15" s="38"/>
      <c r="C15" s="41"/>
      <c r="D15" s="38"/>
      <c r="E15" s="38"/>
      <c r="F15" s="38"/>
      <c r="G15" s="38"/>
      <c r="H15" s="13"/>
      <c r="I15" s="40"/>
      <c r="J15" s="399" t="s">
        <v>2136</v>
      </c>
      <c r="K15" s="399" t="s">
        <v>132</v>
      </c>
      <c r="L15" s="412" t="s">
        <v>2137</v>
      </c>
      <c r="M15" s="412" t="s">
        <v>3602</v>
      </c>
      <c r="N15" s="40" t="s">
        <v>504</v>
      </c>
      <c r="O15" s="40"/>
      <c r="P15" s="40"/>
      <c r="Q15" s="40" t="s">
        <v>6</v>
      </c>
      <c r="R15" s="40" t="s">
        <v>6</v>
      </c>
      <c r="S15" s="40" t="s">
        <v>6</v>
      </c>
      <c r="T15" s="126" t="s">
        <v>6</v>
      </c>
      <c r="U15" s="40"/>
      <c r="V15" s="40"/>
      <c r="W15" s="399" t="s">
        <v>133</v>
      </c>
      <c r="X15" s="13"/>
      <c r="Y15" s="13"/>
      <c r="Z15" s="40" t="s">
        <v>6</v>
      </c>
      <c r="AA15" s="40" t="s">
        <v>6</v>
      </c>
      <c r="AB15" s="13"/>
      <c r="AC15" s="13"/>
      <c r="AD15" s="13"/>
      <c r="AE15" s="399" t="s">
        <v>133</v>
      </c>
      <c r="AF15" s="13"/>
      <c r="AG15" s="13"/>
      <c r="AH15" s="13" t="s">
        <v>6</v>
      </c>
      <c r="AI15" s="13" t="s">
        <v>6</v>
      </c>
      <c r="AJ15" s="13"/>
      <c r="AK15" s="13"/>
      <c r="AL15" s="13"/>
      <c r="AM15" s="43"/>
      <c r="AN15" s="19"/>
      <c r="AO15" s="37"/>
      <c r="AP15" s="37"/>
      <c r="AQ15" s="37"/>
      <c r="AR15" s="37"/>
      <c r="AS15" s="37"/>
      <c r="AT15" s="37"/>
      <c r="AU15" s="13"/>
      <c r="AV15" s="13"/>
      <c r="AW15" s="18">
        <f t="shared" si="1"/>
        <v>38</v>
      </c>
    </row>
    <row r="16" spans="1:86" s="12" customFormat="1" ht="15">
      <c r="A16" s="40">
        <f>ROW() - 6</f>
        <v>10</v>
      </c>
      <c r="B16" s="33"/>
      <c r="C16" s="34"/>
      <c r="D16" s="33"/>
      <c r="E16" s="33"/>
      <c r="F16" s="33"/>
      <c r="G16" s="33"/>
      <c r="H16" s="402"/>
      <c r="I16" s="404"/>
      <c r="J16" s="399" t="s">
        <v>2138</v>
      </c>
      <c r="K16" s="399" t="s">
        <v>132</v>
      </c>
      <c r="L16" s="412" t="s">
        <v>2139</v>
      </c>
      <c r="M16" s="412" t="s">
        <v>3602</v>
      </c>
      <c r="N16" s="40" t="s">
        <v>504</v>
      </c>
      <c r="O16" s="404"/>
      <c r="P16" s="404"/>
      <c r="Q16" s="40" t="s">
        <v>6</v>
      </c>
      <c r="R16" s="404" t="s">
        <v>6</v>
      </c>
      <c r="S16" s="404" t="s">
        <v>6</v>
      </c>
      <c r="T16" s="126" t="s">
        <v>6</v>
      </c>
      <c r="U16" s="404"/>
      <c r="V16" s="404"/>
      <c r="W16" s="399" t="s">
        <v>133</v>
      </c>
      <c r="X16" s="402"/>
      <c r="Y16" s="402"/>
      <c r="Z16" s="416" t="s">
        <v>6</v>
      </c>
      <c r="AA16" s="416" t="s">
        <v>6</v>
      </c>
      <c r="AB16" s="402"/>
      <c r="AC16" s="402"/>
      <c r="AD16" s="402"/>
      <c r="AE16" s="399" t="s">
        <v>133</v>
      </c>
      <c r="AF16" s="402"/>
      <c r="AG16" s="402"/>
      <c r="AH16" s="402" t="s">
        <v>6</v>
      </c>
      <c r="AI16" s="402" t="s">
        <v>6</v>
      </c>
      <c r="AJ16" s="402"/>
      <c r="AK16" s="402"/>
      <c r="AL16" s="402"/>
      <c r="AM16" s="36"/>
      <c r="AN16" s="35"/>
      <c r="AO16" s="37"/>
      <c r="AP16" s="37"/>
      <c r="AQ16" s="37"/>
      <c r="AR16" s="37"/>
      <c r="AS16" s="37"/>
      <c r="AT16" s="37"/>
      <c r="AU16" s="13"/>
      <c r="AV16" s="402"/>
      <c r="AW16" s="18">
        <f t="shared" si="1"/>
        <v>27</v>
      </c>
    </row>
    <row r="17" spans="1:87" s="12" customFormat="1" ht="15">
      <c r="A17" s="40">
        <f>ROW() - 6</f>
        <v>11</v>
      </c>
      <c r="B17" s="33"/>
      <c r="C17" s="34"/>
      <c r="D17" s="33"/>
      <c r="E17" s="33"/>
      <c r="F17" s="33"/>
      <c r="G17" s="33"/>
      <c r="H17" s="402"/>
      <c r="I17" s="404"/>
      <c r="J17" s="399" t="s">
        <v>2140</v>
      </c>
      <c r="K17" s="399" t="s">
        <v>132</v>
      </c>
      <c r="L17" s="412" t="s">
        <v>2141</v>
      </c>
      <c r="M17" s="412" t="s">
        <v>3602</v>
      </c>
      <c r="N17" s="40" t="s">
        <v>504</v>
      </c>
      <c r="O17" s="404"/>
      <c r="P17" s="404"/>
      <c r="Q17" s="40" t="s">
        <v>6</v>
      </c>
      <c r="R17" s="404" t="s">
        <v>6</v>
      </c>
      <c r="S17" s="404" t="s">
        <v>6</v>
      </c>
      <c r="T17" s="126" t="s">
        <v>6</v>
      </c>
      <c r="U17" s="404"/>
      <c r="V17" s="404"/>
      <c r="W17" s="399" t="s">
        <v>133</v>
      </c>
      <c r="X17" s="402"/>
      <c r="Y17" s="402"/>
      <c r="Z17" s="416" t="s">
        <v>6</v>
      </c>
      <c r="AA17" s="416" t="s">
        <v>6</v>
      </c>
      <c r="AB17" s="402"/>
      <c r="AC17" s="402"/>
      <c r="AD17" s="402"/>
      <c r="AE17" s="399" t="s">
        <v>133</v>
      </c>
      <c r="AF17" s="402"/>
      <c r="AG17" s="402"/>
      <c r="AH17" s="402" t="s">
        <v>6</v>
      </c>
      <c r="AI17" s="402" t="s">
        <v>6</v>
      </c>
      <c r="AJ17" s="402"/>
      <c r="AK17" s="402"/>
      <c r="AL17" s="402"/>
      <c r="AM17" s="36"/>
      <c r="AN17" s="35"/>
      <c r="AO17" s="37"/>
      <c r="AP17" s="37"/>
      <c r="AQ17" s="37"/>
      <c r="AR17" s="37"/>
      <c r="AS17" s="37"/>
      <c r="AT17" s="37"/>
      <c r="AU17" s="13"/>
      <c r="AV17" s="402"/>
      <c r="AW17" s="18">
        <f t="shared" si="1"/>
        <v>27</v>
      </c>
    </row>
    <row r="18" spans="1:87" s="12" customFormat="1" ht="15">
      <c r="A18" s="40">
        <f>ROW() - 6</f>
        <v>12</v>
      </c>
      <c r="B18" s="38"/>
      <c r="C18" s="42"/>
      <c r="D18" s="19"/>
      <c r="E18" s="19"/>
      <c r="F18" s="35"/>
      <c r="G18" s="35"/>
      <c r="H18" s="402"/>
      <c r="I18" s="13"/>
      <c r="J18" s="399" t="s">
        <v>2142</v>
      </c>
      <c r="K18" s="399" t="s">
        <v>122</v>
      </c>
      <c r="L18" s="215" t="s">
        <v>2143</v>
      </c>
      <c r="M18" s="412" t="s">
        <v>3602</v>
      </c>
      <c r="N18" s="349" t="s">
        <v>873</v>
      </c>
      <c r="O18" s="40"/>
      <c r="P18" s="40"/>
      <c r="Q18" s="40" t="s">
        <v>6</v>
      </c>
      <c r="R18" s="403" t="s">
        <v>6</v>
      </c>
      <c r="S18" s="404" t="s">
        <v>6</v>
      </c>
      <c r="T18" s="126" t="s">
        <v>6</v>
      </c>
      <c r="U18" s="13"/>
      <c r="V18" s="13"/>
      <c r="W18" s="399" t="s">
        <v>123</v>
      </c>
      <c r="X18" s="400"/>
      <c r="Y18" s="402"/>
      <c r="Z18" s="415" t="s">
        <v>6</v>
      </c>
      <c r="AA18" s="416" t="s">
        <v>6</v>
      </c>
      <c r="AB18" s="400"/>
      <c r="AC18" s="403"/>
      <c r="AD18" s="218" t="s">
        <v>2123</v>
      </c>
      <c r="AE18" s="399" t="s">
        <v>123</v>
      </c>
      <c r="AF18" s="400"/>
      <c r="AG18" s="402"/>
      <c r="AH18" s="400" t="s">
        <v>6</v>
      </c>
      <c r="AI18" s="402" t="s">
        <v>6</v>
      </c>
      <c r="AJ18" s="400"/>
      <c r="AK18" s="403"/>
      <c r="AL18" s="218" t="s">
        <v>2123</v>
      </c>
      <c r="AM18" s="43"/>
      <c r="AN18" s="44"/>
      <c r="AO18" s="13"/>
      <c r="AP18" s="13"/>
      <c r="AQ18" s="13"/>
      <c r="AR18" s="13"/>
      <c r="AS18" s="13"/>
      <c r="AT18" s="13"/>
      <c r="AU18" s="13"/>
      <c r="AV18" s="13"/>
      <c r="AW18" s="18">
        <f t="shared" si="1"/>
        <v>31</v>
      </c>
    </row>
    <row r="19" spans="1:87" s="12" customFormat="1" ht="15">
      <c r="A19" s="40">
        <f t="shared" si="0"/>
        <v>13</v>
      </c>
      <c r="B19" s="19"/>
      <c r="C19" s="41"/>
      <c r="D19" s="19"/>
      <c r="E19" s="19"/>
      <c r="F19" s="19"/>
      <c r="G19" s="19"/>
      <c r="H19" s="13"/>
      <c r="I19" s="13"/>
      <c r="J19" s="399" t="s">
        <v>2144</v>
      </c>
      <c r="K19" s="399" t="s">
        <v>122</v>
      </c>
      <c r="L19" s="215" t="s">
        <v>2145</v>
      </c>
      <c r="M19" s="412" t="s">
        <v>3602</v>
      </c>
      <c r="N19" s="349" t="s">
        <v>873</v>
      </c>
      <c r="O19" s="40"/>
      <c r="P19" s="40"/>
      <c r="Q19" s="40" t="s">
        <v>6</v>
      </c>
      <c r="R19" s="403" t="s">
        <v>6</v>
      </c>
      <c r="S19" s="404" t="s">
        <v>6</v>
      </c>
      <c r="T19" s="126" t="s">
        <v>6</v>
      </c>
      <c r="U19" s="13"/>
      <c r="V19" s="13"/>
      <c r="W19" s="399" t="s">
        <v>123</v>
      </c>
      <c r="X19" s="403"/>
      <c r="Y19" s="402"/>
      <c r="Z19" s="415" t="s">
        <v>6</v>
      </c>
      <c r="AA19" s="416" t="s">
        <v>6</v>
      </c>
      <c r="AB19" s="45"/>
      <c r="AC19" s="403"/>
      <c r="AD19" s="218" t="s">
        <v>2123</v>
      </c>
      <c r="AE19" s="399" t="s">
        <v>123</v>
      </c>
      <c r="AF19" s="403"/>
      <c r="AG19" s="402"/>
      <c r="AH19" s="400" t="s">
        <v>6</v>
      </c>
      <c r="AI19" s="402" t="s">
        <v>6</v>
      </c>
      <c r="AJ19" s="45"/>
      <c r="AK19" s="403"/>
      <c r="AL19" s="218" t="s">
        <v>2123</v>
      </c>
      <c r="AM19" s="43"/>
      <c r="AN19" s="13"/>
      <c r="AO19" s="15"/>
      <c r="AP19" s="15"/>
      <c r="AQ19" s="15"/>
      <c r="AR19" s="15"/>
      <c r="AS19" s="15"/>
      <c r="AT19" s="15"/>
      <c r="AU19" s="13"/>
      <c r="AV19" s="15"/>
      <c r="AW19" s="18">
        <f t="shared" si="1"/>
        <v>28</v>
      </c>
      <c r="AX19" s="16"/>
      <c r="AY19" s="17"/>
    </row>
    <row r="20" spans="1:87" s="12" customFormat="1" ht="15">
      <c r="A20" s="40">
        <f t="shared" si="0"/>
        <v>14</v>
      </c>
      <c r="B20" s="19"/>
      <c r="C20" s="41"/>
      <c r="D20" s="19"/>
      <c r="E20" s="19"/>
      <c r="F20" s="19"/>
      <c r="G20" s="19"/>
      <c r="H20" s="13"/>
      <c r="I20" s="13"/>
      <c r="J20" s="399" t="s">
        <v>2146</v>
      </c>
      <c r="K20" s="399" t="s">
        <v>132</v>
      </c>
      <c r="L20" s="215" t="s">
        <v>2147</v>
      </c>
      <c r="M20" s="412" t="s">
        <v>3602</v>
      </c>
      <c r="N20" s="40" t="s">
        <v>504</v>
      </c>
      <c r="O20" s="40"/>
      <c r="P20" s="40"/>
      <c r="Q20" s="40" t="s">
        <v>6</v>
      </c>
      <c r="R20" s="403" t="s">
        <v>6</v>
      </c>
      <c r="S20" s="404" t="s">
        <v>6</v>
      </c>
      <c r="T20" s="126" t="s">
        <v>6</v>
      </c>
      <c r="U20" s="13"/>
      <c r="V20" s="13"/>
      <c r="W20" s="399" t="s">
        <v>133</v>
      </c>
      <c r="X20" s="403"/>
      <c r="Y20" s="402"/>
      <c r="Z20" s="415" t="s">
        <v>6</v>
      </c>
      <c r="AA20" s="416" t="s">
        <v>6</v>
      </c>
      <c r="AB20" s="45"/>
      <c r="AC20" s="403"/>
      <c r="AD20" s="403"/>
      <c r="AE20" s="399" t="s">
        <v>133</v>
      </c>
      <c r="AF20" s="403"/>
      <c r="AG20" s="402"/>
      <c r="AH20" s="400" t="s">
        <v>6</v>
      </c>
      <c r="AI20" s="402" t="s">
        <v>6</v>
      </c>
      <c r="AJ20" s="45"/>
      <c r="AK20" s="403"/>
      <c r="AL20" s="403"/>
      <c r="AM20" s="43"/>
      <c r="AN20" s="13"/>
      <c r="AO20" s="15"/>
      <c r="AP20" s="15"/>
      <c r="AQ20" s="15"/>
      <c r="AR20" s="15"/>
      <c r="AS20" s="15"/>
      <c r="AT20" s="15"/>
      <c r="AU20" s="13"/>
      <c r="AV20" s="15"/>
      <c r="AW20" s="18">
        <f t="shared" si="1"/>
        <v>19</v>
      </c>
      <c r="AX20" s="16"/>
      <c r="AY20" s="17"/>
    </row>
    <row r="21" spans="1:87" s="12" customFormat="1" ht="15">
      <c r="A21" s="40">
        <f t="shared" si="0"/>
        <v>15</v>
      </c>
      <c r="B21" s="19"/>
      <c r="C21" s="41"/>
      <c r="D21" s="19"/>
      <c r="E21" s="19"/>
      <c r="F21" s="19"/>
      <c r="G21" s="19"/>
      <c r="H21" s="13"/>
      <c r="I21" s="13"/>
      <c r="J21" s="399" t="s">
        <v>2148</v>
      </c>
      <c r="K21" s="399" t="s">
        <v>132</v>
      </c>
      <c r="L21" s="215" t="s">
        <v>2149</v>
      </c>
      <c r="M21" s="412" t="s">
        <v>3602</v>
      </c>
      <c r="N21" s="40" t="s">
        <v>504</v>
      </c>
      <c r="O21" s="40"/>
      <c r="P21" s="40"/>
      <c r="Q21" s="40" t="s">
        <v>6</v>
      </c>
      <c r="R21" s="403" t="s">
        <v>6</v>
      </c>
      <c r="S21" s="404" t="s">
        <v>6</v>
      </c>
      <c r="T21" s="126" t="s">
        <v>6</v>
      </c>
      <c r="U21" s="13"/>
      <c r="V21" s="13"/>
      <c r="W21" s="399" t="s">
        <v>133</v>
      </c>
      <c r="X21" s="403"/>
      <c r="Y21" s="402"/>
      <c r="Z21" s="415" t="s">
        <v>6</v>
      </c>
      <c r="AA21" s="416" t="s">
        <v>6</v>
      </c>
      <c r="AB21" s="45"/>
      <c r="AC21" s="403"/>
      <c r="AD21" s="403"/>
      <c r="AE21" s="399" t="s">
        <v>133</v>
      </c>
      <c r="AF21" s="403"/>
      <c r="AG21" s="402"/>
      <c r="AH21" s="400" t="s">
        <v>6</v>
      </c>
      <c r="AI21" s="402" t="s">
        <v>6</v>
      </c>
      <c r="AJ21" s="45"/>
      <c r="AK21" s="403"/>
      <c r="AL21" s="403"/>
      <c r="AM21" s="43"/>
      <c r="AN21" s="13"/>
      <c r="AO21" s="15"/>
      <c r="AP21" s="15"/>
      <c r="AQ21" s="15"/>
      <c r="AR21" s="15"/>
      <c r="AS21" s="15"/>
      <c r="AT21" s="15"/>
      <c r="AU21" s="13"/>
      <c r="AV21" s="15"/>
      <c r="AW21" s="18">
        <f t="shared" si="1"/>
        <v>19</v>
      </c>
      <c r="AX21" s="16"/>
      <c r="AY21" s="17"/>
    </row>
    <row r="22" spans="1:87" s="12" customFormat="1" ht="15">
      <c r="A22" s="40">
        <f t="shared" si="0"/>
        <v>16</v>
      </c>
      <c r="B22" s="38"/>
      <c r="C22" s="42"/>
      <c r="D22" s="19"/>
      <c r="E22" s="19"/>
      <c r="F22" s="19"/>
      <c r="G22" s="19"/>
      <c r="H22" s="13"/>
      <c r="I22" s="13"/>
      <c r="J22" s="399" t="s">
        <v>2150</v>
      </c>
      <c r="K22" s="399" t="s">
        <v>122</v>
      </c>
      <c r="L22" s="215" t="s">
        <v>2151</v>
      </c>
      <c r="M22" s="412" t="s">
        <v>3602</v>
      </c>
      <c r="N22" s="349" t="s">
        <v>873</v>
      </c>
      <c r="O22" s="40"/>
      <c r="P22" s="40"/>
      <c r="Q22" s="40" t="s">
        <v>6</v>
      </c>
      <c r="R22" s="403" t="s">
        <v>6</v>
      </c>
      <c r="S22" s="404" t="s">
        <v>6</v>
      </c>
      <c r="T22" s="126" t="s">
        <v>6</v>
      </c>
      <c r="U22" s="13"/>
      <c r="V22" s="13"/>
      <c r="W22" s="399" t="s">
        <v>123</v>
      </c>
      <c r="X22" s="400"/>
      <c r="Y22" s="402"/>
      <c r="Z22" s="415" t="s">
        <v>6</v>
      </c>
      <c r="AA22" s="416" t="s">
        <v>6</v>
      </c>
      <c r="AB22" s="400"/>
      <c r="AC22" s="403"/>
      <c r="AD22" s="218" t="s">
        <v>2123</v>
      </c>
      <c r="AE22" s="399" t="s">
        <v>123</v>
      </c>
      <c r="AF22" s="400"/>
      <c r="AG22" s="402"/>
      <c r="AH22" s="400" t="s">
        <v>6</v>
      </c>
      <c r="AI22" s="402" t="s">
        <v>6</v>
      </c>
      <c r="AJ22" s="400"/>
      <c r="AK22" s="403"/>
      <c r="AL22" s="218" t="s">
        <v>2123</v>
      </c>
      <c r="AM22" s="43"/>
      <c r="AN22" s="44"/>
      <c r="AO22" s="13"/>
      <c r="AP22" s="13"/>
      <c r="AQ22" s="13"/>
      <c r="AR22" s="13"/>
      <c r="AS22" s="13"/>
      <c r="AT22" s="13"/>
      <c r="AU22" s="13"/>
      <c r="AV22" s="13"/>
      <c r="AW22" s="18">
        <f t="shared" si="1"/>
        <v>39</v>
      </c>
      <c r="AX22" s="16"/>
      <c r="AY22" s="17"/>
    </row>
    <row r="23" spans="1:87" s="12" customFormat="1" ht="15">
      <c r="A23" s="40">
        <f t="shared" si="0"/>
        <v>17</v>
      </c>
      <c r="B23" s="38"/>
      <c r="C23" s="42"/>
      <c r="D23" s="19"/>
      <c r="E23" s="19"/>
      <c r="F23" s="19"/>
      <c r="G23" s="19"/>
      <c r="H23" s="13"/>
      <c r="I23" s="13"/>
      <c r="J23" s="399" t="s">
        <v>2152</v>
      </c>
      <c r="K23" s="399" t="s">
        <v>122</v>
      </c>
      <c r="L23" s="215" t="s">
        <v>2153</v>
      </c>
      <c r="M23" s="412" t="s">
        <v>3602</v>
      </c>
      <c r="N23" s="349" t="s">
        <v>873</v>
      </c>
      <c r="O23" s="40"/>
      <c r="P23" s="40"/>
      <c r="Q23" s="40" t="s">
        <v>6</v>
      </c>
      <c r="R23" s="403" t="s">
        <v>6</v>
      </c>
      <c r="S23" s="404" t="s">
        <v>6</v>
      </c>
      <c r="T23" s="126" t="s">
        <v>6</v>
      </c>
      <c r="U23" s="13"/>
      <c r="V23" s="13"/>
      <c r="W23" s="399" t="s">
        <v>123</v>
      </c>
      <c r="X23" s="400"/>
      <c r="Y23" s="402"/>
      <c r="Z23" s="415" t="s">
        <v>6</v>
      </c>
      <c r="AA23" s="416" t="s">
        <v>6</v>
      </c>
      <c r="AB23" s="400"/>
      <c r="AC23" s="403"/>
      <c r="AD23" s="218" t="s">
        <v>2123</v>
      </c>
      <c r="AE23" s="399" t="s">
        <v>123</v>
      </c>
      <c r="AF23" s="400"/>
      <c r="AG23" s="402"/>
      <c r="AH23" s="400" t="s">
        <v>6</v>
      </c>
      <c r="AI23" s="402" t="s">
        <v>6</v>
      </c>
      <c r="AJ23" s="400"/>
      <c r="AK23" s="403"/>
      <c r="AL23" s="218" t="s">
        <v>2123</v>
      </c>
      <c r="AM23" s="43"/>
      <c r="AN23" s="44"/>
      <c r="AO23" s="13"/>
      <c r="AP23" s="13"/>
      <c r="AQ23" s="13"/>
      <c r="AR23" s="13"/>
      <c r="AS23" s="13"/>
      <c r="AT23" s="13"/>
      <c r="AU23" s="13"/>
      <c r="AV23" s="13"/>
      <c r="AW23" s="18">
        <f t="shared" si="1"/>
        <v>39</v>
      </c>
      <c r="AX23" s="16"/>
      <c r="AY23" s="17"/>
    </row>
    <row r="24" spans="1:87" s="12" customFormat="1" ht="15">
      <c r="A24" s="40">
        <f t="shared" si="0"/>
        <v>18</v>
      </c>
      <c r="B24" s="38"/>
      <c r="C24" s="42"/>
      <c r="D24" s="19"/>
      <c r="E24" s="19"/>
      <c r="F24" s="19"/>
      <c r="G24" s="19"/>
      <c r="H24" s="13"/>
      <c r="I24" s="13"/>
      <c r="J24" s="399" t="s">
        <v>2154</v>
      </c>
      <c r="K24" s="399" t="s">
        <v>122</v>
      </c>
      <c r="L24" s="215" t="s">
        <v>2155</v>
      </c>
      <c r="M24" s="412" t="s">
        <v>3602</v>
      </c>
      <c r="N24" s="349" t="s">
        <v>873</v>
      </c>
      <c r="O24" s="40"/>
      <c r="P24" s="40"/>
      <c r="Q24" s="40" t="s">
        <v>6</v>
      </c>
      <c r="R24" s="403" t="s">
        <v>6</v>
      </c>
      <c r="S24" s="404" t="s">
        <v>6</v>
      </c>
      <c r="T24" s="126" t="s">
        <v>6</v>
      </c>
      <c r="U24" s="13"/>
      <c r="V24" s="13"/>
      <c r="W24" s="399" t="s">
        <v>123</v>
      </c>
      <c r="X24" s="400"/>
      <c r="Y24" s="402"/>
      <c r="Z24" s="415" t="s">
        <v>6</v>
      </c>
      <c r="AA24" s="416" t="s">
        <v>6</v>
      </c>
      <c r="AB24" s="400"/>
      <c r="AC24" s="403"/>
      <c r="AD24" s="218" t="s">
        <v>2123</v>
      </c>
      <c r="AE24" s="399" t="s">
        <v>123</v>
      </c>
      <c r="AF24" s="400"/>
      <c r="AG24" s="402"/>
      <c r="AH24" s="400" t="s">
        <v>6</v>
      </c>
      <c r="AI24" s="402" t="s">
        <v>6</v>
      </c>
      <c r="AJ24" s="400"/>
      <c r="AK24" s="403"/>
      <c r="AL24" s="218" t="s">
        <v>2123</v>
      </c>
      <c r="AM24" s="43"/>
      <c r="AN24" s="44"/>
      <c r="AO24" s="13"/>
      <c r="AP24" s="13"/>
      <c r="AQ24" s="13"/>
      <c r="AR24" s="13"/>
      <c r="AS24" s="13"/>
      <c r="AT24" s="13"/>
      <c r="AU24" s="13"/>
      <c r="AV24" s="13"/>
      <c r="AW24" s="18">
        <f t="shared" si="1"/>
        <v>18</v>
      </c>
      <c r="AX24" s="16"/>
      <c r="AY24" s="17"/>
    </row>
    <row r="25" spans="1:87" s="18" customFormat="1" ht="15">
      <c r="A25" s="40">
        <f t="shared" si="0"/>
        <v>19</v>
      </c>
      <c r="B25" s="38"/>
      <c r="C25" s="42"/>
      <c r="D25" s="38"/>
      <c r="E25" s="46"/>
      <c r="F25" s="46"/>
      <c r="G25" s="46"/>
      <c r="H25" s="13"/>
      <c r="I25" s="40"/>
      <c r="J25" s="399" t="s">
        <v>2156</v>
      </c>
      <c r="K25" s="399" t="s">
        <v>117</v>
      </c>
      <c r="L25" s="215" t="s">
        <v>2157</v>
      </c>
      <c r="M25" s="412"/>
      <c r="N25" s="40" t="s">
        <v>504</v>
      </c>
      <c r="O25" s="40"/>
      <c r="P25" s="40"/>
      <c r="Q25" s="403" t="s">
        <v>6</v>
      </c>
      <c r="R25" s="403" t="s">
        <v>6</v>
      </c>
      <c r="S25" s="404" t="s">
        <v>6</v>
      </c>
      <c r="T25" s="126" t="s">
        <v>6</v>
      </c>
      <c r="U25" s="13"/>
      <c r="V25" s="13"/>
      <c r="W25" s="399" t="s">
        <v>133</v>
      </c>
      <c r="X25" s="400"/>
      <c r="Y25" s="400"/>
      <c r="Z25" s="415" t="s">
        <v>6</v>
      </c>
      <c r="AA25" s="416" t="s">
        <v>6</v>
      </c>
      <c r="AB25" s="400"/>
      <c r="AC25" s="400"/>
      <c r="AD25" s="218" t="s">
        <v>2123</v>
      </c>
      <c r="AE25" s="399" t="s">
        <v>133</v>
      </c>
      <c r="AF25" s="400"/>
      <c r="AG25" s="400"/>
      <c r="AH25" s="400" t="s">
        <v>6</v>
      </c>
      <c r="AI25" s="402" t="s">
        <v>6</v>
      </c>
      <c r="AJ25" s="400"/>
      <c r="AK25" s="400"/>
      <c r="AL25" s="218" t="s">
        <v>2123</v>
      </c>
      <c r="AM25" s="43"/>
      <c r="AN25" s="19"/>
      <c r="AO25" s="15"/>
      <c r="AP25" s="15"/>
      <c r="AQ25" s="15"/>
      <c r="AR25" s="15"/>
      <c r="AS25" s="15"/>
      <c r="AT25" s="15"/>
      <c r="AU25" s="15"/>
      <c r="AV25" s="13"/>
      <c r="AW25" s="18">
        <f t="shared" si="1"/>
        <v>25</v>
      </c>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row>
    <row r="26" spans="1:87" s="18" customFormat="1" ht="15">
      <c r="A26" s="40">
        <f t="shared" si="0"/>
        <v>20</v>
      </c>
      <c r="B26" s="38"/>
      <c r="C26" s="42"/>
      <c r="D26" s="38"/>
      <c r="E26" s="46"/>
      <c r="F26" s="46"/>
      <c r="G26" s="46"/>
      <c r="H26" s="13"/>
      <c r="I26" s="40"/>
      <c r="J26" s="399" t="s">
        <v>2158</v>
      </c>
      <c r="K26" s="399" t="s">
        <v>132</v>
      </c>
      <c r="L26" s="215" t="s">
        <v>2159</v>
      </c>
      <c r="M26" s="412" t="s">
        <v>3602</v>
      </c>
      <c r="N26" s="40" t="s">
        <v>504</v>
      </c>
      <c r="O26" s="40"/>
      <c r="P26" s="40"/>
      <c r="Q26" s="40" t="s">
        <v>6</v>
      </c>
      <c r="R26" s="403" t="s">
        <v>6</v>
      </c>
      <c r="S26" s="404" t="s">
        <v>6</v>
      </c>
      <c r="T26" s="126" t="s">
        <v>6</v>
      </c>
      <c r="U26" s="13"/>
      <c r="V26" s="13"/>
      <c r="W26" s="399" t="s">
        <v>133</v>
      </c>
      <c r="X26" s="13"/>
      <c r="Y26" s="13"/>
      <c r="Z26" s="415" t="s">
        <v>6</v>
      </c>
      <c r="AA26" s="416" t="s">
        <v>6</v>
      </c>
      <c r="AB26" s="400"/>
      <c r="AC26" s="400"/>
      <c r="AD26" s="218" t="s">
        <v>2123</v>
      </c>
      <c r="AE26" s="399" t="s">
        <v>133</v>
      </c>
      <c r="AF26" s="13"/>
      <c r="AG26" s="13"/>
      <c r="AH26" s="400" t="s">
        <v>6</v>
      </c>
      <c r="AI26" s="402" t="s">
        <v>6</v>
      </c>
      <c r="AJ26" s="400"/>
      <c r="AK26" s="400"/>
      <c r="AL26" s="218" t="s">
        <v>2123</v>
      </c>
      <c r="AM26" s="43"/>
      <c r="AN26" s="19"/>
      <c r="AO26" s="15"/>
      <c r="AP26" s="15"/>
      <c r="AQ26" s="15"/>
      <c r="AR26" s="15"/>
      <c r="AS26" s="15"/>
      <c r="AT26" s="15"/>
      <c r="AU26" s="15"/>
      <c r="AV26" s="13"/>
      <c r="AW26" s="18">
        <f t="shared" si="1"/>
        <v>25</v>
      </c>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row>
    <row r="27" spans="1:87" s="12" customFormat="1" ht="15">
      <c r="A27" s="40">
        <f t="shared" si="0"/>
        <v>21</v>
      </c>
      <c r="B27" s="38"/>
      <c r="C27" s="42"/>
      <c r="D27" s="19"/>
      <c r="E27" s="19"/>
      <c r="F27" s="19"/>
      <c r="G27" s="19"/>
      <c r="H27" s="13"/>
      <c r="I27" s="13"/>
      <c r="J27" s="399" t="s">
        <v>2160</v>
      </c>
      <c r="K27" s="399" t="s">
        <v>132</v>
      </c>
      <c r="L27" s="215" t="s">
        <v>2161</v>
      </c>
      <c r="M27" s="412" t="s">
        <v>3602</v>
      </c>
      <c r="N27" s="40" t="s">
        <v>504</v>
      </c>
      <c r="O27" s="40"/>
      <c r="P27" s="40"/>
      <c r="Q27" s="40" t="s">
        <v>6</v>
      </c>
      <c r="R27" s="403" t="s">
        <v>6</v>
      </c>
      <c r="S27" s="404" t="s">
        <v>6</v>
      </c>
      <c r="T27" s="126" t="s">
        <v>6</v>
      </c>
      <c r="U27" s="13"/>
      <c r="V27" s="13"/>
      <c r="W27" s="399" t="s">
        <v>133</v>
      </c>
      <c r="X27" s="13"/>
      <c r="Y27" s="13"/>
      <c r="Z27" s="415" t="s">
        <v>6</v>
      </c>
      <c r="AA27" s="416" t="s">
        <v>6</v>
      </c>
      <c r="AB27" s="13"/>
      <c r="AC27" s="40"/>
      <c r="AD27" s="218" t="s">
        <v>2123</v>
      </c>
      <c r="AE27" s="399" t="s">
        <v>133</v>
      </c>
      <c r="AF27" s="13"/>
      <c r="AG27" s="13"/>
      <c r="AH27" s="400" t="s">
        <v>6</v>
      </c>
      <c r="AI27" s="402" t="s">
        <v>6</v>
      </c>
      <c r="AJ27" s="13"/>
      <c r="AK27" s="40"/>
      <c r="AL27" s="218" t="s">
        <v>2123</v>
      </c>
      <c r="AM27" s="43"/>
      <c r="AN27" s="13"/>
      <c r="AO27" s="13"/>
      <c r="AP27" s="13"/>
      <c r="AQ27" s="13"/>
      <c r="AR27" s="13"/>
      <c r="AS27" s="13"/>
      <c r="AT27" s="13"/>
      <c r="AU27" s="13"/>
      <c r="AV27" s="13"/>
      <c r="AW27" s="18">
        <f t="shared" si="1"/>
        <v>25</v>
      </c>
    </row>
    <row r="28" spans="1:87" s="12" customFormat="1" ht="15">
      <c r="A28" s="40">
        <f t="shared" si="0"/>
        <v>22</v>
      </c>
      <c r="B28" s="38"/>
      <c r="C28" s="42"/>
      <c r="D28" s="19"/>
      <c r="E28" s="19"/>
      <c r="F28" s="19"/>
      <c r="G28" s="19"/>
      <c r="H28" s="13"/>
      <c r="I28" s="13"/>
      <c r="J28" s="399" t="s">
        <v>2162</v>
      </c>
      <c r="K28" s="399" t="s">
        <v>122</v>
      </c>
      <c r="L28" s="215" t="s">
        <v>2163</v>
      </c>
      <c r="M28" s="412" t="s">
        <v>3602</v>
      </c>
      <c r="N28" s="349" t="s">
        <v>873</v>
      </c>
      <c r="O28" s="40"/>
      <c r="P28" s="40"/>
      <c r="Q28" s="40" t="s">
        <v>6</v>
      </c>
      <c r="R28" s="403" t="s">
        <v>6</v>
      </c>
      <c r="S28" s="404" t="s">
        <v>6</v>
      </c>
      <c r="T28" s="126" t="s">
        <v>6</v>
      </c>
      <c r="U28" s="13"/>
      <c r="V28" s="13"/>
      <c r="W28" s="399" t="s">
        <v>123</v>
      </c>
      <c r="X28" s="13"/>
      <c r="Y28" s="13"/>
      <c r="Z28" s="40" t="s">
        <v>6</v>
      </c>
      <c r="AA28" s="40" t="s">
        <v>6</v>
      </c>
      <c r="AB28" s="13"/>
      <c r="AC28" s="40"/>
      <c r="AD28" s="218" t="s">
        <v>2123</v>
      </c>
      <c r="AE28" s="399" t="s">
        <v>123</v>
      </c>
      <c r="AF28" s="13"/>
      <c r="AG28" s="13"/>
      <c r="AH28" s="400" t="s">
        <v>6</v>
      </c>
      <c r="AI28" s="402" t="s">
        <v>6</v>
      </c>
      <c r="AJ28" s="13"/>
      <c r="AK28" s="40"/>
      <c r="AL28" s="218" t="s">
        <v>2123</v>
      </c>
      <c r="AM28" s="43"/>
      <c r="AN28" s="13"/>
      <c r="AO28" s="13"/>
      <c r="AP28" s="13"/>
      <c r="AQ28" s="13"/>
      <c r="AR28" s="13"/>
      <c r="AS28" s="13"/>
      <c r="AT28" s="13"/>
      <c r="AU28" s="13"/>
      <c r="AV28" s="13"/>
      <c r="AW28" s="18">
        <f t="shared" si="1"/>
        <v>25</v>
      </c>
    </row>
    <row r="29" spans="1:87" s="18" customFormat="1" ht="15">
      <c r="A29" s="40">
        <f t="shared" si="0"/>
        <v>23</v>
      </c>
      <c r="B29" s="38"/>
      <c r="C29" s="42"/>
      <c r="D29" s="38"/>
      <c r="E29" s="46"/>
      <c r="F29" s="46"/>
      <c r="G29" s="46"/>
      <c r="H29" s="13"/>
      <c r="I29" s="40"/>
      <c r="J29" s="399" t="s">
        <v>2164</v>
      </c>
      <c r="K29" s="399" t="s">
        <v>122</v>
      </c>
      <c r="L29" s="215" t="s">
        <v>1951</v>
      </c>
      <c r="M29" s="412" t="s">
        <v>3602</v>
      </c>
      <c r="N29" s="349" t="s">
        <v>873</v>
      </c>
      <c r="O29" s="40"/>
      <c r="P29" s="40"/>
      <c r="Q29" s="40" t="s">
        <v>6</v>
      </c>
      <c r="R29" s="404" t="s">
        <v>6</v>
      </c>
      <c r="S29" s="404" t="s">
        <v>6</v>
      </c>
      <c r="T29" s="126" t="s">
        <v>6</v>
      </c>
      <c r="U29" s="13"/>
      <c r="V29" s="13"/>
      <c r="W29" s="399" t="s">
        <v>123</v>
      </c>
      <c r="X29" s="400"/>
      <c r="Y29" s="13"/>
      <c r="Z29" s="40" t="s">
        <v>6</v>
      </c>
      <c r="AA29" s="40" t="s">
        <v>6</v>
      </c>
      <c r="AB29" s="13"/>
      <c r="AC29" s="13"/>
      <c r="AD29" s="218" t="s">
        <v>2123</v>
      </c>
      <c r="AE29" s="399" t="s">
        <v>123</v>
      </c>
      <c r="AF29" s="400"/>
      <c r="AG29" s="400"/>
      <c r="AH29" s="402" t="s">
        <v>6</v>
      </c>
      <c r="AI29" s="402" t="s">
        <v>6</v>
      </c>
      <c r="AJ29" s="400"/>
      <c r="AK29" s="400"/>
      <c r="AL29" s="218" t="s">
        <v>2123</v>
      </c>
      <c r="AM29" s="43"/>
      <c r="AN29" s="19"/>
      <c r="AO29" s="15"/>
      <c r="AP29" s="15"/>
      <c r="AQ29" s="15"/>
      <c r="AR29" s="15"/>
      <c r="AS29" s="15"/>
      <c r="AT29" s="15"/>
      <c r="AU29" s="15"/>
      <c r="AV29" s="13"/>
      <c r="AW29" s="18">
        <f t="shared" si="1"/>
        <v>26</v>
      </c>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row>
    <row r="30" spans="1:87" s="18" customFormat="1" ht="15">
      <c r="A30" s="40">
        <f t="shared" si="0"/>
        <v>24</v>
      </c>
      <c r="B30" s="38"/>
      <c r="C30" s="42"/>
      <c r="D30" s="38"/>
      <c r="E30" s="46"/>
      <c r="F30" s="46"/>
      <c r="G30" s="46"/>
      <c r="H30" s="13"/>
      <c r="I30" s="40"/>
      <c r="J30" s="399" t="s">
        <v>2165</v>
      </c>
      <c r="K30" s="399" t="s">
        <v>122</v>
      </c>
      <c r="L30" s="215" t="s">
        <v>2166</v>
      </c>
      <c r="M30" s="412" t="s">
        <v>3602</v>
      </c>
      <c r="N30" s="349" t="s">
        <v>873</v>
      </c>
      <c r="O30" s="40"/>
      <c r="P30" s="40"/>
      <c r="Q30" s="40" t="s">
        <v>6</v>
      </c>
      <c r="R30" s="404" t="s">
        <v>6</v>
      </c>
      <c r="S30" s="404" t="s">
        <v>6</v>
      </c>
      <c r="T30" s="126" t="s">
        <v>6</v>
      </c>
      <c r="U30" s="13"/>
      <c r="V30" s="13"/>
      <c r="W30" s="399" t="s">
        <v>123</v>
      </c>
      <c r="X30" s="400"/>
      <c r="Y30" s="13"/>
      <c r="Z30" s="40" t="s">
        <v>6</v>
      </c>
      <c r="AA30" s="40" t="s">
        <v>6</v>
      </c>
      <c r="AB30" s="13"/>
      <c r="AC30" s="13"/>
      <c r="AD30" s="218" t="s">
        <v>2123</v>
      </c>
      <c r="AE30" s="399" t="s">
        <v>123</v>
      </c>
      <c r="AF30" s="400"/>
      <c r="AG30" s="400"/>
      <c r="AH30" s="402" t="s">
        <v>6</v>
      </c>
      <c r="AI30" s="402" t="s">
        <v>6</v>
      </c>
      <c r="AJ30" s="400"/>
      <c r="AK30" s="400"/>
      <c r="AL30" s="218" t="s">
        <v>2123</v>
      </c>
      <c r="AM30" s="43"/>
      <c r="AN30" s="19"/>
      <c r="AO30" s="15"/>
      <c r="AP30" s="15"/>
      <c r="AQ30" s="15"/>
      <c r="AR30" s="15"/>
      <c r="AS30" s="15"/>
      <c r="AT30" s="15"/>
      <c r="AU30" s="15"/>
      <c r="AV30" s="13"/>
      <c r="AW30" s="18">
        <f t="shared" si="1"/>
        <v>33</v>
      </c>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row>
    <row r="31" spans="1:87" s="12" customFormat="1" ht="15">
      <c r="A31" s="40">
        <f t="shared" si="0"/>
        <v>25</v>
      </c>
      <c r="B31" s="38"/>
      <c r="C31" s="42"/>
      <c r="D31" s="19"/>
      <c r="E31" s="19"/>
      <c r="F31" s="19"/>
      <c r="G31" s="19"/>
      <c r="H31" s="13"/>
      <c r="I31" s="13"/>
      <c r="J31" s="399" t="s">
        <v>2167</v>
      </c>
      <c r="K31" s="399" t="s">
        <v>122</v>
      </c>
      <c r="L31" s="412" t="s">
        <v>2168</v>
      </c>
      <c r="M31" s="412" t="s">
        <v>3602</v>
      </c>
      <c r="N31" s="349" t="s">
        <v>873</v>
      </c>
      <c r="O31" s="40"/>
      <c r="P31" s="40"/>
      <c r="Q31" s="40" t="s">
        <v>6</v>
      </c>
      <c r="R31" s="403" t="s">
        <v>6</v>
      </c>
      <c r="S31" s="404" t="s">
        <v>6</v>
      </c>
      <c r="T31" s="126" t="s">
        <v>6</v>
      </c>
      <c r="U31" s="13"/>
      <c r="V31" s="13"/>
      <c r="W31" s="399" t="s">
        <v>123</v>
      </c>
      <c r="X31" s="13"/>
      <c r="Y31" s="13"/>
      <c r="Z31" s="40" t="s">
        <v>6</v>
      </c>
      <c r="AA31" s="40" t="s">
        <v>6</v>
      </c>
      <c r="AB31" s="13"/>
      <c r="AC31" s="40"/>
      <c r="AD31" s="218" t="s">
        <v>2123</v>
      </c>
      <c r="AE31" s="399" t="s">
        <v>123</v>
      </c>
      <c r="AF31" s="13"/>
      <c r="AG31" s="402"/>
      <c r="AH31" s="400" t="s">
        <v>6</v>
      </c>
      <c r="AI31" s="402" t="s">
        <v>6</v>
      </c>
      <c r="AJ31" s="402"/>
      <c r="AK31" s="404"/>
      <c r="AL31" s="218" t="s">
        <v>2123</v>
      </c>
      <c r="AM31" s="43"/>
      <c r="AN31" s="13"/>
      <c r="AO31" s="13"/>
      <c r="AP31" s="13"/>
      <c r="AQ31" s="13"/>
      <c r="AR31" s="13"/>
      <c r="AS31" s="13"/>
      <c r="AT31" s="13"/>
      <c r="AU31" s="13"/>
      <c r="AV31" s="13"/>
      <c r="AW31" s="18">
        <f t="shared" si="1"/>
        <v>24</v>
      </c>
    </row>
    <row r="32" spans="1:87" s="12" customFormat="1" ht="15">
      <c r="A32" s="40">
        <f t="shared" si="0"/>
        <v>26</v>
      </c>
      <c r="B32" s="38"/>
      <c r="C32" s="42"/>
      <c r="D32" s="19"/>
      <c r="E32" s="19"/>
      <c r="F32" s="19"/>
      <c r="G32" s="19"/>
      <c r="H32" s="13"/>
      <c r="I32" s="13"/>
      <c r="J32" s="399" t="s">
        <v>2169</v>
      </c>
      <c r="K32" s="399" t="s">
        <v>122</v>
      </c>
      <c r="L32" s="215" t="s">
        <v>2170</v>
      </c>
      <c r="M32" s="412" t="s">
        <v>3602</v>
      </c>
      <c r="N32" s="349" t="s">
        <v>873</v>
      </c>
      <c r="O32" s="40"/>
      <c r="P32" s="40"/>
      <c r="Q32" s="40" t="s">
        <v>6</v>
      </c>
      <c r="R32" s="40" t="s">
        <v>6</v>
      </c>
      <c r="S32" s="404" t="s">
        <v>6</v>
      </c>
      <c r="T32" s="126" t="s">
        <v>6</v>
      </c>
      <c r="U32" s="13"/>
      <c r="V32" s="13"/>
      <c r="W32" s="399" t="s">
        <v>123</v>
      </c>
      <c r="X32" s="13"/>
      <c r="Y32" s="13"/>
      <c r="Z32" s="40" t="s">
        <v>6</v>
      </c>
      <c r="AA32" s="40" t="s">
        <v>6</v>
      </c>
      <c r="AB32" s="13"/>
      <c r="AC32" s="40"/>
      <c r="AD32" s="218" t="s">
        <v>2123</v>
      </c>
      <c r="AE32" s="399" t="s">
        <v>123</v>
      </c>
      <c r="AF32" s="13"/>
      <c r="AG32" s="13"/>
      <c r="AH32" s="13" t="s">
        <v>6</v>
      </c>
      <c r="AI32" s="402" t="s">
        <v>6</v>
      </c>
      <c r="AJ32" s="402"/>
      <c r="AK32" s="404"/>
      <c r="AL32" s="218" t="s">
        <v>2123</v>
      </c>
      <c r="AM32" s="43"/>
      <c r="AN32" s="13"/>
      <c r="AO32" s="13"/>
      <c r="AP32" s="13"/>
      <c r="AQ32" s="13"/>
      <c r="AR32" s="13"/>
      <c r="AS32" s="13"/>
      <c r="AT32" s="13"/>
      <c r="AU32" s="13"/>
      <c r="AV32" s="13"/>
      <c r="AW32" s="18">
        <f t="shared" si="1"/>
        <v>23</v>
      </c>
    </row>
    <row r="33" spans="1:87" s="18" customFormat="1" ht="15">
      <c r="A33" s="40">
        <f t="shared" si="0"/>
        <v>27</v>
      </c>
      <c r="B33" s="19"/>
      <c r="C33" s="41"/>
      <c r="D33" s="19"/>
      <c r="E33" s="19"/>
      <c r="F33" s="19"/>
      <c r="G33" s="19"/>
      <c r="H33" s="13"/>
      <c r="I33" s="13"/>
      <c r="J33" s="399" t="s">
        <v>2171</v>
      </c>
      <c r="K33" s="399" t="s">
        <v>132</v>
      </c>
      <c r="L33" s="215" t="s">
        <v>2172</v>
      </c>
      <c r="M33" s="412" t="s">
        <v>3602</v>
      </c>
      <c r="N33" s="40" t="s">
        <v>504</v>
      </c>
      <c r="O33" s="40"/>
      <c r="P33" s="40"/>
      <c r="Q33" s="40" t="s">
        <v>6</v>
      </c>
      <c r="R33" s="403" t="s">
        <v>6</v>
      </c>
      <c r="S33" s="404" t="s">
        <v>6</v>
      </c>
      <c r="T33" s="126" t="s">
        <v>6</v>
      </c>
      <c r="U33" s="13"/>
      <c r="V33" s="13"/>
      <c r="W33" s="399" t="s">
        <v>133</v>
      </c>
      <c r="X33" s="403"/>
      <c r="Y33" s="13"/>
      <c r="Z33" s="40" t="s">
        <v>6</v>
      </c>
      <c r="AA33" s="40" t="s">
        <v>6</v>
      </c>
      <c r="AB33" s="43"/>
      <c r="AC33" s="40"/>
      <c r="AD33" s="218" t="s">
        <v>2123</v>
      </c>
      <c r="AE33" s="399" t="s">
        <v>133</v>
      </c>
      <c r="AF33" s="403"/>
      <c r="AG33" s="400"/>
      <c r="AH33" s="400" t="s">
        <v>6</v>
      </c>
      <c r="AI33" s="402" t="s">
        <v>6</v>
      </c>
      <c r="AJ33" s="45"/>
      <c r="AK33" s="403"/>
      <c r="AL33" s="218" t="s">
        <v>2123</v>
      </c>
      <c r="AM33" s="43"/>
      <c r="AN33" s="13"/>
      <c r="AO33" s="15"/>
      <c r="AP33" s="15"/>
      <c r="AQ33" s="15"/>
      <c r="AR33" s="15"/>
      <c r="AS33" s="15"/>
      <c r="AT33" s="15"/>
      <c r="AU33" s="13"/>
      <c r="AV33" s="15"/>
      <c r="AW33" s="18">
        <f t="shared" si="1"/>
        <v>31</v>
      </c>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row>
    <row r="34" spans="1:87" s="18" customFormat="1" ht="15">
      <c r="A34" s="40">
        <f t="shared" si="0"/>
        <v>28</v>
      </c>
      <c r="B34" s="38"/>
      <c r="C34" s="42"/>
      <c r="D34" s="38"/>
      <c r="E34" s="46"/>
      <c r="F34" s="46"/>
      <c r="G34" s="46"/>
      <c r="H34" s="13"/>
      <c r="I34" s="40"/>
      <c r="J34" s="399" t="s">
        <v>2173</v>
      </c>
      <c r="K34" s="399" t="s">
        <v>132</v>
      </c>
      <c r="L34" s="215" t="s">
        <v>1951</v>
      </c>
      <c r="M34" s="412" t="s">
        <v>3602</v>
      </c>
      <c r="N34" s="40" t="s">
        <v>504</v>
      </c>
      <c r="O34" s="40"/>
      <c r="P34" s="40"/>
      <c r="Q34" s="40" t="s">
        <v>6</v>
      </c>
      <c r="R34" s="404" t="s">
        <v>6</v>
      </c>
      <c r="S34" s="404" t="s">
        <v>6</v>
      </c>
      <c r="T34" s="126" t="s">
        <v>6</v>
      </c>
      <c r="U34" s="13"/>
      <c r="V34" s="13"/>
      <c r="W34" s="399" t="s">
        <v>133</v>
      </c>
      <c r="X34" s="400"/>
      <c r="Y34" s="13"/>
      <c r="Z34" s="40" t="s">
        <v>6</v>
      </c>
      <c r="AA34" s="40" t="s">
        <v>6</v>
      </c>
      <c r="AB34" s="13"/>
      <c r="AC34" s="13"/>
      <c r="AD34" s="218" t="s">
        <v>2123</v>
      </c>
      <c r="AE34" s="399" t="s">
        <v>133</v>
      </c>
      <c r="AF34" s="400"/>
      <c r="AG34" s="400"/>
      <c r="AH34" s="402" t="s">
        <v>6</v>
      </c>
      <c r="AI34" s="402" t="s">
        <v>6</v>
      </c>
      <c r="AJ34" s="400"/>
      <c r="AK34" s="400"/>
      <c r="AL34" s="218" t="s">
        <v>2123</v>
      </c>
      <c r="AM34" s="43"/>
      <c r="AN34" s="19"/>
      <c r="AO34" s="15"/>
      <c r="AP34" s="15"/>
      <c r="AQ34" s="15"/>
      <c r="AR34" s="15"/>
      <c r="AS34" s="15"/>
      <c r="AT34" s="15"/>
      <c r="AU34" s="15"/>
      <c r="AV34" s="13"/>
      <c r="AW34" s="18">
        <f t="shared" si="1"/>
        <v>26</v>
      </c>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row>
    <row r="35" spans="1:87" s="12" customFormat="1" ht="15">
      <c r="A35" s="40">
        <f t="shared" si="0"/>
        <v>29</v>
      </c>
      <c r="B35" s="38"/>
      <c r="C35" s="42"/>
      <c r="D35" s="19"/>
      <c r="E35" s="19"/>
      <c r="F35" s="19"/>
      <c r="G35" s="19"/>
      <c r="H35" s="13"/>
      <c r="I35" s="13"/>
      <c r="J35" s="399" t="s">
        <v>2174</v>
      </c>
      <c r="K35" s="399" t="s">
        <v>117</v>
      </c>
      <c r="L35" s="215" t="s">
        <v>1625</v>
      </c>
      <c r="M35" s="412" t="s">
        <v>3602</v>
      </c>
      <c r="N35" s="40" t="s">
        <v>504</v>
      </c>
      <c r="O35" s="40"/>
      <c r="P35" s="40"/>
      <c r="Q35" s="40" t="s">
        <v>6</v>
      </c>
      <c r="R35" s="40" t="s">
        <v>6</v>
      </c>
      <c r="S35" s="404" t="s">
        <v>6</v>
      </c>
      <c r="T35" s="126" t="s">
        <v>6</v>
      </c>
      <c r="U35" s="13"/>
      <c r="V35" s="13"/>
      <c r="W35" s="399" t="s">
        <v>133</v>
      </c>
      <c r="X35" s="13"/>
      <c r="Y35" s="13"/>
      <c r="Z35" s="40" t="s">
        <v>6</v>
      </c>
      <c r="AA35" s="40" t="s">
        <v>6</v>
      </c>
      <c r="AB35" s="13"/>
      <c r="AC35" s="40"/>
      <c r="AD35" s="403"/>
      <c r="AE35" s="399" t="s">
        <v>133</v>
      </c>
      <c r="AF35" s="13"/>
      <c r="AG35" s="13"/>
      <c r="AH35" s="13" t="s">
        <v>6</v>
      </c>
      <c r="AI35" s="402" t="s">
        <v>6</v>
      </c>
      <c r="AJ35" s="400"/>
      <c r="AK35" s="403"/>
      <c r="AL35" s="403"/>
      <c r="AM35" s="43"/>
      <c r="AN35" s="13"/>
      <c r="AO35" s="13"/>
      <c r="AP35" s="13"/>
      <c r="AQ35" s="13"/>
      <c r="AR35" s="13"/>
      <c r="AS35" s="13"/>
      <c r="AT35" s="13"/>
      <c r="AU35" s="13"/>
      <c r="AV35" s="13"/>
      <c r="AW35" s="18">
        <f t="shared" si="1"/>
        <v>22</v>
      </c>
      <c r="AX35" s="16"/>
      <c r="AY35" s="17"/>
    </row>
    <row r="36" spans="1:87" s="12" customFormat="1" ht="15">
      <c r="A36" s="40">
        <f t="shared" si="0"/>
        <v>30</v>
      </c>
      <c r="B36" s="38"/>
      <c r="C36" s="42"/>
      <c r="D36" s="38"/>
      <c r="E36" s="46"/>
      <c r="F36" s="46"/>
      <c r="G36" s="46"/>
      <c r="H36" s="13"/>
      <c r="I36" s="40"/>
      <c r="J36" s="399" t="s">
        <v>2175</v>
      </c>
      <c r="K36" s="399" t="s">
        <v>122</v>
      </c>
      <c r="L36" s="215" t="s">
        <v>2176</v>
      </c>
      <c r="M36" s="412" t="s">
        <v>3602</v>
      </c>
      <c r="N36" s="349" t="s">
        <v>873</v>
      </c>
      <c r="O36" s="40"/>
      <c r="P36" s="40"/>
      <c r="Q36" s="40" t="s">
        <v>6</v>
      </c>
      <c r="R36" s="403" t="s">
        <v>6</v>
      </c>
      <c r="S36" s="404" t="s">
        <v>6</v>
      </c>
      <c r="T36" s="126" t="s">
        <v>6</v>
      </c>
      <c r="U36" s="13"/>
      <c r="V36" s="13"/>
      <c r="W36" s="399" t="s">
        <v>123</v>
      </c>
      <c r="X36" s="400"/>
      <c r="Y36" s="13"/>
      <c r="Z36" s="40" t="s">
        <v>6</v>
      </c>
      <c r="AA36" s="40" t="s">
        <v>6</v>
      </c>
      <c r="AB36" s="13"/>
      <c r="AC36" s="13"/>
      <c r="AD36" s="400"/>
      <c r="AE36" s="399" t="s">
        <v>123</v>
      </c>
      <c r="AF36" s="400"/>
      <c r="AG36" s="402"/>
      <c r="AH36" s="400" t="s">
        <v>6</v>
      </c>
      <c r="AI36" s="402" t="s">
        <v>6</v>
      </c>
      <c r="AJ36" s="400"/>
      <c r="AK36" s="400"/>
      <c r="AL36" s="400"/>
      <c r="AM36" s="43"/>
      <c r="AN36" s="47"/>
      <c r="AO36" s="15"/>
      <c r="AP36" s="15"/>
      <c r="AQ36" s="15"/>
      <c r="AR36" s="15"/>
      <c r="AS36" s="15"/>
      <c r="AT36" s="15"/>
      <c r="AU36" s="15"/>
      <c r="AV36" s="13"/>
      <c r="AW36" s="18">
        <f t="shared" si="1"/>
        <v>17</v>
      </c>
    </row>
    <row r="37" spans="1:87" s="12" customFormat="1" ht="15">
      <c r="A37" s="40">
        <f t="shared" si="0"/>
        <v>31</v>
      </c>
      <c r="B37" s="38"/>
      <c r="C37" s="42"/>
      <c r="D37" s="38"/>
      <c r="E37" s="46"/>
      <c r="F37" s="46"/>
      <c r="G37" s="46"/>
      <c r="H37" s="13"/>
      <c r="I37" s="40"/>
      <c r="J37" s="399" t="s">
        <v>2177</v>
      </c>
      <c r="K37" s="399" t="s">
        <v>132</v>
      </c>
      <c r="L37" s="215" t="s">
        <v>2178</v>
      </c>
      <c r="M37" s="412" t="s">
        <v>3602</v>
      </c>
      <c r="N37" s="40" t="s">
        <v>504</v>
      </c>
      <c r="O37" s="40"/>
      <c r="P37" s="40"/>
      <c r="Q37" s="40" t="s">
        <v>6</v>
      </c>
      <c r="R37" s="403" t="s">
        <v>6</v>
      </c>
      <c r="S37" s="404" t="s">
        <v>6</v>
      </c>
      <c r="T37" s="126" t="s">
        <v>6</v>
      </c>
      <c r="U37" s="13"/>
      <c r="V37" s="13"/>
      <c r="W37" s="399" t="s">
        <v>133</v>
      </c>
      <c r="X37" s="400"/>
      <c r="Y37" s="13"/>
      <c r="Z37" s="40" t="s">
        <v>6</v>
      </c>
      <c r="AA37" s="40" t="s">
        <v>6</v>
      </c>
      <c r="AB37" s="13"/>
      <c r="AC37" s="13"/>
      <c r="AD37" s="400"/>
      <c r="AE37" s="399" t="s">
        <v>133</v>
      </c>
      <c r="AF37" s="400"/>
      <c r="AG37" s="402"/>
      <c r="AH37" s="400" t="s">
        <v>6</v>
      </c>
      <c r="AI37" s="402" t="s">
        <v>6</v>
      </c>
      <c r="AJ37" s="400"/>
      <c r="AK37" s="400"/>
      <c r="AL37" s="400"/>
      <c r="AM37" s="43"/>
      <c r="AN37" s="47"/>
      <c r="AO37" s="15"/>
      <c r="AP37" s="15"/>
      <c r="AQ37" s="15"/>
      <c r="AR37" s="15"/>
      <c r="AS37" s="15"/>
      <c r="AT37" s="15"/>
      <c r="AU37" s="15"/>
      <c r="AV37" s="13"/>
      <c r="AW37" s="18">
        <f t="shared" si="1"/>
        <v>26</v>
      </c>
    </row>
    <row r="38" spans="1:87" s="12" customFormat="1" ht="15">
      <c r="A38" s="40">
        <f t="shared" si="0"/>
        <v>32</v>
      </c>
      <c r="B38" s="38"/>
      <c r="C38" s="42"/>
      <c r="D38" s="38"/>
      <c r="E38" s="46"/>
      <c r="F38" s="46"/>
      <c r="G38" s="46"/>
      <c r="H38" s="13"/>
      <c r="I38" s="40"/>
      <c r="J38" s="399" t="s">
        <v>2179</v>
      </c>
      <c r="K38" s="399" t="s">
        <v>132</v>
      </c>
      <c r="L38" s="215" t="s">
        <v>2180</v>
      </c>
      <c r="M38" s="412" t="s">
        <v>3602</v>
      </c>
      <c r="N38" s="40" t="s">
        <v>504</v>
      </c>
      <c r="O38" s="40"/>
      <c r="P38" s="40"/>
      <c r="Q38" s="40" t="s">
        <v>6</v>
      </c>
      <c r="R38" s="40" t="s">
        <v>6</v>
      </c>
      <c r="S38" s="404" t="s">
        <v>6</v>
      </c>
      <c r="T38" s="126" t="s">
        <v>6</v>
      </c>
      <c r="U38" s="13"/>
      <c r="V38" s="13"/>
      <c r="W38" s="399" t="s">
        <v>133</v>
      </c>
      <c r="X38" s="13"/>
      <c r="Y38" s="13"/>
      <c r="Z38" s="40" t="s">
        <v>6</v>
      </c>
      <c r="AA38" s="40" t="s">
        <v>6</v>
      </c>
      <c r="AB38" s="13"/>
      <c r="AC38" s="13"/>
      <c r="AD38" s="400"/>
      <c r="AE38" s="399" t="s">
        <v>133</v>
      </c>
      <c r="AF38" s="13"/>
      <c r="AG38" s="13"/>
      <c r="AH38" s="13" t="s">
        <v>6</v>
      </c>
      <c r="AI38" s="402" t="s">
        <v>6</v>
      </c>
      <c r="AJ38" s="400"/>
      <c r="AK38" s="400"/>
      <c r="AL38" s="400"/>
      <c r="AM38" s="43"/>
      <c r="AN38" s="19"/>
      <c r="AO38" s="15"/>
      <c r="AP38" s="15"/>
      <c r="AQ38" s="15"/>
      <c r="AR38" s="15"/>
      <c r="AS38" s="15"/>
      <c r="AT38" s="15"/>
      <c r="AU38" s="15"/>
      <c r="AV38" s="13"/>
      <c r="AW38" s="18">
        <f t="shared" si="1"/>
        <v>19</v>
      </c>
    </row>
    <row r="39" spans="1:87" s="12" customFormat="1" ht="15">
      <c r="A39" s="40">
        <f t="shared" si="0"/>
        <v>33</v>
      </c>
      <c r="B39" s="19"/>
      <c r="C39" s="41"/>
      <c r="D39" s="19"/>
      <c r="E39" s="19"/>
      <c r="F39" s="19"/>
      <c r="G39" s="19"/>
      <c r="H39" s="13"/>
      <c r="I39" s="13"/>
      <c r="J39" s="399" t="s">
        <v>2181</v>
      </c>
      <c r="K39" s="399" t="s">
        <v>132</v>
      </c>
      <c r="L39" s="215" t="s">
        <v>2182</v>
      </c>
      <c r="M39" s="412" t="s">
        <v>3602</v>
      </c>
      <c r="N39" s="40" t="s">
        <v>504</v>
      </c>
      <c r="O39" s="40"/>
      <c r="P39" s="40"/>
      <c r="Q39" s="40" t="s">
        <v>6</v>
      </c>
      <c r="R39" s="40" t="s">
        <v>6</v>
      </c>
      <c r="S39" s="404"/>
      <c r="T39" s="126" t="s">
        <v>6</v>
      </c>
      <c r="U39" s="13"/>
      <c r="V39" s="13"/>
      <c r="W39" s="399" t="s">
        <v>133</v>
      </c>
      <c r="X39" s="13"/>
      <c r="Y39" s="13"/>
      <c r="Z39" s="40" t="s">
        <v>6</v>
      </c>
      <c r="AA39" s="40"/>
      <c r="AB39" s="13"/>
      <c r="AC39" s="40"/>
      <c r="AD39" s="403"/>
      <c r="AE39" s="399" t="s">
        <v>133</v>
      </c>
      <c r="AF39" s="13"/>
      <c r="AG39" s="13"/>
      <c r="AH39" s="13" t="s">
        <v>6</v>
      </c>
      <c r="AI39" s="402"/>
      <c r="AJ39" s="400"/>
      <c r="AK39" s="403"/>
      <c r="AL39" s="403"/>
      <c r="AM39" s="43"/>
      <c r="AN39" s="19"/>
      <c r="AO39" s="15"/>
      <c r="AP39" s="15"/>
      <c r="AQ39" s="15"/>
      <c r="AR39" s="15"/>
      <c r="AS39" s="15"/>
      <c r="AT39" s="15"/>
      <c r="AU39" s="15"/>
      <c r="AV39" s="15"/>
      <c r="AW39" s="18">
        <f t="shared" si="1"/>
        <v>19</v>
      </c>
      <c r="AX39" s="16"/>
      <c r="AY39" s="17"/>
    </row>
    <row r="40" spans="1:87" s="12" customFormat="1" ht="15">
      <c r="A40" s="40">
        <f t="shared" si="0"/>
        <v>34</v>
      </c>
      <c r="B40" s="19"/>
      <c r="C40" s="41"/>
      <c r="D40" s="19"/>
      <c r="E40" s="19"/>
      <c r="F40" s="19"/>
      <c r="G40" s="19"/>
      <c r="H40" s="13"/>
      <c r="I40" s="13"/>
      <c r="J40" s="399" t="s">
        <v>2183</v>
      </c>
      <c r="K40" s="399" t="s">
        <v>132</v>
      </c>
      <c r="L40" s="412" t="s">
        <v>1629</v>
      </c>
      <c r="M40" s="412" t="s">
        <v>3602</v>
      </c>
      <c r="N40" s="40" t="s">
        <v>504</v>
      </c>
      <c r="O40" s="40"/>
      <c r="P40" s="40"/>
      <c r="Q40" s="40" t="s">
        <v>6</v>
      </c>
      <c r="R40" s="40" t="s">
        <v>6</v>
      </c>
      <c r="S40" s="404" t="s">
        <v>6</v>
      </c>
      <c r="T40" s="126" t="s">
        <v>6</v>
      </c>
      <c r="U40" s="13"/>
      <c r="V40" s="13"/>
      <c r="W40" s="399" t="s">
        <v>133</v>
      </c>
      <c r="X40" s="13"/>
      <c r="Y40" s="13"/>
      <c r="Z40" s="40" t="s">
        <v>6</v>
      </c>
      <c r="AA40" s="40" t="s">
        <v>6</v>
      </c>
      <c r="AB40" s="13"/>
      <c r="AC40" s="40"/>
      <c r="AD40" s="403"/>
      <c r="AE40" s="399" t="s">
        <v>133</v>
      </c>
      <c r="AF40" s="13"/>
      <c r="AG40" s="13"/>
      <c r="AH40" s="13" t="s">
        <v>6</v>
      </c>
      <c r="AI40" s="402" t="s">
        <v>6</v>
      </c>
      <c r="AJ40" s="400"/>
      <c r="AK40" s="403"/>
      <c r="AL40" s="403"/>
      <c r="AM40" s="43"/>
      <c r="AN40" s="19"/>
      <c r="AO40" s="15"/>
      <c r="AP40" s="15"/>
      <c r="AQ40" s="15"/>
      <c r="AR40" s="15"/>
      <c r="AS40" s="15"/>
      <c r="AT40" s="15"/>
      <c r="AU40" s="13"/>
      <c r="AV40" s="15"/>
      <c r="AW40" s="18">
        <f t="shared" si="1"/>
        <v>20</v>
      </c>
    </row>
    <row r="41" spans="1:87" s="276" customFormat="1" ht="28.5" customHeight="1">
      <c r="A41" s="202">
        <f t="shared" si="0"/>
        <v>35</v>
      </c>
      <c r="B41" s="220"/>
      <c r="C41" s="271"/>
      <c r="D41" s="220"/>
      <c r="E41" s="220"/>
      <c r="F41" s="220"/>
      <c r="G41" s="220"/>
      <c r="H41" s="259"/>
      <c r="I41" s="259"/>
      <c r="J41" s="215" t="s">
        <v>2184</v>
      </c>
      <c r="K41" s="399" t="s">
        <v>132</v>
      </c>
      <c r="L41" s="215" t="s">
        <v>2185</v>
      </c>
      <c r="M41" s="412" t="s">
        <v>3602</v>
      </c>
      <c r="N41" s="40" t="s">
        <v>504</v>
      </c>
      <c r="O41" s="202"/>
      <c r="P41" s="202"/>
      <c r="Q41" s="40" t="s">
        <v>6</v>
      </c>
      <c r="R41" s="202" t="s">
        <v>6</v>
      </c>
      <c r="S41" s="252" t="s">
        <v>6</v>
      </c>
      <c r="T41" s="126" t="s">
        <v>6</v>
      </c>
      <c r="U41" s="259"/>
      <c r="V41" s="259"/>
      <c r="W41" s="399" t="s">
        <v>133</v>
      </c>
      <c r="X41" s="259"/>
      <c r="Y41" s="259"/>
      <c r="Z41" s="202" t="s">
        <v>6</v>
      </c>
      <c r="AA41" s="202" t="s">
        <v>6</v>
      </c>
      <c r="AB41" s="259"/>
      <c r="AC41" s="202"/>
      <c r="AD41" s="274"/>
      <c r="AE41" s="399" t="s">
        <v>133</v>
      </c>
      <c r="AF41" s="259"/>
      <c r="AG41" s="259"/>
      <c r="AH41" s="259" t="s">
        <v>6</v>
      </c>
      <c r="AI41" s="272" t="s">
        <v>6</v>
      </c>
      <c r="AJ41" s="273"/>
      <c r="AK41" s="274"/>
      <c r="AL41" s="274"/>
      <c r="AM41" s="275"/>
      <c r="AN41" s="220"/>
      <c r="AO41" s="275"/>
      <c r="AP41" s="275"/>
      <c r="AQ41" s="275"/>
      <c r="AR41" s="275"/>
      <c r="AS41" s="275"/>
      <c r="AT41" s="275"/>
      <c r="AU41" s="259"/>
      <c r="AV41" s="275"/>
      <c r="AW41" s="18">
        <f t="shared" si="1"/>
        <v>24</v>
      </c>
    </row>
    <row r="42" spans="1:87" s="276" customFormat="1" ht="28.5" customHeight="1">
      <c r="A42" s="202">
        <f t="shared" si="0"/>
        <v>36</v>
      </c>
      <c r="B42" s="220"/>
      <c r="C42" s="271"/>
      <c r="D42" s="220"/>
      <c r="E42" s="220"/>
      <c r="F42" s="220"/>
      <c r="G42" s="220"/>
      <c r="H42" s="259"/>
      <c r="I42" s="259"/>
      <c r="J42" s="215" t="s">
        <v>2186</v>
      </c>
      <c r="K42" s="399" t="s">
        <v>132</v>
      </c>
      <c r="L42" s="215" t="s">
        <v>2187</v>
      </c>
      <c r="M42" s="412" t="s">
        <v>3602</v>
      </c>
      <c r="N42" s="40" t="s">
        <v>504</v>
      </c>
      <c r="O42" s="202"/>
      <c r="P42" s="202"/>
      <c r="Q42" s="40" t="s">
        <v>6</v>
      </c>
      <c r="R42" s="202" t="s">
        <v>6</v>
      </c>
      <c r="S42" s="252" t="s">
        <v>6</v>
      </c>
      <c r="T42" s="126" t="s">
        <v>6</v>
      </c>
      <c r="U42" s="259"/>
      <c r="V42" s="259"/>
      <c r="W42" s="399" t="s">
        <v>133</v>
      </c>
      <c r="X42" s="259"/>
      <c r="Y42" s="259"/>
      <c r="Z42" s="202" t="s">
        <v>6</v>
      </c>
      <c r="AA42" s="202" t="s">
        <v>6</v>
      </c>
      <c r="AB42" s="259"/>
      <c r="AC42" s="202"/>
      <c r="AD42" s="274"/>
      <c r="AE42" s="399" t="s">
        <v>133</v>
      </c>
      <c r="AF42" s="259"/>
      <c r="AG42" s="259"/>
      <c r="AH42" s="259" t="s">
        <v>6</v>
      </c>
      <c r="AI42" s="272" t="s">
        <v>6</v>
      </c>
      <c r="AJ42" s="273"/>
      <c r="AK42" s="274"/>
      <c r="AL42" s="274"/>
      <c r="AM42" s="275"/>
      <c r="AN42" s="220"/>
      <c r="AO42" s="275"/>
      <c r="AP42" s="275"/>
      <c r="AQ42" s="275"/>
      <c r="AR42" s="275"/>
      <c r="AS42" s="275"/>
      <c r="AT42" s="275"/>
      <c r="AU42" s="259"/>
      <c r="AV42" s="275"/>
      <c r="AW42" s="18">
        <f t="shared" si="1"/>
        <v>24</v>
      </c>
    </row>
    <row r="43" spans="1:87" s="276" customFormat="1" ht="28.5" customHeight="1">
      <c r="A43" s="202">
        <f t="shared" si="0"/>
        <v>37</v>
      </c>
      <c r="B43" s="220"/>
      <c r="C43" s="271"/>
      <c r="D43" s="220"/>
      <c r="E43" s="220"/>
      <c r="F43" s="220"/>
      <c r="G43" s="220"/>
      <c r="H43" s="259"/>
      <c r="I43" s="259"/>
      <c r="J43" s="215" t="s">
        <v>2188</v>
      </c>
      <c r="K43" s="399" t="s">
        <v>132</v>
      </c>
      <c r="L43" s="215" t="s">
        <v>2189</v>
      </c>
      <c r="M43" s="412" t="s">
        <v>3602</v>
      </c>
      <c r="N43" s="40" t="s">
        <v>504</v>
      </c>
      <c r="O43" s="202"/>
      <c r="P43" s="202"/>
      <c r="Q43" s="40" t="s">
        <v>6</v>
      </c>
      <c r="R43" s="202" t="s">
        <v>6</v>
      </c>
      <c r="S43" s="252" t="s">
        <v>6</v>
      </c>
      <c r="T43" s="126" t="s">
        <v>6</v>
      </c>
      <c r="U43" s="259"/>
      <c r="V43" s="259"/>
      <c r="W43" s="399" t="s">
        <v>133</v>
      </c>
      <c r="X43" s="259"/>
      <c r="Y43" s="259"/>
      <c r="Z43" s="202" t="s">
        <v>6</v>
      </c>
      <c r="AA43" s="202" t="s">
        <v>6</v>
      </c>
      <c r="AB43" s="259"/>
      <c r="AC43" s="202"/>
      <c r="AD43" s="218" t="s">
        <v>2123</v>
      </c>
      <c r="AE43" s="399" t="s">
        <v>133</v>
      </c>
      <c r="AF43" s="259"/>
      <c r="AG43" s="259"/>
      <c r="AH43" s="259" t="s">
        <v>6</v>
      </c>
      <c r="AI43" s="272" t="s">
        <v>6</v>
      </c>
      <c r="AJ43" s="273"/>
      <c r="AK43" s="274"/>
      <c r="AL43" s="218" t="s">
        <v>2123</v>
      </c>
      <c r="AM43" s="275"/>
      <c r="AN43" s="220"/>
      <c r="AO43" s="275"/>
      <c r="AP43" s="275"/>
      <c r="AQ43" s="275"/>
      <c r="AR43" s="275"/>
      <c r="AS43" s="275"/>
      <c r="AT43" s="275"/>
      <c r="AU43" s="259"/>
      <c r="AV43" s="275"/>
      <c r="AW43" s="18">
        <f t="shared" si="1"/>
        <v>13</v>
      </c>
    </row>
    <row r="44" spans="1:87" s="276" customFormat="1" ht="28.5" customHeight="1">
      <c r="A44" s="202">
        <f t="shared" si="0"/>
        <v>38</v>
      </c>
      <c r="B44" s="220"/>
      <c r="C44" s="271"/>
      <c r="D44" s="220"/>
      <c r="E44" s="220"/>
      <c r="F44" s="220"/>
      <c r="G44" s="220"/>
      <c r="H44" s="259"/>
      <c r="I44" s="259"/>
      <c r="J44" s="215" t="s">
        <v>2190</v>
      </c>
      <c r="K44" s="399" t="s">
        <v>132</v>
      </c>
      <c r="L44" s="215" t="s">
        <v>2191</v>
      </c>
      <c r="M44" s="412" t="s">
        <v>3602</v>
      </c>
      <c r="N44" s="40" t="s">
        <v>504</v>
      </c>
      <c r="O44" s="202"/>
      <c r="P44" s="202"/>
      <c r="Q44" s="40" t="s">
        <v>6</v>
      </c>
      <c r="R44" s="202" t="s">
        <v>6</v>
      </c>
      <c r="S44" s="252" t="s">
        <v>6</v>
      </c>
      <c r="T44" s="126" t="s">
        <v>6</v>
      </c>
      <c r="U44" s="259"/>
      <c r="V44" s="259"/>
      <c r="W44" s="399" t="s">
        <v>133</v>
      </c>
      <c r="X44" s="259"/>
      <c r="Y44" s="259"/>
      <c r="Z44" s="202" t="s">
        <v>6</v>
      </c>
      <c r="AA44" s="202" t="s">
        <v>6</v>
      </c>
      <c r="AB44" s="259"/>
      <c r="AC44" s="202"/>
      <c r="AD44" s="218" t="s">
        <v>2123</v>
      </c>
      <c r="AE44" s="399" t="s">
        <v>133</v>
      </c>
      <c r="AF44" s="259"/>
      <c r="AG44" s="259"/>
      <c r="AH44" s="259" t="s">
        <v>6</v>
      </c>
      <c r="AI44" s="272" t="s">
        <v>6</v>
      </c>
      <c r="AJ44" s="273"/>
      <c r="AK44" s="274"/>
      <c r="AL44" s="218" t="s">
        <v>2123</v>
      </c>
      <c r="AM44" s="275"/>
      <c r="AN44" s="220"/>
      <c r="AO44" s="275"/>
      <c r="AP44" s="275"/>
      <c r="AQ44" s="275"/>
      <c r="AR44" s="275"/>
      <c r="AS44" s="275"/>
      <c r="AT44" s="275"/>
      <c r="AU44" s="259"/>
      <c r="AV44" s="275"/>
      <c r="AW44" s="18">
        <f t="shared" si="1"/>
        <v>23</v>
      </c>
    </row>
    <row r="45" spans="1:87" s="276" customFormat="1" ht="28.5" customHeight="1">
      <c r="A45" s="202">
        <f t="shared" si="0"/>
        <v>39</v>
      </c>
      <c r="B45" s="220"/>
      <c r="C45" s="271"/>
      <c r="D45" s="220"/>
      <c r="E45" s="220"/>
      <c r="F45" s="220"/>
      <c r="G45" s="220"/>
      <c r="H45" s="259"/>
      <c r="I45" s="259"/>
      <c r="J45" s="215" t="s">
        <v>2192</v>
      </c>
      <c r="K45" s="399" t="s">
        <v>122</v>
      </c>
      <c r="L45" s="215" t="s">
        <v>2193</v>
      </c>
      <c r="M45" s="412" t="s">
        <v>3602</v>
      </c>
      <c r="N45" s="349" t="s">
        <v>873</v>
      </c>
      <c r="O45" s="202"/>
      <c r="P45" s="202"/>
      <c r="Q45" s="40" t="s">
        <v>6</v>
      </c>
      <c r="R45" s="202" t="s">
        <v>6</v>
      </c>
      <c r="S45" s="252" t="s">
        <v>6</v>
      </c>
      <c r="T45" s="126" t="s">
        <v>6</v>
      </c>
      <c r="U45" s="259"/>
      <c r="V45" s="259"/>
      <c r="W45" s="399" t="s">
        <v>123</v>
      </c>
      <c r="X45" s="259"/>
      <c r="Y45" s="259"/>
      <c r="Z45" s="202" t="s">
        <v>6</v>
      </c>
      <c r="AA45" s="252" t="s">
        <v>6</v>
      </c>
      <c r="AB45" s="273"/>
      <c r="AC45" s="274"/>
      <c r="AD45" s="218" t="s">
        <v>2123</v>
      </c>
      <c r="AE45" s="399" t="s">
        <v>123</v>
      </c>
      <c r="AF45" s="259"/>
      <c r="AG45" s="259"/>
      <c r="AH45" s="259" t="s">
        <v>6</v>
      </c>
      <c r="AI45" s="272" t="s">
        <v>6</v>
      </c>
      <c r="AJ45" s="273"/>
      <c r="AK45" s="274"/>
      <c r="AL45" s="218" t="s">
        <v>2123</v>
      </c>
      <c r="AM45" s="275"/>
      <c r="AN45" s="220"/>
      <c r="AO45" s="275"/>
      <c r="AP45" s="275"/>
      <c r="AQ45" s="275"/>
      <c r="AR45" s="275"/>
      <c r="AS45" s="275"/>
      <c r="AT45" s="275"/>
      <c r="AU45" s="259"/>
      <c r="AV45" s="275"/>
      <c r="AW45" s="18">
        <f t="shared" si="1"/>
        <v>23</v>
      </c>
    </row>
    <row r="46" spans="1:87" s="18" customFormat="1" ht="15">
      <c r="A46" s="40">
        <f t="shared" si="0"/>
        <v>40</v>
      </c>
      <c r="B46" s="19"/>
      <c r="C46" s="41"/>
      <c r="D46" s="19"/>
      <c r="E46" s="19"/>
      <c r="F46" s="19"/>
      <c r="G46" s="19"/>
      <c r="H46" s="13"/>
      <c r="I46" s="13"/>
      <c r="J46" s="399" t="s">
        <v>2194</v>
      </c>
      <c r="K46" s="399" t="s">
        <v>132</v>
      </c>
      <c r="L46" s="412" t="s">
        <v>2195</v>
      </c>
      <c r="M46" s="412" t="s">
        <v>3602</v>
      </c>
      <c r="N46" s="40" t="s">
        <v>504</v>
      </c>
      <c r="O46" s="40"/>
      <c r="P46" s="40"/>
      <c r="Q46" s="40" t="s">
        <v>6</v>
      </c>
      <c r="R46" s="40" t="s">
        <v>6</v>
      </c>
      <c r="S46" s="404" t="s">
        <v>6</v>
      </c>
      <c r="T46" s="126" t="s">
        <v>6</v>
      </c>
      <c r="U46" s="13"/>
      <c r="V46" s="13"/>
      <c r="W46" s="399" t="s">
        <v>133</v>
      </c>
      <c r="X46" s="13"/>
      <c r="Y46" s="13"/>
      <c r="Z46" s="40" t="s">
        <v>6</v>
      </c>
      <c r="AA46" s="416" t="s">
        <v>6</v>
      </c>
      <c r="AB46" s="400"/>
      <c r="AC46" s="403"/>
      <c r="AD46" s="218" t="s">
        <v>2123</v>
      </c>
      <c r="AE46" s="399" t="s">
        <v>133</v>
      </c>
      <c r="AF46" s="13"/>
      <c r="AG46" s="13"/>
      <c r="AH46" s="13" t="s">
        <v>6</v>
      </c>
      <c r="AI46" s="402" t="s">
        <v>6</v>
      </c>
      <c r="AJ46" s="400"/>
      <c r="AK46" s="403"/>
      <c r="AL46" s="218" t="s">
        <v>2123</v>
      </c>
      <c r="AM46" s="43"/>
      <c r="AN46" s="19"/>
      <c r="AO46" s="15"/>
      <c r="AP46" s="15"/>
      <c r="AQ46" s="15"/>
      <c r="AR46" s="15"/>
      <c r="AS46" s="15"/>
      <c r="AT46" s="15"/>
      <c r="AU46" s="15"/>
      <c r="AV46" s="15"/>
      <c r="AW46" s="18">
        <f t="shared" si="1"/>
        <v>19</v>
      </c>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row>
    <row r="47" spans="1:87" s="18" customFormat="1" ht="15">
      <c r="A47" s="40">
        <f t="shared" si="0"/>
        <v>41</v>
      </c>
      <c r="B47" s="19"/>
      <c r="C47" s="41"/>
      <c r="D47" s="19"/>
      <c r="E47" s="19"/>
      <c r="F47" s="19"/>
      <c r="G47" s="19"/>
      <c r="H47" s="13"/>
      <c r="I47" s="13"/>
      <c r="J47" s="399" t="s">
        <v>2196</v>
      </c>
      <c r="K47" s="399" t="s">
        <v>132</v>
      </c>
      <c r="L47" s="412" t="s">
        <v>2197</v>
      </c>
      <c r="M47" s="412" t="s">
        <v>3602</v>
      </c>
      <c r="N47" s="40" t="s">
        <v>504</v>
      </c>
      <c r="O47" s="40"/>
      <c r="P47" s="40"/>
      <c r="Q47" s="40" t="s">
        <v>6</v>
      </c>
      <c r="R47" s="40" t="s">
        <v>6</v>
      </c>
      <c r="S47" s="404" t="s">
        <v>6</v>
      </c>
      <c r="T47" s="126" t="s">
        <v>6</v>
      </c>
      <c r="U47" s="13"/>
      <c r="V47" s="13"/>
      <c r="W47" s="399" t="s">
        <v>133</v>
      </c>
      <c r="X47" s="13"/>
      <c r="Y47" s="13"/>
      <c r="Z47" s="40" t="s">
        <v>6</v>
      </c>
      <c r="AA47" s="416" t="s">
        <v>6</v>
      </c>
      <c r="AB47" s="400"/>
      <c r="AC47" s="403"/>
      <c r="AD47" s="218" t="s">
        <v>2123</v>
      </c>
      <c r="AE47" s="399" t="s">
        <v>133</v>
      </c>
      <c r="AF47" s="13"/>
      <c r="AG47" s="13"/>
      <c r="AH47" s="13" t="s">
        <v>6</v>
      </c>
      <c r="AI47" s="402" t="s">
        <v>6</v>
      </c>
      <c r="AJ47" s="400"/>
      <c r="AK47" s="403"/>
      <c r="AL47" s="218" t="s">
        <v>2123</v>
      </c>
      <c r="AM47" s="43"/>
      <c r="AN47" s="19"/>
      <c r="AO47" s="15"/>
      <c r="AP47" s="15"/>
      <c r="AQ47" s="15"/>
      <c r="AR47" s="15"/>
      <c r="AS47" s="15"/>
      <c r="AT47" s="15"/>
      <c r="AU47" s="13"/>
      <c r="AV47" s="15"/>
      <c r="AW47" s="18">
        <f t="shared" si="1"/>
        <v>21</v>
      </c>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row>
    <row r="48" spans="1:87" s="12" customFormat="1" ht="15">
      <c r="A48" s="40">
        <f t="shared" si="0"/>
        <v>42</v>
      </c>
      <c r="B48" s="19"/>
      <c r="C48" s="41"/>
      <c r="D48" s="19"/>
      <c r="E48" s="19"/>
      <c r="F48" s="19"/>
      <c r="G48" s="19"/>
      <c r="H48" s="13"/>
      <c r="I48" s="13"/>
      <c r="J48" s="399" t="s">
        <v>2198</v>
      </c>
      <c r="K48" s="399" t="s">
        <v>117</v>
      </c>
      <c r="L48" s="412" t="s">
        <v>2199</v>
      </c>
      <c r="M48" s="412" t="s">
        <v>4954</v>
      </c>
      <c r="N48" s="40" t="s">
        <v>504</v>
      </c>
      <c r="O48" s="40"/>
      <c r="P48" s="40"/>
      <c r="Q48" s="40" t="s">
        <v>6</v>
      </c>
      <c r="R48" s="40" t="s">
        <v>6</v>
      </c>
      <c r="S48" s="404" t="s">
        <v>6</v>
      </c>
      <c r="T48" s="126" t="s">
        <v>6</v>
      </c>
      <c r="U48" s="13"/>
      <c r="V48" s="13"/>
      <c r="W48" s="399" t="s">
        <v>133</v>
      </c>
      <c r="X48" s="13"/>
      <c r="Y48" s="13"/>
      <c r="Z48" s="40" t="s">
        <v>6</v>
      </c>
      <c r="AA48" s="416" t="s">
        <v>6</v>
      </c>
      <c r="AB48" s="400"/>
      <c r="AC48" s="403"/>
      <c r="AD48" s="403"/>
      <c r="AE48" s="399" t="s">
        <v>133</v>
      </c>
      <c r="AF48" s="13"/>
      <c r="AG48" s="13"/>
      <c r="AH48" s="13" t="s">
        <v>6</v>
      </c>
      <c r="AI48" s="402" t="s">
        <v>6</v>
      </c>
      <c r="AJ48" s="400"/>
      <c r="AK48" s="403"/>
      <c r="AL48" s="403"/>
      <c r="AM48" s="43" t="s">
        <v>2200</v>
      </c>
      <c r="AN48" s="13"/>
      <c r="AO48" s="13"/>
      <c r="AP48" s="13"/>
      <c r="AQ48" s="13"/>
      <c r="AR48" s="13"/>
      <c r="AS48" s="13"/>
      <c r="AT48" s="13"/>
      <c r="AU48" s="15"/>
      <c r="AV48" s="15"/>
      <c r="AW48" s="18">
        <f t="shared" si="1"/>
        <v>36</v>
      </c>
    </row>
    <row r="49" spans="1:87" s="12" customFormat="1" ht="15">
      <c r="A49" s="40">
        <f t="shared" si="0"/>
        <v>43</v>
      </c>
      <c r="B49" s="19"/>
      <c r="C49" s="41"/>
      <c r="D49" s="19"/>
      <c r="E49" s="19"/>
      <c r="F49" s="19"/>
      <c r="G49" s="19"/>
      <c r="H49" s="13"/>
      <c r="I49" s="13"/>
      <c r="J49" s="399" t="s">
        <v>2201</v>
      </c>
      <c r="K49" s="399" t="s">
        <v>117</v>
      </c>
      <c r="L49" s="412" t="s">
        <v>2202</v>
      </c>
      <c r="M49" s="412" t="s">
        <v>4954</v>
      </c>
      <c r="N49" s="40" t="s">
        <v>504</v>
      </c>
      <c r="O49" s="40"/>
      <c r="P49" s="40"/>
      <c r="Q49" s="40" t="s">
        <v>6</v>
      </c>
      <c r="R49" s="40" t="s">
        <v>6</v>
      </c>
      <c r="S49" s="404" t="s">
        <v>6</v>
      </c>
      <c r="T49" s="126" t="s">
        <v>6</v>
      </c>
      <c r="U49" s="13"/>
      <c r="V49" s="13"/>
      <c r="W49" s="399" t="s">
        <v>133</v>
      </c>
      <c r="X49" s="13"/>
      <c r="Y49" s="13"/>
      <c r="Z49" s="40" t="s">
        <v>6</v>
      </c>
      <c r="AA49" s="416" t="s">
        <v>6</v>
      </c>
      <c r="AB49" s="400"/>
      <c r="AC49" s="403"/>
      <c r="AD49" s="403"/>
      <c r="AE49" s="399" t="s">
        <v>133</v>
      </c>
      <c r="AF49" s="13"/>
      <c r="AG49" s="13"/>
      <c r="AH49" s="13" t="s">
        <v>6</v>
      </c>
      <c r="AI49" s="402" t="s">
        <v>6</v>
      </c>
      <c r="AJ49" s="400"/>
      <c r="AK49" s="403"/>
      <c r="AL49" s="403"/>
      <c r="AM49" s="43" t="s">
        <v>2200</v>
      </c>
      <c r="AN49" s="13"/>
      <c r="AO49" s="13"/>
      <c r="AP49" s="13"/>
      <c r="AQ49" s="13"/>
      <c r="AR49" s="13"/>
      <c r="AS49" s="13"/>
      <c r="AT49" s="13"/>
      <c r="AU49" s="15"/>
      <c r="AV49" s="15"/>
      <c r="AW49" s="18">
        <f t="shared" si="1"/>
        <v>35</v>
      </c>
    </row>
    <row r="50" spans="1:87" s="12" customFormat="1" ht="15">
      <c r="A50" s="40">
        <f t="shared" si="0"/>
        <v>44</v>
      </c>
      <c r="B50" s="19"/>
      <c r="C50" s="41"/>
      <c r="D50" s="19"/>
      <c r="E50" s="19"/>
      <c r="F50" s="19"/>
      <c r="G50" s="19"/>
      <c r="H50" s="13"/>
      <c r="I50" s="13"/>
      <c r="J50" s="399" t="s">
        <v>2203</v>
      </c>
      <c r="K50" s="399" t="s">
        <v>117</v>
      </c>
      <c r="L50" s="412" t="s">
        <v>2204</v>
      </c>
      <c r="M50" s="412" t="s">
        <v>4954</v>
      </c>
      <c r="N50" s="40" t="s">
        <v>504</v>
      </c>
      <c r="O50" s="40"/>
      <c r="P50" s="40"/>
      <c r="Q50" s="40" t="s">
        <v>6</v>
      </c>
      <c r="R50" s="40" t="s">
        <v>6</v>
      </c>
      <c r="S50" s="404" t="s">
        <v>6</v>
      </c>
      <c r="T50" s="126" t="s">
        <v>6</v>
      </c>
      <c r="U50" s="13"/>
      <c r="V50" s="13"/>
      <c r="W50" s="399" t="s">
        <v>133</v>
      </c>
      <c r="X50" s="43"/>
      <c r="Y50" s="43"/>
      <c r="Z50" s="40" t="s">
        <v>6</v>
      </c>
      <c r="AA50" s="416" t="s">
        <v>6</v>
      </c>
      <c r="AB50" s="403"/>
      <c r="AC50" s="403"/>
      <c r="AD50" s="403"/>
      <c r="AE50" s="399" t="s">
        <v>133</v>
      </c>
      <c r="AF50" s="43"/>
      <c r="AG50" s="43"/>
      <c r="AH50" s="13" t="s">
        <v>6</v>
      </c>
      <c r="AI50" s="402" t="s">
        <v>6</v>
      </c>
      <c r="AJ50" s="403"/>
      <c r="AK50" s="403"/>
      <c r="AL50" s="403"/>
      <c r="AM50" s="43" t="s">
        <v>2200</v>
      </c>
      <c r="AN50" s="19"/>
      <c r="AO50" s="13"/>
      <c r="AP50" s="13"/>
      <c r="AQ50" s="13"/>
      <c r="AR50" s="13"/>
      <c r="AS50" s="13"/>
      <c r="AT50" s="13"/>
      <c r="AU50" s="15"/>
      <c r="AV50" s="15"/>
      <c r="AW50" s="18">
        <f t="shared" si="1"/>
        <v>38</v>
      </c>
    </row>
    <row r="51" spans="1:87" s="12" customFormat="1" ht="15">
      <c r="A51" s="40">
        <f t="shared" si="0"/>
        <v>45</v>
      </c>
      <c r="B51" s="38"/>
      <c r="C51" s="41"/>
      <c r="D51" s="19"/>
      <c r="E51" s="19"/>
      <c r="F51" s="19"/>
      <c r="G51" s="19"/>
      <c r="H51" s="13"/>
      <c r="I51" s="13"/>
      <c r="J51" s="399" t="s">
        <v>2205</v>
      </c>
      <c r="K51" s="399" t="s">
        <v>117</v>
      </c>
      <c r="L51" s="412" t="s">
        <v>2206</v>
      </c>
      <c r="M51" s="412" t="s">
        <v>4954</v>
      </c>
      <c r="N51" s="40" t="s">
        <v>504</v>
      </c>
      <c r="O51" s="40"/>
      <c r="P51" s="40"/>
      <c r="Q51" s="40" t="s">
        <v>6</v>
      </c>
      <c r="R51" s="40" t="s">
        <v>6</v>
      </c>
      <c r="S51" s="404" t="s">
        <v>6</v>
      </c>
      <c r="T51" s="126" t="s">
        <v>6</v>
      </c>
      <c r="U51" s="40"/>
      <c r="V51" s="40"/>
      <c r="W51" s="399" t="s">
        <v>133</v>
      </c>
      <c r="X51" s="43"/>
      <c r="Y51" s="43"/>
      <c r="Z51" s="40" t="s">
        <v>6</v>
      </c>
      <c r="AA51" s="416" t="s">
        <v>6</v>
      </c>
      <c r="AB51" s="400"/>
      <c r="AC51" s="403"/>
      <c r="AD51" s="403"/>
      <c r="AE51" s="399" t="s">
        <v>133</v>
      </c>
      <c r="AF51" s="43"/>
      <c r="AG51" s="43"/>
      <c r="AH51" s="40" t="s">
        <v>6</v>
      </c>
      <c r="AI51" s="402" t="s">
        <v>6</v>
      </c>
      <c r="AJ51" s="400"/>
      <c r="AK51" s="403"/>
      <c r="AL51" s="403"/>
      <c r="AM51" s="43" t="s">
        <v>2200</v>
      </c>
      <c r="AN51" s="19"/>
      <c r="AO51" s="15"/>
      <c r="AP51" s="15"/>
      <c r="AQ51" s="15"/>
      <c r="AR51" s="15"/>
      <c r="AS51" s="15"/>
      <c r="AT51" s="15"/>
      <c r="AU51" s="15"/>
      <c r="AV51" s="13"/>
      <c r="AW51" s="18">
        <f t="shared" si="1"/>
        <v>41</v>
      </c>
    </row>
    <row r="52" spans="1:87" s="12" customFormat="1" ht="15">
      <c r="A52" s="40">
        <f t="shared" si="0"/>
        <v>46</v>
      </c>
      <c r="B52" s="38"/>
      <c r="C52" s="41"/>
      <c r="D52" s="19"/>
      <c r="E52" s="19"/>
      <c r="F52" s="19"/>
      <c r="G52" s="19"/>
      <c r="H52" s="13"/>
      <c r="I52" s="13"/>
      <c r="J52" s="399" t="s">
        <v>2207</v>
      </c>
      <c r="K52" s="399" t="s">
        <v>117</v>
      </c>
      <c r="L52" s="412" t="s">
        <v>2208</v>
      </c>
      <c r="M52" s="412" t="s">
        <v>4954</v>
      </c>
      <c r="N52" s="40" t="s">
        <v>504</v>
      </c>
      <c r="O52" s="40"/>
      <c r="P52" s="40"/>
      <c r="Q52" s="40" t="s">
        <v>6</v>
      </c>
      <c r="R52" s="40" t="s">
        <v>6</v>
      </c>
      <c r="S52" s="404" t="s">
        <v>6</v>
      </c>
      <c r="T52" s="126" t="s">
        <v>6</v>
      </c>
      <c r="U52" s="40"/>
      <c r="V52" s="40"/>
      <c r="W52" s="399" t="s">
        <v>133</v>
      </c>
      <c r="X52" s="13"/>
      <c r="Y52" s="13"/>
      <c r="Z52" s="40" t="s">
        <v>6</v>
      </c>
      <c r="AA52" s="416" t="s">
        <v>6</v>
      </c>
      <c r="AB52" s="400"/>
      <c r="AC52" s="403"/>
      <c r="AD52" s="403"/>
      <c r="AE52" s="399" t="s">
        <v>133</v>
      </c>
      <c r="AF52" s="13"/>
      <c r="AG52" s="13"/>
      <c r="AH52" s="13" t="s">
        <v>6</v>
      </c>
      <c r="AI52" s="402" t="s">
        <v>6</v>
      </c>
      <c r="AJ52" s="400"/>
      <c r="AK52" s="403"/>
      <c r="AL52" s="403"/>
      <c r="AM52" s="43" t="s">
        <v>2200</v>
      </c>
      <c r="AN52" s="13"/>
      <c r="AO52" s="15"/>
      <c r="AP52" s="15"/>
      <c r="AQ52" s="15"/>
      <c r="AR52" s="15"/>
      <c r="AS52" s="15"/>
      <c r="AT52" s="15"/>
      <c r="AU52" s="15"/>
      <c r="AV52" s="19"/>
      <c r="AW52" s="18">
        <f t="shared" si="1"/>
        <v>38</v>
      </c>
    </row>
    <row r="53" spans="1:87" s="20" customFormat="1" ht="25.5" customHeight="1">
      <c r="A53" s="40">
        <f t="shared" si="0"/>
        <v>47</v>
      </c>
      <c r="B53" s="59"/>
      <c r="C53" s="59"/>
      <c r="D53" s="59"/>
      <c r="E53" s="59"/>
      <c r="F53" s="59"/>
      <c r="G53" s="59"/>
      <c r="H53" s="59"/>
      <c r="I53" s="59"/>
      <c r="J53" s="218" t="s">
        <v>2209</v>
      </c>
      <c r="K53" s="204" t="s">
        <v>128</v>
      </c>
      <c r="L53" s="204" t="s">
        <v>703</v>
      </c>
      <c r="M53" s="412" t="s">
        <v>3602</v>
      </c>
      <c r="N53" s="126" t="s">
        <v>504</v>
      </c>
      <c r="O53" s="126"/>
      <c r="P53" s="126"/>
      <c r="Q53" s="40" t="s">
        <v>6</v>
      </c>
      <c r="R53" s="40" t="s">
        <v>6</v>
      </c>
      <c r="S53" s="40" t="s">
        <v>6</v>
      </c>
      <c r="T53" s="126" t="s">
        <v>6</v>
      </c>
      <c r="U53" s="206" t="s">
        <v>768</v>
      </c>
      <c r="V53" s="206"/>
      <c r="W53" s="204" t="s">
        <v>125</v>
      </c>
      <c r="X53" s="59"/>
      <c r="Y53" s="59"/>
      <c r="Z53" s="126"/>
      <c r="AA53" s="40" t="s">
        <v>6</v>
      </c>
      <c r="AB53" s="15"/>
      <c r="AC53" s="59"/>
      <c r="AD53" s="59"/>
      <c r="AE53" s="204" t="s">
        <v>125</v>
      </c>
      <c r="AF53" s="59"/>
      <c r="AG53" s="59"/>
      <c r="AH53" s="59"/>
      <c r="AI53" s="40" t="s">
        <v>6</v>
      </c>
      <c r="AJ53" s="15"/>
      <c r="AK53" s="59"/>
      <c r="AL53" s="59"/>
      <c r="AM53" s="59"/>
      <c r="AN53" s="59"/>
      <c r="AO53" s="59"/>
      <c r="AP53" s="59"/>
      <c r="AQ53" s="59"/>
      <c r="AR53" s="59"/>
      <c r="AS53" s="59"/>
      <c r="AT53" s="59"/>
      <c r="AU53" s="59"/>
      <c r="AV53" s="59"/>
      <c r="AW53" s="18">
        <f t="shared" ref="AW53:AW66" si="2">LEN(L53)</f>
        <v>19</v>
      </c>
    </row>
    <row r="54" spans="1:87" s="18" customFormat="1" ht="26.4">
      <c r="A54" s="40">
        <f t="shared" si="0"/>
        <v>48</v>
      </c>
      <c r="B54" s="38"/>
      <c r="C54" s="42"/>
      <c r="D54" s="38"/>
      <c r="E54" s="46"/>
      <c r="F54" s="46"/>
      <c r="G54" s="46"/>
      <c r="H54" s="13"/>
      <c r="I54" s="40"/>
      <c r="J54" s="215" t="s">
        <v>2210</v>
      </c>
      <c r="K54" s="399" t="s">
        <v>117</v>
      </c>
      <c r="L54" s="215" t="s">
        <v>1760</v>
      </c>
      <c r="M54" s="215"/>
      <c r="N54" s="126" t="s">
        <v>504</v>
      </c>
      <c r="O54" s="40"/>
      <c r="P54" s="40"/>
      <c r="Q54" s="126" t="s">
        <v>6</v>
      </c>
      <c r="R54" s="126" t="s">
        <v>6</v>
      </c>
      <c r="S54" s="126" t="s">
        <v>6</v>
      </c>
      <c r="T54" s="126" t="s">
        <v>6</v>
      </c>
      <c r="U54" s="206" t="s">
        <v>1964</v>
      </c>
      <c r="V54" s="204"/>
      <c r="W54" s="215" t="s">
        <v>125</v>
      </c>
      <c r="X54" s="40"/>
      <c r="Y54" s="400"/>
      <c r="Z54" s="126"/>
      <c r="AA54" s="126" t="s">
        <v>6</v>
      </c>
      <c r="AB54" s="400"/>
      <c r="AC54" s="400"/>
      <c r="AD54" s="400"/>
      <c r="AE54" s="215" t="s">
        <v>125</v>
      </c>
      <c r="AF54" s="40"/>
      <c r="AG54" s="400"/>
      <c r="AH54" s="61"/>
      <c r="AI54" s="61" t="s">
        <v>6</v>
      </c>
      <c r="AJ54" s="400"/>
      <c r="AK54" s="400"/>
      <c r="AL54" s="400"/>
      <c r="AM54" s="45"/>
      <c r="AN54" s="53"/>
      <c r="AO54" s="266"/>
      <c r="AP54" s="266"/>
      <c r="AQ54" s="266"/>
      <c r="AR54" s="266"/>
      <c r="AS54" s="15"/>
      <c r="AT54" s="15"/>
      <c r="AU54" s="15"/>
      <c r="AV54" s="13"/>
      <c r="AW54" s="18">
        <f t="shared" si="2"/>
        <v>27</v>
      </c>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row>
    <row r="55" spans="1:87" s="236" customFormat="1" ht="15">
      <c r="A55" s="40">
        <f t="shared" si="0"/>
        <v>49</v>
      </c>
      <c r="B55" s="199"/>
      <c r="C55" s="199"/>
      <c r="D55" s="199"/>
      <c r="E55" s="199"/>
      <c r="F55" s="199"/>
      <c r="G55" s="199"/>
      <c r="H55" s="199"/>
      <c r="I55" s="199" t="s">
        <v>868</v>
      </c>
      <c r="J55" s="218" t="s">
        <v>2211</v>
      </c>
      <c r="K55" s="232" t="s">
        <v>117</v>
      </c>
      <c r="L55" s="204" t="s">
        <v>763</v>
      </c>
      <c r="M55" s="204"/>
      <c r="N55" s="126" t="s">
        <v>504</v>
      </c>
      <c r="O55" s="126"/>
      <c r="P55" s="126"/>
      <c r="Q55" s="40" t="s">
        <v>6</v>
      </c>
      <c r="R55" s="40" t="s">
        <v>6</v>
      </c>
      <c r="S55" s="126" t="s">
        <v>6</v>
      </c>
      <c r="T55" s="40" t="s">
        <v>6</v>
      </c>
      <c r="U55" s="204"/>
      <c r="V55" s="204"/>
      <c r="W55" s="232" t="s">
        <v>125</v>
      </c>
      <c r="X55" s="211"/>
      <c r="Y55" s="211"/>
      <c r="Z55" s="213"/>
      <c r="AA55" s="126" t="s">
        <v>6</v>
      </c>
      <c r="AB55" s="198"/>
      <c r="AC55" s="199"/>
      <c r="AD55" s="199"/>
      <c r="AE55" s="232" t="s">
        <v>125</v>
      </c>
      <c r="AF55" s="211"/>
      <c r="AG55" s="211"/>
      <c r="AH55" s="211"/>
      <c r="AI55" s="126" t="s">
        <v>6</v>
      </c>
      <c r="AJ55" s="198"/>
      <c r="AK55" s="199"/>
      <c r="AL55" s="199"/>
      <c r="AM55" s="199"/>
      <c r="AN55" s="199"/>
      <c r="AO55" s="199"/>
      <c r="AP55" s="199"/>
      <c r="AQ55" s="199"/>
      <c r="AR55" s="199"/>
      <c r="AS55" s="199"/>
      <c r="AT55" s="199"/>
      <c r="AU55" s="199"/>
      <c r="AV55" s="199"/>
      <c r="AW55" s="155">
        <f t="shared" si="2"/>
        <v>24</v>
      </c>
    </row>
    <row r="56" spans="1:87" s="236" customFormat="1" ht="15">
      <c r="A56" s="40">
        <f t="shared" si="0"/>
        <v>50</v>
      </c>
      <c r="B56" s="199"/>
      <c r="C56" s="199"/>
      <c r="D56" s="199"/>
      <c r="E56" s="199"/>
      <c r="F56" s="199"/>
      <c r="G56" s="199"/>
      <c r="H56" s="199"/>
      <c r="I56" s="199" t="s">
        <v>868</v>
      </c>
      <c r="J56" s="218" t="s">
        <v>2212</v>
      </c>
      <c r="K56" s="232" t="s">
        <v>117</v>
      </c>
      <c r="L56" s="204" t="s">
        <v>765</v>
      </c>
      <c r="M56" s="204"/>
      <c r="N56" s="126" t="s">
        <v>504</v>
      </c>
      <c r="O56" s="126"/>
      <c r="P56" s="126"/>
      <c r="Q56" s="40" t="s">
        <v>6</v>
      </c>
      <c r="R56" s="40" t="s">
        <v>6</v>
      </c>
      <c r="S56" s="126" t="s">
        <v>6</v>
      </c>
      <c r="T56" s="40" t="s">
        <v>6</v>
      </c>
      <c r="U56" s="200"/>
      <c r="V56" s="204"/>
      <c r="W56" s="232" t="s">
        <v>125</v>
      </c>
      <c r="X56" s="199"/>
      <c r="Y56" s="199"/>
      <c r="Z56" s="126"/>
      <c r="AA56" s="126" t="s">
        <v>6</v>
      </c>
      <c r="AB56" s="198"/>
      <c r="AC56" s="199"/>
      <c r="AD56" s="199"/>
      <c r="AE56" s="232" t="s">
        <v>125</v>
      </c>
      <c r="AF56" s="199"/>
      <c r="AG56" s="199"/>
      <c r="AH56" s="199"/>
      <c r="AI56" s="126" t="s">
        <v>6</v>
      </c>
      <c r="AJ56" s="198"/>
      <c r="AK56" s="199"/>
      <c r="AL56" s="199"/>
      <c r="AM56" s="199"/>
      <c r="AN56" s="199"/>
      <c r="AO56" s="199"/>
      <c r="AP56" s="199"/>
      <c r="AQ56" s="199"/>
      <c r="AR56" s="199"/>
      <c r="AS56" s="199"/>
      <c r="AT56" s="199"/>
      <c r="AU56" s="199"/>
      <c r="AV56" s="199"/>
      <c r="AW56" s="155">
        <f t="shared" si="2"/>
        <v>25</v>
      </c>
    </row>
    <row r="57" spans="1:87" s="236" customFormat="1" ht="15">
      <c r="A57" s="40">
        <f t="shared" si="0"/>
        <v>51</v>
      </c>
      <c r="B57" s="199"/>
      <c r="C57" s="199"/>
      <c r="D57" s="199"/>
      <c r="E57" s="199"/>
      <c r="F57" s="199"/>
      <c r="G57" s="199"/>
      <c r="H57" s="199"/>
      <c r="I57" s="199" t="s">
        <v>868</v>
      </c>
      <c r="J57" s="218" t="s">
        <v>2213</v>
      </c>
      <c r="K57" s="232" t="s">
        <v>117</v>
      </c>
      <c r="L57" s="204" t="s">
        <v>767</v>
      </c>
      <c r="M57" s="204"/>
      <c r="N57" s="126" t="s">
        <v>504</v>
      </c>
      <c r="O57" s="126"/>
      <c r="P57" s="126"/>
      <c r="Q57" s="40" t="s">
        <v>6</v>
      </c>
      <c r="R57" s="40" t="s">
        <v>6</v>
      </c>
      <c r="S57" s="126" t="s">
        <v>6</v>
      </c>
      <c r="T57" s="40" t="s">
        <v>6</v>
      </c>
      <c r="U57" s="200"/>
      <c r="V57" s="204"/>
      <c r="W57" s="232" t="s">
        <v>125</v>
      </c>
      <c r="X57" s="199"/>
      <c r="Y57" s="199"/>
      <c r="Z57" s="126"/>
      <c r="AA57" s="126" t="s">
        <v>6</v>
      </c>
      <c r="AB57" s="198"/>
      <c r="AC57" s="199"/>
      <c r="AD57" s="199"/>
      <c r="AE57" s="232" t="s">
        <v>125</v>
      </c>
      <c r="AF57" s="199"/>
      <c r="AG57" s="199"/>
      <c r="AH57" s="199"/>
      <c r="AI57" s="126" t="s">
        <v>6</v>
      </c>
      <c r="AJ57" s="198"/>
      <c r="AK57" s="199"/>
      <c r="AL57" s="199"/>
      <c r="AM57" s="199"/>
      <c r="AN57" s="199"/>
      <c r="AO57" s="199"/>
      <c r="AP57" s="199"/>
      <c r="AQ57" s="199"/>
      <c r="AR57" s="199"/>
      <c r="AS57" s="199"/>
      <c r="AT57" s="199"/>
      <c r="AU57" s="199"/>
      <c r="AV57" s="199"/>
      <c r="AW57" s="155">
        <f t="shared" si="2"/>
        <v>25</v>
      </c>
    </row>
    <row r="58" spans="1:87" s="236" customFormat="1" ht="15">
      <c r="A58" s="40">
        <f t="shared" si="0"/>
        <v>52</v>
      </c>
      <c r="B58" s="199"/>
      <c r="C58" s="199"/>
      <c r="D58" s="199"/>
      <c r="E58" s="199"/>
      <c r="F58" s="199"/>
      <c r="G58" s="199"/>
      <c r="H58" s="199"/>
      <c r="I58" s="199"/>
      <c r="J58" s="218" t="s">
        <v>3350</v>
      </c>
      <c r="K58" s="232" t="s">
        <v>117</v>
      </c>
      <c r="L58" s="204" t="s">
        <v>3333</v>
      </c>
      <c r="M58" s="204"/>
      <c r="N58" s="126" t="s">
        <v>504</v>
      </c>
      <c r="O58" s="126"/>
      <c r="P58" s="126"/>
      <c r="Q58" s="40"/>
      <c r="R58" s="40" t="s">
        <v>6</v>
      </c>
      <c r="S58" s="126" t="s">
        <v>6</v>
      </c>
      <c r="T58" s="40" t="s">
        <v>6</v>
      </c>
      <c r="U58" s="200"/>
      <c r="V58" s="204"/>
      <c r="W58" s="204" t="s">
        <v>133</v>
      </c>
      <c r="X58" s="199"/>
      <c r="Y58" s="199"/>
      <c r="Z58" s="40" t="s">
        <v>6</v>
      </c>
      <c r="AA58" s="126" t="s">
        <v>6</v>
      </c>
      <c r="AB58" s="198"/>
      <c r="AC58" s="199"/>
      <c r="AD58" s="199"/>
      <c r="AE58" s="232" t="s">
        <v>125</v>
      </c>
      <c r="AF58" s="199"/>
      <c r="AG58" s="199"/>
      <c r="AH58" s="199"/>
      <c r="AI58" s="126" t="s">
        <v>6</v>
      </c>
      <c r="AJ58" s="198"/>
      <c r="AK58" s="199"/>
      <c r="AL58" s="199"/>
      <c r="AM58" s="199"/>
      <c r="AN58" s="199"/>
      <c r="AO58" s="199"/>
      <c r="AP58" s="199"/>
      <c r="AQ58" s="199"/>
      <c r="AR58" s="199"/>
      <c r="AS58" s="199"/>
      <c r="AT58" s="199"/>
      <c r="AU58" s="199"/>
      <c r="AV58" s="199"/>
      <c r="AW58" s="155">
        <f t="shared" si="2"/>
        <v>32</v>
      </c>
    </row>
    <row r="59" spans="1:87" s="236" customFormat="1" ht="15">
      <c r="A59" s="40">
        <f t="shared" si="0"/>
        <v>53</v>
      </c>
      <c r="B59" s="199"/>
      <c r="C59" s="199"/>
      <c r="D59" s="199"/>
      <c r="E59" s="199"/>
      <c r="F59" s="199"/>
      <c r="G59" s="199"/>
      <c r="H59" s="199"/>
      <c r="I59" s="199"/>
      <c r="J59" s="218" t="s">
        <v>3351</v>
      </c>
      <c r="K59" s="232" t="s">
        <v>117</v>
      </c>
      <c r="L59" s="204" t="s">
        <v>3335</v>
      </c>
      <c r="M59" s="204"/>
      <c r="N59" s="126" t="s">
        <v>504</v>
      </c>
      <c r="O59" s="126"/>
      <c r="P59" s="126"/>
      <c r="Q59" s="40"/>
      <c r="R59" s="40" t="s">
        <v>6</v>
      </c>
      <c r="S59" s="126" t="s">
        <v>6</v>
      </c>
      <c r="T59" s="40" t="s">
        <v>6</v>
      </c>
      <c r="U59" s="200"/>
      <c r="V59" s="204"/>
      <c r="W59" s="204" t="s">
        <v>133</v>
      </c>
      <c r="X59" s="199"/>
      <c r="Y59" s="199"/>
      <c r="Z59" s="40" t="s">
        <v>6</v>
      </c>
      <c r="AA59" s="126" t="s">
        <v>6</v>
      </c>
      <c r="AB59" s="198"/>
      <c r="AC59" s="199"/>
      <c r="AD59" s="199"/>
      <c r="AE59" s="232" t="s">
        <v>125</v>
      </c>
      <c r="AF59" s="199"/>
      <c r="AG59" s="199"/>
      <c r="AH59" s="199"/>
      <c r="AI59" s="126" t="s">
        <v>6</v>
      </c>
      <c r="AJ59" s="198"/>
      <c r="AK59" s="199"/>
      <c r="AL59" s="199"/>
      <c r="AM59" s="199"/>
      <c r="AN59" s="199"/>
      <c r="AO59" s="199"/>
      <c r="AP59" s="199"/>
      <c r="AQ59" s="199"/>
      <c r="AR59" s="199"/>
      <c r="AS59" s="199"/>
      <c r="AT59" s="199"/>
      <c r="AU59" s="199"/>
      <c r="AV59" s="199"/>
      <c r="AW59" s="155">
        <f t="shared" si="2"/>
        <v>32</v>
      </c>
    </row>
    <row r="60" spans="1:87" s="236" customFormat="1" ht="15">
      <c r="A60" s="40">
        <f t="shared" si="0"/>
        <v>54</v>
      </c>
      <c r="B60" s="199"/>
      <c r="C60" s="199"/>
      <c r="D60" s="199"/>
      <c r="E60" s="199"/>
      <c r="F60" s="199"/>
      <c r="G60" s="199"/>
      <c r="H60" s="199"/>
      <c r="I60" s="199"/>
      <c r="J60" s="218" t="s">
        <v>3352</v>
      </c>
      <c r="K60" s="232" t="s">
        <v>117</v>
      </c>
      <c r="L60" s="204" t="s">
        <v>3337</v>
      </c>
      <c r="M60" s="204"/>
      <c r="N60" s="126" t="s">
        <v>504</v>
      </c>
      <c r="O60" s="126"/>
      <c r="P60" s="126"/>
      <c r="Q60" s="40"/>
      <c r="R60" s="40" t="s">
        <v>6</v>
      </c>
      <c r="S60" s="126" t="s">
        <v>6</v>
      </c>
      <c r="T60" s="40" t="s">
        <v>6</v>
      </c>
      <c r="U60" s="200"/>
      <c r="V60" s="204"/>
      <c r="W60" s="204" t="s">
        <v>133</v>
      </c>
      <c r="X60" s="199"/>
      <c r="Y60" s="199"/>
      <c r="Z60" s="40" t="s">
        <v>6</v>
      </c>
      <c r="AA60" s="126" t="s">
        <v>6</v>
      </c>
      <c r="AB60" s="198"/>
      <c r="AC60" s="199"/>
      <c r="AD60" s="199"/>
      <c r="AE60" s="232" t="s">
        <v>125</v>
      </c>
      <c r="AF60" s="199"/>
      <c r="AG60" s="199"/>
      <c r="AH60" s="199"/>
      <c r="AI60" s="126" t="s">
        <v>6</v>
      </c>
      <c r="AJ60" s="198"/>
      <c r="AK60" s="199"/>
      <c r="AL60" s="199"/>
      <c r="AM60" s="199"/>
      <c r="AN60" s="199"/>
      <c r="AO60" s="199"/>
      <c r="AP60" s="199"/>
      <c r="AQ60" s="199"/>
      <c r="AR60" s="199"/>
      <c r="AS60" s="199"/>
      <c r="AT60" s="199"/>
      <c r="AU60" s="199"/>
      <c r="AV60" s="199"/>
      <c r="AW60" s="155">
        <f t="shared" si="2"/>
        <v>32</v>
      </c>
    </row>
    <row r="61" spans="1:87" s="20" customFormat="1" ht="35.25" customHeight="1">
      <c r="A61" s="40">
        <f t="shared" si="0"/>
        <v>55</v>
      </c>
      <c r="B61" s="59"/>
      <c r="C61" s="59"/>
      <c r="D61" s="59"/>
      <c r="E61" s="59"/>
      <c r="F61" s="59"/>
      <c r="G61" s="59"/>
      <c r="H61" s="59"/>
      <c r="I61" s="59"/>
      <c r="J61" s="218" t="s">
        <v>2214</v>
      </c>
      <c r="K61" s="232" t="s">
        <v>117</v>
      </c>
      <c r="L61" s="204" t="s">
        <v>729</v>
      </c>
      <c r="M61" s="204"/>
      <c r="N61" s="126" t="s">
        <v>504</v>
      </c>
      <c r="O61" s="126"/>
      <c r="P61" s="126"/>
      <c r="Q61" s="126" t="s">
        <v>6</v>
      </c>
      <c r="R61" s="126" t="s">
        <v>6</v>
      </c>
      <c r="S61" s="126" t="s">
        <v>6</v>
      </c>
      <c r="T61" s="126" t="s">
        <v>6</v>
      </c>
      <c r="U61" s="206" t="s">
        <v>1389</v>
      </c>
      <c r="V61" s="206"/>
      <c r="W61" s="232" t="s">
        <v>125</v>
      </c>
      <c r="X61" s="59"/>
      <c r="Y61" s="59"/>
      <c r="Z61" s="126"/>
      <c r="AA61" s="126" t="s">
        <v>6</v>
      </c>
      <c r="AB61" s="15"/>
      <c r="AC61" s="59"/>
      <c r="AD61" s="59"/>
      <c r="AE61" s="232" t="s">
        <v>125</v>
      </c>
      <c r="AF61" s="59"/>
      <c r="AG61" s="59"/>
      <c r="AH61" s="59"/>
      <c r="AI61" s="61" t="s">
        <v>6</v>
      </c>
      <c r="AJ61" s="15"/>
      <c r="AK61" s="59"/>
      <c r="AL61" s="59"/>
      <c r="AM61" s="59"/>
      <c r="AN61" s="59"/>
      <c r="AO61" s="59"/>
      <c r="AP61" s="59"/>
      <c r="AQ61" s="59"/>
      <c r="AR61" s="59"/>
      <c r="AS61" s="59"/>
      <c r="AT61" s="59"/>
      <c r="AU61" s="59"/>
      <c r="AV61" s="59"/>
      <c r="AW61" s="18">
        <f t="shared" si="2"/>
        <v>18</v>
      </c>
    </row>
    <row r="62" spans="1:87" s="236" customFormat="1" ht="26.4">
      <c r="A62" s="40">
        <f>ROW() - 6</f>
        <v>56</v>
      </c>
      <c r="B62" s="199"/>
      <c r="C62" s="199"/>
      <c r="D62" s="199"/>
      <c r="E62" s="199"/>
      <c r="F62" s="199"/>
      <c r="G62" s="199"/>
      <c r="H62" s="199"/>
      <c r="I62" s="199"/>
      <c r="J62" s="218" t="s">
        <v>3379</v>
      </c>
      <c r="K62" s="204" t="s">
        <v>117</v>
      </c>
      <c r="L62" s="204" t="s">
        <v>732</v>
      </c>
      <c r="M62" s="204"/>
      <c r="N62" s="40" t="s">
        <v>504</v>
      </c>
      <c r="O62" s="199"/>
      <c r="P62" s="199"/>
      <c r="Q62" s="40" t="s">
        <v>6</v>
      </c>
      <c r="R62" s="40" t="s">
        <v>6</v>
      </c>
      <c r="S62" s="40" t="s">
        <v>6</v>
      </c>
      <c r="T62" s="40" t="s">
        <v>6</v>
      </c>
      <c r="U62" s="204" t="s">
        <v>733</v>
      </c>
      <c r="V62" s="204"/>
      <c r="W62" s="204"/>
      <c r="X62" s="199"/>
      <c r="Y62" s="199"/>
      <c r="Z62" s="40"/>
      <c r="AA62" s="40"/>
      <c r="AB62" s="218"/>
      <c r="AC62" s="199"/>
      <c r="AD62" s="218"/>
      <c r="AE62" s="204"/>
      <c r="AF62" s="199"/>
      <c r="AG62" s="199"/>
      <c r="AH62" s="199"/>
      <c r="AI62" s="40"/>
      <c r="AJ62" s="218"/>
      <c r="AK62" s="199"/>
      <c r="AL62" s="218"/>
      <c r="AM62" s="199"/>
      <c r="AN62" s="199"/>
      <c r="AO62" s="199"/>
      <c r="AP62" s="199"/>
      <c r="AQ62" s="199"/>
      <c r="AR62" s="199"/>
      <c r="AS62" s="199"/>
      <c r="AT62" s="199"/>
      <c r="AU62" s="199"/>
      <c r="AV62" s="199"/>
      <c r="AW62" s="155">
        <f t="shared" si="2"/>
        <v>29</v>
      </c>
    </row>
    <row r="63" spans="1:87" s="20" customFormat="1" ht="15">
      <c r="A63" s="40">
        <f t="shared" si="0"/>
        <v>57</v>
      </c>
      <c r="B63" s="59"/>
      <c r="C63" s="59"/>
      <c r="D63" s="59"/>
      <c r="E63" s="59"/>
      <c r="F63" s="59"/>
      <c r="G63" s="59"/>
      <c r="H63" s="59"/>
      <c r="I63" s="59"/>
      <c r="J63" s="218" t="s">
        <v>2215</v>
      </c>
      <c r="K63" s="204" t="s">
        <v>117</v>
      </c>
      <c r="L63" s="204" t="s">
        <v>735</v>
      </c>
      <c r="M63" s="204"/>
      <c r="N63" s="126" t="s">
        <v>504</v>
      </c>
      <c r="O63" s="126"/>
      <c r="P63" s="126"/>
      <c r="Q63" s="40" t="s">
        <v>6</v>
      </c>
      <c r="R63" s="40" t="s">
        <v>6</v>
      </c>
      <c r="S63" s="40" t="s">
        <v>6</v>
      </c>
      <c r="T63" s="40" t="s">
        <v>6</v>
      </c>
      <c r="U63" s="206"/>
      <c r="V63" s="206"/>
      <c r="W63" s="204" t="s">
        <v>125</v>
      </c>
      <c r="X63" s="59"/>
      <c r="Y63" s="59"/>
      <c r="Z63" s="126"/>
      <c r="AA63" s="40" t="s">
        <v>6</v>
      </c>
      <c r="AB63" s="218"/>
      <c r="AC63" s="59"/>
      <c r="AD63" s="218"/>
      <c r="AE63" s="204" t="s">
        <v>125</v>
      </c>
      <c r="AF63" s="59"/>
      <c r="AG63" s="59"/>
      <c r="AH63" s="59"/>
      <c r="AI63" s="40" t="s">
        <v>6</v>
      </c>
      <c r="AJ63" s="218"/>
      <c r="AK63" s="59"/>
      <c r="AL63" s="218"/>
      <c r="AM63" s="59"/>
      <c r="AN63" s="59"/>
      <c r="AO63" s="59"/>
      <c r="AP63" s="59"/>
      <c r="AQ63" s="59"/>
      <c r="AR63" s="59"/>
      <c r="AS63" s="59"/>
      <c r="AT63" s="59"/>
      <c r="AU63" s="59"/>
      <c r="AV63" s="59"/>
      <c r="AW63" s="18">
        <f t="shared" si="2"/>
        <v>14</v>
      </c>
    </row>
    <row r="64" spans="1:87" s="20" customFormat="1" ht="15">
      <c r="A64" s="40">
        <f t="shared" si="0"/>
        <v>58</v>
      </c>
      <c r="B64" s="59"/>
      <c r="C64" s="59"/>
      <c r="D64" s="59"/>
      <c r="E64" s="59"/>
      <c r="F64" s="59"/>
      <c r="G64" s="59"/>
      <c r="H64" s="59"/>
      <c r="I64" s="59"/>
      <c r="J64" s="218" t="s">
        <v>2216</v>
      </c>
      <c r="K64" s="204" t="s">
        <v>117</v>
      </c>
      <c r="L64" s="204" t="s">
        <v>737</v>
      </c>
      <c r="M64" s="204"/>
      <c r="N64" s="126" t="s">
        <v>504</v>
      </c>
      <c r="O64" s="126"/>
      <c r="P64" s="126"/>
      <c r="Q64" s="40" t="s">
        <v>6</v>
      </c>
      <c r="R64" s="40" t="s">
        <v>6</v>
      </c>
      <c r="S64" s="40" t="s">
        <v>6</v>
      </c>
      <c r="T64" s="40" t="s">
        <v>6</v>
      </c>
      <c r="U64" s="206"/>
      <c r="V64" s="206"/>
      <c r="W64" s="204" t="s">
        <v>125</v>
      </c>
      <c r="X64" s="59"/>
      <c r="Y64" s="59"/>
      <c r="Z64" s="126"/>
      <c r="AA64" s="40" t="s">
        <v>6</v>
      </c>
      <c r="AB64" s="15"/>
      <c r="AC64" s="59"/>
      <c r="AD64" s="59"/>
      <c r="AE64" s="204" t="s">
        <v>125</v>
      </c>
      <c r="AF64" s="59"/>
      <c r="AG64" s="59"/>
      <c r="AH64" s="59"/>
      <c r="AI64" s="40" t="s">
        <v>6</v>
      </c>
      <c r="AJ64" s="15"/>
      <c r="AK64" s="59"/>
      <c r="AL64" s="59"/>
      <c r="AM64" s="59"/>
      <c r="AN64" s="59"/>
      <c r="AO64" s="59"/>
      <c r="AP64" s="59"/>
      <c r="AQ64" s="59"/>
      <c r="AR64" s="59"/>
      <c r="AS64" s="59"/>
      <c r="AT64" s="59"/>
      <c r="AU64" s="59"/>
      <c r="AV64" s="59"/>
      <c r="AW64" s="18">
        <f t="shared" si="2"/>
        <v>28</v>
      </c>
    </row>
    <row r="65" spans="1:87" s="18" customFormat="1" ht="15">
      <c r="A65" s="40">
        <f t="shared" si="0"/>
        <v>59</v>
      </c>
      <c r="B65" s="38"/>
      <c r="C65" s="42"/>
      <c r="D65" s="38"/>
      <c r="E65" s="46"/>
      <c r="F65" s="46"/>
      <c r="G65" s="46"/>
      <c r="H65" s="13"/>
      <c r="I65" s="40"/>
      <c r="J65" s="218" t="s">
        <v>2217</v>
      </c>
      <c r="K65" s="412" t="s">
        <v>117</v>
      </c>
      <c r="L65" s="204" t="s">
        <v>794</v>
      </c>
      <c r="M65" s="204"/>
      <c r="N65" s="416" t="s">
        <v>504</v>
      </c>
      <c r="O65" s="126"/>
      <c r="P65" s="126"/>
      <c r="Q65" s="416" t="s">
        <v>6</v>
      </c>
      <c r="R65" s="416" t="s">
        <v>6</v>
      </c>
      <c r="S65" s="40" t="s">
        <v>6</v>
      </c>
      <c r="T65" s="416" t="s">
        <v>6</v>
      </c>
      <c r="U65" s="206"/>
      <c r="V65" s="206"/>
      <c r="W65" s="412" t="s">
        <v>125</v>
      </c>
      <c r="X65" s="59"/>
      <c r="Y65" s="59"/>
      <c r="Z65" s="126"/>
      <c r="AA65" s="40" t="s">
        <v>6</v>
      </c>
      <c r="AB65" s="413"/>
      <c r="AC65" s="413"/>
      <c r="AD65" s="413"/>
      <c r="AE65" s="412" t="s">
        <v>125</v>
      </c>
      <c r="AF65" s="59"/>
      <c r="AG65" s="59"/>
      <c r="AH65" s="59"/>
      <c r="AI65" s="40" t="s">
        <v>6</v>
      </c>
      <c r="AJ65" s="413"/>
      <c r="AK65" s="413"/>
      <c r="AL65" s="413"/>
      <c r="AM65" s="43"/>
      <c r="AN65" s="19"/>
      <c r="AO65" s="15"/>
      <c r="AP65" s="15"/>
      <c r="AQ65" s="15"/>
      <c r="AR65" s="15"/>
      <c r="AS65" s="15"/>
      <c r="AT65" s="15"/>
      <c r="AU65" s="15"/>
      <c r="AV65" s="13"/>
      <c r="AW65" s="18">
        <f t="shared" si="2"/>
        <v>20</v>
      </c>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row>
    <row r="66" spans="1:87" s="18" customFormat="1" ht="15">
      <c r="A66" s="40">
        <f t="shared" si="0"/>
        <v>60</v>
      </c>
      <c r="B66" s="19"/>
      <c r="C66" s="41"/>
      <c r="D66" s="19"/>
      <c r="E66" s="19"/>
      <c r="F66" s="19"/>
      <c r="G66" s="19"/>
      <c r="H66" s="13"/>
      <c r="I66" s="13"/>
      <c r="J66" s="218" t="s">
        <v>3321</v>
      </c>
      <c r="K66" s="412" t="s">
        <v>117</v>
      </c>
      <c r="L66" s="204" t="s">
        <v>740</v>
      </c>
      <c r="M66" s="204"/>
      <c r="N66" s="126" t="s">
        <v>504</v>
      </c>
      <c r="O66" s="126"/>
      <c r="P66" s="40"/>
      <c r="Q66" s="126" t="s">
        <v>6</v>
      </c>
      <c r="R66" s="126" t="s">
        <v>6</v>
      </c>
      <c r="S66" s="126" t="s">
        <v>6</v>
      </c>
      <c r="T66" s="40" t="s">
        <v>6</v>
      </c>
      <c r="U66" s="206" t="s">
        <v>3383</v>
      </c>
      <c r="V66" s="206"/>
      <c r="W66" s="412" t="s">
        <v>125</v>
      </c>
      <c r="X66" s="59"/>
      <c r="Y66" s="59"/>
      <c r="Z66" s="126"/>
      <c r="AA66" s="126" t="s">
        <v>6</v>
      </c>
      <c r="AB66" s="79"/>
      <c r="AC66" s="59"/>
      <c r="AD66" s="218" t="s">
        <v>809</v>
      </c>
      <c r="AE66" s="412" t="s">
        <v>125</v>
      </c>
      <c r="AF66" s="59"/>
      <c r="AG66" s="59"/>
      <c r="AH66" s="59"/>
      <c r="AI66" s="61" t="s">
        <v>6</v>
      </c>
      <c r="AJ66" s="79"/>
      <c r="AK66" s="59"/>
      <c r="AL66" s="218" t="s">
        <v>809</v>
      </c>
      <c r="AM66" s="43"/>
      <c r="AN66" s="19"/>
      <c r="AO66" s="15"/>
      <c r="AP66" s="15"/>
      <c r="AQ66" s="15"/>
      <c r="AR66" s="15"/>
      <c r="AS66" s="15"/>
      <c r="AT66" s="15"/>
      <c r="AU66" s="13"/>
      <c r="AV66" s="15"/>
      <c r="AW66" s="18">
        <f t="shared" si="2"/>
        <v>26</v>
      </c>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row>
    <row r="67" spans="1:87" s="20" customFormat="1" ht="29.25" customHeight="1">
      <c r="A67" s="40">
        <f t="shared" si="0"/>
        <v>61</v>
      </c>
      <c r="B67" s="59"/>
      <c r="C67" s="59"/>
      <c r="D67" s="59"/>
      <c r="E67" s="59"/>
      <c r="F67" s="59"/>
      <c r="G67" s="59"/>
      <c r="H67" s="59"/>
      <c r="I67" s="59"/>
      <c r="J67" s="218" t="s">
        <v>2123</v>
      </c>
      <c r="K67" s="204" t="s">
        <v>125</v>
      </c>
      <c r="L67" s="204" t="s">
        <v>798</v>
      </c>
      <c r="M67" s="204"/>
      <c r="N67" s="40" t="s">
        <v>504</v>
      </c>
      <c r="O67" s="126"/>
      <c r="P67" s="126"/>
      <c r="Q67" s="40"/>
      <c r="R67" s="126"/>
      <c r="S67" s="40" t="s">
        <v>6</v>
      </c>
      <c r="T67" s="416" t="s">
        <v>6</v>
      </c>
      <c r="V67" s="275"/>
      <c r="W67" s="204" t="s">
        <v>125</v>
      </c>
      <c r="X67" s="59"/>
      <c r="Y67" s="59"/>
      <c r="Z67" s="126"/>
      <c r="AA67" s="40" t="s">
        <v>6</v>
      </c>
      <c r="AB67" s="15"/>
      <c r="AC67" s="59"/>
      <c r="AD67" s="216" t="str">
        <f>"Agrupamento itens "&amp;A8&amp;" a "&amp;A14&amp;", "&amp;A18&amp;" a "&amp;A19&amp;", "&amp;A43&amp;" a "&amp;A45&amp;", "&amp;A31&amp;" a "&amp;A34&amp;", "&amp;A22&amp;" a "&amp;A30&amp;", "&amp;A46&amp;" a "&amp;A47</f>
        <v>Agrupamento itens 2 a 8, 12 a 13, 37 a 39, 25 a 28, 16 a 24, 40 a 41</v>
      </c>
      <c r="AE67" s="204" t="s">
        <v>125</v>
      </c>
      <c r="AF67" s="59"/>
      <c r="AG67" s="59"/>
      <c r="AH67" s="59"/>
      <c r="AI67" s="40" t="s">
        <v>6</v>
      </c>
      <c r="AJ67" s="15"/>
      <c r="AK67" s="59"/>
      <c r="AL67" s="59"/>
      <c r="AM67" s="43" t="s">
        <v>2218</v>
      </c>
      <c r="AN67" s="59"/>
      <c r="AO67" s="59"/>
      <c r="AP67" s="59"/>
      <c r="AQ67" s="59"/>
      <c r="AR67" s="59"/>
      <c r="AS67" s="59"/>
      <c r="AT67" s="59"/>
      <c r="AU67" s="59"/>
      <c r="AV67" s="59"/>
      <c r="AW67" s="18">
        <f t="shared" si="1"/>
        <v>29</v>
      </c>
    </row>
    <row r="68" spans="1:87" s="12" customFormat="1" ht="27" customHeight="1">
      <c r="A68" s="40">
        <f t="shared" si="0"/>
        <v>62</v>
      </c>
      <c r="B68" s="38"/>
      <c r="C68" s="42"/>
      <c r="D68" s="19"/>
      <c r="E68" s="19"/>
      <c r="F68" s="19"/>
      <c r="G68" s="19"/>
      <c r="H68" s="13"/>
      <c r="I68" s="13"/>
      <c r="J68" s="218" t="s">
        <v>2219</v>
      </c>
      <c r="K68" s="412" t="s">
        <v>117</v>
      </c>
      <c r="L68" s="204" t="s">
        <v>801</v>
      </c>
      <c r="M68" s="204"/>
      <c r="N68" s="416" t="s">
        <v>504</v>
      </c>
      <c r="O68" s="126"/>
      <c r="P68" s="126"/>
      <c r="Q68" s="416" t="s">
        <v>6</v>
      </c>
      <c r="R68" s="416" t="s">
        <v>6</v>
      </c>
      <c r="S68" s="40" t="s">
        <v>6</v>
      </c>
      <c r="T68" s="416" t="s">
        <v>6</v>
      </c>
      <c r="U68" s="205" t="s">
        <v>802</v>
      </c>
      <c r="V68" s="206"/>
      <c r="W68" s="412" t="s">
        <v>125</v>
      </c>
      <c r="X68" s="59"/>
      <c r="Y68" s="59"/>
      <c r="Z68" s="126"/>
      <c r="AA68" s="40" t="s">
        <v>6</v>
      </c>
      <c r="AB68" s="413"/>
      <c r="AC68" s="415"/>
      <c r="AD68" s="415"/>
      <c r="AE68" s="412" t="s">
        <v>125</v>
      </c>
      <c r="AF68" s="59"/>
      <c r="AG68" s="59"/>
      <c r="AH68" s="59"/>
      <c r="AI68" s="40" t="s">
        <v>6</v>
      </c>
      <c r="AJ68" s="413"/>
      <c r="AK68" s="415"/>
      <c r="AL68" s="415"/>
      <c r="AM68" s="43"/>
      <c r="AN68" s="44"/>
      <c r="AO68" s="13"/>
      <c r="AP68" s="13"/>
      <c r="AQ68" s="13"/>
      <c r="AR68" s="13"/>
      <c r="AS68" s="13"/>
      <c r="AT68" s="13"/>
      <c r="AU68" s="13"/>
      <c r="AV68" s="13"/>
      <c r="AW68" s="18">
        <f>LEN(L68)</f>
        <v>21</v>
      </c>
      <c r="AX68" s="16"/>
      <c r="AY68" s="17"/>
    </row>
    <row r="69" spans="1:87" s="18" customFormat="1" ht="15">
      <c r="A69" s="40">
        <f t="shared" si="0"/>
        <v>63</v>
      </c>
      <c r="B69" s="38"/>
      <c r="C69" s="42"/>
      <c r="D69" s="38"/>
      <c r="E69" s="46"/>
      <c r="F69" s="46"/>
      <c r="G69" s="46"/>
      <c r="H69" s="13"/>
      <c r="I69" s="40"/>
      <c r="J69" s="218" t="s">
        <v>2220</v>
      </c>
      <c r="K69" s="412" t="s">
        <v>117</v>
      </c>
      <c r="L69" s="204" t="s">
        <v>804</v>
      </c>
      <c r="M69" s="204"/>
      <c r="N69" s="416" t="s">
        <v>504</v>
      </c>
      <c r="O69" s="126"/>
      <c r="P69" s="126"/>
      <c r="Q69" s="416" t="s">
        <v>6</v>
      </c>
      <c r="R69" s="416" t="s">
        <v>6</v>
      </c>
      <c r="S69" s="40" t="s">
        <v>6</v>
      </c>
      <c r="T69" s="416" t="s">
        <v>6</v>
      </c>
      <c r="U69" s="205" t="s">
        <v>802</v>
      </c>
      <c r="V69" s="206"/>
      <c r="W69" s="412" t="s">
        <v>125</v>
      </c>
      <c r="X69" s="59"/>
      <c r="Y69" s="59"/>
      <c r="Z69" s="126"/>
      <c r="AA69" s="40" t="s">
        <v>6</v>
      </c>
      <c r="AB69" s="413"/>
      <c r="AC69" s="413"/>
      <c r="AD69" s="413"/>
      <c r="AE69" s="412" t="s">
        <v>125</v>
      </c>
      <c r="AF69" s="59"/>
      <c r="AG69" s="59"/>
      <c r="AH69" s="59"/>
      <c r="AI69" s="40" t="s">
        <v>6</v>
      </c>
      <c r="AJ69" s="413"/>
      <c r="AK69" s="413"/>
      <c r="AL69" s="413"/>
      <c r="AM69" s="43"/>
      <c r="AN69" s="19"/>
      <c r="AO69" s="15"/>
      <c r="AP69" s="15"/>
      <c r="AQ69" s="15"/>
      <c r="AR69" s="15"/>
      <c r="AS69" s="15"/>
      <c r="AT69" s="15"/>
      <c r="AU69" s="15"/>
      <c r="AV69" s="13"/>
      <c r="AW69" s="18">
        <f>LEN(L69)</f>
        <v>25</v>
      </c>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row>
    <row r="70" spans="1:87" s="236" customFormat="1" ht="26.4">
      <c r="A70" s="40">
        <f>ROW() - 6</f>
        <v>64</v>
      </c>
      <c r="B70" s="199"/>
      <c r="C70" s="199"/>
      <c r="D70" s="199"/>
      <c r="E70" s="199"/>
      <c r="F70" s="199"/>
      <c r="G70" s="199"/>
      <c r="H70" s="199"/>
      <c r="I70" s="199"/>
      <c r="J70" s="218" t="s">
        <v>3380</v>
      </c>
      <c r="K70" s="204" t="s">
        <v>117</v>
      </c>
      <c r="L70" s="204" t="s">
        <v>732</v>
      </c>
      <c r="M70" s="204"/>
      <c r="N70" s="40" t="s">
        <v>504</v>
      </c>
      <c r="O70" s="199"/>
      <c r="P70" s="199"/>
      <c r="Q70" s="40" t="s">
        <v>6</v>
      </c>
      <c r="R70" s="40" t="s">
        <v>6</v>
      </c>
      <c r="S70" s="40" t="s">
        <v>6</v>
      </c>
      <c r="T70" s="40" t="s">
        <v>6</v>
      </c>
      <c r="U70" s="204" t="s">
        <v>733</v>
      </c>
      <c r="V70" s="204"/>
      <c r="W70" s="204"/>
      <c r="X70" s="199"/>
      <c r="Y70" s="199"/>
      <c r="Z70" s="40"/>
      <c r="AA70" s="40"/>
      <c r="AB70" s="218"/>
      <c r="AC70" s="199"/>
      <c r="AD70" s="218"/>
      <c r="AE70" s="204"/>
      <c r="AF70" s="199"/>
      <c r="AG70" s="199"/>
      <c r="AH70" s="199"/>
      <c r="AI70" s="40"/>
      <c r="AJ70" s="218"/>
      <c r="AK70" s="199"/>
      <c r="AL70" s="218"/>
      <c r="AM70" s="199"/>
      <c r="AN70" s="199"/>
      <c r="AO70" s="199"/>
      <c r="AP70" s="199"/>
      <c r="AQ70" s="199"/>
      <c r="AR70" s="199"/>
      <c r="AS70" s="199"/>
      <c r="AT70" s="199"/>
      <c r="AU70" s="199"/>
      <c r="AV70" s="199"/>
      <c r="AW70" s="155">
        <f t="shared" ref="AW70" si="3">LEN(L70)</f>
        <v>29</v>
      </c>
    </row>
    <row r="71" spans="1:87" s="20" customFormat="1" ht="15">
      <c r="A71" s="40">
        <f t="shared" si="0"/>
        <v>65</v>
      </c>
      <c r="B71" s="59"/>
      <c r="C71" s="59"/>
      <c r="D71" s="59"/>
      <c r="E71" s="59"/>
      <c r="F71" s="59"/>
      <c r="G71" s="59"/>
      <c r="H71" s="59"/>
      <c r="I71" s="59"/>
      <c r="J71" s="218" t="s">
        <v>2221</v>
      </c>
      <c r="K71" s="232" t="s">
        <v>134</v>
      </c>
      <c r="L71" s="204" t="s">
        <v>744</v>
      </c>
      <c r="M71" s="204"/>
      <c r="N71" s="416" t="s">
        <v>504</v>
      </c>
      <c r="O71" s="126"/>
      <c r="P71" s="126"/>
      <c r="Q71" s="40" t="s">
        <v>6</v>
      </c>
      <c r="R71" s="40" t="s">
        <v>6</v>
      </c>
      <c r="S71" s="40" t="s">
        <v>6</v>
      </c>
      <c r="T71" s="416" t="s">
        <v>6</v>
      </c>
      <c r="U71" s="205" t="s">
        <v>802</v>
      </c>
      <c r="V71" s="206"/>
      <c r="W71" s="232" t="s">
        <v>137</v>
      </c>
      <c r="X71" s="59"/>
      <c r="Y71" s="59"/>
      <c r="Z71" s="126"/>
      <c r="AA71" s="40" t="s">
        <v>6</v>
      </c>
      <c r="AB71" s="15"/>
      <c r="AC71" s="59"/>
      <c r="AD71" s="59"/>
      <c r="AE71" s="232" t="s">
        <v>137</v>
      </c>
      <c r="AF71" s="59"/>
      <c r="AG71" s="59"/>
      <c r="AH71" s="59"/>
      <c r="AI71" s="40" t="s">
        <v>6</v>
      </c>
      <c r="AJ71" s="15"/>
      <c r="AK71" s="59"/>
      <c r="AL71" s="59"/>
      <c r="AM71" s="59"/>
      <c r="AN71" s="59"/>
      <c r="AO71" s="59"/>
      <c r="AP71" s="59"/>
      <c r="AQ71" s="59"/>
      <c r="AR71" s="59"/>
      <c r="AS71" s="59"/>
      <c r="AT71" s="59"/>
      <c r="AU71" s="59"/>
      <c r="AV71" s="59"/>
      <c r="AW71" s="18">
        <f>LEN(L71)</f>
        <v>17</v>
      </c>
    </row>
    <row r="72" spans="1:87" s="20" customFormat="1" ht="15">
      <c r="A72" s="40">
        <f>ROW() - 6</f>
        <v>66</v>
      </c>
      <c r="B72" s="59"/>
      <c r="C72" s="59"/>
      <c r="D72" s="59"/>
      <c r="E72" s="59"/>
      <c r="F72" s="59"/>
      <c r="G72" s="59"/>
      <c r="H72" s="59"/>
      <c r="I72" s="59"/>
      <c r="J72" s="218" t="s">
        <v>3381</v>
      </c>
      <c r="K72" s="232" t="s">
        <v>117</v>
      </c>
      <c r="L72" s="204" t="s">
        <v>3362</v>
      </c>
      <c r="M72" s="204"/>
      <c r="N72" s="40" t="s">
        <v>504</v>
      </c>
      <c r="O72" s="126"/>
      <c r="P72" s="126"/>
      <c r="Q72" s="40" t="s">
        <v>6</v>
      </c>
      <c r="R72" s="40" t="s">
        <v>6</v>
      </c>
      <c r="S72" s="40" t="s">
        <v>6</v>
      </c>
      <c r="T72" s="40" t="s">
        <v>6</v>
      </c>
      <c r="U72" s="200" t="s">
        <v>747</v>
      </c>
      <c r="V72" s="206"/>
      <c r="W72" s="204"/>
      <c r="X72" s="59"/>
      <c r="Y72" s="59"/>
      <c r="Z72" s="40"/>
      <c r="AA72" s="40"/>
      <c r="AB72" s="15"/>
      <c r="AC72" s="59"/>
      <c r="AD72" s="59"/>
      <c r="AE72" s="232"/>
      <c r="AF72" s="59"/>
      <c r="AG72" s="59"/>
      <c r="AH72" s="59"/>
      <c r="AI72" s="40"/>
      <c r="AJ72" s="15"/>
      <c r="AK72" s="59"/>
      <c r="AL72" s="59"/>
      <c r="AM72" s="59"/>
      <c r="AN72" s="59"/>
      <c r="AO72" s="59"/>
      <c r="AP72" s="59"/>
      <c r="AQ72" s="59"/>
      <c r="AR72" s="59"/>
      <c r="AS72" s="59"/>
      <c r="AT72" s="59"/>
      <c r="AU72" s="59"/>
      <c r="AV72" s="59"/>
      <c r="AW72" s="18"/>
    </row>
    <row r="73" spans="1:87" s="20" customFormat="1" ht="15">
      <c r="A73" s="40">
        <f t="shared" si="0"/>
        <v>67</v>
      </c>
      <c r="B73" s="59"/>
      <c r="C73" s="59"/>
      <c r="D73" s="59"/>
      <c r="E73" s="59"/>
      <c r="F73" s="59"/>
      <c r="G73" s="59"/>
      <c r="H73" s="59"/>
      <c r="I73" s="59"/>
      <c r="J73" s="218" t="s">
        <v>2222</v>
      </c>
      <c r="K73" s="204" t="s">
        <v>117</v>
      </c>
      <c r="L73" s="204" t="s">
        <v>737</v>
      </c>
      <c r="M73" s="204"/>
      <c r="N73" s="416" t="s">
        <v>504</v>
      </c>
      <c r="O73" s="126"/>
      <c r="P73" s="126"/>
      <c r="Q73" s="40" t="s">
        <v>6</v>
      </c>
      <c r="R73" s="40" t="s">
        <v>6</v>
      </c>
      <c r="S73" s="40" t="s">
        <v>6</v>
      </c>
      <c r="T73" s="416" t="s">
        <v>6</v>
      </c>
      <c r="U73" s="205" t="s">
        <v>802</v>
      </c>
      <c r="V73" s="206"/>
      <c r="W73" s="204" t="s">
        <v>125</v>
      </c>
      <c r="X73" s="59"/>
      <c r="Y73" s="59"/>
      <c r="Z73" s="126"/>
      <c r="AA73" s="40" t="s">
        <v>6</v>
      </c>
      <c r="AB73" s="15"/>
      <c r="AC73" s="59"/>
      <c r="AD73" s="59"/>
      <c r="AE73" s="204" t="s">
        <v>125</v>
      </c>
      <c r="AF73" s="59"/>
      <c r="AG73" s="59"/>
      <c r="AH73" s="59"/>
      <c r="AI73" s="40" t="s">
        <v>6</v>
      </c>
      <c r="AJ73" s="15"/>
      <c r="AK73" s="59"/>
      <c r="AL73" s="59"/>
      <c r="AM73" s="59"/>
      <c r="AN73" s="59"/>
      <c r="AO73" s="59"/>
      <c r="AP73" s="59"/>
      <c r="AQ73" s="59"/>
      <c r="AR73" s="59"/>
      <c r="AS73" s="59"/>
      <c r="AT73" s="59"/>
      <c r="AU73" s="59"/>
      <c r="AV73" s="59"/>
      <c r="AW73" s="18">
        <f>LEN(L73)</f>
        <v>28</v>
      </c>
    </row>
    <row r="74" spans="1:87" s="20" customFormat="1" ht="15">
      <c r="A74" s="40">
        <v>47</v>
      </c>
      <c r="B74" s="59"/>
      <c r="C74" s="59"/>
      <c r="D74" s="59"/>
      <c r="E74" s="59"/>
      <c r="F74" s="59"/>
      <c r="G74" s="59"/>
      <c r="H74" s="59"/>
      <c r="I74" s="59"/>
      <c r="J74" s="218" t="s">
        <v>2223</v>
      </c>
      <c r="K74" s="204" t="s">
        <v>117</v>
      </c>
      <c r="L74" s="204" t="s">
        <v>735</v>
      </c>
      <c r="M74" s="204"/>
      <c r="N74" s="126" t="s">
        <v>504</v>
      </c>
      <c r="O74" s="126"/>
      <c r="P74" s="126"/>
      <c r="Q74" s="40" t="s">
        <v>6</v>
      </c>
      <c r="R74" s="40" t="s">
        <v>6</v>
      </c>
      <c r="S74" s="40" t="s">
        <v>6</v>
      </c>
      <c r="T74" s="40" t="s">
        <v>6</v>
      </c>
      <c r="U74" s="205" t="s">
        <v>802</v>
      </c>
      <c r="V74" s="206"/>
      <c r="W74" s="204" t="s">
        <v>125</v>
      </c>
      <c r="X74" s="59"/>
      <c r="Y74" s="59"/>
      <c r="Z74" s="126"/>
      <c r="AA74" s="40" t="s">
        <v>6</v>
      </c>
      <c r="AB74" s="218"/>
      <c r="AC74" s="59"/>
      <c r="AD74" s="218"/>
      <c r="AE74" s="204" t="s">
        <v>125</v>
      </c>
      <c r="AF74" s="59"/>
      <c r="AG74" s="59"/>
      <c r="AH74" s="59"/>
      <c r="AI74" s="40" t="s">
        <v>6</v>
      </c>
      <c r="AJ74" s="218"/>
      <c r="AK74" s="59"/>
      <c r="AL74" s="218"/>
      <c r="AM74" s="59"/>
      <c r="AN74" s="59"/>
      <c r="AO74" s="59"/>
      <c r="AP74" s="59"/>
      <c r="AQ74" s="59"/>
      <c r="AR74" s="59"/>
      <c r="AS74" s="59"/>
      <c r="AT74" s="59"/>
      <c r="AU74" s="59"/>
      <c r="AV74" s="59"/>
      <c r="AW74" s="18">
        <v>14</v>
      </c>
    </row>
    <row r="75" spans="1:87" s="18" customFormat="1" ht="15">
      <c r="A75" s="40">
        <v>50</v>
      </c>
      <c r="B75" s="19"/>
      <c r="C75" s="41"/>
      <c r="D75" s="19"/>
      <c r="E75" s="19"/>
      <c r="F75" s="19"/>
      <c r="G75" s="19"/>
      <c r="H75" s="13"/>
      <c r="I75" s="13"/>
      <c r="J75" s="218" t="s">
        <v>3322</v>
      </c>
      <c r="K75" s="412" t="s">
        <v>117</v>
      </c>
      <c r="L75" s="204" t="s">
        <v>740</v>
      </c>
      <c r="M75" s="204"/>
      <c r="N75" s="126" t="s">
        <v>504</v>
      </c>
      <c r="O75" s="126"/>
      <c r="P75" s="40"/>
      <c r="Q75" s="126" t="s">
        <v>6</v>
      </c>
      <c r="R75" s="126" t="s">
        <v>6</v>
      </c>
      <c r="S75" s="126" t="s">
        <v>6</v>
      </c>
      <c r="T75" s="40" t="s">
        <v>6</v>
      </c>
      <c r="U75" s="205" t="s">
        <v>3384</v>
      </c>
      <c r="V75" s="206"/>
      <c r="W75" s="412" t="s">
        <v>125</v>
      </c>
      <c r="X75" s="59"/>
      <c r="Y75" s="59"/>
      <c r="Z75" s="126"/>
      <c r="AA75" s="126" t="s">
        <v>6</v>
      </c>
      <c r="AB75" s="79"/>
      <c r="AC75" s="59"/>
      <c r="AD75" s="218" t="s">
        <v>809</v>
      </c>
      <c r="AE75" s="412" t="s">
        <v>125</v>
      </c>
      <c r="AF75" s="59"/>
      <c r="AG75" s="59"/>
      <c r="AH75" s="59"/>
      <c r="AI75" s="61" t="s">
        <v>6</v>
      </c>
      <c r="AJ75" s="79"/>
      <c r="AK75" s="59"/>
      <c r="AL75" s="218" t="s">
        <v>809</v>
      </c>
      <c r="AM75" s="43"/>
      <c r="AN75" s="19"/>
      <c r="AO75" s="15"/>
      <c r="AP75" s="15"/>
      <c r="AQ75" s="15"/>
      <c r="AR75" s="15"/>
      <c r="AS75" s="15"/>
      <c r="AT75" s="15"/>
      <c r="AU75" s="13"/>
      <c r="AV75" s="15"/>
      <c r="AW75" s="18">
        <v>18</v>
      </c>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row>
    <row r="76" spans="1:87" s="80" customFormat="1" ht="15">
      <c r="A76" s="40">
        <f>ROW() - 6</f>
        <v>70</v>
      </c>
      <c r="B76" s="59"/>
      <c r="C76" s="59"/>
      <c r="D76" s="59"/>
      <c r="E76" s="59"/>
      <c r="F76" s="59"/>
      <c r="G76" s="59"/>
      <c r="H76" s="59"/>
      <c r="I76" s="59"/>
      <c r="J76" s="218" t="s">
        <v>5187</v>
      </c>
      <c r="K76" s="204" t="s">
        <v>128</v>
      </c>
      <c r="L76" s="204" t="s">
        <v>703</v>
      </c>
      <c r="M76" s="204"/>
      <c r="N76" s="40" t="s">
        <v>504</v>
      </c>
      <c r="O76" s="126"/>
      <c r="P76" s="126"/>
      <c r="Q76" s="40" t="s">
        <v>6</v>
      </c>
      <c r="R76" s="40" t="s">
        <v>6</v>
      </c>
      <c r="S76" s="40" t="s">
        <v>6</v>
      </c>
      <c r="T76" s="40"/>
      <c r="U76" s="206" t="s">
        <v>768</v>
      </c>
      <c r="V76" s="206"/>
      <c r="W76" s="204" t="s">
        <v>125</v>
      </c>
      <c r="X76" s="59"/>
      <c r="Y76" s="59"/>
      <c r="Z76" s="126"/>
      <c r="AA76" s="40" t="s">
        <v>6</v>
      </c>
      <c r="AB76" s="15"/>
      <c r="AC76" s="59"/>
      <c r="AD76" s="59"/>
      <c r="AE76" s="204" t="s">
        <v>125</v>
      </c>
      <c r="AF76" s="59"/>
      <c r="AG76" s="59"/>
      <c r="AH76" s="59"/>
      <c r="AI76" s="40" t="s">
        <v>6</v>
      </c>
      <c r="AJ76" s="15"/>
      <c r="AK76" s="59"/>
      <c r="AL76" s="59"/>
      <c r="AM76" s="59"/>
      <c r="AN76" s="59"/>
      <c r="AO76" s="59"/>
      <c r="AP76" s="59"/>
      <c r="AQ76" s="59"/>
      <c r="AR76" s="59"/>
      <c r="AS76" s="59"/>
      <c r="AT76" s="59"/>
      <c r="AU76" s="59"/>
      <c r="AV76" s="59"/>
      <c r="AW76" s="12"/>
    </row>
    <row r="77" spans="1:87" s="12" customFormat="1" ht="26.4">
      <c r="A77" s="40">
        <f t="shared" ref="A77:A87" si="4">ROW() - 6</f>
        <v>71</v>
      </c>
      <c r="B77" s="38"/>
      <c r="C77" s="42"/>
      <c r="D77" s="38"/>
      <c r="E77" s="46"/>
      <c r="F77" s="46"/>
      <c r="G77" s="46"/>
      <c r="H77" s="13"/>
      <c r="I77" s="40"/>
      <c r="J77" s="215" t="s">
        <v>5188</v>
      </c>
      <c r="K77" s="412" t="s">
        <v>117</v>
      </c>
      <c r="L77" s="215" t="s">
        <v>1760</v>
      </c>
      <c r="M77" s="215"/>
      <c r="N77" s="40" t="s">
        <v>504</v>
      </c>
      <c r="O77" s="40"/>
      <c r="P77" s="40"/>
      <c r="Q77" s="126" t="s">
        <v>6</v>
      </c>
      <c r="R77" s="126" t="s">
        <v>6</v>
      </c>
      <c r="S77" s="126" t="s">
        <v>6</v>
      </c>
      <c r="T77" s="126"/>
      <c r="U77" s="206" t="s">
        <v>1964</v>
      </c>
      <c r="V77" s="204"/>
      <c r="W77" s="215" t="s">
        <v>125</v>
      </c>
      <c r="X77" s="40"/>
      <c r="Y77" s="13"/>
      <c r="Z77" s="126"/>
      <c r="AA77" s="126" t="s">
        <v>6</v>
      </c>
      <c r="AB77" s="13"/>
      <c r="AC77" s="13"/>
      <c r="AD77" s="13"/>
      <c r="AE77" s="215" t="s">
        <v>125</v>
      </c>
      <c r="AF77" s="40"/>
      <c r="AG77" s="13"/>
      <c r="AH77" s="61"/>
      <c r="AI77" s="61" t="s">
        <v>6</v>
      </c>
      <c r="AJ77" s="13"/>
      <c r="AK77" s="13"/>
      <c r="AL77" s="13"/>
      <c r="AM77" s="43"/>
      <c r="AN77" s="19"/>
      <c r="AO77" s="15"/>
      <c r="AP77" s="15"/>
      <c r="AQ77" s="15"/>
      <c r="AR77" s="15"/>
      <c r="AS77" s="15"/>
      <c r="AT77" s="15"/>
      <c r="AU77" s="15"/>
      <c r="AV77" s="13"/>
    </row>
    <row r="78" spans="1:87" s="80" customFormat="1" ht="26.4">
      <c r="A78" s="40">
        <f t="shared" si="4"/>
        <v>72</v>
      </c>
      <c r="B78" s="59"/>
      <c r="C78" s="59"/>
      <c r="D78" s="59"/>
      <c r="E78" s="59"/>
      <c r="F78" s="59"/>
      <c r="G78" s="59"/>
      <c r="H78" s="59"/>
      <c r="I78" s="59"/>
      <c r="J78" s="218" t="s">
        <v>5189</v>
      </c>
      <c r="K78" s="204" t="s">
        <v>117</v>
      </c>
      <c r="L78" s="204" t="s">
        <v>3983</v>
      </c>
      <c r="M78" s="204"/>
      <c r="N78" s="40" t="s">
        <v>504</v>
      </c>
      <c r="O78" s="126"/>
      <c r="P78" s="126"/>
      <c r="Q78" s="40" t="s">
        <v>6</v>
      </c>
      <c r="R78" s="40" t="s">
        <v>6</v>
      </c>
      <c r="S78" s="40" t="s">
        <v>6</v>
      </c>
      <c r="T78" s="40"/>
      <c r="U78" s="206" t="s">
        <v>768</v>
      </c>
      <c r="V78" s="206"/>
      <c r="W78" s="204" t="s">
        <v>125</v>
      </c>
      <c r="X78" s="59"/>
      <c r="Y78" s="59"/>
      <c r="Z78" s="126"/>
      <c r="AA78" s="40" t="s">
        <v>6</v>
      </c>
      <c r="AB78" s="218"/>
      <c r="AC78" s="59"/>
      <c r="AD78" s="218" t="s">
        <v>709</v>
      </c>
      <c r="AE78" s="204" t="s">
        <v>125</v>
      </c>
      <c r="AF78" s="59"/>
      <c r="AG78" s="59"/>
      <c r="AH78" s="59"/>
      <c r="AI78" s="40" t="s">
        <v>6</v>
      </c>
      <c r="AJ78" s="218"/>
      <c r="AK78" s="59"/>
      <c r="AL78" s="218" t="s">
        <v>709</v>
      </c>
      <c r="AM78" s="59"/>
      <c r="AN78" s="59"/>
      <c r="AO78" s="59"/>
      <c r="AP78" s="59"/>
      <c r="AQ78" s="59"/>
      <c r="AR78" s="59"/>
      <c r="AS78" s="59"/>
      <c r="AT78" s="59"/>
      <c r="AU78" s="59"/>
      <c r="AV78" s="59"/>
      <c r="AW78" s="12"/>
    </row>
    <row r="79" spans="1:87" s="80" customFormat="1" ht="52.8">
      <c r="A79" s="40">
        <f t="shared" si="4"/>
        <v>73</v>
      </c>
      <c r="B79" s="59"/>
      <c r="C79" s="59"/>
      <c r="D79" s="59"/>
      <c r="E79" s="59"/>
      <c r="F79" s="59"/>
      <c r="G79" s="59"/>
      <c r="H79" s="59"/>
      <c r="I79" s="59"/>
      <c r="J79" s="218" t="s">
        <v>5190</v>
      </c>
      <c r="K79" s="204" t="s">
        <v>117</v>
      </c>
      <c r="L79" s="204" t="s">
        <v>4025</v>
      </c>
      <c r="M79" s="204"/>
      <c r="N79" s="40" t="s">
        <v>504</v>
      </c>
      <c r="O79" s="126"/>
      <c r="P79" s="126"/>
      <c r="Q79" s="40" t="s">
        <v>6</v>
      </c>
      <c r="R79" s="40" t="s">
        <v>6</v>
      </c>
      <c r="S79" s="40" t="s">
        <v>6</v>
      </c>
      <c r="T79" s="40"/>
      <c r="U79" s="206" t="s">
        <v>4787</v>
      </c>
      <c r="V79" s="206"/>
      <c r="W79" s="215" t="s">
        <v>125</v>
      </c>
      <c r="X79" s="59"/>
      <c r="Y79" s="59"/>
      <c r="Z79" s="40"/>
      <c r="AA79" s="40" t="s">
        <v>6</v>
      </c>
      <c r="AB79" s="218"/>
      <c r="AC79" s="59"/>
      <c r="AD79" s="59"/>
      <c r="AE79" s="215" t="s">
        <v>125</v>
      </c>
      <c r="AF79" s="59"/>
      <c r="AG79" s="59"/>
      <c r="AH79" s="40"/>
      <c r="AI79" s="40" t="s">
        <v>6</v>
      </c>
      <c r="AJ79" s="218"/>
      <c r="AK79" s="59"/>
      <c r="AL79" s="59"/>
      <c r="AM79" s="59"/>
      <c r="AN79" s="59"/>
      <c r="AO79" s="59"/>
      <c r="AP79" s="59"/>
      <c r="AQ79" s="59"/>
      <c r="AR79" s="59"/>
      <c r="AS79" s="59"/>
      <c r="AT79" s="59"/>
      <c r="AU79" s="59"/>
      <c r="AV79" s="59"/>
      <c r="AW79" s="12"/>
    </row>
    <row r="80" spans="1:87" s="80" customFormat="1" ht="39.6">
      <c r="A80" s="40">
        <f t="shared" si="4"/>
        <v>74</v>
      </c>
      <c r="B80" s="59"/>
      <c r="C80" s="59"/>
      <c r="D80" s="59"/>
      <c r="E80" s="59"/>
      <c r="F80" s="59"/>
      <c r="G80" s="59"/>
      <c r="H80" s="59"/>
      <c r="I80" s="59"/>
      <c r="J80" s="218" t="s">
        <v>5191</v>
      </c>
      <c r="K80" s="204" t="s">
        <v>117</v>
      </c>
      <c r="L80" s="204" t="s">
        <v>793</v>
      </c>
      <c r="M80" s="204"/>
      <c r="N80" s="40" t="s">
        <v>504</v>
      </c>
      <c r="O80" s="126"/>
      <c r="P80" s="126"/>
      <c r="Q80" s="40" t="s">
        <v>6</v>
      </c>
      <c r="R80" s="40" t="s">
        <v>6</v>
      </c>
      <c r="S80" s="40" t="s">
        <v>6</v>
      </c>
      <c r="T80" s="40"/>
      <c r="U80" s="206" t="s">
        <v>4795</v>
      </c>
      <c r="V80" s="206"/>
      <c r="W80" s="215" t="s">
        <v>125</v>
      </c>
      <c r="X80" s="59"/>
      <c r="Y80" s="59"/>
      <c r="Z80" s="40"/>
      <c r="AA80" s="40" t="s">
        <v>6</v>
      </c>
      <c r="AB80" s="218"/>
      <c r="AC80" s="59"/>
      <c r="AD80" s="59"/>
      <c r="AE80" s="215" t="s">
        <v>125</v>
      </c>
      <c r="AF80" s="59"/>
      <c r="AG80" s="59"/>
      <c r="AH80" s="40"/>
      <c r="AI80" s="40" t="s">
        <v>6</v>
      </c>
      <c r="AJ80" s="218"/>
      <c r="AK80" s="59"/>
      <c r="AL80" s="59"/>
      <c r="AM80" s="59"/>
      <c r="AN80" s="59"/>
      <c r="AO80" s="59"/>
      <c r="AP80" s="59"/>
      <c r="AQ80" s="59"/>
      <c r="AR80" s="59"/>
      <c r="AS80" s="59"/>
      <c r="AT80" s="59"/>
      <c r="AU80" s="59"/>
      <c r="AV80" s="59"/>
      <c r="AW80" s="12"/>
    </row>
    <row r="81" spans="1:51" s="80" customFormat="1" ht="52.8">
      <c r="A81" s="40">
        <f t="shared" si="4"/>
        <v>75</v>
      </c>
      <c r="B81" s="59"/>
      <c r="C81" s="59"/>
      <c r="D81" s="59"/>
      <c r="E81" s="59"/>
      <c r="F81" s="59"/>
      <c r="G81" s="59"/>
      <c r="H81" s="59"/>
      <c r="I81" s="59"/>
      <c r="J81" s="218" t="s">
        <v>5192</v>
      </c>
      <c r="K81" s="232" t="s">
        <v>117</v>
      </c>
      <c r="L81" s="204" t="s">
        <v>729</v>
      </c>
      <c r="M81" s="204"/>
      <c r="N81" s="40" t="s">
        <v>504</v>
      </c>
      <c r="O81" s="126"/>
      <c r="P81" s="126"/>
      <c r="Q81" s="126" t="s">
        <v>6</v>
      </c>
      <c r="R81" s="126" t="s">
        <v>6</v>
      </c>
      <c r="S81" s="126" t="s">
        <v>6</v>
      </c>
      <c r="T81" s="126"/>
      <c r="U81" s="206" t="s">
        <v>1389</v>
      </c>
      <c r="V81" s="206"/>
      <c r="W81" s="232" t="s">
        <v>125</v>
      </c>
      <c r="X81" s="59"/>
      <c r="Y81" s="59"/>
      <c r="Z81" s="126"/>
      <c r="AA81" s="126" t="s">
        <v>6</v>
      </c>
      <c r="AB81" s="15"/>
      <c r="AC81" s="59"/>
      <c r="AD81" s="59"/>
      <c r="AE81" s="232" t="s">
        <v>125</v>
      </c>
      <c r="AF81" s="59"/>
      <c r="AG81" s="59"/>
      <c r="AH81" s="59"/>
      <c r="AI81" s="61" t="s">
        <v>6</v>
      </c>
      <c r="AJ81" s="15"/>
      <c r="AK81" s="59"/>
      <c r="AL81" s="59"/>
      <c r="AM81" s="59"/>
      <c r="AN81" s="59"/>
      <c r="AO81" s="59"/>
      <c r="AP81" s="59"/>
      <c r="AQ81" s="59"/>
      <c r="AR81" s="59"/>
      <c r="AS81" s="59"/>
      <c r="AT81" s="59"/>
      <c r="AU81" s="59"/>
      <c r="AV81" s="59"/>
      <c r="AW81" s="12"/>
    </row>
    <row r="82" spans="1:51" s="80" customFormat="1" ht="39.6">
      <c r="A82" s="40">
        <f t="shared" si="4"/>
        <v>76</v>
      </c>
      <c r="B82" s="59"/>
      <c r="C82" s="59"/>
      <c r="D82" s="59"/>
      <c r="E82" s="59"/>
      <c r="F82" s="59"/>
      <c r="G82" s="59"/>
      <c r="H82" s="59"/>
      <c r="I82" s="59"/>
      <c r="J82" s="218" t="s">
        <v>5193</v>
      </c>
      <c r="K82" s="232" t="s">
        <v>117</v>
      </c>
      <c r="L82" s="204" t="s">
        <v>3933</v>
      </c>
      <c r="M82" s="204"/>
      <c r="N82" s="40" t="s">
        <v>504</v>
      </c>
      <c r="O82" s="126"/>
      <c r="P82" s="126"/>
      <c r="Q82" s="126" t="s">
        <v>6</v>
      </c>
      <c r="R82" s="126" t="s">
        <v>6</v>
      </c>
      <c r="S82" s="126" t="s">
        <v>6</v>
      </c>
      <c r="T82" s="126"/>
      <c r="U82" s="206" t="s">
        <v>4739</v>
      </c>
      <c r="V82" s="206"/>
      <c r="W82" s="232" t="s">
        <v>125</v>
      </c>
      <c r="X82" s="59"/>
      <c r="Y82" s="59"/>
      <c r="Z82" s="126"/>
      <c r="AA82" s="126" t="s">
        <v>6</v>
      </c>
      <c r="AB82" s="15"/>
      <c r="AC82" s="59"/>
      <c r="AD82" s="59"/>
      <c r="AE82" s="232" t="s">
        <v>125</v>
      </c>
      <c r="AF82" s="59"/>
      <c r="AG82" s="59"/>
      <c r="AH82" s="59"/>
      <c r="AI82" s="61" t="s">
        <v>6</v>
      </c>
      <c r="AJ82" s="15"/>
      <c r="AK82" s="59"/>
      <c r="AL82" s="59"/>
      <c r="AM82" s="59"/>
      <c r="AN82" s="59"/>
      <c r="AO82" s="59"/>
      <c r="AP82" s="59"/>
      <c r="AQ82" s="59"/>
      <c r="AR82" s="59"/>
      <c r="AS82" s="59"/>
      <c r="AT82" s="59"/>
      <c r="AU82" s="59"/>
      <c r="AV82" s="59"/>
      <c r="AW82" s="12"/>
    </row>
    <row r="83" spans="1:51" s="80" customFormat="1" ht="39.6">
      <c r="A83" s="40">
        <f t="shared" si="4"/>
        <v>77</v>
      </c>
      <c r="B83" s="59"/>
      <c r="C83" s="59"/>
      <c r="D83" s="59"/>
      <c r="E83" s="59"/>
      <c r="F83" s="59"/>
      <c r="G83" s="59"/>
      <c r="H83" s="59"/>
      <c r="I83" s="59"/>
      <c r="J83" s="218" t="s">
        <v>5194</v>
      </c>
      <c r="K83" s="232" t="s">
        <v>117</v>
      </c>
      <c r="L83" s="204" t="s">
        <v>1391</v>
      </c>
      <c r="M83" s="204"/>
      <c r="N83" s="40" t="s">
        <v>504</v>
      </c>
      <c r="O83" s="126"/>
      <c r="P83" s="126"/>
      <c r="Q83" s="126" t="s">
        <v>6</v>
      </c>
      <c r="R83" s="126" t="s">
        <v>6</v>
      </c>
      <c r="S83" s="126" t="s">
        <v>6</v>
      </c>
      <c r="T83" s="126"/>
      <c r="U83" s="206" t="s">
        <v>4739</v>
      </c>
      <c r="V83" s="206"/>
      <c r="W83" s="232" t="s">
        <v>125</v>
      </c>
      <c r="X83" s="59"/>
      <c r="Y83" s="59"/>
      <c r="Z83" s="126"/>
      <c r="AA83" s="126" t="s">
        <v>6</v>
      </c>
      <c r="AB83" s="15"/>
      <c r="AC83" s="59"/>
      <c r="AD83" s="59"/>
      <c r="AE83" s="232" t="s">
        <v>125</v>
      </c>
      <c r="AF83" s="59"/>
      <c r="AG83" s="59"/>
      <c r="AH83" s="59"/>
      <c r="AI83" s="61" t="s">
        <v>6</v>
      </c>
      <c r="AJ83" s="15"/>
      <c r="AK83" s="59"/>
      <c r="AL83" s="59"/>
      <c r="AM83" s="59"/>
      <c r="AN83" s="59"/>
      <c r="AO83" s="59"/>
      <c r="AP83" s="59"/>
      <c r="AQ83" s="59"/>
      <c r="AR83" s="59"/>
      <c r="AS83" s="59"/>
      <c r="AT83" s="59"/>
      <c r="AU83" s="59"/>
      <c r="AV83" s="59"/>
      <c r="AW83" s="12"/>
    </row>
    <row r="84" spans="1:51" s="80" customFormat="1" ht="39.6">
      <c r="A84" s="40">
        <f t="shared" si="4"/>
        <v>78</v>
      </c>
      <c r="B84" s="59"/>
      <c r="C84" s="59"/>
      <c r="D84" s="59"/>
      <c r="E84" s="59"/>
      <c r="F84" s="59"/>
      <c r="G84" s="59"/>
      <c r="H84" s="59"/>
      <c r="I84" s="59"/>
      <c r="J84" s="218" t="s">
        <v>5195</v>
      </c>
      <c r="K84" s="204" t="s">
        <v>117</v>
      </c>
      <c r="L84" s="204" t="s">
        <v>735</v>
      </c>
      <c r="M84" s="204"/>
      <c r="N84" s="40" t="s">
        <v>504</v>
      </c>
      <c r="O84" s="126"/>
      <c r="P84" s="126"/>
      <c r="Q84" s="40" t="s">
        <v>6</v>
      </c>
      <c r="R84" s="40" t="s">
        <v>6</v>
      </c>
      <c r="S84" s="40" t="s">
        <v>6</v>
      </c>
      <c r="T84" s="40"/>
      <c r="U84" s="206" t="s">
        <v>4739</v>
      </c>
      <c r="V84" s="206"/>
      <c r="W84" s="204" t="s">
        <v>125</v>
      </c>
      <c r="X84" s="59"/>
      <c r="Y84" s="59"/>
      <c r="Z84" s="126"/>
      <c r="AA84" s="40" t="s">
        <v>6</v>
      </c>
      <c r="AB84" s="218"/>
      <c r="AC84" s="59"/>
      <c r="AD84" s="218"/>
      <c r="AE84" s="204" t="s">
        <v>125</v>
      </c>
      <c r="AF84" s="59"/>
      <c r="AG84" s="59"/>
      <c r="AH84" s="59"/>
      <c r="AI84" s="40" t="s">
        <v>6</v>
      </c>
      <c r="AJ84" s="218"/>
      <c r="AK84" s="59"/>
      <c r="AL84" s="218"/>
      <c r="AM84" s="59"/>
      <c r="AN84" s="59"/>
      <c r="AO84" s="59"/>
      <c r="AP84" s="59"/>
      <c r="AQ84" s="59"/>
      <c r="AR84" s="59"/>
      <c r="AS84" s="59"/>
      <c r="AT84" s="59"/>
      <c r="AU84" s="59"/>
      <c r="AV84" s="59"/>
      <c r="AW84" s="12"/>
    </row>
    <row r="85" spans="1:51" s="80" customFormat="1" ht="39.6">
      <c r="A85" s="40">
        <f t="shared" si="4"/>
        <v>79</v>
      </c>
      <c r="B85" s="59"/>
      <c r="C85" s="59"/>
      <c r="D85" s="59"/>
      <c r="E85" s="59"/>
      <c r="F85" s="59"/>
      <c r="G85" s="59"/>
      <c r="H85" s="59"/>
      <c r="I85" s="59"/>
      <c r="J85" s="218" t="s">
        <v>5196</v>
      </c>
      <c r="K85" s="204" t="s">
        <v>117</v>
      </c>
      <c r="L85" s="204" t="s">
        <v>737</v>
      </c>
      <c r="M85" s="204"/>
      <c r="N85" s="40" t="s">
        <v>504</v>
      </c>
      <c r="O85" s="126"/>
      <c r="P85" s="126"/>
      <c r="Q85" s="40" t="s">
        <v>6</v>
      </c>
      <c r="R85" s="40" t="s">
        <v>6</v>
      </c>
      <c r="S85" s="40" t="s">
        <v>6</v>
      </c>
      <c r="T85" s="40"/>
      <c r="U85" s="206" t="s">
        <v>1394</v>
      </c>
      <c r="V85" s="206"/>
      <c r="W85" s="204" t="s">
        <v>125</v>
      </c>
      <c r="X85" s="59"/>
      <c r="Y85" s="59"/>
      <c r="Z85" s="126"/>
      <c r="AA85" s="40" t="s">
        <v>6</v>
      </c>
      <c r="AB85" s="15"/>
      <c r="AC85" s="59"/>
      <c r="AD85" s="59"/>
      <c r="AE85" s="204" t="s">
        <v>125</v>
      </c>
      <c r="AF85" s="59"/>
      <c r="AG85" s="59"/>
      <c r="AH85" s="59"/>
      <c r="AI85" s="40" t="s">
        <v>6</v>
      </c>
      <c r="AJ85" s="15"/>
      <c r="AK85" s="59"/>
      <c r="AL85" s="59"/>
      <c r="AM85" s="59"/>
      <c r="AN85" s="59"/>
      <c r="AO85" s="59"/>
      <c r="AP85" s="59"/>
      <c r="AQ85" s="59"/>
      <c r="AR85" s="59"/>
      <c r="AS85" s="59"/>
      <c r="AT85" s="59"/>
      <c r="AU85" s="59"/>
      <c r="AV85" s="59"/>
      <c r="AW85" s="12"/>
    </row>
    <row r="86" spans="1:51" s="80" customFormat="1" ht="39.6">
      <c r="A86" s="40">
        <f t="shared" si="4"/>
        <v>80</v>
      </c>
      <c r="B86" s="59"/>
      <c r="C86" s="59"/>
      <c r="D86" s="59"/>
      <c r="E86" s="59"/>
      <c r="F86" s="59"/>
      <c r="G86" s="59"/>
      <c r="H86" s="59"/>
      <c r="I86" s="59"/>
      <c r="J86" s="218" t="s">
        <v>5197</v>
      </c>
      <c r="K86" s="232" t="s">
        <v>117</v>
      </c>
      <c r="L86" s="204" t="s">
        <v>3949</v>
      </c>
      <c r="M86" s="204"/>
      <c r="N86" s="40" t="s">
        <v>504</v>
      </c>
      <c r="O86" s="126"/>
      <c r="P86" s="126"/>
      <c r="Q86" s="40" t="s">
        <v>6</v>
      </c>
      <c r="R86" s="40" t="s">
        <v>6</v>
      </c>
      <c r="S86" s="40" t="s">
        <v>6</v>
      </c>
      <c r="T86" s="40"/>
      <c r="U86" s="206" t="s">
        <v>742</v>
      </c>
      <c r="V86" s="206"/>
      <c r="W86" s="232" t="s">
        <v>125</v>
      </c>
      <c r="X86" s="59"/>
      <c r="Y86" s="59"/>
      <c r="Z86" s="126"/>
      <c r="AA86" s="40" t="s">
        <v>6</v>
      </c>
      <c r="AB86" s="15"/>
      <c r="AC86" s="59"/>
      <c r="AD86" s="59"/>
      <c r="AE86" s="232" t="s">
        <v>125</v>
      </c>
      <c r="AF86" s="59"/>
      <c r="AG86" s="59"/>
      <c r="AH86" s="59"/>
      <c r="AI86" s="40" t="s">
        <v>6</v>
      </c>
      <c r="AJ86" s="15"/>
      <c r="AK86" s="59"/>
      <c r="AL86" s="59"/>
      <c r="AM86" s="59"/>
      <c r="AN86" s="59"/>
      <c r="AO86" s="59"/>
      <c r="AP86" s="59"/>
      <c r="AQ86" s="59"/>
      <c r="AR86" s="59"/>
      <c r="AS86" s="59"/>
      <c r="AT86" s="59"/>
      <c r="AU86" s="59"/>
      <c r="AV86" s="59"/>
      <c r="AW86" s="12"/>
    </row>
    <row r="87" spans="1:51" s="12" customFormat="1" ht="26.4">
      <c r="A87" s="40">
        <f t="shared" si="4"/>
        <v>81</v>
      </c>
      <c r="B87" s="38"/>
      <c r="C87" s="42"/>
      <c r="D87" s="38"/>
      <c r="E87" s="46"/>
      <c r="F87" s="46"/>
      <c r="G87" s="46"/>
      <c r="H87" s="13"/>
      <c r="I87" s="40"/>
      <c r="J87" s="310" t="s">
        <v>5198</v>
      </c>
      <c r="K87" s="493" t="s">
        <v>117</v>
      </c>
      <c r="L87" s="361" t="s">
        <v>794</v>
      </c>
      <c r="M87" s="361"/>
      <c r="N87" s="415" t="s">
        <v>504</v>
      </c>
      <c r="O87" s="213"/>
      <c r="P87" s="213"/>
      <c r="Q87" s="415" t="s">
        <v>6</v>
      </c>
      <c r="R87" s="415" t="s">
        <v>6</v>
      </c>
      <c r="S87" s="415" t="s">
        <v>6</v>
      </c>
      <c r="T87" s="415"/>
      <c r="U87" s="481" t="s">
        <v>795</v>
      </c>
      <c r="V87" s="481"/>
      <c r="W87" s="493" t="s">
        <v>125</v>
      </c>
      <c r="X87" s="260"/>
      <c r="Y87" s="260"/>
      <c r="Z87" s="213"/>
      <c r="AA87" s="415" t="s">
        <v>6</v>
      </c>
      <c r="AB87" s="413"/>
      <c r="AC87" s="413"/>
      <c r="AD87" s="413"/>
      <c r="AE87" s="493" t="s">
        <v>125</v>
      </c>
      <c r="AF87" s="260"/>
      <c r="AG87" s="260"/>
      <c r="AH87" s="260"/>
      <c r="AI87" s="415" t="s">
        <v>6</v>
      </c>
      <c r="AJ87" s="413"/>
      <c r="AK87" s="413"/>
      <c r="AL87" s="413"/>
      <c r="AM87" s="45"/>
      <c r="AN87" s="53"/>
      <c r="AO87" s="266"/>
      <c r="AP87" s="266"/>
      <c r="AQ87" s="266"/>
      <c r="AR87" s="266"/>
      <c r="AS87" s="266"/>
      <c r="AT87" s="266"/>
      <c r="AU87" s="266"/>
      <c r="AV87" s="413"/>
    </row>
    <row r="88" spans="1:51" ht="15">
      <c r="A88" s="452">
        <f t="shared" si="0"/>
        <v>82</v>
      </c>
      <c r="B88" s="62"/>
      <c r="C88" s="62"/>
      <c r="D88" s="62"/>
      <c r="E88" s="62"/>
      <c r="F88" s="62"/>
      <c r="G88" s="62"/>
      <c r="H88" s="62"/>
      <c r="I88" s="62"/>
      <c r="J88" s="499" t="s">
        <v>821</v>
      </c>
      <c r="K88" s="63"/>
      <c r="L88" s="143"/>
      <c r="M88" s="63"/>
      <c r="N88" s="139"/>
      <c r="O88" s="139"/>
      <c r="P88" s="139"/>
      <c r="Q88" s="139"/>
      <c r="R88" s="139"/>
      <c r="S88" s="139"/>
      <c r="T88" s="139"/>
      <c r="U88" s="311"/>
      <c r="V88" s="311"/>
      <c r="W88" s="63"/>
      <c r="X88" s="63"/>
      <c r="Y88" s="63"/>
      <c r="Z88" s="139"/>
      <c r="AA88" s="139"/>
      <c r="AB88" s="312"/>
      <c r="AC88" s="63"/>
      <c r="AD88" s="63"/>
      <c r="AE88" s="63"/>
      <c r="AF88" s="63"/>
      <c r="AG88" s="63"/>
      <c r="AH88" s="63"/>
      <c r="AI88" s="63"/>
      <c r="AJ88" s="312"/>
      <c r="AK88" s="63"/>
      <c r="AL88" s="63"/>
      <c r="AM88" s="63"/>
      <c r="AN88" s="63"/>
      <c r="AO88" s="63"/>
      <c r="AP88" s="63"/>
      <c r="AQ88" s="63"/>
      <c r="AR88" s="63"/>
      <c r="AS88" s="63"/>
      <c r="AT88" s="63"/>
      <c r="AU88" s="63"/>
      <c r="AV88" s="63"/>
      <c r="AW88" s="18">
        <f t="shared" ref="AW88:AW145" si="5">LEN(L88)</f>
        <v>0</v>
      </c>
    </row>
    <row r="89" spans="1:51" s="20" customFormat="1" ht="15">
      <c r="A89" s="40">
        <f t="shared" si="0"/>
        <v>83</v>
      </c>
      <c r="B89" s="59"/>
      <c r="C89" s="59"/>
      <c r="D89" s="59"/>
      <c r="E89" s="59"/>
      <c r="F89" s="59"/>
      <c r="G89" s="59"/>
      <c r="H89" s="59"/>
      <c r="I89" s="59"/>
      <c r="J89" s="215" t="s">
        <v>2224</v>
      </c>
      <c r="K89" s="204" t="s">
        <v>163</v>
      </c>
      <c r="L89" s="204" t="s">
        <v>2225</v>
      </c>
      <c r="M89" s="204"/>
      <c r="N89" s="40" t="s">
        <v>829</v>
      </c>
      <c r="O89" s="40"/>
      <c r="P89" s="40"/>
      <c r="Q89" s="40"/>
      <c r="R89" s="40"/>
      <c r="S89" s="40"/>
      <c r="T89" s="404" t="s">
        <v>6</v>
      </c>
      <c r="U89" s="204"/>
      <c r="V89" s="204"/>
      <c r="W89" s="204" t="s">
        <v>163</v>
      </c>
      <c r="X89" s="13"/>
      <c r="Y89" s="13" t="s">
        <v>829</v>
      </c>
      <c r="Z89" s="126"/>
      <c r="AA89" s="126"/>
      <c r="AB89" s="15"/>
      <c r="AC89" s="59"/>
      <c r="AD89" s="59"/>
      <c r="AE89" s="204" t="s">
        <v>163</v>
      </c>
      <c r="AF89" s="13"/>
      <c r="AG89" s="13" t="s">
        <v>829</v>
      </c>
      <c r="AH89" s="59"/>
      <c r="AI89" s="59"/>
      <c r="AJ89" s="15"/>
      <c r="AK89" s="59"/>
      <c r="AL89" s="59"/>
      <c r="AM89" s="59" t="s">
        <v>2088</v>
      </c>
      <c r="AN89" s="59"/>
      <c r="AO89" s="59"/>
      <c r="AP89" s="59"/>
      <c r="AQ89" s="59"/>
      <c r="AR89" s="59"/>
      <c r="AS89" s="59"/>
      <c r="AT89" s="59"/>
      <c r="AU89" s="59"/>
      <c r="AV89" s="59"/>
      <c r="AW89" s="18">
        <f>LEN(L89)</f>
        <v>16</v>
      </c>
    </row>
    <row r="90" spans="1:51" s="20" customFormat="1" ht="15">
      <c r="A90" s="40">
        <f t="shared" si="0"/>
        <v>84</v>
      </c>
      <c r="B90" s="59"/>
      <c r="C90" s="59"/>
      <c r="D90" s="59"/>
      <c r="E90" s="59"/>
      <c r="F90" s="59"/>
      <c r="G90" s="59"/>
      <c r="H90" s="59"/>
      <c r="I90" s="59"/>
      <c r="J90" s="399" t="s">
        <v>2226</v>
      </c>
      <c r="K90" s="204" t="s">
        <v>2227</v>
      </c>
      <c r="L90" s="412" t="s">
        <v>2090</v>
      </c>
      <c r="M90" s="412"/>
      <c r="N90" s="126" t="s">
        <v>1502</v>
      </c>
      <c r="O90" s="40"/>
      <c r="P90" s="40"/>
      <c r="Q90" s="40"/>
      <c r="R90" s="40"/>
      <c r="S90" s="40"/>
      <c r="T90" s="213" t="s">
        <v>6</v>
      </c>
      <c r="U90" s="204"/>
      <c r="V90" s="204"/>
      <c r="W90" s="204" t="s">
        <v>163</v>
      </c>
      <c r="X90" s="13"/>
      <c r="Y90" s="13" t="s">
        <v>829</v>
      </c>
      <c r="Z90" s="126"/>
      <c r="AA90" s="126"/>
      <c r="AB90" s="15"/>
      <c r="AC90" s="59"/>
      <c r="AD90" s="59"/>
      <c r="AE90" s="204" t="s">
        <v>163</v>
      </c>
      <c r="AF90" s="13"/>
      <c r="AG90" s="13" t="s">
        <v>829</v>
      </c>
      <c r="AH90" s="59"/>
      <c r="AI90" s="59"/>
      <c r="AJ90" s="15"/>
      <c r="AK90" s="59"/>
      <c r="AL90" s="59"/>
      <c r="AM90" s="59" t="s">
        <v>2088</v>
      </c>
      <c r="AN90" s="59"/>
      <c r="AO90" s="59"/>
      <c r="AP90" s="59"/>
      <c r="AQ90" s="59"/>
      <c r="AR90" s="59"/>
      <c r="AS90" s="59"/>
      <c r="AT90" s="59"/>
      <c r="AU90" s="59"/>
      <c r="AV90" s="59"/>
      <c r="AW90" s="18">
        <f>LEN(L90)</f>
        <v>29</v>
      </c>
    </row>
    <row r="91" spans="1:51" s="20" customFormat="1" ht="15">
      <c r="A91" s="40">
        <f t="shared" si="0"/>
        <v>85</v>
      </c>
      <c r="B91" s="59"/>
      <c r="C91" s="59"/>
      <c r="D91" s="59"/>
      <c r="E91" s="59"/>
      <c r="F91" s="59"/>
      <c r="G91" s="59"/>
      <c r="H91" s="59"/>
      <c r="I91" s="59"/>
      <c r="J91" s="198" t="s">
        <v>2228</v>
      </c>
      <c r="K91" s="204" t="s">
        <v>2229</v>
      </c>
      <c r="L91" s="412" t="s">
        <v>2092</v>
      </c>
      <c r="M91" s="412"/>
      <c r="N91" s="40" t="s">
        <v>829</v>
      </c>
      <c r="O91" s="40"/>
      <c r="P91" s="40"/>
      <c r="Q91" s="40"/>
      <c r="R91" s="40"/>
      <c r="S91" s="40"/>
      <c r="T91" s="126" t="s">
        <v>6</v>
      </c>
      <c r="U91" s="204"/>
      <c r="V91" s="204"/>
      <c r="W91" s="204" t="s">
        <v>163</v>
      </c>
      <c r="X91" s="13"/>
      <c r="Y91" s="13" t="s">
        <v>829</v>
      </c>
      <c r="Z91" s="126"/>
      <c r="AA91" s="126"/>
      <c r="AB91" s="15"/>
      <c r="AC91" s="59"/>
      <c r="AD91" s="59"/>
      <c r="AE91" s="204" t="s">
        <v>163</v>
      </c>
      <c r="AF91" s="13"/>
      <c r="AG91" s="13" t="s">
        <v>829</v>
      </c>
      <c r="AH91" s="59"/>
      <c r="AI91" s="59"/>
      <c r="AJ91" s="15"/>
      <c r="AK91" s="59"/>
      <c r="AL91" s="59"/>
      <c r="AM91" s="59" t="s">
        <v>2088</v>
      </c>
      <c r="AN91" s="59"/>
      <c r="AO91" s="59"/>
      <c r="AP91" s="59"/>
      <c r="AQ91" s="59"/>
      <c r="AR91" s="59"/>
      <c r="AS91" s="59"/>
      <c r="AT91" s="59"/>
      <c r="AU91" s="59"/>
      <c r="AV91" s="59"/>
      <c r="AW91" s="18">
        <f>LEN(L91)</f>
        <v>27</v>
      </c>
    </row>
    <row r="92" spans="1:51" ht="15">
      <c r="A92" s="452">
        <f t="shared" si="0"/>
        <v>86</v>
      </c>
      <c r="B92" s="62"/>
      <c r="C92" s="62"/>
      <c r="D92" s="62"/>
      <c r="E92" s="62"/>
      <c r="F92" s="62"/>
      <c r="G92" s="62"/>
      <c r="H92" s="62"/>
      <c r="I92" s="62"/>
      <c r="J92" s="499" t="s">
        <v>858</v>
      </c>
      <c r="K92" s="63"/>
      <c r="L92" s="143"/>
      <c r="M92" s="63"/>
      <c r="N92" s="139"/>
      <c r="O92" s="139"/>
      <c r="P92" s="139"/>
      <c r="Q92" s="139"/>
      <c r="R92" s="139"/>
      <c r="S92" s="139"/>
      <c r="T92" s="139"/>
      <c r="U92" s="311"/>
      <c r="V92" s="311"/>
      <c r="W92" s="63"/>
      <c r="X92" s="63"/>
      <c r="Y92" s="63"/>
      <c r="Z92" s="139"/>
      <c r="AA92" s="139"/>
      <c r="AB92" s="312"/>
      <c r="AC92" s="63"/>
      <c r="AD92" s="63"/>
      <c r="AE92" s="63"/>
      <c r="AF92" s="63"/>
      <c r="AG92" s="63"/>
      <c r="AH92" s="63"/>
      <c r="AI92" s="63"/>
      <c r="AJ92" s="312"/>
      <c r="AK92" s="63"/>
      <c r="AL92" s="63"/>
      <c r="AM92" s="63"/>
      <c r="AN92" s="63"/>
      <c r="AO92" s="63"/>
      <c r="AP92" s="63"/>
      <c r="AQ92" s="63"/>
      <c r="AR92" s="63"/>
      <c r="AS92" s="63"/>
      <c r="AT92" s="63"/>
      <c r="AU92" s="63"/>
      <c r="AV92" s="63"/>
      <c r="AW92" s="18">
        <f t="shared" si="5"/>
        <v>0</v>
      </c>
    </row>
    <row r="93" spans="1:51" s="12" customFormat="1" ht="15">
      <c r="A93" s="40">
        <f t="shared" si="0"/>
        <v>87</v>
      </c>
      <c r="B93" s="19"/>
      <c r="C93" s="41"/>
      <c r="D93" s="19"/>
      <c r="E93" s="19"/>
      <c r="F93" s="19"/>
      <c r="G93" s="19"/>
      <c r="H93" s="13"/>
      <c r="I93" s="13"/>
      <c r="J93" s="215" t="s">
        <v>2230</v>
      </c>
      <c r="K93" s="19"/>
      <c r="L93" s="412" t="s">
        <v>2112</v>
      </c>
      <c r="M93" s="412"/>
      <c r="N93" s="40" t="s">
        <v>248</v>
      </c>
      <c r="O93" s="40" t="s">
        <v>861</v>
      </c>
      <c r="P93" s="40"/>
      <c r="Q93" s="40" t="s">
        <v>6</v>
      </c>
      <c r="R93" s="40"/>
      <c r="S93" s="40"/>
      <c r="T93" s="404" t="s">
        <v>6</v>
      </c>
      <c r="U93" s="13"/>
      <c r="V93" s="13"/>
      <c r="W93" s="19"/>
      <c r="X93" s="13" t="s">
        <v>861</v>
      </c>
      <c r="Y93" s="13"/>
      <c r="Z93" s="40"/>
      <c r="AA93" s="416"/>
      <c r="AB93" s="400"/>
      <c r="AC93" s="403"/>
      <c r="AD93" s="403"/>
      <c r="AE93" s="19"/>
      <c r="AF93" s="13" t="s">
        <v>861</v>
      </c>
      <c r="AG93" s="13"/>
      <c r="AH93" s="13"/>
      <c r="AI93" s="402"/>
      <c r="AJ93" s="400"/>
      <c r="AK93" s="403"/>
      <c r="AL93" s="403"/>
      <c r="AM93" s="43"/>
      <c r="AN93" s="19"/>
      <c r="AO93" s="15"/>
      <c r="AP93" s="15"/>
      <c r="AQ93" s="15"/>
      <c r="AR93" s="15"/>
      <c r="AS93" s="15"/>
      <c r="AT93" s="15"/>
      <c r="AU93" s="15"/>
      <c r="AV93" s="15"/>
      <c r="AW93" s="18">
        <f t="shared" si="5"/>
        <v>38</v>
      </c>
      <c r="AX93" s="16"/>
      <c r="AY93" s="17"/>
    </row>
    <row r="94" spans="1:51" s="12" customFormat="1" ht="15">
      <c r="A94" s="40">
        <f>ROW() - 6</f>
        <v>88</v>
      </c>
      <c r="B94" s="19"/>
      <c r="C94" s="41"/>
      <c r="D94" s="19"/>
      <c r="E94" s="19"/>
      <c r="F94" s="19"/>
      <c r="G94" s="19"/>
      <c r="H94" s="13"/>
      <c r="I94" s="13"/>
      <c r="J94" s="215" t="s">
        <v>2231</v>
      </c>
      <c r="K94" s="19"/>
      <c r="L94" s="412" t="s">
        <v>1977</v>
      </c>
      <c r="M94" s="476"/>
      <c r="N94" s="223" t="s">
        <v>459</v>
      </c>
      <c r="O94" s="126" t="s">
        <v>861</v>
      </c>
      <c r="P94" s="40"/>
      <c r="Q94" s="40" t="s">
        <v>6</v>
      </c>
      <c r="R94" s="40"/>
      <c r="S94" s="40"/>
      <c r="T94" s="126" t="s">
        <v>6</v>
      </c>
      <c r="U94" s="13"/>
      <c r="V94" s="13"/>
      <c r="W94" s="19"/>
      <c r="X94" s="13" t="s">
        <v>861</v>
      </c>
      <c r="Y94" s="13"/>
      <c r="Z94" s="40"/>
      <c r="AA94" s="416"/>
      <c r="AB94" s="400"/>
      <c r="AC94" s="403"/>
      <c r="AD94" s="403"/>
      <c r="AE94" s="19"/>
      <c r="AF94" s="13" t="s">
        <v>861</v>
      </c>
      <c r="AG94" s="13"/>
      <c r="AH94" s="13"/>
      <c r="AI94" s="402"/>
      <c r="AJ94" s="400"/>
      <c r="AK94" s="403"/>
      <c r="AL94" s="403"/>
      <c r="AN94" s="19"/>
      <c r="AO94" s="15"/>
      <c r="AP94" s="15"/>
      <c r="AQ94" s="15"/>
      <c r="AR94" s="15"/>
      <c r="AS94" s="15"/>
      <c r="AT94" s="15"/>
      <c r="AU94" s="15"/>
      <c r="AV94" s="15"/>
      <c r="AW94" s="18">
        <f t="shared" si="5"/>
        <v>41</v>
      </c>
      <c r="AX94" s="16"/>
      <c r="AY94" s="17"/>
    </row>
    <row r="95" spans="1:51" s="12" customFormat="1" ht="26.4">
      <c r="A95" s="40">
        <f>ROW() - 6</f>
        <v>89</v>
      </c>
      <c r="B95" s="38"/>
      <c r="C95" s="41"/>
      <c r="D95" s="19"/>
      <c r="E95" s="19"/>
      <c r="F95" s="19"/>
      <c r="G95" s="19"/>
      <c r="H95" s="13"/>
      <c r="I95" s="13"/>
      <c r="J95" s="399" t="s">
        <v>2226</v>
      </c>
      <c r="K95" s="19"/>
      <c r="L95" s="412" t="s">
        <v>2090</v>
      </c>
      <c r="M95" s="412"/>
      <c r="N95" s="40" t="s">
        <v>266</v>
      </c>
      <c r="O95" s="224" t="s">
        <v>1565</v>
      </c>
      <c r="P95" s="40"/>
      <c r="Q95" s="40" t="s">
        <v>6</v>
      </c>
      <c r="R95" s="126"/>
      <c r="S95" s="126"/>
      <c r="T95" s="40" t="s">
        <v>6</v>
      </c>
      <c r="U95" s="202" t="s">
        <v>2113</v>
      </c>
      <c r="V95" s="371"/>
      <c r="W95" s="19"/>
      <c r="X95" s="224" t="s">
        <v>1565</v>
      </c>
      <c r="Y95" s="13"/>
      <c r="Z95" s="40"/>
      <c r="AA95" s="416"/>
      <c r="AB95" s="13"/>
      <c r="AC95" s="40"/>
      <c r="AD95" s="40"/>
      <c r="AE95" s="19"/>
      <c r="AF95" s="224" t="s">
        <v>1565</v>
      </c>
      <c r="AG95" s="13"/>
      <c r="AH95" s="13"/>
      <c r="AI95" s="402"/>
      <c r="AJ95" s="13"/>
      <c r="AK95" s="40"/>
      <c r="AL95" s="40"/>
      <c r="AM95" s="43"/>
      <c r="AN95" s="13"/>
      <c r="AO95" s="15"/>
      <c r="AP95" s="15"/>
      <c r="AQ95" s="15"/>
      <c r="AR95" s="15"/>
      <c r="AS95" s="15"/>
      <c r="AT95" s="15"/>
      <c r="AU95" s="15"/>
      <c r="AV95" s="15"/>
      <c r="AW95" s="18">
        <f t="shared" si="5"/>
        <v>29</v>
      </c>
      <c r="AX95" s="16"/>
      <c r="AY95" s="17"/>
    </row>
    <row r="96" spans="1:51" s="12" customFormat="1" ht="26.4">
      <c r="A96" s="40">
        <f>ROW() - 6</f>
        <v>90</v>
      </c>
      <c r="B96" s="38"/>
      <c r="C96" s="41"/>
      <c r="D96" s="19"/>
      <c r="E96" s="19"/>
      <c r="F96" s="19"/>
      <c r="G96" s="19"/>
      <c r="H96" s="13"/>
      <c r="I96" s="13"/>
      <c r="J96" s="399" t="s">
        <v>2228</v>
      </c>
      <c r="K96" s="19"/>
      <c r="L96" s="412" t="s">
        <v>2092</v>
      </c>
      <c r="M96" s="412"/>
      <c r="N96" s="40" t="s">
        <v>266</v>
      </c>
      <c r="O96" s="224" t="s">
        <v>1565</v>
      </c>
      <c r="P96" s="40"/>
      <c r="Q96" s="40" t="s">
        <v>6</v>
      </c>
      <c r="R96" s="126"/>
      <c r="S96" s="126"/>
      <c r="T96" s="40" t="s">
        <v>6</v>
      </c>
      <c r="U96" s="202" t="s">
        <v>2114</v>
      </c>
      <c r="V96" s="371"/>
      <c r="W96" s="19"/>
      <c r="X96" s="224" t="s">
        <v>1565</v>
      </c>
      <c r="Y96" s="13"/>
      <c r="Z96" s="40"/>
      <c r="AA96" s="416"/>
      <c r="AB96" s="13"/>
      <c r="AC96" s="40"/>
      <c r="AD96" s="40"/>
      <c r="AE96" s="19"/>
      <c r="AF96" s="224" t="s">
        <v>1565</v>
      </c>
      <c r="AG96" s="13"/>
      <c r="AH96" s="13"/>
      <c r="AI96" s="402"/>
      <c r="AJ96" s="13"/>
      <c r="AK96" s="40"/>
      <c r="AL96" s="40"/>
      <c r="AM96" s="43"/>
      <c r="AN96" s="13"/>
      <c r="AO96" s="15"/>
      <c r="AP96" s="15"/>
      <c r="AQ96" s="15"/>
      <c r="AR96" s="15"/>
      <c r="AS96" s="15"/>
      <c r="AT96" s="15"/>
      <c r="AU96" s="15"/>
      <c r="AV96" s="15"/>
      <c r="AW96" s="18">
        <f t="shared" si="5"/>
        <v>27</v>
      </c>
      <c r="AX96" s="16"/>
      <c r="AY96" s="17"/>
    </row>
    <row r="97" spans="1:51" s="12" customFormat="1" ht="15">
      <c r="A97" s="40">
        <f>ROW() - 6</f>
        <v>91</v>
      </c>
      <c r="B97" s="19"/>
      <c r="C97" s="41"/>
      <c r="D97" s="19"/>
      <c r="E97" s="19"/>
      <c r="F97" s="19"/>
      <c r="G97" s="19"/>
      <c r="H97" s="13"/>
      <c r="I97" s="13"/>
      <c r="J97" s="215" t="s">
        <v>2232</v>
      </c>
      <c r="K97" s="19"/>
      <c r="L97" s="412" t="s">
        <v>2119</v>
      </c>
      <c r="M97" s="412"/>
      <c r="N97" s="126" t="s">
        <v>256</v>
      </c>
      <c r="O97" s="126" t="s">
        <v>862</v>
      </c>
      <c r="P97" s="40"/>
      <c r="Q97" s="40" t="s">
        <v>6</v>
      </c>
      <c r="R97" s="40"/>
      <c r="S97" s="40"/>
      <c r="T97" s="126" t="s">
        <v>6</v>
      </c>
      <c r="U97" s="13"/>
      <c r="V97" s="13"/>
      <c r="W97" s="19"/>
      <c r="X97" s="13" t="s">
        <v>861</v>
      </c>
      <c r="Y97" s="13"/>
      <c r="Z97" s="40"/>
      <c r="AA97" s="40"/>
      <c r="AB97" s="13"/>
      <c r="AC97" s="40"/>
      <c r="AD97" s="40"/>
      <c r="AE97" s="19"/>
      <c r="AF97" s="13" t="s">
        <v>861</v>
      </c>
      <c r="AG97" s="13"/>
      <c r="AH97" s="13"/>
      <c r="AI97" s="13"/>
      <c r="AJ97" s="13"/>
      <c r="AK97" s="40"/>
      <c r="AL97" s="40"/>
      <c r="AM97" s="429"/>
      <c r="AN97" s="19"/>
      <c r="AO97" s="15"/>
      <c r="AP97" s="15"/>
      <c r="AQ97" s="15"/>
      <c r="AR97" s="15"/>
      <c r="AS97" s="15"/>
      <c r="AT97" s="15"/>
      <c r="AU97" s="15"/>
      <c r="AV97" s="15"/>
      <c r="AW97" s="18">
        <f t="shared" si="5"/>
        <v>27</v>
      </c>
      <c r="AX97" s="16"/>
      <c r="AY97" s="17"/>
    </row>
    <row r="98" spans="1:51" ht="15">
      <c r="J98" s="314"/>
      <c r="K98" s="80"/>
      <c r="L98" s="314"/>
      <c r="M98" s="314"/>
      <c r="N98" s="140"/>
      <c r="O98" s="140"/>
      <c r="P98" s="140"/>
      <c r="Q98" s="140"/>
      <c r="R98" s="140"/>
      <c r="S98" s="68"/>
      <c r="T98" s="68"/>
      <c r="U98" s="54"/>
      <c r="V98" s="54"/>
      <c r="W98" s="54"/>
      <c r="X98" s="54"/>
      <c r="Y98" s="54"/>
      <c r="Z98" s="68"/>
      <c r="AA98" s="67"/>
      <c r="AB98" s="55"/>
      <c r="AC98" s="55"/>
      <c r="AD98" s="55"/>
      <c r="AE98" s="54"/>
      <c r="AF98" s="54"/>
      <c r="AG98" s="54"/>
      <c r="AH98" s="54"/>
      <c r="AI98" s="55"/>
      <c r="AJ98" s="54"/>
      <c r="AW98" s="18">
        <f t="shared" si="5"/>
        <v>0</v>
      </c>
    </row>
    <row r="99" spans="1:51" ht="15">
      <c r="J99" s="314"/>
      <c r="K99" s="80"/>
      <c r="L99" s="314"/>
      <c r="M99" s="314"/>
      <c r="N99" s="140"/>
      <c r="O99" s="140"/>
      <c r="P99" s="140"/>
      <c r="Q99" s="140"/>
      <c r="R99" s="140"/>
      <c r="S99" s="68"/>
      <c r="T99" s="68"/>
      <c r="U99" s="54"/>
      <c r="V99" s="54"/>
      <c r="W99" s="54"/>
      <c r="X99" s="54"/>
      <c r="Y99" s="54"/>
      <c r="Z99" s="68"/>
      <c r="AA99" s="67"/>
      <c r="AB99" s="55"/>
      <c r="AC99" s="55"/>
      <c r="AD99" s="55"/>
      <c r="AE99" s="54"/>
      <c r="AF99" s="54"/>
      <c r="AG99" s="54"/>
      <c r="AH99" s="54"/>
      <c r="AI99" s="55"/>
      <c r="AJ99" s="54"/>
      <c r="AW99" s="18">
        <f t="shared" si="5"/>
        <v>0</v>
      </c>
    </row>
    <row r="100" spans="1:51" ht="15">
      <c r="J100" s="314"/>
      <c r="K100" s="80"/>
      <c r="L100" s="314"/>
      <c r="M100" s="314"/>
      <c r="N100" s="140"/>
      <c r="O100" s="140"/>
      <c r="P100" s="140"/>
      <c r="Q100" s="140"/>
      <c r="R100" s="140"/>
      <c r="S100" s="68"/>
      <c r="T100" s="68"/>
      <c r="U100" s="54"/>
      <c r="V100" s="54"/>
      <c r="W100" s="54"/>
      <c r="X100" s="54"/>
      <c r="Y100" s="54"/>
      <c r="Z100" s="68"/>
      <c r="AA100" s="67"/>
      <c r="AB100" s="55"/>
      <c r="AC100" s="55"/>
      <c r="AD100" s="55"/>
      <c r="AE100" s="54"/>
      <c r="AF100" s="54"/>
      <c r="AG100" s="54"/>
      <c r="AH100" s="54"/>
      <c r="AI100" s="55"/>
      <c r="AJ100" s="54"/>
      <c r="AW100" s="18">
        <f t="shared" si="5"/>
        <v>0</v>
      </c>
    </row>
    <row r="101" spans="1:51" ht="15">
      <c r="J101" s="314"/>
      <c r="K101" s="80"/>
      <c r="L101" s="314"/>
      <c r="M101" s="314"/>
      <c r="N101" s="140"/>
      <c r="O101" s="140"/>
      <c r="P101" s="140"/>
      <c r="Q101" s="140"/>
      <c r="R101" s="140"/>
      <c r="S101" s="68"/>
      <c r="T101" s="68"/>
      <c r="U101" s="54"/>
      <c r="V101" s="54"/>
      <c r="W101" s="54"/>
      <c r="X101" s="54"/>
      <c r="Y101" s="54"/>
      <c r="Z101" s="68"/>
      <c r="AA101" s="67"/>
      <c r="AB101" s="55"/>
      <c r="AC101" s="55"/>
      <c r="AD101" s="55"/>
      <c r="AE101" s="54"/>
      <c r="AF101" s="54"/>
      <c r="AG101" s="54"/>
      <c r="AH101" s="54"/>
      <c r="AI101" s="55"/>
      <c r="AJ101" s="54"/>
      <c r="AW101" s="18">
        <f t="shared" si="5"/>
        <v>0</v>
      </c>
    </row>
    <row r="102" spans="1:51" ht="15">
      <c r="J102" s="314"/>
      <c r="K102" s="80"/>
      <c r="L102" s="314"/>
      <c r="M102" s="314"/>
      <c r="N102" s="140"/>
      <c r="O102" s="140"/>
      <c r="P102" s="140"/>
      <c r="Q102" s="140"/>
      <c r="R102" s="140"/>
      <c r="S102" s="68"/>
      <c r="T102" s="68"/>
      <c r="U102" s="54"/>
      <c r="V102" s="54"/>
      <c r="W102" s="54"/>
      <c r="X102" s="54"/>
      <c r="Y102" s="54"/>
      <c r="Z102" s="68"/>
      <c r="AA102" s="67"/>
      <c r="AB102" s="55"/>
      <c r="AC102" s="55"/>
      <c r="AD102" s="55"/>
      <c r="AE102" s="54"/>
      <c r="AF102" s="54"/>
      <c r="AG102" s="54"/>
      <c r="AH102" s="54"/>
      <c r="AI102" s="55"/>
      <c r="AJ102" s="54"/>
      <c r="AW102" s="18">
        <f t="shared" si="5"/>
        <v>0</v>
      </c>
    </row>
    <row r="103" spans="1:51" ht="15">
      <c r="J103" s="314"/>
      <c r="K103" s="80"/>
      <c r="L103" s="314"/>
      <c r="M103" s="314"/>
      <c r="N103" s="140"/>
      <c r="O103" s="140"/>
      <c r="P103" s="140"/>
      <c r="Q103" s="140"/>
      <c r="R103" s="140"/>
      <c r="S103" s="68"/>
      <c r="T103" s="68"/>
      <c r="U103" s="54"/>
      <c r="V103" s="54"/>
      <c r="W103" s="54"/>
      <c r="X103" s="54"/>
      <c r="Y103" s="54"/>
      <c r="Z103" s="68"/>
      <c r="AA103" s="67"/>
      <c r="AB103" s="55"/>
      <c r="AC103" s="55"/>
      <c r="AD103" s="55"/>
      <c r="AE103" s="54"/>
      <c r="AF103" s="54"/>
      <c r="AG103" s="54"/>
      <c r="AH103" s="54"/>
      <c r="AI103" s="55"/>
      <c r="AJ103" s="54"/>
      <c r="AW103" s="18">
        <f t="shared" si="5"/>
        <v>0</v>
      </c>
    </row>
    <row r="104" spans="1:51" ht="15">
      <c r="J104" s="314"/>
      <c r="K104" s="80"/>
      <c r="L104" s="314"/>
      <c r="M104" s="314"/>
      <c r="N104" s="140"/>
      <c r="O104" s="140"/>
      <c r="P104" s="140"/>
      <c r="Q104" s="140"/>
      <c r="R104" s="140"/>
      <c r="S104" s="68"/>
      <c r="T104" s="68"/>
      <c r="U104" s="54"/>
      <c r="V104" s="54"/>
      <c r="W104" s="54"/>
      <c r="X104" s="54"/>
      <c r="Y104" s="54"/>
      <c r="Z104" s="68"/>
      <c r="AA104" s="67"/>
      <c r="AB104" s="55"/>
      <c r="AC104" s="55"/>
      <c r="AD104" s="55"/>
      <c r="AE104" s="54"/>
      <c r="AF104" s="54"/>
      <c r="AG104" s="54"/>
      <c r="AH104" s="54"/>
      <c r="AI104" s="55"/>
      <c r="AJ104" s="54"/>
      <c r="AW104" s="18">
        <f t="shared" si="5"/>
        <v>0</v>
      </c>
    </row>
    <row r="105" spans="1:51" ht="15">
      <c r="J105" s="314"/>
      <c r="K105" s="80"/>
      <c r="L105" s="314"/>
      <c r="M105" s="314"/>
      <c r="N105" s="140"/>
      <c r="O105" s="140"/>
      <c r="P105" s="140"/>
      <c r="Q105" s="140"/>
      <c r="R105" s="140"/>
      <c r="S105" s="68"/>
      <c r="T105" s="68"/>
      <c r="U105" s="54"/>
      <c r="V105" s="54"/>
      <c r="W105" s="54"/>
      <c r="X105" s="54"/>
      <c r="Y105" s="54"/>
      <c r="Z105" s="68"/>
      <c r="AA105" s="67"/>
      <c r="AB105" s="55"/>
      <c r="AC105" s="55"/>
      <c r="AD105" s="55"/>
      <c r="AE105" s="54"/>
      <c r="AF105" s="54"/>
      <c r="AG105" s="54"/>
      <c r="AH105" s="54"/>
      <c r="AI105" s="55"/>
      <c r="AJ105" s="54"/>
      <c r="AW105" s="18">
        <f t="shared" si="5"/>
        <v>0</v>
      </c>
    </row>
    <row r="106" spans="1:51" ht="15">
      <c r="J106" s="314"/>
      <c r="K106" s="80"/>
      <c r="L106" s="314"/>
      <c r="M106" s="314"/>
      <c r="N106" s="140"/>
      <c r="O106" s="140"/>
      <c r="P106" s="140"/>
      <c r="Q106" s="140"/>
      <c r="R106" s="140"/>
      <c r="S106" s="68"/>
      <c r="T106" s="68"/>
      <c r="U106" s="54"/>
      <c r="V106" s="54"/>
      <c r="W106" s="54"/>
      <c r="X106" s="54"/>
      <c r="Y106" s="54"/>
      <c r="Z106" s="68"/>
      <c r="AA106" s="67"/>
      <c r="AB106" s="55"/>
      <c r="AC106" s="55"/>
      <c r="AD106" s="55"/>
      <c r="AE106" s="54"/>
      <c r="AF106" s="54"/>
      <c r="AG106" s="54"/>
      <c r="AH106" s="54"/>
      <c r="AI106" s="55"/>
      <c r="AJ106" s="54"/>
      <c r="AW106" s="18">
        <f t="shared" si="5"/>
        <v>0</v>
      </c>
    </row>
    <row r="107" spans="1:51" ht="15">
      <c r="J107" s="314"/>
      <c r="K107" s="80"/>
      <c r="L107" s="314"/>
      <c r="M107" s="314"/>
      <c r="N107" s="140"/>
      <c r="O107" s="140"/>
      <c r="P107" s="140"/>
      <c r="Q107" s="140"/>
      <c r="R107" s="140"/>
      <c r="S107" s="68"/>
      <c r="T107" s="68"/>
      <c r="U107" s="54"/>
      <c r="V107" s="54"/>
      <c r="W107" s="54"/>
      <c r="X107" s="54"/>
      <c r="Y107" s="54"/>
      <c r="Z107" s="68"/>
      <c r="AA107" s="67"/>
      <c r="AB107" s="55"/>
      <c r="AC107" s="55"/>
      <c r="AD107" s="55"/>
      <c r="AE107" s="54"/>
      <c r="AF107" s="54"/>
      <c r="AG107" s="54"/>
      <c r="AH107" s="54"/>
      <c r="AI107" s="55"/>
      <c r="AJ107" s="54"/>
      <c r="AW107" s="18">
        <f t="shared" si="5"/>
        <v>0</v>
      </c>
    </row>
    <row r="108" spans="1:51" ht="15">
      <c r="J108" s="314"/>
      <c r="K108" s="80"/>
      <c r="L108" s="314"/>
      <c r="M108" s="314"/>
      <c r="N108" s="140"/>
      <c r="O108" s="140"/>
      <c r="P108" s="140"/>
      <c r="Q108" s="140"/>
      <c r="R108" s="140"/>
      <c r="S108" s="68"/>
      <c r="T108" s="68"/>
      <c r="U108" s="54"/>
      <c r="V108" s="54"/>
      <c r="W108" s="54"/>
      <c r="X108" s="54"/>
      <c r="Y108" s="54"/>
      <c r="Z108" s="68"/>
      <c r="AA108" s="67"/>
      <c r="AB108" s="55"/>
      <c r="AC108" s="55"/>
      <c r="AD108" s="55"/>
      <c r="AE108" s="54"/>
      <c r="AF108" s="54"/>
      <c r="AG108" s="54"/>
      <c r="AH108" s="54"/>
      <c r="AI108" s="55"/>
      <c r="AJ108" s="54"/>
      <c r="AW108" s="18">
        <f t="shared" si="5"/>
        <v>0</v>
      </c>
    </row>
    <row r="109" spans="1:51" ht="15">
      <c r="J109" s="314"/>
      <c r="K109" s="80"/>
      <c r="L109" s="314"/>
      <c r="M109" s="314"/>
      <c r="N109" s="140"/>
      <c r="O109" s="140"/>
      <c r="P109" s="140"/>
      <c r="Q109" s="140"/>
      <c r="R109" s="140"/>
      <c r="S109" s="68"/>
      <c r="T109" s="68"/>
      <c r="U109" s="54"/>
      <c r="V109" s="54"/>
      <c r="W109" s="54"/>
      <c r="X109" s="54"/>
      <c r="Y109" s="54"/>
      <c r="Z109" s="68"/>
      <c r="AA109" s="67"/>
      <c r="AB109" s="55"/>
      <c r="AC109" s="55"/>
      <c r="AD109" s="55"/>
      <c r="AE109" s="54"/>
      <c r="AF109" s="54"/>
      <c r="AG109" s="54"/>
      <c r="AH109" s="54"/>
      <c r="AI109" s="55"/>
      <c r="AJ109" s="54"/>
      <c r="AW109" s="18">
        <f t="shared" si="5"/>
        <v>0</v>
      </c>
    </row>
    <row r="110" spans="1:51" ht="15">
      <c r="J110" s="314"/>
      <c r="K110" s="80"/>
      <c r="L110" s="314"/>
      <c r="M110" s="314"/>
      <c r="N110" s="140"/>
      <c r="O110" s="140"/>
      <c r="P110" s="140"/>
      <c r="Q110" s="140"/>
      <c r="R110" s="140"/>
      <c r="S110" s="68"/>
      <c r="T110" s="68"/>
      <c r="U110" s="54"/>
      <c r="V110" s="54"/>
      <c r="W110" s="54"/>
      <c r="X110" s="54"/>
      <c r="Y110" s="54"/>
      <c r="Z110" s="68"/>
      <c r="AA110" s="67"/>
      <c r="AB110" s="55"/>
      <c r="AC110" s="55"/>
      <c r="AD110" s="55"/>
      <c r="AE110" s="54"/>
      <c r="AF110" s="54"/>
      <c r="AG110" s="54"/>
      <c r="AH110" s="54"/>
      <c r="AI110" s="55"/>
      <c r="AJ110" s="54"/>
      <c r="AW110" s="18">
        <f t="shared" si="5"/>
        <v>0</v>
      </c>
    </row>
    <row r="111" spans="1:51" ht="15">
      <c r="J111" s="314"/>
      <c r="K111" s="80"/>
      <c r="L111" s="314"/>
      <c r="M111" s="314"/>
      <c r="N111" s="140"/>
      <c r="O111" s="140"/>
      <c r="P111" s="140"/>
      <c r="Q111" s="140"/>
      <c r="R111" s="140"/>
      <c r="S111" s="68"/>
      <c r="T111" s="68"/>
      <c r="U111" s="54"/>
      <c r="V111" s="54"/>
      <c r="W111" s="54"/>
      <c r="X111" s="54"/>
      <c r="Y111" s="54"/>
      <c r="Z111" s="68"/>
      <c r="AA111" s="67"/>
      <c r="AB111" s="55"/>
      <c r="AC111" s="55"/>
      <c r="AD111" s="55"/>
      <c r="AE111" s="54"/>
      <c r="AF111" s="54"/>
      <c r="AG111" s="54"/>
      <c r="AH111" s="54"/>
      <c r="AI111" s="55"/>
      <c r="AJ111" s="54"/>
      <c r="AW111" s="18">
        <f t="shared" si="5"/>
        <v>0</v>
      </c>
    </row>
    <row r="112" spans="1:51" ht="15">
      <c r="J112" s="314"/>
      <c r="K112" s="80"/>
      <c r="L112" s="314"/>
      <c r="M112" s="314"/>
      <c r="N112" s="140"/>
      <c r="O112" s="140"/>
      <c r="P112" s="140"/>
      <c r="Q112" s="140"/>
      <c r="R112" s="140"/>
      <c r="S112" s="68"/>
      <c r="T112" s="68"/>
      <c r="U112" s="54"/>
      <c r="V112" s="54"/>
      <c r="W112" s="54"/>
      <c r="X112" s="54"/>
      <c r="Y112" s="54"/>
      <c r="Z112" s="68"/>
      <c r="AA112" s="67"/>
      <c r="AB112" s="55"/>
      <c r="AC112" s="55"/>
      <c r="AD112" s="55"/>
      <c r="AE112" s="54"/>
      <c r="AF112" s="54"/>
      <c r="AG112" s="54"/>
      <c r="AH112" s="54"/>
      <c r="AI112" s="55"/>
      <c r="AJ112" s="54"/>
      <c r="AW112" s="18">
        <f t="shared" si="5"/>
        <v>0</v>
      </c>
    </row>
    <row r="113" spans="10:49" ht="15">
      <c r="J113" s="314"/>
      <c r="K113" s="80"/>
      <c r="L113" s="314"/>
      <c r="M113" s="314"/>
      <c r="N113" s="140"/>
      <c r="O113" s="140"/>
      <c r="P113" s="140"/>
      <c r="Q113" s="140"/>
      <c r="R113" s="140"/>
      <c r="S113" s="68"/>
      <c r="T113" s="68"/>
      <c r="U113" s="54"/>
      <c r="V113" s="54"/>
      <c r="W113" s="54"/>
      <c r="X113" s="54"/>
      <c r="Y113" s="54"/>
      <c r="Z113" s="68"/>
      <c r="AA113" s="67"/>
      <c r="AB113" s="55"/>
      <c r="AC113" s="55"/>
      <c r="AD113" s="55"/>
      <c r="AE113" s="54"/>
      <c r="AF113" s="54"/>
      <c r="AG113" s="54"/>
      <c r="AH113" s="54"/>
      <c r="AI113" s="55"/>
      <c r="AJ113" s="54"/>
      <c r="AW113" s="18">
        <f t="shared" si="5"/>
        <v>0</v>
      </c>
    </row>
    <row r="114" spans="10:49" ht="15">
      <c r="J114" s="314"/>
      <c r="K114" s="80"/>
      <c r="L114" s="314"/>
      <c r="M114" s="314"/>
      <c r="N114" s="140"/>
      <c r="O114" s="140"/>
      <c r="P114" s="140"/>
      <c r="Q114" s="140"/>
      <c r="R114" s="140"/>
      <c r="S114" s="68"/>
      <c r="T114" s="68"/>
      <c r="U114" s="54"/>
      <c r="V114" s="54"/>
      <c r="W114" s="54"/>
      <c r="X114" s="54"/>
      <c r="Y114" s="54"/>
      <c r="Z114" s="68"/>
      <c r="AA114" s="67"/>
      <c r="AB114" s="55"/>
      <c r="AC114" s="55"/>
      <c r="AD114" s="55"/>
      <c r="AE114" s="54"/>
      <c r="AF114" s="54"/>
      <c r="AG114" s="54"/>
      <c r="AH114" s="54"/>
      <c r="AI114" s="55"/>
      <c r="AJ114" s="54"/>
      <c r="AW114" s="18">
        <f t="shared" si="5"/>
        <v>0</v>
      </c>
    </row>
    <row r="115" spans="10:49" ht="15">
      <c r="J115" s="314"/>
      <c r="K115" s="80"/>
      <c r="L115" s="314"/>
      <c r="M115" s="314"/>
      <c r="N115" s="140"/>
      <c r="O115" s="140"/>
      <c r="P115" s="140"/>
      <c r="Q115" s="140"/>
      <c r="R115" s="140"/>
      <c r="S115" s="68"/>
      <c r="T115" s="68"/>
      <c r="U115" s="54"/>
      <c r="V115" s="54"/>
      <c r="W115" s="54"/>
      <c r="X115" s="54"/>
      <c r="Y115" s="54"/>
      <c r="Z115" s="68"/>
      <c r="AA115" s="67"/>
      <c r="AB115" s="55"/>
      <c r="AC115" s="55"/>
      <c r="AD115" s="55"/>
      <c r="AE115" s="54"/>
      <c r="AF115" s="54"/>
      <c r="AG115" s="54"/>
      <c r="AH115" s="54"/>
      <c r="AI115" s="55"/>
      <c r="AJ115" s="54"/>
      <c r="AW115" s="18">
        <f t="shared" si="5"/>
        <v>0</v>
      </c>
    </row>
    <row r="116" spans="10:49" ht="15">
      <c r="J116" s="314"/>
      <c r="K116" s="80"/>
      <c r="L116" s="314"/>
      <c r="M116" s="314"/>
      <c r="N116" s="140"/>
      <c r="O116" s="140"/>
      <c r="P116" s="140"/>
      <c r="Q116" s="140"/>
      <c r="R116" s="140"/>
      <c r="S116" s="68"/>
      <c r="T116" s="68"/>
      <c r="U116" s="54"/>
      <c r="V116" s="54"/>
      <c r="W116" s="54"/>
      <c r="X116" s="54"/>
      <c r="Y116" s="54"/>
      <c r="Z116" s="68"/>
      <c r="AA116" s="67"/>
      <c r="AB116" s="55"/>
      <c r="AC116" s="55"/>
      <c r="AD116" s="55"/>
      <c r="AE116" s="54"/>
      <c r="AF116" s="54"/>
      <c r="AG116" s="54"/>
      <c r="AH116" s="54"/>
      <c r="AI116" s="55"/>
      <c r="AJ116" s="54"/>
      <c r="AW116" s="18">
        <f t="shared" si="5"/>
        <v>0</v>
      </c>
    </row>
    <row r="117" spans="10:49" ht="15">
      <c r="J117" s="314"/>
      <c r="K117" s="80"/>
      <c r="L117" s="314"/>
      <c r="M117" s="314"/>
      <c r="N117" s="140"/>
      <c r="O117" s="140"/>
      <c r="P117" s="140"/>
      <c r="Q117" s="140"/>
      <c r="R117" s="140"/>
      <c r="S117" s="68"/>
      <c r="T117" s="68"/>
      <c r="U117" s="54"/>
      <c r="V117" s="54"/>
      <c r="W117" s="54"/>
      <c r="X117" s="54"/>
      <c r="Y117" s="54"/>
      <c r="Z117" s="68"/>
      <c r="AA117" s="67"/>
      <c r="AB117" s="55"/>
      <c r="AC117" s="55"/>
      <c r="AD117" s="55"/>
      <c r="AE117" s="54"/>
      <c r="AF117" s="54"/>
      <c r="AG117" s="54"/>
      <c r="AH117" s="54"/>
      <c r="AI117" s="55"/>
      <c r="AJ117" s="54"/>
      <c r="AW117" s="18">
        <f t="shared" si="5"/>
        <v>0</v>
      </c>
    </row>
    <row r="118" spans="10:49" ht="15">
      <c r="J118" s="314"/>
      <c r="K118" s="80"/>
      <c r="L118" s="314"/>
      <c r="M118" s="314"/>
      <c r="N118" s="140"/>
      <c r="O118" s="140"/>
      <c r="P118" s="140"/>
      <c r="Q118" s="140"/>
      <c r="R118" s="140"/>
      <c r="S118" s="68"/>
      <c r="T118" s="68"/>
      <c r="U118" s="54"/>
      <c r="V118" s="54"/>
      <c r="W118" s="54"/>
      <c r="X118" s="54"/>
      <c r="Y118" s="54"/>
      <c r="Z118" s="68"/>
      <c r="AA118" s="67"/>
      <c r="AB118" s="55"/>
      <c r="AC118" s="55"/>
      <c r="AD118" s="55"/>
      <c r="AE118" s="54"/>
      <c r="AF118" s="54"/>
      <c r="AG118" s="54"/>
      <c r="AH118" s="54"/>
      <c r="AI118" s="55"/>
      <c r="AJ118" s="54"/>
      <c r="AW118" s="18">
        <f t="shared" si="5"/>
        <v>0</v>
      </c>
    </row>
    <row r="119" spans="10:49" ht="15">
      <c r="J119" s="314"/>
      <c r="K119" s="80"/>
      <c r="L119" s="314"/>
      <c r="M119" s="314"/>
      <c r="N119" s="140"/>
      <c r="O119" s="140"/>
      <c r="P119" s="140"/>
      <c r="Q119" s="140"/>
      <c r="R119" s="140"/>
      <c r="S119" s="68"/>
      <c r="T119" s="68"/>
      <c r="U119" s="54"/>
      <c r="V119" s="54"/>
      <c r="W119" s="54"/>
      <c r="X119" s="54"/>
      <c r="Y119" s="54"/>
      <c r="Z119" s="68"/>
      <c r="AA119" s="67"/>
      <c r="AB119" s="55"/>
      <c r="AC119" s="55"/>
      <c r="AD119" s="55"/>
      <c r="AE119" s="54"/>
      <c r="AF119" s="54"/>
      <c r="AG119" s="54"/>
      <c r="AH119" s="54"/>
      <c r="AI119" s="55"/>
      <c r="AJ119" s="54"/>
      <c r="AW119" s="18">
        <f t="shared" si="5"/>
        <v>0</v>
      </c>
    </row>
    <row r="120" spans="10:49" ht="15">
      <c r="J120" s="314"/>
      <c r="K120" s="80"/>
      <c r="L120" s="314"/>
      <c r="M120" s="314"/>
      <c r="N120" s="140"/>
      <c r="O120" s="140"/>
      <c r="P120" s="140"/>
      <c r="Q120" s="140"/>
      <c r="R120" s="140"/>
      <c r="S120" s="68"/>
      <c r="T120" s="68"/>
      <c r="U120" s="54"/>
      <c r="V120" s="54"/>
      <c r="W120" s="54"/>
      <c r="X120" s="54"/>
      <c r="Y120" s="54"/>
      <c r="Z120" s="68"/>
      <c r="AA120" s="67"/>
      <c r="AB120" s="55"/>
      <c r="AC120" s="55"/>
      <c r="AD120" s="55"/>
      <c r="AE120" s="54"/>
      <c r="AF120" s="54"/>
      <c r="AG120" s="54"/>
      <c r="AH120" s="54"/>
      <c r="AI120" s="55"/>
      <c r="AJ120" s="54"/>
      <c r="AW120" s="18">
        <f t="shared" si="5"/>
        <v>0</v>
      </c>
    </row>
    <row r="121" spans="10:49" ht="15">
      <c r="J121" s="314"/>
      <c r="K121" s="80"/>
      <c r="L121" s="222"/>
      <c r="M121" s="222"/>
      <c r="N121" s="140"/>
      <c r="O121" s="140"/>
      <c r="P121" s="140"/>
      <c r="Q121" s="140"/>
      <c r="R121" s="140"/>
      <c r="S121" s="68"/>
      <c r="T121" s="68"/>
      <c r="U121" s="54"/>
      <c r="V121" s="54"/>
      <c r="W121" s="54"/>
      <c r="X121" s="54"/>
      <c r="Y121" s="54"/>
      <c r="Z121" s="68"/>
      <c r="AA121" s="67"/>
      <c r="AB121" s="55"/>
      <c r="AC121" s="55"/>
      <c r="AD121" s="55"/>
      <c r="AE121" s="54"/>
      <c r="AF121" s="54"/>
      <c r="AG121" s="54"/>
      <c r="AH121" s="54"/>
      <c r="AI121" s="55"/>
      <c r="AJ121" s="54"/>
      <c r="AW121" s="18">
        <f t="shared" si="5"/>
        <v>0</v>
      </c>
    </row>
    <row r="122" spans="10:49" ht="15">
      <c r="J122" s="314"/>
      <c r="K122" s="80"/>
      <c r="L122" s="222"/>
      <c r="M122" s="222"/>
      <c r="N122" s="140"/>
      <c r="O122" s="140"/>
      <c r="P122" s="140"/>
      <c r="Q122" s="140"/>
      <c r="R122" s="140"/>
      <c r="S122" s="68"/>
      <c r="T122" s="68"/>
      <c r="U122" s="54"/>
      <c r="V122" s="54"/>
      <c r="W122" s="54"/>
      <c r="X122" s="54"/>
      <c r="Y122" s="54"/>
      <c r="Z122" s="68"/>
      <c r="AA122" s="67"/>
      <c r="AB122" s="55"/>
      <c r="AC122" s="55"/>
      <c r="AD122" s="55"/>
      <c r="AE122" s="54"/>
      <c r="AF122" s="54"/>
      <c r="AG122" s="54"/>
      <c r="AH122" s="54"/>
      <c r="AI122" s="55"/>
      <c r="AJ122" s="54"/>
      <c r="AW122" s="18">
        <f t="shared" si="5"/>
        <v>0</v>
      </c>
    </row>
    <row r="123" spans="10:49" ht="15">
      <c r="J123" s="314"/>
      <c r="K123" s="80"/>
      <c r="L123" s="314"/>
      <c r="M123" s="314"/>
      <c r="N123" s="140"/>
      <c r="O123" s="140"/>
      <c r="P123" s="140"/>
      <c r="Q123" s="140"/>
      <c r="R123" s="140"/>
      <c r="S123" s="68"/>
      <c r="T123" s="68"/>
      <c r="U123" s="54"/>
      <c r="V123" s="54"/>
      <c r="W123" s="54"/>
      <c r="X123" s="54"/>
      <c r="Y123" s="54"/>
      <c r="Z123" s="68"/>
      <c r="AA123" s="67"/>
      <c r="AB123" s="55"/>
      <c r="AC123" s="55"/>
      <c r="AD123" s="55"/>
      <c r="AE123" s="54"/>
      <c r="AF123" s="54"/>
      <c r="AG123" s="54"/>
      <c r="AH123" s="54"/>
      <c r="AI123" s="55"/>
      <c r="AJ123" s="54"/>
      <c r="AW123" s="18">
        <f t="shared" si="5"/>
        <v>0</v>
      </c>
    </row>
    <row r="124" spans="10:49" ht="15">
      <c r="J124" s="314"/>
      <c r="K124" s="80"/>
      <c r="L124" s="314"/>
      <c r="M124" s="314"/>
      <c r="N124" s="140"/>
      <c r="O124" s="140"/>
      <c r="P124" s="140"/>
      <c r="Q124" s="140"/>
      <c r="R124" s="140"/>
      <c r="S124" s="68"/>
      <c r="T124" s="68"/>
      <c r="U124" s="54"/>
      <c r="V124" s="54"/>
      <c r="W124" s="54"/>
      <c r="X124" s="54"/>
      <c r="Y124" s="54"/>
      <c r="Z124" s="68"/>
      <c r="AA124" s="67"/>
      <c r="AB124" s="55"/>
      <c r="AC124" s="55"/>
      <c r="AD124" s="55"/>
      <c r="AE124" s="54"/>
      <c r="AF124" s="54"/>
      <c r="AG124" s="54"/>
      <c r="AH124" s="54"/>
      <c r="AI124" s="55"/>
      <c r="AJ124" s="54"/>
      <c r="AW124" s="18">
        <f t="shared" si="5"/>
        <v>0</v>
      </c>
    </row>
    <row r="125" spans="10:49" ht="15">
      <c r="J125" s="314"/>
      <c r="K125" s="80"/>
      <c r="L125" s="314"/>
      <c r="M125" s="314"/>
      <c r="N125" s="140"/>
      <c r="O125" s="140"/>
      <c r="P125" s="140"/>
      <c r="Q125" s="140"/>
      <c r="R125" s="140"/>
      <c r="S125" s="68"/>
      <c r="T125" s="68"/>
      <c r="U125" s="54"/>
      <c r="V125" s="54"/>
      <c r="W125" s="54"/>
      <c r="X125" s="54"/>
      <c r="Y125" s="54"/>
      <c r="Z125" s="68"/>
      <c r="AA125" s="67"/>
      <c r="AB125" s="55"/>
      <c r="AC125" s="55"/>
      <c r="AD125" s="55"/>
      <c r="AE125" s="54"/>
      <c r="AF125" s="54"/>
      <c r="AG125" s="54"/>
      <c r="AH125" s="54"/>
      <c r="AI125" s="55"/>
      <c r="AJ125" s="54"/>
      <c r="AW125" s="18">
        <f t="shared" si="5"/>
        <v>0</v>
      </c>
    </row>
    <row r="126" spans="10:49" ht="15">
      <c r="J126" s="314"/>
      <c r="K126" s="80"/>
      <c r="L126" s="314"/>
      <c r="M126" s="314"/>
      <c r="N126" s="140"/>
      <c r="O126" s="140"/>
      <c r="P126" s="140"/>
      <c r="Q126" s="140"/>
      <c r="R126" s="140"/>
      <c r="S126" s="68"/>
      <c r="T126" s="68"/>
      <c r="U126" s="54"/>
      <c r="V126" s="54"/>
      <c r="W126" s="54"/>
      <c r="X126" s="54"/>
      <c r="Y126" s="54"/>
      <c r="Z126" s="68"/>
      <c r="AA126" s="67"/>
      <c r="AB126" s="55"/>
      <c r="AC126" s="55"/>
      <c r="AD126" s="55"/>
      <c r="AE126" s="54"/>
      <c r="AF126" s="54"/>
      <c r="AG126" s="54"/>
      <c r="AH126" s="54"/>
      <c r="AI126" s="55"/>
      <c r="AJ126" s="54"/>
      <c r="AW126" s="18">
        <f t="shared" si="5"/>
        <v>0</v>
      </c>
    </row>
    <row r="127" spans="10:49" ht="15">
      <c r="J127" s="314"/>
      <c r="K127" s="80"/>
      <c r="L127" s="314"/>
      <c r="M127" s="314"/>
      <c r="N127" s="140"/>
      <c r="O127" s="140"/>
      <c r="P127" s="140"/>
      <c r="Q127" s="140"/>
      <c r="R127" s="140"/>
      <c r="S127" s="68"/>
      <c r="T127" s="68"/>
      <c r="U127" s="54"/>
      <c r="V127" s="54"/>
      <c r="W127" s="54"/>
      <c r="X127" s="54"/>
      <c r="Y127" s="54"/>
      <c r="Z127" s="68"/>
      <c r="AA127" s="67"/>
      <c r="AB127" s="55"/>
      <c r="AC127" s="55"/>
      <c r="AD127" s="55"/>
      <c r="AE127" s="54"/>
      <c r="AF127" s="54"/>
      <c r="AG127" s="54"/>
      <c r="AH127" s="54"/>
      <c r="AI127" s="55"/>
      <c r="AJ127" s="54"/>
      <c r="AW127" s="18">
        <f t="shared" si="5"/>
        <v>0</v>
      </c>
    </row>
    <row r="128" spans="10:49" ht="15">
      <c r="J128" s="314"/>
      <c r="K128" s="80"/>
      <c r="L128" s="314"/>
      <c r="M128" s="314"/>
      <c r="N128" s="140"/>
      <c r="O128" s="140"/>
      <c r="P128" s="140"/>
      <c r="Q128" s="140"/>
      <c r="R128" s="140"/>
      <c r="S128" s="68"/>
      <c r="T128" s="68"/>
      <c r="U128" s="54"/>
      <c r="V128" s="54"/>
      <c r="W128" s="54"/>
      <c r="X128" s="54"/>
      <c r="Y128" s="54"/>
      <c r="Z128" s="68"/>
      <c r="AA128" s="67"/>
      <c r="AB128" s="55"/>
      <c r="AC128" s="55"/>
      <c r="AD128" s="55"/>
      <c r="AE128" s="54"/>
      <c r="AF128" s="54"/>
      <c r="AG128" s="54"/>
      <c r="AH128" s="54"/>
      <c r="AI128" s="55"/>
      <c r="AJ128" s="54"/>
      <c r="AW128" s="18">
        <f t="shared" si="5"/>
        <v>0</v>
      </c>
    </row>
    <row r="129" spans="10:49" ht="15">
      <c r="J129" s="314"/>
      <c r="K129" s="80"/>
      <c r="L129" s="314"/>
      <c r="M129" s="314"/>
      <c r="N129" s="140"/>
      <c r="O129" s="140"/>
      <c r="P129" s="140"/>
      <c r="Q129" s="140"/>
      <c r="R129" s="140"/>
      <c r="S129" s="68"/>
      <c r="T129" s="68"/>
      <c r="U129" s="54"/>
      <c r="V129" s="54"/>
      <c r="W129" s="54"/>
      <c r="X129" s="54"/>
      <c r="Y129" s="54"/>
      <c r="Z129" s="68"/>
      <c r="AA129" s="67"/>
      <c r="AB129" s="55"/>
      <c r="AC129" s="55"/>
      <c r="AD129" s="55"/>
      <c r="AE129" s="54"/>
      <c r="AF129" s="54"/>
      <c r="AG129" s="54"/>
      <c r="AH129" s="54"/>
      <c r="AI129" s="55"/>
      <c r="AJ129" s="54"/>
      <c r="AW129" s="18">
        <f t="shared" si="5"/>
        <v>0</v>
      </c>
    </row>
    <row r="130" spans="10:49" ht="15">
      <c r="J130" s="314"/>
      <c r="K130" s="80"/>
      <c r="L130" s="314"/>
      <c r="M130" s="314"/>
      <c r="N130" s="140"/>
      <c r="O130" s="140"/>
      <c r="P130" s="140"/>
      <c r="Q130" s="140"/>
      <c r="R130" s="140"/>
      <c r="S130" s="68"/>
      <c r="T130" s="68"/>
      <c r="U130" s="54"/>
      <c r="V130" s="54"/>
      <c r="W130" s="54"/>
      <c r="X130" s="54"/>
      <c r="Y130" s="54"/>
      <c r="Z130" s="68"/>
      <c r="AA130" s="67"/>
      <c r="AB130" s="55"/>
      <c r="AC130" s="55"/>
      <c r="AD130" s="55"/>
      <c r="AE130" s="54"/>
      <c r="AF130" s="54"/>
      <c r="AG130" s="54"/>
      <c r="AH130" s="54"/>
      <c r="AI130" s="55"/>
      <c r="AJ130" s="54"/>
      <c r="AW130" s="18">
        <f t="shared" si="5"/>
        <v>0</v>
      </c>
    </row>
    <row r="131" spans="10:49" ht="15">
      <c r="J131" s="314"/>
      <c r="K131" s="80"/>
      <c r="L131" s="314"/>
      <c r="M131" s="314"/>
      <c r="N131" s="140"/>
      <c r="O131" s="140"/>
      <c r="P131" s="140"/>
      <c r="Q131" s="140"/>
      <c r="R131" s="140"/>
      <c r="S131" s="68"/>
      <c r="T131" s="68"/>
      <c r="U131" s="54"/>
      <c r="V131" s="54"/>
      <c r="W131" s="54"/>
      <c r="X131" s="54"/>
      <c r="Y131" s="54"/>
      <c r="Z131" s="68"/>
      <c r="AA131" s="67"/>
      <c r="AB131" s="55"/>
      <c r="AC131" s="55"/>
      <c r="AD131" s="55"/>
      <c r="AE131" s="54"/>
      <c r="AF131" s="54"/>
      <c r="AG131" s="54"/>
      <c r="AH131" s="54"/>
      <c r="AI131" s="55"/>
      <c r="AJ131" s="54"/>
      <c r="AW131" s="18">
        <f t="shared" si="5"/>
        <v>0</v>
      </c>
    </row>
    <row r="132" spans="10:49" ht="15">
      <c r="J132" s="314"/>
      <c r="K132" s="80"/>
      <c r="L132" s="314"/>
      <c r="M132" s="314"/>
      <c r="N132" s="140"/>
      <c r="O132" s="140"/>
      <c r="P132" s="140"/>
      <c r="Q132" s="140"/>
      <c r="R132" s="140"/>
      <c r="S132" s="68"/>
      <c r="T132" s="68"/>
      <c r="U132" s="54"/>
      <c r="V132" s="54"/>
      <c r="W132" s="54"/>
      <c r="X132" s="54"/>
      <c r="Y132" s="54"/>
      <c r="Z132" s="68"/>
      <c r="AA132" s="67"/>
      <c r="AB132" s="55"/>
      <c r="AC132" s="55"/>
      <c r="AD132" s="55"/>
      <c r="AE132" s="54"/>
      <c r="AF132" s="54"/>
      <c r="AG132" s="54"/>
      <c r="AH132" s="54"/>
      <c r="AI132" s="55"/>
      <c r="AJ132" s="54"/>
      <c r="AW132" s="18">
        <f t="shared" si="5"/>
        <v>0</v>
      </c>
    </row>
    <row r="133" spans="10:49" ht="15">
      <c r="J133" s="314"/>
      <c r="K133" s="80"/>
      <c r="L133" s="314"/>
      <c r="M133" s="314"/>
      <c r="N133" s="140"/>
      <c r="O133" s="140"/>
      <c r="P133" s="140"/>
      <c r="Q133" s="140"/>
      <c r="R133" s="140"/>
      <c r="S133" s="68"/>
      <c r="T133" s="68"/>
      <c r="U133" s="54"/>
      <c r="V133" s="54"/>
      <c r="W133" s="54"/>
      <c r="X133" s="54"/>
      <c r="Y133" s="54"/>
      <c r="Z133" s="68"/>
      <c r="AA133" s="67"/>
      <c r="AB133" s="55"/>
      <c r="AC133" s="55"/>
      <c r="AD133" s="55"/>
      <c r="AE133" s="54"/>
      <c r="AF133" s="54"/>
      <c r="AG133" s="54"/>
      <c r="AH133" s="54"/>
      <c r="AI133" s="55"/>
      <c r="AJ133" s="54"/>
      <c r="AW133" s="18">
        <f t="shared" si="5"/>
        <v>0</v>
      </c>
    </row>
    <row r="134" spans="10:49" ht="15">
      <c r="J134" s="398"/>
      <c r="K134" s="54"/>
      <c r="L134" s="518"/>
      <c r="M134" s="518"/>
      <c r="N134" s="68"/>
      <c r="O134" s="68"/>
      <c r="P134" s="68"/>
      <c r="Q134" s="68"/>
      <c r="R134" s="68"/>
      <c r="S134" s="68"/>
      <c r="T134" s="68"/>
      <c r="U134" s="54"/>
      <c r="V134" s="54"/>
      <c r="W134" s="54"/>
      <c r="X134" s="54"/>
      <c r="Y134" s="54"/>
      <c r="Z134" s="68"/>
      <c r="AA134" s="67"/>
      <c r="AB134" s="55"/>
      <c r="AC134" s="55"/>
      <c r="AD134" s="55"/>
      <c r="AE134" s="54"/>
      <c r="AF134" s="54"/>
      <c r="AG134" s="54"/>
      <c r="AH134" s="54"/>
      <c r="AI134" s="55"/>
      <c r="AJ134" s="54"/>
      <c r="AW134" s="18">
        <f t="shared" si="5"/>
        <v>0</v>
      </c>
    </row>
    <row r="135" spans="10:49" ht="15">
      <c r="J135" s="398"/>
      <c r="K135" s="54"/>
      <c r="L135" s="518"/>
      <c r="M135" s="518"/>
      <c r="N135" s="68"/>
      <c r="O135" s="68"/>
      <c r="P135" s="68"/>
      <c r="Q135" s="68"/>
      <c r="R135" s="68"/>
      <c r="S135" s="68"/>
      <c r="T135" s="68"/>
      <c r="U135" s="54"/>
      <c r="V135" s="54"/>
      <c r="W135" s="54"/>
      <c r="X135" s="54"/>
      <c r="Y135" s="54"/>
      <c r="Z135" s="68"/>
      <c r="AA135" s="67"/>
      <c r="AB135" s="55"/>
      <c r="AC135" s="55"/>
      <c r="AD135" s="55"/>
      <c r="AE135" s="54"/>
      <c r="AF135" s="54"/>
      <c r="AG135" s="54"/>
      <c r="AH135" s="54"/>
      <c r="AI135" s="55"/>
      <c r="AJ135" s="54"/>
      <c r="AW135" s="18">
        <f t="shared" si="5"/>
        <v>0</v>
      </c>
    </row>
    <row r="136" spans="10:49" ht="15">
      <c r="J136" s="398"/>
      <c r="K136" s="54"/>
      <c r="L136" s="518"/>
      <c r="M136" s="518"/>
      <c r="N136" s="68"/>
      <c r="O136" s="68"/>
      <c r="P136" s="68"/>
      <c r="Q136" s="68"/>
      <c r="R136" s="68"/>
      <c r="S136" s="68"/>
      <c r="T136" s="68"/>
      <c r="U136" s="54"/>
      <c r="V136" s="54"/>
      <c r="W136" s="54"/>
      <c r="X136" s="54"/>
      <c r="Y136" s="54"/>
      <c r="Z136" s="68"/>
      <c r="AA136" s="67"/>
      <c r="AB136" s="55"/>
      <c r="AC136" s="55"/>
      <c r="AD136" s="55"/>
      <c r="AE136" s="54"/>
      <c r="AF136" s="54"/>
      <c r="AG136" s="54"/>
      <c r="AH136" s="54"/>
      <c r="AI136" s="55"/>
      <c r="AJ136" s="54"/>
      <c r="AW136" s="18">
        <f t="shared" si="5"/>
        <v>0</v>
      </c>
    </row>
    <row r="137" spans="10:49" ht="15">
      <c r="J137" s="398"/>
      <c r="K137" s="54"/>
      <c r="L137" s="518"/>
      <c r="M137" s="518"/>
      <c r="N137" s="68"/>
      <c r="O137" s="68"/>
      <c r="P137" s="68"/>
      <c r="Q137" s="68"/>
      <c r="R137" s="68"/>
      <c r="S137" s="68"/>
      <c r="T137" s="68"/>
      <c r="U137" s="54"/>
      <c r="V137" s="54"/>
      <c r="W137" s="54"/>
      <c r="X137" s="54"/>
      <c r="Y137" s="54"/>
      <c r="Z137" s="68"/>
      <c r="AA137" s="67"/>
      <c r="AB137" s="55"/>
      <c r="AC137" s="55"/>
      <c r="AD137" s="55"/>
      <c r="AE137" s="54"/>
      <c r="AF137" s="54"/>
      <c r="AG137" s="54"/>
      <c r="AH137" s="54"/>
      <c r="AI137" s="55"/>
      <c r="AJ137" s="54"/>
      <c r="AW137" s="18">
        <f t="shared" si="5"/>
        <v>0</v>
      </c>
    </row>
    <row r="138" spans="10:49" ht="15">
      <c r="J138" s="398"/>
      <c r="K138" s="54"/>
      <c r="L138" s="518"/>
      <c r="M138" s="518"/>
      <c r="N138" s="68"/>
      <c r="O138" s="68"/>
      <c r="P138" s="68"/>
      <c r="Q138" s="68"/>
      <c r="R138" s="68"/>
      <c r="S138" s="68"/>
      <c r="T138" s="68"/>
      <c r="U138" s="54"/>
      <c r="V138" s="54"/>
      <c r="W138" s="54"/>
      <c r="X138" s="54"/>
      <c r="Y138" s="54"/>
      <c r="Z138" s="68"/>
      <c r="AA138" s="67"/>
      <c r="AB138" s="55"/>
      <c r="AC138" s="55"/>
      <c r="AD138" s="55"/>
      <c r="AE138" s="54"/>
      <c r="AF138" s="54"/>
      <c r="AG138" s="54"/>
      <c r="AH138" s="54"/>
      <c r="AI138" s="55"/>
      <c r="AJ138" s="54"/>
      <c r="AW138" s="18">
        <f t="shared" si="5"/>
        <v>0</v>
      </c>
    </row>
    <row r="139" spans="10:49" ht="15">
      <c r="J139" s="398"/>
      <c r="K139" s="54"/>
      <c r="L139" s="518"/>
      <c r="M139" s="518"/>
      <c r="N139" s="68"/>
      <c r="O139" s="68"/>
      <c r="P139" s="68"/>
      <c r="Q139" s="68"/>
      <c r="R139" s="68"/>
      <c r="S139" s="68"/>
      <c r="T139" s="68"/>
      <c r="U139" s="54"/>
      <c r="V139" s="54"/>
      <c r="W139" s="54"/>
      <c r="X139" s="54"/>
      <c r="Y139" s="54"/>
      <c r="Z139" s="68"/>
      <c r="AA139" s="67"/>
      <c r="AB139" s="55"/>
      <c r="AC139" s="55"/>
      <c r="AD139" s="55"/>
      <c r="AE139" s="54"/>
      <c r="AF139" s="54"/>
      <c r="AG139" s="54"/>
      <c r="AH139" s="54"/>
      <c r="AI139" s="55"/>
      <c r="AJ139" s="54"/>
      <c r="AW139" s="18">
        <f t="shared" si="5"/>
        <v>0</v>
      </c>
    </row>
    <row r="140" spans="10:49" ht="15">
      <c r="J140" s="398"/>
      <c r="K140" s="54"/>
      <c r="L140" s="518"/>
      <c r="M140" s="518"/>
      <c r="N140" s="68"/>
      <c r="O140" s="68"/>
      <c r="P140" s="68"/>
      <c r="Q140" s="68"/>
      <c r="R140" s="68"/>
      <c r="S140" s="68"/>
      <c r="T140" s="68"/>
      <c r="U140" s="54"/>
      <c r="V140" s="54"/>
      <c r="W140" s="54"/>
      <c r="X140" s="54"/>
      <c r="Y140" s="54"/>
      <c r="Z140" s="68"/>
      <c r="AA140" s="67"/>
      <c r="AB140" s="55"/>
      <c r="AC140" s="55"/>
      <c r="AD140" s="55"/>
      <c r="AE140" s="54"/>
      <c r="AF140" s="54"/>
      <c r="AG140" s="54"/>
      <c r="AH140" s="54"/>
      <c r="AI140" s="55"/>
      <c r="AJ140" s="54"/>
      <c r="AW140" s="18">
        <f t="shared" si="5"/>
        <v>0</v>
      </c>
    </row>
    <row r="141" spans="10:49" ht="15">
      <c r="J141" s="398"/>
      <c r="K141" s="54"/>
      <c r="L141" s="518"/>
      <c r="M141" s="518"/>
      <c r="N141" s="68"/>
      <c r="O141" s="68"/>
      <c r="P141" s="68"/>
      <c r="Q141" s="68"/>
      <c r="R141" s="68"/>
      <c r="S141" s="68"/>
      <c r="T141" s="68"/>
      <c r="U141" s="54"/>
      <c r="V141" s="54"/>
      <c r="W141" s="54"/>
      <c r="X141" s="54"/>
      <c r="Y141" s="54"/>
      <c r="Z141" s="68"/>
      <c r="AA141" s="67"/>
      <c r="AB141" s="55"/>
      <c r="AC141" s="55"/>
      <c r="AD141" s="55"/>
      <c r="AE141" s="54"/>
      <c r="AF141" s="54"/>
      <c r="AG141" s="54"/>
      <c r="AH141" s="54"/>
      <c r="AI141" s="55"/>
      <c r="AJ141" s="54"/>
      <c r="AW141" s="18">
        <f t="shared" si="5"/>
        <v>0</v>
      </c>
    </row>
    <row r="142" spans="10:49" ht="15">
      <c r="J142" s="398"/>
      <c r="K142" s="54"/>
      <c r="L142" s="518"/>
      <c r="M142" s="518"/>
      <c r="N142" s="68"/>
      <c r="O142" s="68"/>
      <c r="P142" s="68"/>
      <c r="Q142" s="68"/>
      <c r="R142" s="68"/>
      <c r="S142" s="68"/>
      <c r="T142" s="68"/>
      <c r="U142" s="54"/>
      <c r="V142" s="54"/>
      <c r="W142" s="54"/>
      <c r="X142" s="54"/>
      <c r="Y142" s="54"/>
      <c r="Z142" s="68"/>
      <c r="AA142" s="67"/>
      <c r="AB142" s="55"/>
      <c r="AC142" s="55"/>
      <c r="AD142" s="55"/>
      <c r="AE142" s="54"/>
      <c r="AF142" s="54"/>
      <c r="AG142" s="54"/>
      <c r="AH142" s="54"/>
      <c r="AI142" s="55"/>
      <c r="AJ142" s="54"/>
      <c r="AW142" s="18">
        <f t="shared" si="5"/>
        <v>0</v>
      </c>
    </row>
    <row r="143" spans="10:49" ht="15">
      <c r="J143" s="398"/>
      <c r="K143" s="54"/>
      <c r="L143" s="518"/>
      <c r="M143" s="518"/>
      <c r="N143" s="68"/>
      <c r="O143" s="68"/>
      <c r="P143" s="68"/>
      <c r="Q143" s="68"/>
      <c r="R143" s="68"/>
      <c r="S143" s="68"/>
      <c r="T143" s="68"/>
      <c r="U143" s="54"/>
      <c r="V143" s="54"/>
      <c r="W143" s="54"/>
      <c r="X143" s="54"/>
      <c r="Y143" s="54"/>
      <c r="Z143" s="68"/>
      <c r="AA143" s="67"/>
      <c r="AB143" s="55"/>
      <c r="AC143" s="55"/>
      <c r="AD143" s="55"/>
      <c r="AE143" s="54"/>
      <c r="AF143" s="54"/>
      <c r="AG143" s="54"/>
      <c r="AH143" s="54"/>
      <c r="AI143" s="55"/>
      <c r="AJ143" s="54"/>
      <c r="AW143" s="18">
        <f t="shared" si="5"/>
        <v>0</v>
      </c>
    </row>
    <row r="144" spans="10:49" ht="15">
      <c r="J144" s="398"/>
      <c r="K144" s="54"/>
      <c r="L144" s="518"/>
      <c r="M144" s="518"/>
      <c r="N144" s="68"/>
      <c r="O144" s="68"/>
      <c r="P144" s="68"/>
      <c r="Q144" s="68"/>
      <c r="R144" s="68"/>
      <c r="S144" s="68"/>
      <c r="T144" s="68"/>
      <c r="U144" s="54"/>
      <c r="V144" s="54"/>
      <c r="W144" s="54"/>
      <c r="X144" s="54"/>
      <c r="Y144" s="54"/>
      <c r="Z144" s="68"/>
      <c r="AA144" s="67"/>
      <c r="AB144" s="55"/>
      <c r="AC144" s="55"/>
      <c r="AD144" s="55"/>
      <c r="AE144" s="54"/>
      <c r="AF144" s="54"/>
      <c r="AG144" s="54"/>
      <c r="AH144" s="54"/>
      <c r="AI144" s="55"/>
      <c r="AJ144" s="54"/>
      <c r="AW144" s="18">
        <f t="shared" si="5"/>
        <v>0</v>
      </c>
    </row>
    <row r="145" spans="10:49" ht="15">
      <c r="J145" s="398"/>
      <c r="K145" s="54"/>
      <c r="L145" s="56"/>
      <c r="M145" s="56"/>
      <c r="N145" s="68"/>
      <c r="O145" s="68"/>
      <c r="P145" s="68"/>
      <c r="Q145" s="68"/>
      <c r="R145" s="68"/>
      <c r="S145" s="68"/>
      <c r="T145" s="68"/>
      <c r="U145" s="54"/>
      <c r="V145" s="54"/>
      <c r="W145" s="54"/>
      <c r="X145" s="54"/>
      <c r="Y145" s="54"/>
      <c r="Z145" s="68"/>
      <c r="AA145" s="67"/>
      <c r="AB145" s="55"/>
      <c r="AC145" s="55"/>
      <c r="AD145" s="55"/>
      <c r="AE145" s="54"/>
      <c r="AF145" s="54"/>
      <c r="AG145" s="54"/>
      <c r="AH145" s="54"/>
      <c r="AI145" s="55"/>
      <c r="AJ145" s="54"/>
      <c r="AW145" s="18">
        <f t="shared" si="5"/>
        <v>0</v>
      </c>
    </row>
    <row r="146" spans="10:49" ht="15">
      <c r="J146" s="398"/>
      <c r="K146" s="54"/>
      <c r="L146" s="56"/>
      <c r="M146" s="56"/>
      <c r="N146" s="68"/>
      <c r="O146" s="68"/>
      <c r="P146" s="68"/>
      <c r="Q146" s="68"/>
      <c r="R146" s="68"/>
      <c r="S146" s="68"/>
      <c r="T146" s="68"/>
      <c r="U146" s="54"/>
      <c r="V146" s="54"/>
      <c r="W146" s="54"/>
      <c r="X146" s="54"/>
      <c r="Y146" s="54"/>
      <c r="Z146" s="68"/>
      <c r="AA146" s="67"/>
      <c r="AB146" s="55"/>
      <c r="AC146" s="55"/>
      <c r="AD146" s="55"/>
      <c r="AE146" s="54"/>
      <c r="AF146" s="54"/>
      <c r="AG146" s="54"/>
      <c r="AH146" s="54"/>
      <c r="AI146" s="55"/>
      <c r="AJ146" s="54"/>
      <c r="AW146" s="18">
        <f t="shared" ref="AW146:AW209" si="6">LEN(L146)</f>
        <v>0</v>
      </c>
    </row>
    <row r="147" spans="10:49" ht="15">
      <c r="J147" s="398"/>
      <c r="K147" s="54"/>
      <c r="L147" s="518"/>
      <c r="M147" s="518"/>
      <c r="N147" s="68"/>
      <c r="O147" s="68"/>
      <c r="P147" s="68"/>
      <c r="Q147" s="68"/>
      <c r="R147" s="68"/>
      <c r="S147" s="68"/>
      <c r="T147" s="68"/>
      <c r="U147" s="54"/>
      <c r="V147" s="54"/>
      <c r="W147" s="54"/>
      <c r="X147" s="54"/>
      <c r="Y147" s="54"/>
      <c r="Z147" s="68"/>
      <c r="AA147" s="67"/>
      <c r="AB147" s="55"/>
      <c r="AC147" s="55"/>
      <c r="AD147" s="55"/>
      <c r="AE147" s="54"/>
      <c r="AF147" s="54"/>
      <c r="AG147" s="54"/>
      <c r="AH147" s="54"/>
      <c r="AI147" s="55"/>
      <c r="AJ147" s="54"/>
      <c r="AW147" s="18">
        <f t="shared" si="6"/>
        <v>0</v>
      </c>
    </row>
    <row r="148" spans="10:49" ht="15">
      <c r="J148" s="687"/>
      <c r="K148" s="54"/>
      <c r="L148" s="687"/>
      <c r="M148" s="518"/>
      <c r="N148" s="68"/>
      <c r="O148" s="68"/>
      <c r="P148" s="68"/>
      <c r="Q148" s="68"/>
      <c r="R148" s="68"/>
      <c r="S148" s="68"/>
      <c r="T148" s="68"/>
      <c r="U148" s="54"/>
      <c r="V148" s="54"/>
      <c r="W148" s="54"/>
      <c r="X148" s="54"/>
      <c r="Y148" s="54"/>
      <c r="Z148" s="68"/>
      <c r="AA148" s="68"/>
      <c r="AB148" s="54"/>
      <c r="AC148" s="54"/>
      <c r="AD148" s="54"/>
      <c r="AE148" s="54"/>
      <c r="AF148" s="54"/>
      <c r="AG148" s="54"/>
      <c r="AH148" s="54"/>
      <c r="AI148" s="54"/>
      <c r="AJ148" s="54"/>
      <c r="AW148" s="18">
        <f t="shared" si="6"/>
        <v>0</v>
      </c>
    </row>
    <row r="149" spans="10:49" ht="15">
      <c r="J149" s="687"/>
      <c r="K149" s="54"/>
      <c r="L149" s="687"/>
      <c r="M149" s="518"/>
      <c r="N149" s="68"/>
      <c r="O149" s="68"/>
      <c r="P149" s="68"/>
      <c r="Q149" s="68"/>
      <c r="R149" s="68"/>
      <c r="S149" s="68"/>
      <c r="T149" s="68"/>
      <c r="U149" s="54"/>
      <c r="V149" s="54"/>
      <c r="W149" s="54"/>
      <c r="X149" s="54"/>
      <c r="Y149" s="54"/>
      <c r="Z149" s="68"/>
      <c r="AA149" s="68"/>
      <c r="AB149" s="54"/>
      <c r="AC149" s="54"/>
      <c r="AD149" s="54"/>
      <c r="AE149" s="54"/>
      <c r="AF149" s="54"/>
      <c r="AG149" s="54"/>
      <c r="AH149" s="54"/>
      <c r="AI149" s="54"/>
      <c r="AJ149" s="54"/>
      <c r="AW149" s="18">
        <f t="shared" si="6"/>
        <v>0</v>
      </c>
    </row>
    <row r="150" spans="10:49" ht="15">
      <c r="J150" s="687"/>
      <c r="K150" s="54"/>
      <c r="L150" s="687"/>
      <c r="M150" s="518"/>
      <c r="N150" s="68"/>
      <c r="O150" s="68"/>
      <c r="P150" s="68"/>
      <c r="Q150" s="68"/>
      <c r="R150" s="68"/>
      <c r="S150" s="68"/>
      <c r="T150" s="68"/>
      <c r="U150" s="54"/>
      <c r="V150" s="54"/>
      <c r="W150" s="54"/>
      <c r="X150" s="54"/>
      <c r="Y150" s="54"/>
      <c r="Z150" s="68"/>
      <c r="AA150" s="68"/>
      <c r="AB150" s="54"/>
      <c r="AC150" s="54"/>
      <c r="AD150" s="54"/>
      <c r="AE150" s="54"/>
      <c r="AF150" s="54"/>
      <c r="AG150" s="54"/>
      <c r="AH150" s="54"/>
      <c r="AI150" s="54"/>
      <c r="AJ150" s="54"/>
      <c r="AW150" s="18">
        <f t="shared" si="6"/>
        <v>0</v>
      </c>
    </row>
    <row r="151" spans="10:49" ht="15">
      <c r="J151" s="687"/>
      <c r="K151" s="54"/>
      <c r="L151" s="687"/>
      <c r="M151" s="518"/>
      <c r="N151" s="68"/>
      <c r="O151" s="68"/>
      <c r="P151" s="68"/>
      <c r="Q151" s="68"/>
      <c r="R151" s="68"/>
      <c r="S151" s="68"/>
      <c r="T151" s="68"/>
      <c r="U151" s="54"/>
      <c r="V151" s="54"/>
      <c r="W151" s="54"/>
      <c r="X151" s="54"/>
      <c r="Y151" s="54"/>
      <c r="Z151" s="68"/>
      <c r="AA151" s="68"/>
      <c r="AB151" s="54"/>
      <c r="AC151" s="54"/>
      <c r="AD151" s="54"/>
      <c r="AE151" s="54"/>
      <c r="AF151" s="54"/>
      <c r="AG151" s="54"/>
      <c r="AH151" s="54"/>
      <c r="AI151" s="54"/>
      <c r="AJ151" s="54"/>
      <c r="AW151" s="18">
        <f t="shared" si="6"/>
        <v>0</v>
      </c>
    </row>
    <row r="152" spans="10:49" ht="15">
      <c r="J152" s="687"/>
      <c r="K152" s="54"/>
      <c r="L152" s="687"/>
      <c r="M152" s="518"/>
      <c r="N152" s="68"/>
      <c r="O152" s="68"/>
      <c r="P152" s="68"/>
      <c r="Q152" s="68"/>
      <c r="R152" s="68"/>
      <c r="S152" s="68"/>
      <c r="T152" s="68"/>
      <c r="U152" s="54"/>
      <c r="V152" s="54"/>
      <c r="W152" s="54"/>
      <c r="X152" s="54"/>
      <c r="Y152" s="54"/>
      <c r="Z152" s="68"/>
      <c r="AA152" s="68"/>
      <c r="AB152" s="54"/>
      <c r="AC152" s="54"/>
      <c r="AD152" s="54"/>
      <c r="AE152" s="54"/>
      <c r="AF152" s="54"/>
      <c r="AG152" s="54"/>
      <c r="AH152" s="54"/>
      <c r="AI152" s="54"/>
      <c r="AJ152" s="54"/>
      <c r="AW152" s="18">
        <f t="shared" si="6"/>
        <v>0</v>
      </c>
    </row>
    <row r="153" spans="10:49" ht="15">
      <c r="J153" s="687"/>
      <c r="K153" s="54"/>
      <c r="L153" s="687"/>
      <c r="M153" s="518"/>
      <c r="N153" s="68"/>
      <c r="O153" s="68"/>
      <c r="P153" s="68"/>
      <c r="Q153" s="68"/>
      <c r="R153" s="68"/>
      <c r="S153" s="68"/>
      <c r="T153" s="68"/>
      <c r="U153" s="54"/>
      <c r="V153" s="54"/>
      <c r="W153" s="54"/>
      <c r="X153" s="54"/>
      <c r="Y153" s="54"/>
      <c r="Z153" s="68"/>
      <c r="AA153" s="68"/>
      <c r="AB153" s="54"/>
      <c r="AC153" s="54"/>
      <c r="AD153" s="54"/>
      <c r="AE153" s="54"/>
      <c r="AF153" s="54"/>
      <c r="AG153" s="54"/>
      <c r="AH153" s="54"/>
      <c r="AI153" s="54"/>
      <c r="AJ153" s="54"/>
      <c r="AW153" s="18">
        <f t="shared" si="6"/>
        <v>0</v>
      </c>
    </row>
    <row r="154" spans="10:49" ht="15">
      <c r="J154" s="687"/>
      <c r="K154" s="54"/>
      <c r="L154" s="687"/>
      <c r="M154" s="518"/>
      <c r="N154" s="68"/>
      <c r="O154" s="68"/>
      <c r="P154" s="68"/>
      <c r="Q154" s="68"/>
      <c r="R154" s="68"/>
      <c r="S154" s="68"/>
      <c r="T154" s="68"/>
      <c r="U154" s="54"/>
      <c r="V154" s="54"/>
      <c r="W154" s="54"/>
      <c r="X154" s="54"/>
      <c r="Y154" s="54"/>
      <c r="Z154" s="68"/>
      <c r="AA154" s="68"/>
      <c r="AB154" s="54"/>
      <c r="AC154" s="54"/>
      <c r="AD154" s="54"/>
      <c r="AE154" s="54"/>
      <c r="AF154" s="54"/>
      <c r="AG154" s="54"/>
      <c r="AH154" s="54"/>
      <c r="AI154" s="54"/>
      <c r="AJ154" s="54"/>
      <c r="AW154" s="18">
        <f t="shared" si="6"/>
        <v>0</v>
      </c>
    </row>
    <row r="155" spans="10:49" ht="15">
      <c r="J155" s="687"/>
      <c r="K155" s="54"/>
      <c r="L155" s="687"/>
      <c r="M155" s="518"/>
      <c r="N155" s="68"/>
      <c r="O155" s="68"/>
      <c r="P155" s="68"/>
      <c r="Q155" s="68"/>
      <c r="R155" s="68"/>
      <c r="S155" s="68"/>
      <c r="T155" s="68"/>
      <c r="U155" s="54"/>
      <c r="V155" s="54"/>
      <c r="W155" s="54"/>
      <c r="X155" s="54"/>
      <c r="Y155" s="54"/>
      <c r="Z155" s="68"/>
      <c r="AA155" s="68"/>
      <c r="AB155" s="54"/>
      <c r="AC155" s="54"/>
      <c r="AD155" s="54"/>
      <c r="AE155" s="54"/>
      <c r="AF155" s="54"/>
      <c r="AG155" s="54"/>
      <c r="AH155" s="54"/>
      <c r="AI155" s="54"/>
      <c r="AJ155" s="54"/>
      <c r="AW155" s="18">
        <f t="shared" si="6"/>
        <v>0</v>
      </c>
    </row>
    <row r="156" spans="10:49" ht="15">
      <c r="J156" s="687"/>
      <c r="K156" s="54"/>
      <c r="L156" s="687"/>
      <c r="M156" s="518"/>
      <c r="N156" s="68"/>
      <c r="O156" s="68"/>
      <c r="P156" s="68"/>
      <c r="Q156" s="68"/>
      <c r="R156" s="68"/>
      <c r="S156" s="68"/>
      <c r="T156" s="68"/>
      <c r="U156" s="54"/>
      <c r="V156" s="54"/>
      <c r="W156" s="54"/>
      <c r="X156" s="54"/>
      <c r="Y156" s="54"/>
      <c r="Z156" s="68"/>
      <c r="AA156" s="68"/>
      <c r="AB156" s="54"/>
      <c r="AC156" s="54"/>
      <c r="AD156" s="54"/>
      <c r="AE156" s="54"/>
      <c r="AF156" s="54"/>
      <c r="AG156" s="54"/>
      <c r="AH156" s="54"/>
      <c r="AI156" s="54"/>
      <c r="AJ156" s="54"/>
      <c r="AW156" s="18">
        <f t="shared" si="6"/>
        <v>0</v>
      </c>
    </row>
    <row r="157" spans="10:49" ht="15">
      <c r="J157" s="687"/>
      <c r="K157" s="54"/>
      <c r="L157" s="687"/>
      <c r="M157" s="518"/>
      <c r="N157" s="68"/>
      <c r="O157" s="68"/>
      <c r="P157" s="68"/>
      <c r="Q157" s="68"/>
      <c r="R157" s="68"/>
      <c r="S157" s="68"/>
      <c r="T157" s="68"/>
      <c r="U157" s="54"/>
      <c r="V157" s="54"/>
      <c r="W157" s="54"/>
      <c r="X157" s="54"/>
      <c r="Y157" s="54"/>
      <c r="Z157" s="68"/>
      <c r="AA157" s="68"/>
      <c r="AB157" s="54"/>
      <c r="AC157" s="54"/>
      <c r="AD157" s="54"/>
      <c r="AE157" s="54"/>
      <c r="AF157" s="54"/>
      <c r="AG157" s="54"/>
      <c r="AH157" s="54"/>
      <c r="AI157" s="54"/>
      <c r="AJ157" s="54"/>
      <c r="AW157" s="18">
        <f t="shared" si="6"/>
        <v>0</v>
      </c>
    </row>
    <row r="158" spans="10:49" ht="15">
      <c r="J158" s="687"/>
      <c r="K158" s="54"/>
      <c r="L158" s="687"/>
      <c r="M158" s="518"/>
      <c r="N158" s="68"/>
      <c r="O158" s="68"/>
      <c r="P158" s="68"/>
      <c r="Q158" s="68"/>
      <c r="R158" s="68"/>
      <c r="S158" s="68"/>
      <c r="T158" s="68"/>
      <c r="U158" s="54"/>
      <c r="V158" s="54"/>
      <c r="W158" s="54"/>
      <c r="X158" s="54"/>
      <c r="Y158" s="54"/>
      <c r="Z158" s="68"/>
      <c r="AA158" s="68"/>
      <c r="AB158" s="54"/>
      <c r="AC158" s="54"/>
      <c r="AD158" s="54"/>
      <c r="AE158" s="54"/>
      <c r="AF158" s="54"/>
      <c r="AG158" s="54"/>
      <c r="AH158" s="54"/>
      <c r="AI158" s="54"/>
      <c r="AJ158" s="54"/>
      <c r="AW158" s="18">
        <f t="shared" si="6"/>
        <v>0</v>
      </c>
    </row>
    <row r="159" spans="10:49" ht="15">
      <c r="J159" s="687"/>
      <c r="K159" s="54"/>
      <c r="L159" s="687"/>
      <c r="M159" s="518"/>
      <c r="N159" s="68"/>
      <c r="O159" s="68"/>
      <c r="P159" s="68"/>
      <c r="Q159" s="68"/>
      <c r="R159" s="68"/>
      <c r="S159" s="68"/>
      <c r="T159" s="68"/>
      <c r="U159" s="54"/>
      <c r="V159" s="54"/>
      <c r="W159" s="54"/>
      <c r="X159" s="54"/>
      <c r="Y159" s="54"/>
      <c r="Z159" s="68"/>
      <c r="AA159" s="68"/>
      <c r="AB159" s="54"/>
      <c r="AC159" s="54"/>
      <c r="AD159" s="54"/>
      <c r="AE159" s="54"/>
      <c r="AF159" s="54"/>
      <c r="AG159" s="54"/>
      <c r="AH159" s="54"/>
      <c r="AI159" s="54"/>
      <c r="AJ159" s="54"/>
      <c r="AW159" s="18">
        <f t="shared" si="6"/>
        <v>0</v>
      </c>
    </row>
    <row r="160" spans="10:49" ht="15">
      <c r="J160" s="687"/>
      <c r="K160" s="54"/>
      <c r="L160" s="687"/>
      <c r="M160" s="518"/>
      <c r="N160" s="68"/>
      <c r="O160" s="68"/>
      <c r="P160" s="68"/>
      <c r="Q160" s="68"/>
      <c r="R160" s="68"/>
      <c r="S160" s="68"/>
      <c r="T160" s="68"/>
      <c r="U160" s="54"/>
      <c r="V160" s="54"/>
      <c r="W160" s="54"/>
      <c r="X160" s="54"/>
      <c r="Y160" s="54"/>
      <c r="Z160" s="68"/>
      <c r="AA160" s="68"/>
      <c r="AB160" s="54"/>
      <c r="AC160" s="54"/>
      <c r="AD160" s="54"/>
      <c r="AE160" s="54"/>
      <c r="AF160" s="54"/>
      <c r="AG160" s="54"/>
      <c r="AH160" s="54"/>
      <c r="AI160" s="54"/>
      <c r="AJ160" s="54"/>
      <c r="AW160" s="18">
        <f t="shared" si="6"/>
        <v>0</v>
      </c>
    </row>
    <row r="161" spans="10:49" ht="15">
      <c r="J161" s="687"/>
      <c r="K161" s="54"/>
      <c r="L161" s="687"/>
      <c r="M161" s="518"/>
      <c r="N161" s="68"/>
      <c r="O161" s="68"/>
      <c r="P161" s="68"/>
      <c r="Q161" s="68"/>
      <c r="R161" s="68"/>
      <c r="S161" s="68"/>
      <c r="T161" s="68"/>
      <c r="U161" s="54"/>
      <c r="V161" s="54"/>
      <c r="W161" s="54"/>
      <c r="X161" s="54"/>
      <c r="Y161" s="54"/>
      <c r="Z161" s="68"/>
      <c r="AA161" s="68"/>
      <c r="AB161" s="54"/>
      <c r="AC161" s="54"/>
      <c r="AD161" s="54"/>
      <c r="AE161" s="54"/>
      <c r="AF161" s="54"/>
      <c r="AG161" s="54"/>
      <c r="AH161" s="54"/>
      <c r="AI161" s="54"/>
      <c r="AJ161" s="54"/>
      <c r="AW161" s="18">
        <f t="shared" si="6"/>
        <v>0</v>
      </c>
    </row>
    <row r="162" spans="10:49" ht="15">
      <c r="J162" s="687"/>
      <c r="K162" s="54"/>
      <c r="L162" s="687"/>
      <c r="M162" s="518"/>
      <c r="N162" s="68"/>
      <c r="O162" s="68"/>
      <c r="P162" s="68"/>
      <c r="Q162" s="68"/>
      <c r="R162" s="68"/>
      <c r="S162" s="68"/>
      <c r="T162" s="68"/>
      <c r="U162" s="54"/>
      <c r="V162" s="54"/>
      <c r="W162" s="54"/>
      <c r="X162" s="54"/>
      <c r="Y162" s="54"/>
      <c r="Z162" s="68"/>
      <c r="AA162" s="68"/>
      <c r="AB162" s="54"/>
      <c r="AC162" s="54"/>
      <c r="AD162" s="54"/>
      <c r="AE162" s="54"/>
      <c r="AF162" s="54"/>
      <c r="AG162" s="54"/>
      <c r="AH162" s="54"/>
      <c r="AI162" s="54"/>
      <c r="AJ162" s="54"/>
      <c r="AW162" s="18">
        <f t="shared" si="6"/>
        <v>0</v>
      </c>
    </row>
    <row r="163" spans="10:49" ht="15">
      <c r="J163" s="687"/>
      <c r="K163" s="54"/>
      <c r="L163" s="687"/>
      <c r="M163" s="518"/>
      <c r="N163" s="68"/>
      <c r="O163" s="68"/>
      <c r="P163" s="68"/>
      <c r="Q163" s="68"/>
      <c r="R163" s="68"/>
      <c r="S163" s="68"/>
      <c r="T163" s="68"/>
      <c r="U163" s="54"/>
      <c r="V163" s="54"/>
      <c r="W163" s="54"/>
      <c r="X163" s="54"/>
      <c r="Y163" s="54"/>
      <c r="Z163" s="68"/>
      <c r="AA163" s="68"/>
      <c r="AB163" s="54"/>
      <c r="AC163" s="54"/>
      <c r="AD163" s="54"/>
      <c r="AE163" s="54"/>
      <c r="AF163" s="54"/>
      <c r="AG163" s="54"/>
      <c r="AH163" s="54"/>
      <c r="AI163" s="54"/>
      <c r="AJ163" s="54"/>
      <c r="AW163" s="18">
        <f t="shared" si="6"/>
        <v>0</v>
      </c>
    </row>
    <row r="164" spans="10:49" ht="15">
      <c r="J164" s="687"/>
      <c r="K164" s="54"/>
      <c r="L164" s="687"/>
      <c r="M164" s="518"/>
      <c r="N164" s="68"/>
      <c r="O164" s="68"/>
      <c r="P164" s="68"/>
      <c r="Q164" s="68"/>
      <c r="R164" s="68"/>
      <c r="S164" s="68"/>
      <c r="T164" s="68"/>
      <c r="U164" s="54"/>
      <c r="V164" s="54"/>
      <c r="W164" s="54"/>
      <c r="X164" s="54"/>
      <c r="Y164" s="54"/>
      <c r="Z164" s="68"/>
      <c r="AA164" s="68"/>
      <c r="AB164" s="54"/>
      <c r="AC164" s="54"/>
      <c r="AD164" s="54"/>
      <c r="AE164" s="54"/>
      <c r="AF164" s="54"/>
      <c r="AG164" s="54"/>
      <c r="AH164" s="54"/>
      <c r="AI164" s="54"/>
      <c r="AJ164" s="54"/>
      <c r="AW164" s="18">
        <f t="shared" si="6"/>
        <v>0</v>
      </c>
    </row>
    <row r="165" spans="10:49" ht="15">
      <c r="J165" s="687"/>
      <c r="K165" s="54"/>
      <c r="L165" s="687"/>
      <c r="M165" s="518"/>
      <c r="N165" s="68"/>
      <c r="O165" s="68"/>
      <c r="P165" s="68"/>
      <c r="Q165" s="68"/>
      <c r="R165" s="68"/>
      <c r="S165" s="68"/>
      <c r="T165" s="68"/>
      <c r="U165" s="54"/>
      <c r="V165" s="54"/>
      <c r="W165" s="54"/>
      <c r="X165" s="54"/>
      <c r="Y165" s="54"/>
      <c r="Z165" s="68"/>
      <c r="AA165" s="68"/>
      <c r="AB165" s="54"/>
      <c r="AC165" s="54"/>
      <c r="AD165" s="54"/>
      <c r="AE165" s="54"/>
      <c r="AF165" s="54"/>
      <c r="AG165" s="54"/>
      <c r="AH165" s="54"/>
      <c r="AI165" s="54"/>
      <c r="AJ165" s="54"/>
      <c r="AW165" s="18">
        <f t="shared" si="6"/>
        <v>0</v>
      </c>
    </row>
    <row r="166" spans="10:49" ht="15">
      <c r="J166" s="687"/>
      <c r="K166" s="54"/>
      <c r="L166" s="687"/>
      <c r="M166" s="518"/>
      <c r="N166" s="68"/>
      <c r="O166" s="68"/>
      <c r="P166" s="68"/>
      <c r="Q166" s="68"/>
      <c r="R166" s="68"/>
      <c r="S166" s="68"/>
      <c r="T166" s="68"/>
      <c r="U166" s="54"/>
      <c r="V166" s="54"/>
      <c r="W166" s="54"/>
      <c r="X166" s="54"/>
      <c r="Y166" s="54"/>
      <c r="Z166" s="68"/>
      <c r="AA166" s="68"/>
      <c r="AB166" s="54"/>
      <c r="AC166" s="54"/>
      <c r="AD166" s="54"/>
      <c r="AE166" s="54"/>
      <c r="AF166" s="54"/>
      <c r="AG166" s="54"/>
      <c r="AH166" s="54"/>
      <c r="AI166" s="54"/>
      <c r="AJ166" s="54"/>
      <c r="AW166" s="18">
        <f t="shared" si="6"/>
        <v>0</v>
      </c>
    </row>
    <row r="167" spans="10:49" ht="15">
      <c r="J167" s="687"/>
      <c r="K167" s="54"/>
      <c r="L167" s="687"/>
      <c r="M167" s="518"/>
      <c r="N167" s="68"/>
      <c r="O167" s="68"/>
      <c r="P167" s="68"/>
      <c r="Q167" s="68"/>
      <c r="R167" s="68"/>
      <c r="S167" s="68"/>
      <c r="T167" s="68"/>
      <c r="U167" s="54"/>
      <c r="V167" s="54"/>
      <c r="W167" s="54"/>
      <c r="X167" s="54"/>
      <c r="Y167" s="54"/>
      <c r="Z167" s="68"/>
      <c r="AA167" s="68"/>
      <c r="AB167" s="54"/>
      <c r="AC167" s="54"/>
      <c r="AD167" s="54"/>
      <c r="AE167" s="54"/>
      <c r="AF167" s="54"/>
      <c r="AG167" s="54"/>
      <c r="AH167" s="54"/>
      <c r="AI167" s="54"/>
      <c r="AJ167" s="54"/>
      <c r="AW167" s="18">
        <f t="shared" si="6"/>
        <v>0</v>
      </c>
    </row>
    <row r="168" spans="10:49" ht="15">
      <c r="J168" s="687"/>
      <c r="K168" s="54"/>
      <c r="L168" s="687"/>
      <c r="M168" s="518"/>
      <c r="N168" s="68"/>
      <c r="O168" s="68"/>
      <c r="P168" s="68"/>
      <c r="Q168" s="68"/>
      <c r="R168" s="68"/>
      <c r="S168" s="68"/>
      <c r="T168" s="68"/>
      <c r="U168" s="54"/>
      <c r="V168" s="54"/>
      <c r="W168" s="54"/>
      <c r="X168" s="54"/>
      <c r="Y168" s="54"/>
      <c r="Z168" s="68"/>
      <c r="AA168" s="68"/>
      <c r="AB168" s="54"/>
      <c r="AC168" s="54"/>
      <c r="AD168" s="54"/>
      <c r="AE168" s="54"/>
      <c r="AF168" s="54"/>
      <c r="AG168" s="54"/>
      <c r="AH168" s="54"/>
      <c r="AI168" s="54"/>
      <c r="AJ168" s="54"/>
      <c r="AW168" s="18">
        <f t="shared" si="6"/>
        <v>0</v>
      </c>
    </row>
    <row r="169" spans="10:49" ht="15">
      <c r="J169" s="687"/>
      <c r="K169" s="54"/>
      <c r="L169" s="687"/>
      <c r="M169" s="518"/>
      <c r="N169" s="68"/>
      <c r="O169" s="68"/>
      <c r="P169" s="68"/>
      <c r="Q169" s="68"/>
      <c r="R169" s="68"/>
      <c r="S169" s="68"/>
      <c r="T169" s="68"/>
      <c r="U169" s="54"/>
      <c r="V169" s="54"/>
      <c r="W169" s="54"/>
      <c r="X169" s="54"/>
      <c r="Y169" s="54"/>
      <c r="Z169" s="68"/>
      <c r="AA169" s="68"/>
      <c r="AB169" s="54"/>
      <c r="AC169" s="54"/>
      <c r="AD169" s="54"/>
      <c r="AE169" s="54"/>
      <c r="AF169" s="54"/>
      <c r="AG169" s="54"/>
      <c r="AH169" s="54"/>
      <c r="AI169" s="54"/>
      <c r="AJ169" s="54"/>
      <c r="AW169" s="18">
        <f t="shared" si="6"/>
        <v>0</v>
      </c>
    </row>
    <row r="170" spans="10:49" ht="15">
      <c r="J170" s="687"/>
      <c r="K170" s="54"/>
      <c r="L170" s="687"/>
      <c r="M170" s="518"/>
      <c r="N170" s="68"/>
      <c r="O170" s="68"/>
      <c r="P170" s="68"/>
      <c r="Q170" s="68"/>
      <c r="R170" s="68"/>
      <c r="S170" s="68"/>
      <c r="T170" s="68"/>
      <c r="U170" s="54"/>
      <c r="V170" s="54"/>
      <c r="W170" s="54"/>
      <c r="X170" s="54"/>
      <c r="Y170" s="54"/>
      <c r="Z170" s="68"/>
      <c r="AA170" s="68"/>
      <c r="AB170" s="54"/>
      <c r="AC170" s="54"/>
      <c r="AD170" s="54"/>
      <c r="AE170" s="54"/>
      <c r="AF170" s="54"/>
      <c r="AG170" s="54"/>
      <c r="AH170" s="54"/>
      <c r="AI170" s="54"/>
      <c r="AJ170" s="54"/>
      <c r="AW170" s="18">
        <f t="shared" si="6"/>
        <v>0</v>
      </c>
    </row>
    <row r="171" spans="10:49" ht="15">
      <c r="J171" s="687"/>
      <c r="K171" s="54"/>
      <c r="L171" s="687"/>
      <c r="M171" s="518"/>
      <c r="N171" s="68"/>
      <c r="O171" s="68"/>
      <c r="P171" s="68"/>
      <c r="Q171" s="68"/>
      <c r="R171" s="68"/>
      <c r="S171" s="68"/>
      <c r="T171" s="68"/>
      <c r="U171" s="54"/>
      <c r="V171" s="54"/>
      <c r="W171" s="54"/>
      <c r="X171" s="54"/>
      <c r="Y171" s="54"/>
      <c r="Z171" s="68"/>
      <c r="AA171" s="68"/>
      <c r="AB171" s="54"/>
      <c r="AC171" s="54"/>
      <c r="AD171" s="54"/>
      <c r="AE171" s="54"/>
      <c r="AF171" s="54"/>
      <c r="AG171" s="54"/>
      <c r="AH171" s="54"/>
      <c r="AI171" s="54"/>
      <c r="AJ171" s="54"/>
      <c r="AW171" s="18">
        <f t="shared" si="6"/>
        <v>0</v>
      </c>
    </row>
    <row r="172" spans="10:49" ht="15">
      <c r="J172" s="687"/>
      <c r="K172" s="54"/>
      <c r="L172" s="687"/>
      <c r="M172" s="518"/>
      <c r="N172" s="68"/>
      <c r="O172" s="68"/>
      <c r="P172" s="68"/>
      <c r="Q172" s="68"/>
      <c r="R172" s="68"/>
      <c r="S172" s="68"/>
      <c r="T172" s="68"/>
      <c r="U172" s="54"/>
      <c r="V172" s="54"/>
      <c r="W172" s="54"/>
      <c r="X172" s="54"/>
      <c r="Y172" s="54"/>
      <c r="Z172" s="68"/>
      <c r="AA172" s="68"/>
      <c r="AB172" s="54"/>
      <c r="AC172" s="54"/>
      <c r="AD172" s="54"/>
      <c r="AE172" s="54"/>
      <c r="AF172" s="54"/>
      <c r="AG172" s="54"/>
      <c r="AH172" s="54"/>
      <c r="AI172" s="54"/>
      <c r="AJ172" s="54"/>
      <c r="AW172" s="18">
        <f t="shared" si="6"/>
        <v>0</v>
      </c>
    </row>
    <row r="173" spans="10:49" ht="15">
      <c r="J173" s="687"/>
      <c r="K173" s="54"/>
      <c r="L173" s="687"/>
      <c r="M173" s="518"/>
      <c r="N173" s="68"/>
      <c r="O173" s="68"/>
      <c r="P173" s="68"/>
      <c r="Q173" s="68"/>
      <c r="R173" s="68"/>
      <c r="S173" s="68"/>
      <c r="T173" s="68"/>
      <c r="U173" s="54"/>
      <c r="V173" s="54"/>
      <c r="W173" s="54"/>
      <c r="X173" s="54"/>
      <c r="Y173" s="54"/>
      <c r="Z173" s="68"/>
      <c r="AA173" s="68"/>
      <c r="AB173" s="54"/>
      <c r="AC173" s="54"/>
      <c r="AD173" s="54"/>
      <c r="AE173" s="54"/>
      <c r="AF173" s="54"/>
      <c r="AG173" s="54"/>
      <c r="AH173" s="54"/>
      <c r="AI173" s="54"/>
      <c r="AJ173" s="54"/>
      <c r="AW173" s="18">
        <f t="shared" si="6"/>
        <v>0</v>
      </c>
    </row>
    <row r="174" spans="10:49" ht="15">
      <c r="J174" s="687"/>
      <c r="K174" s="54"/>
      <c r="L174" s="687"/>
      <c r="M174" s="518"/>
      <c r="N174" s="68"/>
      <c r="O174" s="68"/>
      <c r="P174" s="68"/>
      <c r="Q174" s="68"/>
      <c r="R174" s="68"/>
      <c r="S174" s="68"/>
      <c r="T174" s="68"/>
      <c r="U174" s="54"/>
      <c r="V174" s="54"/>
      <c r="W174" s="54"/>
      <c r="X174" s="54"/>
      <c r="Y174" s="54"/>
      <c r="Z174" s="68"/>
      <c r="AA174" s="68"/>
      <c r="AB174" s="54"/>
      <c r="AC174" s="54"/>
      <c r="AD174" s="54"/>
      <c r="AE174" s="54"/>
      <c r="AF174" s="54"/>
      <c r="AG174" s="54"/>
      <c r="AH174" s="54"/>
      <c r="AI174" s="54"/>
      <c r="AJ174" s="54"/>
      <c r="AW174" s="18">
        <f t="shared" si="6"/>
        <v>0</v>
      </c>
    </row>
    <row r="175" spans="10:49" ht="15">
      <c r="J175" s="687"/>
      <c r="K175" s="54"/>
      <c r="L175" s="687"/>
      <c r="M175" s="518"/>
      <c r="N175" s="68"/>
      <c r="O175" s="68"/>
      <c r="P175" s="68"/>
      <c r="Q175" s="68"/>
      <c r="R175" s="68"/>
      <c r="S175" s="68"/>
      <c r="T175" s="68"/>
      <c r="U175" s="54"/>
      <c r="V175" s="54"/>
      <c r="W175" s="54"/>
      <c r="X175" s="54"/>
      <c r="Y175" s="54"/>
      <c r="Z175" s="68"/>
      <c r="AA175" s="68"/>
      <c r="AB175" s="54"/>
      <c r="AC175" s="54"/>
      <c r="AD175" s="54"/>
      <c r="AE175" s="54"/>
      <c r="AF175" s="54"/>
      <c r="AG175" s="54"/>
      <c r="AH175" s="54"/>
      <c r="AI175" s="54"/>
      <c r="AJ175" s="54"/>
      <c r="AW175" s="18">
        <f t="shared" si="6"/>
        <v>0</v>
      </c>
    </row>
    <row r="176" spans="10:49" ht="15">
      <c r="J176" s="687"/>
      <c r="K176" s="54"/>
      <c r="L176" s="687"/>
      <c r="M176" s="518"/>
      <c r="N176" s="68"/>
      <c r="O176" s="68"/>
      <c r="P176" s="68"/>
      <c r="Q176" s="68"/>
      <c r="R176" s="68"/>
      <c r="S176" s="68"/>
      <c r="T176" s="68"/>
      <c r="U176" s="54"/>
      <c r="V176" s="54"/>
      <c r="W176" s="54"/>
      <c r="X176" s="54"/>
      <c r="Y176" s="54"/>
      <c r="Z176" s="68"/>
      <c r="AA176" s="68"/>
      <c r="AB176" s="54"/>
      <c r="AC176" s="54"/>
      <c r="AD176" s="54"/>
      <c r="AE176" s="54"/>
      <c r="AF176" s="54"/>
      <c r="AG176" s="54"/>
      <c r="AH176" s="54"/>
      <c r="AI176" s="54"/>
      <c r="AJ176" s="54"/>
      <c r="AW176" s="18">
        <f t="shared" si="6"/>
        <v>0</v>
      </c>
    </row>
    <row r="177" spans="10:49" ht="15">
      <c r="J177" s="687"/>
      <c r="K177" s="54"/>
      <c r="L177" s="687"/>
      <c r="M177" s="518"/>
      <c r="N177" s="68"/>
      <c r="O177" s="68"/>
      <c r="P177" s="68"/>
      <c r="Q177" s="68"/>
      <c r="R177" s="68"/>
      <c r="S177" s="68"/>
      <c r="T177" s="68"/>
      <c r="U177" s="54"/>
      <c r="V177" s="54"/>
      <c r="W177" s="54"/>
      <c r="X177" s="54"/>
      <c r="Y177" s="54"/>
      <c r="Z177" s="68"/>
      <c r="AA177" s="68"/>
      <c r="AB177" s="54"/>
      <c r="AC177" s="54"/>
      <c r="AD177" s="54"/>
      <c r="AE177" s="54"/>
      <c r="AF177" s="54"/>
      <c r="AG177" s="54"/>
      <c r="AH177" s="54"/>
      <c r="AI177" s="54"/>
      <c r="AJ177" s="54"/>
      <c r="AW177" s="18">
        <f t="shared" si="6"/>
        <v>0</v>
      </c>
    </row>
    <row r="178" spans="10:49" ht="15">
      <c r="J178" s="687"/>
      <c r="K178" s="54"/>
      <c r="L178" s="687"/>
      <c r="M178" s="518"/>
      <c r="N178" s="68"/>
      <c r="O178" s="68"/>
      <c r="P178" s="68"/>
      <c r="Q178" s="68"/>
      <c r="R178" s="68"/>
      <c r="S178" s="68"/>
      <c r="T178" s="68"/>
      <c r="U178" s="54"/>
      <c r="V178" s="54"/>
      <c r="W178" s="54"/>
      <c r="X178" s="54"/>
      <c r="Y178" s="54"/>
      <c r="Z178" s="68"/>
      <c r="AA178" s="68"/>
      <c r="AB178" s="54"/>
      <c r="AC178" s="54"/>
      <c r="AD178" s="54"/>
      <c r="AE178" s="54"/>
      <c r="AF178" s="54"/>
      <c r="AG178" s="54"/>
      <c r="AH178" s="54"/>
      <c r="AI178" s="54"/>
      <c r="AJ178" s="54"/>
      <c r="AW178" s="18">
        <f t="shared" si="6"/>
        <v>0</v>
      </c>
    </row>
    <row r="179" spans="10:49" ht="15">
      <c r="J179" s="687"/>
      <c r="K179" s="54"/>
      <c r="L179" s="687"/>
      <c r="M179" s="518"/>
      <c r="N179" s="68"/>
      <c r="O179" s="68"/>
      <c r="P179" s="68"/>
      <c r="Q179" s="68"/>
      <c r="R179" s="68"/>
      <c r="S179" s="68"/>
      <c r="T179" s="68"/>
      <c r="U179" s="54"/>
      <c r="V179" s="54"/>
      <c r="W179" s="54"/>
      <c r="X179" s="54"/>
      <c r="Y179" s="54"/>
      <c r="Z179" s="68"/>
      <c r="AA179" s="68"/>
      <c r="AB179" s="54"/>
      <c r="AC179" s="54"/>
      <c r="AD179" s="54"/>
      <c r="AE179" s="54"/>
      <c r="AF179" s="54"/>
      <c r="AG179" s="54"/>
      <c r="AH179" s="54"/>
      <c r="AI179" s="54"/>
      <c r="AJ179" s="54"/>
      <c r="AW179" s="18">
        <f t="shared" si="6"/>
        <v>0</v>
      </c>
    </row>
    <row r="180" spans="10:49" ht="15">
      <c r="J180" s="687"/>
      <c r="K180" s="54"/>
      <c r="L180" s="687"/>
      <c r="M180" s="518"/>
      <c r="N180" s="68"/>
      <c r="O180" s="68"/>
      <c r="P180" s="68"/>
      <c r="Q180" s="68"/>
      <c r="R180" s="68"/>
      <c r="S180" s="68"/>
      <c r="T180" s="68"/>
      <c r="U180" s="54"/>
      <c r="V180" s="54"/>
      <c r="W180" s="54"/>
      <c r="X180" s="54"/>
      <c r="Y180" s="54"/>
      <c r="Z180" s="68"/>
      <c r="AA180" s="68"/>
      <c r="AB180" s="54"/>
      <c r="AC180" s="54"/>
      <c r="AD180" s="54"/>
      <c r="AE180" s="54"/>
      <c r="AF180" s="54"/>
      <c r="AG180" s="54"/>
      <c r="AH180" s="54"/>
      <c r="AI180" s="54"/>
      <c r="AJ180" s="54"/>
      <c r="AW180" s="18">
        <f t="shared" si="6"/>
        <v>0</v>
      </c>
    </row>
    <row r="181" spans="10:49" ht="15">
      <c r="J181" s="687"/>
      <c r="K181" s="54"/>
      <c r="L181" s="687"/>
      <c r="M181" s="518"/>
      <c r="N181" s="68"/>
      <c r="O181" s="68"/>
      <c r="P181" s="68"/>
      <c r="Q181" s="68"/>
      <c r="R181" s="68"/>
      <c r="S181" s="68"/>
      <c r="T181" s="68"/>
      <c r="U181" s="54"/>
      <c r="V181" s="54"/>
      <c r="W181" s="54"/>
      <c r="X181" s="54"/>
      <c r="Y181" s="54"/>
      <c r="Z181" s="68"/>
      <c r="AA181" s="68"/>
      <c r="AB181" s="54"/>
      <c r="AC181" s="54"/>
      <c r="AD181" s="54"/>
      <c r="AE181" s="54"/>
      <c r="AF181" s="54"/>
      <c r="AG181" s="54"/>
      <c r="AH181" s="54"/>
      <c r="AI181" s="54"/>
      <c r="AJ181" s="54"/>
      <c r="AW181" s="18">
        <f t="shared" si="6"/>
        <v>0</v>
      </c>
    </row>
    <row r="182" spans="10:49" ht="15">
      <c r="J182" s="687"/>
      <c r="K182" s="54"/>
      <c r="L182" s="687"/>
      <c r="M182" s="518"/>
      <c r="N182" s="68"/>
      <c r="O182" s="68"/>
      <c r="P182" s="68"/>
      <c r="Q182" s="68"/>
      <c r="R182" s="68"/>
      <c r="S182" s="68"/>
      <c r="T182" s="68"/>
      <c r="U182" s="54"/>
      <c r="V182" s="54"/>
      <c r="W182" s="54"/>
      <c r="X182" s="54"/>
      <c r="Y182" s="54"/>
      <c r="Z182" s="68"/>
      <c r="AA182" s="68"/>
      <c r="AB182" s="54"/>
      <c r="AC182" s="54"/>
      <c r="AD182" s="54"/>
      <c r="AE182" s="54"/>
      <c r="AF182" s="54"/>
      <c r="AG182" s="54"/>
      <c r="AH182" s="54"/>
      <c r="AI182" s="54"/>
      <c r="AJ182" s="54"/>
      <c r="AW182" s="18">
        <f t="shared" si="6"/>
        <v>0</v>
      </c>
    </row>
    <row r="183" spans="10:49" ht="15">
      <c r="J183" s="687"/>
      <c r="K183" s="54"/>
      <c r="L183" s="687"/>
      <c r="M183" s="518"/>
      <c r="N183" s="68"/>
      <c r="O183" s="68"/>
      <c r="P183" s="68"/>
      <c r="Q183" s="68"/>
      <c r="R183" s="68"/>
      <c r="S183" s="68"/>
      <c r="T183" s="68"/>
      <c r="U183" s="54"/>
      <c r="V183" s="54"/>
      <c r="W183" s="54"/>
      <c r="X183" s="54"/>
      <c r="Y183" s="54"/>
      <c r="Z183" s="68"/>
      <c r="AA183" s="68"/>
      <c r="AB183" s="54"/>
      <c r="AC183" s="54"/>
      <c r="AD183" s="54"/>
      <c r="AE183" s="54"/>
      <c r="AF183" s="54"/>
      <c r="AG183" s="54"/>
      <c r="AH183" s="54"/>
      <c r="AI183" s="54"/>
      <c r="AJ183" s="54"/>
      <c r="AW183" s="18">
        <f t="shared" si="6"/>
        <v>0</v>
      </c>
    </row>
    <row r="184" spans="10:49" ht="15">
      <c r="J184" s="687"/>
      <c r="K184" s="54"/>
      <c r="L184" s="687"/>
      <c r="M184" s="518"/>
      <c r="N184" s="68"/>
      <c r="O184" s="68"/>
      <c r="P184" s="68"/>
      <c r="Q184" s="68"/>
      <c r="R184" s="68"/>
      <c r="S184" s="68"/>
      <c r="T184" s="68"/>
      <c r="U184" s="54"/>
      <c r="V184" s="54"/>
      <c r="W184" s="54"/>
      <c r="X184" s="54"/>
      <c r="Y184" s="54"/>
      <c r="Z184" s="68"/>
      <c r="AA184" s="68"/>
      <c r="AB184" s="54"/>
      <c r="AC184" s="54"/>
      <c r="AD184" s="54"/>
      <c r="AE184" s="54"/>
      <c r="AF184" s="54"/>
      <c r="AG184" s="54"/>
      <c r="AH184" s="54"/>
      <c r="AI184" s="54"/>
      <c r="AJ184" s="54"/>
      <c r="AW184" s="18">
        <f t="shared" si="6"/>
        <v>0</v>
      </c>
    </row>
    <row r="185" spans="10:49" ht="15">
      <c r="J185" s="687"/>
      <c r="K185" s="54"/>
      <c r="L185" s="687"/>
      <c r="M185" s="518"/>
      <c r="N185" s="68"/>
      <c r="O185" s="68"/>
      <c r="P185" s="68"/>
      <c r="Q185" s="68"/>
      <c r="R185" s="68"/>
      <c r="S185" s="68"/>
      <c r="T185" s="68"/>
      <c r="U185" s="54"/>
      <c r="V185" s="54"/>
      <c r="W185" s="54"/>
      <c r="X185" s="54"/>
      <c r="Y185" s="54"/>
      <c r="Z185" s="68"/>
      <c r="AA185" s="68"/>
      <c r="AB185" s="54"/>
      <c r="AC185" s="54"/>
      <c r="AD185" s="54"/>
      <c r="AE185" s="54"/>
      <c r="AF185" s="54"/>
      <c r="AG185" s="54"/>
      <c r="AH185" s="54"/>
      <c r="AI185" s="54"/>
      <c r="AJ185" s="54"/>
      <c r="AW185" s="18">
        <f t="shared" si="6"/>
        <v>0</v>
      </c>
    </row>
    <row r="186" spans="10:49" ht="15">
      <c r="J186" s="687"/>
      <c r="K186" s="54"/>
      <c r="L186" s="687"/>
      <c r="M186" s="518"/>
      <c r="N186" s="68"/>
      <c r="O186" s="68"/>
      <c r="P186" s="68"/>
      <c r="Q186" s="68"/>
      <c r="R186" s="68"/>
      <c r="S186" s="68"/>
      <c r="T186" s="68"/>
      <c r="U186" s="54"/>
      <c r="V186" s="54"/>
      <c r="W186" s="54"/>
      <c r="X186" s="54"/>
      <c r="Y186" s="54"/>
      <c r="Z186" s="68"/>
      <c r="AA186" s="68"/>
      <c r="AB186" s="54"/>
      <c r="AC186" s="54"/>
      <c r="AD186" s="54"/>
      <c r="AE186" s="54"/>
      <c r="AF186" s="54"/>
      <c r="AG186" s="54"/>
      <c r="AH186" s="54"/>
      <c r="AI186" s="54"/>
      <c r="AJ186" s="54"/>
      <c r="AW186" s="18">
        <f t="shared" si="6"/>
        <v>0</v>
      </c>
    </row>
    <row r="187" spans="10:49" ht="15">
      <c r="J187" s="687"/>
      <c r="K187" s="54"/>
      <c r="L187" s="687"/>
      <c r="M187" s="518"/>
      <c r="N187" s="68"/>
      <c r="O187" s="68"/>
      <c r="P187" s="68"/>
      <c r="Q187" s="68"/>
      <c r="R187" s="68"/>
      <c r="S187" s="68"/>
      <c r="T187" s="68"/>
      <c r="U187" s="54"/>
      <c r="V187" s="54"/>
      <c r="W187" s="54"/>
      <c r="X187" s="54"/>
      <c r="Y187" s="54"/>
      <c r="Z187" s="68"/>
      <c r="AA187" s="68"/>
      <c r="AB187" s="54"/>
      <c r="AC187" s="54"/>
      <c r="AD187" s="54"/>
      <c r="AE187" s="54"/>
      <c r="AF187" s="54"/>
      <c r="AG187" s="54"/>
      <c r="AH187" s="54"/>
      <c r="AI187" s="54"/>
      <c r="AJ187" s="54"/>
      <c r="AW187" s="18">
        <f t="shared" si="6"/>
        <v>0</v>
      </c>
    </row>
    <row r="188" spans="10:49" ht="15">
      <c r="J188" s="687"/>
      <c r="K188" s="54"/>
      <c r="L188" s="687"/>
      <c r="M188" s="518"/>
      <c r="N188" s="68"/>
      <c r="O188" s="68"/>
      <c r="P188" s="68"/>
      <c r="Q188" s="68"/>
      <c r="R188" s="68"/>
      <c r="S188" s="68"/>
      <c r="T188" s="68"/>
      <c r="U188" s="54"/>
      <c r="V188" s="54"/>
      <c r="W188" s="54"/>
      <c r="X188" s="54"/>
      <c r="Y188" s="54"/>
      <c r="Z188" s="68"/>
      <c r="AA188" s="68"/>
      <c r="AB188" s="54"/>
      <c r="AC188" s="54"/>
      <c r="AD188" s="54"/>
      <c r="AE188" s="54"/>
      <c r="AF188" s="54"/>
      <c r="AG188" s="54"/>
      <c r="AH188" s="54"/>
      <c r="AI188" s="54"/>
      <c r="AJ188" s="54"/>
      <c r="AW188" s="18">
        <f t="shared" si="6"/>
        <v>0</v>
      </c>
    </row>
    <row r="189" spans="10:49" ht="15">
      <c r="J189" s="687"/>
      <c r="K189" s="54"/>
      <c r="L189" s="687"/>
      <c r="M189" s="518"/>
      <c r="N189" s="68"/>
      <c r="O189" s="68"/>
      <c r="P189" s="68"/>
      <c r="Q189" s="68"/>
      <c r="R189" s="68"/>
      <c r="S189" s="68"/>
      <c r="T189" s="68"/>
      <c r="U189" s="54"/>
      <c r="V189" s="54"/>
      <c r="W189" s="54"/>
      <c r="X189" s="54"/>
      <c r="Y189" s="54"/>
      <c r="Z189" s="68"/>
      <c r="AA189" s="68"/>
      <c r="AB189" s="54"/>
      <c r="AC189" s="54"/>
      <c r="AD189" s="54"/>
      <c r="AE189" s="54"/>
      <c r="AF189" s="54"/>
      <c r="AG189" s="54"/>
      <c r="AH189" s="54"/>
      <c r="AI189" s="54"/>
      <c r="AJ189" s="54"/>
      <c r="AW189" s="18">
        <f t="shared" si="6"/>
        <v>0</v>
      </c>
    </row>
    <row r="190" spans="10:49" ht="15">
      <c r="J190" s="687"/>
      <c r="K190" s="54"/>
      <c r="L190" s="687"/>
      <c r="M190" s="518"/>
      <c r="N190" s="68"/>
      <c r="O190" s="68"/>
      <c r="P190" s="68"/>
      <c r="Q190" s="68"/>
      <c r="R190" s="68"/>
      <c r="S190" s="68"/>
      <c r="T190" s="68"/>
      <c r="U190" s="54"/>
      <c r="V190" s="54"/>
      <c r="W190" s="54"/>
      <c r="X190" s="54"/>
      <c r="Y190" s="54"/>
      <c r="Z190" s="68"/>
      <c r="AA190" s="68"/>
      <c r="AB190" s="54"/>
      <c r="AC190" s="54"/>
      <c r="AD190" s="54"/>
      <c r="AE190" s="54"/>
      <c r="AF190" s="54"/>
      <c r="AG190" s="54"/>
      <c r="AH190" s="54"/>
      <c r="AI190" s="54"/>
      <c r="AJ190" s="54"/>
      <c r="AW190" s="18">
        <f t="shared" si="6"/>
        <v>0</v>
      </c>
    </row>
    <row r="191" spans="10:49" ht="15">
      <c r="J191" s="687"/>
      <c r="K191" s="54"/>
      <c r="L191" s="687"/>
      <c r="M191" s="518"/>
      <c r="N191" s="68"/>
      <c r="O191" s="68"/>
      <c r="P191" s="68"/>
      <c r="Q191" s="68"/>
      <c r="R191" s="68"/>
      <c r="S191" s="68"/>
      <c r="T191" s="68"/>
      <c r="U191" s="54"/>
      <c r="V191" s="54"/>
      <c r="W191" s="54"/>
      <c r="X191" s="54"/>
      <c r="Y191" s="54"/>
      <c r="Z191" s="68"/>
      <c r="AA191" s="68"/>
      <c r="AB191" s="54"/>
      <c r="AC191" s="54"/>
      <c r="AD191" s="54"/>
      <c r="AE191" s="54"/>
      <c r="AF191" s="54"/>
      <c r="AG191" s="54"/>
      <c r="AH191" s="54"/>
      <c r="AI191" s="54"/>
      <c r="AJ191" s="54"/>
      <c r="AW191" s="18">
        <f t="shared" si="6"/>
        <v>0</v>
      </c>
    </row>
    <row r="192" spans="10:49" ht="15">
      <c r="J192" s="687"/>
      <c r="K192" s="54"/>
      <c r="L192" s="687"/>
      <c r="M192" s="518"/>
      <c r="N192" s="68"/>
      <c r="O192" s="68"/>
      <c r="P192" s="68"/>
      <c r="Q192" s="68"/>
      <c r="R192" s="68"/>
      <c r="S192" s="68"/>
      <c r="T192" s="68"/>
      <c r="U192" s="54"/>
      <c r="V192" s="54"/>
      <c r="W192" s="54"/>
      <c r="X192" s="54"/>
      <c r="Y192" s="54"/>
      <c r="Z192" s="68"/>
      <c r="AA192" s="68"/>
      <c r="AB192" s="54"/>
      <c r="AC192" s="54"/>
      <c r="AD192" s="54"/>
      <c r="AE192" s="54"/>
      <c r="AF192" s="54"/>
      <c r="AG192" s="54"/>
      <c r="AH192" s="54"/>
      <c r="AI192" s="54"/>
      <c r="AJ192" s="54"/>
      <c r="AW192" s="18">
        <f t="shared" si="6"/>
        <v>0</v>
      </c>
    </row>
    <row r="193" spans="10:49" ht="15">
      <c r="J193" s="687"/>
      <c r="K193" s="54"/>
      <c r="L193" s="687"/>
      <c r="M193" s="518"/>
      <c r="N193" s="68"/>
      <c r="O193" s="68"/>
      <c r="P193" s="68"/>
      <c r="Q193" s="68"/>
      <c r="R193" s="68"/>
      <c r="S193" s="68"/>
      <c r="T193" s="68"/>
      <c r="U193" s="54"/>
      <c r="V193" s="54"/>
      <c r="W193" s="54"/>
      <c r="X193" s="54"/>
      <c r="Y193" s="54"/>
      <c r="Z193" s="68"/>
      <c r="AA193" s="68"/>
      <c r="AB193" s="54"/>
      <c r="AC193" s="54"/>
      <c r="AD193" s="54"/>
      <c r="AE193" s="54"/>
      <c r="AF193" s="54"/>
      <c r="AG193" s="54"/>
      <c r="AH193" s="54"/>
      <c r="AI193" s="54"/>
      <c r="AJ193" s="54"/>
      <c r="AW193" s="18">
        <f t="shared" si="6"/>
        <v>0</v>
      </c>
    </row>
    <row r="194" spans="10:49" ht="15">
      <c r="J194" s="687"/>
      <c r="K194" s="54"/>
      <c r="L194" s="687"/>
      <c r="M194" s="518"/>
      <c r="N194" s="68"/>
      <c r="O194" s="68"/>
      <c r="P194" s="68"/>
      <c r="Q194" s="68"/>
      <c r="R194" s="68"/>
      <c r="S194" s="68"/>
      <c r="T194" s="68"/>
      <c r="U194" s="54"/>
      <c r="V194" s="54"/>
      <c r="W194" s="54"/>
      <c r="X194" s="54"/>
      <c r="Y194" s="54"/>
      <c r="Z194" s="68"/>
      <c r="AA194" s="68"/>
      <c r="AB194" s="54"/>
      <c r="AC194" s="54"/>
      <c r="AD194" s="54"/>
      <c r="AE194" s="54"/>
      <c r="AF194" s="54"/>
      <c r="AG194" s="54"/>
      <c r="AH194" s="54"/>
      <c r="AI194" s="54"/>
      <c r="AJ194" s="54"/>
      <c r="AW194" s="18">
        <f t="shared" si="6"/>
        <v>0</v>
      </c>
    </row>
    <row r="195" spans="10:49" ht="15">
      <c r="J195" s="687"/>
      <c r="K195" s="54"/>
      <c r="L195" s="687"/>
      <c r="M195" s="518"/>
      <c r="N195" s="68"/>
      <c r="O195" s="68"/>
      <c r="P195" s="68"/>
      <c r="Q195" s="68"/>
      <c r="R195" s="68"/>
      <c r="S195" s="68"/>
      <c r="T195" s="68"/>
      <c r="U195" s="54"/>
      <c r="V195" s="54"/>
      <c r="W195" s="54"/>
      <c r="X195" s="54"/>
      <c r="Y195" s="54"/>
      <c r="Z195" s="68"/>
      <c r="AA195" s="68"/>
      <c r="AB195" s="54"/>
      <c r="AC195" s="54"/>
      <c r="AD195" s="54"/>
      <c r="AE195" s="54"/>
      <c r="AF195" s="54"/>
      <c r="AG195" s="54"/>
      <c r="AH195" s="54"/>
      <c r="AI195" s="54"/>
      <c r="AJ195" s="54"/>
      <c r="AW195" s="18">
        <f t="shared" si="6"/>
        <v>0</v>
      </c>
    </row>
    <row r="196" spans="10:49" ht="15">
      <c r="J196" s="687"/>
      <c r="K196" s="54"/>
      <c r="L196" s="687"/>
      <c r="M196" s="518"/>
      <c r="N196" s="68"/>
      <c r="O196" s="68"/>
      <c r="P196" s="68"/>
      <c r="Q196" s="68"/>
      <c r="R196" s="68"/>
      <c r="S196" s="68"/>
      <c r="T196" s="68"/>
      <c r="U196" s="54"/>
      <c r="V196" s="54"/>
      <c r="W196" s="54"/>
      <c r="X196" s="54"/>
      <c r="Y196" s="54"/>
      <c r="Z196" s="68"/>
      <c r="AA196" s="68"/>
      <c r="AB196" s="54"/>
      <c r="AC196" s="54"/>
      <c r="AD196" s="54"/>
      <c r="AE196" s="54"/>
      <c r="AF196" s="54"/>
      <c r="AG196" s="54"/>
      <c r="AH196" s="54"/>
      <c r="AI196" s="54"/>
      <c r="AJ196" s="54"/>
      <c r="AW196" s="18">
        <f t="shared" si="6"/>
        <v>0</v>
      </c>
    </row>
    <row r="197" spans="10:49" ht="15">
      <c r="J197" s="687"/>
      <c r="K197" s="54"/>
      <c r="L197" s="687"/>
      <c r="M197" s="518"/>
      <c r="N197" s="68"/>
      <c r="O197" s="68"/>
      <c r="P197" s="68"/>
      <c r="Q197" s="68"/>
      <c r="R197" s="68"/>
      <c r="S197" s="68"/>
      <c r="T197" s="68"/>
      <c r="U197" s="54"/>
      <c r="V197" s="54"/>
      <c r="W197" s="54"/>
      <c r="X197" s="54"/>
      <c r="Y197" s="54"/>
      <c r="Z197" s="68"/>
      <c r="AA197" s="68"/>
      <c r="AB197" s="54"/>
      <c r="AC197" s="54"/>
      <c r="AD197" s="54"/>
      <c r="AE197" s="54"/>
      <c r="AF197" s="54"/>
      <c r="AG197" s="54"/>
      <c r="AH197" s="54"/>
      <c r="AI197" s="54"/>
      <c r="AJ197" s="54"/>
      <c r="AW197" s="18">
        <f t="shared" si="6"/>
        <v>0</v>
      </c>
    </row>
    <row r="198" spans="10:49" ht="15">
      <c r="J198" s="687"/>
      <c r="K198" s="54"/>
      <c r="L198" s="687"/>
      <c r="M198" s="518"/>
      <c r="N198" s="68"/>
      <c r="O198" s="68"/>
      <c r="P198" s="68"/>
      <c r="Q198" s="68"/>
      <c r="R198" s="68"/>
      <c r="S198" s="68"/>
      <c r="T198" s="68"/>
      <c r="U198" s="54"/>
      <c r="V198" s="54"/>
      <c r="W198" s="54"/>
      <c r="X198" s="54"/>
      <c r="Y198" s="54"/>
      <c r="Z198" s="68"/>
      <c r="AA198" s="68"/>
      <c r="AB198" s="54"/>
      <c r="AC198" s="54"/>
      <c r="AD198" s="54"/>
      <c r="AE198" s="54"/>
      <c r="AF198" s="54"/>
      <c r="AG198" s="54"/>
      <c r="AH198" s="54"/>
      <c r="AI198" s="54"/>
      <c r="AJ198" s="54"/>
      <c r="AW198" s="18">
        <f t="shared" si="6"/>
        <v>0</v>
      </c>
    </row>
    <row r="199" spans="10:49" ht="15">
      <c r="J199" s="687"/>
      <c r="K199" s="54"/>
      <c r="L199" s="687"/>
      <c r="M199" s="518"/>
      <c r="N199" s="68"/>
      <c r="O199" s="68"/>
      <c r="P199" s="68"/>
      <c r="Q199" s="68"/>
      <c r="R199" s="68"/>
      <c r="S199" s="68"/>
      <c r="T199" s="68"/>
      <c r="U199" s="54"/>
      <c r="V199" s="54"/>
      <c r="W199" s="54"/>
      <c r="X199" s="54"/>
      <c r="Y199" s="54"/>
      <c r="Z199" s="68"/>
      <c r="AA199" s="68"/>
      <c r="AB199" s="54"/>
      <c r="AC199" s="54"/>
      <c r="AD199" s="54"/>
      <c r="AE199" s="54"/>
      <c r="AF199" s="54"/>
      <c r="AG199" s="54"/>
      <c r="AH199" s="54"/>
      <c r="AI199" s="54"/>
      <c r="AJ199" s="54"/>
      <c r="AW199" s="18">
        <f t="shared" si="6"/>
        <v>0</v>
      </c>
    </row>
    <row r="200" spans="10:49" ht="15">
      <c r="J200" s="687"/>
      <c r="K200" s="54"/>
      <c r="L200" s="687"/>
      <c r="M200" s="518"/>
      <c r="N200" s="68"/>
      <c r="O200" s="68"/>
      <c r="P200" s="68"/>
      <c r="Q200" s="68"/>
      <c r="R200" s="68"/>
      <c r="S200" s="68"/>
      <c r="T200" s="68"/>
      <c r="U200" s="54"/>
      <c r="V200" s="54"/>
      <c r="W200" s="54"/>
      <c r="X200" s="54"/>
      <c r="Y200" s="54"/>
      <c r="Z200" s="68"/>
      <c r="AA200" s="68"/>
      <c r="AB200" s="54"/>
      <c r="AC200" s="54"/>
      <c r="AD200" s="54"/>
      <c r="AE200" s="54"/>
      <c r="AF200" s="54"/>
      <c r="AG200" s="54"/>
      <c r="AH200" s="54"/>
      <c r="AI200" s="54"/>
      <c r="AJ200" s="54"/>
      <c r="AW200" s="18">
        <f t="shared" si="6"/>
        <v>0</v>
      </c>
    </row>
    <row r="201" spans="10:49" ht="15">
      <c r="J201" s="687"/>
      <c r="K201" s="54"/>
      <c r="L201" s="687"/>
      <c r="M201" s="518"/>
      <c r="N201" s="68"/>
      <c r="O201" s="68"/>
      <c r="P201" s="68"/>
      <c r="Q201" s="68"/>
      <c r="R201" s="68"/>
      <c r="S201" s="68"/>
      <c r="T201" s="68"/>
      <c r="U201" s="54"/>
      <c r="V201" s="54"/>
      <c r="W201" s="54"/>
      <c r="X201" s="54"/>
      <c r="Y201" s="54"/>
      <c r="Z201" s="68"/>
      <c r="AA201" s="68"/>
      <c r="AB201" s="54"/>
      <c r="AC201" s="54"/>
      <c r="AD201" s="54"/>
      <c r="AE201" s="54"/>
      <c r="AF201" s="54"/>
      <c r="AG201" s="54"/>
      <c r="AH201" s="54"/>
      <c r="AI201" s="54"/>
      <c r="AJ201" s="54"/>
      <c r="AW201" s="18">
        <f t="shared" si="6"/>
        <v>0</v>
      </c>
    </row>
    <row r="202" spans="10:49" ht="15">
      <c r="J202" s="687"/>
      <c r="K202" s="54"/>
      <c r="L202" s="687"/>
      <c r="M202" s="518"/>
      <c r="N202" s="68"/>
      <c r="O202" s="68"/>
      <c r="P202" s="68"/>
      <c r="Q202" s="68"/>
      <c r="R202" s="68"/>
      <c r="S202" s="68"/>
      <c r="T202" s="68"/>
      <c r="U202" s="54"/>
      <c r="V202" s="54"/>
      <c r="W202" s="54"/>
      <c r="X202" s="54"/>
      <c r="Y202" s="54"/>
      <c r="Z202" s="68"/>
      <c r="AA202" s="68"/>
      <c r="AB202" s="54"/>
      <c r="AC202" s="54"/>
      <c r="AD202" s="54"/>
      <c r="AE202" s="54"/>
      <c r="AF202" s="54"/>
      <c r="AG202" s="54"/>
      <c r="AH202" s="54"/>
      <c r="AI202" s="54"/>
      <c r="AJ202" s="54"/>
      <c r="AW202" s="18">
        <f t="shared" si="6"/>
        <v>0</v>
      </c>
    </row>
    <row r="203" spans="10:49" ht="15">
      <c r="J203" s="687"/>
      <c r="K203" s="54"/>
      <c r="L203" s="687"/>
      <c r="M203" s="518"/>
      <c r="N203" s="68"/>
      <c r="O203" s="68"/>
      <c r="P203" s="68"/>
      <c r="Q203" s="68"/>
      <c r="R203" s="68"/>
      <c r="S203" s="68"/>
      <c r="T203" s="68"/>
      <c r="U203" s="54"/>
      <c r="V203" s="54"/>
      <c r="W203" s="54"/>
      <c r="X203" s="54"/>
      <c r="Y203" s="54"/>
      <c r="Z203" s="68"/>
      <c r="AA203" s="68"/>
      <c r="AB203" s="54"/>
      <c r="AC203" s="54"/>
      <c r="AD203" s="54"/>
      <c r="AE203" s="54"/>
      <c r="AF203" s="54"/>
      <c r="AG203" s="54"/>
      <c r="AH203" s="54"/>
      <c r="AI203" s="54"/>
      <c r="AJ203" s="54"/>
      <c r="AW203" s="18">
        <f t="shared" si="6"/>
        <v>0</v>
      </c>
    </row>
    <row r="204" spans="10:49" ht="15">
      <c r="J204" s="687"/>
      <c r="K204" s="54"/>
      <c r="L204" s="687"/>
      <c r="M204" s="518"/>
      <c r="N204" s="68"/>
      <c r="O204" s="68"/>
      <c r="P204" s="68"/>
      <c r="Q204" s="68"/>
      <c r="R204" s="68"/>
      <c r="S204" s="68"/>
      <c r="T204" s="68"/>
      <c r="U204" s="54"/>
      <c r="V204" s="54"/>
      <c r="W204" s="54"/>
      <c r="X204" s="54"/>
      <c r="Y204" s="54"/>
      <c r="Z204" s="68"/>
      <c r="AA204" s="68"/>
      <c r="AB204" s="54"/>
      <c r="AC204" s="54"/>
      <c r="AD204" s="54"/>
      <c r="AE204" s="54"/>
      <c r="AF204" s="54"/>
      <c r="AG204" s="54"/>
      <c r="AH204" s="54"/>
      <c r="AI204" s="54"/>
      <c r="AJ204" s="54"/>
      <c r="AW204" s="18">
        <f t="shared" si="6"/>
        <v>0</v>
      </c>
    </row>
    <row r="205" spans="10:49" ht="15">
      <c r="J205" s="687"/>
      <c r="K205" s="54"/>
      <c r="L205" s="687"/>
      <c r="M205" s="518"/>
      <c r="N205" s="68"/>
      <c r="O205" s="68"/>
      <c r="P205" s="68"/>
      <c r="Q205" s="68"/>
      <c r="R205" s="68"/>
      <c r="S205" s="68"/>
      <c r="T205" s="68"/>
      <c r="U205" s="54"/>
      <c r="V205" s="54"/>
      <c r="W205" s="54"/>
      <c r="X205" s="54"/>
      <c r="Y205" s="54"/>
      <c r="Z205" s="68"/>
      <c r="AA205" s="68"/>
      <c r="AB205" s="54"/>
      <c r="AC205" s="54"/>
      <c r="AD205" s="54"/>
      <c r="AE205" s="54"/>
      <c r="AF205" s="54"/>
      <c r="AG205" s="54"/>
      <c r="AH205" s="54"/>
      <c r="AI205" s="54"/>
      <c r="AJ205" s="54"/>
      <c r="AW205" s="18">
        <f t="shared" si="6"/>
        <v>0</v>
      </c>
    </row>
    <row r="206" spans="10:49" ht="15">
      <c r="J206" s="687"/>
      <c r="K206" s="54"/>
      <c r="L206" s="687"/>
      <c r="M206" s="518"/>
      <c r="N206" s="68"/>
      <c r="O206" s="68"/>
      <c r="P206" s="68"/>
      <c r="Q206" s="68"/>
      <c r="R206" s="68"/>
      <c r="S206" s="68"/>
      <c r="T206" s="68"/>
      <c r="U206" s="54"/>
      <c r="V206" s="54"/>
      <c r="W206" s="54"/>
      <c r="X206" s="54"/>
      <c r="Y206" s="54"/>
      <c r="Z206" s="68"/>
      <c r="AA206" s="68"/>
      <c r="AB206" s="54"/>
      <c r="AC206" s="54"/>
      <c r="AD206" s="54"/>
      <c r="AE206" s="54"/>
      <c r="AF206" s="54"/>
      <c r="AG206" s="54"/>
      <c r="AH206" s="54"/>
      <c r="AI206" s="54"/>
      <c r="AJ206" s="54"/>
      <c r="AW206" s="18">
        <f t="shared" si="6"/>
        <v>0</v>
      </c>
    </row>
    <row r="207" spans="10:49" ht="15">
      <c r="J207" s="687"/>
      <c r="K207" s="54"/>
      <c r="L207" s="687"/>
      <c r="M207" s="518"/>
      <c r="N207" s="68"/>
      <c r="O207" s="68"/>
      <c r="P207" s="68"/>
      <c r="Q207" s="68"/>
      <c r="R207" s="68"/>
      <c r="S207" s="68"/>
      <c r="T207" s="68"/>
      <c r="U207" s="54"/>
      <c r="V207" s="54"/>
      <c r="W207" s="54"/>
      <c r="X207" s="54"/>
      <c r="Y207" s="54"/>
      <c r="Z207" s="68"/>
      <c r="AA207" s="68"/>
      <c r="AB207" s="54"/>
      <c r="AC207" s="54"/>
      <c r="AD207" s="54"/>
      <c r="AE207" s="54"/>
      <c r="AF207" s="54"/>
      <c r="AG207" s="54"/>
      <c r="AH207" s="54"/>
      <c r="AI207" s="54"/>
      <c r="AJ207" s="54"/>
      <c r="AW207" s="18">
        <f t="shared" si="6"/>
        <v>0</v>
      </c>
    </row>
    <row r="208" spans="10:49" ht="15">
      <c r="J208" s="687"/>
      <c r="K208" s="54"/>
      <c r="L208" s="687"/>
      <c r="M208" s="518"/>
      <c r="N208" s="68"/>
      <c r="O208" s="68"/>
      <c r="P208" s="68"/>
      <c r="Q208" s="68"/>
      <c r="R208" s="68"/>
      <c r="S208" s="68"/>
      <c r="T208" s="68"/>
      <c r="U208" s="54"/>
      <c r="V208" s="54"/>
      <c r="W208" s="54"/>
      <c r="X208" s="54"/>
      <c r="Y208" s="54"/>
      <c r="Z208" s="68"/>
      <c r="AA208" s="68"/>
      <c r="AB208" s="54"/>
      <c r="AC208" s="54"/>
      <c r="AD208" s="54"/>
      <c r="AE208" s="54"/>
      <c r="AF208" s="54"/>
      <c r="AG208" s="54"/>
      <c r="AH208" s="54"/>
      <c r="AI208" s="54"/>
      <c r="AJ208" s="54"/>
      <c r="AW208" s="18">
        <f t="shared" si="6"/>
        <v>0</v>
      </c>
    </row>
    <row r="209" spans="10:49" ht="15">
      <c r="J209" s="687"/>
      <c r="K209" s="54"/>
      <c r="L209" s="687"/>
      <c r="M209" s="518"/>
      <c r="N209" s="68"/>
      <c r="O209" s="68"/>
      <c r="P209" s="68"/>
      <c r="Q209" s="68"/>
      <c r="R209" s="68"/>
      <c r="S209" s="68"/>
      <c r="T209" s="68"/>
      <c r="U209" s="54"/>
      <c r="V209" s="54"/>
      <c r="W209" s="54"/>
      <c r="X209" s="54"/>
      <c r="Y209" s="54"/>
      <c r="Z209" s="68"/>
      <c r="AA209" s="68"/>
      <c r="AB209" s="54"/>
      <c r="AC209" s="54"/>
      <c r="AD209" s="54"/>
      <c r="AE209" s="54"/>
      <c r="AF209" s="54"/>
      <c r="AG209" s="54"/>
      <c r="AH209" s="54"/>
      <c r="AI209" s="54"/>
      <c r="AJ209" s="54"/>
      <c r="AW209" s="18">
        <f t="shared" si="6"/>
        <v>0</v>
      </c>
    </row>
    <row r="210" spans="10:49" ht="15">
      <c r="J210" s="687"/>
      <c r="K210" s="54"/>
      <c r="L210" s="687"/>
      <c r="M210" s="518"/>
      <c r="N210" s="68"/>
      <c r="O210" s="68"/>
      <c r="P210" s="68"/>
      <c r="Q210" s="68"/>
      <c r="R210" s="68"/>
      <c r="S210" s="68"/>
      <c r="T210" s="68"/>
      <c r="U210" s="54"/>
      <c r="V210" s="54"/>
      <c r="W210" s="54"/>
      <c r="X210" s="54"/>
      <c r="Y210" s="54"/>
      <c r="Z210" s="68"/>
      <c r="AA210" s="68"/>
      <c r="AB210" s="54"/>
      <c r="AC210" s="54"/>
      <c r="AD210" s="54"/>
      <c r="AE210" s="54"/>
      <c r="AF210" s="54"/>
      <c r="AG210" s="54"/>
      <c r="AH210" s="54"/>
      <c r="AI210" s="54"/>
      <c r="AJ210" s="54"/>
      <c r="AW210" s="18">
        <f t="shared" ref="AW210:AW273" si="7">LEN(L210)</f>
        <v>0</v>
      </c>
    </row>
    <row r="211" spans="10:49" ht="15">
      <c r="J211" s="687"/>
      <c r="K211" s="54"/>
      <c r="L211" s="687"/>
      <c r="M211" s="518"/>
      <c r="N211" s="68"/>
      <c r="O211" s="68"/>
      <c r="P211" s="68"/>
      <c r="Q211" s="68"/>
      <c r="R211" s="68"/>
      <c r="S211" s="68"/>
      <c r="T211" s="68"/>
      <c r="U211" s="54"/>
      <c r="V211" s="54"/>
      <c r="W211" s="54"/>
      <c r="X211" s="54"/>
      <c r="Y211" s="54"/>
      <c r="Z211" s="68"/>
      <c r="AA211" s="68"/>
      <c r="AB211" s="54"/>
      <c r="AC211" s="54"/>
      <c r="AD211" s="54"/>
      <c r="AE211" s="54"/>
      <c r="AF211" s="54"/>
      <c r="AG211" s="54"/>
      <c r="AH211" s="54"/>
      <c r="AI211" s="54"/>
      <c r="AJ211" s="54"/>
      <c r="AW211" s="18">
        <f t="shared" si="7"/>
        <v>0</v>
      </c>
    </row>
    <row r="212" spans="10:49" ht="15">
      <c r="J212" s="687"/>
      <c r="K212" s="54"/>
      <c r="L212" s="687"/>
      <c r="M212" s="518"/>
      <c r="N212" s="68"/>
      <c r="O212" s="68"/>
      <c r="P212" s="68"/>
      <c r="Q212" s="68"/>
      <c r="R212" s="68"/>
      <c r="S212" s="68"/>
      <c r="T212" s="68"/>
      <c r="U212" s="54"/>
      <c r="V212" s="54"/>
      <c r="W212" s="54"/>
      <c r="X212" s="54"/>
      <c r="Y212" s="54"/>
      <c r="Z212" s="68"/>
      <c r="AA212" s="68"/>
      <c r="AB212" s="54"/>
      <c r="AC212" s="54"/>
      <c r="AD212" s="54"/>
      <c r="AE212" s="54"/>
      <c r="AF212" s="54"/>
      <c r="AG212" s="54"/>
      <c r="AH212" s="54"/>
      <c r="AI212" s="54"/>
      <c r="AJ212" s="54"/>
      <c r="AW212" s="18">
        <f t="shared" si="7"/>
        <v>0</v>
      </c>
    </row>
    <row r="213" spans="10:49" ht="15">
      <c r="J213" s="685"/>
      <c r="L213" s="685"/>
      <c r="M213" s="518"/>
      <c r="AW213" s="18">
        <f t="shared" si="7"/>
        <v>0</v>
      </c>
    </row>
    <row r="214" spans="10:49" ht="15">
      <c r="J214" s="686"/>
      <c r="L214" s="686"/>
      <c r="M214" s="518"/>
      <c r="AW214" s="18">
        <f t="shared" si="7"/>
        <v>0</v>
      </c>
    </row>
    <row r="215" spans="10:49" ht="15">
      <c r="J215" s="686"/>
      <c r="L215" s="686"/>
      <c r="M215" s="518"/>
      <c r="AW215" s="18">
        <f t="shared" si="7"/>
        <v>0</v>
      </c>
    </row>
    <row r="216" spans="10:49" ht="15">
      <c r="J216" s="686"/>
      <c r="L216" s="686"/>
      <c r="M216" s="518"/>
      <c r="AW216" s="18">
        <f t="shared" si="7"/>
        <v>0</v>
      </c>
    </row>
    <row r="217" spans="10:49" ht="15">
      <c r="J217" s="686"/>
      <c r="L217" s="686"/>
      <c r="M217" s="518"/>
      <c r="AW217" s="18">
        <f t="shared" si="7"/>
        <v>0</v>
      </c>
    </row>
    <row r="218" spans="10:49" ht="15">
      <c r="J218" s="686"/>
      <c r="L218" s="686"/>
      <c r="M218" s="518"/>
      <c r="AW218" s="18">
        <f t="shared" si="7"/>
        <v>0</v>
      </c>
    </row>
    <row r="219" spans="10:49" ht="15">
      <c r="J219" s="686"/>
      <c r="L219" s="686"/>
      <c r="M219" s="518"/>
      <c r="AW219" s="18">
        <f t="shared" si="7"/>
        <v>0</v>
      </c>
    </row>
    <row r="220" spans="10:49" ht="15">
      <c r="J220" s="686"/>
      <c r="L220" s="686"/>
      <c r="M220" s="518"/>
      <c r="AW220" s="18">
        <f t="shared" si="7"/>
        <v>0</v>
      </c>
    </row>
    <row r="221" spans="10:49" ht="15">
      <c r="J221" s="686"/>
      <c r="L221" s="686"/>
      <c r="M221" s="518"/>
      <c r="AW221" s="18">
        <f t="shared" si="7"/>
        <v>0</v>
      </c>
    </row>
    <row r="222" spans="10:49" ht="15">
      <c r="J222" s="686"/>
      <c r="L222" s="686"/>
      <c r="M222" s="518"/>
      <c r="AW222" s="18">
        <f t="shared" si="7"/>
        <v>0</v>
      </c>
    </row>
    <row r="223" spans="10:49" ht="15">
      <c r="J223" s="686"/>
      <c r="L223" s="686"/>
      <c r="M223" s="518"/>
      <c r="AW223" s="18">
        <f t="shared" si="7"/>
        <v>0</v>
      </c>
    </row>
    <row r="224" spans="10:49" ht="15">
      <c r="J224" s="686"/>
      <c r="L224" s="686"/>
      <c r="M224" s="518"/>
      <c r="AW224" s="18">
        <f t="shared" si="7"/>
        <v>0</v>
      </c>
    </row>
    <row r="225" spans="10:49" ht="15">
      <c r="J225" s="686"/>
      <c r="L225" s="686"/>
      <c r="M225" s="518"/>
      <c r="AW225" s="18">
        <f t="shared" si="7"/>
        <v>0</v>
      </c>
    </row>
    <row r="226" spans="10:49" ht="15">
      <c r="J226" s="397"/>
      <c r="L226" s="517"/>
      <c r="M226" s="518"/>
      <c r="AW226" s="18">
        <f t="shared" si="7"/>
        <v>0</v>
      </c>
    </row>
    <row r="227" spans="10:49" ht="15">
      <c r="AW227" s="18">
        <f t="shared" si="7"/>
        <v>0</v>
      </c>
    </row>
    <row r="228" spans="10:49" ht="15">
      <c r="AW228" s="18">
        <f t="shared" si="7"/>
        <v>0</v>
      </c>
    </row>
    <row r="229" spans="10:49" ht="15">
      <c r="AW229" s="18">
        <f t="shared" si="7"/>
        <v>0</v>
      </c>
    </row>
    <row r="230" spans="10:49" ht="15">
      <c r="AW230" s="18">
        <f t="shared" si="7"/>
        <v>0</v>
      </c>
    </row>
    <row r="231" spans="10:49" ht="15">
      <c r="AW231" s="18">
        <f t="shared" si="7"/>
        <v>0</v>
      </c>
    </row>
    <row r="232" spans="10:49" ht="15">
      <c r="AW232" s="18">
        <f t="shared" si="7"/>
        <v>0</v>
      </c>
    </row>
    <row r="233" spans="10:49" ht="15">
      <c r="AW233" s="18">
        <f t="shared" si="7"/>
        <v>0</v>
      </c>
    </row>
    <row r="234" spans="10:49" ht="15">
      <c r="AW234" s="18">
        <f t="shared" si="7"/>
        <v>0</v>
      </c>
    </row>
    <row r="235" spans="10:49" ht="15">
      <c r="AW235" s="18">
        <f t="shared" si="7"/>
        <v>0</v>
      </c>
    </row>
    <row r="236" spans="10:49" ht="15">
      <c r="AW236" s="18">
        <f t="shared" si="7"/>
        <v>0</v>
      </c>
    </row>
    <row r="237" spans="10:49" ht="15">
      <c r="AW237" s="18">
        <f t="shared" si="7"/>
        <v>0</v>
      </c>
    </row>
    <row r="238" spans="10:49" ht="15">
      <c r="AW238" s="18">
        <f t="shared" si="7"/>
        <v>0</v>
      </c>
    </row>
    <row r="239" spans="10:49" ht="15">
      <c r="AW239" s="18">
        <f t="shared" si="7"/>
        <v>0</v>
      </c>
    </row>
    <row r="240" spans="10:49" ht="15">
      <c r="AW240" s="18">
        <f t="shared" si="7"/>
        <v>0</v>
      </c>
    </row>
    <row r="241" spans="49:49" ht="15">
      <c r="AW241" s="18">
        <f t="shared" si="7"/>
        <v>0</v>
      </c>
    </row>
    <row r="242" spans="49:49" ht="15">
      <c r="AW242" s="18">
        <f t="shared" si="7"/>
        <v>0</v>
      </c>
    </row>
    <row r="243" spans="49:49" ht="15">
      <c r="AW243" s="18">
        <f t="shared" si="7"/>
        <v>0</v>
      </c>
    </row>
    <row r="244" spans="49:49" ht="15">
      <c r="AW244" s="18">
        <f t="shared" si="7"/>
        <v>0</v>
      </c>
    </row>
    <row r="245" spans="49:49" ht="15">
      <c r="AW245" s="18">
        <f t="shared" si="7"/>
        <v>0</v>
      </c>
    </row>
    <row r="246" spans="49:49" ht="15">
      <c r="AW246" s="18">
        <f t="shared" si="7"/>
        <v>0</v>
      </c>
    </row>
    <row r="247" spans="49:49" ht="15">
      <c r="AW247" s="18">
        <f t="shared" si="7"/>
        <v>0</v>
      </c>
    </row>
    <row r="248" spans="49:49" ht="15">
      <c r="AW248" s="18">
        <f t="shared" si="7"/>
        <v>0</v>
      </c>
    </row>
    <row r="249" spans="49:49" ht="15">
      <c r="AW249" s="18">
        <f t="shared" si="7"/>
        <v>0</v>
      </c>
    </row>
    <row r="250" spans="49:49" ht="15">
      <c r="AW250" s="18">
        <f t="shared" si="7"/>
        <v>0</v>
      </c>
    </row>
    <row r="251" spans="49:49" ht="15">
      <c r="AW251" s="18">
        <f t="shared" si="7"/>
        <v>0</v>
      </c>
    </row>
    <row r="252" spans="49:49" ht="15">
      <c r="AW252" s="18">
        <f t="shared" si="7"/>
        <v>0</v>
      </c>
    </row>
    <row r="253" spans="49:49" ht="15">
      <c r="AW253" s="18">
        <f t="shared" si="7"/>
        <v>0</v>
      </c>
    </row>
    <row r="254" spans="49:49" ht="15">
      <c r="AW254" s="18">
        <f t="shared" si="7"/>
        <v>0</v>
      </c>
    </row>
    <row r="255" spans="49:49" ht="15">
      <c r="AW255" s="18">
        <f t="shared" si="7"/>
        <v>0</v>
      </c>
    </row>
    <row r="256" spans="49:49" ht="15">
      <c r="AW256" s="18">
        <f t="shared" si="7"/>
        <v>0</v>
      </c>
    </row>
    <row r="257" spans="49:49" ht="15">
      <c r="AW257" s="18">
        <f t="shared" si="7"/>
        <v>0</v>
      </c>
    </row>
    <row r="258" spans="49:49" ht="15">
      <c r="AW258" s="18">
        <f t="shared" si="7"/>
        <v>0</v>
      </c>
    </row>
    <row r="259" spans="49:49" ht="15">
      <c r="AW259" s="18">
        <f t="shared" si="7"/>
        <v>0</v>
      </c>
    </row>
    <row r="260" spans="49:49" ht="15">
      <c r="AW260" s="18">
        <f t="shared" si="7"/>
        <v>0</v>
      </c>
    </row>
    <row r="261" spans="49:49" ht="15">
      <c r="AW261" s="18">
        <f t="shared" si="7"/>
        <v>0</v>
      </c>
    </row>
    <row r="262" spans="49:49" ht="15">
      <c r="AW262" s="18">
        <f t="shared" si="7"/>
        <v>0</v>
      </c>
    </row>
    <row r="263" spans="49:49" ht="15">
      <c r="AW263" s="18">
        <f t="shared" si="7"/>
        <v>0</v>
      </c>
    </row>
    <row r="264" spans="49:49" ht="15">
      <c r="AW264" s="18">
        <f t="shared" si="7"/>
        <v>0</v>
      </c>
    </row>
    <row r="265" spans="49:49" ht="15">
      <c r="AW265" s="18">
        <f t="shared" si="7"/>
        <v>0</v>
      </c>
    </row>
    <row r="266" spans="49:49" ht="15">
      <c r="AW266" s="18">
        <f t="shared" si="7"/>
        <v>0</v>
      </c>
    </row>
    <row r="267" spans="49:49" ht="15">
      <c r="AW267" s="18">
        <f t="shared" si="7"/>
        <v>0</v>
      </c>
    </row>
    <row r="268" spans="49:49" ht="15">
      <c r="AW268" s="18">
        <f t="shared" si="7"/>
        <v>0</v>
      </c>
    </row>
    <row r="269" spans="49:49" ht="15">
      <c r="AW269" s="18">
        <f t="shared" si="7"/>
        <v>0</v>
      </c>
    </row>
    <row r="270" spans="49:49" ht="15">
      <c r="AW270" s="18">
        <f t="shared" si="7"/>
        <v>0</v>
      </c>
    </row>
    <row r="271" spans="49:49" ht="15">
      <c r="AW271" s="18">
        <f t="shared" si="7"/>
        <v>0</v>
      </c>
    </row>
    <row r="272" spans="49:49" ht="15">
      <c r="AW272" s="18">
        <f t="shared" si="7"/>
        <v>0</v>
      </c>
    </row>
    <row r="273" spans="49:49" ht="15">
      <c r="AW273" s="18">
        <f t="shared" si="7"/>
        <v>0</v>
      </c>
    </row>
    <row r="274" spans="49:49" ht="15">
      <c r="AW274" s="18">
        <f t="shared" ref="AW274:AW337" si="8">LEN(L274)</f>
        <v>0</v>
      </c>
    </row>
    <row r="275" spans="49:49" ht="15">
      <c r="AW275" s="18">
        <f t="shared" si="8"/>
        <v>0</v>
      </c>
    </row>
    <row r="276" spans="49:49" ht="15">
      <c r="AW276" s="18">
        <f t="shared" si="8"/>
        <v>0</v>
      </c>
    </row>
    <row r="277" spans="49:49" ht="15">
      <c r="AW277" s="18">
        <f t="shared" si="8"/>
        <v>0</v>
      </c>
    </row>
    <row r="278" spans="49:49" ht="15">
      <c r="AW278" s="18">
        <f t="shared" si="8"/>
        <v>0</v>
      </c>
    </row>
    <row r="279" spans="49:49" ht="15">
      <c r="AW279" s="18">
        <f t="shared" si="8"/>
        <v>0</v>
      </c>
    </row>
    <row r="280" spans="49:49" ht="15">
      <c r="AW280" s="18">
        <f t="shared" si="8"/>
        <v>0</v>
      </c>
    </row>
    <row r="281" spans="49:49" ht="15">
      <c r="AW281" s="18">
        <f t="shared" si="8"/>
        <v>0</v>
      </c>
    </row>
    <row r="282" spans="49:49" ht="15">
      <c r="AW282" s="18">
        <f t="shared" si="8"/>
        <v>0</v>
      </c>
    </row>
    <row r="283" spans="49:49" ht="15">
      <c r="AW283" s="18">
        <f t="shared" si="8"/>
        <v>0</v>
      </c>
    </row>
    <row r="284" spans="49:49" ht="15">
      <c r="AW284" s="18">
        <f t="shared" si="8"/>
        <v>0</v>
      </c>
    </row>
    <row r="285" spans="49:49" ht="15">
      <c r="AW285" s="18">
        <f t="shared" si="8"/>
        <v>0</v>
      </c>
    </row>
    <row r="286" spans="49:49" ht="15">
      <c r="AW286" s="18">
        <f t="shared" si="8"/>
        <v>0</v>
      </c>
    </row>
    <row r="287" spans="49:49" ht="15">
      <c r="AW287" s="18">
        <f t="shared" si="8"/>
        <v>0</v>
      </c>
    </row>
    <row r="288" spans="49:49" ht="15">
      <c r="AW288" s="18">
        <f t="shared" si="8"/>
        <v>0</v>
      </c>
    </row>
    <row r="289" spans="49:49" ht="15">
      <c r="AW289" s="18">
        <f t="shared" si="8"/>
        <v>0</v>
      </c>
    </row>
    <row r="290" spans="49:49" ht="15">
      <c r="AW290" s="18">
        <f t="shared" si="8"/>
        <v>0</v>
      </c>
    </row>
    <row r="291" spans="49:49" ht="15">
      <c r="AW291" s="18">
        <f t="shared" si="8"/>
        <v>0</v>
      </c>
    </row>
    <row r="292" spans="49:49" ht="15">
      <c r="AW292" s="18">
        <f t="shared" si="8"/>
        <v>0</v>
      </c>
    </row>
    <row r="293" spans="49:49" ht="15">
      <c r="AW293" s="18">
        <f t="shared" si="8"/>
        <v>0</v>
      </c>
    </row>
    <row r="294" spans="49:49" ht="15">
      <c r="AW294" s="18">
        <f t="shared" si="8"/>
        <v>0</v>
      </c>
    </row>
    <row r="295" spans="49:49" ht="15">
      <c r="AW295" s="18">
        <f t="shared" si="8"/>
        <v>0</v>
      </c>
    </row>
    <row r="296" spans="49:49" ht="15">
      <c r="AW296" s="18">
        <f t="shared" si="8"/>
        <v>0</v>
      </c>
    </row>
    <row r="297" spans="49:49" ht="15">
      <c r="AW297" s="18">
        <f t="shared" si="8"/>
        <v>0</v>
      </c>
    </row>
    <row r="298" spans="49:49" ht="15">
      <c r="AW298" s="18">
        <f t="shared" si="8"/>
        <v>0</v>
      </c>
    </row>
    <row r="299" spans="49:49" ht="15">
      <c r="AW299" s="18">
        <f t="shared" si="8"/>
        <v>0</v>
      </c>
    </row>
    <row r="300" spans="49:49" ht="15">
      <c r="AW300" s="18">
        <f t="shared" si="8"/>
        <v>0</v>
      </c>
    </row>
    <row r="301" spans="49:49" ht="15">
      <c r="AW301" s="18">
        <f t="shared" si="8"/>
        <v>0</v>
      </c>
    </row>
    <row r="302" spans="49:49" ht="15">
      <c r="AW302" s="18">
        <f t="shared" si="8"/>
        <v>0</v>
      </c>
    </row>
    <row r="303" spans="49:49" ht="15">
      <c r="AW303" s="18">
        <f t="shared" si="8"/>
        <v>0</v>
      </c>
    </row>
    <row r="304" spans="49:49" ht="15">
      <c r="AW304" s="18">
        <f t="shared" si="8"/>
        <v>0</v>
      </c>
    </row>
    <row r="305" spans="49:49" ht="15">
      <c r="AW305" s="18">
        <f t="shared" si="8"/>
        <v>0</v>
      </c>
    </row>
    <row r="306" spans="49:49" ht="15">
      <c r="AW306" s="18">
        <f t="shared" si="8"/>
        <v>0</v>
      </c>
    </row>
    <row r="307" spans="49:49" ht="15">
      <c r="AW307" s="18">
        <f t="shared" si="8"/>
        <v>0</v>
      </c>
    </row>
    <row r="308" spans="49:49" ht="15">
      <c r="AW308" s="18">
        <f t="shared" si="8"/>
        <v>0</v>
      </c>
    </row>
    <row r="309" spans="49:49" ht="15">
      <c r="AW309" s="18">
        <f t="shared" si="8"/>
        <v>0</v>
      </c>
    </row>
    <row r="310" spans="49:49" ht="15">
      <c r="AW310" s="18">
        <f t="shared" si="8"/>
        <v>0</v>
      </c>
    </row>
    <row r="311" spans="49:49" ht="15">
      <c r="AW311" s="18">
        <f t="shared" si="8"/>
        <v>0</v>
      </c>
    </row>
    <row r="312" spans="49:49" ht="15">
      <c r="AW312" s="18">
        <f t="shared" si="8"/>
        <v>0</v>
      </c>
    </row>
    <row r="313" spans="49:49" ht="15">
      <c r="AW313" s="18">
        <f t="shared" si="8"/>
        <v>0</v>
      </c>
    </row>
    <row r="314" spans="49:49" ht="15">
      <c r="AW314" s="18">
        <f t="shared" si="8"/>
        <v>0</v>
      </c>
    </row>
    <row r="315" spans="49:49" ht="15">
      <c r="AW315" s="18">
        <f t="shared" si="8"/>
        <v>0</v>
      </c>
    </row>
    <row r="316" spans="49:49" ht="15">
      <c r="AW316" s="18">
        <f t="shared" si="8"/>
        <v>0</v>
      </c>
    </row>
    <row r="317" spans="49:49" ht="15">
      <c r="AW317" s="18">
        <f t="shared" si="8"/>
        <v>0</v>
      </c>
    </row>
    <row r="318" spans="49:49" ht="15">
      <c r="AW318" s="18">
        <f t="shared" si="8"/>
        <v>0</v>
      </c>
    </row>
    <row r="319" spans="49:49" ht="15">
      <c r="AW319" s="18">
        <f t="shared" si="8"/>
        <v>0</v>
      </c>
    </row>
    <row r="320" spans="49:49" ht="15">
      <c r="AW320" s="18">
        <f t="shared" si="8"/>
        <v>0</v>
      </c>
    </row>
    <row r="321" spans="49:49" ht="15">
      <c r="AW321" s="18">
        <f t="shared" si="8"/>
        <v>0</v>
      </c>
    </row>
    <row r="322" spans="49:49" ht="15">
      <c r="AW322" s="18">
        <f t="shared" si="8"/>
        <v>0</v>
      </c>
    </row>
    <row r="323" spans="49:49" ht="15">
      <c r="AW323" s="18">
        <f t="shared" si="8"/>
        <v>0</v>
      </c>
    </row>
    <row r="324" spans="49:49" ht="15">
      <c r="AW324" s="18">
        <f t="shared" si="8"/>
        <v>0</v>
      </c>
    </row>
    <row r="325" spans="49:49" ht="15">
      <c r="AW325" s="18">
        <f t="shared" si="8"/>
        <v>0</v>
      </c>
    </row>
    <row r="326" spans="49:49" ht="15">
      <c r="AW326" s="18">
        <f t="shared" si="8"/>
        <v>0</v>
      </c>
    </row>
    <row r="327" spans="49:49" ht="15">
      <c r="AW327" s="18">
        <f t="shared" si="8"/>
        <v>0</v>
      </c>
    </row>
    <row r="328" spans="49:49" ht="15">
      <c r="AW328" s="18">
        <f t="shared" si="8"/>
        <v>0</v>
      </c>
    </row>
    <row r="329" spans="49:49" ht="15">
      <c r="AW329" s="18">
        <f t="shared" si="8"/>
        <v>0</v>
      </c>
    </row>
    <row r="330" spans="49:49" ht="15">
      <c r="AW330" s="18">
        <f t="shared" si="8"/>
        <v>0</v>
      </c>
    </row>
    <row r="331" spans="49:49" ht="15">
      <c r="AW331" s="18">
        <f t="shared" si="8"/>
        <v>0</v>
      </c>
    </row>
    <row r="332" spans="49:49" ht="15">
      <c r="AW332" s="18">
        <f t="shared" si="8"/>
        <v>0</v>
      </c>
    </row>
    <row r="333" spans="49:49" ht="15">
      <c r="AW333" s="18">
        <f t="shared" si="8"/>
        <v>0</v>
      </c>
    </row>
    <row r="334" spans="49:49" ht="15">
      <c r="AW334" s="18">
        <f t="shared" si="8"/>
        <v>0</v>
      </c>
    </row>
    <row r="335" spans="49:49" ht="15">
      <c r="AW335" s="18">
        <f t="shared" si="8"/>
        <v>0</v>
      </c>
    </row>
    <row r="336" spans="49:49" ht="15">
      <c r="AW336" s="18">
        <f t="shared" si="8"/>
        <v>0</v>
      </c>
    </row>
    <row r="337" spans="49:49" ht="15">
      <c r="AW337" s="18">
        <f t="shared" si="8"/>
        <v>0</v>
      </c>
    </row>
    <row r="338" spans="49:49" ht="15">
      <c r="AW338" s="18">
        <f t="shared" ref="AW338:AW401" si="9">LEN(L338)</f>
        <v>0</v>
      </c>
    </row>
    <row r="339" spans="49:49" ht="15">
      <c r="AW339" s="18">
        <f t="shared" si="9"/>
        <v>0</v>
      </c>
    </row>
    <row r="340" spans="49:49" ht="15">
      <c r="AW340" s="18">
        <f t="shared" si="9"/>
        <v>0</v>
      </c>
    </row>
    <row r="341" spans="49:49" ht="15">
      <c r="AW341" s="18">
        <f t="shared" si="9"/>
        <v>0</v>
      </c>
    </row>
    <row r="342" spans="49:49" ht="15">
      <c r="AW342" s="18">
        <f t="shared" si="9"/>
        <v>0</v>
      </c>
    </row>
    <row r="343" spans="49:49" ht="15">
      <c r="AW343" s="18">
        <f t="shared" si="9"/>
        <v>0</v>
      </c>
    </row>
    <row r="344" spans="49:49" ht="15">
      <c r="AW344" s="18">
        <f t="shared" si="9"/>
        <v>0</v>
      </c>
    </row>
    <row r="345" spans="49:49" ht="15">
      <c r="AW345" s="18">
        <f t="shared" si="9"/>
        <v>0</v>
      </c>
    </row>
    <row r="346" spans="49:49" ht="15">
      <c r="AW346" s="18">
        <f t="shared" si="9"/>
        <v>0</v>
      </c>
    </row>
    <row r="347" spans="49:49" ht="15">
      <c r="AW347" s="18">
        <f t="shared" si="9"/>
        <v>0</v>
      </c>
    </row>
    <row r="348" spans="49:49" ht="15">
      <c r="AW348" s="18">
        <f t="shared" si="9"/>
        <v>0</v>
      </c>
    </row>
    <row r="349" spans="49:49" ht="15">
      <c r="AW349" s="18">
        <f t="shared" si="9"/>
        <v>0</v>
      </c>
    </row>
    <row r="350" spans="49:49" ht="15">
      <c r="AW350" s="18">
        <f t="shared" si="9"/>
        <v>0</v>
      </c>
    </row>
    <row r="351" spans="49:49" ht="15">
      <c r="AW351" s="18">
        <f t="shared" si="9"/>
        <v>0</v>
      </c>
    </row>
    <row r="352" spans="49:49" ht="15">
      <c r="AW352" s="18">
        <f t="shared" si="9"/>
        <v>0</v>
      </c>
    </row>
    <row r="353" spans="49:49" ht="15">
      <c r="AW353" s="18">
        <f t="shared" si="9"/>
        <v>0</v>
      </c>
    </row>
    <row r="354" spans="49:49" ht="15">
      <c r="AW354" s="18">
        <f t="shared" si="9"/>
        <v>0</v>
      </c>
    </row>
    <row r="355" spans="49:49" ht="15">
      <c r="AW355" s="18">
        <f t="shared" si="9"/>
        <v>0</v>
      </c>
    </row>
    <row r="356" spans="49:49" ht="15">
      <c r="AW356" s="18">
        <f t="shared" si="9"/>
        <v>0</v>
      </c>
    </row>
    <row r="357" spans="49:49" ht="15">
      <c r="AW357" s="18">
        <f t="shared" si="9"/>
        <v>0</v>
      </c>
    </row>
    <row r="358" spans="49:49" ht="15">
      <c r="AW358" s="18">
        <f t="shared" si="9"/>
        <v>0</v>
      </c>
    </row>
    <row r="359" spans="49:49" ht="15">
      <c r="AW359" s="18">
        <f t="shared" si="9"/>
        <v>0</v>
      </c>
    </row>
    <row r="360" spans="49:49" ht="15">
      <c r="AW360" s="18">
        <f t="shared" si="9"/>
        <v>0</v>
      </c>
    </row>
    <row r="361" spans="49:49" ht="15">
      <c r="AW361" s="18">
        <f t="shared" si="9"/>
        <v>0</v>
      </c>
    </row>
    <row r="362" spans="49:49" ht="15">
      <c r="AW362" s="18">
        <f t="shared" si="9"/>
        <v>0</v>
      </c>
    </row>
    <row r="363" spans="49:49" ht="15">
      <c r="AW363" s="18">
        <f t="shared" si="9"/>
        <v>0</v>
      </c>
    </row>
    <row r="364" spans="49:49" ht="15">
      <c r="AW364" s="18">
        <f t="shared" si="9"/>
        <v>0</v>
      </c>
    </row>
    <row r="365" spans="49:49" ht="15">
      <c r="AW365" s="18">
        <f t="shared" si="9"/>
        <v>0</v>
      </c>
    </row>
    <row r="366" spans="49:49" ht="15">
      <c r="AW366" s="18">
        <f t="shared" si="9"/>
        <v>0</v>
      </c>
    </row>
    <row r="367" spans="49:49" ht="15">
      <c r="AW367" s="18">
        <f t="shared" si="9"/>
        <v>0</v>
      </c>
    </row>
    <row r="368" spans="49:49" ht="15">
      <c r="AW368" s="18">
        <f t="shared" si="9"/>
        <v>0</v>
      </c>
    </row>
    <row r="369" spans="49:49" ht="15">
      <c r="AW369" s="18">
        <f t="shared" si="9"/>
        <v>0</v>
      </c>
    </row>
    <row r="370" spans="49:49" ht="15">
      <c r="AW370" s="18">
        <f t="shared" si="9"/>
        <v>0</v>
      </c>
    </row>
    <row r="371" spans="49:49" ht="15">
      <c r="AW371" s="18">
        <f t="shared" si="9"/>
        <v>0</v>
      </c>
    </row>
    <row r="372" spans="49:49" ht="15">
      <c r="AW372" s="18">
        <f t="shared" si="9"/>
        <v>0</v>
      </c>
    </row>
    <row r="373" spans="49:49" ht="15">
      <c r="AW373" s="18">
        <f t="shared" si="9"/>
        <v>0</v>
      </c>
    </row>
    <row r="374" spans="49:49" ht="15">
      <c r="AW374" s="18">
        <f t="shared" si="9"/>
        <v>0</v>
      </c>
    </row>
    <row r="375" spans="49:49" ht="15">
      <c r="AW375" s="18">
        <f t="shared" si="9"/>
        <v>0</v>
      </c>
    </row>
    <row r="376" spans="49:49" ht="15">
      <c r="AW376" s="18">
        <f t="shared" si="9"/>
        <v>0</v>
      </c>
    </row>
    <row r="377" spans="49:49" ht="15">
      <c r="AW377" s="18">
        <f t="shared" si="9"/>
        <v>0</v>
      </c>
    </row>
    <row r="378" spans="49:49" ht="15">
      <c r="AW378" s="18">
        <f t="shared" si="9"/>
        <v>0</v>
      </c>
    </row>
    <row r="379" spans="49:49" ht="15">
      <c r="AW379" s="18">
        <f t="shared" si="9"/>
        <v>0</v>
      </c>
    </row>
    <row r="380" spans="49:49" ht="15">
      <c r="AW380" s="18">
        <f t="shared" si="9"/>
        <v>0</v>
      </c>
    </row>
    <row r="381" spans="49:49" ht="15">
      <c r="AW381" s="18">
        <f t="shared" si="9"/>
        <v>0</v>
      </c>
    </row>
    <row r="382" spans="49:49" ht="15">
      <c r="AW382" s="18">
        <f t="shared" si="9"/>
        <v>0</v>
      </c>
    </row>
    <row r="383" spans="49:49" ht="15">
      <c r="AW383" s="18">
        <f t="shared" si="9"/>
        <v>0</v>
      </c>
    </row>
    <row r="384" spans="49:49" ht="15">
      <c r="AW384" s="18">
        <f t="shared" si="9"/>
        <v>0</v>
      </c>
    </row>
    <row r="385" spans="49:49" ht="15">
      <c r="AW385" s="18">
        <f t="shared" si="9"/>
        <v>0</v>
      </c>
    </row>
    <row r="386" spans="49:49" ht="15">
      <c r="AW386" s="18">
        <f t="shared" si="9"/>
        <v>0</v>
      </c>
    </row>
    <row r="387" spans="49:49" ht="15">
      <c r="AW387" s="18">
        <f t="shared" si="9"/>
        <v>0</v>
      </c>
    </row>
    <row r="388" spans="49:49" ht="15">
      <c r="AW388" s="18">
        <f t="shared" si="9"/>
        <v>0</v>
      </c>
    </row>
    <row r="389" spans="49:49" ht="15">
      <c r="AW389" s="18">
        <f t="shared" si="9"/>
        <v>0</v>
      </c>
    </row>
    <row r="390" spans="49:49" ht="15">
      <c r="AW390" s="18">
        <f t="shared" si="9"/>
        <v>0</v>
      </c>
    </row>
    <row r="391" spans="49:49" ht="15">
      <c r="AW391" s="18">
        <f t="shared" si="9"/>
        <v>0</v>
      </c>
    </row>
    <row r="392" spans="49:49" ht="15">
      <c r="AW392" s="18">
        <f t="shared" si="9"/>
        <v>0</v>
      </c>
    </row>
    <row r="393" spans="49:49" ht="15">
      <c r="AW393" s="18">
        <f t="shared" si="9"/>
        <v>0</v>
      </c>
    </row>
    <row r="394" spans="49:49" ht="15">
      <c r="AW394" s="18">
        <f t="shared" si="9"/>
        <v>0</v>
      </c>
    </row>
    <row r="395" spans="49:49" ht="15">
      <c r="AW395" s="18">
        <f t="shared" si="9"/>
        <v>0</v>
      </c>
    </row>
    <row r="396" spans="49:49" ht="15">
      <c r="AW396" s="18">
        <f t="shared" si="9"/>
        <v>0</v>
      </c>
    </row>
    <row r="397" spans="49:49" ht="15">
      <c r="AW397" s="18">
        <f t="shared" si="9"/>
        <v>0</v>
      </c>
    </row>
    <row r="398" spans="49:49" ht="15">
      <c r="AW398" s="18">
        <f t="shared" si="9"/>
        <v>0</v>
      </c>
    </row>
    <row r="399" spans="49:49" ht="15">
      <c r="AW399" s="18">
        <f t="shared" si="9"/>
        <v>0</v>
      </c>
    </row>
    <row r="400" spans="49:49" ht="15">
      <c r="AW400" s="18">
        <f t="shared" si="9"/>
        <v>0</v>
      </c>
    </row>
    <row r="401" spans="49:49" ht="15">
      <c r="AW401" s="18">
        <f t="shared" si="9"/>
        <v>0</v>
      </c>
    </row>
    <row r="402" spans="49:49" ht="15">
      <c r="AW402" s="18">
        <f t="shared" ref="AW402:AW456" si="10">LEN(L402)</f>
        <v>0</v>
      </c>
    </row>
    <row r="403" spans="49:49" ht="15">
      <c r="AW403" s="18">
        <f t="shared" si="10"/>
        <v>0</v>
      </c>
    </row>
    <row r="404" spans="49:49" ht="15">
      <c r="AW404" s="18">
        <f t="shared" si="10"/>
        <v>0</v>
      </c>
    </row>
    <row r="405" spans="49:49" ht="15">
      <c r="AW405" s="18">
        <f t="shared" si="10"/>
        <v>0</v>
      </c>
    </row>
    <row r="406" spans="49:49" ht="15">
      <c r="AW406" s="18">
        <f t="shared" si="10"/>
        <v>0</v>
      </c>
    </row>
    <row r="407" spans="49:49" ht="15">
      <c r="AW407" s="18">
        <f t="shared" si="10"/>
        <v>0</v>
      </c>
    </row>
    <row r="408" spans="49:49" ht="15">
      <c r="AW408" s="18">
        <f t="shared" si="10"/>
        <v>0</v>
      </c>
    </row>
    <row r="409" spans="49:49" ht="15">
      <c r="AW409" s="18">
        <f t="shared" si="10"/>
        <v>0</v>
      </c>
    </row>
    <row r="410" spans="49:49" ht="15">
      <c r="AW410" s="18">
        <f t="shared" si="10"/>
        <v>0</v>
      </c>
    </row>
    <row r="411" spans="49:49" ht="15">
      <c r="AW411" s="18">
        <f t="shared" si="10"/>
        <v>0</v>
      </c>
    </row>
    <row r="412" spans="49:49" ht="15">
      <c r="AW412" s="18">
        <f t="shared" si="10"/>
        <v>0</v>
      </c>
    </row>
    <row r="413" spans="49:49" ht="15">
      <c r="AW413" s="18">
        <f t="shared" si="10"/>
        <v>0</v>
      </c>
    </row>
    <row r="414" spans="49:49" ht="15">
      <c r="AW414" s="18">
        <f t="shared" si="10"/>
        <v>0</v>
      </c>
    </row>
    <row r="415" spans="49:49" ht="15">
      <c r="AW415" s="18">
        <f t="shared" si="10"/>
        <v>0</v>
      </c>
    </row>
    <row r="416" spans="49:49" ht="15">
      <c r="AW416" s="18">
        <f t="shared" si="10"/>
        <v>0</v>
      </c>
    </row>
    <row r="417" spans="49:49" ht="15">
      <c r="AW417" s="18">
        <f t="shared" si="10"/>
        <v>0</v>
      </c>
    </row>
    <row r="418" spans="49:49" ht="15">
      <c r="AW418" s="18">
        <f t="shared" si="10"/>
        <v>0</v>
      </c>
    </row>
    <row r="419" spans="49:49" ht="15">
      <c r="AW419" s="18">
        <f t="shared" si="10"/>
        <v>0</v>
      </c>
    </row>
    <row r="420" spans="49:49" ht="15">
      <c r="AW420" s="18">
        <f t="shared" si="10"/>
        <v>0</v>
      </c>
    </row>
    <row r="421" spans="49:49" ht="15">
      <c r="AW421" s="18">
        <f t="shared" si="10"/>
        <v>0</v>
      </c>
    </row>
    <row r="422" spans="49:49" ht="15">
      <c r="AW422" s="18">
        <f t="shared" si="10"/>
        <v>0</v>
      </c>
    </row>
    <row r="423" spans="49:49" ht="15">
      <c r="AW423" s="18">
        <f t="shared" si="10"/>
        <v>0</v>
      </c>
    </row>
    <row r="424" spans="49:49" ht="15">
      <c r="AW424" s="18">
        <f t="shared" si="10"/>
        <v>0</v>
      </c>
    </row>
    <row r="425" spans="49:49" ht="15">
      <c r="AW425" s="18">
        <f t="shared" si="10"/>
        <v>0</v>
      </c>
    </row>
    <row r="426" spans="49:49" ht="15">
      <c r="AW426" s="18">
        <f t="shared" si="10"/>
        <v>0</v>
      </c>
    </row>
    <row r="427" spans="49:49" ht="15">
      <c r="AW427" s="18">
        <f t="shared" si="10"/>
        <v>0</v>
      </c>
    </row>
    <row r="428" spans="49:49" ht="15">
      <c r="AW428" s="18">
        <f t="shared" si="10"/>
        <v>0</v>
      </c>
    </row>
    <row r="429" spans="49:49" ht="15">
      <c r="AW429" s="18">
        <f t="shared" si="10"/>
        <v>0</v>
      </c>
    </row>
    <row r="430" spans="49:49" ht="15">
      <c r="AW430" s="18">
        <f t="shared" si="10"/>
        <v>0</v>
      </c>
    </row>
    <row r="431" spans="49:49" ht="15">
      <c r="AW431" s="18">
        <f t="shared" si="10"/>
        <v>0</v>
      </c>
    </row>
    <row r="432" spans="49:49" ht="15">
      <c r="AW432" s="18">
        <f t="shared" si="10"/>
        <v>0</v>
      </c>
    </row>
    <row r="433" spans="49:49" ht="15">
      <c r="AW433" s="18">
        <f t="shared" si="10"/>
        <v>0</v>
      </c>
    </row>
    <row r="434" spans="49:49" ht="15">
      <c r="AW434" s="18">
        <f t="shared" si="10"/>
        <v>0</v>
      </c>
    </row>
    <row r="435" spans="49:49" ht="15">
      <c r="AW435" s="18">
        <f t="shared" si="10"/>
        <v>0</v>
      </c>
    </row>
    <row r="436" spans="49:49" ht="15">
      <c r="AW436" s="18">
        <f t="shared" si="10"/>
        <v>0</v>
      </c>
    </row>
    <row r="437" spans="49:49" ht="15">
      <c r="AW437" s="18">
        <f t="shared" si="10"/>
        <v>0</v>
      </c>
    </row>
    <row r="438" spans="49:49" ht="15">
      <c r="AW438" s="18">
        <f t="shared" si="10"/>
        <v>0</v>
      </c>
    </row>
    <row r="439" spans="49:49" ht="15">
      <c r="AW439" s="18">
        <f t="shared" si="10"/>
        <v>0</v>
      </c>
    </row>
    <row r="440" spans="49:49" ht="15">
      <c r="AW440" s="18">
        <f t="shared" si="10"/>
        <v>0</v>
      </c>
    </row>
    <row r="441" spans="49:49" ht="15">
      <c r="AW441" s="18">
        <f t="shared" si="10"/>
        <v>0</v>
      </c>
    </row>
    <row r="442" spans="49:49" ht="15">
      <c r="AW442" s="18">
        <f t="shared" si="10"/>
        <v>0</v>
      </c>
    </row>
    <row r="443" spans="49:49" ht="15">
      <c r="AW443" s="18">
        <f t="shared" si="10"/>
        <v>0</v>
      </c>
    </row>
    <row r="444" spans="49:49" ht="15">
      <c r="AW444" s="18">
        <f t="shared" si="10"/>
        <v>0</v>
      </c>
    </row>
    <row r="445" spans="49:49" ht="15">
      <c r="AW445" s="18">
        <f t="shared" si="10"/>
        <v>0</v>
      </c>
    </row>
    <row r="446" spans="49:49" ht="15">
      <c r="AW446" s="18">
        <f t="shared" si="10"/>
        <v>0</v>
      </c>
    </row>
    <row r="447" spans="49:49" ht="15">
      <c r="AW447" s="18">
        <f t="shared" si="10"/>
        <v>0</v>
      </c>
    </row>
    <row r="448" spans="49:49" ht="15">
      <c r="AW448" s="18">
        <f t="shared" si="10"/>
        <v>0</v>
      </c>
    </row>
    <row r="449" spans="49:49" ht="15">
      <c r="AW449" s="18">
        <f t="shared" si="10"/>
        <v>0</v>
      </c>
    </row>
    <row r="450" spans="49:49" ht="15">
      <c r="AW450" s="18">
        <f t="shared" si="10"/>
        <v>0</v>
      </c>
    </row>
    <row r="451" spans="49:49" ht="15">
      <c r="AW451" s="18">
        <f t="shared" si="10"/>
        <v>0</v>
      </c>
    </row>
    <row r="452" spans="49:49" ht="15">
      <c r="AW452" s="18">
        <f t="shared" si="10"/>
        <v>0</v>
      </c>
    </row>
    <row r="453" spans="49:49" ht="15">
      <c r="AW453" s="18">
        <f t="shared" si="10"/>
        <v>0</v>
      </c>
    </row>
    <row r="454" spans="49:49" ht="15">
      <c r="AW454" s="18">
        <f t="shared" si="10"/>
        <v>0</v>
      </c>
    </row>
    <row r="455" spans="49:49" ht="15">
      <c r="AW455" s="18">
        <f t="shared" si="10"/>
        <v>0</v>
      </c>
    </row>
    <row r="456" spans="49:49" ht="15">
      <c r="AW456" s="18">
        <f t="shared" si="10"/>
        <v>0</v>
      </c>
    </row>
  </sheetData>
  <mergeCells count="60">
    <mergeCell ref="AO4:AU4"/>
    <mergeCell ref="B5:B6"/>
    <mergeCell ref="C5:C6"/>
    <mergeCell ref="D5:D6"/>
    <mergeCell ref="E5:E6"/>
    <mergeCell ref="H5:H6"/>
    <mergeCell ref="I5:I6"/>
    <mergeCell ref="J5:J6"/>
    <mergeCell ref="P5:P6"/>
    <mergeCell ref="W4:AD4"/>
    <mergeCell ref="AB5:AB6"/>
    <mergeCell ref="AC5:AC6"/>
    <mergeCell ref="AD5:AD6"/>
    <mergeCell ref="Q5:Q6"/>
    <mergeCell ref="W5:W6"/>
    <mergeCell ref="X5:X6"/>
    <mergeCell ref="AE4:AL4"/>
    <mergeCell ref="B4:C4"/>
    <mergeCell ref="AG5:AG6"/>
    <mergeCell ref="AH5:AH6"/>
    <mergeCell ref="R5:R6"/>
    <mergeCell ref="S5:S6"/>
    <mergeCell ref="AL5:AL6"/>
    <mergeCell ref="AI5:AI6"/>
    <mergeCell ref="AJ5:AJ6"/>
    <mergeCell ref="AK5:AK6"/>
    <mergeCell ref="Y5:Y6"/>
    <mergeCell ref="Z5:Z6"/>
    <mergeCell ref="AA5:AA6"/>
    <mergeCell ref="CC5:CD5"/>
    <mergeCell ref="J148:J212"/>
    <mergeCell ref="L148:L212"/>
    <mergeCell ref="AZ5:AZ6"/>
    <mergeCell ref="BA5:BE5"/>
    <mergeCell ref="BF5:BS5"/>
    <mergeCell ref="BT5:BW5"/>
    <mergeCell ref="AT5:AT6"/>
    <mergeCell ref="AU5:AU6"/>
    <mergeCell ref="AV5:AV6"/>
    <mergeCell ref="V5:V6"/>
    <mergeCell ref="K5:K6"/>
    <mergeCell ref="L5:L6"/>
    <mergeCell ref="N5:N6"/>
    <mergeCell ref="O5:O6"/>
    <mergeCell ref="J223:J225"/>
    <mergeCell ref="L223:L225"/>
    <mergeCell ref="BX5:BY5"/>
    <mergeCell ref="BZ5:CB5"/>
    <mergeCell ref="AX5:AX6"/>
    <mergeCell ref="AP5:AP6"/>
    <mergeCell ref="AQ5:AQ6"/>
    <mergeCell ref="AR5:AR6"/>
    <mergeCell ref="AS5:AS6"/>
    <mergeCell ref="AO5:AO6"/>
    <mergeCell ref="T5:T6"/>
    <mergeCell ref="J213:J222"/>
    <mergeCell ref="L213:L222"/>
    <mergeCell ref="U5:U6"/>
    <mergeCell ref="AF5:AF6"/>
    <mergeCell ref="AE5:AE6"/>
  </mergeCells>
  <phoneticPr fontId="13" type="noConversion"/>
  <conditionalFormatting sqref="AW1:AW57 AW61 AW63:AW69 AW71 AW73:AW65533">
    <cfRule type="cellIs" dxfId="210" priority="110" stopIfTrue="1" operator="greaterThan">
      <formula>42</formula>
    </cfRule>
  </conditionalFormatting>
  <conditionalFormatting sqref="AW60">
    <cfRule type="cellIs" dxfId="209" priority="6" stopIfTrue="1" operator="greaterThan">
      <formula>42</formula>
    </cfRule>
  </conditionalFormatting>
  <conditionalFormatting sqref="AW62">
    <cfRule type="cellIs" dxfId="208" priority="5" stopIfTrue="1" operator="greaterThan">
      <formula>42</formula>
    </cfRule>
  </conditionalFormatting>
  <conditionalFormatting sqref="AW72">
    <cfRule type="cellIs" dxfId="207" priority="3" stopIfTrue="1" operator="greaterThan">
      <formula>42</formula>
    </cfRule>
  </conditionalFormatting>
  <conditionalFormatting sqref="AW58">
    <cfRule type="cellIs" dxfId="206" priority="8" stopIfTrue="1" operator="greaterThan">
      <formula>42</formula>
    </cfRule>
  </conditionalFormatting>
  <conditionalFormatting sqref="AW59">
    <cfRule type="cellIs" dxfId="205" priority="7" stopIfTrue="1" operator="greaterThan">
      <formula>42</formula>
    </cfRule>
  </conditionalFormatting>
  <conditionalFormatting sqref="AW70">
    <cfRule type="cellIs" dxfId="204" priority="4" stopIfTrue="1" operator="greaterThan">
      <formula>42</formula>
    </cfRule>
  </conditionalFormatting>
  <conditionalFormatting sqref="AW76:AW87">
    <cfRule type="cellIs" dxfId="203" priority="2" stopIfTrue="1" operator="greaterThan">
      <formula>42</formula>
    </cfRule>
  </conditionalFormatting>
  <conditionalFormatting sqref="AW76:AW87">
    <cfRule type="cellIs" dxfId="202" priority="1" stopIfTrue="1" operator="greaterThan">
      <formula>42</formula>
    </cfRule>
  </conditionalFormatting>
  <dataValidations count="2">
    <dataValidation type="textLength" operator="lessThan" allowBlank="1" showInputMessage="1" showErrorMessage="1" error="text length exceeded" prompt="max. 64 charcters" sqref="C77 B87:C87" xr:uid="{00000000-0002-0000-0B00-000000000000}">
      <formula1>65</formula1>
    </dataValidation>
    <dataValidation type="textLength" allowBlank="1" showInputMessage="1" showErrorMessage="1" sqref="AO77:AT77 AO87:AT87" xr:uid="{00000000-0002-0000-0B00-000001000000}">
      <formula1>0</formula1>
      <formula2>4</formula2>
    </dataValidation>
  </dataValidations>
  <pageMargins left="0.78740157499999996" right="0.78740157499999996" top="0.984251969" bottom="0.984251969" header="0.49212598499999999" footer="0.49212598499999999"/>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5"/>
  <dimension ref="A1:CI476"/>
  <sheetViews>
    <sheetView showGridLines="0" showRuler="0" topLeftCell="A4" zoomScale="60" zoomScaleNormal="60" zoomScalePageLayoutView="70" workbookViewId="0">
      <pane ySplit="3" topLeftCell="A7" activePane="bottomLeft" state="frozenSplit"/>
      <selection activeCell="U4" sqref="U4"/>
      <selection pane="bottomLeft" activeCell="J43" sqref="J43"/>
    </sheetView>
  </sheetViews>
  <sheetFormatPr defaultColWidth="8.88671875" defaultRowHeight="13.2"/>
  <cols>
    <col min="1" max="1" width="5.6640625" style="144" customWidth="1"/>
    <col min="2" max="2" width="46.44140625" hidden="1" customWidth="1"/>
    <col min="3" max="3" width="8.6640625" hidden="1" customWidth="1"/>
    <col min="4" max="4" width="0" hidden="1" customWidth="1"/>
    <col min="5" max="7" width="10" hidden="1" customWidth="1"/>
    <col min="8" max="9" width="0" hidden="1" customWidth="1"/>
    <col min="10" max="10" width="36.6640625" customWidth="1"/>
    <col min="11" max="11" width="28" customWidth="1"/>
    <col min="12" max="12" width="53.33203125" customWidth="1"/>
    <col min="13" max="13" width="38.5546875" customWidth="1"/>
    <col min="14" max="14" width="6.5546875" style="78" bestFit="1" customWidth="1"/>
    <col min="15" max="16" width="5.6640625" customWidth="1"/>
    <col min="17" max="20" width="4.6640625" customWidth="1"/>
    <col min="21" max="21" width="61" customWidth="1"/>
    <col min="22" max="22" width="34.5546875" customWidth="1"/>
    <col min="23" max="23" width="18.33203125" customWidth="1"/>
    <col min="24" max="25" width="5.6640625" customWidth="1"/>
    <col min="26" max="27" width="4.6640625" customWidth="1"/>
    <col min="28" max="28" width="19.109375" customWidth="1"/>
    <col min="29" max="29" width="16.109375" customWidth="1"/>
    <col min="30" max="30" width="22.109375" customWidth="1"/>
    <col min="31" max="31" width="18.33203125" customWidth="1"/>
    <col min="32" max="33" width="5.6640625" customWidth="1"/>
    <col min="34" max="35" width="4.6640625" customWidth="1"/>
    <col min="36" max="36" width="33.6640625" customWidth="1"/>
    <col min="37" max="37" width="8.88671875" customWidth="1"/>
    <col min="38" max="38" width="24.44140625" customWidth="1"/>
    <col min="39" max="39" width="15.44140625" customWidth="1"/>
    <col min="40" max="40" width="30.6640625" customWidth="1"/>
    <col min="48" max="48" width="30.6640625" customWidth="1"/>
    <col min="49" max="49" width="0" hidden="1" customWidth="1"/>
  </cols>
  <sheetData>
    <row r="1" spans="1:87" ht="13.8" hidden="1" thickBot="1"/>
    <row r="2" spans="1:87" ht="13.8" hidden="1" thickBot="1"/>
    <row r="3" spans="1:87" s="1" customFormat="1" ht="13.8" hidden="1" thickBot="1">
      <c r="A3" s="146"/>
      <c r="C3" s="2"/>
      <c r="E3" s="3"/>
      <c r="F3" s="3"/>
      <c r="G3" s="3"/>
      <c r="H3" s="3"/>
      <c r="I3" s="3"/>
      <c r="J3" s="3"/>
      <c r="K3" s="3"/>
      <c r="L3" s="3"/>
      <c r="M3" s="3"/>
      <c r="N3" s="3"/>
      <c r="O3" s="3"/>
      <c r="P3" s="3"/>
      <c r="Q3" s="3"/>
      <c r="R3" s="3"/>
      <c r="S3" s="3"/>
      <c r="T3" s="3"/>
      <c r="U3" s="3"/>
      <c r="V3" s="3"/>
      <c r="W3" s="3"/>
      <c r="X3" s="4"/>
      <c r="Y3" s="5"/>
      <c r="Z3" s="5"/>
      <c r="AA3" s="3"/>
      <c r="AB3" s="3"/>
      <c r="AC3" s="3"/>
      <c r="AD3" s="3"/>
      <c r="AE3" s="3"/>
      <c r="AF3" s="4"/>
      <c r="AG3" s="5"/>
      <c r="AH3" s="5"/>
      <c r="AI3" s="3"/>
      <c r="AJ3" s="3"/>
      <c r="AK3" s="2"/>
      <c r="AL3" s="2"/>
      <c r="AM3" s="2"/>
      <c r="AN3" s="2"/>
      <c r="AO3" s="2"/>
      <c r="AP3" s="2"/>
      <c r="AQ3" s="2"/>
    </row>
    <row r="4" spans="1:87" s="1" customFormat="1" ht="16.5" customHeight="1" thickBot="1">
      <c r="A4" s="149"/>
      <c r="B4" s="679" t="s">
        <v>462</v>
      </c>
      <c r="C4" s="680"/>
      <c r="D4" s="22" t="s">
        <v>463</v>
      </c>
      <c r="E4" s="23"/>
      <c r="F4" s="23"/>
      <c r="G4" s="23"/>
      <c r="H4" s="23"/>
      <c r="I4" s="23"/>
      <c r="J4" s="24" t="s">
        <v>464</v>
      </c>
      <c r="K4" s="25"/>
      <c r="L4" s="25"/>
      <c r="M4" s="25"/>
      <c r="N4" s="81"/>
      <c r="O4" s="25"/>
      <c r="P4" s="25"/>
      <c r="Q4" s="25"/>
      <c r="R4" s="25"/>
      <c r="S4" s="25"/>
      <c r="T4" s="25"/>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7" s="1" customFormat="1" ht="24" customHeight="1" thickBot="1">
      <c r="A5" s="159"/>
      <c r="B5" s="654" t="s">
        <v>469</v>
      </c>
      <c r="C5" s="654" t="s">
        <v>470</v>
      </c>
      <c r="D5" s="637" t="s">
        <v>471</v>
      </c>
      <c r="E5" s="637" t="s">
        <v>472</v>
      </c>
      <c r="F5" s="390"/>
      <c r="G5" s="390"/>
      <c r="H5" s="637" t="s">
        <v>475</v>
      </c>
      <c r="I5" s="646" t="s">
        <v>476</v>
      </c>
      <c r="J5" s="648" t="s">
        <v>477</v>
      </c>
      <c r="K5" s="648" t="s">
        <v>478</v>
      </c>
      <c r="L5" s="648" t="s">
        <v>479</v>
      </c>
      <c r="M5" s="542"/>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7" s="7" customFormat="1" ht="141" customHeight="1" thickBot="1">
      <c r="A6" s="58" t="s">
        <v>501</v>
      </c>
      <c r="B6" s="655"/>
      <c r="C6" s="655"/>
      <c r="D6" s="638"/>
      <c r="E6" s="638"/>
      <c r="F6" s="396" t="s">
        <v>473</v>
      </c>
      <c r="G6" s="396" t="s">
        <v>474</v>
      </c>
      <c r="H6" s="638"/>
      <c r="I6" s="647"/>
      <c r="J6" s="649"/>
      <c r="K6" s="649"/>
      <c r="L6" s="649"/>
      <c r="M6" s="543" t="s">
        <v>3506</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7" ht="15">
      <c r="A7" s="451">
        <f>ROW() - 6</f>
        <v>1</v>
      </c>
      <c r="B7" s="65"/>
      <c r="C7" s="65"/>
      <c r="D7" s="65"/>
      <c r="E7" s="65"/>
      <c r="F7" s="65"/>
      <c r="G7" s="65"/>
      <c r="H7" s="65"/>
      <c r="I7" s="65"/>
      <c r="J7" s="549" t="s">
        <v>503</v>
      </c>
      <c r="K7" s="65"/>
      <c r="L7" s="65"/>
      <c r="M7" s="65"/>
      <c r="N7" s="134"/>
      <c r="O7" s="65"/>
      <c r="P7" s="65"/>
      <c r="Q7" s="65"/>
      <c r="R7" s="65"/>
      <c r="S7" s="65"/>
      <c r="T7" s="65"/>
      <c r="U7" s="73"/>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430"/>
      <c r="AW7" s="18">
        <f>LEN(L7)</f>
        <v>0</v>
      </c>
    </row>
    <row r="8" spans="1:87" s="12" customFormat="1" ht="15">
      <c r="A8" s="40">
        <f>ROW() - 6</f>
        <v>2</v>
      </c>
      <c r="B8" s="33"/>
      <c r="C8" s="34"/>
      <c r="D8" s="33"/>
      <c r="E8" s="33"/>
      <c r="F8" s="33"/>
      <c r="G8" s="33"/>
      <c r="H8" s="414"/>
      <c r="I8" s="416"/>
      <c r="J8" s="412" t="s">
        <v>2233</v>
      </c>
      <c r="K8" s="412" t="s">
        <v>132</v>
      </c>
      <c r="L8" s="215" t="s">
        <v>2234</v>
      </c>
      <c r="M8" s="215"/>
      <c r="N8" s="40" t="s">
        <v>504</v>
      </c>
      <c r="O8" s="40"/>
      <c r="P8" s="40"/>
      <c r="Q8" s="13" t="s">
        <v>6</v>
      </c>
      <c r="R8" s="13" t="s">
        <v>6</v>
      </c>
      <c r="S8" s="13" t="s">
        <v>6</v>
      </c>
      <c r="T8" s="40" t="s">
        <v>6</v>
      </c>
      <c r="U8" s="40"/>
      <c r="V8" s="40"/>
      <c r="W8" s="412" t="s">
        <v>133</v>
      </c>
      <c r="X8" s="13"/>
      <c r="Y8" s="13"/>
      <c r="Z8" s="13" t="s">
        <v>6</v>
      </c>
      <c r="AA8" s="13" t="s">
        <v>6</v>
      </c>
      <c r="AB8" s="13"/>
      <c r="AC8" s="13"/>
      <c r="AD8" s="13"/>
      <c r="AE8" s="412" t="s">
        <v>133</v>
      </c>
      <c r="AF8" s="13"/>
      <c r="AG8" s="13"/>
      <c r="AH8" s="13" t="s">
        <v>6</v>
      </c>
      <c r="AI8" s="13" t="s">
        <v>6</v>
      </c>
      <c r="AJ8" s="13"/>
      <c r="AK8" s="13"/>
      <c r="AL8" s="13"/>
      <c r="AM8" s="43"/>
      <c r="AN8" s="19"/>
      <c r="AO8" s="37"/>
      <c r="AP8" s="37"/>
      <c r="AQ8" s="37"/>
      <c r="AR8" s="37"/>
      <c r="AS8" s="37"/>
      <c r="AT8" s="37"/>
      <c r="AU8" s="13"/>
      <c r="AV8" s="13"/>
      <c r="AW8" s="18">
        <f>LEN(L8)</f>
        <v>28</v>
      </c>
    </row>
    <row r="9" spans="1:87" s="12" customFormat="1" ht="15">
      <c r="A9" s="40">
        <f t="shared" ref="A9:A87" si="0">ROW() - 6</f>
        <v>3</v>
      </c>
      <c r="B9" s="38"/>
      <c r="C9" s="34"/>
      <c r="D9" s="33"/>
      <c r="E9" s="39"/>
      <c r="F9" s="39"/>
      <c r="G9" s="39"/>
      <c r="H9" s="414"/>
      <c r="I9" s="40"/>
      <c r="J9" s="412" t="s">
        <v>2235</v>
      </c>
      <c r="K9" s="412" t="s">
        <v>132</v>
      </c>
      <c r="L9" s="215" t="s">
        <v>2236</v>
      </c>
      <c r="M9" s="215"/>
      <c r="N9" s="416" t="s">
        <v>504</v>
      </c>
      <c r="O9" s="416"/>
      <c r="P9" s="416"/>
      <c r="Q9" s="414" t="s">
        <v>6</v>
      </c>
      <c r="R9" s="13" t="s">
        <v>6</v>
      </c>
      <c r="S9" s="414" t="s">
        <v>6</v>
      </c>
      <c r="T9" s="40" t="s">
        <v>6</v>
      </c>
      <c r="U9" s="40"/>
      <c r="V9" s="40"/>
      <c r="W9" s="412" t="s">
        <v>133</v>
      </c>
      <c r="X9" s="13"/>
      <c r="Y9" s="13"/>
      <c r="Z9" s="13" t="s">
        <v>6</v>
      </c>
      <c r="AA9" s="414" t="s">
        <v>6</v>
      </c>
      <c r="AB9" s="414"/>
      <c r="AC9" s="414"/>
      <c r="AD9" s="414"/>
      <c r="AE9" s="412" t="s">
        <v>133</v>
      </c>
      <c r="AF9" s="13"/>
      <c r="AG9" s="13"/>
      <c r="AH9" s="13" t="s">
        <v>6</v>
      </c>
      <c r="AI9" s="414" t="s">
        <v>6</v>
      </c>
      <c r="AJ9" s="414"/>
      <c r="AK9" s="414"/>
      <c r="AL9" s="414"/>
      <c r="AM9" s="36"/>
      <c r="AN9" s="35"/>
      <c r="AO9" s="37"/>
      <c r="AP9" s="37"/>
      <c r="AQ9" s="37"/>
      <c r="AR9" s="37"/>
      <c r="AS9" s="37"/>
      <c r="AT9" s="37"/>
      <c r="AU9" s="13"/>
      <c r="AV9" s="13"/>
      <c r="AW9" s="18">
        <f>LEN(L9)</f>
        <v>28</v>
      </c>
    </row>
    <row r="10" spans="1:87" s="12" customFormat="1" ht="15">
      <c r="A10" s="40">
        <f t="shared" si="0"/>
        <v>4</v>
      </c>
      <c r="B10" s="38"/>
      <c r="C10" s="41"/>
      <c r="D10" s="33"/>
      <c r="E10" s="39"/>
      <c r="F10" s="39"/>
      <c r="G10" s="39"/>
      <c r="H10" s="414"/>
      <c r="I10" s="40"/>
      <c r="J10" s="412" t="s">
        <v>2237</v>
      </c>
      <c r="K10" s="412" t="s">
        <v>132</v>
      </c>
      <c r="L10" s="215" t="s">
        <v>2238</v>
      </c>
      <c r="M10" s="215"/>
      <c r="N10" s="416" t="s">
        <v>504</v>
      </c>
      <c r="O10" s="416"/>
      <c r="P10" s="416"/>
      <c r="Q10" s="414" t="s">
        <v>6</v>
      </c>
      <c r="R10" s="13" t="s">
        <v>6</v>
      </c>
      <c r="S10" s="414" t="s">
        <v>6</v>
      </c>
      <c r="T10" s="40" t="s">
        <v>6</v>
      </c>
      <c r="U10" s="40"/>
      <c r="V10" s="40"/>
      <c r="W10" s="412" t="s">
        <v>133</v>
      </c>
      <c r="X10" s="13"/>
      <c r="Y10" s="13"/>
      <c r="Z10" s="13" t="s">
        <v>6</v>
      </c>
      <c r="AA10" s="414" t="s">
        <v>6</v>
      </c>
      <c r="AB10" s="414"/>
      <c r="AC10" s="414"/>
      <c r="AD10" s="414"/>
      <c r="AE10" s="412" t="s">
        <v>133</v>
      </c>
      <c r="AF10" s="13"/>
      <c r="AG10" s="13"/>
      <c r="AH10" s="13" t="s">
        <v>6</v>
      </c>
      <c r="AI10" s="414" t="s">
        <v>6</v>
      </c>
      <c r="AJ10" s="414"/>
      <c r="AK10" s="414"/>
      <c r="AL10" s="414"/>
      <c r="AM10" s="36"/>
      <c r="AN10" s="35"/>
      <c r="AO10" s="37"/>
      <c r="AP10" s="37"/>
      <c r="AQ10" s="37"/>
      <c r="AR10" s="37"/>
      <c r="AS10" s="37"/>
      <c r="AT10" s="37"/>
      <c r="AU10" s="13"/>
      <c r="AV10" s="13"/>
      <c r="AW10" s="18">
        <f>LEN(L10)</f>
        <v>27</v>
      </c>
    </row>
    <row r="11" spans="1:87" s="12" customFormat="1" ht="15">
      <c r="A11" s="40">
        <f t="shared" si="0"/>
        <v>5</v>
      </c>
      <c r="B11" s="19"/>
      <c r="C11" s="41"/>
      <c r="D11" s="19"/>
      <c r="E11" s="19"/>
      <c r="F11" s="19"/>
      <c r="G11" s="19"/>
      <c r="H11" s="13"/>
      <c r="I11" s="13"/>
      <c r="J11" s="412" t="s">
        <v>2239</v>
      </c>
      <c r="K11" s="412" t="s">
        <v>132</v>
      </c>
      <c r="L11" s="412" t="s">
        <v>2240</v>
      </c>
      <c r="M11" s="215"/>
      <c r="N11" s="416" t="s">
        <v>504</v>
      </c>
      <c r="O11" s="13"/>
      <c r="P11" s="13"/>
      <c r="Q11" s="414" t="s">
        <v>6</v>
      </c>
      <c r="R11" s="413" t="s">
        <v>6</v>
      </c>
      <c r="S11" s="414" t="s">
        <v>6</v>
      </c>
      <c r="T11" s="40" t="s">
        <v>6</v>
      </c>
      <c r="U11" s="13"/>
      <c r="V11" s="13"/>
      <c r="W11" s="412" t="s">
        <v>133</v>
      </c>
      <c r="X11" s="415"/>
      <c r="Y11" s="413"/>
      <c r="Z11" s="413" t="s">
        <v>6</v>
      </c>
      <c r="AA11" s="414" t="s">
        <v>6</v>
      </c>
      <c r="AB11" s="45"/>
      <c r="AC11" s="415"/>
      <c r="AD11" s="415"/>
      <c r="AE11" s="412" t="s">
        <v>133</v>
      </c>
      <c r="AF11" s="415"/>
      <c r="AG11" s="413"/>
      <c r="AH11" s="413" t="s">
        <v>6</v>
      </c>
      <c r="AI11" s="414" t="s">
        <v>6</v>
      </c>
      <c r="AJ11" s="45"/>
      <c r="AK11" s="415"/>
      <c r="AL11" s="415"/>
      <c r="AM11" s="43"/>
      <c r="AN11" s="13"/>
      <c r="AO11" s="15"/>
      <c r="AP11" s="15"/>
      <c r="AQ11" s="15"/>
      <c r="AR11" s="15"/>
      <c r="AS11" s="15"/>
      <c r="AT11" s="15"/>
      <c r="AU11" s="13"/>
      <c r="AV11" s="15"/>
      <c r="AW11" s="18">
        <f t="shared" ref="AW11:AW101" si="1">LEN(L11)</f>
        <v>27</v>
      </c>
      <c r="AX11" s="16"/>
      <c r="AY11" s="17"/>
    </row>
    <row r="12" spans="1:87" s="12" customFormat="1" ht="15">
      <c r="A12" s="40">
        <f t="shared" si="0"/>
        <v>6</v>
      </c>
      <c r="B12" s="19"/>
      <c r="C12" s="41"/>
      <c r="D12" s="19"/>
      <c r="E12" s="19"/>
      <c r="F12" s="19"/>
      <c r="G12" s="19"/>
      <c r="H12" s="13"/>
      <c r="I12" s="13"/>
      <c r="J12" s="412" t="s">
        <v>2241</v>
      </c>
      <c r="K12" s="412" t="s">
        <v>132</v>
      </c>
      <c r="L12" s="412" t="s">
        <v>2242</v>
      </c>
      <c r="M12" s="215"/>
      <c r="N12" s="416" t="s">
        <v>504</v>
      </c>
      <c r="O12" s="13"/>
      <c r="P12" s="13"/>
      <c r="Q12" s="414" t="s">
        <v>6</v>
      </c>
      <c r="R12" s="413" t="s">
        <v>6</v>
      </c>
      <c r="S12" s="414" t="s">
        <v>6</v>
      </c>
      <c r="T12" s="40" t="s">
        <v>6</v>
      </c>
      <c r="U12" s="13"/>
      <c r="V12" s="13"/>
      <c r="W12" s="412" t="s">
        <v>133</v>
      </c>
      <c r="X12" s="415"/>
      <c r="Y12" s="413"/>
      <c r="Z12" s="413" t="s">
        <v>6</v>
      </c>
      <c r="AA12" s="414" t="s">
        <v>6</v>
      </c>
      <c r="AB12" s="45"/>
      <c r="AC12" s="415"/>
      <c r="AD12" s="415"/>
      <c r="AE12" s="412" t="s">
        <v>133</v>
      </c>
      <c r="AF12" s="415"/>
      <c r="AG12" s="413"/>
      <c r="AH12" s="413" t="s">
        <v>6</v>
      </c>
      <c r="AI12" s="414" t="s">
        <v>6</v>
      </c>
      <c r="AJ12" s="45"/>
      <c r="AK12" s="415"/>
      <c r="AL12" s="415"/>
      <c r="AM12" s="43"/>
      <c r="AN12" s="13"/>
      <c r="AO12" s="15"/>
      <c r="AP12" s="15"/>
      <c r="AQ12" s="15"/>
      <c r="AR12" s="15"/>
      <c r="AS12" s="15"/>
      <c r="AT12" s="15"/>
      <c r="AU12" s="13"/>
      <c r="AV12" s="15"/>
      <c r="AW12" s="18">
        <f t="shared" si="1"/>
        <v>27</v>
      </c>
      <c r="AX12" s="16"/>
      <c r="AY12" s="17"/>
    </row>
    <row r="13" spans="1:87" s="12" customFormat="1" ht="15">
      <c r="A13" s="40">
        <f t="shared" si="0"/>
        <v>7</v>
      </c>
      <c r="B13" s="19"/>
      <c r="C13" s="41"/>
      <c r="D13" s="19"/>
      <c r="E13" s="19"/>
      <c r="F13" s="19"/>
      <c r="G13" s="19"/>
      <c r="H13" s="13"/>
      <c r="I13" s="13"/>
      <c r="J13" s="412" t="s">
        <v>2243</v>
      </c>
      <c r="K13" s="412" t="s">
        <v>132</v>
      </c>
      <c r="L13" s="412" t="s">
        <v>2244</v>
      </c>
      <c r="M13" s="215"/>
      <c r="N13" s="416" t="s">
        <v>504</v>
      </c>
      <c r="O13" s="13"/>
      <c r="P13" s="13"/>
      <c r="Q13" s="414" t="s">
        <v>6</v>
      </c>
      <c r="R13" s="413" t="s">
        <v>6</v>
      </c>
      <c r="S13" s="414" t="s">
        <v>6</v>
      </c>
      <c r="T13" s="40" t="s">
        <v>6</v>
      </c>
      <c r="U13" s="13"/>
      <c r="V13" s="13"/>
      <c r="W13" s="412" t="s">
        <v>133</v>
      </c>
      <c r="X13" s="415"/>
      <c r="Y13" s="413"/>
      <c r="Z13" s="413" t="s">
        <v>6</v>
      </c>
      <c r="AA13" s="414" t="s">
        <v>6</v>
      </c>
      <c r="AB13" s="45"/>
      <c r="AC13" s="415"/>
      <c r="AD13" s="415"/>
      <c r="AE13" s="412" t="s">
        <v>133</v>
      </c>
      <c r="AF13" s="415"/>
      <c r="AG13" s="413"/>
      <c r="AH13" s="413" t="s">
        <v>6</v>
      </c>
      <c r="AI13" s="414" t="s">
        <v>6</v>
      </c>
      <c r="AJ13" s="45"/>
      <c r="AK13" s="415"/>
      <c r="AL13" s="415"/>
      <c r="AM13" s="43"/>
      <c r="AN13" s="13"/>
      <c r="AO13" s="15"/>
      <c r="AP13" s="15"/>
      <c r="AQ13" s="15"/>
      <c r="AR13" s="15"/>
      <c r="AS13" s="15"/>
      <c r="AT13" s="15"/>
      <c r="AU13" s="13"/>
      <c r="AV13" s="15"/>
      <c r="AW13" s="18">
        <f>LEN(L13)</f>
        <v>27</v>
      </c>
      <c r="AX13" s="16"/>
      <c r="AY13" s="17"/>
    </row>
    <row r="14" spans="1:87" s="18" customFormat="1" ht="15">
      <c r="A14" s="40">
        <f t="shared" si="0"/>
        <v>8</v>
      </c>
      <c r="B14" s="38"/>
      <c r="C14" s="42"/>
      <c r="D14" s="38"/>
      <c r="E14" s="46"/>
      <c r="F14" s="46"/>
      <c r="G14" s="46"/>
      <c r="H14" s="13"/>
      <c r="I14" s="40"/>
      <c r="J14" s="412" t="s">
        <v>2245</v>
      </c>
      <c r="K14" s="412" t="s">
        <v>132</v>
      </c>
      <c r="L14" s="412" t="s">
        <v>2246</v>
      </c>
      <c r="M14" s="215"/>
      <c r="N14" s="416" t="s">
        <v>504</v>
      </c>
      <c r="O14" s="40"/>
      <c r="P14" s="40"/>
      <c r="Q14" s="414" t="s">
        <v>6</v>
      </c>
      <c r="R14" s="13" t="s">
        <v>6</v>
      </c>
      <c r="S14" s="414" t="s">
        <v>6</v>
      </c>
      <c r="T14" s="40" t="s">
        <v>6</v>
      </c>
      <c r="U14" s="13"/>
      <c r="V14" s="13"/>
      <c r="W14" s="412" t="s">
        <v>133</v>
      </c>
      <c r="X14" s="13"/>
      <c r="Y14" s="13"/>
      <c r="Z14" s="13" t="s">
        <v>6</v>
      </c>
      <c r="AA14" s="414" t="s">
        <v>6</v>
      </c>
      <c r="AB14" s="413"/>
      <c r="AC14" s="413"/>
      <c r="AD14" s="413"/>
      <c r="AE14" s="412" t="s">
        <v>133</v>
      </c>
      <c r="AF14" s="13"/>
      <c r="AG14" s="13"/>
      <c r="AH14" s="13" t="s">
        <v>6</v>
      </c>
      <c r="AI14" s="414" t="s">
        <v>6</v>
      </c>
      <c r="AJ14" s="413"/>
      <c r="AK14" s="413"/>
      <c r="AL14" s="413"/>
      <c r="AM14" s="43"/>
      <c r="AN14" s="19"/>
      <c r="AO14" s="15"/>
      <c r="AP14" s="15"/>
      <c r="AQ14" s="15"/>
      <c r="AR14" s="15"/>
      <c r="AS14" s="15"/>
      <c r="AT14" s="15"/>
      <c r="AU14" s="15"/>
      <c r="AV14" s="13"/>
      <c r="AW14" s="18">
        <f t="shared" si="1"/>
        <v>27</v>
      </c>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row>
    <row r="15" spans="1:87" s="18" customFormat="1" ht="15">
      <c r="A15" s="40">
        <f t="shared" si="0"/>
        <v>9</v>
      </c>
      <c r="B15" s="38"/>
      <c r="C15" s="42"/>
      <c r="D15" s="38"/>
      <c r="E15" s="46"/>
      <c r="F15" s="46"/>
      <c r="G15" s="46"/>
      <c r="H15" s="13"/>
      <c r="I15" s="40"/>
      <c r="J15" s="412" t="s">
        <v>2247</v>
      </c>
      <c r="K15" s="412" t="s">
        <v>132</v>
      </c>
      <c r="L15" s="412" t="s">
        <v>2248</v>
      </c>
      <c r="M15" s="215"/>
      <c r="N15" s="416" t="s">
        <v>504</v>
      </c>
      <c r="O15" s="40"/>
      <c r="P15" s="40"/>
      <c r="Q15" s="414" t="s">
        <v>6</v>
      </c>
      <c r="R15" s="13" t="s">
        <v>6</v>
      </c>
      <c r="S15" s="414" t="s">
        <v>6</v>
      </c>
      <c r="T15" s="40" t="s">
        <v>6</v>
      </c>
      <c r="U15" s="13"/>
      <c r="V15" s="13"/>
      <c r="W15" s="412" t="s">
        <v>133</v>
      </c>
      <c r="X15" s="13"/>
      <c r="Y15" s="13"/>
      <c r="Z15" s="13" t="s">
        <v>6</v>
      </c>
      <c r="AA15" s="414" t="s">
        <v>6</v>
      </c>
      <c r="AB15" s="413"/>
      <c r="AC15" s="413"/>
      <c r="AD15" s="413"/>
      <c r="AE15" s="412" t="s">
        <v>133</v>
      </c>
      <c r="AF15" s="13"/>
      <c r="AG15" s="13"/>
      <c r="AH15" s="13" t="s">
        <v>6</v>
      </c>
      <c r="AI15" s="414" t="s">
        <v>6</v>
      </c>
      <c r="AJ15" s="413"/>
      <c r="AK15" s="413"/>
      <c r="AL15" s="413"/>
      <c r="AM15" s="43"/>
      <c r="AN15" s="19"/>
      <c r="AO15" s="15"/>
      <c r="AP15" s="15"/>
      <c r="AQ15" s="15"/>
      <c r="AR15" s="15"/>
      <c r="AS15" s="15"/>
      <c r="AT15" s="15"/>
      <c r="AU15" s="15"/>
      <c r="AV15" s="13"/>
      <c r="AW15" s="18">
        <f t="shared" si="1"/>
        <v>27</v>
      </c>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c r="CH15" s="12"/>
      <c r="CI15" s="12"/>
    </row>
    <row r="16" spans="1:87" s="18" customFormat="1" ht="15">
      <c r="A16" s="40">
        <f t="shared" si="0"/>
        <v>10</v>
      </c>
      <c r="B16" s="38"/>
      <c r="C16" s="42"/>
      <c r="D16" s="38"/>
      <c r="E16" s="46"/>
      <c r="F16" s="46"/>
      <c r="G16" s="46"/>
      <c r="H16" s="13"/>
      <c r="I16" s="40"/>
      <c r="J16" s="412" t="s">
        <v>2249</v>
      </c>
      <c r="K16" s="412" t="s">
        <v>132</v>
      </c>
      <c r="L16" s="412" t="s">
        <v>2250</v>
      </c>
      <c r="M16" s="215"/>
      <c r="N16" s="416" t="s">
        <v>504</v>
      </c>
      <c r="O16" s="40"/>
      <c r="P16" s="40"/>
      <c r="Q16" s="414" t="s">
        <v>6</v>
      </c>
      <c r="R16" s="13" t="s">
        <v>6</v>
      </c>
      <c r="S16" s="414" t="s">
        <v>6</v>
      </c>
      <c r="T16" s="40" t="s">
        <v>6</v>
      </c>
      <c r="U16" s="13"/>
      <c r="V16" s="13"/>
      <c r="W16" s="412" t="s">
        <v>133</v>
      </c>
      <c r="X16" s="13"/>
      <c r="Y16" s="13"/>
      <c r="Z16" s="13" t="s">
        <v>6</v>
      </c>
      <c r="AA16" s="414" t="s">
        <v>6</v>
      </c>
      <c r="AB16" s="413"/>
      <c r="AC16" s="413"/>
      <c r="AD16" s="413"/>
      <c r="AE16" s="412" t="s">
        <v>133</v>
      </c>
      <c r="AF16" s="13"/>
      <c r="AG16" s="13"/>
      <c r="AH16" s="13" t="s">
        <v>6</v>
      </c>
      <c r="AI16" s="414" t="s">
        <v>6</v>
      </c>
      <c r="AJ16" s="413"/>
      <c r="AK16" s="413"/>
      <c r="AL16" s="413"/>
      <c r="AM16" s="43"/>
      <c r="AN16" s="19"/>
      <c r="AO16" s="15"/>
      <c r="AP16" s="15"/>
      <c r="AQ16" s="15"/>
      <c r="AR16" s="15"/>
      <c r="AS16" s="15"/>
      <c r="AT16" s="15"/>
      <c r="AU16" s="15"/>
      <c r="AV16" s="13"/>
      <c r="AW16" s="18">
        <f t="shared" ref="AW16:AW28" si="2">LEN(L16)</f>
        <v>28</v>
      </c>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row>
    <row r="17" spans="1:87" s="12" customFormat="1" ht="15">
      <c r="A17" s="40">
        <f t="shared" si="0"/>
        <v>11</v>
      </c>
      <c r="B17" s="38"/>
      <c r="C17" s="42"/>
      <c r="D17" s="19"/>
      <c r="E17" s="19"/>
      <c r="F17" s="19"/>
      <c r="G17" s="19"/>
      <c r="H17" s="13"/>
      <c r="I17" s="13"/>
      <c r="J17" s="412" t="s">
        <v>2251</v>
      </c>
      <c r="K17" s="412" t="s">
        <v>122</v>
      </c>
      <c r="L17" s="215" t="s">
        <v>2252</v>
      </c>
      <c r="M17" s="215"/>
      <c r="N17" s="416" t="s">
        <v>504</v>
      </c>
      <c r="O17" s="13"/>
      <c r="P17" s="13"/>
      <c r="Q17" s="414" t="s">
        <v>6</v>
      </c>
      <c r="R17" s="13" t="s">
        <v>6</v>
      </c>
      <c r="S17" s="414" t="s">
        <v>6</v>
      </c>
      <c r="T17" s="40" t="s">
        <v>6</v>
      </c>
      <c r="U17" s="13"/>
      <c r="V17" s="13"/>
      <c r="W17" s="412" t="s">
        <v>123</v>
      </c>
      <c r="X17" s="13"/>
      <c r="Y17" s="13"/>
      <c r="Z17" s="13" t="s">
        <v>6</v>
      </c>
      <c r="AA17" s="414" t="s">
        <v>6</v>
      </c>
      <c r="AB17" s="13"/>
      <c r="AC17" s="40"/>
      <c r="AD17" s="40"/>
      <c r="AE17" s="412" t="s">
        <v>123</v>
      </c>
      <c r="AF17" s="13"/>
      <c r="AG17" s="13"/>
      <c r="AH17" s="13" t="s">
        <v>6</v>
      </c>
      <c r="AI17" s="414" t="s">
        <v>6</v>
      </c>
      <c r="AJ17" s="13"/>
      <c r="AK17" s="40"/>
      <c r="AL17" s="40"/>
      <c r="AM17" s="43"/>
      <c r="AN17" s="13"/>
      <c r="AO17" s="13"/>
      <c r="AP17" s="13"/>
      <c r="AQ17" s="13"/>
      <c r="AR17" s="13"/>
      <c r="AS17" s="13"/>
      <c r="AT17" s="13"/>
      <c r="AU17" s="13"/>
      <c r="AV17" s="13"/>
      <c r="AW17" s="18">
        <f t="shared" si="2"/>
        <v>21</v>
      </c>
    </row>
    <row r="18" spans="1:87" s="12" customFormat="1" ht="15">
      <c r="A18" s="40">
        <f t="shared" si="0"/>
        <v>12</v>
      </c>
      <c r="B18" s="38"/>
      <c r="C18" s="42"/>
      <c r="D18" s="19"/>
      <c r="E18" s="19"/>
      <c r="F18" s="19"/>
      <c r="G18" s="19"/>
      <c r="H18" s="13"/>
      <c r="I18" s="13"/>
      <c r="J18" s="412" t="s">
        <v>2253</v>
      </c>
      <c r="K18" s="412" t="s">
        <v>117</v>
      </c>
      <c r="L18" s="225" t="s">
        <v>2254</v>
      </c>
      <c r="M18" s="548"/>
      <c r="N18" s="416" t="s">
        <v>504</v>
      </c>
      <c r="O18" s="13"/>
      <c r="P18" s="13"/>
      <c r="Q18" s="13" t="s">
        <v>6</v>
      </c>
      <c r="R18" s="13" t="s">
        <v>6</v>
      </c>
      <c r="S18" s="414" t="s">
        <v>6</v>
      </c>
      <c r="T18" s="40" t="s">
        <v>6</v>
      </c>
      <c r="U18" s="13"/>
      <c r="V18" s="13"/>
      <c r="W18" s="412" t="s">
        <v>133</v>
      </c>
      <c r="X18" s="13"/>
      <c r="Y18" s="13"/>
      <c r="Z18" s="13" t="s">
        <v>6</v>
      </c>
      <c r="AA18" s="414" t="s">
        <v>6</v>
      </c>
      <c r="AB18" s="414"/>
      <c r="AC18" s="416"/>
      <c r="AD18" s="416"/>
      <c r="AE18" s="412" t="s">
        <v>133</v>
      </c>
      <c r="AF18" s="13"/>
      <c r="AG18" s="13"/>
      <c r="AH18" s="13" t="s">
        <v>6</v>
      </c>
      <c r="AI18" s="414" t="s">
        <v>6</v>
      </c>
      <c r="AJ18" s="414"/>
      <c r="AK18" s="416"/>
      <c r="AL18" s="416"/>
      <c r="AM18" s="43"/>
      <c r="AN18" s="13"/>
      <c r="AO18" s="13"/>
      <c r="AP18" s="13"/>
      <c r="AQ18" s="13"/>
      <c r="AR18" s="13"/>
      <c r="AS18" s="13"/>
      <c r="AT18" s="13"/>
      <c r="AU18" s="13"/>
      <c r="AV18" s="13"/>
      <c r="AW18" s="18">
        <f t="shared" si="2"/>
        <v>34</v>
      </c>
    </row>
    <row r="19" spans="1:87" s="12" customFormat="1" ht="15">
      <c r="A19" s="40">
        <f t="shared" si="0"/>
        <v>13</v>
      </c>
      <c r="B19" s="38"/>
      <c r="C19" s="42"/>
      <c r="D19" s="19"/>
      <c r="E19" s="19"/>
      <c r="F19" s="19"/>
      <c r="G19" s="19"/>
      <c r="H19" s="13"/>
      <c r="I19" s="13"/>
      <c r="J19" s="412" t="s">
        <v>2255</v>
      </c>
      <c r="K19" s="412" t="s">
        <v>132</v>
      </c>
      <c r="L19" s="412" t="s">
        <v>2256</v>
      </c>
      <c r="M19" s="472"/>
      <c r="N19" s="416" t="s">
        <v>504</v>
      </c>
      <c r="O19" s="13"/>
      <c r="P19" s="13"/>
      <c r="Q19" s="13" t="s">
        <v>6</v>
      </c>
      <c r="R19" s="13" t="s">
        <v>6</v>
      </c>
      <c r="S19" s="414" t="s">
        <v>6</v>
      </c>
      <c r="T19" s="40" t="s">
        <v>6</v>
      </c>
      <c r="U19" s="13"/>
      <c r="V19" s="13"/>
      <c r="W19" s="412" t="s">
        <v>133</v>
      </c>
      <c r="X19" s="13"/>
      <c r="Y19" s="13"/>
      <c r="Z19" s="13" t="s">
        <v>6</v>
      </c>
      <c r="AA19" s="414" t="s">
        <v>6</v>
      </c>
      <c r="AB19" s="414"/>
      <c r="AC19" s="416"/>
      <c r="AD19" s="416"/>
      <c r="AE19" s="412" t="s">
        <v>133</v>
      </c>
      <c r="AF19" s="13"/>
      <c r="AG19" s="13"/>
      <c r="AH19" s="13" t="s">
        <v>6</v>
      </c>
      <c r="AI19" s="414" t="s">
        <v>6</v>
      </c>
      <c r="AJ19" s="414"/>
      <c r="AK19" s="416"/>
      <c r="AL19" s="416"/>
      <c r="AM19" s="43" t="s">
        <v>2257</v>
      </c>
      <c r="AN19" s="13"/>
      <c r="AO19" s="13"/>
      <c r="AP19" s="13"/>
      <c r="AQ19" s="13"/>
      <c r="AR19" s="13"/>
      <c r="AS19" s="13"/>
      <c r="AT19" s="13"/>
      <c r="AU19" s="13"/>
      <c r="AV19" s="13"/>
      <c r="AW19" s="18">
        <f t="shared" si="2"/>
        <v>27</v>
      </c>
    </row>
    <row r="20" spans="1:87" s="18" customFormat="1" ht="15">
      <c r="A20" s="40">
        <f t="shared" si="0"/>
        <v>14</v>
      </c>
      <c r="B20" s="19"/>
      <c r="C20" s="41"/>
      <c r="D20" s="19"/>
      <c r="E20" s="19"/>
      <c r="F20" s="19"/>
      <c r="G20" s="19"/>
      <c r="H20" s="13"/>
      <c r="I20" s="13"/>
      <c r="J20" s="412" t="s">
        <v>2258</v>
      </c>
      <c r="K20" s="412" t="s">
        <v>122</v>
      </c>
      <c r="L20" s="412" t="s">
        <v>2259</v>
      </c>
      <c r="M20" s="472"/>
      <c r="N20" s="416" t="s">
        <v>504</v>
      </c>
      <c r="O20" s="13"/>
      <c r="P20" s="13"/>
      <c r="Q20" s="13" t="s">
        <v>6</v>
      </c>
      <c r="R20" s="13" t="s">
        <v>6</v>
      </c>
      <c r="S20" s="414" t="s">
        <v>6</v>
      </c>
      <c r="T20" s="40" t="s">
        <v>6</v>
      </c>
      <c r="U20" s="13"/>
      <c r="V20" s="13"/>
      <c r="W20" s="412" t="s">
        <v>123</v>
      </c>
      <c r="X20" s="415"/>
      <c r="Y20" s="413"/>
      <c r="Z20" s="13" t="s">
        <v>6</v>
      </c>
      <c r="AA20" s="414" t="s">
        <v>6</v>
      </c>
      <c r="AB20" s="45"/>
      <c r="AC20" s="415"/>
      <c r="AD20" s="415"/>
      <c r="AE20" s="412" t="s">
        <v>123</v>
      </c>
      <c r="AF20" s="415"/>
      <c r="AG20" s="413"/>
      <c r="AH20" s="13" t="s">
        <v>6</v>
      </c>
      <c r="AI20" s="414" t="s">
        <v>6</v>
      </c>
      <c r="AJ20" s="45"/>
      <c r="AK20" s="415"/>
      <c r="AL20" s="415"/>
      <c r="AM20" s="43" t="s">
        <v>2257</v>
      </c>
      <c r="AN20" s="13"/>
      <c r="AO20" s="15"/>
      <c r="AP20" s="15"/>
      <c r="AQ20" s="15"/>
      <c r="AR20" s="15"/>
      <c r="AS20" s="15"/>
      <c r="AT20" s="15"/>
      <c r="AU20" s="13"/>
      <c r="AV20" s="15"/>
      <c r="AW20" s="18">
        <f t="shared" si="2"/>
        <v>35</v>
      </c>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row>
    <row r="21" spans="1:87" s="12" customFormat="1" ht="15">
      <c r="A21" s="40">
        <f t="shared" si="0"/>
        <v>15</v>
      </c>
      <c r="B21" s="38"/>
      <c r="C21" s="42"/>
      <c r="D21" s="19"/>
      <c r="E21" s="19"/>
      <c r="F21" s="19"/>
      <c r="G21" s="19"/>
      <c r="H21" s="13"/>
      <c r="I21" s="13"/>
      <c r="J21" s="412" t="s">
        <v>2260</v>
      </c>
      <c r="K21" s="412" t="s">
        <v>132</v>
      </c>
      <c r="L21" s="412" t="s">
        <v>2261</v>
      </c>
      <c r="M21" s="472"/>
      <c r="N21" s="416" t="s">
        <v>504</v>
      </c>
      <c r="O21" s="13"/>
      <c r="P21" s="13"/>
      <c r="Q21" s="13" t="s">
        <v>6</v>
      </c>
      <c r="R21" s="13" t="s">
        <v>6</v>
      </c>
      <c r="S21" s="414" t="s">
        <v>6</v>
      </c>
      <c r="T21" s="40" t="s">
        <v>6</v>
      </c>
      <c r="U21" s="13"/>
      <c r="V21" s="13"/>
      <c r="W21" s="412" t="s">
        <v>133</v>
      </c>
      <c r="X21" s="13"/>
      <c r="Y21" s="13"/>
      <c r="Z21" s="13" t="s">
        <v>6</v>
      </c>
      <c r="AA21" s="414" t="s">
        <v>6</v>
      </c>
      <c r="AB21" s="413"/>
      <c r="AC21" s="415"/>
      <c r="AD21" s="415"/>
      <c r="AE21" s="412" t="s">
        <v>133</v>
      </c>
      <c r="AF21" s="13"/>
      <c r="AG21" s="13"/>
      <c r="AH21" s="13" t="s">
        <v>6</v>
      </c>
      <c r="AI21" s="414" t="s">
        <v>6</v>
      </c>
      <c r="AJ21" s="413"/>
      <c r="AK21" s="415"/>
      <c r="AL21" s="415"/>
      <c r="AM21" s="43" t="s">
        <v>2257</v>
      </c>
      <c r="AN21" s="13"/>
      <c r="AO21" s="13"/>
      <c r="AP21" s="13"/>
      <c r="AQ21" s="13"/>
      <c r="AR21" s="13"/>
      <c r="AS21" s="13"/>
      <c r="AT21" s="13"/>
      <c r="AU21" s="13"/>
      <c r="AV21" s="13"/>
      <c r="AW21" s="18">
        <f t="shared" si="2"/>
        <v>21</v>
      </c>
      <c r="AX21" s="16"/>
      <c r="AY21" s="17"/>
    </row>
    <row r="22" spans="1:87" s="12" customFormat="1" ht="15">
      <c r="A22" s="40">
        <f t="shared" si="0"/>
        <v>16</v>
      </c>
      <c r="B22" s="38"/>
      <c r="C22" s="42"/>
      <c r="D22" s="38"/>
      <c r="E22" s="46"/>
      <c r="F22" s="46"/>
      <c r="G22" s="46"/>
      <c r="H22" s="13"/>
      <c r="I22" s="40"/>
      <c r="J22" s="412" t="s">
        <v>2262</v>
      </c>
      <c r="K22" s="412" t="s">
        <v>132</v>
      </c>
      <c r="L22" s="412" t="s">
        <v>2263</v>
      </c>
      <c r="M22" s="472"/>
      <c r="N22" s="416" t="s">
        <v>504</v>
      </c>
      <c r="O22" s="40"/>
      <c r="P22" s="40"/>
      <c r="Q22" s="13" t="s">
        <v>6</v>
      </c>
      <c r="R22" s="13" t="s">
        <v>6</v>
      </c>
      <c r="S22" s="414" t="s">
        <v>6</v>
      </c>
      <c r="T22" s="40" t="s">
        <v>6</v>
      </c>
      <c r="U22" s="13"/>
      <c r="V22" s="13"/>
      <c r="W22" s="412" t="s">
        <v>133</v>
      </c>
      <c r="X22" s="413"/>
      <c r="Y22" s="413"/>
      <c r="Z22" s="13" t="s">
        <v>6</v>
      </c>
      <c r="AA22" s="414" t="s">
        <v>6</v>
      </c>
      <c r="AB22" s="413"/>
      <c r="AC22" s="413"/>
      <c r="AD22" s="413"/>
      <c r="AE22" s="412" t="s">
        <v>133</v>
      </c>
      <c r="AF22" s="413"/>
      <c r="AG22" s="413"/>
      <c r="AH22" s="13" t="s">
        <v>6</v>
      </c>
      <c r="AI22" s="414" t="s">
        <v>6</v>
      </c>
      <c r="AJ22" s="413"/>
      <c r="AK22" s="413"/>
      <c r="AL22" s="413"/>
      <c r="AM22" s="43"/>
      <c r="AN22" s="47"/>
      <c r="AO22" s="15"/>
      <c r="AP22" s="15"/>
      <c r="AQ22" s="15"/>
      <c r="AR22" s="15"/>
      <c r="AS22" s="15"/>
      <c r="AT22" s="15"/>
      <c r="AU22" s="15"/>
      <c r="AV22" s="13"/>
      <c r="AW22" s="18">
        <f t="shared" si="2"/>
        <v>18</v>
      </c>
    </row>
    <row r="23" spans="1:87" s="12" customFormat="1" ht="15" customHeight="1">
      <c r="A23" s="40">
        <f t="shared" si="0"/>
        <v>17</v>
      </c>
      <c r="B23" s="38"/>
      <c r="C23" s="42"/>
      <c r="D23" s="38"/>
      <c r="E23" s="46"/>
      <c r="F23" s="46"/>
      <c r="G23" s="46"/>
      <c r="H23" s="13"/>
      <c r="I23" s="40"/>
      <c r="J23" s="412" t="s">
        <v>2264</v>
      </c>
      <c r="K23" s="412" t="s">
        <v>132</v>
      </c>
      <c r="L23" s="412" t="s">
        <v>2265</v>
      </c>
      <c r="M23" s="472"/>
      <c r="N23" s="416" t="s">
        <v>504</v>
      </c>
      <c r="O23" s="40"/>
      <c r="P23" s="40"/>
      <c r="Q23" s="13" t="s">
        <v>6</v>
      </c>
      <c r="R23" s="13" t="s">
        <v>6</v>
      </c>
      <c r="S23" s="414" t="s">
        <v>6</v>
      </c>
      <c r="T23" s="40" t="s">
        <v>6</v>
      </c>
      <c r="U23" s="13"/>
      <c r="V23" s="13"/>
      <c r="W23" s="412" t="s">
        <v>133</v>
      </c>
      <c r="X23" s="13"/>
      <c r="Y23" s="13"/>
      <c r="Z23" s="13" t="s">
        <v>6</v>
      </c>
      <c r="AA23" s="414" t="s">
        <v>6</v>
      </c>
      <c r="AB23" s="413"/>
      <c r="AC23" s="413"/>
      <c r="AD23" s="413"/>
      <c r="AE23" s="412" t="s">
        <v>133</v>
      </c>
      <c r="AF23" s="13"/>
      <c r="AG23" s="13"/>
      <c r="AH23" s="13" t="s">
        <v>6</v>
      </c>
      <c r="AI23" s="414" t="s">
        <v>6</v>
      </c>
      <c r="AJ23" s="413"/>
      <c r="AK23" s="413"/>
      <c r="AL23" s="413"/>
      <c r="AM23" s="43"/>
      <c r="AN23" s="19"/>
      <c r="AO23" s="15"/>
      <c r="AP23" s="15"/>
      <c r="AQ23" s="15"/>
      <c r="AR23" s="15"/>
      <c r="AS23" s="15"/>
      <c r="AT23" s="15"/>
      <c r="AU23" s="15"/>
      <c r="AV23" s="13"/>
      <c r="AW23" s="18">
        <f t="shared" si="2"/>
        <v>23</v>
      </c>
    </row>
    <row r="24" spans="1:87" s="12" customFormat="1" ht="15">
      <c r="A24" s="40">
        <f t="shared" si="0"/>
        <v>18</v>
      </c>
      <c r="B24" s="19"/>
      <c r="C24" s="41"/>
      <c r="D24" s="19"/>
      <c r="E24" s="19"/>
      <c r="F24" s="19"/>
      <c r="G24" s="19"/>
      <c r="H24" s="13"/>
      <c r="I24" s="13"/>
      <c r="J24" s="412" t="s">
        <v>2266</v>
      </c>
      <c r="K24" s="412" t="s">
        <v>132</v>
      </c>
      <c r="L24" s="412" t="s">
        <v>2267</v>
      </c>
      <c r="M24" s="472"/>
      <c r="N24" s="416" t="s">
        <v>504</v>
      </c>
      <c r="O24" s="13"/>
      <c r="P24" s="13"/>
      <c r="Q24" s="13" t="s">
        <v>6</v>
      </c>
      <c r="R24" s="13" t="s">
        <v>6</v>
      </c>
      <c r="S24" s="414" t="s">
        <v>6</v>
      </c>
      <c r="T24" s="40" t="s">
        <v>6</v>
      </c>
      <c r="U24" s="13"/>
      <c r="V24" s="13"/>
      <c r="W24" s="412" t="s">
        <v>133</v>
      </c>
      <c r="X24" s="13"/>
      <c r="Y24" s="13"/>
      <c r="Z24" s="13" t="s">
        <v>6</v>
      </c>
      <c r="AA24" s="414" t="s">
        <v>6</v>
      </c>
      <c r="AB24" s="413"/>
      <c r="AC24" s="415"/>
      <c r="AD24" s="415"/>
      <c r="AE24" s="412" t="s">
        <v>133</v>
      </c>
      <c r="AF24" s="13"/>
      <c r="AG24" s="13"/>
      <c r="AH24" s="13" t="s">
        <v>6</v>
      </c>
      <c r="AI24" s="414" t="s">
        <v>6</v>
      </c>
      <c r="AJ24" s="413"/>
      <c r="AK24" s="415"/>
      <c r="AL24" s="415"/>
      <c r="AM24" s="43"/>
      <c r="AN24" s="19"/>
      <c r="AO24" s="15"/>
      <c r="AP24" s="15"/>
      <c r="AQ24" s="15"/>
      <c r="AR24" s="15"/>
      <c r="AS24" s="15"/>
      <c r="AT24" s="15"/>
      <c r="AU24" s="15"/>
      <c r="AV24" s="15"/>
      <c r="AW24" s="18">
        <f t="shared" si="2"/>
        <v>31</v>
      </c>
      <c r="AX24" s="16"/>
      <c r="AY24" s="17"/>
    </row>
    <row r="25" spans="1:87" s="12" customFormat="1" ht="15">
      <c r="A25" s="40">
        <f t="shared" si="0"/>
        <v>19</v>
      </c>
      <c r="B25" s="19"/>
      <c r="C25" s="41"/>
      <c r="D25" s="19"/>
      <c r="E25" s="19"/>
      <c r="F25" s="19"/>
      <c r="G25" s="19"/>
      <c r="H25" s="13"/>
      <c r="I25" s="13"/>
      <c r="J25" s="412" t="s">
        <v>2268</v>
      </c>
      <c r="K25" s="412" t="s">
        <v>132</v>
      </c>
      <c r="L25" s="412" t="s">
        <v>2269</v>
      </c>
      <c r="M25" s="472"/>
      <c r="N25" s="416" t="s">
        <v>504</v>
      </c>
      <c r="O25" s="13"/>
      <c r="P25" s="13"/>
      <c r="Q25" s="13" t="s">
        <v>6</v>
      </c>
      <c r="R25" s="13" t="s">
        <v>6</v>
      </c>
      <c r="S25" s="414" t="s">
        <v>6</v>
      </c>
      <c r="T25" s="40" t="s">
        <v>6</v>
      </c>
      <c r="U25" s="13"/>
      <c r="V25" s="13"/>
      <c r="W25" s="412" t="s">
        <v>133</v>
      </c>
      <c r="X25" s="13"/>
      <c r="Y25" s="13"/>
      <c r="Z25" s="13" t="s">
        <v>6</v>
      </c>
      <c r="AA25" s="414" t="s">
        <v>6</v>
      </c>
      <c r="AB25" s="413"/>
      <c r="AC25" s="415"/>
      <c r="AD25" s="415"/>
      <c r="AE25" s="412" t="s">
        <v>133</v>
      </c>
      <c r="AF25" s="13"/>
      <c r="AG25" s="13"/>
      <c r="AH25" s="13" t="s">
        <v>6</v>
      </c>
      <c r="AI25" s="414" t="s">
        <v>6</v>
      </c>
      <c r="AJ25" s="413"/>
      <c r="AK25" s="415"/>
      <c r="AL25" s="415"/>
      <c r="AM25" s="43"/>
      <c r="AN25" s="19"/>
      <c r="AO25" s="15"/>
      <c r="AP25" s="15"/>
      <c r="AQ25" s="15"/>
      <c r="AR25" s="15"/>
      <c r="AS25" s="15"/>
      <c r="AT25" s="15"/>
      <c r="AU25" s="13"/>
      <c r="AV25" s="15"/>
      <c r="AW25" s="18">
        <f t="shared" si="2"/>
        <v>25</v>
      </c>
    </row>
    <row r="26" spans="1:87" s="12" customFormat="1" ht="15">
      <c r="A26" s="40">
        <f t="shared" si="0"/>
        <v>20</v>
      </c>
      <c r="B26" s="19"/>
      <c r="C26" s="41"/>
      <c r="D26" s="19"/>
      <c r="E26" s="19"/>
      <c r="F26" s="19"/>
      <c r="G26" s="19"/>
      <c r="H26" s="13"/>
      <c r="I26" s="13"/>
      <c r="J26" s="412" t="s">
        <v>2270</v>
      </c>
      <c r="K26" s="412" t="s">
        <v>132</v>
      </c>
      <c r="L26" s="412" t="s">
        <v>2271</v>
      </c>
      <c r="M26" s="472"/>
      <c r="N26" s="416" t="s">
        <v>504</v>
      </c>
      <c r="O26" s="13"/>
      <c r="P26" s="13"/>
      <c r="Q26" s="13" t="s">
        <v>6</v>
      </c>
      <c r="R26" s="13" t="s">
        <v>6</v>
      </c>
      <c r="S26" s="414" t="s">
        <v>6</v>
      </c>
      <c r="T26" s="40" t="s">
        <v>6</v>
      </c>
      <c r="U26" s="13"/>
      <c r="V26" s="13"/>
      <c r="W26" s="412" t="s">
        <v>133</v>
      </c>
      <c r="X26" s="13"/>
      <c r="Y26" s="13"/>
      <c r="Z26" s="13" t="s">
        <v>6</v>
      </c>
      <c r="AA26" s="414" t="s">
        <v>6</v>
      </c>
      <c r="AB26" s="413"/>
      <c r="AC26" s="415"/>
      <c r="AD26" s="415"/>
      <c r="AE26" s="412" t="s">
        <v>133</v>
      </c>
      <c r="AF26" s="13"/>
      <c r="AG26" s="13"/>
      <c r="AH26" s="13" t="s">
        <v>6</v>
      </c>
      <c r="AI26" s="414" t="s">
        <v>6</v>
      </c>
      <c r="AJ26" s="413"/>
      <c r="AK26" s="415"/>
      <c r="AL26" s="415"/>
      <c r="AM26" s="43"/>
      <c r="AN26" s="19"/>
      <c r="AO26" s="15"/>
      <c r="AP26" s="15"/>
      <c r="AQ26" s="15"/>
      <c r="AR26" s="15"/>
      <c r="AS26" s="15"/>
      <c r="AT26" s="15"/>
      <c r="AU26" s="13"/>
      <c r="AV26" s="15"/>
      <c r="AW26" s="18">
        <f t="shared" si="2"/>
        <v>34</v>
      </c>
    </row>
    <row r="27" spans="1:87" s="18" customFormat="1" ht="15" customHeight="1">
      <c r="A27" s="40">
        <f t="shared" si="0"/>
        <v>21</v>
      </c>
      <c r="B27" s="19"/>
      <c r="C27" s="41"/>
      <c r="D27" s="19"/>
      <c r="E27" s="19"/>
      <c r="F27" s="19"/>
      <c r="G27" s="19"/>
      <c r="H27" s="13"/>
      <c r="I27" s="13"/>
      <c r="J27" s="412" t="s">
        <v>2272</v>
      </c>
      <c r="K27" s="412" t="s">
        <v>132</v>
      </c>
      <c r="L27" s="412" t="s">
        <v>2273</v>
      </c>
      <c r="M27" s="472"/>
      <c r="N27" s="416" t="s">
        <v>504</v>
      </c>
      <c r="O27" s="13"/>
      <c r="P27" s="13"/>
      <c r="Q27" s="13" t="s">
        <v>6</v>
      </c>
      <c r="R27" s="13" t="s">
        <v>6</v>
      </c>
      <c r="S27" s="414" t="s">
        <v>6</v>
      </c>
      <c r="T27" s="40" t="s">
        <v>6</v>
      </c>
      <c r="U27" s="13"/>
      <c r="V27" s="13"/>
      <c r="W27" s="412" t="s">
        <v>133</v>
      </c>
      <c r="X27" s="13"/>
      <c r="Y27" s="13"/>
      <c r="Z27" s="13" t="s">
        <v>6</v>
      </c>
      <c r="AA27" s="414" t="s">
        <v>6</v>
      </c>
      <c r="AB27" s="413"/>
      <c r="AC27" s="415"/>
      <c r="AD27" s="415"/>
      <c r="AE27" s="412" t="s">
        <v>133</v>
      </c>
      <c r="AF27" s="13"/>
      <c r="AG27" s="13"/>
      <c r="AH27" s="13" t="s">
        <v>6</v>
      </c>
      <c r="AI27" s="414" t="s">
        <v>6</v>
      </c>
      <c r="AJ27" s="413"/>
      <c r="AK27" s="415"/>
      <c r="AL27" s="415"/>
      <c r="AM27" s="43"/>
      <c r="AN27" s="19"/>
      <c r="AO27" s="15"/>
      <c r="AP27" s="15"/>
      <c r="AQ27" s="15"/>
      <c r="AR27" s="15"/>
      <c r="AS27" s="15"/>
      <c r="AT27" s="15"/>
      <c r="AU27" s="15"/>
      <c r="AV27" s="15"/>
      <c r="AW27" s="18">
        <f t="shared" si="2"/>
        <v>21</v>
      </c>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row>
    <row r="28" spans="1:87" s="18" customFormat="1" ht="15">
      <c r="A28" s="40">
        <f t="shared" si="0"/>
        <v>22</v>
      </c>
      <c r="B28" s="19"/>
      <c r="C28" s="41"/>
      <c r="D28" s="19"/>
      <c r="E28" s="19"/>
      <c r="F28" s="19"/>
      <c r="G28" s="19"/>
      <c r="H28" s="13"/>
      <c r="I28" s="13"/>
      <c r="J28" s="412" t="s">
        <v>2274</v>
      </c>
      <c r="K28" s="412" t="s">
        <v>132</v>
      </c>
      <c r="L28" s="412" t="s">
        <v>2275</v>
      </c>
      <c r="M28" s="472" t="s">
        <v>3602</v>
      </c>
      <c r="N28" s="416" t="s">
        <v>504</v>
      </c>
      <c r="O28" s="13"/>
      <c r="P28" s="13"/>
      <c r="Q28" s="13" t="s">
        <v>6</v>
      </c>
      <c r="R28" s="13" t="s">
        <v>6</v>
      </c>
      <c r="S28" s="414" t="s">
        <v>6</v>
      </c>
      <c r="T28" s="40" t="s">
        <v>6</v>
      </c>
      <c r="U28" s="13"/>
      <c r="V28" s="13"/>
      <c r="W28" s="412" t="s">
        <v>133</v>
      </c>
      <c r="X28" s="13"/>
      <c r="Y28" s="13"/>
      <c r="Z28" s="13" t="s">
        <v>6</v>
      </c>
      <c r="AA28" s="414" t="s">
        <v>6</v>
      </c>
      <c r="AB28" s="413"/>
      <c r="AC28" s="415"/>
      <c r="AD28" s="415"/>
      <c r="AE28" s="412" t="s">
        <v>133</v>
      </c>
      <c r="AF28" s="13"/>
      <c r="AG28" s="13"/>
      <c r="AH28" s="13" t="s">
        <v>6</v>
      </c>
      <c r="AI28" s="414" t="s">
        <v>6</v>
      </c>
      <c r="AJ28" s="413"/>
      <c r="AK28" s="415"/>
      <c r="AL28" s="415"/>
      <c r="AM28" s="43"/>
      <c r="AN28" s="19"/>
      <c r="AO28" s="15"/>
      <c r="AP28" s="15"/>
      <c r="AQ28" s="15"/>
      <c r="AR28" s="15"/>
      <c r="AS28" s="15"/>
      <c r="AT28" s="15"/>
      <c r="AU28" s="13"/>
      <c r="AV28" s="15"/>
      <c r="AW28" s="18">
        <f t="shared" si="2"/>
        <v>30</v>
      </c>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row>
    <row r="29" spans="1:87" s="12" customFormat="1" ht="15">
      <c r="A29" s="40">
        <f t="shared" si="0"/>
        <v>23</v>
      </c>
      <c r="B29" s="19"/>
      <c r="C29" s="41"/>
      <c r="D29" s="19"/>
      <c r="E29" s="19"/>
      <c r="F29" s="19"/>
      <c r="G29" s="19"/>
      <c r="H29" s="13"/>
      <c r="I29" s="13"/>
      <c r="J29" s="412" t="s">
        <v>2276</v>
      </c>
      <c r="K29" s="412" t="s">
        <v>117</v>
      </c>
      <c r="L29" s="215" t="s">
        <v>2277</v>
      </c>
      <c r="M29" s="509"/>
      <c r="N29" s="416" t="s">
        <v>504</v>
      </c>
      <c r="O29" s="13"/>
      <c r="P29" s="13"/>
      <c r="Q29" s="13" t="s">
        <v>6</v>
      </c>
      <c r="R29" s="13" t="s">
        <v>6</v>
      </c>
      <c r="S29" s="414" t="s">
        <v>6</v>
      </c>
      <c r="T29" s="40" t="s">
        <v>6</v>
      </c>
      <c r="U29" s="13"/>
      <c r="V29" s="13"/>
      <c r="W29" s="412" t="s">
        <v>133</v>
      </c>
      <c r="X29" s="13"/>
      <c r="Y29" s="13"/>
      <c r="Z29" s="13" t="s">
        <v>6</v>
      </c>
      <c r="AA29" s="414" t="s">
        <v>6</v>
      </c>
      <c r="AB29" s="413"/>
      <c r="AC29" s="415"/>
      <c r="AD29" s="218" t="s">
        <v>1616</v>
      </c>
      <c r="AE29" s="412" t="s">
        <v>133</v>
      </c>
      <c r="AF29" s="13"/>
      <c r="AG29" s="13"/>
      <c r="AH29" s="13" t="s">
        <v>6</v>
      </c>
      <c r="AI29" s="414" t="s">
        <v>6</v>
      </c>
      <c r="AJ29" s="413"/>
      <c r="AK29" s="415"/>
      <c r="AL29" s="218" t="s">
        <v>1616</v>
      </c>
      <c r="AM29" s="43"/>
      <c r="AN29" s="13"/>
      <c r="AO29" s="13"/>
      <c r="AP29" s="13"/>
      <c r="AQ29" s="13"/>
      <c r="AR29" s="13"/>
      <c r="AS29" s="13"/>
      <c r="AT29" s="13"/>
      <c r="AU29" s="15"/>
      <c r="AV29" s="15"/>
      <c r="AW29" s="18">
        <f t="shared" si="1"/>
        <v>25</v>
      </c>
    </row>
    <row r="30" spans="1:87" s="12" customFormat="1" ht="15">
      <c r="A30" s="40">
        <f t="shared" si="0"/>
        <v>24</v>
      </c>
      <c r="B30" s="19"/>
      <c r="C30" s="41"/>
      <c r="D30" s="19"/>
      <c r="E30" s="19"/>
      <c r="F30" s="19"/>
      <c r="G30" s="19"/>
      <c r="H30" s="13"/>
      <c r="I30" s="13"/>
      <c r="J30" s="412" t="s">
        <v>2278</v>
      </c>
      <c r="K30" s="412" t="s">
        <v>117</v>
      </c>
      <c r="L30" s="215" t="s">
        <v>2279</v>
      </c>
      <c r="M30" s="509"/>
      <c r="N30" s="416" t="s">
        <v>504</v>
      </c>
      <c r="O30" s="13"/>
      <c r="P30" s="13"/>
      <c r="Q30" s="13" t="s">
        <v>6</v>
      </c>
      <c r="R30" s="13" t="s">
        <v>6</v>
      </c>
      <c r="S30" s="414" t="s">
        <v>6</v>
      </c>
      <c r="T30" s="40" t="s">
        <v>6</v>
      </c>
      <c r="U30" s="13"/>
      <c r="V30" s="13"/>
      <c r="W30" s="412" t="s">
        <v>133</v>
      </c>
      <c r="X30" s="13"/>
      <c r="Y30" s="13"/>
      <c r="Z30" s="13" t="s">
        <v>6</v>
      </c>
      <c r="AA30" s="414" t="s">
        <v>6</v>
      </c>
      <c r="AB30" s="413"/>
      <c r="AC30" s="415"/>
      <c r="AD30" s="218" t="s">
        <v>1616</v>
      </c>
      <c r="AE30" s="412" t="s">
        <v>133</v>
      </c>
      <c r="AF30" s="13"/>
      <c r="AG30" s="13"/>
      <c r="AH30" s="13" t="s">
        <v>6</v>
      </c>
      <c r="AI30" s="414" t="s">
        <v>6</v>
      </c>
      <c r="AJ30" s="413"/>
      <c r="AK30" s="415"/>
      <c r="AL30" s="218" t="s">
        <v>1616</v>
      </c>
      <c r="AM30" s="43"/>
      <c r="AN30" s="13"/>
      <c r="AO30" s="13"/>
      <c r="AP30" s="13"/>
      <c r="AQ30" s="13"/>
      <c r="AR30" s="13"/>
      <c r="AS30" s="13"/>
      <c r="AT30" s="13"/>
      <c r="AU30" s="15"/>
      <c r="AV30" s="15"/>
      <c r="AW30" s="18">
        <f t="shared" si="1"/>
        <v>31</v>
      </c>
    </row>
    <row r="31" spans="1:87" s="12" customFormat="1" ht="15">
      <c r="A31" s="40">
        <f t="shared" si="0"/>
        <v>25</v>
      </c>
      <c r="B31" s="19"/>
      <c r="C31" s="41"/>
      <c r="D31" s="19"/>
      <c r="E31" s="19"/>
      <c r="F31" s="19"/>
      <c r="G31" s="19"/>
      <c r="H31" s="13"/>
      <c r="I31" s="13"/>
      <c r="J31" s="412" t="s">
        <v>2280</v>
      </c>
      <c r="K31" s="412" t="s">
        <v>117</v>
      </c>
      <c r="L31" s="215" t="s">
        <v>2281</v>
      </c>
      <c r="M31" s="509"/>
      <c r="N31" s="416" t="s">
        <v>504</v>
      </c>
      <c r="O31" s="13"/>
      <c r="P31" s="13"/>
      <c r="Q31" s="13" t="s">
        <v>6</v>
      </c>
      <c r="R31" s="13" t="s">
        <v>6</v>
      </c>
      <c r="S31" s="414" t="s">
        <v>6</v>
      </c>
      <c r="T31" s="40" t="s">
        <v>6</v>
      </c>
      <c r="U31" s="13"/>
      <c r="V31" s="13"/>
      <c r="W31" s="412" t="s">
        <v>133</v>
      </c>
      <c r="X31" s="13"/>
      <c r="Y31" s="13"/>
      <c r="Z31" s="13" t="s">
        <v>6</v>
      </c>
      <c r="AA31" s="414" t="s">
        <v>6</v>
      </c>
      <c r="AB31" s="413"/>
      <c r="AC31" s="415"/>
      <c r="AD31" s="218" t="s">
        <v>1616</v>
      </c>
      <c r="AE31" s="412" t="s">
        <v>133</v>
      </c>
      <c r="AF31" s="13"/>
      <c r="AG31" s="13"/>
      <c r="AH31" s="13" t="s">
        <v>6</v>
      </c>
      <c r="AI31" s="414" t="s">
        <v>6</v>
      </c>
      <c r="AJ31" s="413"/>
      <c r="AK31" s="415"/>
      <c r="AL31" s="218" t="s">
        <v>1616</v>
      </c>
      <c r="AM31" s="43"/>
      <c r="AN31" s="13"/>
      <c r="AO31" s="13"/>
      <c r="AP31" s="13"/>
      <c r="AQ31" s="13"/>
      <c r="AR31" s="13"/>
      <c r="AS31" s="13"/>
      <c r="AT31" s="13"/>
      <c r="AU31" s="15"/>
      <c r="AV31" s="15"/>
      <c r="AW31" s="18">
        <f t="shared" si="1"/>
        <v>28</v>
      </c>
    </row>
    <row r="32" spans="1:87" s="12" customFormat="1" ht="15">
      <c r="A32" s="40">
        <f t="shared" si="0"/>
        <v>26</v>
      </c>
      <c r="B32" s="19"/>
      <c r="C32" s="41"/>
      <c r="D32" s="19"/>
      <c r="E32" s="19"/>
      <c r="F32" s="19"/>
      <c r="G32" s="19"/>
      <c r="H32" s="13"/>
      <c r="I32" s="13"/>
      <c r="J32" s="412" t="s">
        <v>2282</v>
      </c>
      <c r="K32" s="412" t="s">
        <v>117</v>
      </c>
      <c r="L32" s="215" t="s">
        <v>2283</v>
      </c>
      <c r="M32" s="509"/>
      <c r="N32" s="416" t="s">
        <v>504</v>
      </c>
      <c r="O32" s="13"/>
      <c r="P32" s="13"/>
      <c r="Q32" s="13" t="s">
        <v>6</v>
      </c>
      <c r="R32" s="13" t="s">
        <v>6</v>
      </c>
      <c r="S32" s="414" t="s">
        <v>6</v>
      </c>
      <c r="T32" s="40" t="s">
        <v>6</v>
      </c>
      <c r="U32" s="13"/>
      <c r="V32" s="13"/>
      <c r="W32" s="412" t="s">
        <v>133</v>
      </c>
      <c r="X32" s="13"/>
      <c r="Y32" s="13"/>
      <c r="Z32" s="13" t="s">
        <v>6</v>
      </c>
      <c r="AA32" s="414" t="s">
        <v>6</v>
      </c>
      <c r="AB32" s="413"/>
      <c r="AC32" s="415"/>
      <c r="AD32" s="218" t="s">
        <v>1616</v>
      </c>
      <c r="AE32" s="412" t="s">
        <v>133</v>
      </c>
      <c r="AF32" s="13"/>
      <c r="AG32" s="13"/>
      <c r="AH32" s="13" t="s">
        <v>6</v>
      </c>
      <c r="AI32" s="414" t="s">
        <v>6</v>
      </c>
      <c r="AJ32" s="413"/>
      <c r="AK32" s="415"/>
      <c r="AL32" s="218" t="s">
        <v>1616</v>
      </c>
      <c r="AM32" s="43"/>
      <c r="AN32" s="13"/>
      <c r="AO32" s="13"/>
      <c r="AP32" s="13"/>
      <c r="AQ32" s="13"/>
      <c r="AR32" s="13"/>
      <c r="AS32" s="13"/>
      <c r="AT32" s="13"/>
      <c r="AU32" s="15"/>
      <c r="AV32" s="15"/>
      <c r="AW32" s="18">
        <f>LEN(L32)</f>
        <v>28</v>
      </c>
    </row>
    <row r="33" spans="1:87" s="12" customFormat="1" ht="15">
      <c r="A33" s="40">
        <f t="shared" si="0"/>
        <v>27</v>
      </c>
      <c r="B33" s="19"/>
      <c r="C33" s="41"/>
      <c r="D33" s="19"/>
      <c r="E33" s="19"/>
      <c r="F33" s="19"/>
      <c r="G33" s="19"/>
      <c r="H33" s="13"/>
      <c r="I33" s="13"/>
      <c r="J33" s="412" t="s">
        <v>2284</v>
      </c>
      <c r="K33" s="412" t="s">
        <v>117</v>
      </c>
      <c r="L33" s="215" t="s">
        <v>1409</v>
      </c>
      <c r="M33" s="509"/>
      <c r="N33" s="416" t="s">
        <v>504</v>
      </c>
      <c r="O33" s="13"/>
      <c r="P33" s="13"/>
      <c r="Q33" s="13" t="s">
        <v>6</v>
      </c>
      <c r="R33" s="13" t="s">
        <v>6</v>
      </c>
      <c r="S33" s="414" t="s">
        <v>6</v>
      </c>
      <c r="T33" s="40" t="s">
        <v>6</v>
      </c>
      <c r="U33" s="13"/>
      <c r="V33" s="13"/>
      <c r="W33" s="412" t="s">
        <v>133</v>
      </c>
      <c r="X33" s="13"/>
      <c r="Y33" s="13"/>
      <c r="Z33" s="13" t="s">
        <v>6</v>
      </c>
      <c r="AA33" s="414" t="s">
        <v>6</v>
      </c>
      <c r="AB33" s="413"/>
      <c r="AC33" s="415"/>
      <c r="AD33" s="218" t="s">
        <v>1616</v>
      </c>
      <c r="AE33" s="412" t="s">
        <v>133</v>
      </c>
      <c r="AF33" s="13"/>
      <c r="AG33" s="13"/>
      <c r="AH33" s="13" t="s">
        <v>6</v>
      </c>
      <c r="AI33" s="414" t="s">
        <v>6</v>
      </c>
      <c r="AJ33" s="413"/>
      <c r="AK33" s="415"/>
      <c r="AL33" s="218" t="s">
        <v>1616</v>
      </c>
      <c r="AM33" s="43"/>
      <c r="AN33" s="13"/>
      <c r="AO33" s="13"/>
      <c r="AP33" s="13"/>
      <c r="AQ33" s="13"/>
      <c r="AR33" s="13"/>
      <c r="AS33" s="13"/>
      <c r="AT33" s="13"/>
      <c r="AU33" s="15"/>
      <c r="AV33" s="15"/>
      <c r="AW33" s="18">
        <f t="shared" si="1"/>
        <v>32</v>
      </c>
    </row>
    <row r="34" spans="1:87" s="20" customFormat="1" ht="25.5" customHeight="1">
      <c r="A34" s="40">
        <f t="shared" si="0"/>
        <v>28</v>
      </c>
      <c r="B34" s="59"/>
      <c r="C34" s="59"/>
      <c r="D34" s="59"/>
      <c r="E34" s="59"/>
      <c r="F34" s="59"/>
      <c r="G34" s="59"/>
      <c r="H34" s="59"/>
      <c r="I34" s="59"/>
      <c r="J34" s="218" t="s">
        <v>1642</v>
      </c>
      <c r="K34" s="204" t="s">
        <v>128</v>
      </c>
      <c r="L34" s="204" t="s">
        <v>703</v>
      </c>
      <c r="M34" s="204"/>
      <c r="N34" s="126" t="s">
        <v>504</v>
      </c>
      <c r="O34" s="126"/>
      <c r="P34" s="126"/>
      <c r="Q34" s="13" t="s">
        <v>6</v>
      </c>
      <c r="R34" s="40" t="s">
        <v>6</v>
      </c>
      <c r="S34" s="40" t="s">
        <v>6</v>
      </c>
      <c r="T34" s="40" t="s">
        <v>6</v>
      </c>
      <c r="U34" s="206" t="s">
        <v>768</v>
      </c>
      <c r="V34" s="206"/>
      <c r="W34" s="204" t="s">
        <v>125</v>
      </c>
      <c r="X34" s="59"/>
      <c r="Y34" s="59"/>
      <c r="Z34" s="59"/>
      <c r="AA34" s="40" t="s">
        <v>6</v>
      </c>
      <c r="AB34" s="15"/>
      <c r="AC34" s="59"/>
      <c r="AD34" s="59"/>
      <c r="AE34" s="204" t="s">
        <v>125</v>
      </c>
      <c r="AF34" s="59"/>
      <c r="AG34" s="59"/>
      <c r="AH34" s="59"/>
      <c r="AI34" s="40" t="s">
        <v>6</v>
      </c>
      <c r="AJ34" s="15"/>
      <c r="AK34" s="59"/>
      <c r="AL34" s="59"/>
      <c r="AM34" s="59"/>
      <c r="AN34" s="59"/>
      <c r="AO34" s="59"/>
      <c r="AP34" s="59"/>
      <c r="AQ34" s="59"/>
      <c r="AR34" s="59"/>
      <c r="AS34" s="59"/>
      <c r="AT34" s="59"/>
      <c r="AU34" s="59"/>
      <c r="AV34" s="59"/>
      <c r="AW34" s="18">
        <f t="shared" ref="AW34:AW48" si="3">LEN(L34)</f>
        <v>19</v>
      </c>
    </row>
    <row r="35" spans="1:87" s="18" customFormat="1" ht="26.4">
      <c r="A35" s="40">
        <f t="shared" si="0"/>
        <v>29</v>
      </c>
      <c r="B35" s="38"/>
      <c r="C35" s="42"/>
      <c r="D35" s="38"/>
      <c r="E35" s="46"/>
      <c r="F35" s="46"/>
      <c r="G35" s="46"/>
      <c r="H35" s="13"/>
      <c r="I35" s="40"/>
      <c r="J35" s="215" t="s">
        <v>2285</v>
      </c>
      <c r="K35" s="412" t="s">
        <v>117</v>
      </c>
      <c r="L35" s="215" t="s">
        <v>1760</v>
      </c>
      <c r="M35" s="215"/>
      <c r="N35" s="126" t="s">
        <v>504</v>
      </c>
      <c r="O35" s="40"/>
      <c r="P35" s="40"/>
      <c r="Q35" s="13" t="s">
        <v>6</v>
      </c>
      <c r="R35" s="126" t="s">
        <v>6</v>
      </c>
      <c r="S35" s="126" t="s">
        <v>6</v>
      </c>
      <c r="T35" s="40" t="s">
        <v>6</v>
      </c>
      <c r="U35" s="206" t="s">
        <v>1964</v>
      </c>
      <c r="V35" s="204"/>
      <c r="W35" s="215" t="s">
        <v>125</v>
      </c>
      <c r="X35" s="40"/>
      <c r="Y35" s="413"/>
      <c r="Z35" s="61"/>
      <c r="AA35" s="61" t="s">
        <v>6</v>
      </c>
      <c r="AB35" s="413"/>
      <c r="AC35" s="413"/>
      <c r="AD35" s="413"/>
      <c r="AE35" s="215" t="s">
        <v>125</v>
      </c>
      <c r="AF35" s="40"/>
      <c r="AG35" s="413"/>
      <c r="AH35" s="61"/>
      <c r="AI35" s="61" t="s">
        <v>6</v>
      </c>
      <c r="AJ35" s="413"/>
      <c r="AK35" s="413"/>
      <c r="AL35" s="413"/>
      <c r="AM35" s="45"/>
      <c r="AN35" s="53"/>
      <c r="AO35" s="266"/>
      <c r="AP35" s="266"/>
      <c r="AQ35" s="266"/>
      <c r="AR35" s="266"/>
      <c r="AS35" s="15"/>
      <c r="AT35" s="15"/>
      <c r="AU35" s="15"/>
      <c r="AV35" s="13"/>
      <c r="AW35" s="18">
        <f t="shared" si="3"/>
        <v>27</v>
      </c>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row>
    <row r="36" spans="1:87" s="236" customFormat="1" ht="15">
      <c r="A36" s="40">
        <f t="shared" si="0"/>
        <v>30</v>
      </c>
      <c r="B36" s="199"/>
      <c r="C36" s="199"/>
      <c r="D36" s="199"/>
      <c r="E36" s="199"/>
      <c r="F36" s="199"/>
      <c r="G36" s="199"/>
      <c r="H36" s="199"/>
      <c r="I36" s="199" t="s">
        <v>868</v>
      </c>
      <c r="J36" s="218" t="s">
        <v>1649</v>
      </c>
      <c r="K36" s="232" t="s">
        <v>117</v>
      </c>
      <c r="L36" s="204" t="s">
        <v>763</v>
      </c>
      <c r="M36" s="204"/>
      <c r="N36" s="126" t="s">
        <v>504</v>
      </c>
      <c r="O36" s="126"/>
      <c r="P36" s="126"/>
      <c r="Q36" s="13" t="s">
        <v>6</v>
      </c>
      <c r="R36" s="40" t="s">
        <v>6</v>
      </c>
      <c r="S36" s="126" t="s">
        <v>6</v>
      </c>
      <c r="T36" s="40" t="s">
        <v>6</v>
      </c>
      <c r="U36" s="204"/>
      <c r="V36" s="204"/>
      <c r="W36" s="232" t="s">
        <v>125</v>
      </c>
      <c r="X36" s="211"/>
      <c r="Y36" s="211"/>
      <c r="Z36" s="211"/>
      <c r="AA36" s="126" t="s">
        <v>6</v>
      </c>
      <c r="AB36" s="198"/>
      <c r="AC36" s="199"/>
      <c r="AD36" s="199"/>
      <c r="AE36" s="232" t="s">
        <v>125</v>
      </c>
      <c r="AF36" s="211"/>
      <c r="AG36" s="211"/>
      <c r="AH36" s="211"/>
      <c r="AI36" s="126" t="s">
        <v>6</v>
      </c>
      <c r="AJ36" s="198"/>
      <c r="AK36" s="199"/>
      <c r="AL36" s="199"/>
      <c r="AM36" s="199"/>
      <c r="AN36" s="199"/>
      <c r="AO36" s="199"/>
      <c r="AP36" s="199"/>
      <c r="AQ36" s="199"/>
      <c r="AR36" s="199"/>
      <c r="AS36" s="199"/>
      <c r="AT36" s="199"/>
      <c r="AU36" s="199"/>
      <c r="AV36" s="199"/>
      <c r="AW36" s="155">
        <f t="shared" si="3"/>
        <v>24</v>
      </c>
    </row>
    <row r="37" spans="1:87" s="236" customFormat="1" ht="15">
      <c r="A37" s="40">
        <f t="shared" si="0"/>
        <v>31</v>
      </c>
      <c r="B37" s="199"/>
      <c r="C37" s="199"/>
      <c r="D37" s="199"/>
      <c r="E37" s="199"/>
      <c r="F37" s="199"/>
      <c r="G37" s="199"/>
      <c r="H37" s="199"/>
      <c r="I37" s="199" t="s">
        <v>868</v>
      </c>
      <c r="J37" s="218" t="s">
        <v>1650</v>
      </c>
      <c r="K37" s="232" t="s">
        <v>117</v>
      </c>
      <c r="L37" s="204" t="s">
        <v>765</v>
      </c>
      <c r="M37" s="204"/>
      <c r="N37" s="126" t="s">
        <v>504</v>
      </c>
      <c r="O37" s="126"/>
      <c r="P37" s="126"/>
      <c r="Q37" s="13" t="s">
        <v>6</v>
      </c>
      <c r="R37" s="40" t="s">
        <v>6</v>
      </c>
      <c r="S37" s="126" t="s">
        <v>6</v>
      </c>
      <c r="T37" s="40" t="s">
        <v>6</v>
      </c>
      <c r="U37" s="200"/>
      <c r="V37" s="204"/>
      <c r="W37" s="232" t="s">
        <v>125</v>
      </c>
      <c r="X37" s="199"/>
      <c r="Y37" s="199"/>
      <c r="Z37" s="199"/>
      <c r="AA37" s="126" t="s">
        <v>6</v>
      </c>
      <c r="AB37" s="198"/>
      <c r="AC37" s="199"/>
      <c r="AD37" s="199"/>
      <c r="AE37" s="232" t="s">
        <v>125</v>
      </c>
      <c r="AF37" s="199"/>
      <c r="AG37" s="199"/>
      <c r="AH37" s="199"/>
      <c r="AI37" s="126" t="s">
        <v>6</v>
      </c>
      <c r="AJ37" s="198"/>
      <c r="AK37" s="199"/>
      <c r="AL37" s="199"/>
      <c r="AM37" s="199"/>
      <c r="AN37" s="199"/>
      <c r="AO37" s="199"/>
      <c r="AP37" s="199"/>
      <c r="AQ37" s="199"/>
      <c r="AR37" s="199"/>
      <c r="AS37" s="199"/>
      <c r="AT37" s="199"/>
      <c r="AU37" s="199"/>
      <c r="AV37" s="199"/>
      <c r="AW37" s="155">
        <f t="shared" si="3"/>
        <v>25</v>
      </c>
    </row>
    <row r="38" spans="1:87" s="236" customFormat="1" ht="15">
      <c r="A38" s="40">
        <f t="shared" si="0"/>
        <v>32</v>
      </c>
      <c r="B38" s="199"/>
      <c r="C38" s="199"/>
      <c r="D38" s="199"/>
      <c r="E38" s="199"/>
      <c r="F38" s="199"/>
      <c r="G38" s="199"/>
      <c r="H38" s="199"/>
      <c r="I38" s="199" t="s">
        <v>868</v>
      </c>
      <c r="J38" s="218" t="s">
        <v>1651</v>
      </c>
      <c r="K38" s="232" t="s">
        <v>117</v>
      </c>
      <c r="L38" s="204" t="s">
        <v>767</v>
      </c>
      <c r="M38" s="204"/>
      <c r="N38" s="126" t="s">
        <v>504</v>
      </c>
      <c r="O38" s="126"/>
      <c r="P38" s="126"/>
      <c r="Q38" s="13" t="s">
        <v>6</v>
      </c>
      <c r="R38" s="40" t="s">
        <v>6</v>
      </c>
      <c r="S38" s="126" t="s">
        <v>6</v>
      </c>
      <c r="T38" s="40" t="s">
        <v>6</v>
      </c>
      <c r="U38" s="200"/>
      <c r="V38" s="204"/>
      <c r="W38" s="232" t="s">
        <v>125</v>
      </c>
      <c r="X38" s="199"/>
      <c r="Y38" s="199"/>
      <c r="Z38" s="199"/>
      <c r="AA38" s="126" t="s">
        <v>6</v>
      </c>
      <c r="AB38" s="198"/>
      <c r="AC38" s="199"/>
      <c r="AD38" s="199"/>
      <c r="AE38" s="232" t="s">
        <v>125</v>
      </c>
      <c r="AF38" s="199"/>
      <c r="AG38" s="199"/>
      <c r="AH38" s="199"/>
      <c r="AI38" s="126" t="s">
        <v>6</v>
      </c>
      <c r="AJ38" s="198"/>
      <c r="AK38" s="199"/>
      <c r="AL38" s="199"/>
      <c r="AM38" s="199"/>
      <c r="AN38" s="199"/>
      <c r="AO38" s="199"/>
      <c r="AP38" s="199"/>
      <c r="AQ38" s="199"/>
      <c r="AR38" s="199"/>
      <c r="AS38" s="199"/>
      <c r="AT38" s="199"/>
      <c r="AU38" s="199"/>
      <c r="AV38" s="199"/>
      <c r="AW38" s="155">
        <f t="shared" si="3"/>
        <v>25</v>
      </c>
    </row>
    <row r="39" spans="1:87" s="236" customFormat="1" ht="15">
      <c r="A39" s="40">
        <f t="shared" si="0"/>
        <v>33</v>
      </c>
      <c r="B39" s="199"/>
      <c r="C39" s="199"/>
      <c r="D39" s="199"/>
      <c r="E39" s="199"/>
      <c r="F39" s="199"/>
      <c r="G39" s="199"/>
      <c r="H39" s="199"/>
      <c r="I39" s="199"/>
      <c r="J39" s="218" t="s">
        <v>3341</v>
      </c>
      <c r="K39" s="232" t="s">
        <v>117</v>
      </c>
      <c r="L39" s="204" t="s">
        <v>3333</v>
      </c>
      <c r="M39" s="204"/>
      <c r="N39" s="126" t="s">
        <v>504</v>
      </c>
      <c r="O39" s="126"/>
      <c r="P39" s="126"/>
      <c r="Q39" s="40"/>
      <c r="R39" s="40" t="s">
        <v>6</v>
      </c>
      <c r="S39" s="126" t="s">
        <v>6</v>
      </c>
      <c r="T39" s="40" t="s">
        <v>6</v>
      </c>
      <c r="U39" s="200"/>
      <c r="V39" s="204"/>
      <c r="W39" s="204" t="s">
        <v>133</v>
      </c>
      <c r="X39" s="199"/>
      <c r="Y39" s="199"/>
      <c r="Z39" s="40" t="s">
        <v>6</v>
      </c>
      <c r="AA39" s="126" t="s">
        <v>6</v>
      </c>
      <c r="AB39" s="198"/>
      <c r="AC39" s="199"/>
      <c r="AD39" s="199"/>
      <c r="AE39" s="232" t="s">
        <v>125</v>
      </c>
      <c r="AF39" s="199"/>
      <c r="AG39" s="199"/>
      <c r="AH39" s="199"/>
      <c r="AI39" s="126" t="s">
        <v>6</v>
      </c>
      <c r="AJ39" s="198"/>
      <c r="AK39" s="199"/>
      <c r="AL39" s="199"/>
      <c r="AM39" s="199"/>
      <c r="AN39" s="199"/>
      <c r="AO39" s="199"/>
      <c r="AP39" s="199"/>
      <c r="AQ39" s="199"/>
      <c r="AR39" s="199"/>
      <c r="AS39" s="199"/>
      <c r="AT39" s="199"/>
      <c r="AU39" s="199"/>
      <c r="AV39" s="199"/>
      <c r="AW39" s="155">
        <f t="shared" si="3"/>
        <v>32</v>
      </c>
    </row>
    <row r="40" spans="1:87" s="236" customFormat="1" ht="15">
      <c r="A40" s="40">
        <f t="shared" si="0"/>
        <v>34</v>
      </c>
      <c r="B40" s="199"/>
      <c r="C40" s="199"/>
      <c r="D40" s="199"/>
      <c r="E40" s="199"/>
      <c r="F40" s="199"/>
      <c r="G40" s="199"/>
      <c r="H40" s="199"/>
      <c r="I40" s="199"/>
      <c r="J40" s="218" t="s">
        <v>3342</v>
      </c>
      <c r="K40" s="232" t="s">
        <v>117</v>
      </c>
      <c r="L40" s="204" t="s">
        <v>3335</v>
      </c>
      <c r="M40" s="204"/>
      <c r="N40" s="126" t="s">
        <v>504</v>
      </c>
      <c r="O40" s="126"/>
      <c r="P40" s="126"/>
      <c r="Q40" s="40"/>
      <c r="R40" s="40" t="s">
        <v>6</v>
      </c>
      <c r="S40" s="126" t="s">
        <v>6</v>
      </c>
      <c r="T40" s="40" t="s">
        <v>6</v>
      </c>
      <c r="U40" s="200"/>
      <c r="V40" s="204"/>
      <c r="W40" s="204" t="s">
        <v>133</v>
      </c>
      <c r="X40" s="199"/>
      <c r="Y40" s="199"/>
      <c r="Z40" s="40" t="s">
        <v>6</v>
      </c>
      <c r="AA40" s="126" t="s">
        <v>6</v>
      </c>
      <c r="AB40" s="198"/>
      <c r="AC40" s="199"/>
      <c r="AD40" s="199"/>
      <c r="AE40" s="232" t="s">
        <v>125</v>
      </c>
      <c r="AF40" s="199"/>
      <c r="AG40" s="199"/>
      <c r="AH40" s="199"/>
      <c r="AI40" s="126" t="s">
        <v>6</v>
      </c>
      <c r="AJ40" s="198"/>
      <c r="AK40" s="199"/>
      <c r="AL40" s="199"/>
      <c r="AM40" s="199"/>
      <c r="AN40" s="199"/>
      <c r="AO40" s="199"/>
      <c r="AP40" s="199"/>
      <c r="AQ40" s="199"/>
      <c r="AR40" s="199"/>
      <c r="AS40" s="199"/>
      <c r="AT40" s="199"/>
      <c r="AU40" s="199"/>
      <c r="AV40" s="199"/>
      <c r="AW40" s="155">
        <f t="shared" si="3"/>
        <v>32</v>
      </c>
    </row>
    <row r="41" spans="1:87" s="236" customFormat="1" ht="15">
      <c r="A41" s="40">
        <f t="shared" si="0"/>
        <v>35</v>
      </c>
      <c r="B41" s="199"/>
      <c r="C41" s="199"/>
      <c r="D41" s="199"/>
      <c r="E41" s="199"/>
      <c r="F41" s="199"/>
      <c r="G41" s="199"/>
      <c r="H41" s="199"/>
      <c r="I41" s="199"/>
      <c r="J41" s="218" t="s">
        <v>3343</v>
      </c>
      <c r="K41" s="232" t="s">
        <v>117</v>
      </c>
      <c r="L41" s="204" t="s">
        <v>3337</v>
      </c>
      <c r="M41" s="204"/>
      <c r="N41" s="126" t="s">
        <v>504</v>
      </c>
      <c r="O41" s="126"/>
      <c r="P41" s="126"/>
      <c r="Q41" s="40"/>
      <c r="R41" s="40" t="s">
        <v>6</v>
      </c>
      <c r="S41" s="126" t="s">
        <v>6</v>
      </c>
      <c r="T41" s="40" t="s">
        <v>6</v>
      </c>
      <c r="U41" s="200"/>
      <c r="V41" s="204"/>
      <c r="W41" s="204" t="s">
        <v>133</v>
      </c>
      <c r="X41" s="199"/>
      <c r="Y41" s="199"/>
      <c r="Z41" s="40" t="s">
        <v>6</v>
      </c>
      <c r="AA41" s="126" t="s">
        <v>6</v>
      </c>
      <c r="AB41" s="198"/>
      <c r="AC41" s="199"/>
      <c r="AD41" s="199"/>
      <c r="AE41" s="232" t="s">
        <v>125</v>
      </c>
      <c r="AF41" s="199"/>
      <c r="AG41" s="199"/>
      <c r="AH41" s="199"/>
      <c r="AI41" s="126" t="s">
        <v>6</v>
      </c>
      <c r="AJ41" s="198"/>
      <c r="AK41" s="199"/>
      <c r="AL41" s="199"/>
      <c r="AM41" s="199"/>
      <c r="AN41" s="199"/>
      <c r="AO41" s="199"/>
      <c r="AP41" s="199"/>
      <c r="AQ41" s="199"/>
      <c r="AR41" s="199"/>
      <c r="AS41" s="199"/>
      <c r="AT41" s="199"/>
      <c r="AU41" s="199"/>
      <c r="AV41" s="199"/>
      <c r="AW41" s="155">
        <f t="shared" si="3"/>
        <v>32</v>
      </c>
    </row>
    <row r="42" spans="1:87" s="20" customFormat="1" ht="52.8">
      <c r="A42" s="40">
        <f t="shared" si="0"/>
        <v>36</v>
      </c>
      <c r="B42" s="59"/>
      <c r="C42" s="59"/>
      <c r="D42" s="59"/>
      <c r="E42" s="59"/>
      <c r="F42" s="59"/>
      <c r="G42" s="59"/>
      <c r="H42" s="59"/>
      <c r="I42" s="59"/>
      <c r="J42" s="218" t="s">
        <v>2286</v>
      </c>
      <c r="K42" s="232" t="s">
        <v>117</v>
      </c>
      <c r="L42" s="204" t="s">
        <v>729</v>
      </c>
      <c r="M42" s="204"/>
      <c r="N42" s="126" t="s">
        <v>504</v>
      </c>
      <c r="O42" s="126"/>
      <c r="P42" s="126"/>
      <c r="Q42" s="126" t="s">
        <v>6</v>
      </c>
      <c r="R42" s="126" t="s">
        <v>6</v>
      </c>
      <c r="S42" s="126" t="s">
        <v>6</v>
      </c>
      <c r="T42" s="126" t="s">
        <v>6</v>
      </c>
      <c r="U42" s="206" t="s">
        <v>1389</v>
      </c>
      <c r="V42" s="206"/>
      <c r="W42" s="232" t="s">
        <v>125</v>
      </c>
      <c r="X42" s="59"/>
      <c r="Y42" s="59"/>
      <c r="Z42" s="59"/>
      <c r="AA42" s="61" t="s">
        <v>6</v>
      </c>
      <c r="AB42" s="15"/>
      <c r="AC42" s="59"/>
      <c r="AD42" s="59"/>
      <c r="AE42" s="232" t="s">
        <v>125</v>
      </c>
      <c r="AF42" s="59"/>
      <c r="AG42" s="59"/>
      <c r="AH42" s="59"/>
      <c r="AI42" s="61" t="s">
        <v>6</v>
      </c>
      <c r="AJ42" s="15"/>
      <c r="AK42" s="59"/>
      <c r="AL42" s="59"/>
      <c r="AM42" s="59"/>
      <c r="AN42" s="59"/>
      <c r="AO42" s="59"/>
      <c r="AP42" s="59"/>
      <c r="AQ42" s="59"/>
      <c r="AR42" s="59"/>
      <c r="AS42" s="59"/>
      <c r="AT42" s="59"/>
      <c r="AU42" s="59"/>
      <c r="AV42" s="59"/>
      <c r="AW42" s="18">
        <f t="shared" si="3"/>
        <v>18</v>
      </c>
    </row>
    <row r="43" spans="1:87" s="236" customFormat="1" ht="15">
      <c r="A43" s="40">
        <f t="shared" si="0"/>
        <v>37</v>
      </c>
      <c r="B43" s="199"/>
      <c r="C43" s="199"/>
      <c r="D43" s="199"/>
      <c r="E43" s="199"/>
      <c r="F43" s="199"/>
      <c r="G43" s="199"/>
      <c r="H43" s="199"/>
      <c r="I43" s="199"/>
      <c r="J43" s="218" t="s">
        <v>3386</v>
      </c>
      <c r="K43" s="204" t="s">
        <v>117</v>
      </c>
      <c r="L43" s="204" t="s">
        <v>732</v>
      </c>
      <c r="M43" s="204"/>
      <c r="N43" s="40" t="s">
        <v>504</v>
      </c>
      <c r="O43" s="199"/>
      <c r="P43" s="199"/>
      <c r="Q43" s="40" t="s">
        <v>6</v>
      </c>
      <c r="R43" s="40" t="s">
        <v>6</v>
      </c>
      <c r="S43" s="40" t="s">
        <v>6</v>
      </c>
      <c r="T43" s="40" t="s">
        <v>6</v>
      </c>
      <c r="U43" s="204" t="s">
        <v>733</v>
      </c>
      <c r="V43" s="204"/>
      <c r="W43" s="204"/>
      <c r="X43" s="199"/>
      <c r="Y43" s="199"/>
      <c r="Z43" s="40"/>
      <c r="AA43" s="40"/>
      <c r="AB43" s="218"/>
      <c r="AC43" s="199"/>
      <c r="AD43" s="218"/>
      <c r="AE43" s="204"/>
      <c r="AF43" s="199"/>
      <c r="AG43" s="199"/>
      <c r="AH43" s="199"/>
      <c r="AI43" s="40"/>
      <c r="AJ43" s="218"/>
      <c r="AK43" s="199"/>
      <c r="AL43" s="218"/>
      <c r="AM43" s="199"/>
      <c r="AN43" s="199"/>
      <c r="AO43" s="199"/>
      <c r="AP43" s="199"/>
      <c r="AQ43" s="199"/>
      <c r="AR43" s="199"/>
      <c r="AS43" s="199"/>
      <c r="AT43" s="199"/>
      <c r="AU43" s="199"/>
      <c r="AV43" s="199"/>
      <c r="AW43" s="155">
        <f t="shared" si="3"/>
        <v>29</v>
      </c>
    </row>
    <row r="44" spans="1:87" s="236" customFormat="1" ht="26.4">
      <c r="A44" s="40">
        <f t="shared" si="0"/>
        <v>38</v>
      </c>
      <c r="B44" s="199"/>
      <c r="C44" s="199"/>
      <c r="D44" s="199"/>
      <c r="E44" s="199"/>
      <c r="F44" s="199"/>
      <c r="G44" s="199"/>
      <c r="H44" s="199"/>
      <c r="I44" s="199"/>
      <c r="J44" s="218" t="s">
        <v>1657</v>
      </c>
      <c r="K44" s="204" t="s">
        <v>140</v>
      </c>
      <c r="L44" s="204" t="s">
        <v>749</v>
      </c>
      <c r="M44" s="204"/>
      <c r="N44" s="40" t="s">
        <v>504</v>
      </c>
      <c r="O44" s="199"/>
      <c r="P44" s="199"/>
      <c r="Q44" s="40" t="s">
        <v>6</v>
      </c>
      <c r="R44" s="40" t="s">
        <v>6</v>
      </c>
      <c r="S44" s="40" t="s">
        <v>6</v>
      </c>
      <c r="T44" s="126" t="s">
        <v>6</v>
      </c>
      <c r="U44" s="244" t="s">
        <v>750</v>
      </c>
      <c r="V44" s="204"/>
      <c r="W44" s="204" t="s">
        <v>140</v>
      </c>
      <c r="X44" s="199"/>
      <c r="Y44" s="199"/>
      <c r="Z44" s="40" t="s">
        <v>6</v>
      </c>
      <c r="AA44" s="40" t="s">
        <v>6</v>
      </c>
      <c r="AB44" s="218"/>
      <c r="AC44" s="199"/>
      <c r="AD44" s="218" t="s">
        <v>709</v>
      </c>
      <c r="AE44" s="204" t="s">
        <v>137</v>
      </c>
      <c r="AF44" s="199"/>
      <c r="AG44" s="199"/>
      <c r="AH44" s="199"/>
      <c r="AI44" s="40" t="s">
        <v>6</v>
      </c>
      <c r="AJ44" s="218"/>
      <c r="AK44" s="199"/>
      <c r="AL44" s="218" t="s">
        <v>709</v>
      </c>
      <c r="AM44" s="199"/>
      <c r="AN44" s="199"/>
      <c r="AO44" s="199"/>
      <c r="AP44" s="199"/>
      <c r="AQ44" s="199"/>
      <c r="AR44" s="199"/>
      <c r="AS44" s="199"/>
      <c r="AT44" s="199"/>
      <c r="AU44" s="199"/>
      <c r="AV44" s="199"/>
      <c r="AW44" s="155">
        <f t="shared" si="3"/>
        <v>28</v>
      </c>
    </row>
    <row r="45" spans="1:87" s="236" customFormat="1" ht="26.4">
      <c r="A45" s="40">
        <f t="shared" si="0"/>
        <v>39</v>
      </c>
      <c r="B45" s="199"/>
      <c r="C45" s="199"/>
      <c r="D45" s="199"/>
      <c r="E45" s="199"/>
      <c r="F45" s="199"/>
      <c r="G45" s="199"/>
      <c r="H45" s="199"/>
      <c r="I45" s="199"/>
      <c r="J45" s="234" t="s">
        <v>1658</v>
      </c>
      <c r="K45" s="204" t="s">
        <v>140</v>
      </c>
      <c r="L45" s="204" t="s">
        <v>749</v>
      </c>
      <c r="M45" s="204"/>
      <c r="N45" s="40" t="s">
        <v>504</v>
      </c>
      <c r="O45" s="199"/>
      <c r="P45" s="199"/>
      <c r="Q45" s="40"/>
      <c r="R45" s="40"/>
      <c r="S45" s="40" t="s">
        <v>6</v>
      </c>
      <c r="T45" s="126" t="s">
        <v>6</v>
      </c>
      <c r="U45" s="244" t="s">
        <v>752</v>
      </c>
      <c r="V45" s="204"/>
      <c r="W45" s="204" t="s">
        <v>140</v>
      </c>
      <c r="X45" s="199"/>
      <c r="Y45" s="199"/>
      <c r="Z45" s="40" t="s">
        <v>6</v>
      </c>
      <c r="AA45" s="40" t="s">
        <v>6</v>
      </c>
      <c r="AB45" s="218"/>
      <c r="AC45" s="199"/>
      <c r="AD45" s="218" t="s">
        <v>709</v>
      </c>
      <c r="AE45" s="204" t="s">
        <v>137</v>
      </c>
      <c r="AF45" s="199"/>
      <c r="AG45" s="199"/>
      <c r="AH45" s="199"/>
      <c r="AI45" s="40" t="s">
        <v>6</v>
      </c>
      <c r="AJ45" s="218"/>
      <c r="AK45" s="199"/>
      <c r="AL45" s="218" t="s">
        <v>709</v>
      </c>
      <c r="AM45" s="199"/>
      <c r="AN45" s="199"/>
      <c r="AO45" s="199"/>
      <c r="AP45" s="199"/>
      <c r="AQ45" s="199"/>
      <c r="AR45" s="199"/>
      <c r="AS45" s="199"/>
      <c r="AT45" s="199"/>
      <c r="AU45" s="199"/>
      <c r="AV45" s="199"/>
      <c r="AW45" s="155">
        <f t="shared" si="3"/>
        <v>28</v>
      </c>
    </row>
    <row r="46" spans="1:87" s="20" customFormat="1" ht="39.6">
      <c r="A46" s="40">
        <f t="shared" si="0"/>
        <v>40</v>
      </c>
      <c r="B46" s="59"/>
      <c r="C46" s="59"/>
      <c r="D46" s="59"/>
      <c r="E46" s="59"/>
      <c r="F46" s="59"/>
      <c r="G46" s="59"/>
      <c r="H46" s="59"/>
      <c r="I46" s="59"/>
      <c r="J46" s="218" t="s">
        <v>2287</v>
      </c>
      <c r="K46" s="204" t="s">
        <v>117</v>
      </c>
      <c r="L46" s="204" t="s">
        <v>737</v>
      </c>
      <c r="M46" s="204"/>
      <c r="N46" s="126" t="s">
        <v>504</v>
      </c>
      <c r="O46" s="126"/>
      <c r="P46" s="126"/>
      <c r="Q46" s="40" t="s">
        <v>6</v>
      </c>
      <c r="R46" s="40" t="s">
        <v>6</v>
      </c>
      <c r="S46" s="40" t="s">
        <v>6</v>
      </c>
      <c r="T46" s="416" t="s">
        <v>6</v>
      </c>
      <c r="U46" s="206" t="s">
        <v>1394</v>
      </c>
      <c r="V46" s="206"/>
      <c r="W46" s="204" t="s">
        <v>125</v>
      </c>
      <c r="X46" s="59"/>
      <c r="Y46" s="59"/>
      <c r="Z46" s="59"/>
      <c r="AA46" s="40" t="s">
        <v>6</v>
      </c>
      <c r="AB46" s="15"/>
      <c r="AC46" s="59"/>
      <c r="AD46" s="59"/>
      <c r="AE46" s="204" t="s">
        <v>125</v>
      </c>
      <c r="AF46" s="59"/>
      <c r="AG46" s="59"/>
      <c r="AH46" s="59"/>
      <c r="AI46" s="40" t="s">
        <v>6</v>
      </c>
      <c r="AJ46" s="15"/>
      <c r="AK46" s="59"/>
      <c r="AL46" s="59"/>
      <c r="AM46" s="59"/>
      <c r="AN46" s="59"/>
      <c r="AO46" s="59"/>
      <c r="AP46" s="59"/>
      <c r="AQ46" s="59"/>
      <c r="AR46" s="59"/>
      <c r="AS46" s="59"/>
      <c r="AT46" s="59"/>
      <c r="AU46" s="59"/>
      <c r="AV46" s="59"/>
      <c r="AW46" s="18">
        <f t="shared" si="3"/>
        <v>28</v>
      </c>
    </row>
    <row r="47" spans="1:87" s="18" customFormat="1" ht="26.4">
      <c r="A47" s="40">
        <f t="shared" si="0"/>
        <v>41</v>
      </c>
      <c r="B47" s="38"/>
      <c r="C47" s="42"/>
      <c r="D47" s="38"/>
      <c r="E47" s="46"/>
      <c r="F47" s="46"/>
      <c r="G47" s="46"/>
      <c r="H47" s="13"/>
      <c r="I47" s="40"/>
      <c r="J47" s="218" t="s">
        <v>2288</v>
      </c>
      <c r="K47" s="412" t="s">
        <v>117</v>
      </c>
      <c r="L47" s="204" t="s">
        <v>794</v>
      </c>
      <c r="M47" s="367"/>
      <c r="N47" s="416" t="s">
        <v>504</v>
      </c>
      <c r="O47" s="126"/>
      <c r="P47" s="126"/>
      <c r="Q47" s="416" t="s">
        <v>6</v>
      </c>
      <c r="R47" s="416" t="s">
        <v>6</v>
      </c>
      <c r="S47" s="40" t="s">
        <v>6</v>
      </c>
      <c r="T47" s="416" t="s">
        <v>6</v>
      </c>
      <c r="U47" s="206" t="s">
        <v>795</v>
      </c>
      <c r="V47" s="206"/>
      <c r="W47" s="412" t="s">
        <v>125</v>
      </c>
      <c r="X47" s="59"/>
      <c r="Y47" s="59"/>
      <c r="Z47" s="59"/>
      <c r="AA47" s="40" t="s">
        <v>6</v>
      </c>
      <c r="AB47" s="413"/>
      <c r="AC47" s="413"/>
      <c r="AD47" s="413"/>
      <c r="AE47" s="412" t="s">
        <v>125</v>
      </c>
      <c r="AF47" s="59"/>
      <c r="AG47" s="59"/>
      <c r="AH47" s="59"/>
      <c r="AI47" s="40" t="s">
        <v>6</v>
      </c>
      <c r="AJ47" s="413"/>
      <c r="AK47" s="413"/>
      <c r="AL47" s="413"/>
      <c r="AM47" s="43"/>
      <c r="AN47" s="19"/>
      <c r="AO47" s="15"/>
      <c r="AP47" s="15"/>
      <c r="AQ47" s="15"/>
      <c r="AR47" s="15"/>
      <c r="AS47" s="15"/>
      <c r="AT47" s="15"/>
      <c r="AU47" s="15"/>
      <c r="AV47" s="13"/>
      <c r="AW47" s="18">
        <f t="shared" si="3"/>
        <v>20</v>
      </c>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row>
    <row r="48" spans="1:87" s="18" customFormat="1" ht="15">
      <c r="A48" s="40">
        <f t="shared" si="0"/>
        <v>42</v>
      </c>
      <c r="B48" s="19"/>
      <c r="C48" s="41"/>
      <c r="D48" s="19"/>
      <c r="E48" s="19"/>
      <c r="F48" s="19"/>
      <c r="G48" s="19"/>
      <c r="H48" s="13"/>
      <c r="I48" s="13"/>
      <c r="J48" s="218" t="s">
        <v>3323</v>
      </c>
      <c r="K48" s="412" t="s">
        <v>117</v>
      </c>
      <c r="L48" s="204" t="s">
        <v>740</v>
      </c>
      <c r="M48" s="204"/>
      <c r="N48" s="126" t="s">
        <v>504</v>
      </c>
      <c r="O48" s="126"/>
      <c r="P48" s="40"/>
      <c r="Q48" s="126" t="s">
        <v>6</v>
      </c>
      <c r="R48" s="126" t="s">
        <v>6</v>
      </c>
      <c r="S48" s="126" t="s">
        <v>6</v>
      </c>
      <c r="T48" s="40" t="s">
        <v>6</v>
      </c>
      <c r="U48" s="206" t="s">
        <v>741</v>
      </c>
      <c r="V48" s="206"/>
      <c r="W48" s="412" t="s">
        <v>125</v>
      </c>
      <c r="X48" s="59"/>
      <c r="Y48" s="59"/>
      <c r="Z48" s="59"/>
      <c r="AA48" s="61" t="s">
        <v>6</v>
      </c>
      <c r="AB48" s="79"/>
      <c r="AC48" s="59"/>
      <c r="AD48" s="218" t="s">
        <v>809</v>
      </c>
      <c r="AE48" s="412" t="s">
        <v>125</v>
      </c>
      <c r="AF48" s="59"/>
      <c r="AG48" s="59"/>
      <c r="AH48" s="59"/>
      <c r="AI48" s="61" t="s">
        <v>6</v>
      </c>
      <c r="AJ48" s="79"/>
      <c r="AK48" s="59"/>
      <c r="AL48" s="218" t="s">
        <v>809</v>
      </c>
      <c r="AM48" s="43"/>
      <c r="AN48" s="19"/>
      <c r="AO48" s="15"/>
      <c r="AP48" s="15"/>
      <c r="AQ48" s="15"/>
      <c r="AR48" s="15"/>
      <c r="AS48" s="15"/>
      <c r="AT48" s="15"/>
      <c r="AU48" s="13"/>
      <c r="AV48" s="15"/>
      <c r="AW48" s="18">
        <f t="shared" si="3"/>
        <v>26</v>
      </c>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row>
    <row r="49" spans="1:87" s="20" customFormat="1" ht="15">
      <c r="A49" s="40">
        <f t="shared" si="0"/>
        <v>43</v>
      </c>
      <c r="B49" s="59"/>
      <c r="C49" s="59"/>
      <c r="D49" s="59"/>
      <c r="E49" s="59"/>
      <c r="F49" s="59"/>
      <c r="G49" s="59"/>
      <c r="H49" s="59"/>
      <c r="I49" s="59"/>
      <c r="J49" s="218" t="s">
        <v>1616</v>
      </c>
      <c r="K49" s="204" t="s">
        <v>125</v>
      </c>
      <c r="L49" s="204" t="s">
        <v>798</v>
      </c>
      <c r="M49" s="204"/>
      <c r="N49" s="61" t="s">
        <v>504</v>
      </c>
      <c r="O49" s="59"/>
      <c r="P49" s="59"/>
      <c r="Q49" s="40"/>
      <c r="R49" s="59"/>
      <c r="S49" s="40" t="s">
        <v>6</v>
      </c>
      <c r="T49" s="416" t="s">
        <v>6</v>
      </c>
      <c r="U49" s="216" t="str">
        <f>"Agrupamento itens "&amp;A29&amp;" a "&amp;A33</f>
        <v>Agrupamento itens 23 a 27</v>
      </c>
      <c r="V49" s="275"/>
      <c r="W49" s="204" t="s">
        <v>125</v>
      </c>
      <c r="X49" s="59"/>
      <c r="Y49" s="59"/>
      <c r="Z49" s="59"/>
      <c r="AA49" s="40" t="s">
        <v>6</v>
      </c>
      <c r="AB49" s="15"/>
      <c r="AC49" s="59"/>
      <c r="AD49" s="59"/>
      <c r="AE49" s="204" t="s">
        <v>125</v>
      </c>
      <c r="AF49" s="59"/>
      <c r="AG49" s="59"/>
      <c r="AH49" s="59"/>
      <c r="AI49" s="40" t="s">
        <v>6</v>
      </c>
      <c r="AJ49" s="15"/>
      <c r="AK49" s="59"/>
      <c r="AL49" s="59"/>
      <c r="AM49" s="43" t="s">
        <v>2218</v>
      </c>
      <c r="AN49" s="59"/>
      <c r="AO49" s="59"/>
      <c r="AP49" s="59"/>
      <c r="AQ49" s="59"/>
      <c r="AR49" s="59"/>
      <c r="AS49" s="59"/>
      <c r="AT49" s="59"/>
      <c r="AU49" s="59"/>
      <c r="AV49" s="59"/>
      <c r="AW49" s="18">
        <f t="shared" si="1"/>
        <v>29</v>
      </c>
    </row>
    <row r="50" spans="1:87" s="12" customFormat="1" ht="15">
      <c r="A50" s="40">
        <f t="shared" si="0"/>
        <v>44</v>
      </c>
      <c r="B50" s="33"/>
      <c r="C50" s="34"/>
      <c r="D50" s="33"/>
      <c r="E50" s="33"/>
      <c r="F50" s="33"/>
      <c r="G50" s="33"/>
      <c r="H50" s="414"/>
      <c r="I50" s="416"/>
      <c r="J50" s="412" t="s">
        <v>5199</v>
      </c>
      <c r="K50" s="412" t="s">
        <v>132</v>
      </c>
      <c r="L50" s="215" t="s">
        <v>5200</v>
      </c>
      <c r="M50" s="509"/>
      <c r="N50" s="416" t="s">
        <v>504</v>
      </c>
      <c r="O50" s="416"/>
      <c r="P50" s="416"/>
      <c r="Q50" s="414" t="s">
        <v>6</v>
      </c>
      <c r="R50" s="414" t="s">
        <v>6</v>
      </c>
      <c r="S50" s="414" t="s">
        <v>6</v>
      </c>
      <c r="T50" s="414"/>
      <c r="U50" s="416"/>
      <c r="V50" s="416"/>
      <c r="W50" s="412" t="s">
        <v>133</v>
      </c>
      <c r="X50" s="414"/>
      <c r="Y50" s="414"/>
      <c r="Z50" s="414" t="s">
        <v>6</v>
      </c>
      <c r="AA50" s="414" t="s">
        <v>6</v>
      </c>
      <c r="AB50" s="414"/>
      <c r="AC50" s="414"/>
      <c r="AD50" s="414"/>
      <c r="AE50" s="412" t="s">
        <v>133</v>
      </c>
      <c r="AF50" s="414"/>
      <c r="AG50" s="414"/>
      <c r="AH50" s="414" t="s">
        <v>6</v>
      </c>
      <c r="AI50" s="414" t="s">
        <v>6</v>
      </c>
      <c r="AJ50" s="414"/>
      <c r="AK50" s="414"/>
      <c r="AL50" s="414"/>
      <c r="AM50" s="36"/>
      <c r="AN50" s="35"/>
      <c r="AO50" s="37"/>
      <c r="AP50" s="37"/>
      <c r="AQ50" s="37"/>
      <c r="AR50" s="37"/>
      <c r="AS50" s="37"/>
      <c r="AT50" s="37"/>
      <c r="AU50" s="13"/>
      <c r="AV50" s="414"/>
      <c r="AW50" s="18"/>
    </row>
    <row r="51" spans="1:87" s="12" customFormat="1" ht="15">
      <c r="A51" s="40">
        <f t="shared" si="0"/>
        <v>45</v>
      </c>
      <c r="B51" s="38"/>
      <c r="C51" s="34"/>
      <c r="D51" s="33"/>
      <c r="E51" s="39"/>
      <c r="F51" s="39"/>
      <c r="G51" s="39"/>
      <c r="H51" s="414"/>
      <c r="I51" s="40"/>
      <c r="J51" s="412" t="s">
        <v>5201</v>
      </c>
      <c r="K51" s="412" t="s">
        <v>132</v>
      </c>
      <c r="L51" s="215" t="s">
        <v>5202</v>
      </c>
      <c r="M51" s="509"/>
      <c r="N51" s="416" t="s">
        <v>504</v>
      </c>
      <c r="O51" s="416"/>
      <c r="P51" s="416"/>
      <c r="Q51" s="414" t="s">
        <v>6</v>
      </c>
      <c r="R51" s="13" t="s">
        <v>6</v>
      </c>
      <c r="S51" s="414" t="s">
        <v>6</v>
      </c>
      <c r="T51" s="414"/>
      <c r="U51" s="40"/>
      <c r="V51" s="40"/>
      <c r="W51" s="412" t="s">
        <v>133</v>
      </c>
      <c r="X51" s="13"/>
      <c r="Y51" s="13"/>
      <c r="Z51" s="13" t="s">
        <v>6</v>
      </c>
      <c r="AA51" s="414" t="s">
        <v>6</v>
      </c>
      <c r="AB51" s="414"/>
      <c r="AC51" s="414"/>
      <c r="AD51" s="414"/>
      <c r="AE51" s="412" t="s">
        <v>133</v>
      </c>
      <c r="AF51" s="13"/>
      <c r="AG51" s="13"/>
      <c r="AH51" s="13" t="s">
        <v>6</v>
      </c>
      <c r="AI51" s="414" t="s">
        <v>6</v>
      </c>
      <c r="AJ51" s="414"/>
      <c r="AK51" s="414"/>
      <c r="AL51" s="414"/>
      <c r="AM51" s="36"/>
      <c r="AN51" s="35"/>
      <c r="AO51" s="37"/>
      <c r="AP51" s="37"/>
      <c r="AQ51" s="37"/>
      <c r="AR51" s="37"/>
      <c r="AS51" s="37"/>
      <c r="AT51" s="37"/>
      <c r="AU51" s="13"/>
      <c r="AV51" s="13"/>
      <c r="AW51" s="18"/>
    </row>
    <row r="52" spans="1:87" s="12" customFormat="1" ht="15">
      <c r="A52" s="40">
        <f t="shared" si="0"/>
        <v>46</v>
      </c>
      <c r="B52" s="38"/>
      <c r="C52" s="41"/>
      <c r="D52" s="33"/>
      <c r="E52" s="39"/>
      <c r="F52" s="39"/>
      <c r="G52" s="39"/>
      <c r="H52" s="414"/>
      <c r="I52" s="40"/>
      <c r="J52" s="412" t="s">
        <v>5203</v>
      </c>
      <c r="K52" s="412" t="s">
        <v>132</v>
      </c>
      <c r="L52" s="215" t="s">
        <v>5204</v>
      </c>
      <c r="M52" s="509"/>
      <c r="N52" s="416" t="s">
        <v>504</v>
      </c>
      <c r="O52" s="416"/>
      <c r="P52" s="416"/>
      <c r="Q52" s="414" t="s">
        <v>6</v>
      </c>
      <c r="R52" s="13" t="s">
        <v>6</v>
      </c>
      <c r="S52" s="414" t="s">
        <v>6</v>
      </c>
      <c r="T52" s="414"/>
      <c r="U52" s="40"/>
      <c r="V52" s="40"/>
      <c r="W52" s="412" t="s">
        <v>133</v>
      </c>
      <c r="X52" s="13"/>
      <c r="Y52" s="13"/>
      <c r="Z52" s="13" t="s">
        <v>6</v>
      </c>
      <c r="AA52" s="414" t="s">
        <v>6</v>
      </c>
      <c r="AB52" s="414"/>
      <c r="AC52" s="414"/>
      <c r="AD52" s="414"/>
      <c r="AE52" s="412" t="s">
        <v>133</v>
      </c>
      <c r="AF52" s="13"/>
      <c r="AG52" s="13"/>
      <c r="AH52" s="13" t="s">
        <v>6</v>
      </c>
      <c r="AI52" s="414" t="s">
        <v>6</v>
      </c>
      <c r="AJ52" s="414"/>
      <c r="AK52" s="414"/>
      <c r="AL52" s="414"/>
      <c r="AM52" s="36"/>
      <c r="AN52" s="35"/>
      <c r="AO52" s="37"/>
      <c r="AP52" s="37"/>
      <c r="AQ52" s="37"/>
      <c r="AR52" s="37"/>
      <c r="AS52" s="37"/>
      <c r="AT52" s="37"/>
      <c r="AU52" s="13"/>
      <c r="AV52" s="13"/>
      <c r="AW52" s="18"/>
    </row>
    <row r="53" spans="1:87" s="14" customFormat="1" ht="15">
      <c r="A53" s="40">
        <f t="shared" si="0"/>
        <v>47</v>
      </c>
      <c r="B53" s="38"/>
      <c r="C53" s="42"/>
      <c r="D53" s="19"/>
      <c r="E53" s="19"/>
      <c r="F53" s="35"/>
      <c r="G53" s="35"/>
      <c r="H53" s="414"/>
      <c r="I53" s="13"/>
      <c r="J53" s="412" t="s">
        <v>5205</v>
      </c>
      <c r="K53" s="412" t="s">
        <v>132</v>
      </c>
      <c r="L53" s="412" t="s">
        <v>5206</v>
      </c>
      <c r="M53" s="472"/>
      <c r="N53" s="416" t="s">
        <v>504</v>
      </c>
      <c r="O53" s="13"/>
      <c r="P53" s="13"/>
      <c r="Q53" s="414" t="s">
        <v>6</v>
      </c>
      <c r="R53" s="413" t="s">
        <v>6</v>
      </c>
      <c r="S53" s="414" t="s">
        <v>6</v>
      </c>
      <c r="T53" s="414"/>
      <c r="U53" s="13"/>
      <c r="V53" s="13"/>
      <c r="W53" s="412" t="s">
        <v>133</v>
      </c>
      <c r="X53" s="413"/>
      <c r="Y53" s="413"/>
      <c r="Z53" s="413" t="s">
        <v>6</v>
      </c>
      <c r="AA53" s="414" t="s">
        <v>6</v>
      </c>
      <c r="AB53" s="413"/>
      <c r="AC53" s="415"/>
      <c r="AD53" s="415"/>
      <c r="AE53" s="412" t="s">
        <v>133</v>
      </c>
      <c r="AF53" s="413"/>
      <c r="AG53" s="413"/>
      <c r="AH53" s="413" t="s">
        <v>6</v>
      </c>
      <c r="AI53" s="414" t="s">
        <v>6</v>
      </c>
      <c r="AJ53" s="413"/>
      <c r="AK53" s="415"/>
      <c r="AL53" s="415"/>
      <c r="AM53" s="43"/>
      <c r="AN53" s="44"/>
      <c r="AO53" s="13"/>
      <c r="AP53" s="13"/>
      <c r="AQ53" s="13"/>
      <c r="AR53" s="13"/>
      <c r="AS53" s="13"/>
      <c r="AT53" s="13"/>
      <c r="AU53" s="13"/>
      <c r="AV53" s="13"/>
      <c r="AW53" s="18"/>
    </row>
    <row r="54" spans="1:87" s="12" customFormat="1" ht="15">
      <c r="A54" s="40">
        <f t="shared" si="0"/>
        <v>48</v>
      </c>
      <c r="B54" s="38"/>
      <c r="C54" s="42"/>
      <c r="D54" s="19"/>
      <c r="E54" s="19"/>
      <c r="F54" s="35"/>
      <c r="G54" s="35"/>
      <c r="H54" s="414"/>
      <c r="I54" s="13"/>
      <c r="J54" s="412" t="s">
        <v>5207</v>
      </c>
      <c r="K54" s="412" t="s">
        <v>132</v>
      </c>
      <c r="L54" s="412" t="s">
        <v>5208</v>
      </c>
      <c r="M54" s="472"/>
      <c r="N54" s="416" t="s">
        <v>504</v>
      </c>
      <c r="O54" s="13"/>
      <c r="P54" s="13"/>
      <c r="Q54" s="414" t="s">
        <v>6</v>
      </c>
      <c r="R54" s="413" t="s">
        <v>6</v>
      </c>
      <c r="S54" s="414" t="s">
        <v>6</v>
      </c>
      <c r="T54" s="414"/>
      <c r="U54" s="13"/>
      <c r="V54" s="13"/>
      <c r="W54" s="412" t="s">
        <v>133</v>
      </c>
      <c r="X54" s="413"/>
      <c r="Y54" s="413"/>
      <c r="Z54" s="413" t="s">
        <v>6</v>
      </c>
      <c r="AA54" s="414" t="s">
        <v>6</v>
      </c>
      <c r="AB54" s="413"/>
      <c r="AC54" s="415"/>
      <c r="AD54" s="415"/>
      <c r="AE54" s="412" t="s">
        <v>133</v>
      </c>
      <c r="AF54" s="413"/>
      <c r="AG54" s="413"/>
      <c r="AH54" s="413" t="s">
        <v>6</v>
      </c>
      <c r="AI54" s="414" t="s">
        <v>6</v>
      </c>
      <c r="AJ54" s="413"/>
      <c r="AK54" s="415"/>
      <c r="AL54" s="415"/>
      <c r="AM54" s="43"/>
      <c r="AN54" s="44"/>
      <c r="AO54" s="13"/>
      <c r="AP54" s="13"/>
      <c r="AQ54" s="13"/>
      <c r="AR54" s="13"/>
      <c r="AS54" s="13"/>
      <c r="AT54" s="13"/>
      <c r="AU54" s="13"/>
      <c r="AV54" s="13"/>
      <c r="AW54" s="18"/>
    </row>
    <row r="55" spans="1:87" s="12" customFormat="1" ht="15">
      <c r="A55" s="40">
        <f t="shared" si="0"/>
        <v>49</v>
      </c>
      <c r="B55" s="19"/>
      <c r="C55" s="41"/>
      <c r="D55" s="19"/>
      <c r="E55" s="19"/>
      <c r="F55" s="19"/>
      <c r="G55" s="19"/>
      <c r="H55" s="13"/>
      <c r="I55" s="13"/>
      <c r="J55" s="412" t="s">
        <v>5209</v>
      </c>
      <c r="K55" s="412" t="s">
        <v>132</v>
      </c>
      <c r="L55" s="412" t="s">
        <v>5210</v>
      </c>
      <c r="M55" s="472"/>
      <c r="N55" s="416" t="s">
        <v>504</v>
      </c>
      <c r="O55" s="13"/>
      <c r="P55" s="13"/>
      <c r="Q55" s="414" t="s">
        <v>6</v>
      </c>
      <c r="R55" s="413" t="s">
        <v>6</v>
      </c>
      <c r="S55" s="414" t="s">
        <v>6</v>
      </c>
      <c r="T55" s="414"/>
      <c r="U55" s="13"/>
      <c r="V55" s="13"/>
      <c r="W55" s="412" t="s">
        <v>133</v>
      </c>
      <c r="X55" s="415"/>
      <c r="Y55" s="413"/>
      <c r="Z55" s="413" t="s">
        <v>6</v>
      </c>
      <c r="AA55" s="414" t="s">
        <v>6</v>
      </c>
      <c r="AB55" s="45"/>
      <c r="AC55" s="415"/>
      <c r="AD55" s="415"/>
      <c r="AE55" s="412" t="s">
        <v>133</v>
      </c>
      <c r="AF55" s="415"/>
      <c r="AG55" s="413"/>
      <c r="AH55" s="413" t="s">
        <v>6</v>
      </c>
      <c r="AI55" s="414" t="s">
        <v>6</v>
      </c>
      <c r="AJ55" s="45"/>
      <c r="AK55" s="415"/>
      <c r="AL55" s="415"/>
      <c r="AM55" s="43"/>
      <c r="AN55" s="13"/>
      <c r="AO55" s="15"/>
      <c r="AP55" s="15"/>
      <c r="AQ55" s="15"/>
      <c r="AR55" s="15"/>
      <c r="AS55" s="15"/>
      <c r="AT55" s="15"/>
      <c r="AU55" s="13"/>
      <c r="AV55" s="15"/>
      <c r="AW55" s="18"/>
      <c r="AX55" s="16"/>
      <c r="AY55" s="17"/>
    </row>
    <row r="56" spans="1:87" s="12" customFormat="1" ht="15">
      <c r="A56" s="40">
        <f t="shared" si="0"/>
        <v>50</v>
      </c>
      <c r="B56" s="38"/>
      <c r="C56" s="42"/>
      <c r="D56" s="19"/>
      <c r="E56" s="19"/>
      <c r="F56" s="19"/>
      <c r="G56" s="19"/>
      <c r="H56" s="13"/>
      <c r="I56" s="13"/>
      <c r="J56" s="412" t="s">
        <v>5211</v>
      </c>
      <c r="K56" s="412" t="s">
        <v>132</v>
      </c>
      <c r="L56" s="412" t="s">
        <v>5212</v>
      </c>
      <c r="M56" s="472"/>
      <c r="N56" s="416" t="s">
        <v>504</v>
      </c>
      <c r="O56" s="13"/>
      <c r="P56" s="13"/>
      <c r="Q56" s="414" t="s">
        <v>6</v>
      </c>
      <c r="R56" s="413" t="s">
        <v>6</v>
      </c>
      <c r="S56" s="414" t="s">
        <v>6</v>
      </c>
      <c r="T56" s="414"/>
      <c r="U56" s="13"/>
      <c r="V56" s="13"/>
      <c r="W56" s="412" t="s">
        <v>133</v>
      </c>
      <c r="X56" s="413"/>
      <c r="Y56" s="413"/>
      <c r="Z56" s="413" t="s">
        <v>6</v>
      </c>
      <c r="AA56" s="414" t="s">
        <v>6</v>
      </c>
      <c r="AB56" s="413"/>
      <c r="AC56" s="415"/>
      <c r="AD56" s="415"/>
      <c r="AE56" s="412" t="s">
        <v>133</v>
      </c>
      <c r="AF56" s="413"/>
      <c r="AG56" s="413"/>
      <c r="AH56" s="413" t="s">
        <v>6</v>
      </c>
      <c r="AI56" s="414" t="s">
        <v>6</v>
      </c>
      <c r="AJ56" s="413"/>
      <c r="AK56" s="415"/>
      <c r="AL56" s="415"/>
      <c r="AM56" s="43"/>
      <c r="AN56" s="44"/>
      <c r="AO56" s="13"/>
      <c r="AP56" s="13"/>
      <c r="AQ56" s="13"/>
      <c r="AR56" s="13"/>
      <c r="AS56" s="13"/>
      <c r="AT56" s="13"/>
      <c r="AU56" s="13"/>
      <c r="AV56" s="13"/>
      <c r="AW56" s="18"/>
      <c r="AX56" s="16"/>
      <c r="AY56" s="17"/>
    </row>
    <row r="57" spans="1:87" s="18" customFormat="1" ht="15">
      <c r="A57" s="40">
        <f t="shared" si="0"/>
        <v>51</v>
      </c>
      <c r="B57" s="38"/>
      <c r="C57" s="42"/>
      <c r="D57" s="38"/>
      <c r="E57" s="46"/>
      <c r="F57" s="46"/>
      <c r="G57" s="46"/>
      <c r="H57" s="13"/>
      <c r="I57" s="40"/>
      <c r="J57" s="412" t="s">
        <v>5213</v>
      </c>
      <c r="K57" s="412" t="s">
        <v>132</v>
      </c>
      <c r="L57" s="412" t="s">
        <v>5214</v>
      </c>
      <c r="M57" s="472"/>
      <c r="N57" s="416" t="s">
        <v>504</v>
      </c>
      <c r="O57" s="40"/>
      <c r="P57" s="40"/>
      <c r="Q57" s="414" t="s">
        <v>6</v>
      </c>
      <c r="R57" s="413" t="s">
        <v>6</v>
      </c>
      <c r="S57" s="414" t="s">
        <v>6</v>
      </c>
      <c r="T57" s="414"/>
      <c r="U57" s="13"/>
      <c r="V57" s="13"/>
      <c r="W57" s="412" t="s">
        <v>133</v>
      </c>
      <c r="X57" s="413"/>
      <c r="Y57" s="413"/>
      <c r="Z57" s="413" t="s">
        <v>6</v>
      </c>
      <c r="AA57" s="414" t="s">
        <v>6</v>
      </c>
      <c r="AB57" s="413"/>
      <c r="AC57" s="413"/>
      <c r="AD57" s="413"/>
      <c r="AE57" s="412" t="s">
        <v>133</v>
      </c>
      <c r="AF57" s="413"/>
      <c r="AG57" s="413"/>
      <c r="AH57" s="413" t="s">
        <v>6</v>
      </c>
      <c r="AI57" s="414" t="s">
        <v>6</v>
      </c>
      <c r="AJ57" s="413"/>
      <c r="AK57" s="413"/>
      <c r="AL57" s="413"/>
      <c r="AM57" s="43"/>
      <c r="AN57" s="19"/>
      <c r="AO57" s="15"/>
      <c r="AP57" s="15"/>
      <c r="AQ57" s="15"/>
      <c r="AR57" s="15"/>
      <c r="AS57" s="15"/>
      <c r="AT57" s="15"/>
      <c r="AU57" s="15"/>
      <c r="AV57" s="13"/>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row>
    <row r="58" spans="1:87" s="18" customFormat="1" ht="15">
      <c r="A58" s="40">
        <f t="shared" si="0"/>
        <v>52</v>
      </c>
      <c r="B58" s="38"/>
      <c r="C58" s="42"/>
      <c r="D58" s="38"/>
      <c r="E58" s="46"/>
      <c r="F58" s="46"/>
      <c r="G58" s="46"/>
      <c r="H58" s="13"/>
      <c r="I58" s="40"/>
      <c r="J58" s="412" t="s">
        <v>5215</v>
      </c>
      <c r="K58" s="412" t="s">
        <v>132</v>
      </c>
      <c r="L58" s="412" t="s">
        <v>5216</v>
      </c>
      <c r="M58" s="472"/>
      <c r="N58" s="416" t="s">
        <v>504</v>
      </c>
      <c r="O58" s="40"/>
      <c r="P58" s="40"/>
      <c r="Q58" s="414" t="s">
        <v>6</v>
      </c>
      <c r="R58" s="13" t="s">
        <v>6</v>
      </c>
      <c r="S58" s="414" t="s">
        <v>6</v>
      </c>
      <c r="T58" s="414"/>
      <c r="U58" s="13"/>
      <c r="V58" s="13"/>
      <c r="W58" s="412" t="s">
        <v>133</v>
      </c>
      <c r="X58" s="13"/>
      <c r="Y58" s="13"/>
      <c r="Z58" s="13" t="s">
        <v>6</v>
      </c>
      <c r="AA58" s="414" t="s">
        <v>6</v>
      </c>
      <c r="AB58" s="413"/>
      <c r="AC58" s="413"/>
      <c r="AD58" s="413"/>
      <c r="AE58" s="412" t="s">
        <v>133</v>
      </c>
      <c r="AF58" s="13"/>
      <c r="AG58" s="13"/>
      <c r="AH58" s="13" t="s">
        <v>6</v>
      </c>
      <c r="AI58" s="414" t="s">
        <v>6</v>
      </c>
      <c r="AJ58" s="413"/>
      <c r="AK58" s="413"/>
      <c r="AL58" s="413"/>
      <c r="AM58" s="43"/>
      <c r="AN58" s="19"/>
      <c r="AO58" s="15"/>
      <c r="AP58" s="15"/>
      <c r="AQ58" s="15"/>
      <c r="AR58" s="15"/>
      <c r="AS58" s="15"/>
      <c r="AT58" s="15"/>
      <c r="AU58" s="15"/>
      <c r="AV58" s="13"/>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row>
    <row r="59" spans="1:87" s="12" customFormat="1" ht="15">
      <c r="A59" s="40">
        <f t="shared" si="0"/>
        <v>53</v>
      </c>
      <c r="B59" s="38"/>
      <c r="C59" s="42"/>
      <c r="D59" s="19"/>
      <c r="E59" s="19"/>
      <c r="F59" s="19"/>
      <c r="G59" s="19"/>
      <c r="H59" s="13"/>
      <c r="I59" s="13"/>
      <c r="J59" s="412" t="s">
        <v>5217</v>
      </c>
      <c r="K59" s="412" t="s">
        <v>122</v>
      </c>
      <c r="L59" s="215" t="s">
        <v>5218</v>
      </c>
      <c r="M59" s="509"/>
      <c r="N59" s="416" t="s">
        <v>504</v>
      </c>
      <c r="O59" s="13"/>
      <c r="P59" s="13"/>
      <c r="Q59" s="414" t="s">
        <v>6</v>
      </c>
      <c r="R59" s="13" t="s">
        <v>6</v>
      </c>
      <c r="S59" s="414" t="s">
        <v>6</v>
      </c>
      <c r="T59" s="414"/>
      <c r="U59" s="13"/>
      <c r="V59" s="13"/>
      <c r="W59" s="412" t="s">
        <v>123</v>
      </c>
      <c r="X59" s="13"/>
      <c r="Y59" s="13"/>
      <c r="Z59" s="13" t="s">
        <v>6</v>
      </c>
      <c r="AA59" s="414" t="s">
        <v>6</v>
      </c>
      <c r="AB59" s="13"/>
      <c r="AC59" s="40"/>
      <c r="AD59" s="40"/>
      <c r="AE59" s="412" t="s">
        <v>123</v>
      </c>
      <c r="AF59" s="13"/>
      <c r="AG59" s="13"/>
      <c r="AH59" s="13" t="s">
        <v>6</v>
      </c>
      <c r="AI59" s="414" t="s">
        <v>6</v>
      </c>
      <c r="AJ59" s="13"/>
      <c r="AK59" s="40"/>
      <c r="AL59" s="40"/>
      <c r="AM59" s="43"/>
      <c r="AN59" s="13"/>
      <c r="AO59" s="13"/>
      <c r="AP59" s="13"/>
      <c r="AQ59" s="13"/>
      <c r="AR59" s="13"/>
      <c r="AS59" s="13"/>
      <c r="AT59" s="13"/>
      <c r="AU59" s="13"/>
      <c r="AV59" s="13"/>
      <c r="AW59" s="18"/>
    </row>
    <row r="60" spans="1:87" s="12" customFormat="1" ht="15">
      <c r="A60" s="40">
        <f t="shared" si="0"/>
        <v>54</v>
      </c>
      <c r="B60" s="38"/>
      <c r="C60" s="42"/>
      <c r="D60" s="19"/>
      <c r="E60" s="19"/>
      <c r="F60" s="19"/>
      <c r="G60" s="19"/>
      <c r="H60" s="13"/>
      <c r="I60" s="13"/>
      <c r="J60" s="412" t="s">
        <v>5219</v>
      </c>
      <c r="K60" s="412" t="s">
        <v>117</v>
      </c>
      <c r="L60" s="225" t="s">
        <v>5220</v>
      </c>
      <c r="M60" s="548"/>
      <c r="N60" s="416" t="s">
        <v>504</v>
      </c>
      <c r="O60" s="13"/>
      <c r="P60" s="13"/>
      <c r="Q60" s="13" t="s">
        <v>6</v>
      </c>
      <c r="R60" s="13" t="s">
        <v>6</v>
      </c>
      <c r="S60" s="414" t="s">
        <v>6</v>
      </c>
      <c r="T60" s="414"/>
      <c r="U60" s="13"/>
      <c r="V60" s="13"/>
      <c r="W60" s="412" t="s">
        <v>133</v>
      </c>
      <c r="X60" s="13"/>
      <c r="Y60" s="13"/>
      <c r="Z60" s="13" t="s">
        <v>6</v>
      </c>
      <c r="AA60" s="414" t="s">
        <v>6</v>
      </c>
      <c r="AB60" s="414"/>
      <c r="AC60" s="416"/>
      <c r="AD60" s="416"/>
      <c r="AE60" s="412" t="s">
        <v>133</v>
      </c>
      <c r="AF60" s="13"/>
      <c r="AG60" s="13"/>
      <c r="AH60" s="13" t="s">
        <v>6</v>
      </c>
      <c r="AI60" s="414" t="s">
        <v>6</v>
      </c>
      <c r="AJ60" s="414"/>
      <c r="AK60" s="416"/>
      <c r="AL60" s="416"/>
      <c r="AM60" s="43"/>
      <c r="AN60" s="13"/>
      <c r="AO60" s="13"/>
      <c r="AP60" s="13"/>
      <c r="AQ60" s="13"/>
      <c r="AR60" s="13"/>
      <c r="AS60" s="13"/>
      <c r="AT60" s="13"/>
      <c r="AU60" s="13"/>
      <c r="AV60" s="13"/>
      <c r="AW60" s="18"/>
    </row>
    <row r="61" spans="1:87" s="12" customFormat="1" ht="15">
      <c r="A61" s="40">
        <f t="shared" si="0"/>
        <v>55</v>
      </c>
      <c r="B61" s="38"/>
      <c r="C61" s="42"/>
      <c r="D61" s="19"/>
      <c r="E61" s="19"/>
      <c r="F61" s="19"/>
      <c r="G61" s="19"/>
      <c r="H61" s="13"/>
      <c r="I61" s="13"/>
      <c r="J61" s="412" t="s">
        <v>5221</v>
      </c>
      <c r="K61" s="412" t="s">
        <v>132</v>
      </c>
      <c r="L61" s="412" t="s">
        <v>5222</v>
      </c>
      <c r="M61" s="472" t="s">
        <v>3602</v>
      </c>
      <c r="N61" s="416" t="s">
        <v>504</v>
      </c>
      <c r="O61" s="13"/>
      <c r="P61" s="13"/>
      <c r="Q61" s="13" t="s">
        <v>6</v>
      </c>
      <c r="R61" s="13" t="s">
        <v>6</v>
      </c>
      <c r="S61" s="414" t="s">
        <v>6</v>
      </c>
      <c r="T61" s="414"/>
      <c r="U61" s="13"/>
      <c r="V61" s="13"/>
      <c r="W61" s="412" t="s">
        <v>133</v>
      </c>
      <c r="X61" s="13"/>
      <c r="Y61" s="13"/>
      <c r="Z61" s="13" t="s">
        <v>6</v>
      </c>
      <c r="AA61" s="414" t="s">
        <v>6</v>
      </c>
      <c r="AB61" s="414"/>
      <c r="AC61" s="416"/>
      <c r="AD61" s="416"/>
      <c r="AE61" s="412" t="s">
        <v>133</v>
      </c>
      <c r="AF61" s="13"/>
      <c r="AG61" s="13"/>
      <c r="AH61" s="13" t="s">
        <v>6</v>
      </c>
      <c r="AI61" s="414" t="s">
        <v>6</v>
      </c>
      <c r="AJ61" s="414"/>
      <c r="AK61" s="416"/>
      <c r="AL61" s="416"/>
      <c r="AM61" s="43" t="s">
        <v>2257</v>
      </c>
      <c r="AN61" s="13"/>
      <c r="AO61" s="13"/>
      <c r="AP61" s="13"/>
      <c r="AQ61" s="13"/>
      <c r="AR61" s="13"/>
      <c r="AS61" s="13"/>
      <c r="AT61" s="13"/>
      <c r="AU61" s="13"/>
      <c r="AV61" s="13"/>
      <c r="AW61" s="18"/>
    </row>
    <row r="62" spans="1:87" s="18" customFormat="1" ht="15">
      <c r="A62" s="40">
        <f t="shared" si="0"/>
        <v>56</v>
      </c>
      <c r="B62" s="19"/>
      <c r="C62" s="41"/>
      <c r="D62" s="19"/>
      <c r="E62" s="19"/>
      <c r="F62" s="19"/>
      <c r="G62" s="19"/>
      <c r="H62" s="13"/>
      <c r="I62" s="13"/>
      <c r="J62" s="412" t="s">
        <v>5223</v>
      </c>
      <c r="K62" s="412" t="s">
        <v>122</v>
      </c>
      <c r="L62" s="412" t="s">
        <v>5224</v>
      </c>
      <c r="M62" s="472"/>
      <c r="N62" s="416" t="s">
        <v>504</v>
      </c>
      <c r="O62" s="13"/>
      <c r="P62" s="13"/>
      <c r="Q62" s="13" t="s">
        <v>6</v>
      </c>
      <c r="R62" s="13" t="s">
        <v>6</v>
      </c>
      <c r="S62" s="414" t="s">
        <v>6</v>
      </c>
      <c r="T62" s="414"/>
      <c r="U62" s="13"/>
      <c r="V62" s="13"/>
      <c r="W62" s="412" t="s">
        <v>123</v>
      </c>
      <c r="X62" s="415"/>
      <c r="Y62" s="413"/>
      <c r="Z62" s="13" t="s">
        <v>6</v>
      </c>
      <c r="AA62" s="414" t="s">
        <v>6</v>
      </c>
      <c r="AB62" s="45"/>
      <c r="AC62" s="415"/>
      <c r="AD62" s="415"/>
      <c r="AE62" s="412" t="s">
        <v>123</v>
      </c>
      <c r="AF62" s="415"/>
      <c r="AG62" s="413"/>
      <c r="AH62" s="13" t="s">
        <v>6</v>
      </c>
      <c r="AI62" s="414" t="s">
        <v>6</v>
      </c>
      <c r="AJ62" s="45"/>
      <c r="AK62" s="415"/>
      <c r="AL62" s="415"/>
      <c r="AM62" s="43" t="s">
        <v>2257</v>
      </c>
      <c r="AN62" s="13"/>
      <c r="AO62" s="15"/>
      <c r="AP62" s="15"/>
      <c r="AQ62" s="15"/>
      <c r="AR62" s="15"/>
      <c r="AS62" s="15"/>
      <c r="AT62" s="15"/>
      <c r="AU62" s="13"/>
      <c r="AV62" s="15"/>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row>
    <row r="63" spans="1:87" s="12" customFormat="1" ht="15">
      <c r="A63" s="40">
        <f t="shared" si="0"/>
        <v>57</v>
      </c>
      <c r="B63" s="38"/>
      <c r="C63" s="42"/>
      <c r="D63" s="19"/>
      <c r="E63" s="19"/>
      <c r="F63" s="19"/>
      <c r="G63" s="19"/>
      <c r="H63" s="13"/>
      <c r="I63" s="13"/>
      <c r="J63" s="412" t="s">
        <v>5225</v>
      </c>
      <c r="K63" s="412" t="s">
        <v>132</v>
      </c>
      <c r="L63" s="412" t="s">
        <v>5226</v>
      </c>
      <c r="M63" s="472" t="s">
        <v>3602</v>
      </c>
      <c r="N63" s="416" t="s">
        <v>504</v>
      </c>
      <c r="O63" s="13"/>
      <c r="P63" s="13"/>
      <c r="Q63" s="13" t="s">
        <v>6</v>
      </c>
      <c r="R63" s="13" t="s">
        <v>6</v>
      </c>
      <c r="S63" s="414" t="s">
        <v>6</v>
      </c>
      <c r="T63" s="414"/>
      <c r="U63" s="13"/>
      <c r="V63" s="13"/>
      <c r="W63" s="412" t="s">
        <v>133</v>
      </c>
      <c r="X63" s="13"/>
      <c r="Y63" s="13"/>
      <c r="Z63" s="13" t="s">
        <v>6</v>
      </c>
      <c r="AA63" s="414" t="s">
        <v>6</v>
      </c>
      <c r="AB63" s="413"/>
      <c r="AC63" s="415"/>
      <c r="AD63" s="415"/>
      <c r="AE63" s="412" t="s">
        <v>133</v>
      </c>
      <c r="AF63" s="13"/>
      <c r="AG63" s="13"/>
      <c r="AH63" s="13" t="s">
        <v>6</v>
      </c>
      <c r="AI63" s="414" t="s">
        <v>6</v>
      </c>
      <c r="AJ63" s="413"/>
      <c r="AK63" s="415"/>
      <c r="AL63" s="415"/>
      <c r="AM63" s="43" t="s">
        <v>2257</v>
      </c>
      <c r="AN63" s="13"/>
      <c r="AO63" s="13"/>
      <c r="AP63" s="13"/>
      <c r="AQ63" s="13"/>
      <c r="AR63" s="13"/>
      <c r="AS63" s="13"/>
      <c r="AT63" s="13"/>
      <c r="AU63" s="13"/>
      <c r="AV63" s="13"/>
      <c r="AW63" s="18"/>
      <c r="AX63" s="16"/>
      <c r="AY63" s="17"/>
    </row>
    <row r="64" spans="1:87" s="12" customFormat="1" ht="15">
      <c r="A64" s="40">
        <f t="shared" si="0"/>
        <v>58</v>
      </c>
      <c r="B64" s="38"/>
      <c r="C64" s="42"/>
      <c r="D64" s="38"/>
      <c r="E64" s="46"/>
      <c r="F64" s="46"/>
      <c r="G64" s="46"/>
      <c r="H64" s="13"/>
      <c r="I64" s="40"/>
      <c r="J64" s="412" t="s">
        <v>5227</v>
      </c>
      <c r="K64" s="412" t="s">
        <v>132</v>
      </c>
      <c r="L64" s="412" t="s">
        <v>5228</v>
      </c>
      <c r="M64" s="472" t="s">
        <v>3602</v>
      </c>
      <c r="N64" s="416" t="s">
        <v>504</v>
      </c>
      <c r="O64" s="40"/>
      <c r="P64" s="40"/>
      <c r="Q64" s="13" t="s">
        <v>6</v>
      </c>
      <c r="R64" s="13" t="s">
        <v>6</v>
      </c>
      <c r="S64" s="414" t="s">
        <v>6</v>
      </c>
      <c r="T64" s="414"/>
      <c r="U64" s="13"/>
      <c r="V64" s="13"/>
      <c r="W64" s="412" t="s">
        <v>133</v>
      </c>
      <c r="X64" s="413"/>
      <c r="Y64" s="413"/>
      <c r="Z64" s="13" t="s">
        <v>6</v>
      </c>
      <c r="AA64" s="414" t="s">
        <v>6</v>
      </c>
      <c r="AB64" s="413"/>
      <c r="AC64" s="413"/>
      <c r="AD64" s="413"/>
      <c r="AE64" s="412" t="s">
        <v>133</v>
      </c>
      <c r="AF64" s="413"/>
      <c r="AG64" s="413"/>
      <c r="AH64" s="13" t="s">
        <v>6</v>
      </c>
      <c r="AI64" s="414" t="s">
        <v>6</v>
      </c>
      <c r="AJ64" s="413"/>
      <c r="AK64" s="413"/>
      <c r="AL64" s="413"/>
      <c r="AM64" s="43"/>
      <c r="AN64" s="47"/>
      <c r="AO64" s="15"/>
      <c r="AP64" s="15"/>
      <c r="AQ64" s="15"/>
      <c r="AR64" s="15"/>
      <c r="AS64" s="15"/>
      <c r="AT64" s="15"/>
      <c r="AU64" s="15"/>
      <c r="AV64" s="13"/>
      <c r="AW64" s="18"/>
    </row>
    <row r="65" spans="1:87" s="12" customFormat="1" ht="15">
      <c r="A65" s="40">
        <f t="shared" si="0"/>
        <v>59</v>
      </c>
      <c r="B65" s="38"/>
      <c r="C65" s="42"/>
      <c r="D65" s="38"/>
      <c r="E65" s="46"/>
      <c r="F65" s="46"/>
      <c r="G65" s="46"/>
      <c r="H65" s="13"/>
      <c r="I65" s="40"/>
      <c r="J65" s="412" t="s">
        <v>5229</v>
      </c>
      <c r="K65" s="412" t="s">
        <v>132</v>
      </c>
      <c r="L65" s="412" t="s">
        <v>5230</v>
      </c>
      <c r="M65" s="472" t="s">
        <v>3602</v>
      </c>
      <c r="N65" s="416" t="s">
        <v>504</v>
      </c>
      <c r="O65" s="40"/>
      <c r="P65" s="40"/>
      <c r="Q65" s="13" t="s">
        <v>6</v>
      </c>
      <c r="R65" s="13" t="s">
        <v>6</v>
      </c>
      <c r="S65" s="414" t="s">
        <v>6</v>
      </c>
      <c r="T65" s="414"/>
      <c r="U65" s="13"/>
      <c r="V65" s="13"/>
      <c r="W65" s="412" t="s">
        <v>133</v>
      </c>
      <c r="X65" s="13"/>
      <c r="Y65" s="13"/>
      <c r="Z65" s="13" t="s">
        <v>6</v>
      </c>
      <c r="AA65" s="414" t="s">
        <v>6</v>
      </c>
      <c r="AB65" s="413"/>
      <c r="AC65" s="413"/>
      <c r="AD65" s="413"/>
      <c r="AE65" s="412" t="s">
        <v>133</v>
      </c>
      <c r="AF65" s="13"/>
      <c r="AG65" s="13"/>
      <c r="AH65" s="13" t="s">
        <v>6</v>
      </c>
      <c r="AI65" s="414" t="s">
        <v>6</v>
      </c>
      <c r="AJ65" s="413"/>
      <c r="AK65" s="413"/>
      <c r="AL65" s="413"/>
      <c r="AM65" s="43"/>
      <c r="AN65" s="19"/>
      <c r="AO65" s="15"/>
      <c r="AP65" s="15"/>
      <c r="AQ65" s="15"/>
      <c r="AR65" s="15"/>
      <c r="AS65" s="15"/>
      <c r="AT65" s="15"/>
      <c r="AU65" s="15"/>
      <c r="AV65" s="13"/>
      <c r="AW65" s="18"/>
    </row>
    <row r="66" spans="1:87" s="12" customFormat="1" ht="15">
      <c r="A66" s="40">
        <f t="shared" si="0"/>
        <v>60</v>
      </c>
      <c r="B66" s="19"/>
      <c r="C66" s="41"/>
      <c r="D66" s="19"/>
      <c r="E66" s="19"/>
      <c r="F66" s="19"/>
      <c r="G66" s="19"/>
      <c r="H66" s="13"/>
      <c r="I66" s="13"/>
      <c r="J66" s="412" t="s">
        <v>5231</v>
      </c>
      <c r="K66" s="412" t="s">
        <v>132</v>
      </c>
      <c r="L66" s="412" t="s">
        <v>5232</v>
      </c>
      <c r="M66" s="472" t="s">
        <v>3602</v>
      </c>
      <c r="N66" s="416" t="s">
        <v>504</v>
      </c>
      <c r="O66" s="13"/>
      <c r="P66" s="13"/>
      <c r="Q66" s="13" t="s">
        <v>6</v>
      </c>
      <c r="R66" s="13" t="s">
        <v>6</v>
      </c>
      <c r="S66" s="414" t="s">
        <v>6</v>
      </c>
      <c r="T66" s="414"/>
      <c r="U66" s="13"/>
      <c r="V66" s="13"/>
      <c r="W66" s="412" t="s">
        <v>133</v>
      </c>
      <c r="X66" s="13"/>
      <c r="Y66" s="13"/>
      <c r="Z66" s="13" t="s">
        <v>6</v>
      </c>
      <c r="AA66" s="414" t="s">
        <v>6</v>
      </c>
      <c r="AB66" s="413"/>
      <c r="AC66" s="415"/>
      <c r="AD66" s="415"/>
      <c r="AE66" s="412" t="s">
        <v>133</v>
      </c>
      <c r="AF66" s="13"/>
      <c r="AG66" s="13"/>
      <c r="AH66" s="13" t="s">
        <v>6</v>
      </c>
      <c r="AI66" s="414" t="s">
        <v>6</v>
      </c>
      <c r="AJ66" s="413"/>
      <c r="AK66" s="415"/>
      <c r="AL66" s="415"/>
      <c r="AM66" s="43"/>
      <c r="AN66" s="19"/>
      <c r="AO66" s="15"/>
      <c r="AP66" s="15"/>
      <c r="AQ66" s="15"/>
      <c r="AR66" s="15"/>
      <c r="AS66" s="15"/>
      <c r="AT66" s="15"/>
      <c r="AU66" s="15"/>
      <c r="AV66" s="15"/>
      <c r="AW66" s="18"/>
      <c r="AX66" s="16"/>
      <c r="AY66" s="17"/>
    </row>
    <row r="67" spans="1:87" s="12" customFormat="1" ht="15">
      <c r="A67" s="40">
        <f t="shared" si="0"/>
        <v>61</v>
      </c>
      <c r="B67" s="19"/>
      <c r="C67" s="41"/>
      <c r="D67" s="19"/>
      <c r="E67" s="19"/>
      <c r="F67" s="19"/>
      <c r="G67" s="19"/>
      <c r="H67" s="13"/>
      <c r="I67" s="13"/>
      <c r="J67" s="412" t="s">
        <v>5233</v>
      </c>
      <c r="K67" s="412" t="s">
        <v>132</v>
      </c>
      <c r="L67" s="412" t="s">
        <v>5234</v>
      </c>
      <c r="M67" s="472" t="s">
        <v>3602</v>
      </c>
      <c r="N67" s="416" t="s">
        <v>504</v>
      </c>
      <c r="O67" s="13"/>
      <c r="P67" s="13"/>
      <c r="Q67" s="13" t="s">
        <v>6</v>
      </c>
      <c r="R67" s="13" t="s">
        <v>6</v>
      </c>
      <c r="S67" s="414" t="s">
        <v>6</v>
      </c>
      <c r="T67" s="414"/>
      <c r="U67" s="13"/>
      <c r="V67" s="13"/>
      <c r="W67" s="412" t="s">
        <v>133</v>
      </c>
      <c r="X67" s="13"/>
      <c r="Y67" s="13"/>
      <c r="Z67" s="13" t="s">
        <v>6</v>
      </c>
      <c r="AA67" s="414" t="s">
        <v>6</v>
      </c>
      <c r="AB67" s="413"/>
      <c r="AC67" s="415"/>
      <c r="AD67" s="415"/>
      <c r="AE67" s="412" t="s">
        <v>133</v>
      </c>
      <c r="AF67" s="13"/>
      <c r="AG67" s="13"/>
      <c r="AH67" s="13" t="s">
        <v>6</v>
      </c>
      <c r="AI67" s="414" t="s">
        <v>6</v>
      </c>
      <c r="AJ67" s="413"/>
      <c r="AK67" s="415"/>
      <c r="AL67" s="415"/>
      <c r="AM67" s="43"/>
      <c r="AN67" s="19"/>
      <c r="AO67" s="15"/>
      <c r="AP67" s="15"/>
      <c r="AQ67" s="15"/>
      <c r="AR67" s="15"/>
      <c r="AS67" s="15"/>
      <c r="AT67" s="15"/>
      <c r="AU67" s="13"/>
      <c r="AV67" s="15"/>
      <c r="AW67" s="18"/>
    </row>
    <row r="68" spans="1:87" s="12" customFormat="1" ht="15">
      <c r="A68" s="40">
        <f t="shared" si="0"/>
        <v>62</v>
      </c>
      <c r="B68" s="19"/>
      <c r="C68" s="41"/>
      <c r="D68" s="19"/>
      <c r="E68" s="19"/>
      <c r="F68" s="19"/>
      <c r="G68" s="19"/>
      <c r="H68" s="13"/>
      <c r="I68" s="13"/>
      <c r="J68" s="412" t="s">
        <v>5235</v>
      </c>
      <c r="K68" s="412" t="s">
        <v>132</v>
      </c>
      <c r="L68" s="412" t="s">
        <v>5236</v>
      </c>
      <c r="M68" s="472" t="s">
        <v>3602</v>
      </c>
      <c r="N68" s="416" t="s">
        <v>504</v>
      </c>
      <c r="O68" s="13"/>
      <c r="P68" s="13"/>
      <c r="Q68" s="13" t="s">
        <v>6</v>
      </c>
      <c r="R68" s="13" t="s">
        <v>6</v>
      </c>
      <c r="S68" s="414" t="s">
        <v>6</v>
      </c>
      <c r="T68" s="414"/>
      <c r="U68" s="13"/>
      <c r="V68" s="13"/>
      <c r="W68" s="412" t="s">
        <v>133</v>
      </c>
      <c r="X68" s="13"/>
      <c r="Y68" s="13"/>
      <c r="Z68" s="13" t="s">
        <v>6</v>
      </c>
      <c r="AA68" s="414" t="s">
        <v>6</v>
      </c>
      <c r="AB68" s="413"/>
      <c r="AC68" s="415"/>
      <c r="AD68" s="415"/>
      <c r="AE68" s="412" t="s">
        <v>133</v>
      </c>
      <c r="AF68" s="13"/>
      <c r="AG68" s="13"/>
      <c r="AH68" s="13" t="s">
        <v>6</v>
      </c>
      <c r="AI68" s="414" t="s">
        <v>6</v>
      </c>
      <c r="AJ68" s="413"/>
      <c r="AK68" s="415"/>
      <c r="AL68" s="415"/>
      <c r="AM68" s="43"/>
      <c r="AN68" s="19"/>
      <c r="AO68" s="15"/>
      <c r="AP68" s="15"/>
      <c r="AQ68" s="15"/>
      <c r="AR68" s="15"/>
      <c r="AS68" s="15"/>
      <c r="AT68" s="15"/>
      <c r="AU68" s="13"/>
      <c r="AV68" s="15"/>
      <c r="AW68" s="18"/>
    </row>
    <row r="69" spans="1:87" s="18" customFormat="1" ht="15">
      <c r="A69" s="40">
        <f t="shared" si="0"/>
        <v>63</v>
      </c>
      <c r="B69" s="19"/>
      <c r="C69" s="41"/>
      <c r="D69" s="19"/>
      <c r="E69" s="19"/>
      <c r="F69" s="19"/>
      <c r="G69" s="19"/>
      <c r="H69" s="13"/>
      <c r="I69" s="13"/>
      <c r="J69" s="412" t="s">
        <v>5237</v>
      </c>
      <c r="K69" s="412" t="s">
        <v>132</v>
      </c>
      <c r="L69" s="412" t="s">
        <v>5238</v>
      </c>
      <c r="M69" s="472" t="s">
        <v>3602</v>
      </c>
      <c r="N69" s="416" t="s">
        <v>504</v>
      </c>
      <c r="O69" s="13"/>
      <c r="P69" s="13"/>
      <c r="Q69" s="13" t="s">
        <v>6</v>
      </c>
      <c r="R69" s="13" t="s">
        <v>6</v>
      </c>
      <c r="S69" s="414" t="s">
        <v>6</v>
      </c>
      <c r="T69" s="414"/>
      <c r="U69" s="13"/>
      <c r="V69" s="13"/>
      <c r="W69" s="412" t="s">
        <v>133</v>
      </c>
      <c r="X69" s="13"/>
      <c r="Y69" s="13"/>
      <c r="Z69" s="13" t="s">
        <v>6</v>
      </c>
      <c r="AA69" s="414" t="s">
        <v>6</v>
      </c>
      <c r="AB69" s="413"/>
      <c r="AC69" s="415"/>
      <c r="AD69" s="415"/>
      <c r="AE69" s="412" t="s">
        <v>133</v>
      </c>
      <c r="AF69" s="13"/>
      <c r="AG69" s="13"/>
      <c r="AH69" s="13" t="s">
        <v>6</v>
      </c>
      <c r="AI69" s="414" t="s">
        <v>6</v>
      </c>
      <c r="AJ69" s="413"/>
      <c r="AK69" s="415"/>
      <c r="AL69" s="415"/>
      <c r="AM69" s="43"/>
      <c r="AN69" s="19"/>
      <c r="AO69" s="15"/>
      <c r="AP69" s="15"/>
      <c r="AQ69" s="15"/>
      <c r="AR69" s="15"/>
      <c r="AS69" s="15"/>
      <c r="AT69" s="15"/>
      <c r="AU69" s="15"/>
      <c r="AV69" s="15"/>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row>
    <row r="70" spans="1:87" s="18" customFormat="1" ht="15">
      <c r="A70" s="40">
        <f t="shared" si="0"/>
        <v>64</v>
      </c>
      <c r="B70" s="19"/>
      <c r="C70" s="41"/>
      <c r="D70" s="19"/>
      <c r="E70" s="19"/>
      <c r="F70" s="19"/>
      <c r="G70" s="19"/>
      <c r="H70" s="13"/>
      <c r="I70" s="13"/>
      <c r="J70" s="412" t="s">
        <v>5239</v>
      </c>
      <c r="K70" s="412" t="s">
        <v>132</v>
      </c>
      <c r="L70" s="412" t="s">
        <v>5240</v>
      </c>
      <c r="M70" s="472" t="s">
        <v>3602</v>
      </c>
      <c r="N70" s="416" t="s">
        <v>504</v>
      </c>
      <c r="O70" s="13"/>
      <c r="P70" s="13"/>
      <c r="Q70" s="13" t="s">
        <v>6</v>
      </c>
      <c r="R70" s="13" t="s">
        <v>6</v>
      </c>
      <c r="S70" s="414" t="s">
        <v>6</v>
      </c>
      <c r="T70" s="414"/>
      <c r="U70" s="13"/>
      <c r="V70" s="13"/>
      <c r="W70" s="412" t="s">
        <v>133</v>
      </c>
      <c r="X70" s="13"/>
      <c r="Y70" s="13"/>
      <c r="Z70" s="13" t="s">
        <v>6</v>
      </c>
      <c r="AA70" s="414" t="s">
        <v>6</v>
      </c>
      <c r="AB70" s="413"/>
      <c r="AC70" s="415"/>
      <c r="AD70" s="415"/>
      <c r="AE70" s="412" t="s">
        <v>133</v>
      </c>
      <c r="AF70" s="13"/>
      <c r="AG70" s="13"/>
      <c r="AH70" s="13" t="s">
        <v>6</v>
      </c>
      <c r="AI70" s="414" t="s">
        <v>6</v>
      </c>
      <c r="AJ70" s="413"/>
      <c r="AK70" s="415"/>
      <c r="AL70" s="415"/>
      <c r="AM70" s="43"/>
      <c r="AN70" s="19"/>
      <c r="AO70" s="15"/>
      <c r="AP70" s="15"/>
      <c r="AQ70" s="15"/>
      <c r="AR70" s="15"/>
      <c r="AS70" s="15"/>
      <c r="AT70" s="15"/>
      <c r="AU70" s="13"/>
      <c r="AV70" s="15"/>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row>
    <row r="71" spans="1:87" s="12" customFormat="1" ht="15">
      <c r="A71" s="40">
        <f t="shared" si="0"/>
        <v>65</v>
      </c>
      <c r="B71" s="19"/>
      <c r="C71" s="41"/>
      <c r="D71" s="19"/>
      <c r="E71" s="19"/>
      <c r="F71" s="19"/>
      <c r="G71" s="19"/>
      <c r="H71" s="13"/>
      <c r="I71" s="13"/>
      <c r="J71" s="412" t="s">
        <v>5241</v>
      </c>
      <c r="K71" s="412" t="s">
        <v>117</v>
      </c>
      <c r="L71" s="215" t="s">
        <v>691</v>
      </c>
      <c r="M71" s="509"/>
      <c r="N71" s="416" t="s">
        <v>504</v>
      </c>
      <c r="O71" s="13"/>
      <c r="P71" s="13"/>
      <c r="Q71" s="13" t="s">
        <v>6</v>
      </c>
      <c r="R71" s="13" t="s">
        <v>6</v>
      </c>
      <c r="S71" s="414" t="s">
        <v>6</v>
      </c>
      <c r="T71" s="40"/>
      <c r="U71" s="13"/>
      <c r="V71" s="13"/>
      <c r="W71" s="412" t="s">
        <v>133</v>
      </c>
      <c r="X71" s="13"/>
      <c r="Y71" s="13"/>
      <c r="Z71" s="13" t="s">
        <v>6</v>
      </c>
      <c r="AA71" s="414" t="s">
        <v>6</v>
      </c>
      <c r="AB71" s="413"/>
      <c r="AC71" s="415"/>
      <c r="AD71" s="415"/>
      <c r="AE71" s="412" t="s">
        <v>133</v>
      </c>
      <c r="AF71" s="13"/>
      <c r="AG71" s="13"/>
      <c r="AH71" s="13" t="s">
        <v>6</v>
      </c>
      <c r="AI71" s="414" t="s">
        <v>6</v>
      </c>
      <c r="AJ71" s="413"/>
      <c r="AK71" s="415"/>
      <c r="AL71" s="415"/>
      <c r="AM71" s="43" t="s">
        <v>5242</v>
      </c>
      <c r="AN71" s="13"/>
      <c r="AO71" s="13"/>
      <c r="AP71" s="13"/>
      <c r="AQ71" s="13"/>
      <c r="AR71" s="13"/>
      <c r="AS71" s="13"/>
      <c r="AT71" s="13"/>
      <c r="AU71" s="15"/>
      <c r="AV71" s="15"/>
      <c r="AW71" s="18"/>
    </row>
    <row r="72" spans="1:87" s="12" customFormat="1" ht="158.25" customHeight="1">
      <c r="A72" s="40">
        <f t="shared" si="0"/>
        <v>66</v>
      </c>
      <c r="B72" s="19"/>
      <c r="C72" s="41"/>
      <c r="D72" s="19"/>
      <c r="E72" s="19"/>
      <c r="F72" s="19"/>
      <c r="G72" s="19"/>
      <c r="H72" s="13"/>
      <c r="I72" s="13"/>
      <c r="J72" s="412" t="s">
        <v>5243</v>
      </c>
      <c r="K72" s="412" t="s">
        <v>117</v>
      </c>
      <c r="L72" s="412" t="s">
        <v>5244</v>
      </c>
      <c r="M72" s="493"/>
      <c r="N72" s="415" t="s">
        <v>504</v>
      </c>
      <c r="O72" s="415"/>
      <c r="P72" s="415"/>
      <c r="Q72" s="415" t="s">
        <v>6</v>
      </c>
      <c r="R72" s="415" t="s">
        <v>6</v>
      </c>
      <c r="S72" s="415" t="s">
        <v>6</v>
      </c>
      <c r="T72" s="415"/>
      <c r="U72" s="368" t="s">
        <v>5245</v>
      </c>
      <c r="V72" s="368"/>
      <c r="W72" s="412" t="s">
        <v>133</v>
      </c>
      <c r="X72" s="413"/>
      <c r="Y72" s="413"/>
      <c r="Z72" s="415" t="s">
        <v>6</v>
      </c>
      <c r="AA72" s="415" t="s">
        <v>6</v>
      </c>
      <c r="AB72" s="413"/>
      <c r="AC72" s="415"/>
      <c r="AD72" s="415"/>
      <c r="AE72" s="412" t="s">
        <v>133</v>
      </c>
      <c r="AF72" s="413"/>
      <c r="AG72" s="413"/>
      <c r="AH72" s="413" t="s">
        <v>6</v>
      </c>
      <c r="AI72" s="413" t="s">
        <v>6</v>
      </c>
      <c r="AJ72" s="413"/>
      <c r="AK72" s="415"/>
      <c r="AL72" s="415"/>
      <c r="AM72" s="43"/>
      <c r="AN72" s="13"/>
      <c r="AO72" s="13"/>
      <c r="AP72" s="13"/>
      <c r="AQ72" s="13"/>
      <c r="AR72" s="13"/>
      <c r="AS72" s="13"/>
      <c r="AT72" s="13"/>
      <c r="AU72" s="15"/>
      <c r="AV72" s="15"/>
      <c r="AW72" s="18"/>
    </row>
    <row r="73" spans="1:87" s="20" customFormat="1" ht="15">
      <c r="A73" s="40">
        <f t="shared" si="0"/>
        <v>67</v>
      </c>
      <c r="B73" s="59"/>
      <c r="C73" s="59"/>
      <c r="D73" s="59"/>
      <c r="E73" s="59"/>
      <c r="F73" s="59"/>
      <c r="G73" s="59"/>
      <c r="H73" s="59"/>
      <c r="I73" s="59"/>
      <c r="J73" s="218" t="s">
        <v>4964</v>
      </c>
      <c r="K73" s="204" t="s">
        <v>128</v>
      </c>
      <c r="L73" s="204" t="s">
        <v>703</v>
      </c>
      <c r="M73" s="204"/>
      <c r="N73" s="126" t="s">
        <v>504</v>
      </c>
      <c r="O73" s="126"/>
      <c r="P73" s="126"/>
      <c r="Q73" s="13" t="s">
        <v>6</v>
      </c>
      <c r="R73" s="40" t="s">
        <v>6</v>
      </c>
      <c r="S73" s="40" t="s">
        <v>6</v>
      </c>
      <c r="T73" s="40"/>
      <c r="U73" s="206" t="s">
        <v>768</v>
      </c>
      <c r="V73" s="206"/>
      <c r="W73" s="204" t="s">
        <v>125</v>
      </c>
      <c r="X73" s="59"/>
      <c r="Y73" s="59"/>
      <c r="Z73" s="59"/>
      <c r="AA73" s="40" t="s">
        <v>6</v>
      </c>
      <c r="AB73" s="15"/>
      <c r="AC73" s="59"/>
      <c r="AD73" s="59"/>
      <c r="AE73" s="204" t="s">
        <v>125</v>
      </c>
      <c r="AF73" s="59"/>
      <c r="AG73" s="59"/>
      <c r="AH73" s="59"/>
      <c r="AI73" s="40" t="s">
        <v>6</v>
      </c>
      <c r="AJ73" s="15"/>
      <c r="AK73" s="59"/>
      <c r="AL73" s="59"/>
      <c r="AM73" s="59"/>
      <c r="AN73" s="59"/>
      <c r="AO73" s="59"/>
      <c r="AP73" s="59"/>
      <c r="AQ73" s="59"/>
      <c r="AR73" s="59"/>
      <c r="AS73" s="59"/>
      <c r="AT73" s="59"/>
      <c r="AU73" s="59"/>
      <c r="AV73" s="59"/>
      <c r="AW73" s="18"/>
    </row>
    <row r="74" spans="1:87" s="18" customFormat="1" ht="26.4">
      <c r="A74" s="40">
        <f t="shared" si="0"/>
        <v>68</v>
      </c>
      <c r="B74" s="38"/>
      <c r="C74" s="42"/>
      <c r="D74" s="38"/>
      <c r="E74" s="46"/>
      <c r="F74" s="46"/>
      <c r="G74" s="46"/>
      <c r="H74" s="13"/>
      <c r="I74" s="40"/>
      <c r="J74" s="215" t="s">
        <v>5246</v>
      </c>
      <c r="K74" s="412" t="s">
        <v>117</v>
      </c>
      <c r="L74" s="215" t="s">
        <v>1760</v>
      </c>
      <c r="M74" s="215"/>
      <c r="N74" s="126" t="s">
        <v>504</v>
      </c>
      <c r="O74" s="40"/>
      <c r="P74" s="40"/>
      <c r="Q74" s="13" t="s">
        <v>6</v>
      </c>
      <c r="R74" s="126" t="s">
        <v>6</v>
      </c>
      <c r="S74" s="126" t="s">
        <v>6</v>
      </c>
      <c r="T74" s="126"/>
      <c r="U74" s="206" t="s">
        <v>1964</v>
      </c>
      <c r="V74" s="204"/>
      <c r="W74" s="215" t="s">
        <v>125</v>
      </c>
      <c r="X74" s="40"/>
      <c r="Y74" s="413"/>
      <c r="Z74" s="61"/>
      <c r="AA74" s="61" t="s">
        <v>6</v>
      </c>
      <c r="AB74" s="413"/>
      <c r="AC74" s="413"/>
      <c r="AD74" s="413"/>
      <c r="AE74" s="215" t="s">
        <v>125</v>
      </c>
      <c r="AF74" s="40"/>
      <c r="AG74" s="413"/>
      <c r="AH74" s="61"/>
      <c r="AI74" s="61" t="s">
        <v>6</v>
      </c>
      <c r="AJ74" s="413"/>
      <c r="AK74" s="413"/>
      <c r="AL74" s="413"/>
      <c r="AM74" s="45"/>
      <c r="AN74" s="53"/>
      <c r="AO74" s="266"/>
      <c r="AP74" s="266"/>
      <c r="AQ74" s="266"/>
      <c r="AR74" s="266"/>
      <c r="AS74" s="15"/>
      <c r="AT74" s="15"/>
      <c r="AU74" s="15"/>
      <c r="AV74" s="13"/>
      <c r="AX74" s="12"/>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row>
    <row r="75" spans="1:87" s="20" customFormat="1" ht="26.4">
      <c r="A75" s="40">
        <f t="shared" si="0"/>
        <v>69</v>
      </c>
      <c r="B75" s="59"/>
      <c r="C75" s="59"/>
      <c r="D75" s="59"/>
      <c r="E75" s="59"/>
      <c r="F75" s="59"/>
      <c r="G75" s="59"/>
      <c r="H75" s="59"/>
      <c r="I75" s="59"/>
      <c r="J75" s="218" t="s">
        <v>4980</v>
      </c>
      <c r="K75" s="204" t="s">
        <v>117</v>
      </c>
      <c r="L75" s="204" t="s">
        <v>3983</v>
      </c>
      <c r="M75" s="204"/>
      <c r="N75" s="126" t="s">
        <v>504</v>
      </c>
      <c r="O75" s="126"/>
      <c r="P75" s="126"/>
      <c r="Q75" s="13" t="s">
        <v>6</v>
      </c>
      <c r="R75" s="40" t="s">
        <v>6</v>
      </c>
      <c r="S75" s="40" t="s">
        <v>6</v>
      </c>
      <c r="T75" s="40"/>
      <c r="U75" s="206" t="s">
        <v>768</v>
      </c>
      <c r="V75" s="206"/>
      <c r="W75" s="204" t="s">
        <v>125</v>
      </c>
      <c r="X75" s="59"/>
      <c r="Y75" s="59"/>
      <c r="Z75" s="59"/>
      <c r="AA75" s="40" t="s">
        <v>6</v>
      </c>
      <c r="AB75" s="218"/>
      <c r="AC75" s="59"/>
      <c r="AD75" s="218" t="s">
        <v>709</v>
      </c>
      <c r="AE75" s="204" t="s">
        <v>125</v>
      </c>
      <c r="AF75" s="59"/>
      <c r="AG75" s="59"/>
      <c r="AH75" s="59"/>
      <c r="AI75" s="40" t="s">
        <v>6</v>
      </c>
      <c r="AJ75" s="218"/>
      <c r="AK75" s="59"/>
      <c r="AL75" s="218" t="s">
        <v>709</v>
      </c>
      <c r="AM75" s="59"/>
      <c r="AN75" s="59"/>
      <c r="AO75" s="59"/>
      <c r="AP75" s="59"/>
      <c r="AQ75" s="59"/>
      <c r="AR75" s="59"/>
      <c r="AS75" s="59"/>
      <c r="AT75" s="59"/>
      <c r="AU75" s="59"/>
      <c r="AV75" s="59"/>
      <c r="AW75" s="18"/>
    </row>
    <row r="76" spans="1:87" s="20" customFormat="1" ht="52.8">
      <c r="A76" s="40">
        <f t="shared" si="0"/>
        <v>70</v>
      </c>
      <c r="B76" s="59"/>
      <c r="C76" s="59"/>
      <c r="D76" s="59"/>
      <c r="E76" s="59"/>
      <c r="F76" s="59"/>
      <c r="G76" s="59"/>
      <c r="H76" s="59"/>
      <c r="I76" s="59"/>
      <c r="J76" s="218" t="s">
        <v>5247</v>
      </c>
      <c r="K76" s="204" t="s">
        <v>117</v>
      </c>
      <c r="L76" s="204" t="s">
        <v>4025</v>
      </c>
      <c r="M76" s="204"/>
      <c r="N76" s="126" t="s">
        <v>504</v>
      </c>
      <c r="O76" s="126"/>
      <c r="P76" s="126"/>
      <c r="Q76" s="13" t="s">
        <v>6</v>
      </c>
      <c r="R76" s="40" t="s">
        <v>6</v>
      </c>
      <c r="S76" s="40" t="s">
        <v>6</v>
      </c>
      <c r="T76" s="40"/>
      <c r="U76" s="206" t="s">
        <v>4787</v>
      </c>
      <c r="V76" s="206"/>
      <c r="W76" s="215" t="s">
        <v>125</v>
      </c>
      <c r="X76" s="59"/>
      <c r="Y76" s="59"/>
      <c r="Z76" s="40"/>
      <c r="AA76" s="40" t="s">
        <v>6</v>
      </c>
      <c r="AB76" s="218"/>
      <c r="AC76" s="59"/>
      <c r="AD76" s="59"/>
      <c r="AE76" s="215" t="s">
        <v>125</v>
      </c>
      <c r="AF76" s="59"/>
      <c r="AG76" s="59"/>
      <c r="AH76" s="40"/>
      <c r="AI76" s="40" t="s">
        <v>6</v>
      </c>
      <c r="AJ76" s="218"/>
      <c r="AK76" s="59"/>
      <c r="AL76" s="59"/>
      <c r="AM76" s="59"/>
      <c r="AN76" s="59"/>
      <c r="AO76" s="59"/>
      <c r="AP76" s="59"/>
      <c r="AQ76" s="59"/>
      <c r="AR76" s="59"/>
      <c r="AS76" s="59"/>
      <c r="AT76" s="59"/>
      <c r="AU76" s="59"/>
      <c r="AV76" s="59"/>
      <c r="AW76" s="18"/>
    </row>
    <row r="77" spans="1:87" s="20" customFormat="1" ht="39.6">
      <c r="A77" s="40">
        <f t="shared" si="0"/>
        <v>71</v>
      </c>
      <c r="B77" s="59"/>
      <c r="C77" s="59"/>
      <c r="D77" s="59"/>
      <c r="E77" s="59"/>
      <c r="F77" s="59"/>
      <c r="G77" s="59"/>
      <c r="H77" s="59"/>
      <c r="I77" s="59"/>
      <c r="J77" s="218" t="s">
        <v>5248</v>
      </c>
      <c r="K77" s="204" t="s">
        <v>117</v>
      </c>
      <c r="L77" s="204" t="s">
        <v>793</v>
      </c>
      <c r="M77" s="204"/>
      <c r="N77" s="126" t="s">
        <v>504</v>
      </c>
      <c r="O77" s="126"/>
      <c r="P77" s="126"/>
      <c r="Q77" s="13" t="s">
        <v>6</v>
      </c>
      <c r="R77" s="40" t="s">
        <v>6</v>
      </c>
      <c r="S77" s="40" t="s">
        <v>6</v>
      </c>
      <c r="T77" s="40"/>
      <c r="U77" s="206" t="s">
        <v>4795</v>
      </c>
      <c r="V77" s="206"/>
      <c r="W77" s="215" t="s">
        <v>125</v>
      </c>
      <c r="X77" s="59"/>
      <c r="Y77" s="59"/>
      <c r="Z77" s="40"/>
      <c r="AA77" s="40" t="s">
        <v>6</v>
      </c>
      <c r="AB77" s="218"/>
      <c r="AC77" s="59"/>
      <c r="AD77" s="59"/>
      <c r="AE77" s="215" t="s">
        <v>125</v>
      </c>
      <c r="AF77" s="59"/>
      <c r="AG77" s="59"/>
      <c r="AH77" s="40"/>
      <c r="AI77" s="40" t="s">
        <v>6</v>
      </c>
      <c r="AJ77" s="218"/>
      <c r="AK77" s="59"/>
      <c r="AL77" s="59"/>
      <c r="AM77" s="59"/>
      <c r="AN77" s="59"/>
      <c r="AO77" s="59"/>
      <c r="AP77" s="59"/>
      <c r="AQ77" s="59"/>
      <c r="AR77" s="59"/>
      <c r="AS77" s="59"/>
      <c r="AT77" s="59"/>
      <c r="AU77" s="59"/>
      <c r="AV77" s="59"/>
      <c r="AW77" s="18"/>
    </row>
    <row r="78" spans="1:87" s="20" customFormat="1" ht="52.8">
      <c r="A78" s="40">
        <f t="shared" si="0"/>
        <v>72</v>
      </c>
      <c r="B78" s="59"/>
      <c r="C78" s="59"/>
      <c r="D78" s="59"/>
      <c r="E78" s="59"/>
      <c r="F78" s="59"/>
      <c r="G78" s="59"/>
      <c r="H78" s="59"/>
      <c r="I78" s="59"/>
      <c r="J78" s="218" t="s">
        <v>4965</v>
      </c>
      <c r="K78" s="232" t="s">
        <v>117</v>
      </c>
      <c r="L78" s="204" t="s">
        <v>729</v>
      </c>
      <c r="M78" s="204"/>
      <c r="N78" s="126" t="s">
        <v>504</v>
      </c>
      <c r="O78" s="126"/>
      <c r="P78" s="126"/>
      <c r="Q78" s="126" t="s">
        <v>6</v>
      </c>
      <c r="R78" s="126" t="s">
        <v>6</v>
      </c>
      <c r="S78" s="126" t="s">
        <v>6</v>
      </c>
      <c r="T78" s="126"/>
      <c r="U78" s="206" t="s">
        <v>1389</v>
      </c>
      <c r="V78" s="206"/>
      <c r="W78" s="232" t="s">
        <v>125</v>
      </c>
      <c r="X78" s="59"/>
      <c r="Y78" s="59"/>
      <c r="Z78" s="59"/>
      <c r="AA78" s="61" t="s">
        <v>6</v>
      </c>
      <c r="AB78" s="15"/>
      <c r="AC78" s="59"/>
      <c r="AD78" s="59"/>
      <c r="AE78" s="232" t="s">
        <v>125</v>
      </c>
      <c r="AF78" s="59"/>
      <c r="AG78" s="59"/>
      <c r="AH78" s="59"/>
      <c r="AI78" s="61" t="s">
        <v>6</v>
      </c>
      <c r="AJ78" s="15"/>
      <c r="AK78" s="59"/>
      <c r="AL78" s="59"/>
      <c r="AM78" s="59"/>
      <c r="AN78" s="59"/>
      <c r="AO78" s="59"/>
      <c r="AP78" s="59"/>
      <c r="AQ78" s="59"/>
      <c r="AR78" s="59"/>
      <c r="AS78" s="59"/>
      <c r="AT78" s="59"/>
      <c r="AU78" s="59"/>
      <c r="AV78" s="59"/>
      <c r="AW78" s="18"/>
    </row>
    <row r="79" spans="1:87" s="20" customFormat="1" ht="39.6">
      <c r="A79" s="40">
        <f t="shared" si="0"/>
        <v>73</v>
      </c>
      <c r="B79" s="59"/>
      <c r="C79" s="59"/>
      <c r="D79" s="59"/>
      <c r="E79" s="59"/>
      <c r="F79" s="59"/>
      <c r="G79" s="59"/>
      <c r="H79" s="59"/>
      <c r="I79" s="59"/>
      <c r="J79" s="218" t="s">
        <v>4966</v>
      </c>
      <c r="K79" s="232" t="s">
        <v>117</v>
      </c>
      <c r="L79" s="204" t="s">
        <v>3933</v>
      </c>
      <c r="M79" s="204"/>
      <c r="N79" s="126" t="s">
        <v>504</v>
      </c>
      <c r="O79" s="126"/>
      <c r="P79" s="126"/>
      <c r="Q79" s="126" t="s">
        <v>6</v>
      </c>
      <c r="R79" s="126" t="s">
        <v>6</v>
      </c>
      <c r="S79" s="126" t="s">
        <v>6</v>
      </c>
      <c r="T79" s="126"/>
      <c r="U79" s="206" t="s">
        <v>4739</v>
      </c>
      <c r="V79" s="206"/>
      <c r="W79" s="232" t="s">
        <v>125</v>
      </c>
      <c r="X79" s="59"/>
      <c r="Y79" s="59"/>
      <c r="Z79" s="59"/>
      <c r="AA79" s="61" t="s">
        <v>6</v>
      </c>
      <c r="AB79" s="15"/>
      <c r="AC79" s="59"/>
      <c r="AD79" s="59"/>
      <c r="AE79" s="232" t="s">
        <v>125</v>
      </c>
      <c r="AF79" s="59"/>
      <c r="AG79" s="59"/>
      <c r="AH79" s="59"/>
      <c r="AI79" s="61" t="s">
        <v>6</v>
      </c>
      <c r="AJ79" s="15"/>
      <c r="AK79" s="59"/>
      <c r="AL79" s="59"/>
      <c r="AM79" s="59"/>
      <c r="AN79" s="59"/>
      <c r="AO79" s="59"/>
      <c r="AP79" s="59"/>
      <c r="AQ79" s="59"/>
      <c r="AR79" s="59"/>
      <c r="AS79" s="59"/>
      <c r="AT79" s="59"/>
      <c r="AU79" s="59"/>
      <c r="AV79" s="59"/>
      <c r="AW79" s="18"/>
    </row>
    <row r="80" spans="1:87" s="20" customFormat="1" ht="39.6">
      <c r="A80" s="40">
        <f t="shared" si="0"/>
        <v>74</v>
      </c>
      <c r="B80" s="59"/>
      <c r="C80" s="59"/>
      <c r="D80" s="59"/>
      <c r="E80" s="59"/>
      <c r="F80" s="59"/>
      <c r="G80" s="59"/>
      <c r="H80" s="59"/>
      <c r="I80" s="59"/>
      <c r="J80" s="218" t="s">
        <v>4967</v>
      </c>
      <c r="K80" s="232" t="s">
        <v>117</v>
      </c>
      <c r="L80" s="204" t="s">
        <v>1391</v>
      </c>
      <c r="M80" s="204"/>
      <c r="N80" s="126" t="s">
        <v>504</v>
      </c>
      <c r="O80" s="126"/>
      <c r="P80" s="126"/>
      <c r="Q80" s="126" t="s">
        <v>6</v>
      </c>
      <c r="R80" s="126" t="s">
        <v>6</v>
      </c>
      <c r="S80" s="126" t="s">
        <v>6</v>
      </c>
      <c r="T80" s="126"/>
      <c r="U80" s="206" t="s">
        <v>4739</v>
      </c>
      <c r="V80" s="206"/>
      <c r="W80" s="232" t="s">
        <v>125</v>
      </c>
      <c r="X80" s="59"/>
      <c r="Y80" s="59"/>
      <c r="Z80" s="59"/>
      <c r="AA80" s="61" t="s">
        <v>6</v>
      </c>
      <c r="AB80" s="15"/>
      <c r="AC80" s="59"/>
      <c r="AD80" s="59"/>
      <c r="AE80" s="232" t="s">
        <v>125</v>
      </c>
      <c r="AF80" s="59"/>
      <c r="AG80" s="59"/>
      <c r="AH80" s="59"/>
      <c r="AI80" s="61" t="s">
        <v>6</v>
      </c>
      <c r="AJ80" s="15"/>
      <c r="AK80" s="59"/>
      <c r="AL80" s="59"/>
      <c r="AM80" s="59"/>
      <c r="AN80" s="59"/>
      <c r="AO80" s="59"/>
      <c r="AP80" s="59"/>
      <c r="AQ80" s="59"/>
      <c r="AR80" s="59"/>
      <c r="AS80" s="59"/>
      <c r="AT80" s="59"/>
      <c r="AU80" s="59"/>
      <c r="AV80" s="59"/>
      <c r="AW80" s="18"/>
    </row>
    <row r="81" spans="1:87" s="20" customFormat="1" ht="39.6">
      <c r="A81" s="40">
        <f t="shared" si="0"/>
        <v>75</v>
      </c>
      <c r="B81" s="59"/>
      <c r="C81" s="59"/>
      <c r="D81" s="59"/>
      <c r="E81" s="59"/>
      <c r="F81" s="59"/>
      <c r="G81" s="59"/>
      <c r="H81" s="59"/>
      <c r="I81" s="59"/>
      <c r="J81" s="218" t="s">
        <v>5249</v>
      </c>
      <c r="K81" s="204" t="s">
        <v>117</v>
      </c>
      <c r="L81" s="204" t="s">
        <v>735</v>
      </c>
      <c r="M81" s="204"/>
      <c r="N81" s="126" t="s">
        <v>504</v>
      </c>
      <c r="O81" s="126"/>
      <c r="P81" s="126"/>
      <c r="Q81" s="40" t="s">
        <v>6</v>
      </c>
      <c r="R81" s="40" t="s">
        <v>6</v>
      </c>
      <c r="S81" s="40" t="s">
        <v>6</v>
      </c>
      <c r="T81" s="40"/>
      <c r="U81" s="206" t="s">
        <v>4739</v>
      </c>
      <c r="V81" s="206"/>
      <c r="W81" s="204" t="s">
        <v>125</v>
      </c>
      <c r="X81" s="59"/>
      <c r="Y81" s="59"/>
      <c r="Z81" s="59"/>
      <c r="AA81" s="40" t="s">
        <v>6</v>
      </c>
      <c r="AB81" s="218"/>
      <c r="AC81" s="59"/>
      <c r="AD81" s="218"/>
      <c r="AE81" s="204" t="s">
        <v>125</v>
      </c>
      <c r="AF81" s="59"/>
      <c r="AG81" s="59"/>
      <c r="AH81" s="59"/>
      <c r="AI81" s="40" t="s">
        <v>6</v>
      </c>
      <c r="AJ81" s="218"/>
      <c r="AK81" s="59"/>
      <c r="AL81" s="218"/>
      <c r="AM81" s="59"/>
      <c r="AN81" s="59"/>
      <c r="AO81" s="59"/>
      <c r="AP81" s="59"/>
      <c r="AQ81" s="59"/>
      <c r="AR81" s="59"/>
      <c r="AS81" s="59"/>
      <c r="AT81" s="59"/>
      <c r="AU81" s="59"/>
      <c r="AV81" s="59"/>
      <c r="AW81" s="18"/>
    </row>
    <row r="82" spans="1:87" s="20" customFormat="1" ht="39.6">
      <c r="A82" s="40">
        <f t="shared" si="0"/>
        <v>76</v>
      </c>
      <c r="B82" s="59"/>
      <c r="C82" s="59"/>
      <c r="D82" s="59"/>
      <c r="E82" s="59"/>
      <c r="F82" s="59"/>
      <c r="G82" s="59"/>
      <c r="H82" s="59"/>
      <c r="I82" s="59"/>
      <c r="J82" s="218" t="s">
        <v>5250</v>
      </c>
      <c r="K82" s="204" t="s">
        <v>117</v>
      </c>
      <c r="L82" s="204" t="s">
        <v>735</v>
      </c>
      <c r="M82" s="204"/>
      <c r="N82" s="126" t="s">
        <v>504</v>
      </c>
      <c r="O82" s="126"/>
      <c r="P82" s="126"/>
      <c r="Q82" s="40" t="s">
        <v>6</v>
      </c>
      <c r="R82" s="40" t="s">
        <v>6</v>
      </c>
      <c r="S82" s="40" t="s">
        <v>6</v>
      </c>
      <c r="T82" s="40"/>
      <c r="U82" s="206" t="s">
        <v>4739</v>
      </c>
      <c r="V82" s="206"/>
      <c r="W82" s="204" t="s">
        <v>125</v>
      </c>
      <c r="X82" s="59"/>
      <c r="Y82" s="59"/>
      <c r="Z82" s="59"/>
      <c r="AA82" s="40" t="s">
        <v>6</v>
      </c>
      <c r="AB82" s="218"/>
      <c r="AC82" s="59"/>
      <c r="AD82" s="218"/>
      <c r="AE82" s="204" t="s">
        <v>125</v>
      </c>
      <c r="AF82" s="59"/>
      <c r="AG82" s="59"/>
      <c r="AH82" s="59"/>
      <c r="AI82" s="40" t="s">
        <v>6</v>
      </c>
      <c r="AJ82" s="218"/>
      <c r="AK82" s="59"/>
      <c r="AL82" s="218"/>
      <c r="AM82" s="59"/>
      <c r="AN82" s="59"/>
      <c r="AO82" s="59"/>
      <c r="AP82" s="59"/>
      <c r="AQ82" s="59"/>
      <c r="AR82" s="59"/>
      <c r="AS82" s="59"/>
      <c r="AT82" s="59"/>
      <c r="AU82" s="59"/>
      <c r="AV82" s="59"/>
      <c r="AW82" s="18"/>
    </row>
    <row r="83" spans="1:87" s="20" customFormat="1" ht="39.6">
      <c r="A83" s="40">
        <f t="shared" si="0"/>
        <v>77</v>
      </c>
      <c r="B83" s="59"/>
      <c r="C83" s="59"/>
      <c r="D83" s="59"/>
      <c r="E83" s="59"/>
      <c r="F83" s="59"/>
      <c r="G83" s="59"/>
      <c r="H83" s="59"/>
      <c r="I83" s="59"/>
      <c r="J83" s="218" t="s">
        <v>5251</v>
      </c>
      <c r="K83" s="204" t="s">
        <v>117</v>
      </c>
      <c r="L83" s="204" t="s">
        <v>737</v>
      </c>
      <c r="M83" s="204"/>
      <c r="N83" s="126" t="s">
        <v>504</v>
      </c>
      <c r="O83" s="126"/>
      <c r="P83" s="126"/>
      <c r="Q83" s="40" t="s">
        <v>6</v>
      </c>
      <c r="R83" s="40" t="s">
        <v>6</v>
      </c>
      <c r="S83" s="40" t="s">
        <v>6</v>
      </c>
      <c r="T83" s="40"/>
      <c r="U83" s="206" t="s">
        <v>1394</v>
      </c>
      <c r="V83" s="206"/>
      <c r="W83" s="204" t="s">
        <v>125</v>
      </c>
      <c r="X83" s="59"/>
      <c r="Y83" s="59"/>
      <c r="Z83" s="59"/>
      <c r="AA83" s="40" t="s">
        <v>6</v>
      </c>
      <c r="AB83" s="15"/>
      <c r="AC83" s="59"/>
      <c r="AD83" s="59"/>
      <c r="AE83" s="204" t="s">
        <v>125</v>
      </c>
      <c r="AF83" s="59"/>
      <c r="AG83" s="59"/>
      <c r="AH83" s="59"/>
      <c r="AI83" s="40" t="s">
        <v>6</v>
      </c>
      <c r="AJ83" s="15"/>
      <c r="AK83" s="59"/>
      <c r="AL83" s="59"/>
      <c r="AM83" s="59"/>
      <c r="AN83" s="59"/>
      <c r="AO83" s="59"/>
      <c r="AP83" s="59"/>
      <c r="AQ83" s="59"/>
      <c r="AR83" s="59"/>
      <c r="AS83" s="59"/>
      <c r="AT83" s="59"/>
      <c r="AU83" s="59"/>
      <c r="AV83" s="59"/>
      <c r="AW83" s="18"/>
    </row>
    <row r="84" spans="1:87" s="20" customFormat="1" ht="39.6">
      <c r="A84" s="40">
        <f t="shared" si="0"/>
        <v>78</v>
      </c>
      <c r="B84" s="59"/>
      <c r="C84" s="59"/>
      <c r="D84" s="59"/>
      <c r="E84" s="59"/>
      <c r="F84" s="59"/>
      <c r="G84" s="59"/>
      <c r="H84" s="59"/>
      <c r="I84" s="59"/>
      <c r="J84" s="218" t="s">
        <v>4974</v>
      </c>
      <c r="K84" s="232" t="s">
        <v>117</v>
      </c>
      <c r="L84" s="204" t="s">
        <v>3949</v>
      </c>
      <c r="M84" s="204"/>
      <c r="N84" s="126" t="s">
        <v>504</v>
      </c>
      <c r="O84" s="126"/>
      <c r="P84" s="126"/>
      <c r="Q84" s="40" t="s">
        <v>6</v>
      </c>
      <c r="R84" s="40" t="s">
        <v>6</v>
      </c>
      <c r="S84" s="40" t="s">
        <v>6</v>
      </c>
      <c r="T84" s="40"/>
      <c r="U84" s="206" t="s">
        <v>742</v>
      </c>
      <c r="V84" s="206"/>
      <c r="W84" s="232" t="s">
        <v>125</v>
      </c>
      <c r="X84" s="59"/>
      <c r="Y84" s="59"/>
      <c r="Z84" s="59"/>
      <c r="AA84" s="40" t="s">
        <v>6</v>
      </c>
      <c r="AB84" s="15"/>
      <c r="AC84" s="59"/>
      <c r="AD84" s="59"/>
      <c r="AE84" s="232" t="s">
        <v>125</v>
      </c>
      <c r="AF84" s="59"/>
      <c r="AG84" s="59"/>
      <c r="AH84" s="59"/>
      <c r="AI84" s="40" t="s">
        <v>6</v>
      </c>
      <c r="AJ84" s="15"/>
      <c r="AK84" s="59"/>
      <c r="AL84" s="59"/>
      <c r="AM84" s="59"/>
      <c r="AN84" s="59"/>
      <c r="AO84" s="59"/>
      <c r="AP84" s="59"/>
      <c r="AQ84" s="59"/>
      <c r="AR84" s="59"/>
      <c r="AS84" s="59"/>
      <c r="AT84" s="59"/>
      <c r="AU84" s="59"/>
      <c r="AV84" s="59"/>
      <c r="AW84" s="18"/>
    </row>
    <row r="85" spans="1:87" s="18" customFormat="1" ht="26.4">
      <c r="A85" s="40">
        <f t="shared" si="0"/>
        <v>79</v>
      </c>
      <c r="B85" s="38"/>
      <c r="C85" s="42"/>
      <c r="D85" s="38"/>
      <c r="E85" s="46"/>
      <c r="F85" s="46"/>
      <c r="G85" s="46"/>
      <c r="H85" s="13"/>
      <c r="I85" s="40"/>
      <c r="J85" s="218" t="s">
        <v>4989</v>
      </c>
      <c r="K85" s="412" t="s">
        <v>117</v>
      </c>
      <c r="L85" s="204" t="s">
        <v>794</v>
      </c>
      <c r="M85" s="367"/>
      <c r="N85" s="416" t="s">
        <v>504</v>
      </c>
      <c r="O85" s="126"/>
      <c r="P85" s="126"/>
      <c r="Q85" s="416" t="s">
        <v>6</v>
      </c>
      <c r="R85" s="416" t="s">
        <v>6</v>
      </c>
      <c r="S85" s="40" t="s">
        <v>6</v>
      </c>
      <c r="T85" s="40"/>
      <c r="U85" s="206" t="s">
        <v>795</v>
      </c>
      <c r="V85" s="206"/>
      <c r="W85" s="412" t="s">
        <v>125</v>
      </c>
      <c r="X85" s="59"/>
      <c r="Y85" s="59"/>
      <c r="Z85" s="59"/>
      <c r="AA85" s="40" t="s">
        <v>6</v>
      </c>
      <c r="AB85" s="413"/>
      <c r="AC85" s="413"/>
      <c r="AD85" s="413"/>
      <c r="AE85" s="412" t="s">
        <v>125</v>
      </c>
      <c r="AF85" s="59"/>
      <c r="AG85" s="59"/>
      <c r="AH85" s="59"/>
      <c r="AI85" s="40" t="s">
        <v>6</v>
      </c>
      <c r="AJ85" s="413"/>
      <c r="AK85" s="413"/>
      <c r="AL85" s="413"/>
      <c r="AM85" s="43"/>
      <c r="AN85" s="19"/>
      <c r="AO85" s="15"/>
      <c r="AP85" s="15"/>
      <c r="AQ85" s="15"/>
      <c r="AR85" s="15"/>
      <c r="AS85" s="15"/>
      <c r="AT85" s="15"/>
      <c r="AU85" s="15"/>
      <c r="AV85" s="13"/>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row>
    <row r="86" spans="1:87" ht="15">
      <c r="A86" s="451">
        <f t="shared" si="0"/>
        <v>80</v>
      </c>
      <c r="B86" s="62"/>
      <c r="C86" s="62"/>
      <c r="D86" s="62"/>
      <c r="E86" s="62"/>
      <c r="F86" s="62"/>
      <c r="G86" s="62"/>
      <c r="H86" s="62"/>
      <c r="I86" s="62"/>
      <c r="J86" s="499" t="s">
        <v>821</v>
      </c>
      <c r="K86" s="63"/>
      <c r="L86" s="63"/>
      <c r="M86" s="63"/>
      <c r="N86" s="64"/>
      <c r="O86" s="63"/>
      <c r="P86" s="63"/>
      <c r="Q86" s="64"/>
      <c r="R86" s="64"/>
      <c r="S86" s="64"/>
      <c r="T86" s="64"/>
      <c r="U86" s="311"/>
      <c r="V86" s="311"/>
      <c r="W86" s="63"/>
      <c r="X86" s="63"/>
      <c r="Y86" s="63"/>
      <c r="Z86" s="63"/>
      <c r="AA86" s="63"/>
      <c r="AB86" s="312"/>
      <c r="AC86" s="63"/>
      <c r="AD86" s="63"/>
      <c r="AE86" s="63"/>
      <c r="AF86" s="63"/>
      <c r="AG86" s="63"/>
      <c r="AH86" s="63"/>
      <c r="AI86" s="63"/>
      <c r="AJ86" s="312"/>
      <c r="AK86" s="63"/>
      <c r="AL86" s="63"/>
      <c r="AM86" s="63"/>
      <c r="AN86" s="63"/>
      <c r="AO86" s="63"/>
      <c r="AP86" s="63"/>
      <c r="AQ86" s="63"/>
      <c r="AR86" s="63"/>
      <c r="AS86" s="63"/>
      <c r="AT86" s="63"/>
      <c r="AU86" s="63"/>
      <c r="AV86" s="63"/>
      <c r="AW86" s="18">
        <f t="shared" si="1"/>
        <v>0</v>
      </c>
    </row>
    <row r="87" spans="1:87" s="20" customFormat="1" ht="15">
      <c r="A87" s="40">
        <f t="shared" si="0"/>
        <v>81</v>
      </c>
      <c r="B87" s="59"/>
      <c r="C87" s="59"/>
      <c r="D87" s="59"/>
      <c r="E87" s="59"/>
      <c r="F87" s="59"/>
      <c r="G87" s="59"/>
      <c r="H87" s="59"/>
      <c r="I87" s="59"/>
      <c r="J87" s="59" t="s">
        <v>2289</v>
      </c>
      <c r="K87" s="204" t="s">
        <v>163</v>
      </c>
      <c r="L87" s="277" t="s">
        <v>2290</v>
      </c>
      <c r="M87" s="277"/>
      <c r="N87" s="13" t="s">
        <v>1502</v>
      </c>
      <c r="O87" s="13"/>
      <c r="P87" s="13"/>
      <c r="Q87" s="40" t="s">
        <v>6</v>
      </c>
      <c r="R87" s="40"/>
      <c r="S87" s="40"/>
      <c r="T87" s="404" t="s">
        <v>6</v>
      </c>
      <c r="U87" s="204"/>
      <c r="V87" s="204"/>
      <c r="W87" s="204" t="s">
        <v>163</v>
      </c>
      <c r="X87" s="13"/>
      <c r="Y87" s="13" t="s">
        <v>833</v>
      </c>
      <c r="Z87" s="59"/>
      <c r="AA87" s="59"/>
      <c r="AB87" s="15"/>
      <c r="AC87" s="59"/>
      <c r="AD87" s="59"/>
      <c r="AE87" s="204" t="s">
        <v>163</v>
      </c>
      <c r="AF87" s="13"/>
      <c r="AG87" s="13" t="s">
        <v>833</v>
      </c>
      <c r="AH87" s="59"/>
      <c r="AI87" s="59"/>
      <c r="AJ87" s="15"/>
      <c r="AK87" s="59"/>
      <c r="AL87" s="59"/>
      <c r="AM87" s="59"/>
      <c r="AN87" s="59"/>
      <c r="AO87" s="59"/>
      <c r="AP87" s="59"/>
      <c r="AQ87" s="59"/>
      <c r="AR87" s="59"/>
      <c r="AS87" s="59"/>
      <c r="AT87" s="59"/>
      <c r="AU87" s="59"/>
      <c r="AV87" s="59"/>
      <c r="AW87" s="18">
        <f t="shared" si="1"/>
        <v>28</v>
      </c>
    </row>
    <row r="88" spans="1:87" ht="15">
      <c r="J88" s="398"/>
      <c r="K88" s="54"/>
      <c r="L88" s="398"/>
      <c r="M88" s="544"/>
      <c r="N88" s="82"/>
      <c r="O88" s="54"/>
      <c r="P88" s="54"/>
      <c r="Q88" s="54"/>
      <c r="R88" s="54"/>
      <c r="S88" s="54"/>
      <c r="T88" s="54"/>
      <c r="U88" s="54"/>
      <c r="V88" s="54"/>
      <c r="W88" s="54"/>
      <c r="X88" s="54"/>
      <c r="Y88" s="54"/>
      <c r="Z88" s="54"/>
      <c r="AA88" s="55"/>
      <c r="AB88" s="55"/>
      <c r="AC88" s="55"/>
      <c r="AD88" s="55"/>
      <c r="AE88" s="54"/>
      <c r="AF88" s="54"/>
      <c r="AG88" s="54"/>
      <c r="AH88" s="54"/>
      <c r="AI88" s="55"/>
      <c r="AJ88" s="54"/>
      <c r="AW88" s="18">
        <f t="shared" si="1"/>
        <v>0</v>
      </c>
    </row>
    <row r="89" spans="1:87" ht="15">
      <c r="J89" s="398"/>
      <c r="K89" s="54"/>
      <c r="L89" s="398"/>
      <c r="M89" s="544"/>
      <c r="N89" s="82"/>
      <c r="O89" s="54"/>
      <c r="P89" s="54"/>
      <c r="Q89" s="54"/>
      <c r="R89" s="54"/>
      <c r="S89" s="54"/>
      <c r="T89" s="54"/>
      <c r="U89" s="54"/>
      <c r="V89" s="54"/>
      <c r="W89" s="54"/>
      <c r="X89" s="54"/>
      <c r="Y89" s="54"/>
      <c r="Z89" s="54"/>
      <c r="AA89" s="55"/>
      <c r="AB89" s="55"/>
      <c r="AC89" s="55"/>
      <c r="AD89" s="55"/>
      <c r="AE89" s="54"/>
      <c r="AF89" s="54"/>
      <c r="AG89" s="54"/>
      <c r="AH89" s="54"/>
      <c r="AI89" s="55"/>
      <c r="AJ89" s="54"/>
      <c r="AW89" s="18">
        <f t="shared" si="1"/>
        <v>0</v>
      </c>
    </row>
    <row r="90" spans="1:87" ht="15">
      <c r="J90" s="398"/>
      <c r="K90" s="54"/>
      <c r="L90" s="398"/>
      <c r="M90" s="544"/>
      <c r="N90" s="82"/>
      <c r="O90" s="54"/>
      <c r="P90" s="54"/>
      <c r="Q90" s="54"/>
      <c r="R90" s="54"/>
      <c r="S90" s="54"/>
      <c r="T90" s="54"/>
      <c r="U90" s="54"/>
      <c r="V90" s="54"/>
      <c r="W90" s="54"/>
      <c r="X90" s="54"/>
      <c r="Y90" s="54"/>
      <c r="Z90" s="54"/>
      <c r="AA90" s="55"/>
      <c r="AB90" s="55"/>
      <c r="AC90" s="55"/>
      <c r="AD90" s="55"/>
      <c r="AE90" s="54"/>
      <c r="AF90" s="54"/>
      <c r="AG90" s="54"/>
      <c r="AH90" s="54"/>
      <c r="AI90" s="55"/>
      <c r="AJ90" s="54"/>
      <c r="AW90" s="18">
        <f t="shared" si="1"/>
        <v>0</v>
      </c>
    </row>
    <row r="91" spans="1:87" ht="15">
      <c r="J91" s="398"/>
      <c r="K91" s="54"/>
      <c r="L91" s="398"/>
      <c r="M91" s="544"/>
      <c r="N91" s="82"/>
      <c r="O91" s="54"/>
      <c r="P91" s="54"/>
      <c r="Q91" s="54"/>
      <c r="R91" s="54"/>
      <c r="S91" s="54"/>
      <c r="T91" s="54"/>
      <c r="U91" s="54"/>
      <c r="V91" s="54"/>
      <c r="W91" s="54"/>
      <c r="X91" s="54"/>
      <c r="Y91" s="54"/>
      <c r="Z91" s="54"/>
      <c r="AA91" s="55"/>
      <c r="AB91" s="55"/>
      <c r="AC91" s="55"/>
      <c r="AD91" s="55"/>
      <c r="AE91" s="54"/>
      <c r="AF91" s="54"/>
      <c r="AG91" s="54"/>
      <c r="AH91" s="54"/>
      <c r="AI91" s="55"/>
      <c r="AJ91" s="54"/>
      <c r="AW91" s="18">
        <f t="shared" si="1"/>
        <v>0</v>
      </c>
    </row>
    <row r="92" spans="1:87" ht="15">
      <c r="J92" s="398"/>
      <c r="K92" s="54"/>
      <c r="L92" s="398"/>
      <c r="M92" s="544"/>
      <c r="N92" s="82"/>
      <c r="O92" s="54"/>
      <c r="P92" s="54"/>
      <c r="Q92" s="54"/>
      <c r="R92" s="54"/>
      <c r="S92" s="54"/>
      <c r="T92" s="54"/>
      <c r="U92" s="54"/>
      <c r="V92" s="54"/>
      <c r="W92" s="54"/>
      <c r="X92" s="54"/>
      <c r="Y92" s="54"/>
      <c r="Z92" s="54"/>
      <c r="AA92" s="55"/>
      <c r="AB92" s="55"/>
      <c r="AC92" s="55"/>
      <c r="AD92" s="55"/>
      <c r="AE92" s="54"/>
      <c r="AF92" s="54"/>
      <c r="AG92" s="54"/>
      <c r="AH92" s="54"/>
      <c r="AI92" s="55"/>
      <c r="AJ92" s="54"/>
      <c r="AW92" s="18">
        <f t="shared" si="1"/>
        <v>0</v>
      </c>
    </row>
    <row r="93" spans="1:87" ht="15">
      <c r="J93" s="398"/>
      <c r="K93" s="54"/>
      <c r="L93" s="398"/>
      <c r="M93" s="544"/>
      <c r="N93" s="82"/>
      <c r="O93" s="54"/>
      <c r="P93" s="54"/>
      <c r="Q93" s="54"/>
      <c r="R93" s="54"/>
      <c r="S93" s="54"/>
      <c r="T93" s="54"/>
      <c r="U93" s="54"/>
      <c r="V93" s="54"/>
      <c r="W93" s="54"/>
      <c r="X93" s="54"/>
      <c r="Y93" s="54"/>
      <c r="Z93" s="54"/>
      <c r="AA93" s="55"/>
      <c r="AB93" s="55"/>
      <c r="AC93" s="55"/>
      <c r="AD93" s="55"/>
      <c r="AE93" s="54"/>
      <c r="AF93" s="54"/>
      <c r="AG93" s="54"/>
      <c r="AH93" s="54"/>
      <c r="AI93" s="55"/>
      <c r="AJ93" s="54"/>
      <c r="AW93" s="18">
        <f t="shared" si="1"/>
        <v>0</v>
      </c>
    </row>
    <row r="94" spans="1:87" ht="15">
      <c r="J94" s="398"/>
      <c r="K94" s="54"/>
      <c r="L94" s="398"/>
      <c r="M94" s="544"/>
      <c r="N94" s="82"/>
      <c r="O94" s="54"/>
      <c r="P94" s="54"/>
      <c r="Q94" s="54"/>
      <c r="R94" s="54"/>
      <c r="S94" s="54"/>
      <c r="T94" s="54"/>
      <c r="U94" s="54"/>
      <c r="V94" s="54"/>
      <c r="W94" s="54"/>
      <c r="X94" s="54"/>
      <c r="Y94" s="54"/>
      <c r="Z94" s="54"/>
      <c r="AA94" s="55"/>
      <c r="AB94" s="55"/>
      <c r="AC94" s="55"/>
      <c r="AD94" s="55"/>
      <c r="AE94" s="54"/>
      <c r="AF94" s="54"/>
      <c r="AG94" s="54"/>
      <c r="AH94" s="54"/>
      <c r="AI94" s="55"/>
      <c r="AJ94" s="54"/>
      <c r="AW94" s="18">
        <f t="shared" si="1"/>
        <v>0</v>
      </c>
    </row>
    <row r="95" spans="1:87" ht="15">
      <c r="J95" s="398"/>
      <c r="K95" s="54"/>
      <c r="L95" s="398"/>
      <c r="M95" s="544"/>
      <c r="N95" s="82"/>
      <c r="O95" s="54"/>
      <c r="P95" s="54"/>
      <c r="Q95" s="54"/>
      <c r="R95" s="54"/>
      <c r="S95" s="54"/>
      <c r="T95" s="54"/>
      <c r="U95" s="54"/>
      <c r="V95" s="54"/>
      <c r="W95" s="54"/>
      <c r="X95" s="54"/>
      <c r="Y95" s="54"/>
      <c r="Z95" s="54"/>
      <c r="AA95" s="55"/>
      <c r="AB95" s="55"/>
      <c r="AC95" s="55"/>
      <c r="AD95" s="55"/>
      <c r="AE95" s="54"/>
      <c r="AF95" s="54"/>
      <c r="AG95" s="54"/>
      <c r="AH95" s="54"/>
      <c r="AI95" s="55"/>
      <c r="AJ95" s="54"/>
      <c r="AW95" s="18">
        <f t="shared" si="1"/>
        <v>0</v>
      </c>
    </row>
    <row r="96" spans="1:87" ht="15">
      <c r="J96" s="398"/>
      <c r="K96" s="54"/>
      <c r="L96" s="398"/>
      <c r="M96" s="544"/>
      <c r="N96" s="82"/>
      <c r="O96" s="54"/>
      <c r="P96" s="54"/>
      <c r="Q96" s="54"/>
      <c r="R96" s="54"/>
      <c r="S96" s="54"/>
      <c r="T96" s="54"/>
      <c r="U96" s="54"/>
      <c r="V96" s="54"/>
      <c r="W96" s="54"/>
      <c r="X96" s="54"/>
      <c r="Y96" s="54"/>
      <c r="Z96" s="54"/>
      <c r="AA96" s="55"/>
      <c r="AB96" s="55"/>
      <c r="AC96" s="55"/>
      <c r="AD96" s="55"/>
      <c r="AE96" s="54"/>
      <c r="AF96" s="54"/>
      <c r="AG96" s="54"/>
      <c r="AH96" s="54"/>
      <c r="AI96" s="55"/>
      <c r="AJ96" s="54"/>
      <c r="AW96" s="18">
        <f t="shared" si="1"/>
        <v>0</v>
      </c>
    </row>
    <row r="97" spans="10:49" ht="15">
      <c r="J97" s="398"/>
      <c r="K97" s="54"/>
      <c r="L97" s="398"/>
      <c r="M97" s="544"/>
      <c r="N97" s="82"/>
      <c r="O97" s="54"/>
      <c r="P97" s="54"/>
      <c r="Q97" s="54"/>
      <c r="R97" s="54"/>
      <c r="S97" s="54"/>
      <c r="T97" s="54"/>
      <c r="U97" s="54"/>
      <c r="V97" s="54"/>
      <c r="W97" s="54"/>
      <c r="X97" s="54"/>
      <c r="Y97" s="54"/>
      <c r="Z97" s="54"/>
      <c r="AA97" s="55"/>
      <c r="AB97" s="55"/>
      <c r="AC97" s="55"/>
      <c r="AD97" s="55"/>
      <c r="AE97" s="54"/>
      <c r="AF97" s="54"/>
      <c r="AG97" s="54"/>
      <c r="AH97" s="54"/>
      <c r="AI97" s="55"/>
      <c r="AJ97" s="54"/>
      <c r="AW97" s="18">
        <f t="shared" si="1"/>
        <v>0</v>
      </c>
    </row>
    <row r="98" spans="10:49" ht="15">
      <c r="J98" s="398"/>
      <c r="K98" s="54"/>
      <c r="L98" s="398"/>
      <c r="M98" s="544"/>
      <c r="N98" s="82"/>
      <c r="O98" s="54"/>
      <c r="P98" s="54"/>
      <c r="Q98" s="54"/>
      <c r="R98" s="54"/>
      <c r="S98" s="54"/>
      <c r="T98" s="54"/>
      <c r="U98" s="54"/>
      <c r="V98" s="54"/>
      <c r="W98" s="54"/>
      <c r="X98" s="54"/>
      <c r="Y98" s="54"/>
      <c r="Z98" s="54"/>
      <c r="AA98" s="55"/>
      <c r="AB98" s="55"/>
      <c r="AC98" s="55"/>
      <c r="AD98" s="55"/>
      <c r="AE98" s="54"/>
      <c r="AF98" s="54"/>
      <c r="AG98" s="54"/>
      <c r="AH98" s="54"/>
      <c r="AI98" s="55"/>
      <c r="AJ98" s="54"/>
      <c r="AW98" s="18">
        <f t="shared" si="1"/>
        <v>0</v>
      </c>
    </row>
    <row r="99" spans="10:49" ht="15">
      <c r="J99" s="398"/>
      <c r="K99" s="54"/>
      <c r="L99" s="398"/>
      <c r="M99" s="544"/>
      <c r="N99" s="82"/>
      <c r="O99" s="54"/>
      <c r="P99" s="54"/>
      <c r="Q99" s="54"/>
      <c r="R99" s="54"/>
      <c r="S99" s="54"/>
      <c r="T99" s="54"/>
      <c r="U99" s="54"/>
      <c r="V99" s="54"/>
      <c r="W99" s="54"/>
      <c r="X99" s="54"/>
      <c r="Y99" s="54"/>
      <c r="Z99" s="54"/>
      <c r="AA99" s="55"/>
      <c r="AB99" s="55"/>
      <c r="AC99" s="55"/>
      <c r="AD99" s="55"/>
      <c r="AE99" s="54"/>
      <c r="AF99" s="54"/>
      <c r="AG99" s="54"/>
      <c r="AH99" s="54"/>
      <c r="AI99" s="55"/>
      <c r="AJ99" s="54"/>
      <c r="AW99" s="18">
        <f t="shared" si="1"/>
        <v>0</v>
      </c>
    </row>
    <row r="100" spans="10:49" ht="15">
      <c r="J100" s="398"/>
      <c r="K100" s="54"/>
      <c r="L100" s="398"/>
      <c r="M100" s="544"/>
      <c r="N100" s="82"/>
      <c r="O100" s="54"/>
      <c r="P100" s="54"/>
      <c r="Q100" s="54"/>
      <c r="R100" s="54"/>
      <c r="S100" s="54"/>
      <c r="T100" s="54"/>
      <c r="U100" s="54"/>
      <c r="V100" s="54"/>
      <c r="W100" s="54"/>
      <c r="X100" s="54"/>
      <c r="Y100" s="54"/>
      <c r="Z100" s="54"/>
      <c r="AA100" s="55"/>
      <c r="AB100" s="55"/>
      <c r="AC100" s="55"/>
      <c r="AD100" s="55"/>
      <c r="AE100" s="54"/>
      <c r="AF100" s="54"/>
      <c r="AG100" s="54"/>
      <c r="AH100" s="54"/>
      <c r="AI100" s="55"/>
      <c r="AJ100" s="54"/>
      <c r="AW100" s="18">
        <f t="shared" si="1"/>
        <v>0</v>
      </c>
    </row>
    <row r="101" spans="10:49" ht="15">
      <c r="J101" s="398"/>
      <c r="K101" s="54"/>
      <c r="L101" s="398"/>
      <c r="M101" s="544"/>
      <c r="N101" s="82"/>
      <c r="O101" s="54"/>
      <c r="P101" s="54"/>
      <c r="Q101" s="54"/>
      <c r="R101" s="54"/>
      <c r="S101" s="54"/>
      <c r="T101" s="54"/>
      <c r="U101" s="54"/>
      <c r="V101" s="54"/>
      <c r="W101" s="54"/>
      <c r="X101" s="54"/>
      <c r="Y101" s="54"/>
      <c r="Z101" s="54"/>
      <c r="AA101" s="55"/>
      <c r="AB101" s="55"/>
      <c r="AC101" s="55"/>
      <c r="AD101" s="55"/>
      <c r="AE101" s="54"/>
      <c r="AF101" s="54"/>
      <c r="AG101" s="54"/>
      <c r="AH101" s="54"/>
      <c r="AI101" s="55"/>
      <c r="AJ101" s="54"/>
      <c r="AW101" s="18">
        <f t="shared" si="1"/>
        <v>0</v>
      </c>
    </row>
    <row r="102" spans="10:49" ht="15">
      <c r="J102" s="398"/>
      <c r="K102" s="54"/>
      <c r="L102" s="398"/>
      <c r="M102" s="544"/>
      <c r="N102" s="82"/>
      <c r="O102" s="54"/>
      <c r="P102" s="54"/>
      <c r="Q102" s="54"/>
      <c r="R102" s="54"/>
      <c r="S102" s="54"/>
      <c r="T102" s="54"/>
      <c r="U102" s="54"/>
      <c r="V102" s="54"/>
      <c r="W102" s="54"/>
      <c r="X102" s="54"/>
      <c r="Y102" s="54"/>
      <c r="Z102" s="54"/>
      <c r="AA102" s="55"/>
      <c r="AB102" s="55"/>
      <c r="AC102" s="55"/>
      <c r="AD102" s="55"/>
      <c r="AE102" s="54"/>
      <c r="AF102" s="54"/>
      <c r="AG102" s="54"/>
      <c r="AH102" s="54"/>
      <c r="AI102" s="55"/>
      <c r="AJ102" s="54"/>
      <c r="AW102" s="18">
        <f t="shared" ref="AW102:AW165" si="4">LEN(L102)</f>
        <v>0</v>
      </c>
    </row>
    <row r="103" spans="10:49" ht="15">
      <c r="J103" s="398"/>
      <c r="K103" s="54"/>
      <c r="L103" s="398"/>
      <c r="M103" s="544"/>
      <c r="N103" s="82"/>
      <c r="O103" s="54"/>
      <c r="P103" s="54"/>
      <c r="Q103" s="54"/>
      <c r="R103" s="54"/>
      <c r="S103" s="54"/>
      <c r="T103" s="54"/>
      <c r="U103" s="54"/>
      <c r="V103" s="54"/>
      <c r="W103" s="54"/>
      <c r="X103" s="54"/>
      <c r="Y103" s="54"/>
      <c r="Z103" s="54"/>
      <c r="AA103" s="55"/>
      <c r="AB103" s="55"/>
      <c r="AC103" s="55"/>
      <c r="AD103" s="55"/>
      <c r="AE103" s="54"/>
      <c r="AF103" s="54"/>
      <c r="AG103" s="54"/>
      <c r="AH103" s="54"/>
      <c r="AI103" s="55"/>
      <c r="AJ103" s="54"/>
      <c r="AW103" s="18">
        <f t="shared" si="4"/>
        <v>0</v>
      </c>
    </row>
    <row r="104" spans="10:49" ht="15">
      <c r="J104" s="398"/>
      <c r="K104" s="54"/>
      <c r="L104" s="398"/>
      <c r="M104" s="544"/>
      <c r="N104" s="82"/>
      <c r="O104" s="54"/>
      <c r="P104" s="54"/>
      <c r="Q104" s="54"/>
      <c r="R104" s="54"/>
      <c r="S104" s="54"/>
      <c r="T104" s="54"/>
      <c r="U104" s="54"/>
      <c r="V104" s="54"/>
      <c r="W104" s="54"/>
      <c r="X104" s="54"/>
      <c r="Y104" s="54"/>
      <c r="Z104" s="54"/>
      <c r="AA104" s="55"/>
      <c r="AB104" s="55"/>
      <c r="AC104" s="55"/>
      <c r="AD104" s="55"/>
      <c r="AE104" s="54"/>
      <c r="AF104" s="54"/>
      <c r="AG104" s="54"/>
      <c r="AH104" s="54"/>
      <c r="AI104" s="55"/>
      <c r="AJ104" s="54"/>
      <c r="AW104" s="18">
        <f t="shared" si="4"/>
        <v>0</v>
      </c>
    </row>
    <row r="105" spans="10:49" ht="15">
      <c r="J105" s="398"/>
      <c r="K105" s="54"/>
      <c r="L105" s="398"/>
      <c r="M105" s="544"/>
      <c r="N105" s="82"/>
      <c r="O105" s="54"/>
      <c r="P105" s="54"/>
      <c r="Q105" s="54"/>
      <c r="R105" s="54"/>
      <c r="S105" s="54"/>
      <c r="T105" s="54"/>
      <c r="U105" s="54"/>
      <c r="V105" s="54"/>
      <c r="W105" s="54"/>
      <c r="X105" s="54"/>
      <c r="Y105" s="54"/>
      <c r="Z105" s="54"/>
      <c r="AA105" s="55"/>
      <c r="AB105" s="55"/>
      <c r="AC105" s="55"/>
      <c r="AD105" s="55"/>
      <c r="AE105" s="54"/>
      <c r="AF105" s="54"/>
      <c r="AG105" s="54"/>
      <c r="AH105" s="54"/>
      <c r="AI105" s="55"/>
      <c r="AJ105" s="54"/>
      <c r="AW105" s="18">
        <f t="shared" si="4"/>
        <v>0</v>
      </c>
    </row>
    <row r="106" spans="10:49" ht="15">
      <c r="J106" s="398"/>
      <c r="K106" s="54"/>
      <c r="L106" s="398"/>
      <c r="M106" s="544"/>
      <c r="N106" s="82"/>
      <c r="O106" s="54"/>
      <c r="P106" s="54"/>
      <c r="Q106" s="54"/>
      <c r="R106" s="54"/>
      <c r="S106" s="54"/>
      <c r="T106" s="54"/>
      <c r="U106" s="54"/>
      <c r="V106" s="54"/>
      <c r="W106" s="54"/>
      <c r="X106" s="54"/>
      <c r="Y106" s="54"/>
      <c r="Z106" s="54"/>
      <c r="AA106" s="55"/>
      <c r="AB106" s="55"/>
      <c r="AC106" s="55"/>
      <c r="AD106" s="55"/>
      <c r="AE106" s="54"/>
      <c r="AF106" s="54"/>
      <c r="AG106" s="54"/>
      <c r="AH106" s="54"/>
      <c r="AI106" s="55"/>
      <c r="AJ106" s="54"/>
      <c r="AW106" s="18">
        <f t="shared" si="4"/>
        <v>0</v>
      </c>
    </row>
    <row r="107" spans="10:49" ht="15">
      <c r="J107" s="398"/>
      <c r="K107" s="54"/>
      <c r="L107" s="398"/>
      <c r="M107" s="544"/>
      <c r="N107" s="82"/>
      <c r="O107" s="54"/>
      <c r="P107" s="54"/>
      <c r="Q107" s="54"/>
      <c r="R107" s="54"/>
      <c r="S107" s="54"/>
      <c r="T107" s="54"/>
      <c r="U107" s="54"/>
      <c r="V107" s="54"/>
      <c r="W107" s="54"/>
      <c r="X107" s="54"/>
      <c r="Y107" s="54"/>
      <c r="Z107" s="54"/>
      <c r="AA107" s="55"/>
      <c r="AB107" s="55"/>
      <c r="AC107" s="55"/>
      <c r="AD107" s="55"/>
      <c r="AE107" s="54"/>
      <c r="AF107" s="54"/>
      <c r="AG107" s="54"/>
      <c r="AH107" s="54"/>
      <c r="AI107" s="55"/>
      <c r="AJ107" s="54"/>
      <c r="AW107" s="18">
        <f t="shared" si="4"/>
        <v>0</v>
      </c>
    </row>
    <row r="108" spans="10:49" ht="15">
      <c r="J108" s="398"/>
      <c r="K108" s="54"/>
      <c r="L108" s="398"/>
      <c r="M108" s="544"/>
      <c r="N108" s="82"/>
      <c r="O108" s="54"/>
      <c r="P108" s="54"/>
      <c r="Q108" s="54"/>
      <c r="R108" s="54"/>
      <c r="S108" s="54"/>
      <c r="T108" s="54"/>
      <c r="U108" s="54"/>
      <c r="V108" s="54"/>
      <c r="W108" s="54"/>
      <c r="X108" s="54"/>
      <c r="Y108" s="54"/>
      <c r="Z108" s="54"/>
      <c r="AA108" s="55"/>
      <c r="AB108" s="55"/>
      <c r="AC108" s="55"/>
      <c r="AD108" s="55"/>
      <c r="AE108" s="54"/>
      <c r="AF108" s="54"/>
      <c r="AG108" s="54"/>
      <c r="AH108" s="54"/>
      <c r="AI108" s="55"/>
      <c r="AJ108" s="54"/>
      <c r="AW108" s="18">
        <f t="shared" si="4"/>
        <v>0</v>
      </c>
    </row>
    <row r="109" spans="10:49" ht="15">
      <c r="J109" s="398"/>
      <c r="K109" s="54"/>
      <c r="L109" s="398"/>
      <c r="M109" s="544"/>
      <c r="N109" s="82"/>
      <c r="O109" s="54"/>
      <c r="P109" s="54"/>
      <c r="Q109" s="54"/>
      <c r="R109" s="54"/>
      <c r="S109" s="54"/>
      <c r="T109" s="54"/>
      <c r="U109" s="54"/>
      <c r="V109" s="54"/>
      <c r="W109" s="54"/>
      <c r="X109" s="54"/>
      <c r="Y109" s="54"/>
      <c r="Z109" s="54"/>
      <c r="AA109" s="55"/>
      <c r="AB109" s="55"/>
      <c r="AC109" s="55"/>
      <c r="AD109" s="55"/>
      <c r="AE109" s="54"/>
      <c r="AF109" s="54"/>
      <c r="AG109" s="54"/>
      <c r="AH109" s="54"/>
      <c r="AI109" s="55"/>
      <c r="AJ109" s="54"/>
      <c r="AW109" s="18">
        <f t="shared" si="4"/>
        <v>0</v>
      </c>
    </row>
    <row r="110" spans="10:49" ht="15">
      <c r="J110" s="398"/>
      <c r="K110" s="54"/>
      <c r="L110" s="398"/>
      <c r="M110" s="544"/>
      <c r="N110" s="82"/>
      <c r="O110" s="54"/>
      <c r="P110" s="54"/>
      <c r="Q110" s="54"/>
      <c r="R110" s="54"/>
      <c r="S110" s="54"/>
      <c r="T110" s="54"/>
      <c r="U110" s="54"/>
      <c r="V110" s="54"/>
      <c r="W110" s="54"/>
      <c r="X110" s="54"/>
      <c r="Y110" s="54"/>
      <c r="Z110" s="54"/>
      <c r="AA110" s="55"/>
      <c r="AB110" s="55"/>
      <c r="AC110" s="55"/>
      <c r="AD110" s="55"/>
      <c r="AE110" s="54"/>
      <c r="AF110" s="54"/>
      <c r="AG110" s="54"/>
      <c r="AH110" s="54"/>
      <c r="AI110" s="55"/>
      <c r="AJ110" s="54"/>
      <c r="AW110" s="18">
        <f t="shared" si="4"/>
        <v>0</v>
      </c>
    </row>
    <row r="111" spans="10:49" ht="15">
      <c r="J111" s="398"/>
      <c r="K111" s="54"/>
      <c r="L111" s="398"/>
      <c r="M111" s="544"/>
      <c r="N111" s="82"/>
      <c r="O111" s="54"/>
      <c r="P111" s="54"/>
      <c r="Q111" s="54"/>
      <c r="R111" s="54"/>
      <c r="S111" s="54"/>
      <c r="T111" s="54"/>
      <c r="U111" s="54"/>
      <c r="V111" s="54"/>
      <c r="W111" s="54"/>
      <c r="X111" s="54"/>
      <c r="Y111" s="54"/>
      <c r="Z111" s="54"/>
      <c r="AA111" s="55"/>
      <c r="AB111" s="55"/>
      <c r="AC111" s="55"/>
      <c r="AD111" s="55"/>
      <c r="AE111" s="54"/>
      <c r="AF111" s="54"/>
      <c r="AG111" s="54"/>
      <c r="AH111" s="54"/>
      <c r="AI111" s="55"/>
      <c r="AJ111" s="54"/>
      <c r="AW111" s="18">
        <f t="shared" si="4"/>
        <v>0</v>
      </c>
    </row>
    <row r="112" spans="10:49" ht="15">
      <c r="J112" s="398"/>
      <c r="K112" s="54"/>
      <c r="L112" s="398"/>
      <c r="M112" s="544"/>
      <c r="N112" s="82"/>
      <c r="O112" s="54"/>
      <c r="P112" s="54"/>
      <c r="Q112" s="54"/>
      <c r="R112" s="54"/>
      <c r="S112" s="54"/>
      <c r="T112" s="54"/>
      <c r="U112" s="54"/>
      <c r="V112" s="54"/>
      <c r="W112" s="54"/>
      <c r="X112" s="54"/>
      <c r="Y112" s="54"/>
      <c r="Z112" s="54"/>
      <c r="AA112" s="55"/>
      <c r="AB112" s="55"/>
      <c r="AC112" s="55"/>
      <c r="AD112" s="55"/>
      <c r="AE112" s="54"/>
      <c r="AF112" s="54"/>
      <c r="AG112" s="54"/>
      <c r="AH112" s="54"/>
      <c r="AI112" s="55"/>
      <c r="AJ112" s="54"/>
      <c r="AW112" s="18">
        <f t="shared" si="4"/>
        <v>0</v>
      </c>
    </row>
    <row r="113" spans="10:49" ht="15">
      <c r="J113" s="398"/>
      <c r="K113" s="54"/>
      <c r="L113" s="398"/>
      <c r="M113" s="544"/>
      <c r="N113" s="82"/>
      <c r="O113" s="54"/>
      <c r="P113" s="54"/>
      <c r="Q113" s="54"/>
      <c r="R113" s="54"/>
      <c r="S113" s="54"/>
      <c r="T113" s="54"/>
      <c r="U113" s="54"/>
      <c r="V113" s="54"/>
      <c r="W113" s="54"/>
      <c r="X113" s="54"/>
      <c r="Y113" s="54"/>
      <c r="Z113" s="54"/>
      <c r="AA113" s="55"/>
      <c r="AB113" s="55"/>
      <c r="AC113" s="55"/>
      <c r="AD113" s="55"/>
      <c r="AE113" s="54"/>
      <c r="AF113" s="54"/>
      <c r="AG113" s="54"/>
      <c r="AH113" s="54"/>
      <c r="AI113" s="55"/>
      <c r="AJ113" s="54"/>
      <c r="AW113" s="18">
        <f t="shared" si="4"/>
        <v>0</v>
      </c>
    </row>
    <row r="114" spans="10:49" ht="15">
      <c r="J114" s="398"/>
      <c r="K114" s="54"/>
      <c r="L114" s="398"/>
      <c r="M114" s="544"/>
      <c r="N114" s="82"/>
      <c r="O114" s="54"/>
      <c r="P114" s="54"/>
      <c r="Q114" s="54"/>
      <c r="R114" s="54"/>
      <c r="S114" s="54"/>
      <c r="T114" s="54"/>
      <c r="U114" s="54"/>
      <c r="V114" s="54"/>
      <c r="W114" s="54"/>
      <c r="X114" s="54"/>
      <c r="Y114" s="54"/>
      <c r="Z114" s="54"/>
      <c r="AA114" s="55"/>
      <c r="AB114" s="55"/>
      <c r="AC114" s="55"/>
      <c r="AD114" s="55"/>
      <c r="AE114" s="54"/>
      <c r="AF114" s="54"/>
      <c r="AG114" s="54"/>
      <c r="AH114" s="54"/>
      <c r="AI114" s="55"/>
      <c r="AJ114" s="54"/>
      <c r="AW114" s="18">
        <f t="shared" si="4"/>
        <v>0</v>
      </c>
    </row>
    <row r="115" spans="10:49" ht="15">
      <c r="J115" s="398"/>
      <c r="K115" s="54"/>
      <c r="L115" s="398"/>
      <c r="M115" s="544"/>
      <c r="N115" s="82"/>
      <c r="O115" s="54"/>
      <c r="P115" s="54"/>
      <c r="Q115" s="54"/>
      <c r="R115" s="54"/>
      <c r="S115" s="54"/>
      <c r="T115" s="54"/>
      <c r="U115" s="54"/>
      <c r="V115" s="54"/>
      <c r="W115" s="54"/>
      <c r="X115" s="54"/>
      <c r="Y115" s="54"/>
      <c r="Z115" s="54"/>
      <c r="AA115" s="55"/>
      <c r="AB115" s="55"/>
      <c r="AC115" s="55"/>
      <c r="AD115" s="55"/>
      <c r="AE115" s="54"/>
      <c r="AF115" s="54"/>
      <c r="AG115" s="54"/>
      <c r="AH115" s="54"/>
      <c r="AI115" s="55"/>
      <c r="AJ115" s="54"/>
      <c r="AW115" s="18">
        <f t="shared" si="4"/>
        <v>0</v>
      </c>
    </row>
    <row r="116" spans="10:49" ht="15">
      <c r="J116" s="398"/>
      <c r="K116" s="54"/>
      <c r="L116" s="398"/>
      <c r="M116" s="544"/>
      <c r="N116" s="82"/>
      <c r="O116" s="54"/>
      <c r="P116" s="54"/>
      <c r="Q116" s="54"/>
      <c r="R116" s="54"/>
      <c r="S116" s="54"/>
      <c r="T116" s="54"/>
      <c r="U116" s="54"/>
      <c r="V116" s="54"/>
      <c r="W116" s="54"/>
      <c r="X116" s="54"/>
      <c r="Y116" s="54"/>
      <c r="Z116" s="54"/>
      <c r="AA116" s="55"/>
      <c r="AB116" s="55"/>
      <c r="AC116" s="55"/>
      <c r="AD116" s="55"/>
      <c r="AE116" s="54"/>
      <c r="AF116" s="54"/>
      <c r="AG116" s="54"/>
      <c r="AH116" s="54"/>
      <c r="AI116" s="55"/>
      <c r="AJ116" s="54"/>
      <c r="AW116" s="18">
        <f t="shared" si="4"/>
        <v>0</v>
      </c>
    </row>
    <row r="117" spans="10:49" ht="15">
      <c r="J117" s="398"/>
      <c r="K117" s="54"/>
      <c r="L117" s="398"/>
      <c r="M117" s="544"/>
      <c r="N117" s="82"/>
      <c r="O117" s="54"/>
      <c r="P117" s="54"/>
      <c r="Q117" s="54"/>
      <c r="R117" s="54"/>
      <c r="S117" s="54"/>
      <c r="T117" s="54"/>
      <c r="U117" s="54"/>
      <c r="V117" s="54"/>
      <c r="W117" s="54"/>
      <c r="X117" s="54"/>
      <c r="Y117" s="54"/>
      <c r="Z117" s="54"/>
      <c r="AA117" s="55"/>
      <c r="AB117" s="55"/>
      <c r="AC117" s="55"/>
      <c r="AD117" s="55"/>
      <c r="AE117" s="54"/>
      <c r="AF117" s="54"/>
      <c r="AG117" s="54"/>
      <c r="AH117" s="54"/>
      <c r="AI117" s="55"/>
      <c r="AJ117" s="54"/>
      <c r="AW117" s="18">
        <f t="shared" si="4"/>
        <v>0</v>
      </c>
    </row>
    <row r="118" spans="10:49" ht="15">
      <c r="J118" s="398"/>
      <c r="K118" s="54"/>
      <c r="L118" s="398"/>
      <c r="M118" s="544"/>
      <c r="N118" s="82"/>
      <c r="O118" s="54"/>
      <c r="P118" s="54"/>
      <c r="Q118" s="54"/>
      <c r="R118" s="54"/>
      <c r="S118" s="54"/>
      <c r="T118" s="54"/>
      <c r="U118" s="54"/>
      <c r="V118" s="54"/>
      <c r="W118" s="54"/>
      <c r="X118" s="54"/>
      <c r="Y118" s="54"/>
      <c r="Z118" s="54"/>
      <c r="AA118" s="55"/>
      <c r="AB118" s="55"/>
      <c r="AC118" s="55"/>
      <c r="AD118" s="55"/>
      <c r="AE118" s="54"/>
      <c r="AF118" s="54"/>
      <c r="AG118" s="54"/>
      <c r="AH118" s="54"/>
      <c r="AI118" s="55"/>
      <c r="AJ118" s="54"/>
      <c r="AW118" s="18">
        <f t="shared" si="4"/>
        <v>0</v>
      </c>
    </row>
    <row r="119" spans="10:49" ht="15">
      <c r="J119" s="314"/>
      <c r="K119" s="80"/>
      <c r="L119" s="314"/>
      <c r="M119" s="314"/>
      <c r="N119" s="221"/>
      <c r="O119" s="80"/>
      <c r="P119" s="80"/>
      <c r="Q119" s="80"/>
      <c r="R119" s="54"/>
      <c r="S119" s="54"/>
      <c r="T119" s="54"/>
      <c r="U119" s="54"/>
      <c r="V119" s="54"/>
      <c r="W119" s="54"/>
      <c r="X119" s="54"/>
      <c r="Y119" s="54"/>
      <c r="Z119" s="54"/>
      <c r="AA119" s="55"/>
      <c r="AB119" s="55"/>
      <c r="AC119" s="55"/>
      <c r="AD119" s="55"/>
      <c r="AE119" s="54"/>
      <c r="AF119" s="54"/>
      <c r="AG119" s="54"/>
      <c r="AH119" s="54"/>
      <c r="AI119" s="55"/>
      <c r="AJ119" s="54"/>
      <c r="AW119" s="18">
        <f t="shared" si="4"/>
        <v>0</v>
      </c>
    </row>
    <row r="120" spans="10:49" ht="15">
      <c r="J120" s="314"/>
      <c r="K120" s="80"/>
      <c r="L120" s="314"/>
      <c r="M120" s="314"/>
      <c r="N120" s="221"/>
      <c r="O120" s="80"/>
      <c r="P120" s="80"/>
      <c r="Q120" s="80"/>
      <c r="R120" s="54"/>
      <c r="S120" s="54"/>
      <c r="T120" s="54"/>
      <c r="U120" s="54"/>
      <c r="V120" s="54"/>
      <c r="W120" s="54"/>
      <c r="X120" s="54"/>
      <c r="Y120" s="54"/>
      <c r="Z120" s="54"/>
      <c r="AA120" s="55"/>
      <c r="AB120" s="55"/>
      <c r="AC120" s="55"/>
      <c r="AD120" s="55"/>
      <c r="AE120" s="54"/>
      <c r="AF120" s="54"/>
      <c r="AG120" s="54"/>
      <c r="AH120" s="54"/>
      <c r="AI120" s="55"/>
      <c r="AJ120" s="54"/>
      <c r="AW120" s="18">
        <f t="shared" si="4"/>
        <v>0</v>
      </c>
    </row>
    <row r="121" spans="10:49" ht="15">
      <c r="J121" s="314"/>
      <c r="K121" s="80"/>
      <c r="L121" s="314"/>
      <c r="M121" s="314"/>
      <c r="N121" s="221"/>
      <c r="O121" s="80"/>
      <c r="P121" s="80"/>
      <c r="Q121" s="80"/>
      <c r="R121" s="54"/>
      <c r="S121" s="54"/>
      <c r="T121" s="54"/>
      <c r="U121" s="54"/>
      <c r="V121" s="54"/>
      <c r="W121" s="54"/>
      <c r="X121" s="54"/>
      <c r="Y121" s="54"/>
      <c r="Z121" s="54"/>
      <c r="AA121" s="55"/>
      <c r="AB121" s="55"/>
      <c r="AC121" s="55"/>
      <c r="AD121" s="55"/>
      <c r="AE121" s="54"/>
      <c r="AF121" s="54"/>
      <c r="AG121" s="54"/>
      <c r="AH121" s="54"/>
      <c r="AI121" s="55"/>
      <c r="AJ121" s="54"/>
      <c r="AW121" s="18">
        <f t="shared" si="4"/>
        <v>0</v>
      </c>
    </row>
    <row r="122" spans="10:49" ht="15">
      <c r="J122" s="314"/>
      <c r="K122" s="80"/>
      <c r="L122" s="314"/>
      <c r="M122" s="314"/>
      <c r="N122" s="221"/>
      <c r="O122" s="80"/>
      <c r="P122" s="80"/>
      <c r="Q122" s="80"/>
      <c r="R122" s="54"/>
      <c r="S122" s="54"/>
      <c r="T122" s="54"/>
      <c r="U122" s="54"/>
      <c r="V122" s="54"/>
      <c r="W122" s="54"/>
      <c r="X122" s="54"/>
      <c r="Y122" s="54"/>
      <c r="Z122" s="54"/>
      <c r="AA122" s="55"/>
      <c r="AB122" s="55"/>
      <c r="AC122" s="55"/>
      <c r="AD122" s="55"/>
      <c r="AE122" s="54"/>
      <c r="AF122" s="54"/>
      <c r="AG122" s="54"/>
      <c r="AH122" s="54"/>
      <c r="AI122" s="55"/>
      <c r="AJ122" s="54"/>
      <c r="AW122" s="18">
        <f t="shared" si="4"/>
        <v>0</v>
      </c>
    </row>
    <row r="123" spans="10:49" ht="15">
      <c r="J123" s="314"/>
      <c r="K123" s="80"/>
      <c r="L123" s="314"/>
      <c r="M123" s="314"/>
      <c r="N123" s="221"/>
      <c r="O123" s="80"/>
      <c r="P123" s="80"/>
      <c r="Q123" s="80"/>
      <c r="R123" s="54"/>
      <c r="S123" s="54"/>
      <c r="T123" s="54"/>
      <c r="U123" s="54"/>
      <c r="V123" s="54"/>
      <c r="W123" s="54"/>
      <c r="X123" s="54"/>
      <c r="Y123" s="54"/>
      <c r="Z123" s="54"/>
      <c r="AA123" s="55"/>
      <c r="AB123" s="55"/>
      <c r="AC123" s="55"/>
      <c r="AD123" s="55"/>
      <c r="AE123" s="54"/>
      <c r="AF123" s="54"/>
      <c r="AG123" s="54"/>
      <c r="AH123" s="54"/>
      <c r="AI123" s="55"/>
      <c r="AJ123" s="54"/>
      <c r="AW123" s="18">
        <f t="shared" si="4"/>
        <v>0</v>
      </c>
    </row>
    <row r="124" spans="10:49" ht="15">
      <c r="J124" s="314"/>
      <c r="K124" s="80"/>
      <c r="L124" s="222"/>
      <c r="M124" s="222"/>
      <c r="N124" s="221"/>
      <c r="O124" s="80"/>
      <c r="P124" s="80"/>
      <c r="Q124" s="80"/>
      <c r="R124" s="54"/>
      <c r="S124" s="54"/>
      <c r="T124" s="54"/>
      <c r="U124" s="54"/>
      <c r="V124" s="54"/>
      <c r="W124" s="54"/>
      <c r="X124" s="54"/>
      <c r="Y124" s="54"/>
      <c r="Z124" s="54"/>
      <c r="AA124" s="55"/>
      <c r="AB124" s="55"/>
      <c r="AC124" s="55"/>
      <c r="AD124" s="55"/>
      <c r="AE124" s="54"/>
      <c r="AF124" s="54"/>
      <c r="AG124" s="54"/>
      <c r="AH124" s="54"/>
      <c r="AI124" s="55"/>
      <c r="AJ124" s="54"/>
      <c r="AW124" s="18">
        <f t="shared" si="4"/>
        <v>0</v>
      </c>
    </row>
    <row r="125" spans="10:49" ht="15">
      <c r="J125" s="314"/>
      <c r="K125" s="80"/>
      <c r="L125" s="222"/>
      <c r="M125" s="222"/>
      <c r="N125" s="221"/>
      <c r="O125" s="80"/>
      <c r="P125" s="80"/>
      <c r="Q125" s="80"/>
      <c r="R125" s="54"/>
      <c r="S125" s="54"/>
      <c r="T125" s="54"/>
      <c r="U125" s="54"/>
      <c r="V125" s="54"/>
      <c r="W125" s="54"/>
      <c r="X125" s="54"/>
      <c r="Y125" s="54"/>
      <c r="Z125" s="54"/>
      <c r="AA125" s="55"/>
      <c r="AB125" s="55"/>
      <c r="AC125" s="55"/>
      <c r="AD125" s="55"/>
      <c r="AE125" s="54"/>
      <c r="AF125" s="54"/>
      <c r="AG125" s="54"/>
      <c r="AH125" s="54"/>
      <c r="AI125" s="55"/>
      <c r="AJ125" s="54"/>
      <c r="AW125" s="18">
        <f t="shared" si="4"/>
        <v>0</v>
      </c>
    </row>
    <row r="126" spans="10:49" ht="15">
      <c r="J126" s="314"/>
      <c r="K126" s="80"/>
      <c r="L126" s="314"/>
      <c r="M126" s="314"/>
      <c r="N126" s="221"/>
      <c r="O126" s="80"/>
      <c r="P126" s="80"/>
      <c r="Q126" s="80"/>
      <c r="R126" s="54"/>
      <c r="S126" s="54"/>
      <c r="T126" s="54"/>
      <c r="U126" s="54"/>
      <c r="V126" s="54"/>
      <c r="W126" s="54"/>
      <c r="X126" s="54"/>
      <c r="Y126" s="54"/>
      <c r="Z126" s="54"/>
      <c r="AA126" s="55"/>
      <c r="AB126" s="55"/>
      <c r="AC126" s="55"/>
      <c r="AD126" s="55"/>
      <c r="AE126" s="54"/>
      <c r="AF126" s="54"/>
      <c r="AG126" s="54"/>
      <c r="AH126" s="54"/>
      <c r="AI126" s="55"/>
      <c r="AJ126" s="54"/>
      <c r="AW126" s="18">
        <f t="shared" si="4"/>
        <v>0</v>
      </c>
    </row>
    <row r="127" spans="10:49" ht="15">
      <c r="J127" s="314"/>
      <c r="K127" s="80"/>
      <c r="L127" s="314"/>
      <c r="M127" s="314"/>
      <c r="N127" s="221"/>
      <c r="O127" s="80"/>
      <c r="P127" s="80"/>
      <c r="Q127" s="80"/>
      <c r="R127" s="54"/>
      <c r="S127" s="54"/>
      <c r="T127" s="54"/>
      <c r="U127" s="54"/>
      <c r="V127" s="54"/>
      <c r="W127" s="54"/>
      <c r="X127" s="54"/>
      <c r="Y127" s="54"/>
      <c r="Z127" s="54"/>
      <c r="AA127" s="55"/>
      <c r="AB127" s="55"/>
      <c r="AC127" s="55"/>
      <c r="AD127" s="55"/>
      <c r="AE127" s="54"/>
      <c r="AF127" s="54"/>
      <c r="AG127" s="54"/>
      <c r="AH127" s="54"/>
      <c r="AI127" s="55"/>
      <c r="AJ127" s="54"/>
      <c r="AW127" s="18">
        <f t="shared" si="4"/>
        <v>0</v>
      </c>
    </row>
    <row r="128" spans="10:49" ht="15">
      <c r="J128" s="314"/>
      <c r="K128" s="80"/>
      <c r="L128" s="314"/>
      <c r="M128" s="314"/>
      <c r="N128" s="221"/>
      <c r="O128" s="80"/>
      <c r="P128" s="80"/>
      <c r="Q128" s="80"/>
      <c r="R128" s="54"/>
      <c r="S128" s="54"/>
      <c r="T128" s="54"/>
      <c r="U128" s="54"/>
      <c r="V128" s="54"/>
      <c r="W128" s="54"/>
      <c r="X128" s="54"/>
      <c r="Y128" s="54"/>
      <c r="Z128" s="54"/>
      <c r="AA128" s="55"/>
      <c r="AB128" s="55"/>
      <c r="AC128" s="55"/>
      <c r="AD128" s="55"/>
      <c r="AE128" s="54"/>
      <c r="AF128" s="54"/>
      <c r="AG128" s="54"/>
      <c r="AH128" s="54"/>
      <c r="AI128" s="55"/>
      <c r="AJ128" s="54"/>
      <c r="AW128" s="18">
        <f t="shared" si="4"/>
        <v>0</v>
      </c>
    </row>
    <row r="129" spans="10:49" ht="15">
      <c r="J129" s="314"/>
      <c r="K129" s="80"/>
      <c r="L129" s="314"/>
      <c r="M129" s="314"/>
      <c r="N129" s="221"/>
      <c r="O129" s="80"/>
      <c r="P129" s="80"/>
      <c r="Q129" s="80"/>
      <c r="R129" s="54"/>
      <c r="S129" s="54"/>
      <c r="T129" s="54"/>
      <c r="U129" s="54"/>
      <c r="V129" s="54"/>
      <c r="W129" s="54"/>
      <c r="X129" s="54"/>
      <c r="Y129" s="54"/>
      <c r="Z129" s="54"/>
      <c r="AA129" s="55"/>
      <c r="AB129" s="55"/>
      <c r="AC129" s="55"/>
      <c r="AD129" s="55"/>
      <c r="AE129" s="54"/>
      <c r="AF129" s="54"/>
      <c r="AG129" s="54"/>
      <c r="AH129" s="54"/>
      <c r="AI129" s="55"/>
      <c r="AJ129" s="54"/>
      <c r="AW129" s="18">
        <f t="shared" si="4"/>
        <v>0</v>
      </c>
    </row>
    <row r="130" spans="10:49" ht="15">
      <c r="J130" s="314"/>
      <c r="K130" s="80"/>
      <c r="L130" s="314"/>
      <c r="M130" s="314"/>
      <c r="N130" s="221"/>
      <c r="O130" s="80"/>
      <c r="P130" s="80"/>
      <c r="Q130" s="80"/>
      <c r="R130" s="54"/>
      <c r="S130" s="54"/>
      <c r="T130" s="54"/>
      <c r="U130" s="54"/>
      <c r="V130" s="54"/>
      <c r="W130" s="54"/>
      <c r="X130" s="54"/>
      <c r="Y130" s="54"/>
      <c r="Z130" s="54"/>
      <c r="AA130" s="55"/>
      <c r="AB130" s="55"/>
      <c r="AC130" s="55"/>
      <c r="AD130" s="55"/>
      <c r="AE130" s="54"/>
      <c r="AF130" s="54"/>
      <c r="AG130" s="54"/>
      <c r="AH130" s="54"/>
      <c r="AI130" s="55"/>
      <c r="AJ130" s="54"/>
      <c r="AW130" s="18">
        <f t="shared" si="4"/>
        <v>0</v>
      </c>
    </row>
    <row r="131" spans="10:49" ht="15">
      <c r="J131" s="314"/>
      <c r="K131" s="80"/>
      <c r="L131" s="314"/>
      <c r="M131" s="314"/>
      <c r="N131" s="221"/>
      <c r="O131" s="80"/>
      <c r="P131" s="80"/>
      <c r="Q131" s="80"/>
      <c r="R131" s="54"/>
      <c r="S131" s="54"/>
      <c r="T131" s="54"/>
      <c r="U131" s="54"/>
      <c r="V131" s="54"/>
      <c r="W131" s="54"/>
      <c r="X131" s="54"/>
      <c r="Y131" s="54"/>
      <c r="Z131" s="54"/>
      <c r="AA131" s="55"/>
      <c r="AB131" s="55"/>
      <c r="AC131" s="55"/>
      <c r="AD131" s="55"/>
      <c r="AE131" s="54"/>
      <c r="AF131" s="54"/>
      <c r="AG131" s="54"/>
      <c r="AH131" s="54"/>
      <c r="AI131" s="55"/>
      <c r="AJ131" s="54"/>
      <c r="AW131" s="18">
        <f t="shared" si="4"/>
        <v>0</v>
      </c>
    </row>
    <row r="132" spans="10:49" ht="15">
      <c r="J132" s="314"/>
      <c r="K132" s="80"/>
      <c r="L132" s="314"/>
      <c r="M132" s="314"/>
      <c r="N132" s="221"/>
      <c r="O132" s="80"/>
      <c r="P132" s="80"/>
      <c r="Q132" s="80"/>
      <c r="R132" s="54"/>
      <c r="S132" s="54"/>
      <c r="T132" s="54"/>
      <c r="U132" s="54"/>
      <c r="V132" s="54"/>
      <c r="W132" s="54"/>
      <c r="X132" s="54"/>
      <c r="Y132" s="54"/>
      <c r="Z132" s="54"/>
      <c r="AA132" s="55"/>
      <c r="AB132" s="55"/>
      <c r="AC132" s="55"/>
      <c r="AD132" s="55"/>
      <c r="AE132" s="54"/>
      <c r="AF132" s="54"/>
      <c r="AG132" s="54"/>
      <c r="AH132" s="54"/>
      <c r="AI132" s="55"/>
      <c r="AJ132" s="54"/>
      <c r="AW132" s="18">
        <f t="shared" si="4"/>
        <v>0</v>
      </c>
    </row>
    <row r="133" spans="10:49" ht="15">
      <c r="J133" s="314"/>
      <c r="K133" s="80"/>
      <c r="L133" s="314"/>
      <c r="M133" s="314"/>
      <c r="N133" s="221"/>
      <c r="O133" s="80"/>
      <c r="P133" s="80"/>
      <c r="Q133" s="80"/>
      <c r="R133" s="54"/>
      <c r="S133" s="54"/>
      <c r="T133" s="54"/>
      <c r="U133" s="54"/>
      <c r="V133" s="54"/>
      <c r="W133" s="54"/>
      <c r="X133" s="54"/>
      <c r="Y133" s="54"/>
      <c r="Z133" s="54"/>
      <c r="AA133" s="55"/>
      <c r="AB133" s="55"/>
      <c r="AC133" s="55"/>
      <c r="AD133" s="55"/>
      <c r="AE133" s="54"/>
      <c r="AF133" s="54"/>
      <c r="AG133" s="54"/>
      <c r="AH133" s="54"/>
      <c r="AI133" s="55"/>
      <c r="AJ133" s="54"/>
      <c r="AW133" s="18">
        <f t="shared" si="4"/>
        <v>0</v>
      </c>
    </row>
    <row r="134" spans="10:49" ht="15">
      <c r="J134" s="314"/>
      <c r="K134" s="80"/>
      <c r="L134" s="314"/>
      <c r="M134" s="314"/>
      <c r="N134" s="221"/>
      <c r="O134" s="80"/>
      <c r="P134" s="80"/>
      <c r="Q134" s="80"/>
      <c r="R134" s="54"/>
      <c r="S134" s="54"/>
      <c r="T134" s="54"/>
      <c r="U134" s="54"/>
      <c r="V134" s="54"/>
      <c r="W134" s="54"/>
      <c r="X134" s="54"/>
      <c r="Y134" s="54"/>
      <c r="Z134" s="54"/>
      <c r="AA134" s="55"/>
      <c r="AB134" s="55"/>
      <c r="AC134" s="55"/>
      <c r="AD134" s="55"/>
      <c r="AE134" s="54"/>
      <c r="AF134" s="54"/>
      <c r="AG134" s="54"/>
      <c r="AH134" s="54"/>
      <c r="AI134" s="55"/>
      <c r="AJ134" s="54"/>
      <c r="AW134" s="18">
        <f t="shared" si="4"/>
        <v>0</v>
      </c>
    </row>
    <row r="135" spans="10:49" ht="15">
      <c r="J135" s="314"/>
      <c r="K135" s="80"/>
      <c r="L135" s="314"/>
      <c r="M135" s="314"/>
      <c r="N135" s="221"/>
      <c r="O135" s="80"/>
      <c r="P135" s="80"/>
      <c r="Q135" s="80"/>
      <c r="R135" s="54"/>
      <c r="S135" s="54"/>
      <c r="T135" s="54"/>
      <c r="U135" s="54"/>
      <c r="V135" s="54"/>
      <c r="W135" s="54"/>
      <c r="X135" s="54"/>
      <c r="Y135" s="54"/>
      <c r="Z135" s="54"/>
      <c r="AA135" s="55"/>
      <c r="AB135" s="55"/>
      <c r="AC135" s="55"/>
      <c r="AD135" s="55"/>
      <c r="AE135" s="54"/>
      <c r="AF135" s="54"/>
      <c r="AG135" s="54"/>
      <c r="AH135" s="54"/>
      <c r="AI135" s="55"/>
      <c r="AJ135" s="54"/>
      <c r="AW135" s="18">
        <f t="shared" si="4"/>
        <v>0</v>
      </c>
    </row>
    <row r="136" spans="10:49" ht="15">
      <c r="J136" s="314"/>
      <c r="K136" s="80"/>
      <c r="L136" s="314"/>
      <c r="M136" s="314"/>
      <c r="N136" s="221"/>
      <c r="O136" s="80"/>
      <c r="P136" s="80"/>
      <c r="Q136" s="80"/>
      <c r="R136" s="54"/>
      <c r="S136" s="54"/>
      <c r="T136" s="54"/>
      <c r="U136" s="54"/>
      <c r="V136" s="54"/>
      <c r="W136" s="54"/>
      <c r="X136" s="54"/>
      <c r="Y136" s="54"/>
      <c r="Z136" s="54"/>
      <c r="AA136" s="55"/>
      <c r="AB136" s="55"/>
      <c r="AC136" s="55"/>
      <c r="AD136" s="55"/>
      <c r="AE136" s="54"/>
      <c r="AF136" s="54"/>
      <c r="AG136" s="54"/>
      <c r="AH136" s="54"/>
      <c r="AI136" s="55"/>
      <c r="AJ136" s="54"/>
      <c r="AW136" s="18">
        <f t="shared" si="4"/>
        <v>0</v>
      </c>
    </row>
    <row r="137" spans="10:49" ht="15">
      <c r="J137" s="314"/>
      <c r="K137" s="80"/>
      <c r="L137" s="314"/>
      <c r="M137" s="314"/>
      <c r="N137" s="221"/>
      <c r="O137" s="80"/>
      <c r="P137" s="80"/>
      <c r="Q137" s="80"/>
      <c r="R137" s="54"/>
      <c r="S137" s="54"/>
      <c r="T137" s="54"/>
      <c r="U137" s="54"/>
      <c r="V137" s="54"/>
      <c r="W137" s="54"/>
      <c r="X137" s="54"/>
      <c r="Y137" s="54"/>
      <c r="Z137" s="54"/>
      <c r="AA137" s="55"/>
      <c r="AB137" s="55"/>
      <c r="AC137" s="55"/>
      <c r="AD137" s="55"/>
      <c r="AE137" s="54"/>
      <c r="AF137" s="54"/>
      <c r="AG137" s="54"/>
      <c r="AH137" s="54"/>
      <c r="AI137" s="55"/>
      <c r="AJ137" s="54"/>
      <c r="AW137" s="18">
        <f t="shared" si="4"/>
        <v>0</v>
      </c>
    </row>
    <row r="138" spans="10:49" ht="15">
      <c r="J138" s="314"/>
      <c r="K138" s="80"/>
      <c r="L138" s="314"/>
      <c r="M138" s="314"/>
      <c r="N138" s="221"/>
      <c r="O138" s="80"/>
      <c r="P138" s="80"/>
      <c r="Q138" s="80"/>
      <c r="R138" s="54"/>
      <c r="S138" s="54"/>
      <c r="T138" s="54"/>
      <c r="U138" s="54"/>
      <c r="V138" s="54"/>
      <c r="W138" s="54"/>
      <c r="X138" s="54"/>
      <c r="Y138" s="54"/>
      <c r="Z138" s="54"/>
      <c r="AA138" s="55"/>
      <c r="AB138" s="55"/>
      <c r="AC138" s="55"/>
      <c r="AD138" s="55"/>
      <c r="AE138" s="54"/>
      <c r="AF138" s="54"/>
      <c r="AG138" s="54"/>
      <c r="AH138" s="54"/>
      <c r="AI138" s="55"/>
      <c r="AJ138" s="54"/>
      <c r="AW138" s="18">
        <f t="shared" si="4"/>
        <v>0</v>
      </c>
    </row>
    <row r="139" spans="10:49" ht="15">
      <c r="J139" s="314"/>
      <c r="K139" s="80"/>
      <c r="L139" s="314"/>
      <c r="M139" s="314"/>
      <c r="N139" s="221"/>
      <c r="O139" s="80"/>
      <c r="P139" s="80"/>
      <c r="Q139" s="80"/>
      <c r="R139" s="54"/>
      <c r="S139" s="54"/>
      <c r="T139" s="54"/>
      <c r="U139" s="54"/>
      <c r="V139" s="54"/>
      <c r="W139" s="54"/>
      <c r="X139" s="54"/>
      <c r="Y139" s="54"/>
      <c r="Z139" s="54"/>
      <c r="AA139" s="55"/>
      <c r="AB139" s="55"/>
      <c r="AC139" s="55"/>
      <c r="AD139" s="55"/>
      <c r="AE139" s="54"/>
      <c r="AF139" s="54"/>
      <c r="AG139" s="54"/>
      <c r="AH139" s="54"/>
      <c r="AI139" s="55"/>
      <c r="AJ139" s="54"/>
      <c r="AW139" s="18">
        <f t="shared" si="4"/>
        <v>0</v>
      </c>
    </row>
    <row r="140" spans="10:49" ht="15">
      <c r="J140" s="314"/>
      <c r="K140" s="80"/>
      <c r="L140" s="314"/>
      <c r="M140" s="314"/>
      <c r="N140" s="221"/>
      <c r="O140" s="80"/>
      <c r="P140" s="80"/>
      <c r="Q140" s="80"/>
      <c r="R140" s="54"/>
      <c r="S140" s="54"/>
      <c r="T140" s="54"/>
      <c r="U140" s="54"/>
      <c r="V140" s="54"/>
      <c r="W140" s="54"/>
      <c r="X140" s="54"/>
      <c r="Y140" s="54"/>
      <c r="Z140" s="54"/>
      <c r="AA140" s="55"/>
      <c r="AB140" s="55"/>
      <c r="AC140" s="55"/>
      <c r="AD140" s="55"/>
      <c r="AE140" s="54"/>
      <c r="AF140" s="54"/>
      <c r="AG140" s="54"/>
      <c r="AH140" s="54"/>
      <c r="AI140" s="55"/>
      <c r="AJ140" s="54"/>
      <c r="AW140" s="18">
        <f t="shared" si="4"/>
        <v>0</v>
      </c>
    </row>
    <row r="141" spans="10:49" ht="15">
      <c r="J141" s="314"/>
      <c r="K141" s="80"/>
      <c r="L141" s="314"/>
      <c r="M141" s="314"/>
      <c r="N141" s="221"/>
      <c r="O141" s="80"/>
      <c r="P141" s="80"/>
      <c r="Q141" s="80"/>
      <c r="R141" s="54"/>
      <c r="S141" s="54"/>
      <c r="T141" s="54"/>
      <c r="U141" s="54"/>
      <c r="V141" s="54"/>
      <c r="W141" s="54"/>
      <c r="X141" s="54"/>
      <c r="Y141" s="54"/>
      <c r="Z141" s="54"/>
      <c r="AA141" s="55"/>
      <c r="AB141" s="55"/>
      <c r="AC141" s="55"/>
      <c r="AD141" s="55"/>
      <c r="AE141" s="54"/>
      <c r="AF141" s="54"/>
      <c r="AG141" s="54"/>
      <c r="AH141" s="54"/>
      <c r="AI141" s="55"/>
      <c r="AJ141" s="54"/>
      <c r="AW141" s="18">
        <f t="shared" si="4"/>
        <v>0</v>
      </c>
    </row>
    <row r="142" spans="10:49" ht="15">
      <c r="J142" s="314"/>
      <c r="K142" s="80"/>
      <c r="L142" s="314"/>
      <c r="M142" s="314"/>
      <c r="N142" s="221"/>
      <c r="O142" s="80"/>
      <c r="P142" s="80"/>
      <c r="Q142" s="80"/>
      <c r="R142" s="54"/>
      <c r="S142" s="54"/>
      <c r="T142" s="54"/>
      <c r="U142" s="54"/>
      <c r="V142" s="54"/>
      <c r="W142" s="54"/>
      <c r="X142" s="54"/>
      <c r="Y142" s="54"/>
      <c r="Z142" s="54"/>
      <c r="AA142" s="55"/>
      <c r="AB142" s="55"/>
      <c r="AC142" s="55"/>
      <c r="AD142" s="55"/>
      <c r="AE142" s="54"/>
      <c r="AF142" s="54"/>
      <c r="AG142" s="54"/>
      <c r="AH142" s="54"/>
      <c r="AI142" s="55"/>
      <c r="AJ142" s="54"/>
      <c r="AW142" s="18">
        <f t="shared" si="4"/>
        <v>0</v>
      </c>
    </row>
    <row r="143" spans="10:49" ht="15">
      <c r="J143" s="398"/>
      <c r="K143" s="54"/>
      <c r="L143" s="398"/>
      <c r="M143" s="544"/>
      <c r="N143" s="82"/>
      <c r="O143" s="54"/>
      <c r="P143" s="54"/>
      <c r="Q143" s="54"/>
      <c r="R143" s="54"/>
      <c r="S143" s="54"/>
      <c r="T143" s="54"/>
      <c r="U143" s="54"/>
      <c r="V143" s="54"/>
      <c r="W143" s="54"/>
      <c r="X143" s="54"/>
      <c r="Y143" s="54"/>
      <c r="Z143" s="54"/>
      <c r="AA143" s="55"/>
      <c r="AB143" s="55"/>
      <c r="AC143" s="55"/>
      <c r="AD143" s="55"/>
      <c r="AE143" s="54"/>
      <c r="AF143" s="54"/>
      <c r="AG143" s="54"/>
      <c r="AH143" s="54"/>
      <c r="AI143" s="55"/>
      <c r="AJ143" s="54"/>
      <c r="AW143" s="18">
        <f t="shared" si="4"/>
        <v>0</v>
      </c>
    </row>
    <row r="144" spans="10:49" ht="15">
      <c r="J144" s="398"/>
      <c r="K144" s="54"/>
      <c r="L144" s="398"/>
      <c r="M144" s="544"/>
      <c r="N144" s="82"/>
      <c r="O144" s="54"/>
      <c r="P144" s="54"/>
      <c r="Q144" s="54"/>
      <c r="R144" s="54"/>
      <c r="S144" s="54"/>
      <c r="T144" s="54"/>
      <c r="U144" s="54"/>
      <c r="V144" s="54"/>
      <c r="W144" s="54"/>
      <c r="X144" s="54"/>
      <c r="Y144" s="54"/>
      <c r="Z144" s="54"/>
      <c r="AA144" s="55"/>
      <c r="AB144" s="55"/>
      <c r="AC144" s="55"/>
      <c r="AD144" s="55"/>
      <c r="AE144" s="54"/>
      <c r="AF144" s="54"/>
      <c r="AG144" s="54"/>
      <c r="AH144" s="54"/>
      <c r="AI144" s="55"/>
      <c r="AJ144" s="54"/>
      <c r="AW144" s="18">
        <f t="shared" si="4"/>
        <v>0</v>
      </c>
    </row>
    <row r="145" spans="10:49" ht="15">
      <c r="J145" s="398"/>
      <c r="K145" s="54"/>
      <c r="L145" s="398"/>
      <c r="M145" s="544"/>
      <c r="N145" s="82"/>
      <c r="O145" s="54"/>
      <c r="P145" s="54"/>
      <c r="Q145" s="54"/>
      <c r="R145" s="54"/>
      <c r="S145" s="54"/>
      <c r="T145" s="54"/>
      <c r="U145" s="54"/>
      <c r="V145" s="54"/>
      <c r="W145" s="54"/>
      <c r="X145" s="54"/>
      <c r="Y145" s="54"/>
      <c r="Z145" s="54"/>
      <c r="AA145" s="55"/>
      <c r="AB145" s="55"/>
      <c r="AC145" s="55"/>
      <c r="AD145" s="55"/>
      <c r="AE145" s="54"/>
      <c r="AF145" s="54"/>
      <c r="AG145" s="54"/>
      <c r="AH145" s="54"/>
      <c r="AI145" s="55"/>
      <c r="AJ145" s="54"/>
      <c r="AW145" s="18">
        <f t="shared" si="4"/>
        <v>0</v>
      </c>
    </row>
    <row r="146" spans="10:49" ht="15">
      <c r="J146" s="398"/>
      <c r="K146" s="54"/>
      <c r="L146" s="398"/>
      <c r="M146" s="544"/>
      <c r="N146" s="82"/>
      <c r="O146" s="54"/>
      <c r="P146" s="54"/>
      <c r="Q146" s="54"/>
      <c r="R146" s="54"/>
      <c r="S146" s="54"/>
      <c r="T146" s="54"/>
      <c r="U146" s="54"/>
      <c r="V146" s="54"/>
      <c r="W146" s="54"/>
      <c r="X146" s="54"/>
      <c r="Y146" s="54"/>
      <c r="Z146" s="54"/>
      <c r="AA146" s="55"/>
      <c r="AB146" s="55"/>
      <c r="AC146" s="55"/>
      <c r="AD146" s="55"/>
      <c r="AE146" s="54"/>
      <c r="AF146" s="54"/>
      <c r="AG146" s="54"/>
      <c r="AH146" s="54"/>
      <c r="AI146" s="55"/>
      <c r="AJ146" s="54"/>
      <c r="AW146" s="18">
        <f t="shared" si="4"/>
        <v>0</v>
      </c>
    </row>
    <row r="147" spans="10:49" ht="15">
      <c r="J147" s="398"/>
      <c r="K147" s="54"/>
      <c r="L147" s="398"/>
      <c r="M147" s="544"/>
      <c r="N147" s="82"/>
      <c r="O147" s="54"/>
      <c r="P147" s="54"/>
      <c r="Q147" s="54"/>
      <c r="R147" s="54"/>
      <c r="S147" s="54"/>
      <c r="T147" s="54"/>
      <c r="U147" s="54"/>
      <c r="V147" s="54"/>
      <c r="W147" s="54"/>
      <c r="X147" s="54"/>
      <c r="Y147" s="54"/>
      <c r="Z147" s="54"/>
      <c r="AA147" s="55"/>
      <c r="AB147" s="55"/>
      <c r="AC147" s="55"/>
      <c r="AD147" s="55"/>
      <c r="AE147" s="54"/>
      <c r="AF147" s="54"/>
      <c r="AG147" s="54"/>
      <c r="AH147" s="54"/>
      <c r="AI147" s="55"/>
      <c r="AJ147" s="54"/>
      <c r="AW147" s="18">
        <f t="shared" si="4"/>
        <v>0</v>
      </c>
    </row>
    <row r="148" spans="10:49" ht="15">
      <c r="J148" s="398"/>
      <c r="K148" s="54"/>
      <c r="L148" s="56"/>
      <c r="M148" s="56"/>
      <c r="N148" s="82"/>
      <c r="O148" s="54"/>
      <c r="P148" s="54"/>
      <c r="Q148" s="54"/>
      <c r="R148" s="54"/>
      <c r="S148" s="54"/>
      <c r="T148" s="54"/>
      <c r="U148" s="54"/>
      <c r="V148" s="54"/>
      <c r="W148" s="54"/>
      <c r="X148" s="54"/>
      <c r="Y148" s="54"/>
      <c r="Z148" s="54"/>
      <c r="AA148" s="55"/>
      <c r="AB148" s="55"/>
      <c r="AC148" s="55"/>
      <c r="AD148" s="55"/>
      <c r="AE148" s="54"/>
      <c r="AF148" s="54"/>
      <c r="AG148" s="54"/>
      <c r="AH148" s="54"/>
      <c r="AI148" s="55"/>
      <c r="AJ148" s="54"/>
      <c r="AW148" s="18">
        <f t="shared" si="4"/>
        <v>0</v>
      </c>
    </row>
    <row r="149" spans="10:49" ht="15">
      <c r="J149" s="398"/>
      <c r="K149" s="54"/>
      <c r="L149" s="56"/>
      <c r="M149" s="56"/>
      <c r="N149" s="82"/>
      <c r="O149" s="54"/>
      <c r="P149" s="54"/>
      <c r="Q149" s="54"/>
      <c r="R149" s="54"/>
      <c r="S149" s="54"/>
      <c r="T149" s="54"/>
      <c r="U149" s="54"/>
      <c r="V149" s="54"/>
      <c r="W149" s="54"/>
      <c r="X149" s="54"/>
      <c r="Y149" s="54"/>
      <c r="Z149" s="54"/>
      <c r="AA149" s="55"/>
      <c r="AB149" s="55"/>
      <c r="AC149" s="55"/>
      <c r="AD149" s="55"/>
      <c r="AE149" s="54"/>
      <c r="AF149" s="54"/>
      <c r="AG149" s="54"/>
      <c r="AH149" s="54"/>
      <c r="AI149" s="55"/>
      <c r="AJ149" s="54"/>
      <c r="AW149" s="18">
        <f t="shared" si="4"/>
        <v>0</v>
      </c>
    </row>
    <row r="150" spans="10:49" ht="15">
      <c r="J150" s="398"/>
      <c r="K150" s="54"/>
      <c r="L150" s="398"/>
      <c r="M150" s="544"/>
      <c r="N150" s="82"/>
      <c r="O150" s="54"/>
      <c r="P150" s="54"/>
      <c r="Q150" s="54"/>
      <c r="R150" s="54"/>
      <c r="S150" s="54"/>
      <c r="T150" s="54"/>
      <c r="U150" s="54"/>
      <c r="V150" s="54"/>
      <c r="W150" s="54"/>
      <c r="X150" s="54"/>
      <c r="Y150" s="54"/>
      <c r="Z150" s="54"/>
      <c r="AA150" s="55"/>
      <c r="AB150" s="55"/>
      <c r="AC150" s="55"/>
      <c r="AD150" s="55"/>
      <c r="AE150" s="54"/>
      <c r="AF150" s="54"/>
      <c r="AG150" s="54"/>
      <c r="AH150" s="54"/>
      <c r="AI150" s="55"/>
      <c r="AJ150" s="54"/>
      <c r="AW150" s="18">
        <f t="shared" si="4"/>
        <v>0</v>
      </c>
    </row>
    <row r="151" spans="10:49" ht="15">
      <c r="J151" s="687"/>
      <c r="K151" s="54"/>
      <c r="L151" s="687"/>
      <c r="M151" s="544"/>
      <c r="N151" s="82"/>
      <c r="O151" s="54"/>
      <c r="P151" s="54"/>
      <c r="Q151" s="54"/>
      <c r="R151" s="54"/>
      <c r="S151" s="54"/>
      <c r="T151" s="54"/>
      <c r="U151" s="54"/>
      <c r="V151" s="54"/>
      <c r="W151" s="54"/>
      <c r="X151" s="54"/>
      <c r="Y151" s="54"/>
      <c r="Z151" s="54"/>
      <c r="AA151" s="54"/>
      <c r="AB151" s="54"/>
      <c r="AC151" s="54"/>
      <c r="AD151" s="54"/>
      <c r="AE151" s="54"/>
      <c r="AF151" s="54"/>
      <c r="AG151" s="54"/>
      <c r="AH151" s="54"/>
      <c r="AI151" s="54"/>
      <c r="AJ151" s="54"/>
      <c r="AW151" s="18">
        <f t="shared" si="4"/>
        <v>0</v>
      </c>
    </row>
    <row r="152" spans="10:49" ht="15">
      <c r="J152" s="687"/>
      <c r="K152" s="54"/>
      <c r="L152" s="687"/>
      <c r="M152" s="544"/>
      <c r="N152" s="82"/>
      <c r="O152" s="54"/>
      <c r="P152" s="54"/>
      <c r="Q152" s="54"/>
      <c r="R152" s="54"/>
      <c r="S152" s="54"/>
      <c r="T152" s="54"/>
      <c r="U152" s="54"/>
      <c r="V152" s="54"/>
      <c r="W152" s="54"/>
      <c r="X152" s="54"/>
      <c r="Y152" s="54"/>
      <c r="Z152" s="54"/>
      <c r="AA152" s="54"/>
      <c r="AB152" s="54"/>
      <c r="AC152" s="54"/>
      <c r="AD152" s="54"/>
      <c r="AE152" s="54"/>
      <c r="AF152" s="54"/>
      <c r="AG152" s="54"/>
      <c r="AH152" s="54"/>
      <c r="AI152" s="54"/>
      <c r="AJ152" s="54"/>
      <c r="AW152" s="18">
        <f t="shared" si="4"/>
        <v>0</v>
      </c>
    </row>
    <row r="153" spans="10:49" ht="15">
      <c r="J153" s="687"/>
      <c r="K153" s="54"/>
      <c r="L153" s="687"/>
      <c r="M153" s="544"/>
      <c r="N153" s="82"/>
      <c r="O153" s="54"/>
      <c r="P153" s="54"/>
      <c r="Q153" s="54"/>
      <c r="R153" s="54"/>
      <c r="S153" s="54"/>
      <c r="T153" s="54"/>
      <c r="U153" s="54"/>
      <c r="V153" s="54"/>
      <c r="W153" s="54"/>
      <c r="X153" s="54"/>
      <c r="Y153" s="54"/>
      <c r="Z153" s="54"/>
      <c r="AA153" s="54"/>
      <c r="AB153" s="54"/>
      <c r="AC153" s="54"/>
      <c r="AD153" s="54"/>
      <c r="AE153" s="54"/>
      <c r="AF153" s="54"/>
      <c r="AG153" s="54"/>
      <c r="AH153" s="54"/>
      <c r="AI153" s="54"/>
      <c r="AJ153" s="54"/>
      <c r="AW153" s="18">
        <f t="shared" si="4"/>
        <v>0</v>
      </c>
    </row>
    <row r="154" spans="10:49" ht="15">
      <c r="J154" s="687"/>
      <c r="K154" s="54"/>
      <c r="L154" s="687"/>
      <c r="M154" s="544"/>
      <c r="N154" s="82"/>
      <c r="O154" s="54"/>
      <c r="P154" s="54"/>
      <c r="Q154" s="54"/>
      <c r="R154" s="54"/>
      <c r="S154" s="54"/>
      <c r="T154" s="54"/>
      <c r="U154" s="54"/>
      <c r="V154" s="54"/>
      <c r="W154" s="54"/>
      <c r="X154" s="54"/>
      <c r="Y154" s="54"/>
      <c r="Z154" s="54"/>
      <c r="AA154" s="54"/>
      <c r="AB154" s="54"/>
      <c r="AC154" s="54"/>
      <c r="AD154" s="54"/>
      <c r="AE154" s="54"/>
      <c r="AF154" s="54"/>
      <c r="AG154" s="54"/>
      <c r="AH154" s="54"/>
      <c r="AI154" s="54"/>
      <c r="AJ154" s="54"/>
      <c r="AW154" s="18">
        <f t="shared" si="4"/>
        <v>0</v>
      </c>
    </row>
    <row r="155" spans="10:49" ht="15">
      <c r="J155" s="687"/>
      <c r="K155" s="54"/>
      <c r="L155" s="687"/>
      <c r="M155" s="544"/>
      <c r="N155" s="82"/>
      <c r="O155" s="54"/>
      <c r="P155" s="54"/>
      <c r="Q155" s="54"/>
      <c r="R155" s="54"/>
      <c r="S155" s="54"/>
      <c r="T155" s="54"/>
      <c r="U155" s="54"/>
      <c r="V155" s="54"/>
      <c r="W155" s="54"/>
      <c r="X155" s="54"/>
      <c r="Y155" s="54"/>
      <c r="Z155" s="54"/>
      <c r="AA155" s="54"/>
      <c r="AB155" s="54"/>
      <c r="AC155" s="54"/>
      <c r="AD155" s="54"/>
      <c r="AE155" s="54"/>
      <c r="AF155" s="54"/>
      <c r="AG155" s="54"/>
      <c r="AH155" s="54"/>
      <c r="AI155" s="54"/>
      <c r="AJ155" s="54"/>
      <c r="AW155" s="18">
        <f t="shared" si="4"/>
        <v>0</v>
      </c>
    </row>
    <row r="156" spans="10:49" ht="15">
      <c r="J156" s="687"/>
      <c r="K156" s="54"/>
      <c r="L156" s="687"/>
      <c r="M156" s="544"/>
      <c r="N156" s="82"/>
      <c r="O156" s="54"/>
      <c r="P156" s="54"/>
      <c r="Q156" s="54"/>
      <c r="R156" s="54"/>
      <c r="S156" s="54"/>
      <c r="T156" s="54"/>
      <c r="U156" s="54"/>
      <c r="V156" s="54"/>
      <c r="W156" s="54"/>
      <c r="X156" s="54"/>
      <c r="Y156" s="54"/>
      <c r="Z156" s="54"/>
      <c r="AA156" s="54"/>
      <c r="AB156" s="54"/>
      <c r="AC156" s="54"/>
      <c r="AD156" s="54"/>
      <c r="AE156" s="54"/>
      <c r="AF156" s="54"/>
      <c r="AG156" s="54"/>
      <c r="AH156" s="54"/>
      <c r="AI156" s="54"/>
      <c r="AJ156" s="54"/>
      <c r="AW156" s="18">
        <f t="shared" si="4"/>
        <v>0</v>
      </c>
    </row>
    <row r="157" spans="10:49" ht="15">
      <c r="J157" s="687"/>
      <c r="K157" s="54"/>
      <c r="L157" s="687"/>
      <c r="M157" s="544"/>
      <c r="N157" s="82"/>
      <c r="O157" s="54"/>
      <c r="P157" s="54"/>
      <c r="Q157" s="54"/>
      <c r="R157" s="54"/>
      <c r="S157" s="54"/>
      <c r="T157" s="54"/>
      <c r="U157" s="54"/>
      <c r="V157" s="54"/>
      <c r="W157" s="54"/>
      <c r="X157" s="54"/>
      <c r="Y157" s="54"/>
      <c r="Z157" s="54"/>
      <c r="AA157" s="54"/>
      <c r="AB157" s="54"/>
      <c r="AC157" s="54"/>
      <c r="AD157" s="54"/>
      <c r="AE157" s="54"/>
      <c r="AF157" s="54"/>
      <c r="AG157" s="54"/>
      <c r="AH157" s="54"/>
      <c r="AI157" s="54"/>
      <c r="AJ157" s="54"/>
      <c r="AW157" s="18">
        <f t="shared" si="4"/>
        <v>0</v>
      </c>
    </row>
    <row r="158" spans="10:49" ht="15">
      <c r="J158" s="687"/>
      <c r="K158" s="54"/>
      <c r="L158" s="687"/>
      <c r="M158" s="544"/>
      <c r="N158" s="82"/>
      <c r="O158" s="54"/>
      <c r="P158" s="54"/>
      <c r="Q158" s="54"/>
      <c r="R158" s="54"/>
      <c r="S158" s="54"/>
      <c r="T158" s="54"/>
      <c r="U158" s="54"/>
      <c r="V158" s="54"/>
      <c r="W158" s="54"/>
      <c r="X158" s="54"/>
      <c r="Y158" s="54"/>
      <c r="Z158" s="54"/>
      <c r="AA158" s="54"/>
      <c r="AB158" s="54"/>
      <c r="AC158" s="54"/>
      <c r="AD158" s="54"/>
      <c r="AE158" s="54"/>
      <c r="AF158" s="54"/>
      <c r="AG158" s="54"/>
      <c r="AH158" s="54"/>
      <c r="AI158" s="54"/>
      <c r="AJ158" s="54"/>
      <c r="AW158" s="18">
        <f t="shared" si="4"/>
        <v>0</v>
      </c>
    </row>
    <row r="159" spans="10:49" ht="15">
      <c r="J159" s="687"/>
      <c r="K159" s="54"/>
      <c r="L159" s="687"/>
      <c r="M159" s="544"/>
      <c r="N159" s="82"/>
      <c r="O159" s="54"/>
      <c r="P159" s="54"/>
      <c r="Q159" s="54"/>
      <c r="R159" s="54"/>
      <c r="S159" s="54"/>
      <c r="T159" s="54"/>
      <c r="U159" s="54"/>
      <c r="V159" s="54"/>
      <c r="W159" s="54"/>
      <c r="X159" s="54"/>
      <c r="Y159" s="54"/>
      <c r="Z159" s="54"/>
      <c r="AA159" s="54"/>
      <c r="AB159" s="54"/>
      <c r="AC159" s="54"/>
      <c r="AD159" s="54"/>
      <c r="AE159" s="54"/>
      <c r="AF159" s="54"/>
      <c r="AG159" s="54"/>
      <c r="AH159" s="54"/>
      <c r="AI159" s="54"/>
      <c r="AJ159" s="54"/>
      <c r="AW159" s="18">
        <f t="shared" si="4"/>
        <v>0</v>
      </c>
    </row>
    <row r="160" spans="10:49" ht="15">
      <c r="J160" s="687"/>
      <c r="K160" s="54"/>
      <c r="L160" s="687"/>
      <c r="M160" s="544"/>
      <c r="N160" s="82"/>
      <c r="O160" s="54"/>
      <c r="P160" s="54"/>
      <c r="Q160" s="54"/>
      <c r="R160" s="54"/>
      <c r="S160" s="54"/>
      <c r="T160" s="54"/>
      <c r="U160" s="54"/>
      <c r="V160" s="54"/>
      <c r="W160" s="54"/>
      <c r="X160" s="54"/>
      <c r="Y160" s="54"/>
      <c r="Z160" s="54"/>
      <c r="AA160" s="54"/>
      <c r="AB160" s="54"/>
      <c r="AC160" s="54"/>
      <c r="AD160" s="54"/>
      <c r="AE160" s="54"/>
      <c r="AF160" s="54"/>
      <c r="AG160" s="54"/>
      <c r="AH160" s="54"/>
      <c r="AI160" s="54"/>
      <c r="AJ160" s="54"/>
      <c r="AW160" s="18">
        <f t="shared" si="4"/>
        <v>0</v>
      </c>
    </row>
    <row r="161" spans="10:49" ht="15">
      <c r="J161" s="687"/>
      <c r="K161" s="54"/>
      <c r="L161" s="687"/>
      <c r="M161" s="544"/>
      <c r="N161" s="82"/>
      <c r="O161" s="54"/>
      <c r="P161" s="54"/>
      <c r="Q161" s="54"/>
      <c r="R161" s="54"/>
      <c r="S161" s="54"/>
      <c r="T161" s="54"/>
      <c r="U161" s="54"/>
      <c r="V161" s="54"/>
      <c r="W161" s="54"/>
      <c r="X161" s="54"/>
      <c r="Y161" s="54"/>
      <c r="Z161" s="54"/>
      <c r="AA161" s="54"/>
      <c r="AB161" s="54"/>
      <c r="AC161" s="54"/>
      <c r="AD161" s="54"/>
      <c r="AE161" s="54"/>
      <c r="AF161" s="54"/>
      <c r="AG161" s="54"/>
      <c r="AH161" s="54"/>
      <c r="AI161" s="54"/>
      <c r="AJ161" s="54"/>
      <c r="AW161" s="18">
        <f t="shared" si="4"/>
        <v>0</v>
      </c>
    </row>
    <row r="162" spans="10:49" ht="15">
      <c r="J162" s="687"/>
      <c r="K162" s="54"/>
      <c r="L162" s="687"/>
      <c r="M162" s="544"/>
      <c r="N162" s="82"/>
      <c r="O162" s="54"/>
      <c r="P162" s="54"/>
      <c r="Q162" s="54"/>
      <c r="R162" s="54"/>
      <c r="S162" s="54"/>
      <c r="T162" s="54"/>
      <c r="U162" s="54"/>
      <c r="V162" s="54"/>
      <c r="W162" s="54"/>
      <c r="X162" s="54"/>
      <c r="Y162" s="54"/>
      <c r="Z162" s="54"/>
      <c r="AA162" s="54"/>
      <c r="AB162" s="54"/>
      <c r="AC162" s="54"/>
      <c r="AD162" s="54"/>
      <c r="AE162" s="54"/>
      <c r="AF162" s="54"/>
      <c r="AG162" s="54"/>
      <c r="AH162" s="54"/>
      <c r="AI162" s="54"/>
      <c r="AJ162" s="54"/>
      <c r="AW162" s="18">
        <f t="shared" si="4"/>
        <v>0</v>
      </c>
    </row>
    <row r="163" spans="10:49" ht="15">
      <c r="J163" s="687"/>
      <c r="K163" s="54"/>
      <c r="L163" s="687"/>
      <c r="M163" s="544"/>
      <c r="N163" s="82"/>
      <c r="O163" s="54"/>
      <c r="P163" s="54"/>
      <c r="Q163" s="54"/>
      <c r="R163" s="54"/>
      <c r="S163" s="54"/>
      <c r="T163" s="54"/>
      <c r="U163" s="54"/>
      <c r="V163" s="54"/>
      <c r="W163" s="54"/>
      <c r="X163" s="54"/>
      <c r="Y163" s="54"/>
      <c r="Z163" s="54"/>
      <c r="AA163" s="54"/>
      <c r="AB163" s="54"/>
      <c r="AC163" s="54"/>
      <c r="AD163" s="54"/>
      <c r="AE163" s="54"/>
      <c r="AF163" s="54"/>
      <c r="AG163" s="54"/>
      <c r="AH163" s="54"/>
      <c r="AI163" s="54"/>
      <c r="AJ163" s="54"/>
      <c r="AW163" s="18">
        <f t="shared" si="4"/>
        <v>0</v>
      </c>
    </row>
    <row r="164" spans="10:49" ht="15">
      <c r="J164" s="687"/>
      <c r="K164" s="54"/>
      <c r="L164" s="687"/>
      <c r="M164" s="544"/>
      <c r="N164" s="82"/>
      <c r="O164" s="54"/>
      <c r="P164" s="54"/>
      <c r="Q164" s="54"/>
      <c r="R164" s="54"/>
      <c r="S164" s="54"/>
      <c r="T164" s="54"/>
      <c r="U164" s="54"/>
      <c r="V164" s="54"/>
      <c r="W164" s="54"/>
      <c r="X164" s="54"/>
      <c r="Y164" s="54"/>
      <c r="Z164" s="54"/>
      <c r="AA164" s="54"/>
      <c r="AB164" s="54"/>
      <c r="AC164" s="54"/>
      <c r="AD164" s="54"/>
      <c r="AE164" s="54"/>
      <c r="AF164" s="54"/>
      <c r="AG164" s="54"/>
      <c r="AH164" s="54"/>
      <c r="AI164" s="54"/>
      <c r="AJ164" s="54"/>
      <c r="AW164" s="18">
        <f t="shared" si="4"/>
        <v>0</v>
      </c>
    </row>
    <row r="165" spans="10:49" ht="15">
      <c r="J165" s="687"/>
      <c r="K165" s="54"/>
      <c r="L165" s="687"/>
      <c r="M165" s="544"/>
      <c r="N165" s="82"/>
      <c r="O165" s="54"/>
      <c r="P165" s="54"/>
      <c r="Q165" s="54"/>
      <c r="R165" s="54"/>
      <c r="S165" s="54"/>
      <c r="T165" s="54"/>
      <c r="U165" s="54"/>
      <c r="V165" s="54"/>
      <c r="W165" s="54"/>
      <c r="X165" s="54"/>
      <c r="Y165" s="54"/>
      <c r="Z165" s="54"/>
      <c r="AA165" s="54"/>
      <c r="AB165" s="54"/>
      <c r="AC165" s="54"/>
      <c r="AD165" s="54"/>
      <c r="AE165" s="54"/>
      <c r="AF165" s="54"/>
      <c r="AG165" s="54"/>
      <c r="AH165" s="54"/>
      <c r="AI165" s="54"/>
      <c r="AJ165" s="54"/>
      <c r="AW165" s="18">
        <f t="shared" si="4"/>
        <v>0</v>
      </c>
    </row>
    <row r="166" spans="10:49" ht="15">
      <c r="J166" s="687"/>
      <c r="K166" s="54"/>
      <c r="L166" s="687"/>
      <c r="M166" s="544"/>
      <c r="N166" s="82"/>
      <c r="O166" s="54"/>
      <c r="P166" s="54"/>
      <c r="Q166" s="54"/>
      <c r="R166" s="54"/>
      <c r="S166" s="54"/>
      <c r="T166" s="54"/>
      <c r="U166" s="54"/>
      <c r="V166" s="54"/>
      <c r="W166" s="54"/>
      <c r="X166" s="54"/>
      <c r="Y166" s="54"/>
      <c r="Z166" s="54"/>
      <c r="AA166" s="54"/>
      <c r="AB166" s="54"/>
      <c r="AC166" s="54"/>
      <c r="AD166" s="54"/>
      <c r="AE166" s="54"/>
      <c r="AF166" s="54"/>
      <c r="AG166" s="54"/>
      <c r="AH166" s="54"/>
      <c r="AI166" s="54"/>
      <c r="AJ166" s="54"/>
      <c r="AW166" s="18">
        <f t="shared" ref="AW166:AW229" si="5">LEN(L166)</f>
        <v>0</v>
      </c>
    </row>
    <row r="167" spans="10:49" ht="15">
      <c r="J167" s="687"/>
      <c r="K167" s="54"/>
      <c r="L167" s="687"/>
      <c r="M167" s="544"/>
      <c r="N167" s="82"/>
      <c r="O167" s="54"/>
      <c r="P167" s="54"/>
      <c r="Q167" s="54"/>
      <c r="R167" s="54"/>
      <c r="S167" s="54"/>
      <c r="T167" s="54"/>
      <c r="U167" s="54"/>
      <c r="V167" s="54"/>
      <c r="W167" s="54"/>
      <c r="X167" s="54"/>
      <c r="Y167" s="54"/>
      <c r="Z167" s="54"/>
      <c r="AA167" s="54"/>
      <c r="AB167" s="54"/>
      <c r="AC167" s="54"/>
      <c r="AD167" s="54"/>
      <c r="AE167" s="54"/>
      <c r="AF167" s="54"/>
      <c r="AG167" s="54"/>
      <c r="AH167" s="54"/>
      <c r="AI167" s="54"/>
      <c r="AJ167" s="54"/>
      <c r="AW167" s="18">
        <f t="shared" si="5"/>
        <v>0</v>
      </c>
    </row>
    <row r="168" spans="10:49" ht="15">
      <c r="J168" s="687"/>
      <c r="K168" s="54"/>
      <c r="L168" s="687"/>
      <c r="M168" s="544"/>
      <c r="N168" s="82"/>
      <c r="O168" s="54"/>
      <c r="P168" s="54"/>
      <c r="Q168" s="54"/>
      <c r="R168" s="54"/>
      <c r="S168" s="54"/>
      <c r="T168" s="54"/>
      <c r="U168" s="54"/>
      <c r="V168" s="54"/>
      <c r="W168" s="54"/>
      <c r="X168" s="54"/>
      <c r="Y168" s="54"/>
      <c r="Z168" s="54"/>
      <c r="AA168" s="54"/>
      <c r="AB168" s="54"/>
      <c r="AC168" s="54"/>
      <c r="AD168" s="54"/>
      <c r="AE168" s="54"/>
      <c r="AF168" s="54"/>
      <c r="AG168" s="54"/>
      <c r="AH168" s="54"/>
      <c r="AI168" s="54"/>
      <c r="AJ168" s="54"/>
      <c r="AW168" s="18">
        <f t="shared" si="5"/>
        <v>0</v>
      </c>
    </row>
    <row r="169" spans="10:49" ht="15">
      <c r="J169" s="687"/>
      <c r="K169" s="54"/>
      <c r="L169" s="687"/>
      <c r="M169" s="544"/>
      <c r="N169" s="82"/>
      <c r="O169" s="54"/>
      <c r="P169" s="54"/>
      <c r="Q169" s="54"/>
      <c r="R169" s="54"/>
      <c r="S169" s="54"/>
      <c r="T169" s="54"/>
      <c r="U169" s="54"/>
      <c r="V169" s="54"/>
      <c r="W169" s="54"/>
      <c r="X169" s="54"/>
      <c r="Y169" s="54"/>
      <c r="Z169" s="54"/>
      <c r="AA169" s="54"/>
      <c r="AB169" s="54"/>
      <c r="AC169" s="54"/>
      <c r="AD169" s="54"/>
      <c r="AE169" s="54"/>
      <c r="AF169" s="54"/>
      <c r="AG169" s="54"/>
      <c r="AH169" s="54"/>
      <c r="AI169" s="54"/>
      <c r="AJ169" s="54"/>
      <c r="AW169" s="18">
        <f t="shared" si="5"/>
        <v>0</v>
      </c>
    </row>
    <row r="170" spans="10:49" ht="15">
      <c r="J170" s="687"/>
      <c r="K170" s="54"/>
      <c r="L170" s="687"/>
      <c r="M170" s="544"/>
      <c r="N170" s="82"/>
      <c r="O170" s="54"/>
      <c r="P170" s="54"/>
      <c r="Q170" s="54"/>
      <c r="R170" s="54"/>
      <c r="S170" s="54"/>
      <c r="T170" s="54"/>
      <c r="U170" s="54"/>
      <c r="V170" s="54"/>
      <c r="W170" s="54"/>
      <c r="X170" s="54"/>
      <c r="Y170" s="54"/>
      <c r="Z170" s="54"/>
      <c r="AA170" s="54"/>
      <c r="AB170" s="54"/>
      <c r="AC170" s="54"/>
      <c r="AD170" s="54"/>
      <c r="AE170" s="54"/>
      <c r="AF170" s="54"/>
      <c r="AG170" s="54"/>
      <c r="AH170" s="54"/>
      <c r="AI170" s="54"/>
      <c r="AJ170" s="54"/>
      <c r="AW170" s="18">
        <f t="shared" si="5"/>
        <v>0</v>
      </c>
    </row>
    <row r="171" spans="10:49" ht="15">
      <c r="J171" s="687"/>
      <c r="K171" s="54"/>
      <c r="L171" s="687"/>
      <c r="M171" s="544"/>
      <c r="N171" s="82"/>
      <c r="O171" s="54"/>
      <c r="P171" s="54"/>
      <c r="Q171" s="54"/>
      <c r="R171" s="54"/>
      <c r="S171" s="54"/>
      <c r="T171" s="54"/>
      <c r="U171" s="54"/>
      <c r="V171" s="54"/>
      <c r="W171" s="54"/>
      <c r="X171" s="54"/>
      <c r="Y171" s="54"/>
      <c r="Z171" s="54"/>
      <c r="AA171" s="54"/>
      <c r="AB171" s="54"/>
      <c r="AC171" s="54"/>
      <c r="AD171" s="54"/>
      <c r="AE171" s="54"/>
      <c r="AF171" s="54"/>
      <c r="AG171" s="54"/>
      <c r="AH171" s="54"/>
      <c r="AI171" s="54"/>
      <c r="AJ171" s="54"/>
      <c r="AW171" s="18">
        <f t="shared" si="5"/>
        <v>0</v>
      </c>
    </row>
    <row r="172" spans="10:49" ht="15">
      <c r="J172" s="687"/>
      <c r="K172" s="54"/>
      <c r="L172" s="687"/>
      <c r="M172" s="544"/>
      <c r="N172" s="82"/>
      <c r="O172" s="54"/>
      <c r="P172" s="54"/>
      <c r="Q172" s="54"/>
      <c r="R172" s="54"/>
      <c r="S172" s="54"/>
      <c r="T172" s="54"/>
      <c r="U172" s="54"/>
      <c r="V172" s="54"/>
      <c r="W172" s="54"/>
      <c r="X172" s="54"/>
      <c r="Y172" s="54"/>
      <c r="Z172" s="54"/>
      <c r="AA172" s="54"/>
      <c r="AB172" s="54"/>
      <c r="AC172" s="54"/>
      <c r="AD172" s="54"/>
      <c r="AE172" s="54"/>
      <c r="AF172" s="54"/>
      <c r="AG172" s="54"/>
      <c r="AH172" s="54"/>
      <c r="AI172" s="54"/>
      <c r="AJ172" s="54"/>
      <c r="AW172" s="18">
        <f t="shared" si="5"/>
        <v>0</v>
      </c>
    </row>
    <row r="173" spans="10:49" ht="15">
      <c r="J173" s="687"/>
      <c r="K173" s="54"/>
      <c r="L173" s="687"/>
      <c r="M173" s="544"/>
      <c r="N173" s="82"/>
      <c r="O173" s="54"/>
      <c r="P173" s="54"/>
      <c r="Q173" s="54"/>
      <c r="R173" s="54"/>
      <c r="S173" s="54"/>
      <c r="T173" s="54"/>
      <c r="U173" s="54"/>
      <c r="V173" s="54"/>
      <c r="W173" s="54"/>
      <c r="X173" s="54"/>
      <c r="Y173" s="54"/>
      <c r="Z173" s="54"/>
      <c r="AA173" s="54"/>
      <c r="AB173" s="54"/>
      <c r="AC173" s="54"/>
      <c r="AD173" s="54"/>
      <c r="AE173" s="54"/>
      <c r="AF173" s="54"/>
      <c r="AG173" s="54"/>
      <c r="AH173" s="54"/>
      <c r="AI173" s="54"/>
      <c r="AJ173" s="54"/>
      <c r="AW173" s="18">
        <f t="shared" si="5"/>
        <v>0</v>
      </c>
    </row>
    <row r="174" spans="10:49" ht="15">
      <c r="J174" s="687"/>
      <c r="K174" s="54"/>
      <c r="L174" s="687"/>
      <c r="M174" s="544"/>
      <c r="N174" s="82"/>
      <c r="O174" s="54"/>
      <c r="P174" s="54"/>
      <c r="Q174" s="54"/>
      <c r="R174" s="54"/>
      <c r="S174" s="54"/>
      <c r="T174" s="54"/>
      <c r="U174" s="54"/>
      <c r="V174" s="54"/>
      <c r="W174" s="54"/>
      <c r="X174" s="54"/>
      <c r="Y174" s="54"/>
      <c r="Z174" s="54"/>
      <c r="AA174" s="54"/>
      <c r="AB174" s="54"/>
      <c r="AC174" s="54"/>
      <c r="AD174" s="54"/>
      <c r="AE174" s="54"/>
      <c r="AF174" s="54"/>
      <c r="AG174" s="54"/>
      <c r="AH174" s="54"/>
      <c r="AI174" s="54"/>
      <c r="AJ174" s="54"/>
      <c r="AW174" s="18">
        <f t="shared" si="5"/>
        <v>0</v>
      </c>
    </row>
    <row r="175" spans="10:49" ht="15">
      <c r="J175" s="687"/>
      <c r="K175" s="54"/>
      <c r="L175" s="687"/>
      <c r="M175" s="544"/>
      <c r="N175" s="82"/>
      <c r="O175" s="54"/>
      <c r="P175" s="54"/>
      <c r="Q175" s="54"/>
      <c r="R175" s="54"/>
      <c r="S175" s="54"/>
      <c r="T175" s="54"/>
      <c r="U175" s="54"/>
      <c r="V175" s="54"/>
      <c r="W175" s="54"/>
      <c r="X175" s="54"/>
      <c r="Y175" s="54"/>
      <c r="Z175" s="54"/>
      <c r="AA175" s="54"/>
      <c r="AB175" s="54"/>
      <c r="AC175" s="54"/>
      <c r="AD175" s="54"/>
      <c r="AE175" s="54"/>
      <c r="AF175" s="54"/>
      <c r="AG175" s="54"/>
      <c r="AH175" s="54"/>
      <c r="AI175" s="54"/>
      <c r="AJ175" s="54"/>
      <c r="AW175" s="18">
        <f t="shared" si="5"/>
        <v>0</v>
      </c>
    </row>
    <row r="176" spans="10:49" ht="15">
      <c r="J176" s="687"/>
      <c r="K176" s="54"/>
      <c r="L176" s="687"/>
      <c r="M176" s="544"/>
      <c r="N176" s="82"/>
      <c r="O176" s="54"/>
      <c r="P176" s="54"/>
      <c r="Q176" s="54"/>
      <c r="R176" s="54"/>
      <c r="S176" s="54"/>
      <c r="T176" s="54"/>
      <c r="U176" s="54"/>
      <c r="V176" s="54"/>
      <c r="W176" s="54"/>
      <c r="X176" s="54"/>
      <c r="Y176" s="54"/>
      <c r="Z176" s="54"/>
      <c r="AA176" s="54"/>
      <c r="AB176" s="54"/>
      <c r="AC176" s="54"/>
      <c r="AD176" s="54"/>
      <c r="AE176" s="54"/>
      <c r="AF176" s="54"/>
      <c r="AG176" s="54"/>
      <c r="AH176" s="54"/>
      <c r="AI176" s="54"/>
      <c r="AJ176" s="54"/>
      <c r="AW176" s="18">
        <f t="shared" si="5"/>
        <v>0</v>
      </c>
    </row>
    <row r="177" spans="10:49" ht="15">
      <c r="J177" s="687"/>
      <c r="K177" s="54"/>
      <c r="L177" s="687"/>
      <c r="M177" s="544"/>
      <c r="N177" s="82"/>
      <c r="O177" s="54"/>
      <c r="P177" s="54"/>
      <c r="Q177" s="54"/>
      <c r="R177" s="54"/>
      <c r="S177" s="54"/>
      <c r="T177" s="54"/>
      <c r="U177" s="54"/>
      <c r="V177" s="54"/>
      <c r="W177" s="54"/>
      <c r="X177" s="54"/>
      <c r="Y177" s="54"/>
      <c r="Z177" s="54"/>
      <c r="AA177" s="54"/>
      <c r="AB177" s="54"/>
      <c r="AC177" s="54"/>
      <c r="AD177" s="54"/>
      <c r="AE177" s="54"/>
      <c r="AF177" s="54"/>
      <c r="AG177" s="54"/>
      <c r="AH177" s="54"/>
      <c r="AI177" s="54"/>
      <c r="AJ177" s="54"/>
      <c r="AW177" s="18">
        <f t="shared" si="5"/>
        <v>0</v>
      </c>
    </row>
    <row r="178" spans="10:49" ht="15">
      <c r="J178" s="687"/>
      <c r="K178" s="54"/>
      <c r="L178" s="687"/>
      <c r="M178" s="544"/>
      <c r="N178" s="82"/>
      <c r="O178" s="54"/>
      <c r="P178" s="54"/>
      <c r="Q178" s="54"/>
      <c r="R178" s="54"/>
      <c r="S178" s="54"/>
      <c r="T178" s="54"/>
      <c r="U178" s="54"/>
      <c r="V178" s="54"/>
      <c r="W178" s="54"/>
      <c r="X178" s="54"/>
      <c r="Y178" s="54"/>
      <c r="Z178" s="54"/>
      <c r="AA178" s="54"/>
      <c r="AB178" s="54"/>
      <c r="AC178" s="54"/>
      <c r="AD178" s="54"/>
      <c r="AE178" s="54"/>
      <c r="AF178" s="54"/>
      <c r="AG178" s="54"/>
      <c r="AH178" s="54"/>
      <c r="AI178" s="54"/>
      <c r="AJ178" s="54"/>
      <c r="AW178" s="18">
        <f t="shared" si="5"/>
        <v>0</v>
      </c>
    </row>
    <row r="179" spans="10:49" ht="15">
      <c r="J179" s="687"/>
      <c r="K179" s="54"/>
      <c r="L179" s="687"/>
      <c r="M179" s="544"/>
      <c r="N179" s="82"/>
      <c r="O179" s="54"/>
      <c r="P179" s="54"/>
      <c r="Q179" s="54"/>
      <c r="R179" s="54"/>
      <c r="S179" s="54"/>
      <c r="T179" s="54"/>
      <c r="U179" s="54"/>
      <c r="V179" s="54"/>
      <c r="W179" s="54"/>
      <c r="X179" s="54"/>
      <c r="Y179" s="54"/>
      <c r="Z179" s="54"/>
      <c r="AA179" s="54"/>
      <c r="AB179" s="54"/>
      <c r="AC179" s="54"/>
      <c r="AD179" s="54"/>
      <c r="AE179" s="54"/>
      <c r="AF179" s="54"/>
      <c r="AG179" s="54"/>
      <c r="AH179" s="54"/>
      <c r="AI179" s="54"/>
      <c r="AJ179" s="54"/>
      <c r="AW179" s="18">
        <f t="shared" si="5"/>
        <v>0</v>
      </c>
    </row>
    <row r="180" spans="10:49" ht="15">
      <c r="J180" s="687"/>
      <c r="K180" s="54"/>
      <c r="L180" s="687"/>
      <c r="M180" s="544"/>
      <c r="N180" s="82"/>
      <c r="O180" s="54"/>
      <c r="P180" s="54"/>
      <c r="Q180" s="54"/>
      <c r="R180" s="54"/>
      <c r="S180" s="54"/>
      <c r="T180" s="54"/>
      <c r="U180" s="54"/>
      <c r="V180" s="54"/>
      <c r="W180" s="54"/>
      <c r="X180" s="54"/>
      <c r="Y180" s="54"/>
      <c r="Z180" s="54"/>
      <c r="AA180" s="54"/>
      <c r="AB180" s="54"/>
      <c r="AC180" s="54"/>
      <c r="AD180" s="54"/>
      <c r="AE180" s="54"/>
      <c r="AF180" s="54"/>
      <c r="AG180" s="54"/>
      <c r="AH180" s="54"/>
      <c r="AI180" s="54"/>
      <c r="AJ180" s="54"/>
      <c r="AW180" s="18">
        <f t="shared" si="5"/>
        <v>0</v>
      </c>
    </row>
    <row r="181" spans="10:49" ht="15">
      <c r="J181" s="687"/>
      <c r="K181" s="54"/>
      <c r="L181" s="687"/>
      <c r="M181" s="544"/>
      <c r="N181" s="82"/>
      <c r="O181" s="54"/>
      <c r="P181" s="54"/>
      <c r="Q181" s="54"/>
      <c r="R181" s="54"/>
      <c r="S181" s="54"/>
      <c r="T181" s="54"/>
      <c r="U181" s="54"/>
      <c r="V181" s="54"/>
      <c r="W181" s="54"/>
      <c r="X181" s="54"/>
      <c r="Y181" s="54"/>
      <c r="Z181" s="54"/>
      <c r="AA181" s="54"/>
      <c r="AB181" s="54"/>
      <c r="AC181" s="54"/>
      <c r="AD181" s="54"/>
      <c r="AE181" s="54"/>
      <c r="AF181" s="54"/>
      <c r="AG181" s="54"/>
      <c r="AH181" s="54"/>
      <c r="AI181" s="54"/>
      <c r="AJ181" s="54"/>
      <c r="AW181" s="18">
        <f t="shared" si="5"/>
        <v>0</v>
      </c>
    </row>
    <row r="182" spans="10:49" ht="15">
      <c r="J182" s="687"/>
      <c r="K182" s="54"/>
      <c r="L182" s="687"/>
      <c r="M182" s="544"/>
      <c r="N182" s="82"/>
      <c r="O182" s="54"/>
      <c r="P182" s="54"/>
      <c r="Q182" s="54"/>
      <c r="R182" s="54"/>
      <c r="S182" s="54"/>
      <c r="T182" s="54"/>
      <c r="U182" s="54"/>
      <c r="V182" s="54"/>
      <c r="W182" s="54"/>
      <c r="X182" s="54"/>
      <c r="Y182" s="54"/>
      <c r="Z182" s="54"/>
      <c r="AA182" s="54"/>
      <c r="AB182" s="54"/>
      <c r="AC182" s="54"/>
      <c r="AD182" s="54"/>
      <c r="AE182" s="54"/>
      <c r="AF182" s="54"/>
      <c r="AG182" s="54"/>
      <c r="AH182" s="54"/>
      <c r="AI182" s="54"/>
      <c r="AJ182" s="54"/>
      <c r="AW182" s="18">
        <f t="shared" si="5"/>
        <v>0</v>
      </c>
    </row>
    <row r="183" spans="10:49" ht="15">
      <c r="J183" s="687"/>
      <c r="K183" s="54"/>
      <c r="L183" s="687"/>
      <c r="M183" s="544"/>
      <c r="N183" s="82"/>
      <c r="O183" s="54"/>
      <c r="P183" s="54"/>
      <c r="Q183" s="54"/>
      <c r="R183" s="54"/>
      <c r="S183" s="54"/>
      <c r="T183" s="54"/>
      <c r="U183" s="54"/>
      <c r="V183" s="54"/>
      <c r="W183" s="54"/>
      <c r="X183" s="54"/>
      <c r="Y183" s="54"/>
      <c r="Z183" s="54"/>
      <c r="AA183" s="54"/>
      <c r="AB183" s="54"/>
      <c r="AC183" s="54"/>
      <c r="AD183" s="54"/>
      <c r="AE183" s="54"/>
      <c r="AF183" s="54"/>
      <c r="AG183" s="54"/>
      <c r="AH183" s="54"/>
      <c r="AI183" s="54"/>
      <c r="AJ183" s="54"/>
      <c r="AW183" s="18">
        <f t="shared" si="5"/>
        <v>0</v>
      </c>
    </row>
    <row r="184" spans="10:49" ht="15">
      <c r="J184" s="687"/>
      <c r="K184" s="54"/>
      <c r="L184" s="687"/>
      <c r="M184" s="544"/>
      <c r="N184" s="82"/>
      <c r="O184" s="54"/>
      <c r="P184" s="54"/>
      <c r="Q184" s="54"/>
      <c r="R184" s="54"/>
      <c r="S184" s="54"/>
      <c r="T184" s="54"/>
      <c r="U184" s="54"/>
      <c r="V184" s="54"/>
      <c r="W184" s="54"/>
      <c r="X184" s="54"/>
      <c r="Y184" s="54"/>
      <c r="Z184" s="54"/>
      <c r="AA184" s="54"/>
      <c r="AB184" s="54"/>
      <c r="AC184" s="54"/>
      <c r="AD184" s="54"/>
      <c r="AE184" s="54"/>
      <c r="AF184" s="54"/>
      <c r="AG184" s="54"/>
      <c r="AH184" s="54"/>
      <c r="AI184" s="54"/>
      <c r="AJ184" s="54"/>
      <c r="AW184" s="18">
        <f t="shared" si="5"/>
        <v>0</v>
      </c>
    </row>
    <row r="185" spans="10:49" ht="15">
      <c r="J185" s="687"/>
      <c r="K185" s="54"/>
      <c r="L185" s="687"/>
      <c r="M185" s="544"/>
      <c r="N185" s="82"/>
      <c r="O185" s="54"/>
      <c r="P185" s="54"/>
      <c r="Q185" s="54"/>
      <c r="R185" s="54"/>
      <c r="S185" s="54"/>
      <c r="T185" s="54"/>
      <c r="U185" s="54"/>
      <c r="V185" s="54"/>
      <c r="W185" s="54"/>
      <c r="X185" s="54"/>
      <c r="Y185" s="54"/>
      <c r="Z185" s="54"/>
      <c r="AA185" s="54"/>
      <c r="AB185" s="54"/>
      <c r="AC185" s="54"/>
      <c r="AD185" s="54"/>
      <c r="AE185" s="54"/>
      <c r="AF185" s="54"/>
      <c r="AG185" s="54"/>
      <c r="AH185" s="54"/>
      <c r="AI185" s="54"/>
      <c r="AJ185" s="54"/>
      <c r="AW185" s="18">
        <f t="shared" si="5"/>
        <v>0</v>
      </c>
    </row>
    <row r="186" spans="10:49" ht="15">
      <c r="J186" s="687"/>
      <c r="K186" s="54"/>
      <c r="L186" s="687"/>
      <c r="M186" s="544"/>
      <c r="N186" s="82"/>
      <c r="O186" s="54"/>
      <c r="P186" s="54"/>
      <c r="Q186" s="54"/>
      <c r="R186" s="54"/>
      <c r="S186" s="54"/>
      <c r="T186" s="54"/>
      <c r="U186" s="54"/>
      <c r="V186" s="54"/>
      <c r="W186" s="54"/>
      <c r="X186" s="54"/>
      <c r="Y186" s="54"/>
      <c r="Z186" s="54"/>
      <c r="AA186" s="54"/>
      <c r="AB186" s="54"/>
      <c r="AC186" s="54"/>
      <c r="AD186" s="54"/>
      <c r="AE186" s="54"/>
      <c r="AF186" s="54"/>
      <c r="AG186" s="54"/>
      <c r="AH186" s="54"/>
      <c r="AI186" s="54"/>
      <c r="AJ186" s="54"/>
      <c r="AW186" s="18">
        <f t="shared" si="5"/>
        <v>0</v>
      </c>
    </row>
    <row r="187" spans="10:49" ht="15">
      <c r="J187" s="687"/>
      <c r="K187" s="54"/>
      <c r="L187" s="687"/>
      <c r="M187" s="544"/>
      <c r="N187" s="82"/>
      <c r="O187" s="54"/>
      <c r="P187" s="54"/>
      <c r="Q187" s="54"/>
      <c r="R187" s="54"/>
      <c r="S187" s="54"/>
      <c r="T187" s="54"/>
      <c r="U187" s="54"/>
      <c r="V187" s="54"/>
      <c r="W187" s="54"/>
      <c r="X187" s="54"/>
      <c r="Y187" s="54"/>
      <c r="Z187" s="54"/>
      <c r="AA187" s="54"/>
      <c r="AB187" s="54"/>
      <c r="AC187" s="54"/>
      <c r="AD187" s="54"/>
      <c r="AE187" s="54"/>
      <c r="AF187" s="54"/>
      <c r="AG187" s="54"/>
      <c r="AH187" s="54"/>
      <c r="AI187" s="54"/>
      <c r="AJ187" s="54"/>
      <c r="AW187" s="18">
        <f t="shared" si="5"/>
        <v>0</v>
      </c>
    </row>
    <row r="188" spans="10:49" ht="15">
      <c r="J188" s="687"/>
      <c r="K188" s="54"/>
      <c r="L188" s="687"/>
      <c r="M188" s="544"/>
      <c r="N188" s="82"/>
      <c r="O188" s="54"/>
      <c r="P188" s="54"/>
      <c r="Q188" s="54"/>
      <c r="R188" s="54"/>
      <c r="S188" s="54"/>
      <c r="T188" s="54"/>
      <c r="U188" s="54"/>
      <c r="V188" s="54"/>
      <c r="W188" s="54"/>
      <c r="X188" s="54"/>
      <c r="Y188" s="54"/>
      <c r="Z188" s="54"/>
      <c r="AA188" s="54"/>
      <c r="AB188" s="54"/>
      <c r="AC188" s="54"/>
      <c r="AD188" s="54"/>
      <c r="AE188" s="54"/>
      <c r="AF188" s="54"/>
      <c r="AG188" s="54"/>
      <c r="AH188" s="54"/>
      <c r="AI188" s="54"/>
      <c r="AJ188" s="54"/>
      <c r="AW188" s="18">
        <f t="shared" si="5"/>
        <v>0</v>
      </c>
    </row>
    <row r="189" spans="10:49" ht="15">
      <c r="J189" s="687"/>
      <c r="K189" s="54"/>
      <c r="L189" s="687"/>
      <c r="M189" s="544"/>
      <c r="N189" s="82"/>
      <c r="O189" s="54"/>
      <c r="P189" s="54"/>
      <c r="Q189" s="54"/>
      <c r="R189" s="54"/>
      <c r="S189" s="54"/>
      <c r="T189" s="54"/>
      <c r="U189" s="54"/>
      <c r="V189" s="54"/>
      <c r="W189" s="54"/>
      <c r="X189" s="54"/>
      <c r="Y189" s="54"/>
      <c r="Z189" s="54"/>
      <c r="AA189" s="54"/>
      <c r="AB189" s="54"/>
      <c r="AC189" s="54"/>
      <c r="AD189" s="54"/>
      <c r="AE189" s="54"/>
      <c r="AF189" s="54"/>
      <c r="AG189" s="54"/>
      <c r="AH189" s="54"/>
      <c r="AI189" s="54"/>
      <c r="AJ189" s="54"/>
      <c r="AW189" s="18">
        <f t="shared" si="5"/>
        <v>0</v>
      </c>
    </row>
    <row r="190" spans="10:49" ht="15">
      <c r="J190" s="687"/>
      <c r="K190" s="54"/>
      <c r="L190" s="687"/>
      <c r="M190" s="544"/>
      <c r="N190" s="82"/>
      <c r="O190" s="54"/>
      <c r="P190" s="54"/>
      <c r="Q190" s="54"/>
      <c r="R190" s="54"/>
      <c r="S190" s="54"/>
      <c r="T190" s="54"/>
      <c r="U190" s="54"/>
      <c r="V190" s="54"/>
      <c r="W190" s="54"/>
      <c r="X190" s="54"/>
      <c r="Y190" s="54"/>
      <c r="Z190" s="54"/>
      <c r="AA190" s="54"/>
      <c r="AB190" s="54"/>
      <c r="AC190" s="54"/>
      <c r="AD190" s="54"/>
      <c r="AE190" s="54"/>
      <c r="AF190" s="54"/>
      <c r="AG190" s="54"/>
      <c r="AH190" s="54"/>
      <c r="AI190" s="54"/>
      <c r="AJ190" s="54"/>
      <c r="AW190" s="18">
        <f t="shared" si="5"/>
        <v>0</v>
      </c>
    </row>
    <row r="191" spans="10:49" ht="15">
      <c r="J191" s="687"/>
      <c r="K191" s="54"/>
      <c r="L191" s="687"/>
      <c r="M191" s="544"/>
      <c r="N191" s="82"/>
      <c r="O191" s="54"/>
      <c r="P191" s="54"/>
      <c r="Q191" s="54"/>
      <c r="R191" s="54"/>
      <c r="S191" s="54"/>
      <c r="T191" s="54"/>
      <c r="U191" s="54"/>
      <c r="V191" s="54"/>
      <c r="W191" s="54"/>
      <c r="X191" s="54"/>
      <c r="Y191" s="54"/>
      <c r="Z191" s="54"/>
      <c r="AA191" s="54"/>
      <c r="AB191" s="54"/>
      <c r="AC191" s="54"/>
      <c r="AD191" s="54"/>
      <c r="AE191" s="54"/>
      <c r="AF191" s="54"/>
      <c r="AG191" s="54"/>
      <c r="AH191" s="54"/>
      <c r="AI191" s="54"/>
      <c r="AJ191" s="54"/>
      <c r="AW191" s="18">
        <f t="shared" si="5"/>
        <v>0</v>
      </c>
    </row>
    <row r="192" spans="10:49" ht="15">
      <c r="J192" s="687"/>
      <c r="K192" s="54"/>
      <c r="L192" s="687"/>
      <c r="M192" s="544"/>
      <c r="N192" s="82"/>
      <c r="O192" s="54"/>
      <c r="P192" s="54"/>
      <c r="Q192" s="54"/>
      <c r="R192" s="54"/>
      <c r="S192" s="54"/>
      <c r="T192" s="54"/>
      <c r="U192" s="54"/>
      <c r="V192" s="54"/>
      <c r="W192" s="54"/>
      <c r="X192" s="54"/>
      <c r="Y192" s="54"/>
      <c r="Z192" s="54"/>
      <c r="AA192" s="54"/>
      <c r="AB192" s="54"/>
      <c r="AC192" s="54"/>
      <c r="AD192" s="54"/>
      <c r="AE192" s="54"/>
      <c r="AF192" s="54"/>
      <c r="AG192" s="54"/>
      <c r="AH192" s="54"/>
      <c r="AI192" s="54"/>
      <c r="AJ192" s="54"/>
      <c r="AW192" s="18">
        <f t="shared" si="5"/>
        <v>0</v>
      </c>
    </row>
    <row r="193" spans="10:49" ht="15">
      <c r="J193" s="687"/>
      <c r="K193" s="54"/>
      <c r="L193" s="687"/>
      <c r="M193" s="544"/>
      <c r="N193" s="82"/>
      <c r="O193" s="54"/>
      <c r="P193" s="54"/>
      <c r="Q193" s="54"/>
      <c r="R193" s="54"/>
      <c r="S193" s="54"/>
      <c r="T193" s="54"/>
      <c r="U193" s="54"/>
      <c r="V193" s="54"/>
      <c r="W193" s="54"/>
      <c r="X193" s="54"/>
      <c r="Y193" s="54"/>
      <c r="Z193" s="54"/>
      <c r="AA193" s="54"/>
      <c r="AB193" s="54"/>
      <c r="AC193" s="54"/>
      <c r="AD193" s="54"/>
      <c r="AE193" s="54"/>
      <c r="AF193" s="54"/>
      <c r="AG193" s="54"/>
      <c r="AH193" s="54"/>
      <c r="AI193" s="54"/>
      <c r="AJ193" s="54"/>
      <c r="AW193" s="18">
        <f t="shared" si="5"/>
        <v>0</v>
      </c>
    </row>
    <row r="194" spans="10:49" ht="15">
      <c r="J194" s="687"/>
      <c r="K194" s="54"/>
      <c r="L194" s="687"/>
      <c r="M194" s="544"/>
      <c r="N194" s="82"/>
      <c r="O194" s="54"/>
      <c r="P194" s="54"/>
      <c r="Q194" s="54"/>
      <c r="R194" s="54"/>
      <c r="S194" s="54"/>
      <c r="T194" s="54"/>
      <c r="U194" s="54"/>
      <c r="V194" s="54"/>
      <c r="W194" s="54"/>
      <c r="X194" s="54"/>
      <c r="Y194" s="54"/>
      <c r="Z194" s="54"/>
      <c r="AA194" s="54"/>
      <c r="AB194" s="54"/>
      <c r="AC194" s="54"/>
      <c r="AD194" s="54"/>
      <c r="AE194" s="54"/>
      <c r="AF194" s="54"/>
      <c r="AG194" s="54"/>
      <c r="AH194" s="54"/>
      <c r="AI194" s="54"/>
      <c r="AJ194" s="54"/>
      <c r="AW194" s="18">
        <f t="shared" si="5"/>
        <v>0</v>
      </c>
    </row>
    <row r="195" spans="10:49" ht="15">
      <c r="J195" s="687"/>
      <c r="K195" s="54"/>
      <c r="L195" s="687"/>
      <c r="M195" s="544"/>
      <c r="N195" s="82"/>
      <c r="O195" s="54"/>
      <c r="P195" s="54"/>
      <c r="Q195" s="54"/>
      <c r="R195" s="54"/>
      <c r="S195" s="54"/>
      <c r="T195" s="54"/>
      <c r="U195" s="54"/>
      <c r="V195" s="54"/>
      <c r="W195" s="54"/>
      <c r="X195" s="54"/>
      <c r="Y195" s="54"/>
      <c r="Z195" s="54"/>
      <c r="AA195" s="54"/>
      <c r="AB195" s="54"/>
      <c r="AC195" s="54"/>
      <c r="AD195" s="54"/>
      <c r="AE195" s="54"/>
      <c r="AF195" s="54"/>
      <c r="AG195" s="54"/>
      <c r="AH195" s="54"/>
      <c r="AI195" s="54"/>
      <c r="AJ195" s="54"/>
      <c r="AW195" s="18">
        <f t="shared" si="5"/>
        <v>0</v>
      </c>
    </row>
    <row r="196" spans="10:49" ht="15">
      <c r="J196" s="687"/>
      <c r="K196" s="54"/>
      <c r="L196" s="687"/>
      <c r="M196" s="544"/>
      <c r="N196" s="82"/>
      <c r="O196" s="54"/>
      <c r="P196" s="54"/>
      <c r="Q196" s="54"/>
      <c r="R196" s="54"/>
      <c r="S196" s="54"/>
      <c r="T196" s="54"/>
      <c r="U196" s="54"/>
      <c r="V196" s="54"/>
      <c r="W196" s="54"/>
      <c r="X196" s="54"/>
      <c r="Y196" s="54"/>
      <c r="Z196" s="54"/>
      <c r="AA196" s="54"/>
      <c r="AB196" s="54"/>
      <c r="AC196" s="54"/>
      <c r="AD196" s="54"/>
      <c r="AE196" s="54"/>
      <c r="AF196" s="54"/>
      <c r="AG196" s="54"/>
      <c r="AH196" s="54"/>
      <c r="AI196" s="54"/>
      <c r="AJ196" s="54"/>
      <c r="AW196" s="18">
        <f t="shared" si="5"/>
        <v>0</v>
      </c>
    </row>
    <row r="197" spans="10:49" ht="15">
      <c r="J197" s="687"/>
      <c r="K197" s="54"/>
      <c r="L197" s="687"/>
      <c r="M197" s="544"/>
      <c r="N197" s="82"/>
      <c r="O197" s="54"/>
      <c r="P197" s="54"/>
      <c r="Q197" s="54"/>
      <c r="R197" s="54"/>
      <c r="S197" s="54"/>
      <c r="T197" s="54"/>
      <c r="U197" s="54"/>
      <c r="V197" s="54"/>
      <c r="W197" s="54"/>
      <c r="X197" s="54"/>
      <c r="Y197" s="54"/>
      <c r="Z197" s="54"/>
      <c r="AA197" s="54"/>
      <c r="AB197" s="54"/>
      <c r="AC197" s="54"/>
      <c r="AD197" s="54"/>
      <c r="AE197" s="54"/>
      <c r="AF197" s="54"/>
      <c r="AG197" s="54"/>
      <c r="AH197" s="54"/>
      <c r="AI197" s="54"/>
      <c r="AJ197" s="54"/>
      <c r="AW197" s="18">
        <f t="shared" si="5"/>
        <v>0</v>
      </c>
    </row>
    <row r="198" spans="10:49" ht="15">
      <c r="J198" s="687"/>
      <c r="K198" s="54"/>
      <c r="L198" s="687"/>
      <c r="M198" s="544"/>
      <c r="N198" s="82"/>
      <c r="O198" s="54"/>
      <c r="P198" s="54"/>
      <c r="Q198" s="54"/>
      <c r="R198" s="54"/>
      <c r="S198" s="54"/>
      <c r="T198" s="54"/>
      <c r="U198" s="54"/>
      <c r="V198" s="54"/>
      <c r="W198" s="54"/>
      <c r="X198" s="54"/>
      <c r="Y198" s="54"/>
      <c r="Z198" s="54"/>
      <c r="AA198" s="54"/>
      <c r="AB198" s="54"/>
      <c r="AC198" s="54"/>
      <c r="AD198" s="54"/>
      <c r="AE198" s="54"/>
      <c r="AF198" s="54"/>
      <c r="AG198" s="54"/>
      <c r="AH198" s="54"/>
      <c r="AI198" s="54"/>
      <c r="AJ198" s="54"/>
      <c r="AW198" s="18">
        <f t="shared" si="5"/>
        <v>0</v>
      </c>
    </row>
    <row r="199" spans="10:49" ht="15">
      <c r="J199" s="687"/>
      <c r="K199" s="54"/>
      <c r="L199" s="687"/>
      <c r="M199" s="544"/>
      <c r="N199" s="82"/>
      <c r="O199" s="54"/>
      <c r="P199" s="54"/>
      <c r="Q199" s="54"/>
      <c r="R199" s="54"/>
      <c r="S199" s="54"/>
      <c r="T199" s="54"/>
      <c r="U199" s="54"/>
      <c r="V199" s="54"/>
      <c r="W199" s="54"/>
      <c r="X199" s="54"/>
      <c r="Y199" s="54"/>
      <c r="Z199" s="54"/>
      <c r="AA199" s="54"/>
      <c r="AB199" s="54"/>
      <c r="AC199" s="54"/>
      <c r="AD199" s="54"/>
      <c r="AE199" s="54"/>
      <c r="AF199" s="54"/>
      <c r="AG199" s="54"/>
      <c r="AH199" s="54"/>
      <c r="AI199" s="54"/>
      <c r="AJ199" s="54"/>
      <c r="AW199" s="18">
        <f t="shared" si="5"/>
        <v>0</v>
      </c>
    </row>
    <row r="200" spans="10:49" ht="15">
      <c r="J200" s="687"/>
      <c r="K200" s="54"/>
      <c r="L200" s="687"/>
      <c r="M200" s="544"/>
      <c r="N200" s="82"/>
      <c r="O200" s="54"/>
      <c r="P200" s="54"/>
      <c r="Q200" s="54"/>
      <c r="R200" s="54"/>
      <c r="S200" s="54"/>
      <c r="T200" s="54"/>
      <c r="U200" s="54"/>
      <c r="V200" s="54"/>
      <c r="W200" s="54"/>
      <c r="X200" s="54"/>
      <c r="Y200" s="54"/>
      <c r="Z200" s="54"/>
      <c r="AA200" s="54"/>
      <c r="AB200" s="54"/>
      <c r="AC200" s="54"/>
      <c r="AD200" s="54"/>
      <c r="AE200" s="54"/>
      <c r="AF200" s="54"/>
      <c r="AG200" s="54"/>
      <c r="AH200" s="54"/>
      <c r="AI200" s="54"/>
      <c r="AJ200" s="54"/>
      <c r="AW200" s="18">
        <f t="shared" si="5"/>
        <v>0</v>
      </c>
    </row>
    <row r="201" spans="10:49" ht="15">
      <c r="J201" s="687"/>
      <c r="K201" s="54"/>
      <c r="L201" s="687"/>
      <c r="M201" s="544"/>
      <c r="N201" s="82"/>
      <c r="O201" s="54"/>
      <c r="P201" s="54"/>
      <c r="Q201" s="54"/>
      <c r="R201" s="54"/>
      <c r="S201" s="54"/>
      <c r="T201" s="54"/>
      <c r="U201" s="54"/>
      <c r="V201" s="54"/>
      <c r="W201" s="54"/>
      <c r="X201" s="54"/>
      <c r="Y201" s="54"/>
      <c r="Z201" s="54"/>
      <c r="AA201" s="54"/>
      <c r="AB201" s="54"/>
      <c r="AC201" s="54"/>
      <c r="AD201" s="54"/>
      <c r="AE201" s="54"/>
      <c r="AF201" s="54"/>
      <c r="AG201" s="54"/>
      <c r="AH201" s="54"/>
      <c r="AI201" s="54"/>
      <c r="AJ201" s="54"/>
      <c r="AW201" s="18">
        <f t="shared" si="5"/>
        <v>0</v>
      </c>
    </row>
    <row r="202" spans="10:49" ht="15">
      <c r="J202" s="687"/>
      <c r="K202" s="54"/>
      <c r="L202" s="687"/>
      <c r="M202" s="544"/>
      <c r="N202" s="82"/>
      <c r="O202" s="54"/>
      <c r="P202" s="54"/>
      <c r="Q202" s="54"/>
      <c r="R202" s="54"/>
      <c r="S202" s="54"/>
      <c r="T202" s="54"/>
      <c r="U202" s="54"/>
      <c r="V202" s="54"/>
      <c r="W202" s="54"/>
      <c r="X202" s="54"/>
      <c r="Y202" s="54"/>
      <c r="Z202" s="54"/>
      <c r="AA202" s="54"/>
      <c r="AB202" s="54"/>
      <c r="AC202" s="54"/>
      <c r="AD202" s="54"/>
      <c r="AE202" s="54"/>
      <c r="AF202" s="54"/>
      <c r="AG202" s="54"/>
      <c r="AH202" s="54"/>
      <c r="AI202" s="54"/>
      <c r="AJ202" s="54"/>
      <c r="AW202" s="18">
        <f t="shared" si="5"/>
        <v>0</v>
      </c>
    </row>
    <row r="203" spans="10:49" ht="15">
      <c r="J203" s="687"/>
      <c r="K203" s="54"/>
      <c r="L203" s="687"/>
      <c r="M203" s="544"/>
      <c r="N203" s="82"/>
      <c r="O203" s="54"/>
      <c r="P203" s="54"/>
      <c r="Q203" s="54"/>
      <c r="R203" s="54"/>
      <c r="S203" s="54"/>
      <c r="T203" s="54"/>
      <c r="U203" s="54"/>
      <c r="V203" s="54"/>
      <c r="W203" s="54"/>
      <c r="X203" s="54"/>
      <c r="Y203" s="54"/>
      <c r="Z203" s="54"/>
      <c r="AA203" s="54"/>
      <c r="AB203" s="54"/>
      <c r="AC203" s="54"/>
      <c r="AD203" s="54"/>
      <c r="AE203" s="54"/>
      <c r="AF203" s="54"/>
      <c r="AG203" s="54"/>
      <c r="AH203" s="54"/>
      <c r="AI203" s="54"/>
      <c r="AJ203" s="54"/>
      <c r="AW203" s="18">
        <f t="shared" si="5"/>
        <v>0</v>
      </c>
    </row>
    <row r="204" spans="10:49" ht="15">
      <c r="J204" s="687"/>
      <c r="K204" s="54"/>
      <c r="L204" s="687"/>
      <c r="M204" s="544"/>
      <c r="N204" s="82"/>
      <c r="O204" s="54"/>
      <c r="P204" s="54"/>
      <c r="Q204" s="54"/>
      <c r="R204" s="54"/>
      <c r="S204" s="54"/>
      <c r="T204" s="54"/>
      <c r="U204" s="54"/>
      <c r="V204" s="54"/>
      <c r="W204" s="54"/>
      <c r="X204" s="54"/>
      <c r="Y204" s="54"/>
      <c r="Z204" s="54"/>
      <c r="AA204" s="54"/>
      <c r="AB204" s="54"/>
      <c r="AC204" s="54"/>
      <c r="AD204" s="54"/>
      <c r="AE204" s="54"/>
      <c r="AF204" s="54"/>
      <c r="AG204" s="54"/>
      <c r="AH204" s="54"/>
      <c r="AI204" s="54"/>
      <c r="AJ204" s="54"/>
      <c r="AW204" s="18">
        <f t="shared" si="5"/>
        <v>0</v>
      </c>
    </row>
    <row r="205" spans="10:49" ht="15">
      <c r="J205" s="687"/>
      <c r="K205" s="54"/>
      <c r="L205" s="687"/>
      <c r="M205" s="544"/>
      <c r="N205" s="82"/>
      <c r="O205" s="54"/>
      <c r="P205" s="54"/>
      <c r="Q205" s="54"/>
      <c r="R205" s="54"/>
      <c r="S205" s="54"/>
      <c r="T205" s="54"/>
      <c r="U205" s="54"/>
      <c r="V205" s="54"/>
      <c r="W205" s="54"/>
      <c r="X205" s="54"/>
      <c r="Y205" s="54"/>
      <c r="Z205" s="54"/>
      <c r="AA205" s="54"/>
      <c r="AB205" s="54"/>
      <c r="AC205" s="54"/>
      <c r="AD205" s="54"/>
      <c r="AE205" s="54"/>
      <c r="AF205" s="54"/>
      <c r="AG205" s="54"/>
      <c r="AH205" s="54"/>
      <c r="AI205" s="54"/>
      <c r="AJ205" s="54"/>
      <c r="AW205" s="18">
        <f t="shared" si="5"/>
        <v>0</v>
      </c>
    </row>
    <row r="206" spans="10:49" ht="15">
      <c r="J206" s="687"/>
      <c r="K206" s="54"/>
      <c r="L206" s="687"/>
      <c r="M206" s="544"/>
      <c r="N206" s="82"/>
      <c r="O206" s="54"/>
      <c r="P206" s="54"/>
      <c r="Q206" s="54"/>
      <c r="R206" s="54"/>
      <c r="S206" s="54"/>
      <c r="T206" s="54"/>
      <c r="U206" s="54"/>
      <c r="V206" s="54"/>
      <c r="W206" s="54"/>
      <c r="X206" s="54"/>
      <c r="Y206" s="54"/>
      <c r="Z206" s="54"/>
      <c r="AA206" s="54"/>
      <c r="AB206" s="54"/>
      <c r="AC206" s="54"/>
      <c r="AD206" s="54"/>
      <c r="AE206" s="54"/>
      <c r="AF206" s="54"/>
      <c r="AG206" s="54"/>
      <c r="AH206" s="54"/>
      <c r="AI206" s="54"/>
      <c r="AJ206" s="54"/>
      <c r="AW206" s="18">
        <f t="shared" si="5"/>
        <v>0</v>
      </c>
    </row>
    <row r="207" spans="10:49" ht="15">
      <c r="J207" s="687"/>
      <c r="K207" s="54"/>
      <c r="L207" s="687"/>
      <c r="M207" s="544"/>
      <c r="N207" s="82"/>
      <c r="O207" s="54"/>
      <c r="P207" s="54"/>
      <c r="Q207" s="54"/>
      <c r="R207" s="54"/>
      <c r="S207" s="54"/>
      <c r="T207" s="54"/>
      <c r="U207" s="54"/>
      <c r="V207" s="54"/>
      <c r="W207" s="54"/>
      <c r="X207" s="54"/>
      <c r="Y207" s="54"/>
      <c r="Z207" s="54"/>
      <c r="AA207" s="54"/>
      <c r="AB207" s="54"/>
      <c r="AC207" s="54"/>
      <c r="AD207" s="54"/>
      <c r="AE207" s="54"/>
      <c r="AF207" s="54"/>
      <c r="AG207" s="54"/>
      <c r="AH207" s="54"/>
      <c r="AI207" s="54"/>
      <c r="AJ207" s="54"/>
      <c r="AW207" s="18">
        <f t="shared" si="5"/>
        <v>0</v>
      </c>
    </row>
    <row r="208" spans="10:49" ht="15">
      <c r="J208" s="687"/>
      <c r="K208" s="54"/>
      <c r="L208" s="687"/>
      <c r="M208" s="544"/>
      <c r="N208" s="82"/>
      <c r="O208" s="54"/>
      <c r="P208" s="54"/>
      <c r="Q208" s="54"/>
      <c r="R208" s="54"/>
      <c r="S208" s="54"/>
      <c r="T208" s="54"/>
      <c r="U208" s="54"/>
      <c r="V208" s="54"/>
      <c r="W208" s="54"/>
      <c r="X208" s="54"/>
      <c r="Y208" s="54"/>
      <c r="Z208" s="54"/>
      <c r="AA208" s="54"/>
      <c r="AB208" s="54"/>
      <c r="AC208" s="54"/>
      <c r="AD208" s="54"/>
      <c r="AE208" s="54"/>
      <c r="AF208" s="54"/>
      <c r="AG208" s="54"/>
      <c r="AH208" s="54"/>
      <c r="AI208" s="54"/>
      <c r="AJ208" s="54"/>
      <c r="AW208" s="18">
        <f t="shared" si="5"/>
        <v>0</v>
      </c>
    </row>
    <row r="209" spans="10:49" ht="15">
      <c r="J209" s="687"/>
      <c r="K209" s="54"/>
      <c r="L209" s="687"/>
      <c r="M209" s="544"/>
      <c r="N209" s="82"/>
      <c r="O209" s="54"/>
      <c r="P209" s="54"/>
      <c r="Q209" s="54"/>
      <c r="R209" s="54"/>
      <c r="S209" s="54"/>
      <c r="T209" s="54"/>
      <c r="U209" s="54"/>
      <c r="V209" s="54"/>
      <c r="W209" s="54"/>
      <c r="X209" s="54"/>
      <c r="Y209" s="54"/>
      <c r="Z209" s="54"/>
      <c r="AA209" s="54"/>
      <c r="AB209" s="54"/>
      <c r="AC209" s="54"/>
      <c r="AD209" s="54"/>
      <c r="AE209" s="54"/>
      <c r="AF209" s="54"/>
      <c r="AG209" s="54"/>
      <c r="AH209" s="54"/>
      <c r="AI209" s="54"/>
      <c r="AJ209" s="54"/>
      <c r="AW209" s="18">
        <f t="shared" si="5"/>
        <v>0</v>
      </c>
    </row>
    <row r="210" spans="10:49" ht="15">
      <c r="J210" s="687"/>
      <c r="K210" s="54"/>
      <c r="L210" s="687"/>
      <c r="M210" s="544"/>
      <c r="N210" s="82"/>
      <c r="O210" s="54"/>
      <c r="P210" s="54"/>
      <c r="Q210" s="54"/>
      <c r="R210" s="54"/>
      <c r="S210" s="54"/>
      <c r="T210" s="54"/>
      <c r="U210" s="54"/>
      <c r="V210" s="54"/>
      <c r="W210" s="54"/>
      <c r="X210" s="54"/>
      <c r="Y210" s="54"/>
      <c r="Z210" s="54"/>
      <c r="AA210" s="54"/>
      <c r="AB210" s="54"/>
      <c r="AC210" s="54"/>
      <c r="AD210" s="54"/>
      <c r="AE210" s="54"/>
      <c r="AF210" s="54"/>
      <c r="AG210" s="54"/>
      <c r="AH210" s="54"/>
      <c r="AI210" s="54"/>
      <c r="AJ210" s="54"/>
      <c r="AW210" s="18">
        <f t="shared" si="5"/>
        <v>0</v>
      </c>
    </row>
    <row r="211" spans="10:49" ht="15">
      <c r="J211" s="687"/>
      <c r="K211" s="54"/>
      <c r="L211" s="687"/>
      <c r="M211" s="544"/>
      <c r="N211" s="82"/>
      <c r="O211" s="54"/>
      <c r="P211" s="54"/>
      <c r="Q211" s="54"/>
      <c r="R211" s="54"/>
      <c r="S211" s="54"/>
      <c r="T211" s="54"/>
      <c r="U211" s="54"/>
      <c r="V211" s="54"/>
      <c r="W211" s="54"/>
      <c r="X211" s="54"/>
      <c r="Y211" s="54"/>
      <c r="Z211" s="54"/>
      <c r="AA211" s="54"/>
      <c r="AB211" s="54"/>
      <c r="AC211" s="54"/>
      <c r="AD211" s="54"/>
      <c r="AE211" s="54"/>
      <c r="AF211" s="54"/>
      <c r="AG211" s="54"/>
      <c r="AH211" s="54"/>
      <c r="AI211" s="54"/>
      <c r="AJ211" s="54"/>
      <c r="AW211" s="18">
        <f t="shared" si="5"/>
        <v>0</v>
      </c>
    </row>
    <row r="212" spans="10:49" ht="15">
      <c r="J212" s="687"/>
      <c r="K212" s="54"/>
      <c r="L212" s="687"/>
      <c r="M212" s="544"/>
      <c r="N212" s="82"/>
      <c r="O212" s="54"/>
      <c r="P212" s="54"/>
      <c r="Q212" s="54"/>
      <c r="R212" s="54"/>
      <c r="S212" s="54"/>
      <c r="T212" s="54"/>
      <c r="U212" s="54"/>
      <c r="V212" s="54"/>
      <c r="W212" s="54"/>
      <c r="X212" s="54"/>
      <c r="Y212" s="54"/>
      <c r="Z212" s="54"/>
      <c r="AA212" s="54"/>
      <c r="AB212" s="54"/>
      <c r="AC212" s="54"/>
      <c r="AD212" s="54"/>
      <c r="AE212" s="54"/>
      <c r="AF212" s="54"/>
      <c r="AG212" s="54"/>
      <c r="AH212" s="54"/>
      <c r="AI212" s="54"/>
      <c r="AJ212" s="54"/>
      <c r="AW212" s="18">
        <f t="shared" si="5"/>
        <v>0</v>
      </c>
    </row>
    <row r="213" spans="10:49" ht="15">
      <c r="J213" s="687"/>
      <c r="K213" s="54"/>
      <c r="L213" s="687"/>
      <c r="M213" s="544"/>
      <c r="N213" s="82"/>
      <c r="O213" s="54"/>
      <c r="P213" s="54"/>
      <c r="Q213" s="54"/>
      <c r="R213" s="54"/>
      <c r="S213" s="54"/>
      <c r="T213" s="54"/>
      <c r="U213" s="54"/>
      <c r="V213" s="54"/>
      <c r="W213" s="54"/>
      <c r="X213" s="54"/>
      <c r="Y213" s="54"/>
      <c r="Z213" s="54"/>
      <c r="AA213" s="54"/>
      <c r="AB213" s="54"/>
      <c r="AC213" s="54"/>
      <c r="AD213" s="54"/>
      <c r="AE213" s="54"/>
      <c r="AF213" s="54"/>
      <c r="AG213" s="54"/>
      <c r="AH213" s="54"/>
      <c r="AI213" s="54"/>
      <c r="AJ213" s="54"/>
      <c r="AW213" s="18">
        <f t="shared" si="5"/>
        <v>0</v>
      </c>
    </row>
    <row r="214" spans="10:49" ht="15">
      <c r="J214" s="687"/>
      <c r="K214" s="54"/>
      <c r="L214" s="687"/>
      <c r="M214" s="544"/>
      <c r="N214" s="82"/>
      <c r="O214" s="54"/>
      <c r="P214" s="54"/>
      <c r="Q214" s="54"/>
      <c r="R214" s="54"/>
      <c r="S214" s="54"/>
      <c r="T214" s="54"/>
      <c r="U214" s="54"/>
      <c r="V214" s="54"/>
      <c r="W214" s="54"/>
      <c r="X214" s="54"/>
      <c r="Y214" s="54"/>
      <c r="Z214" s="54"/>
      <c r="AA214" s="54"/>
      <c r="AB214" s="54"/>
      <c r="AC214" s="54"/>
      <c r="AD214" s="54"/>
      <c r="AE214" s="54"/>
      <c r="AF214" s="54"/>
      <c r="AG214" s="54"/>
      <c r="AH214" s="54"/>
      <c r="AI214" s="54"/>
      <c r="AJ214" s="54"/>
      <c r="AW214" s="18">
        <f t="shared" si="5"/>
        <v>0</v>
      </c>
    </row>
    <row r="215" spans="10:49" ht="15">
      <c r="J215" s="687"/>
      <c r="K215" s="54"/>
      <c r="L215" s="687"/>
      <c r="M215" s="544"/>
      <c r="N215" s="82"/>
      <c r="O215" s="54"/>
      <c r="P215" s="54"/>
      <c r="Q215" s="54"/>
      <c r="R215" s="54"/>
      <c r="S215" s="54"/>
      <c r="T215" s="54"/>
      <c r="U215" s="54"/>
      <c r="V215" s="54"/>
      <c r="W215" s="54"/>
      <c r="X215" s="54"/>
      <c r="Y215" s="54"/>
      <c r="Z215" s="54"/>
      <c r="AA215" s="54"/>
      <c r="AB215" s="54"/>
      <c r="AC215" s="54"/>
      <c r="AD215" s="54"/>
      <c r="AE215" s="54"/>
      <c r="AF215" s="54"/>
      <c r="AG215" s="54"/>
      <c r="AH215" s="54"/>
      <c r="AI215" s="54"/>
      <c r="AJ215" s="54"/>
      <c r="AW215" s="18">
        <f t="shared" si="5"/>
        <v>0</v>
      </c>
    </row>
    <row r="216" spans="10:49" ht="15">
      <c r="J216" s="685"/>
      <c r="L216" s="685"/>
      <c r="M216" s="544"/>
      <c r="AW216" s="18">
        <f t="shared" si="5"/>
        <v>0</v>
      </c>
    </row>
    <row r="217" spans="10:49" ht="15">
      <c r="J217" s="686"/>
      <c r="L217" s="686"/>
      <c r="M217" s="544"/>
      <c r="AW217" s="18">
        <f t="shared" si="5"/>
        <v>0</v>
      </c>
    </row>
    <row r="218" spans="10:49" ht="15">
      <c r="J218" s="686"/>
      <c r="L218" s="686"/>
      <c r="M218" s="544"/>
      <c r="AW218" s="18">
        <f t="shared" si="5"/>
        <v>0</v>
      </c>
    </row>
    <row r="219" spans="10:49" ht="15">
      <c r="J219" s="686"/>
      <c r="L219" s="686"/>
      <c r="M219" s="544"/>
      <c r="AW219" s="18">
        <f t="shared" si="5"/>
        <v>0</v>
      </c>
    </row>
    <row r="220" spans="10:49" ht="15">
      <c r="J220" s="686"/>
      <c r="L220" s="686"/>
      <c r="M220" s="544"/>
      <c r="AW220" s="18">
        <f t="shared" si="5"/>
        <v>0</v>
      </c>
    </row>
    <row r="221" spans="10:49" ht="15">
      <c r="J221" s="686"/>
      <c r="L221" s="686"/>
      <c r="M221" s="544"/>
      <c r="AW221" s="18">
        <f t="shared" si="5"/>
        <v>0</v>
      </c>
    </row>
    <row r="222" spans="10:49" ht="15">
      <c r="J222" s="686"/>
      <c r="L222" s="686"/>
      <c r="M222" s="544"/>
      <c r="AW222" s="18">
        <f t="shared" si="5"/>
        <v>0</v>
      </c>
    </row>
    <row r="223" spans="10:49" ht="15">
      <c r="J223" s="686"/>
      <c r="L223" s="686"/>
      <c r="M223" s="544"/>
      <c r="AW223" s="18">
        <f t="shared" si="5"/>
        <v>0</v>
      </c>
    </row>
    <row r="224" spans="10:49" ht="15">
      <c r="J224" s="686"/>
      <c r="L224" s="686"/>
      <c r="M224" s="544"/>
      <c r="AW224" s="18">
        <f t="shared" si="5"/>
        <v>0</v>
      </c>
    </row>
    <row r="225" spans="10:49" ht="15">
      <c r="J225" s="686"/>
      <c r="L225" s="686"/>
      <c r="M225" s="544"/>
      <c r="AW225" s="18">
        <f t="shared" si="5"/>
        <v>0</v>
      </c>
    </row>
    <row r="226" spans="10:49" ht="15">
      <c r="J226" s="686"/>
      <c r="L226" s="686"/>
      <c r="M226" s="544"/>
      <c r="AW226" s="18">
        <f t="shared" si="5"/>
        <v>0</v>
      </c>
    </row>
    <row r="227" spans="10:49" ht="15">
      <c r="J227" s="686"/>
      <c r="L227" s="686"/>
      <c r="M227" s="544"/>
      <c r="AW227" s="18">
        <f t="shared" si="5"/>
        <v>0</v>
      </c>
    </row>
    <row r="228" spans="10:49" ht="15">
      <c r="J228" s="686"/>
      <c r="L228" s="686"/>
      <c r="M228" s="544"/>
      <c r="AW228" s="18">
        <f t="shared" si="5"/>
        <v>0</v>
      </c>
    </row>
    <row r="229" spans="10:49" ht="15">
      <c r="J229" s="397"/>
      <c r="L229" s="397"/>
      <c r="M229" s="544"/>
      <c r="AW229" s="18">
        <f t="shared" si="5"/>
        <v>0</v>
      </c>
    </row>
    <row r="230" spans="10:49" ht="15">
      <c r="AW230" s="18">
        <f t="shared" ref="AW230:AW293" si="6">LEN(L230)</f>
        <v>0</v>
      </c>
    </row>
    <row r="231" spans="10:49" ht="15">
      <c r="AW231" s="18">
        <f t="shared" si="6"/>
        <v>0</v>
      </c>
    </row>
    <row r="232" spans="10:49" ht="15">
      <c r="AW232" s="18">
        <f t="shared" si="6"/>
        <v>0</v>
      </c>
    </row>
    <row r="233" spans="10:49" ht="15">
      <c r="AW233" s="18">
        <f t="shared" si="6"/>
        <v>0</v>
      </c>
    </row>
    <row r="234" spans="10:49" ht="15">
      <c r="AW234" s="18">
        <f t="shared" si="6"/>
        <v>0</v>
      </c>
    </row>
    <row r="235" spans="10:49" ht="15">
      <c r="AW235" s="18">
        <f t="shared" si="6"/>
        <v>0</v>
      </c>
    </row>
    <row r="236" spans="10:49" ht="15">
      <c r="AW236" s="18">
        <f t="shared" si="6"/>
        <v>0</v>
      </c>
    </row>
    <row r="237" spans="10:49" ht="15">
      <c r="AW237" s="18">
        <f t="shared" si="6"/>
        <v>0</v>
      </c>
    </row>
    <row r="238" spans="10:49" ht="15">
      <c r="AW238" s="18">
        <f t="shared" si="6"/>
        <v>0</v>
      </c>
    </row>
    <row r="239" spans="10:49" ht="15">
      <c r="AW239" s="18">
        <f t="shared" si="6"/>
        <v>0</v>
      </c>
    </row>
    <row r="240" spans="10:49" ht="15">
      <c r="AW240" s="18">
        <f t="shared" si="6"/>
        <v>0</v>
      </c>
    </row>
    <row r="241" spans="49:49" ht="15">
      <c r="AW241" s="18">
        <f t="shared" si="6"/>
        <v>0</v>
      </c>
    </row>
    <row r="242" spans="49:49" ht="15">
      <c r="AW242" s="18">
        <f t="shared" si="6"/>
        <v>0</v>
      </c>
    </row>
    <row r="243" spans="49:49" ht="15">
      <c r="AW243" s="18">
        <f t="shared" si="6"/>
        <v>0</v>
      </c>
    </row>
    <row r="244" spans="49:49" ht="15">
      <c r="AW244" s="18">
        <f t="shared" si="6"/>
        <v>0</v>
      </c>
    </row>
    <row r="245" spans="49:49" ht="15">
      <c r="AW245" s="18">
        <f t="shared" si="6"/>
        <v>0</v>
      </c>
    </row>
    <row r="246" spans="49:49" ht="15">
      <c r="AW246" s="18">
        <f t="shared" si="6"/>
        <v>0</v>
      </c>
    </row>
    <row r="247" spans="49:49" ht="15">
      <c r="AW247" s="18">
        <f t="shared" si="6"/>
        <v>0</v>
      </c>
    </row>
    <row r="248" spans="49:49" ht="15">
      <c r="AW248" s="18">
        <f t="shared" si="6"/>
        <v>0</v>
      </c>
    </row>
    <row r="249" spans="49:49" ht="15">
      <c r="AW249" s="18">
        <f t="shared" si="6"/>
        <v>0</v>
      </c>
    </row>
    <row r="250" spans="49:49" ht="15">
      <c r="AW250" s="18">
        <f t="shared" si="6"/>
        <v>0</v>
      </c>
    </row>
    <row r="251" spans="49:49" ht="15">
      <c r="AW251" s="18">
        <f t="shared" si="6"/>
        <v>0</v>
      </c>
    </row>
    <row r="252" spans="49:49" ht="15">
      <c r="AW252" s="18">
        <f t="shared" si="6"/>
        <v>0</v>
      </c>
    </row>
    <row r="253" spans="49:49" ht="15">
      <c r="AW253" s="18">
        <f t="shared" si="6"/>
        <v>0</v>
      </c>
    </row>
    <row r="254" spans="49:49" ht="15">
      <c r="AW254" s="18">
        <f t="shared" si="6"/>
        <v>0</v>
      </c>
    </row>
    <row r="255" spans="49:49" ht="15">
      <c r="AW255" s="18">
        <f t="shared" si="6"/>
        <v>0</v>
      </c>
    </row>
    <row r="256" spans="49:49" ht="15">
      <c r="AW256" s="18">
        <f t="shared" si="6"/>
        <v>0</v>
      </c>
    </row>
    <row r="257" spans="49:49" ht="15">
      <c r="AW257" s="18">
        <f t="shared" si="6"/>
        <v>0</v>
      </c>
    </row>
    <row r="258" spans="49:49" ht="15">
      <c r="AW258" s="18">
        <f t="shared" si="6"/>
        <v>0</v>
      </c>
    </row>
    <row r="259" spans="49:49" ht="15">
      <c r="AW259" s="18">
        <f t="shared" si="6"/>
        <v>0</v>
      </c>
    </row>
    <row r="260" spans="49:49" ht="15">
      <c r="AW260" s="18">
        <f t="shared" si="6"/>
        <v>0</v>
      </c>
    </row>
    <row r="261" spans="49:49" ht="15">
      <c r="AW261" s="18">
        <f t="shared" si="6"/>
        <v>0</v>
      </c>
    </row>
    <row r="262" spans="49:49" ht="15">
      <c r="AW262" s="18">
        <f t="shared" si="6"/>
        <v>0</v>
      </c>
    </row>
    <row r="263" spans="49:49" ht="15">
      <c r="AW263" s="18">
        <f t="shared" si="6"/>
        <v>0</v>
      </c>
    </row>
    <row r="264" spans="49:49" ht="15">
      <c r="AW264" s="18">
        <f t="shared" si="6"/>
        <v>0</v>
      </c>
    </row>
    <row r="265" spans="49:49" ht="15">
      <c r="AW265" s="18">
        <f t="shared" si="6"/>
        <v>0</v>
      </c>
    </row>
    <row r="266" spans="49:49" ht="15">
      <c r="AW266" s="18">
        <f t="shared" si="6"/>
        <v>0</v>
      </c>
    </row>
    <row r="267" spans="49:49" ht="15">
      <c r="AW267" s="18">
        <f t="shared" si="6"/>
        <v>0</v>
      </c>
    </row>
    <row r="268" spans="49:49" ht="15">
      <c r="AW268" s="18">
        <f t="shared" si="6"/>
        <v>0</v>
      </c>
    </row>
    <row r="269" spans="49:49" ht="15">
      <c r="AW269" s="18">
        <f t="shared" si="6"/>
        <v>0</v>
      </c>
    </row>
    <row r="270" spans="49:49" ht="15">
      <c r="AW270" s="18">
        <f t="shared" si="6"/>
        <v>0</v>
      </c>
    </row>
    <row r="271" spans="49:49" ht="15">
      <c r="AW271" s="18">
        <f t="shared" si="6"/>
        <v>0</v>
      </c>
    </row>
    <row r="272" spans="49:49" ht="15">
      <c r="AW272" s="18">
        <f t="shared" si="6"/>
        <v>0</v>
      </c>
    </row>
    <row r="273" spans="49:49" ht="15">
      <c r="AW273" s="18">
        <f t="shared" si="6"/>
        <v>0</v>
      </c>
    </row>
    <row r="274" spans="49:49" ht="15">
      <c r="AW274" s="18">
        <f t="shared" si="6"/>
        <v>0</v>
      </c>
    </row>
    <row r="275" spans="49:49" ht="15">
      <c r="AW275" s="18">
        <f t="shared" si="6"/>
        <v>0</v>
      </c>
    </row>
    <row r="276" spans="49:49" ht="15">
      <c r="AW276" s="18">
        <f t="shared" si="6"/>
        <v>0</v>
      </c>
    </row>
    <row r="277" spans="49:49" ht="15">
      <c r="AW277" s="18">
        <f t="shared" si="6"/>
        <v>0</v>
      </c>
    </row>
    <row r="278" spans="49:49" ht="15">
      <c r="AW278" s="18">
        <f t="shared" si="6"/>
        <v>0</v>
      </c>
    </row>
    <row r="279" spans="49:49" ht="15">
      <c r="AW279" s="18">
        <f t="shared" si="6"/>
        <v>0</v>
      </c>
    </row>
    <row r="280" spans="49:49" ht="15">
      <c r="AW280" s="18">
        <f t="shared" si="6"/>
        <v>0</v>
      </c>
    </row>
    <row r="281" spans="49:49" ht="15">
      <c r="AW281" s="18">
        <f t="shared" si="6"/>
        <v>0</v>
      </c>
    </row>
    <row r="282" spans="49:49" ht="15">
      <c r="AW282" s="18">
        <f t="shared" si="6"/>
        <v>0</v>
      </c>
    </row>
    <row r="283" spans="49:49" ht="15">
      <c r="AW283" s="18">
        <f t="shared" si="6"/>
        <v>0</v>
      </c>
    </row>
    <row r="284" spans="49:49" ht="15">
      <c r="AW284" s="18">
        <f t="shared" si="6"/>
        <v>0</v>
      </c>
    </row>
    <row r="285" spans="49:49" ht="15">
      <c r="AW285" s="18">
        <f t="shared" si="6"/>
        <v>0</v>
      </c>
    </row>
    <row r="286" spans="49:49" ht="15">
      <c r="AW286" s="18">
        <f t="shared" si="6"/>
        <v>0</v>
      </c>
    </row>
    <row r="287" spans="49:49" ht="15">
      <c r="AW287" s="18">
        <f t="shared" si="6"/>
        <v>0</v>
      </c>
    </row>
    <row r="288" spans="49:49" ht="15">
      <c r="AW288" s="18">
        <f t="shared" si="6"/>
        <v>0</v>
      </c>
    </row>
    <row r="289" spans="49:49" ht="15">
      <c r="AW289" s="18">
        <f t="shared" si="6"/>
        <v>0</v>
      </c>
    </row>
    <row r="290" spans="49:49" ht="15">
      <c r="AW290" s="18">
        <f t="shared" si="6"/>
        <v>0</v>
      </c>
    </row>
    <row r="291" spans="49:49" ht="15">
      <c r="AW291" s="18">
        <f t="shared" si="6"/>
        <v>0</v>
      </c>
    </row>
    <row r="292" spans="49:49" ht="15">
      <c r="AW292" s="18">
        <f t="shared" si="6"/>
        <v>0</v>
      </c>
    </row>
    <row r="293" spans="49:49" ht="15">
      <c r="AW293" s="18">
        <f t="shared" si="6"/>
        <v>0</v>
      </c>
    </row>
    <row r="294" spans="49:49" ht="15">
      <c r="AW294" s="18">
        <f t="shared" ref="AW294:AW357" si="7">LEN(L294)</f>
        <v>0</v>
      </c>
    </row>
    <row r="295" spans="49:49" ht="15">
      <c r="AW295" s="18">
        <f t="shared" si="7"/>
        <v>0</v>
      </c>
    </row>
    <row r="296" spans="49:49" ht="15">
      <c r="AW296" s="18">
        <f t="shared" si="7"/>
        <v>0</v>
      </c>
    </row>
    <row r="297" spans="49:49" ht="15">
      <c r="AW297" s="18">
        <f t="shared" si="7"/>
        <v>0</v>
      </c>
    </row>
    <row r="298" spans="49:49" ht="15">
      <c r="AW298" s="18">
        <f t="shared" si="7"/>
        <v>0</v>
      </c>
    </row>
    <row r="299" spans="49:49" ht="15">
      <c r="AW299" s="18">
        <f t="shared" si="7"/>
        <v>0</v>
      </c>
    </row>
    <row r="300" spans="49:49" ht="15">
      <c r="AW300" s="18">
        <f t="shared" si="7"/>
        <v>0</v>
      </c>
    </row>
    <row r="301" spans="49:49" ht="15">
      <c r="AW301" s="18">
        <f t="shared" si="7"/>
        <v>0</v>
      </c>
    </row>
    <row r="302" spans="49:49" ht="15">
      <c r="AW302" s="18">
        <f t="shared" si="7"/>
        <v>0</v>
      </c>
    </row>
    <row r="303" spans="49:49" ht="15">
      <c r="AW303" s="18">
        <f t="shared" si="7"/>
        <v>0</v>
      </c>
    </row>
    <row r="304" spans="49:49" ht="15">
      <c r="AW304" s="18">
        <f t="shared" si="7"/>
        <v>0</v>
      </c>
    </row>
    <row r="305" spans="49:49" ht="15">
      <c r="AW305" s="18">
        <f t="shared" si="7"/>
        <v>0</v>
      </c>
    </row>
    <row r="306" spans="49:49" ht="15">
      <c r="AW306" s="18">
        <f t="shared" si="7"/>
        <v>0</v>
      </c>
    </row>
    <row r="307" spans="49:49" ht="15">
      <c r="AW307" s="18">
        <f t="shared" si="7"/>
        <v>0</v>
      </c>
    </row>
    <row r="308" spans="49:49" ht="15">
      <c r="AW308" s="18">
        <f t="shared" si="7"/>
        <v>0</v>
      </c>
    </row>
    <row r="309" spans="49:49" ht="15">
      <c r="AW309" s="18">
        <f t="shared" si="7"/>
        <v>0</v>
      </c>
    </row>
    <row r="310" spans="49:49" ht="15">
      <c r="AW310" s="18">
        <f t="shared" si="7"/>
        <v>0</v>
      </c>
    </row>
    <row r="311" spans="49:49" ht="15">
      <c r="AW311" s="18">
        <f t="shared" si="7"/>
        <v>0</v>
      </c>
    </row>
    <row r="312" spans="49:49" ht="15">
      <c r="AW312" s="18">
        <f t="shared" si="7"/>
        <v>0</v>
      </c>
    </row>
    <row r="313" spans="49:49" ht="15">
      <c r="AW313" s="18">
        <f t="shared" si="7"/>
        <v>0</v>
      </c>
    </row>
    <row r="314" spans="49:49" ht="15">
      <c r="AW314" s="18">
        <f t="shared" si="7"/>
        <v>0</v>
      </c>
    </row>
    <row r="315" spans="49:49" ht="15">
      <c r="AW315" s="18">
        <f t="shared" si="7"/>
        <v>0</v>
      </c>
    </row>
    <row r="316" spans="49:49" ht="15">
      <c r="AW316" s="18">
        <f t="shared" si="7"/>
        <v>0</v>
      </c>
    </row>
    <row r="317" spans="49:49" ht="15">
      <c r="AW317" s="18">
        <f t="shared" si="7"/>
        <v>0</v>
      </c>
    </row>
    <row r="318" spans="49:49" ht="15">
      <c r="AW318" s="18">
        <f t="shared" si="7"/>
        <v>0</v>
      </c>
    </row>
    <row r="319" spans="49:49" ht="15">
      <c r="AW319" s="18">
        <f t="shared" si="7"/>
        <v>0</v>
      </c>
    </row>
    <row r="320" spans="49:49" ht="15">
      <c r="AW320" s="18">
        <f t="shared" si="7"/>
        <v>0</v>
      </c>
    </row>
    <row r="321" spans="49:49" ht="15">
      <c r="AW321" s="18">
        <f t="shared" si="7"/>
        <v>0</v>
      </c>
    </row>
    <row r="322" spans="49:49" ht="15">
      <c r="AW322" s="18">
        <f t="shared" si="7"/>
        <v>0</v>
      </c>
    </row>
    <row r="323" spans="49:49" ht="15">
      <c r="AW323" s="18">
        <f t="shared" si="7"/>
        <v>0</v>
      </c>
    </row>
    <row r="324" spans="49:49" ht="15">
      <c r="AW324" s="18">
        <f t="shared" si="7"/>
        <v>0</v>
      </c>
    </row>
    <row r="325" spans="49:49" ht="15">
      <c r="AW325" s="18">
        <f t="shared" si="7"/>
        <v>0</v>
      </c>
    </row>
    <row r="326" spans="49:49" ht="15">
      <c r="AW326" s="18">
        <f t="shared" si="7"/>
        <v>0</v>
      </c>
    </row>
    <row r="327" spans="49:49" ht="15">
      <c r="AW327" s="18">
        <f t="shared" si="7"/>
        <v>0</v>
      </c>
    </row>
    <row r="328" spans="49:49" ht="15">
      <c r="AW328" s="18">
        <f t="shared" si="7"/>
        <v>0</v>
      </c>
    </row>
    <row r="329" spans="49:49" ht="15">
      <c r="AW329" s="18">
        <f t="shared" si="7"/>
        <v>0</v>
      </c>
    </row>
    <row r="330" spans="49:49" ht="15">
      <c r="AW330" s="18">
        <f t="shared" si="7"/>
        <v>0</v>
      </c>
    </row>
    <row r="331" spans="49:49" ht="15">
      <c r="AW331" s="18">
        <f t="shared" si="7"/>
        <v>0</v>
      </c>
    </row>
    <row r="332" spans="49:49" ht="15">
      <c r="AW332" s="18">
        <f t="shared" si="7"/>
        <v>0</v>
      </c>
    </row>
    <row r="333" spans="49:49" ht="15">
      <c r="AW333" s="18">
        <f t="shared" si="7"/>
        <v>0</v>
      </c>
    </row>
    <row r="334" spans="49:49" ht="15">
      <c r="AW334" s="18">
        <f t="shared" si="7"/>
        <v>0</v>
      </c>
    </row>
    <row r="335" spans="49:49" ht="15">
      <c r="AW335" s="18">
        <f t="shared" si="7"/>
        <v>0</v>
      </c>
    </row>
    <row r="336" spans="49:49" ht="15">
      <c r="AW336" s="18">
        <f t="shared" si="7"/>
        <v>0</v>
      </c>
    </row>
    <row r="337" spans="49:49" ht="15">
      <c r="AW337" s="18">
        <f t="shared" si="7"/>
        <v>0</v>
      </c>
    </row>
    <row r="338" spans="49:49" ht="15">
      <c r="AW338" s="18">
        <f t="shared" si="7"/>
        <v>0</v>
      </c>
    </row>
    <row r="339" spans="49:49" ht="15">
      <c r="AW339" s="18">
        <f t="shared" si="7"/>
        <v>0</v>
      </c>
    </row>
    <row r="340" spans="49:49" ht="15">
      <c r="AW340" s="18">
        <f t="shared" si="7"/>
        <v>0</v>
      </c>
    </row>
    <row r="341" spans="49:49" ht="15">
      <c r="AW341" s="18">
        <f t="shared" si="7"/>
        <v>0</v>
      </c>
    </row>
    <row r="342" spans="49:49" ht="15">
      <c r="AW342" s="18">
        <f t="shared" si="7"/>
        <v>0</v>
      </c>
    </row>
    <row r="343" spans="49:49" ht="15">
      <c r="AW343" s="18">
        <f t="shared" si="7"/>
        <v>0</v>
      </c>
    </row>
    <row r="344" spans="49:49" ht="15">
      <c r="AW344" s="18">
        <f t="shared" si="7"/>
        <v>0</v>
      </c>
    </row>
    <row r="345" spans="49:49" ht="15">
      <c r="AW345" s="18">
        <f t="shared" si="7"/>
        <v>0</v>
      </c>
    </row>
    <row r="346" spans="49:49" ht="15">
      <c r="AW346" s="18">
        <f t="shared" si="7"/>
        <v>0</v>
      </c>
    </row>
    <row r="347" spans="49:49" ht="15">
      <c r="AW347" s="18">
        <f t="shared" si="7"/>
        <v>0</v>
      </c>
    </row>
    <row r="348" spans="49:49" ht="15">
      <c r="AW348" s="18">
        <f t="shared" si="7"/>
        <v>0</v>
      </c>
    </row>
    <row r="349" spans="49:49" ht="15">
      <c r="AW349" s="18">
        <f t="shared" si="7"/>
        <v>0</v>
      </c>
    </row>
    <row r="350" spans="49:49" ht="15">
      <c r="AW350" s="18">
        <f t="shared" si="7"/>
        <v>0</v>
      </c>
    </row>
    <row r="351" spans="49:49" ht="15">
      <c r="AW351" s="18">
        <f t="shared" si="7"/>
        <v>0</v>
      </c>
    </row>
    <row r="352" spans="49:49" ht="15">
      <c r="AW352" s="18">
        <f t="shared" si="7"/>
        <v>0</v>
      </c>
    </row>
    <row r="353" spans="49:49" ht="15">
      <c r="AW353" s="18">
        <f t="shared" si="7"/>
        <v>0</v>
      </c>
    </row>
    <row r="354" spans="49:49" ht="15">
      <c r="AW354" s="18">
        <f t="shared" si="7"/>
        <v>0</v>
      </c>
    </row>
    <row r="355" spans="49:49" ht="15">
      <c r="AW355" s="18">
        <f t="shared" si="7"/>
        <v>0</v>
      </c>
    </row>
    <row r="356" spans="49:49" ht="15">
      <c r="AW356" s="18">
        <f t="shared" si="7"/>
        <v>0</v>
      </c>
    </row>
    <row r="357" spans="49:49" ht="15">
      <c r="AW357" s="18">
        <f t="shared" si="7"/>
        <v>0</v>
      </c>
    </row>
    <row r="358" spans="49:49" ht="15">
      <c r="AW358" s="18">
        <f t="shared" ref="AW358:AW421" si="8">LEN(L358)</f>
        <v>0</v>
      </c>
    </row>
    <row r="359" spans="49:49" ht="15">
      <c r="AW359" s="18">
        <f t="shared" si="8"/>
        <v>0</v>
      </c>
    </row>
    <row r="360" spans="49:49" ht="15">
      <c r="AW360" s="18">
        <f t="shared" si="8"/>
        <v>0</v>
      </c>
    </row>
    <row r="361" spans="49:49" ht="15">
      <c r="AW361" s="18">
        <f t="shared" si="8"/>
        <v>0</v>
      </c>
    </row>
    <row r="362" spans="49:49" ht="15">
      <c r="AW362" s="18">
        <f t="shared" si="8"/>
        <v>0</v>
      </c>
    </row>
    <row r="363" spans="49:49" ht="15">
      <c r="AW363" s="18">
        <f t="shared" si="8"/>
        <v>0</v>
      </c>
    </row>
    <row r="364" spans="49:49" ht="15">
      <c r="AW364" s="18">
        <f t="shared" si="8"/>
        <v>0</v>
      </c>
    </row>
    <row r="365" spans="49:49" ht="15">
      <c r="AW365" s="18">
        <f t="shared" si="8"/>
        <v>0</v>
      </c>
    </row>
    <row r="366" spans="49:49" ht="15">
      <c r="AW366" s="18">
        <f t="shared" si="8"/>
        <v>0</v>
      </c>
    </row>
    <row r="367" spans="49:49" ht="15">
      <c r="AW367" s="18">
        <f t="shared" si="8"/>
        <v>0</v>
      </c>
    </row>
    <row r="368" spans="49:49" ht="15">
      <c r="AW368" s="18">
        <f t="shared" si="8"/>
        <v>0</v>
      </c>
    </row>
    <row r="369" spans="49:49" ht="15">
      <c r="AW369" s="18">
        <f t="shared" si="8"/>
        <v>0</v>
      </c>
    </row>
    <row r="370" spans="49:49" ht="15">
      <c r="AW370" s="18">
        <f t="shared" si="8"/>
        <v>0</v>
      </c>
    </row>
    <row r="371" spans="49:49" ht="15">
      <c r="AW371" s="18">
        <f t="shared" si="8"/>
        <v>0</v>
      </c>
    </row>
    <row r="372" spans="49:49" ht="15">
      <c r="AW372" s="18">
        <f t="shared" si="8"/>
        <v>0</v>
      </c>
    </row>
    <row r="373" spans="49:49" ht="15">
      <c r="AW373" s="18">
        <f t="shared" si="8"/>
        <v>0</v>
      </c>
    </row>
    <row r="374" spans="49:49" ht="15">
      <c r="AW374" s="18">
        <f t="shared" si="8"/>
        <v>0</v>
      </c>
    </row>
    <row r="375" spans="49:49" ht="15">
      <c r="AW375" s="18">
        <f t="shared" si="8"/>
        <v>0</v>
      </c>
    </row>
    <row r="376" spans="49:49" ht="15">
      <c r="AW376" s="18">
        <f t="shared" si="8"/>
        <v>0</v>
      </c>
    </row>
    <row r="377" spans="49:49" ht="15">
      <c r="AW377" s="18">
        <f t="shared" si="8"/>
        <v>0</v>
      </c>
    </row>
    <row r="378" spans="49:49" ht="15">
      <c r="AW378" s="18">
        <f t="shared" si="8"/>
        <v>0</v>
      </c>
    </row>
    <row r="379" spans="49:49" ht="15">
      <c r="AW379" s="18">
        <f t="shared" si="8"/>
        <v>0</v>
      </c>
    </row>
    <row r="380" spans="49:49" ht="15">
      <c r="AW380" s="18">
        <f t="shared" si="8"/>
        <v>0</v>
      </c>
    </row>
    <row r="381" spans="49:49" ht="15">
      <c r="AW381" s="18">
        <f t="shared" si="8"/>
        <v>0</v>
      </c>
    </row>
    <row r="382" spans="49:49" ht="15">
      <c r="AW382" s="18">
        <f t="shared" si="8"/>
        <v>0</v>
      </c>
    </row>
    <row r="383" spans="49:49" ht="15">
      <c r="AW383" s="18">
        <f t="shared" si="8"/>
        <v>0</v>
      </c>
    </row>
    <row r="384" spans="49:49" ht="15">
      <c r="AW384" s="18">
        <f t="shared" si="8"/>
        <v>0</v>
      </c>
    </row>
    <row r="385" spans="49:49" ht="15">
      <c r="AW385" s="18">
        <f t="shared" si="8"/>
        <v>0</v>
      </c>
    </row>
    <row r="386" spans="49:49" ht="15">
      <c r="AW386" s="18">
        <f t="shared" si="8"/>
        <v>0</v>
      </c>
    </row>
    <row r="387" spans="49:49" ht="15">
      <c r="AW387" s="18">
        <f t="shared" si="8"/>
        <v>0</v>
      </c>
    </row>
    <row r="388" spans="49:49" ht="15">
      <c r="AW388" s="18">
        <f t="shared" si="8"/>
        <v>0</v>
      </c>
    </row>
    <row r="389" spans="49:49" ht="15">
      <c r="AW389" s="18">
        <f t="shared" si="8"/>
        <v>0</v>
      </c>
    </row>
    <row r="390" spans="49:49" ht="15">
      <c r="AW390" s="18">
        <f t="shared" si="8"/>
        <v>0</v>
      </c>
    </row>
    <row r="391" spans="49:49" ht="15">
      <c r="AW391" s="18">
        <f t="shared" si="8"/>
        <v>0</v>
      </c>
    </row>
    <row r="392" spans="49:49" ht="15">
      <c r="AW392" s="18">
        <f t="shared" si="8"/>
        <v>0</v>
      </c>
    </row>
    <row r="393" spans="49:49" ht="15">
      <c r="AW393" s="18">
        <f t="shared" si="8"/>
        <v>0</v>
      </c>
    </row>
    <row r="394" spans="49:49" ht="15">
      <c r="AW394" s="18">
        <f t="shared" si="8"/>
        <v>0</v>
      </c>
    </row>
    <row r="395" spans="49:49" ht="15">
      <c r="AW395" s="18">
        <f t="shared" si="8"/>
        <v>0</v>
      </c>
    </row>
    <row r="396" spans="49:49" ht="15">
      <c r="AW396" s="18">
        <f t="shared" si="8"/>
        <v>0</v>
      </c>
    </row>
    <row r="397" spans="49:49" ht="15">
      <c r="AW397" s="18">
        <f t="shared" si="8"/>
        <v>0</v>
      </c>
    </row>
    <row r="398" spans="49:49" ht="15">
      <c r="AW398" s="18">
        <f t="shared" si="8"/>
        <v>0</v>
      </c>
    </row>
    <row r="399" spans="49:49" ht="15">
      <c r="AW399" s="18">
        <f t="shared" si="8"/>
        <v>0</v>
      </c>
    </row>
    <row r="400" spans="49:49" ht="15">
      <c r="AW400" s="18">
        <f t="shared" si="8"/>
        <v>0</v>
      </c>
    </row>
    <row r="401" spans="49:49" ht="15">
      <c r="AW401" s="18">
        <f t="shared" si="8"/>
        <v>0</v>
      </c>
    </row>
    <row r="402" spans="49:49" ht="15">
      <c r="AW402" s="18">
        <f t="shared" si="8"/>
        <v>0</v>
      </c>
    </row>
    <row r="403" spans="49:49" ht="15">
      <c r="AW403" s="18">
        <f t="shared" si="8"/>
        <v>0</v>
      </c>
    </row>
    <row r="404" spans="49:49" ht="15">
      <c r="AW404" s="18">
        <f t="shared" si="8"/>
        <v>0</v>
      </c>
    </row>
    <row r="405" spans="49:49" ht="15">
      <c r="AW405" s="18">
        <f t="shared" si="8"/>
        <v>0</v>
      </c>
    </row>
    <row r="406" spans="49:49" ht="15">
      <c r="AW406" s="18">
        <f t="shared" si="8"/>
        <v>0</v>
      </c>
    </row>
    <row r="407" spans="49:49" ht="15">
      <c r="AW407" s="18">
        <f t="shared" si="8"/>
        <v>0</v>
      </c>
    </row>
    <row r="408" spans="49:49" ht="15">
      <c r="AW408" s="18">
        <f t="shared" si="8"/>
        <v>0</v>
      </c>
    </row>
    <row r="409" spans="49:49" ht="15">
      <c r="AW409" s="18">
        <f t="shared" si="8"/>
        <v>0</v>
      </c>
    </row>
    <row r="410" spans="49:49" ht="15">
      <c r="AW410" s="18">
        <f t="shared" si="8"/>
        <v>0</v>
      </c>
    </row>
    <row r="411" spans="49:49" ht="15">
      <c r="AW411" s="18">
        <f t="shared" si="8"/>
        <v>0</v>
      </c>
    </row>
    <row r="412" spans="49:49" ht="15">
      <c r="AW412" s="18">
        <f t="shared" si="8"/>
        <v>0</v>
      </c>
    </row>
    <row r="413" spans="49:49" ht="15">
      <c r="AW413" s="18">
        <f t="shared" si="8"/>
        <v>0</v>
      </c>
    </row>
    <row r="414" spans="49:49" ht="15">
      <c r="AW414" s="18">
        <f t="shared" si="8"/>
        <v>0</v>
      </c>
    </row>
    <row r="415" spans="49:49" ht="15">
      <c r="AW415" s="18">
        <f t="shared" si="8"/>
        <v>0</v>
      </c>
    </row>
    <row r="416" spans="49:49" ht="15">
      <c r="AW416" s="18">
        <f t="shared" si="8"/>
        <v>0</v>
      </c>
    </row>
    <row r="417" spans="49:49" ht="15">
      <c r="AW417" s="18">
        <f t="shared" si="8"/>
        <v>0</v>
      </c>
    </row>
    <row r="418" spans="49:49" ht="15">
      <c r="AW418" s="18">
        <f t="shared" si="8"/>
        <v>0</v>
      </c>
    </row>
    <row r="419" spans="49:49" ht="15">
      <c r="AW419" s="18">
        <f t="shared" si="8"/>
        <v>0</v>
      </c>
    </row>
    <row r="420" spans="49:49" ht="15">
      <c r="AW420" s="18">
        <f t="shared" si="8"/>
        <v>0</v>
      </c>
    </row>
    <row r="421" spans="49:49" ht="15">
      <c r="AW421" s="18">
        <f t="shared" si="8"/>
        <v>0</v>
      </c>
    </row>
    <row r="422" spans="49:49" ht="15">
      <c r="AW422" s="18">
        <f t="shared" ref="AW422:AW476" si="9">LEN(L422)</f>
        <v>0</v>
      </c>
    </row>
    <row r="423" spans="49:49" ht="15">
      <c r="AW423" s="18">
        <f t="shared" si="9"/>
        <v>0</v>
      </c>
    </row>
    <row r="424" spans="49:49" ht="15">
      <c r="AW424" s="18">
        <f t="shared" si="9"/>
        <v>0</v>
      </c>
    </row>
    <row r="425" spans="49:49" ht="15">
      <c r="AW425" s="18">
        <f t="shared" si="9"/>
        <v>0</v>
      </c>
    </row>
    <row r="426" spans="49:49" ht="15">
      <c r="AW426" s="18">
        <f t="shared" si="9"/>
        <v>0</v>
      </c>
    </row>
    <row r="427" spans="49:49" ht="15">
      <c r="AW427" s="18">
        <f t="shared" si="9"/>
        <v>0</v>
      </c>
    </row>
    <row r="428" spans="49:49" ht="15">
      <c r="AW428" s="18">
        <f t="shared" si="9"/>
        <v>0</v>
      </c>
    </row>
    <row r="429" spans="49:49" ht="15">
      <c r="AW429" s="18">
        <f t="shared" si="9"/>
        <v>0</v>
      </c>
    </row>
    <row r="430" spans="49:49" ht="15">
      <c r="AW430" s="18">
        <f t="shared" si="9"/>
        <v>0</v>
      </c>
    </row>
    <row r="431" spans="49:49" ht="15">
      <c r="AW431" s="18">
        <f t="shared" si="9"/>
        <v>0</v>
      </c>
    </row>
    <row r="432" spans="49:49" ht="15">
      <c r="AW432" s="18">
        <f t="shared" si="9"/>
        <v>0</v>
      </c>
    </row>
    <row r="433" spans="49:49" ht="15">
      <c r="AW433" s="18">
        <f t="shared" si="9"/>
        <v>0</v>
      </c>
    </row>
    <row r="434" spans="49:49" ht="15">
      <c r="AW434" s="18">
        <f t="shared" si="9"/>
        <v>0</v>
      </c>
    </row>
    <row r="435" spans="49:49" ht="15">
      <c r="AW435" s="18">
        <f t="shared" si="9"/>
        <v>0</v>
      </c>
    </row>
    <row r="436" spans="49:49" ht="15">
      <c r="AW436" s="18">
        <f t="shared" si="9"/>
        <v>0</v>
      </c>
    </row>
    <row r="437" spans="49:49" ht="15">
      <c r="AW437" s="18">
        <f t="shared" si="9"/>
        <v>0</v>
      </c>
    </row>
    <row r="438" spans="49:49" ht="15">
      <c r="AW438" s="18">
        <f t="shared" si="9"/>
        <v>0</v>
      </c>
    </row>
    <row r="439" spans="49:49" ht="15">
      <c r="AW439" s="18">
        <f t="shared" si="9"/>
        <v>0</v>
      </c>
    </row>
    <row r="440" spans="49:49" ht="15">
      <c r="AW440" s="18">
        <f t="shared" si="9"/>
        <v>0</v>
      </c>
    </row>
    <row r="441" spans="49:49" ht="15">
      <c r="AW441" s="18">
        <f t="shared" si="9"/>
        <v>0</v>
      </c>
    </row>
    <row r="442" spans="49:49" ht="15">
      <c r="AW442" s="18">
        <f t="shared" si="9"/>
        <v>0</v>
      </c>
    </row>
    <row r="443" spans="49:49" ht="15">
      <c r="AW443" s="18">
        <f t="shared" si="9"/>
        <v>0</v>
      </c>
    </row>
    <row r="444" spans="49:49" ht="15">
      <c r="AW444" s="18">
        <f t="shared" si="9"/>
        <v>0</v>
      </c>
    </row>
    <row r="445" spans="49:49" ht="15">
      <c r="AW445" s="18">
        <f t="shared" si="9"/>
        <v>0</v>
      </c>
    </row>
    <row r="446" spans="49:49" ht="15">
      <c r="AW446" s="18">
        <f t="shared" si="9"/>
        <v>0</v>
      </c>
    </row>
    <row r="447" spans="49:49" ht="15">
      <c r="AW447" s="18">
        <f t="shared" si="9"/>
        <v>0</v>
      </c>
    </row>
    <row r="448" spans="49:49" ht="15">
      <c r="AW448" s="18">
        <f t="shared" si="9"/>
        <v>0</v>
      </c>
    </row>
    <row r="449" spans="49:49" ht="15">
      <c r="AW449" s="18">
        <f t="shared" si="9"/>
        <v>0</v>
      </c>
    </row>
    <row r="450" spans="49:49" ht="15">
      <c r="AW450" s="18">
        <f t="shared" si="9"/>
        <v>0</v>
      </c>
    </row>
    <row r="451" spans="49:49" ht="15">
      <c r="AW451" s="18">
        <f t="shared" si="9"/>
        <v>0</v>
      </c>
    </row>
    <row r="452" spans="49:49" ht="15">
      <c r="AW452" s="18">
        <f t="shared" si="9"/>
        <v>0</v>
      </c>
    </row>
    <row r="453" spans="49:49" ht="15">
      <c r="AW453" s="18">
        <f t="shared" si="9"/>
        <v>0</v>
      </c>
    </row>
    <row r="454" spans="49:49" ht="15">
      <c r="AW454" s="18">
        <f t="shared" si="9"/>
        <v>0</v>
      </c>
    </row>
    <row r="455" spans="49:49" ht="15">
      <c r="AW455" s="18">
        <f t="shared" si="9"/>
        <v>0</v>
      </c>
    </row>
    <row r="456" spans="49:49" ht="15">
      <c r="AW456" s="18">
        <f t="shared" si="9"/>
        <v>0</v>
      </c>
    </row>
    <row r="457" spans="49:49" ht="15">
      <c r="AW457" s="18">
        <f t="shared" si="9"/>
        <v>0</v>
      </c>
    </row>
    <row r="458" spans="49:49" ht="15">
      <c r="AW458" s="18">
        <f t="shared" si="9"/>
        <v>0</v>
      </c>
    </row>
    <row r="459" spans="49:49" ht="15">
      <c r="AW459" s="18">
        <f t="shared" si="9"/>
        <v>0</v>
      </c>
    </row>
    <row r="460" spans="49:49" ht="15">
      <c r="AW460" s="18">
        <f t="shared" si="9"/>
        <v>0</v>
      </c>
    </row>
    <row r="461" spans="49:49" ht="15">
      <c r="AW461" s="18">
        <f t="shared" si="9"/>
        <v>0</v>
      </c>
    </row>
    <row r="462" spans="49:49" ht="15">
      <c r="AW462" s="18">
        <f t="shared" si="9"/>
        <v>0</v>
      </c>
    </row>
    <row r="463" spans="49:49" ht="15">
      <c r="AW463" s="18">
        <f t="shared" si="9"/>
        <v>0</v>
      </c>
    </row>
    <row r="464" spans="49:49" ht="15">
      <c r="AW464" s="18">
        <f t="shared" si="9"/>
        <v>0</v>
      </c>
    </row>
    <row r="465" spans="49:49" ht="15">
      <c r="AW465" s="18">
        <f t="shared" si="9"/>
        <v>0</v>
      </c>
    </row>
    <row r="466" spans="49:49" ht="15">
      <c r="AW466" s="18">
        <f t="shared" si="9"/>
        <v>0</v>
      </c>
    </row>
    <row r="467" spans="49:49" ht="15">
      <c r="AW467" s="18">
        <f t="shared" si="9"/>
        <v>0</v>
      </c>
    </row>
    <row r="468" spans="49:49" ht="15">
      <c r="AW468" s="18">
        <f t="shared" si="9"/>
        <v>0</v>
      </c>
    </row>
    <row r="469" spans="49:49" ht="15">
      <c r="AW469" s="18">
        <f t="shared" si="9"/>
        <v>0</v>
      </c>
    </row>
    <row r="470" spans="49:49" ht="15">
      <c r="AW470" s="18">
        <f t="shared" si="9"/>
        <v>0</v>
      </c>
    </row>
    <row r="471" spans="49:49" ht="15">
      <c r="AW471" s="18">
        <f t="shared" si="9"/>
        <v>0</v>
      </c>
    </row>
    <row r="472" spans="49:49" ht="15">
      <c r="AW472" s="18">
        <f t="shared" si="9"/>
        <v>0</v>
      </c>
    </row>
    <row r="473" spans="49:49" ht="15">
      <c r="AW473" s="18">
        <f t="shared" si="9"/>
        <v>0</v>
      </c>
    </row>
    <row r="474" spans="49:49" ht="15">
      <c r="AW474" s="18">
        <f t="shared" si="9"/>
        <v>0</v>
      </c>
    </row>
    <row r="475" spans="49:49" ht="15">
      <c r="AW475" s="18">
        <f t="shared" si="9"/>
        <v>0</v>
      </c>
    </row>
    <row r="476" spans="49:49" ht="15">
      <c r="AW476" s="18">
        <f t="shared" si="9"/>
        <v>0</v>
      </c>
    </row>
  </sheetData>
  <mergeCells count="60">
    <mergeCell ref="AO4:AU4"/>
    <mergeCell ref="B5:B6"/>
    <mergeCell ref="C5:C6"/>
    <mergeCell ref="D5:D6"/>
    <mergeCell ref="E5:E6"/>
    <mergeCell ref="H5:H6"/>
    <mergeCell ref="V5:V6"/>
    <mergeCell ref="AL5:AL6"/>
    <mergeCell ref="AJ5:AJ6"/>
    <mergeCell ref="AK5:AK6"/>
    <mergeCell ref="J5:J6"/>
    <mergeCell ref="P5:P6"/>
    <mergeCell ref="Q5:Q6"/>
    <mergeCell ref="Y5:Y6"/>
    <mergeCell ref="Z5:Z6"/>
    <mergeCell ref="R5:R6"/>
    <mergeCell ref="AE4:AL4"/>
    <mergeCell ref="B4:C4"/>
    <mergeCell ref="K5:K6"/>
    <mergeCell ref="L5:L6"/>
    <mergeCell ref="N5:N6"/>
    <mergeCell ref="O5:O6"/>
    <mergeCell ref="AB5:AB6"/>
    <mergeCell ref="AC5:AC6"/>
    <mergeCell ref="AD5:AD6"/>
    <mergeCell ref="I5:I6"/>
    <mergeCell ref="S5:S6"/>
    <mergeCell ref="W5:W6"/>
    <mergeCell ref="X5:X6"/>
    <mergeCell ref="T5:T6"/>
    <mergeCell ref="W4:AD4"/>
    <mergeCell ref="AA5:AA6"/>
    <mergeCell ref="AS5:AS6"/>
    <mergeCell ref="AO5:AO6"/>
    <mergeCell ref="U5:U6"/>
    <mergeCell ref="AF5:AF6"/>
    <mergeCell ref="AG5:AG6"/>
    <mergeCell ref="AH5:AH6"/>
    <mergeCell ref="AE5:AE6"/>
    <mergeCell ref="CC5:CD5"/>
    <mergeCell ref="J151:J215"/>
    <mergeCell ref="L151:L215"/>
    <mergeCell ref="BX5:BY5"/>
    <mergeCell ref="BZ5:CB5"/>
    <mergeCell ref="BF5:BS5"/>
    <mergeCell ref="BT5:BW5"/>
    <mergeCell ref="AT5:AT6"/>
    <mergeCell ref="AU5:AU6"/>
    <mergeCell ref="AZ5:AZ6"/>
    <mergeCell ref="BA5:BE5"/>
    <mergeCell ref="AV5:AV6"/>
    <mergeCell ref="AX5:AX6"/>
    <mergeCell ref="AP5:AP6"/>
    <mergeCell ref="AQ5:AQ6"/>
    <mergeCell ref="AR5:AR6"/>
    <mergeCell ref="J226:J228"/>
    <mergeCell ref="L226:L228"/>
    <mergeCell ref="J216:J225"/>
    <mergeCell ref="L216:L225"/>
    <mergeCell ref="AI5:AI6"/>
  </mergeCells>
  <phoneticPr fontId="13" type="noConversion"/>
  <conditionalFormatting sqref="AW1:AW38 AW46:AW1048576 AW42">
    <cfRule type="cellIs" dxfId="201" priority="41" stopIfTrue="1" operator="greaterThan">
      <formula>42</formula>
    </cfRule>
  </conditionalFormatting>
  <conditionalFormatting sqref="AW44">
    <cfRule type="cellIs" dxfId="200" priority="7" stopIfTrue="1" operator="greaterThan">
      <formula>42</formula>
    </cfRule>
  </conditionalFormatting>
  <conditionalFormatting sqref="AW45">
    <cfRule type="cellIs" dxfId="199" priority="6" stopIfTrue="1" operator="greaterThan">
      <formula>42</formula>
    </cfRule>
  </conditionalFormatting>
  <conditionalFormatting sqref="AW39">
    <cfRule type="cellIs" dxfId="198" priority="5" stopIfTrue="1" operator="greaterThan">
      <formula>42</formula>
    </cfRule>
  </conditionalFormatting>
  <conditionalFormatting sqref="AW40">
    <cfRule type="cellIs" dxfId="197" priority="4" stopIfTrue="1" operator="greaterThan">
      <formula>42</formula>
    </cfRule>
  </conditionalFormatting>
  <conditionalFormatting sqref="AW41">
    <cfRule type="cellIs" dxfId="196" priority="3" stopIfTrue="1" operator="greaterThan">
      <formula>42</formula>
    </cfRule>
  </conditionalFormatting>
  <conditionalFormatting sqref="AW43">
    <cfRule type="cellIs" dxfId="195" priority="2" stopIfTrue="1" operator="greaterThan">
      <formula>42</formula>
    </cfRule>
  </conditionalFormatting>
  <conditionalFormatting sqref="AW50:AW85">
    <cfRule type="cellIs" dxfId="194" priority="1" stopIfTrue="1" operator="greaterThan">
      <formula>42</formula>
    </cfRule>
  </conditionalFormatting>
  <dataValidations count="3">
    <dataValidation type="textLength" operator="lessThanOrEqual" allowBlank="1" showInputMessage="1" showErrorMessage="1" sqref="AO50:AT54 AO60:AT61" xr:uid="{00000000-0002-0000-0C00-000000000000}">
      <formula1>4</formula1>
    </dataValidation>
    <dataValidation type="textLength" operator="lessThan" allowBlank="1" showInputMessage="1" showErrorMessage="1" error="text length exceeded" prompt="max. 64 charcters" sqref="C74 B85:C85 C72 BB70 C67:C70 B66:B72 B60:B62 D60:D61 B57 C55:C65 B54:C54 B50:D52" xr:uid="{00000000-0002-0000-0C00-000001000000}">
      <formula1>65</formula1>
    </dataValidation>
    <dataValidation type="textLength" allowBlank="1" showInputMessage="1" showErrorMessage="1" sqref="AO74:AT74 AO85:AT85 AO62:AT72 AO55:AT59" xr:uid="{00000000-0002-0000-0C00-000002000000}">
      <formula1>0</formula1>
      <formula2>4</formula2>
    </dataValidation>
  </dataValidations>
  <pageMargins left="0.78740157499999996" right="0.78740157499999996" top="0.984251969" bottom="0.984251969" header="0.49212598499999999" footer="0.49212598499999999"/>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dimension ref="A1:CI612"/>
  <sheetViews>
    <sheetView showGridLines="0" showRuler="0" topLeftCell="A4" zoomScale="70" zoomScaleNormal="70" zoomScalePageLayoutView="90" workbookViewId="0">
      <pane ySplit="3" topLeftCell="A46" activePane="bottomLeft" state="frozenSplit"/>
      <selection activeCell="U4" sqref="U4"/>
      <selection pane="bottomLeft" activeCell="M54" sqref="M54"/>
    </sheetView>
  </sheetViews>
  <sheetFormatPr defaultColWidth="8.88671875" defaultRowHeight="13.2"/>
  <cols>
    <col min="1" max="1" width="5.6640625" style="144" customWidth="1"/>
    <col min="2" max="2" width="46.44140625" hidden="1" customWidth="1"/>
    <col min="3" max="3" width="8.6640625" hidden="1" customWidth="1"/>
    <col min="4" max="4" width="0" hidden="1" customWidth="1"/>
    <col min="5" max="7" width="10" hidden="1" customWidth="1"/>
    <col min="8" max="9" width="0" hidden="1" customWidth="1"/>
    <col min="10" max="10" width="44.88671875" style="144" customWidth="1"/>
    <col min="11" max="11" width="18.33203125" customWidth="1"/>
    <col min="12" max="12" width="53.88671875" customWidth="1"/>
    <col min="13" max="13" width="45.88671875" customWidth="1"/>
    <col min="14" max="14" width="9" style="138" bestFit="1" customWidth="1"/>
    <col min="15" max="15" width="5.6640625" style="138" customWidth="1"/>
    <col min="16" max="16" width="7.6640625" style="138" bestFit="1" customWidth="1"/>
    <col min="17" max="19" width="4.6640625" style="138" customWidth="1"/>
    <col min="20" max="20" width="7.33203125" style="138" customWidth="1"/>
    <col min="21" max="21" width="56.6640625" style="127" customWidth="1"/>
    <col min="22" max="22" width="32.6640625" style="70" customWidth="1"/>
    <col min="23" max="23" width="18.33203125" customWidth="1"/>
    <col min="24" max="25" width="5.6640625" customWidth="1"/>
    <col min="26" max="27" width="4.6640625" customWidth="1"/>
    <col min="28" max="28" width="19.109375" customWidth="1"/>
    <col min="29" max="29" width="16.109375" customWidth="1"/>
    <col min="30" max="30" width="22.109375" customWidth="1"/>
    <col min="31" max="31" width="18.33203125" customWidth="1"/>
    <col min="32" max="33" width="5.6640625" customWidth="1"/>
    <col min="34" max="35" width="4.6640625" customWidth="1"/>
    <col min="36" max="36" width="33.6640625" style="71" customWidth="1"/>
    <col min="37" max="37" width="9.109375" customWidth="1"/>
    <col min="38" max="38" width="24.44140625" customWidth="1"/>
    <col min="39" max="39" width="24.109375" bestFit="1" customWidth="1"/>
    <col min="40" max="40" width="30.6640625" customWidth="1"/>
    <col min="48" max="48" width="30.6640625" customWidth="1"/>
    <col min="49" max="49" width="0" hidden="1" customWidth="1"/>
  </cols>
  <sheetData>
    <row r="1" spans="1:86" ht="13.8" hidden="1" thickBot="1"/>
    <row r="2" spans="1:86" ht="13.8" hidden="1" thickBot="1"/>
    <row r="3" spans="1:86" s="1" customFormat="1" ht="13.8" hidden="1" thickBot="1">
      <c r="A3" s="146"/>
      <c r="C3" s="2"/>
      <c r="E3" s="3"/>
      <c r="F3" s="3"/>
      <c r="G3" s="3"/>
      <c r="H3" s="3"/>
      <c r="I3" s="3"/>
      <c r="J3" s="136"/>
      <c r="K3" s="3"/>
      <c r="L3" s="3"/>
      <c r="M3" s="3"/>
      <c r="N3" s="136"/>
      <c r="O3" s="136"/>
      <c r="P3" s="136"/>
      <c r="Q3" s="136"/>
      <c r="R3" s="136"/>
      <c r="S3" s="136"/>
      <c r="T3" s="136"/>
      <c r="U3" s="136"/>
      <c r="V3" s="3"/>
      <c r="W3" s="3"/>
      <c r="X3" s="4"/>
      <c r="Y3" s="5"/>
      <c r="Z3" s="5"/>
      <c r="AA3" s="3"/>
      <c r="AB3" s="3"/>
      <c r="AC3" s="3"/>
      <c r="AD3" s="3"/>
      <c r="AE3" s="3"/>
      <c r="AF3" s="4"/>
      <c r="AG3" s="5"/>
      <c r="AH3" s="5"/>
      <c r="AI3" s="3"/>
      <c r="AJ3" s="3"/>
      <c r="AK3" s="2"/>
      <c r="AL3" s="2"/>
      <c r="AM3" s="2"/>
      <c r="AN3" s="2"/>
      <c r="AO3" s="2"/>
      <c r="AP3" s="2"/>
      <c r="AQ3" s="2"/>
    </row>
    <row r="4" spans="1:86"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390"/>
      <c r="G5" s="390"/>
      <c r="H5" s="637" t="s">
        <v>475</v>
      </c>
      <c r="I5" s="646" t="s">
        <v>476</v>
      </c>
      <c r="J5" s="648" t="s">
        <v>477</v>
      </c>
      <c r="K5" s="648" t="s">
        <v>478</v>
      </c>
      <c r="L5" s="648" t="s">
        <v>479</v>
      </c>
      <c r="M5" s="546"/>
      <c r="N5" s="648" t="s">
        <v>480</v>
      </c>
      <c r="O5" s="648" t="s">
        <v>481</v>
      </c>
      <c r="P5" s="648" t="s">
        <v>482</v>
      </c>
      <c r="Q5" s="648" t="s">
        <v>483</v>
      </c>
      <c r="R5" s="648" t="s">
        <v>484</v>
      </c>
      <c r="S5" s="648" t="s">
        <v>485</v>
      </c>
      <c r="T5" s="648" t="s">
        <v>486</v>
      </c>
      <c r="U5" s="648" t="s">
        <v>487</v>
      </c>
      <c r="V5" s="648" t="s">
        <v>488</v>
      </c>
      <c r="W5" s="635" t="s">
        <v>478</v>
      </c>
      <c r="X5" s="635" t="s">
        <v>489</v>
      </c>
      <c r="Y5" s="635" t="s">
        <v>482</v>
      </c>
      <c r="Z5" s="640" t="s">
        <v>490</v>
      </c>
      <c r="AA5" s="635" t="s">
        <v>485</v>
      </c>
      <c r="AB5" s="635" t="s">
        <v>487</v>
      </c>
      <c r="AC5" s="635" t="s">
        <v>491</v>
      </c>
      <c r="AD5" s="67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50.75" customHeight="1" thickBot="1">
      <c r="A6" s="58" t="s">
        <v>501</v>
      </c>
      <c r="B6" s="655"/>
      <c r="C6" s="655"/>
      <c r="D6" s="638"/>
      <c r="E6" s="638"/>
      <c r="F6" s="396" t="s">
        <v>473</v>
      </c>
      <c r="G6" s="396" t="s">
        <v>474</v>
      </c>
      <c r="H6" s="638"/>
      <c r="I6" s="647"/>
      <c r="J6" s="649"/>
      <c r="K6" s="649"/>
      <c r="L6" s="649"/>
      <c r="M6" s="547" t="s">
        <v>3506</v>
      </c>
      <c r="N6" s="649"/>
      <c r="O6" s="649"/>
      <c r="P6" s="649"/>
      <c r="Q6" s="649"/>
      <c r="R6" s="649"/>
      <c r="S6" s="649"/>
      <c r="T6" s="649"/>
      <c r="U6" s="649"/>
      <c r="V6" s="649"/>
      <c r="W6" s="636"/>
      <c r="X6" s="636"/>
      <c r="Y6" s="636"/>
      <c r="Z6" s="641"/>
      <c r="AA6" s="636"/>
      <c r="AB6" s="636"/>
      <c r="AC6" s="636"/>
      <c r="AD6" s="673"/>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51">
        <f>ROW() - 6</f>
        <v>1</v>
      </c>
      <c r="B7" s="65"/>
      <c r="C7" s="65"/>
      <c r="D7" s="65"/>
      <c r="E7" s="65"/>
      <c r="F7" s="65"/>
      <c r="G7" s="65"/>
      <c r="H7" s="65"/>
      <c r="I7" s="65"/>
      <c r="J7" s="537" t="s">
        <v>503</v>
      </c>
      <c r="K7" s="65"/>
      <c r="L7" s="65"/>
      <c r="M7" s="65"/>
      <c r="N7" s="137"/>
      <c r="O7" s="137"/>
      <c r="P7" s="137"/>
      <c r="Q7" s="137"/>
      <c r="R7" s="137"/>
      <c r="S7" s="137"/>
      <c r="T7" s="137"/>
      <c r="U7" s="145"/>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428"/>
      <c r="AW7" s="18">
        <f t="shared" ref="AW7:AW23" si="0">LEN(L7)</f>
        <v>0</v>
      </c>
    </row>
    <row r="8" spans="1:86" s="12" customFormat="1" ht="15">
      <c r="A8" s="40">
        <f t="shared" ref="A8:A31" si="1">ROW() - 6</f>
        <v>2</v>
      </c>
      <c r="B8" s="38"/>
      <c r="C8" s="42"/>
      <c r="D8" s="19"/>
      <c r="E8" s="19"/>
      <c r="F8" s="35"/>
      <c r="G8" s="35"/>
      <c r="H8" s="414"/>
      <c r="I8" s="13"/>
      <c r="J8" s="412" t="s">
        <v>3422</v>
      </c>
      <c r="K8" s="232" t="s">
        <v>132</v>
      </c>
      <c r="L8" s="204" t="s">
        <v>1068</v>
      </c>
      <c r="M8" s="204" t="s">
        <v>4378</v>
      </c>
      <c r="N8" s="126" t="s">
        <v>504</v>
      </c>
      <c r="O8" s="126"/>
      <c r="P8" s="126"/>
      <c r="Q8" s="126" t="s">
        <v>6</v>
      </c>
      <c r="R8" s="126" t="s">
        <v>6</v>
      </c>
      <c r="S8" s="126" t="s">
        <v>6</v>
      </c>
      <c r="T8" s="40" t="s">
        <v>6</v>
      </c>
      <c r="U8" s="204" t="s">
        <v>1568</v>
      </c>
      <c r="V8" s="555"/>
      <c r="W8" s="232" t="s">
        <v>133</v>
      </c>
      <c r="X8" s="59"/>
      <c r="Y8" s="59"/>
      <c r="Z8" s="61" t="s">
        <v>6</v>
      </c>
      <c r="AA8" s="61" t="s">
        <v>6</v>
      </c>
      <c r="AB8" s="13"/>
      <c r="AC8" s="40"/>
      <c r="AD8" s="40"/>
      <c r="AE8" s="232" t="s">
        <v>133</v>
      </c>
      <c r="AF8" s="59"/>
      <c r="AG8" s="59"/>
      <c r="AH8" s="61" t="s">
        <v>6</v>
      </c>
      <c r="AI8" s="61" t="s">
        <v>6</v>
      </c>
      <c r="AJ8" s="13"/>
      <c r="AK8" s="40"/>
      <c r="AL8" s="40"/>
      <c r="AM8" s="198" t="s">
        <v>2291</v>
      </c>
      <c r="AN8" s="204"/>
      <c r="AO8" s="13"/>
      <c r="AP8" s="13"/>
      <c r="AQ8" s="13"/>
      <c r="AR8" s="13"/>
      <c r="AS8" s="13"/>
      <c r="AT8" s="13"/>
      <c r="AU8" s="13"/>
      <c r="AV8" s="13"/>
      <c r="AW8" s="18">
        <f t="shared" si="0"/>
        <v>35</v>
      </c>
    </row>
    <row r="9" spans="1:86" s="14" customFormat="1" ht="15">
      <c r="A9" s="40">
        <f t="shared" si="1"/>
        <v>3</v>
      </c>
      <c r="B9" s="38"/>
      <c r="C9" s="42"/>
      <c r="D9" s="232"/>
      <c r="E9" s="232"/>
      <c r="F9" s="233"/>
      <c r="G9" s="233"/>
      <c r="H9" s="416"/>
      <c r="I9" s="40" t="s">
        <v>868</v>
      </c>
      <c r="J9" s="412" t="s">
        <v>3423</v>
      </c>
      <c r="K9" s="204" t="s">
        <v>132</v>
      </c>
      <c r="L9" s="204" t="s">
        <v>1071</v>
      </c>
      <c r="M9" s="204" t="s">
        <v>4378</v>
      </c>
      <c r="N9" s="126" t="s">
        <v>504</v>
      </c>
      <c r="O9" s="126"/>
      <c r="P9" s="126"/>
      <c r="Q9" s="126"/>
      <c r="R9" s="126" t="s">
        <v>6</v>
      </c>
      <c r="S9" s="126" t="s">
        <v>6</v>
      </c>
      <c r="T9" s="40" t="s">
        <v>6</v>
      </c>
      <c r="U9" s="204" t="s">
        <v>1568</v>
      </c>
      <c r="V9" s="204"/>
      <c r="W9" s="204" t="s">
        <v>133</v>
      </c>
      <c r="X9" s="199"/>
      <c r="Y9" s="199"/>
      <c r="Z9" s="126" t="s">
        <v>6</v>
      </c>
      <c r="AA9" s="126" t="s">
        <v>6</v>
      </c>
      <c r="AB9" s="40"/>
      <c r="AC9" s="40"/>
      <c r="AD9" s="40"/>
      <c r="AE9" s="204" t="s">
        <v>133</v>
      </c>
      <c r="AF9" s="199"/>
      <c r="AG9" s="199"/>
      <c r="AH9" s="126" t="s">
        <v>6</v>
      </c>
      <c r="AI9" s="126" t="s">
        <v>6</v>
      </c>
      <c r="AJ9" s="40"/>
      <c r="AK9" s="40"/>
      <c r="AL9" s="40"/>
      <c r="AM9" s="198" t="s">
        <v>2291</v>
      </c>
      <c r="AN9" s="204"/>
      <c r="AO9" s="40"/>
      <c r="AP9" s="40"/>
      <c r="AQ9" s="40"/>
      <c r="AR9" s="40"/>
      <c r="AS9" s="40"/>
      <c r="AT9" s="40"/>
      <c r="AU9" s="40"/>
      <c r="AV9" s="40"/>
      <c r="AW9" s="155">
        <f t="shared" si="0"/>
        <v>42</v>
      </c>
    </row>
    <row r="10" spans="1:86" s="14" customFormat="1" ht="15">
      <c r="A10" s="40">
        <f t="shared" si="1"/>
        <v>4</v>
      </c>
      <c r="B10" s="38"/>
      <c r="C10" s="42"/>
      <c r="D10" s="232"/>
      <c r="E10" s="232"/>
      <c r="F10" s="233"/>
      <c r="G10" s="233"/>
      <c r="H10" s="416"/>
      <c r="I10" s="40" t="s">
        <v>868</v>
      </c>
      <c r="J10" s="412" t="s">
        <v>3424</v>
      </c>
      <c r="K10" s="204" t="s">
        <v>132</v>
      </c>
      <c r="L10" s="204" t="s">
        <v>1073</v>
      </c>
      <c r="M10" s="204" t="s">
        <v>4378</v>
      </c>
      <c r="N10" s="126" t="s">
        <v>504</v>
      </c>
      <c r="O10" s="126"/>
      <c r="P10" s="126"/>
      <c r="Q10" s="126"/>
      <c r="R10" s="126" t="s">
        <v>6</v>
      </c>
      <c r="S10" s="126" t="s">
        <v>6</v>
      </c>
      <c r="T10" s="40" t="s">
        <v>6</v>
      </c>
      <c r="U10" s="204" t="s">
        <v>1568</v>
      </c>
      <c r="V10" s="204"/>
      <c r="W10" s="204" t="s">
        <v>133</v>
      </c>
      <c r="X10" s="199"/>
      <c r="Y10" s="199"/>
      <c r="Z10" s="126" t="s">
        <v>6</v>
      </c>
      <c r="AA10" s="126" t="s">
        <v>6</v>
      </c>
      <c r="AB10" s="40"/>
      <c r="AC10" s="40"/>
      <c r="AD10" s="40"/>
      <c r="AE10" s="204" t="s">
        <v>133</v>
      </c>
      <c r="AF10" s="199"/>
      <c r="AG10" s="199"/>
      <c r="AH10" s="126" t="s">
        <v>6</v>
      </c>
      <c r="AI10" s="126" t="s">
        <v>6</v>
      </c>
      <c r="AJ10" s="40"/>
      <c r="AK10" s="40"/>
      <c r="AL10" s="40"/>
      <c r="AM10" s="198" t="s">
        <v>2291</v>
      </c>
      <c r="AN10" s="204"/>
      <c r="AO10" s="40"/>
      <c r="AP10" s="40"/>
      <c r="AQ10" s="40"/>
      <c r="AR10" s="40"/>
      <c r="AS10" s="40"/>
      <c r="AT10" s="40"/>
      <c r="AU10" s="40"/>
      <c r="AV10" s="40"/>
      <c r="AW10" s="155">
        <f t="shared" si="0"/>
        <v>42</v>
      </c>
    </row>
    <row r="11" spans="1:86" s="14" customFormat="1" ht="15">
      <c r="A11" s="40">
        <f t="shared" si="1"/>
        <v>5</v>
      </c>
      <c r="B11" s="38"/>
      <c r="C11" s="42"/>
      <c r="D11" s="232"/>
      <c r="E11" s="232"/>
      <c r="F11" s="233"/>
      <c r="G11" s="233"/>
      <c r="H11" s="416"/>
      <c r="I11" s="40" t="s">
        <v>868</v>
      </c>
      <c r="J11" s="412" t="s">
        <v>3425</v>
      </c>
      <c r="K11" s="204" t="s">
        <v>132</v>
      </c>
      <c r="L11" s="204" t="s">
        <v>1074</v>
      </c>
      <c r="M11" s="204" t="s">
        <v>4378</v>
      </c>
      <c r="N11" s="126" t="s">
        <v>504</v>
      </c>
      <c r="O11" s="126"/>
      <c r="P11" s="126"/>
      <c r="Q11" s="126"/>
      <c r="R11" s="126" t="s">
        <v>6</v>
      </c>
      <c r="S11" s="126" t="s">
        <v>6</v>
      </c>
      <c r="T11" s="40" t="s">
        <v>6</v>
      </c>
      <c r="U11" s="204" t="s">
        <v>1568</v>
      </c>
      <c r="V11" s="204"/>
      <c r="W11" s="204" t="s">
        <v>133</v>
      </c>
      <c r="X11" s="199"/>
      <c r="Y11" s="199"/>
      <c r="Z11" s="126" t="s">
        <v>6</v>
      </c>
      <c r="AA11" s="126" t="s">
        <v>6</v>
      </c>
      <c r="AB11" s="40"/>
      <c r="AC11" s="40"/>
      <c r="AD11" s="40"/>
      <c r="AE11" s="204" t="s">
        <v>133</v>
      </c>
      <c r="AF11" s="199"/>
      <c r="AG11" s="199"/>
      <c r="AH11" s="126" t="s">
        <v>6</v>
      </c>
      <c r="AI11" s="126" t="s">
        <v>6</v>
      </c>
      <c r="AJ11" s="40"/>
      <c r="AK11" s="40"/>
      <c r="AL11" s="40"/>
      <c r="AM11" s="198" t="s">
        <v>2291</v>
      </c>
      <c r="AN11" s="204"/>
      <c r="AO11" s="40"/>
      <c r="AP11" s="40"/>
      <c r="AQ11" s="40"/>
      <c r="AR11" s="40"/>
      <c r="AS11" s="40"/>
      <c r="AT11" s="40"/>
      <c r="AU11" s="40"/>
      <c r="AV11" s="40"/>
      <c r="AW11" s="155">
        <f t="shared" si="0"/>
        <v>42</v>
      </c>
    </row>
    <row r="12" spans="1:86" s="12" customFormat="1" ht="26.4">
      <c r="A12" s="40">
        <f t="shared" si="1"/>
        <v>6</v>
      </c>
      <c r="B12" s="19"/>
      <c r="C12" s="41"/>
      <c r="D12" s="19"/>
      <c r="E12" s="19"/>
      <c r="F12" s="19"/>
      <c r="G12" s="19"/>
      <c r="H12" s="13"/>
      <c r="I12" s="13"/>
      <c r="J12" s="412" t="s">
        <v>3426</v>
      </c>
      <c r="K12" s="232" t="s">
        <v>122</v>
      </c>
      <c r="L12" s="204" t="s">
        <v>872</v>
      </c>
      <c r="M12" s="204" t="s">
        <v>4843</v>
      </c>
      <c r="N12" s="349" t="s">
        <v>873</v>
      </c>
      <c r="O12" s="126"/>
      <c r="P12" s="126"/>
      <c r="Q12" s="126"/>
      <c r="R12" s="126" t="s">
        <v>6</v>
      </c>
      <c r="S12" s="126" t="s">
        <v>6</v>
      </c>
      <c r="T12" s="40" t="s">
        <v>6</v>
      </c>
      <c r="U12" s="204" t="s">
        <v>2293</v>
      </c>
      <c r="V12" s="204"/>
      <c r="W12" s="232" t="s">
        <v>125</v>
      </c>
      <c r="X12" s="59"/>
      <c r="Y12" s="59"/>
      <c r="Z12" s="59"/>
      <c r="AA12" s="61" t="s">
        <v>6</v>
      </c>
      <c r="AB12" s="413"/>
      <c r="AC12" s="415"/>
      <c r="AD12" s="412" t="s">
        <v>2294</v>
      </c>
      <c r="AE12" s="232" t="s">
        <v>125</v>
      </c>
      <c r="AF12" s="59"/>
      <c r="AG12" s="59"/>
      <c r="AH12" s="59"/>
      <c r="AI12" s="61" t="s">
        <v>6</v>
      </c>
      <c r="AJ12" s="413"/>
      <c r="AK12" s="415"/>
      <c r="AL12" s="412" t="s">
        <v>2294</v>
      </c>
      <c r="AM12" s="198" t="s">
        <v>2295</v>
      </c>
      <c r="AN12" s="259"/>
      <c r="AO12" s="13"/>
      <c r="AP12" s="13"/>
      <c r="AQ12" s="13"/>
      <c r="AR12" s="13"/>
      <c r="AS12" s="13"/>
      <c r="AT12" s="13"/>
      <c r="AU12" s="15"/>
      <c r="AV12" s="15"/>
      <c r="AW12" s="18">
        <f t="shared" si="0"/>
        <v>41</v>
      </c>
    </row>
    <row r="13" spans="1:86" s="12" customFormat="1" ht="26.4">
      <c r="A13" s="40">
        <f t="shared" si="1"/>
        <v>7</v>
      </c>
      <c r="B13" s="19"/>
      <c r="C13" s="41"/>
      <c r="D13" s="19"/>
      <c r="E13" s="19"/>
      <c r="F13" s="19"/>
      <c r="G13" s="19"/>
      <c r="H13" s="13"/>
      <c r="I13" s="13"/>
      <c r="J13" s="412" t="s">
        <v>3427</v>
      </c>
      <c r="K13" s="232" t="s">
        <v>122</v>
      </c>
      <c r="L13" s="204" t="s">
        <v>876</v>
      </c>
      <c r="M13" s="204" t="s">
        <v>4843</v>
      </c>
      <c r="N13" s="349" t="s">
        <v>873</v>
      </c>
      <c r="O13" s="126"/>
      <c r="P13" s="126"/>
      <c r="Q13" s="126"/>
      <c r="R13" s="126" t="s">
        <v>6</v>
      </c>
      <c r="S13" s="126" t="s">
        <v>6</v>
      </c>
      <c r="T13" s="40" t="s">
        <v>6</v>
      </c>
      <c r="U13" s="204" t="s">
        <v>2293</v>
      </c>
      <c r="V13" s="204"/>
      <c r="W13" s="232" t="s">
        <v>125</v>
      </c>
      <c r="X13" s="59"/>
      <c r="Y13" s="59"/>
      <c r="Z13" s="59"/>
      <c r="AA13" s="61" t="s">
        <v>6</v>
      </c>
      <c r="AB13" s="413"/>
      <c r="AC13" s="415"/>
      <c r="AD13" s="412" t="s">
        <v>2294</v>
      </c>
      <c r="AE13" s="232" t="s">
        <v>125</v>
      </c>
      <c r="AF13" s="59"/>
      <c r="AG13" s="59"/>
      <c r="AH13" s="59"/>
      <c r="AI13" s="61" t="s">
        <v>6</v>
      </c>
      <c r="AJ13" s="413"/>
      <c r="AK13" s="415"/>
      <c r="AL13" s="412" t="s">
        <v>2294</v>
      </c>
      <c r="AM13" s="198" t="s">
        <v>2295</v>
      </c>
      <c r="AN13" s="259"/>
      <c r="AO13" s="13"/>
      <c r="AP13" s="13"/>
      <c r="AQ13" s="13"/>
      <c r="AR13" s="13"/>
      <c r="AS13" s="13"/>
      <c r="AT13" s="13"/>
      <c r="AU13" s="15"/>
      <c r="AV13" s="15"/>
      <c r="AW13" s="18">
        <f t="shared" si="0"/>
        <v>41</v>
      </c>
    </row>
    <row r="14" spans="1:86" s="12" customFormat="1" ht="26.4">
      <c r="A14" s="40">
        <f t="shared" si="1"/>
        <v>8</v>
      </c>
      <c r="B14" s="19"/>
      <c r="C14" s="41"/>
      <c r="D14" s="19"/>
      <c r="E14" s="19"/>
      <c r="F14" s="19"/>
      <c r="G14" s="19"/>
      <c r="H14" s="13"/>
      <c r="I14" s="13"/>
      <c r="J14" s="412" t="s">
        <v>3428</v>
      </c>
      <c r="K14" s="232" t="s">
        <v>122</v>
      </c>
      <c r="L14" s="204" t="s">
        <v>877</v>
      </c>
      <c r="M14" s="204" t="s">
        <v>4843</v>
      </c>
      <c r="N14" s="349" t="s">
        <v>873</v>
      </c>
      <c r="O14" s="126"/>
      <c r="P14" s="126"/>
      <c r="Q14" s="126"/>
      <c r="R14" s="126" t="s">
        <v>6</v>
      </c>
      <c r="S14" s="126" t="s">
        <v>6</v>
      </c>
      <c r="T14" s="40" t="s">
        <v>6</v>
      </c>
      <c r="U14" s="204" t="s">
        <v>2293</v>
      </c>
      <c r="V14" s="204"/>
      <c r="W14" s="232" t="s">
        <v>125</v>
      </c>
      <c r="X14" s="59"/>
      <c r="Y14" s="59"/>
      <c r="Z14" s="59"/>
      <c r="AA14" s="61" t="s">
        <v>6</v>
      </c>
      <c r="AB14" s="415"/>
      <c r="AC14" s="415"/>
      <c r="AD14" s="412" t="s">
        <v>2294</v>
      </c>
      <c r="AE14" s="232" t="s">
        <v>125</v>
      </c>
      <c r="AF14" s="59"/>
      <c r="AG14" s="59"/>
      <c r="AH14" s="59"/>
      <c r="AI14" s="61" t="s">
        <v>6</v>
      </c>
      <c r="AJ14" s="415"/>
      <c r="AK14" s="415"/>
      <c r="AL14" s="412" t="s">
        <v>2294</v>
      </c>
      <c r="AM14" s="198" t="s">
        <v>2295</v>
      </c>
      <c r="AN14" s="259"/>
      <c r="AO14" s="13"/>
      <c r="AP14" s="13"/>
      <c r="AQ14" s="13"/>
      <c r="AR14" s="13"/>
      <c r="AS14" s="13"/>
      <c r="AT14" s="13"/>
      <c r="AU14" s="15"/>
      <c r="AV14" s="15"/>
      <c r="AW14" s="18">
        <f t="shared" si="0"/>
        <v>41</v>
      </c>
    </row>
    <row r="15" spans="1:86" s="12" customFormat="1" ht="39.6">
      <c r="A15" s="40">
        <f t="shared" si="1"/>
        <v>9</v>
      </c>
      <c r="B15" s="38"/>
      <c r="C15" s="41"/>
      <c r="D15" s="19"/>
      <c r="E15" s="19"/>
      <c r="F15" s="19"/>
      <c r="G15" s="19"/>
      <c r="H15" s="13"/>
      <c r="I15" s="13"/>
      <c r="J15" s="412" t="s">
        <v>3429</v>
      </c>
      <c r="K15" s="232" t="s">
        <v>122</v>
      </c>
      <c r="L15" s="204" t="s">
        <v>2296</v>
      </c>
      <c r="M15" s="204" t="s">
        <v>4843</v>
      </c>
      <c r="N15" s="349" t="s">
        <v>873</v>
      </c>
      <c r="O15" s="126"/>
      <c r="P15" s="126"/>
      <c r="Q15" s="126" t="s">
        <v>6</v>
      </c>
      <c r="R15" s="126" t="s">
        <v>6</v>
      </c>
      <c r="S15" s="126" t="s">
        <v>6</v>
      </c>
      <c r="T15" s="40" t="s">
        <v>6</v>
      </c>
      <c r="U15" s="204" t="s">
        <v>1582</v>
      </c>
      <c r="V15" s="204"/>
      <c r="W15" s="232" t="s">
        <v>123</v>
      </c>
      <c r="X15" s="59"/>
      <c r="Y15" s="59"/>
      <c r="Z15" s="61" t="s">
        <v>6</v>
      </c>
      <c r="AA15" s="61" t="s">
        <v>6</v>
      </c>
      <c r="AB15" s="215"/>
      <c r="AC15" s="415"/>
      <c r="AD15" s="218" t="s">
        <v>1574</v>
      </c>
      <c r="AE15" s="232" t="s">
        <v>123</v>
      </c>
      <c r="AF15" s="59"/>
      <c r="AG15" s="59"/>
      <c r="AH15" s="61" t="s">
        <v>6</v>
      </c>
      <c r="AI15" s="61" t="s">
        <v>6</v>
      </c>
      <c r="AJ15" s="215" t="str">
        <f>"Atende também ao agrupamento dos itens "&amp;A12&amp;" a "&amp;A14&amp;" para anunciador do nível 2 e alarme do nível 3."</f>
        <v>Atende também ao agrupamento dos itens 6 a 8 para anunciador do nível 2 e alarme do nível 3.</v>
      </c>
      <c r="AK15" s="415"/>
      <c r="AL15" s="218" t="s">
        <v>1574</v>
      </c>
      <c r="AM15" s="198" t="s">
        <v>2295</v>
      </c>
      <c r="AN15" s="19"/>
      <c r="AO15" s="15"/>
      <c r="AP15" s="15"/>
      <c r="AQ15" s="15"/>
      <c r="AR15" s="15"/>
      <c r="AS15" s="15"/>
      <c r="AT15" s="15"/>
      <c r="AU15" s="15"/>
      <c r="AV15" s="13"/>
      <c r="AW15" s="18">
        <f t="shared" si="0"/>
        <v>35</v>
      </c>
    </row>
    <row r="16" spans="1:86" s="12" customFormat="1" ht="39.6">
      <c r="A16" s="40">
        <f t="shared" si="1"/>
        <v>10</v>
      </c>
      <c r="B16" s="38"/>
      <c r="C16" s="41"/>
      <c r="D16" s="19"/>
      <c r="E16" s="19"/>
      <c r="F16" s="19"/>
      <c r="G16" s="19"/>
      <c r="H16" s="13"/>
      <c r="I16" s="13"/>
      <c r="J16" s="412" t="s">
        <v>2297</v>
      </c>
      <c r="K16" s="232" t="s">
        <v>122</v>
      </c>
      <c r="L16" s="204" t="s">
        <v>889</v>
      </c>
      <c r="M16" s="204" t="s">
        <v>4037</v>
      </c>
      <c r="N16" s="349" t="s">
        <v>873</v>
      </c>
      <c r="O16" s="126"/>
      <c r="P16" s="126"/>
      <c r="Q16" s="126"/>
      <c r="R16" s="126" t="s">
        <v>6</v>
      </c>
      <c r="S16" s="126" t="s">
        <v>6</v>
      </c>
      <c r="T16" s="40" t="s">
        <v>6</v>
      </c>
      <c r="U16" s="200"/>
      <c r="V16" s="215"/>
      <c r="W16" s="232" t="s">
        <v>125</v>
      </c>
      <c r="X16" s="59"/>
      <c r="Y16" s="59"/>
      <c r="Z16" s="59"/>
      <c r="AA16" s="61" t="s">
        <v>6</v>
      </c>
      <c r="AB16" s="413"/>
      <c r="AC16" s="415"/>
      <c r="AD16" s="412" t="s">
        <v>2298</v>
      </c>
      <c r="AE16" s="232" t="s">
        <v>125</v>
      </c>
      <c r="AF16" s="59"/>
      <c r="AG16" s="59"/>
      <c r="AH16" s="59"/>
      <c r="AI16" s="61" t="s">
        <v>6</v>
      </c>
      <c r="AJ16" s="413"/>
      <c r="AK16" s="415"/>
      <c r="AL16" s="412" t="s">
        <v>2298</v>
      </c>
      <c r="AM16" s="257" t="s">
        <v>2299</v>
      </c>
      <c r="AN16" s="13"/>
      <c r="AO16" s="15"/>
      <c r="AP16" s="15"/>
      <c r="AQ16" s="15"/>
      <c r="AR16" s="15"/>
      <c r="AS16" s="15"/>
      <c r="AT16" s="15"/>
      <c r="AU16" s="15"/>
      <c r="AV16" s="15"/>
      <c r="AW16" s="18">
        <f t="shared" si="0"/>
        <v>31</v>
      </c>
      <c r="AX16" s="16"/>
      <c r="AY16" s="17"/>
    </row>
    <row r="17" spans="1:49" s="20" customFormat="1" ht="39.6">
      <c r="A17" s="40">
        <f t="shared" si="1"/>
        <v>11</v>
      </c>
      <c r="B17" s="19"/>
      <c r="C17" s="41"/>
      <c r="D17" s="19"/>
      <c r="E17" s="19"/>
      <c r="F17" s="19"/>
      <c r="G17" s="19"/>
      <c r="H17" s="13"/>
      <c r="I17" s="13"/>
      <c r="J17" s="412" t="s">
        <v>2300</v>
      </c>
      <c r="K17" s="232" t="s">
        <v>122</v>
      </c>
      <c r="L17" s="204" t="s">
        <v>894</v>
      </c>
      <c r="M17" s="204" t="s">
        <v>4037</v>
      </c>
      <c r="N17" s="349" t="s">
        <v>873</v>
      </c>
      <c r="O17" s="126"/>
      <c r="P17" s="126"/>
      <c r="Q17" s="126"/>
      <c r="R17" s="126" t="s">
        <v>6</v>
      </c>
      <c r="S17" s="126" t="s">
        <v>6</v>
      </c>
      <c r="T17" s="40" t="s">
        <v>6</v>
      </c>
      <c r="U17" s="200"/>
      <c r="V17" s="215"/>
      <c r="W17" s="232" t="s">
        <v>125</v>
      </c>
      <c r="X17" s="59"/>
      <c r="Y17" s="59"/>
      <c r="Z17" s="59"/>
      <c r="AA17" s="61" t="s">
        <v>6</v>
      </c>
      <c r="AB17" s="413"/>
      <c r="AC17" s="415"/>
      <c r="AD17" s="412" t="s">
        <v>2298</v>
      </c>
      <c r="AE17" s="232" t="s">
        <v>125</v>
      </c>
      <c r="AF17" s="59"/>
      <c r="AG17" s="59"/>
      <c r="AH17" s="59"/>
      <c r="AI17" s="61" t="s">
        <v>6</v>
      </c>
      <c r="AJ17" s="413"/>
      <c r="AK17" s="415"/>
      <c r="AL17" s="412" t="s">
        <v>2298</v>
      </c>
      <c r="AM17" s="257" t="s">
        <v>2299</v>
      </c>
      <c r="AN17" s="13"/>
      <c r="AO17" s="15"/>
      <c r="AP17" s="15"/>
      <c r="AQ17" s="15"/>
      <c r="AR17" s="15"/>
      <c r="AS17" s="15"/>
      <c r="AT17" s="15"/>
      <c r="AU17" s="13"/>
      <c r="AV17" s="15"/>
      <c r="AW17" s="18">
        <f t="shared" si="0"/>
        <v>31</v>
      </c>
    </row>
    <row r="18" spans="1:49" s="20" customFormat="1" ht="39.6">
      <c r="A18" s="40">
        <f t="shared" si="1"/>
        <v>12</v>
      </c>
      <c r="B18" s="19"/>
      <c r="C18" s="41"/>
      <c r="D18" s="19"/>
      <c r="E18" s="19"/>
      <c r="F18" s="19"/>
      <c r="G18" s="19"/>
      <c r="H18" s="13"/>
      <c r="I18" s="13"/>
      <c r="J18" s="412" t="s">
        <v>2301</v>
      </c>
      <c r="K18" s="232" t="s">
        <v>122</v>
      </c>
      <c r="L18" s="204" t="s">
        <v>896</v>
      </c>
      <c r="M18" s="204" t="s">
        <v>4037</v>
      </c>
      <c r="N18" s="349" t="s">
        <v>873</v>
      </c>
      <c r="O18" s="126"/>
      <c r="P18" s="126"/>
      <c r="Q18" s="126"/>
      <c r="R18" s="126" t="s">
        <v>6</v>
      </c>
      <c r="S18" s="126" t="s">
        <v>6</v>
      </c>
      <c r="T18" s="40" t="s">
        <v>6</v>
      </c>
      <c r="U18" s="200"/>
      <c r="V18" s="215"/>
      <c r="W18" s="232" t="s">
        <v>125</v>
      </c>
      <c r="X18" s="59"/>
      <c r="Y18" s="59"/>
      <c r="Z18" s="59"/>
      <c r="AA18" s="61" t="s">
        <v>6</v>
      </c>
      <c r="AB18" s="413"/>
      <c r="AC18" s="415"/>
      <c r="AD18" s="412" t="s">
        <v>2298</v>
      </c>
      <c r="AE18" s="232" t="s">
        <v>125</v>
      </c>
      <c r="AF18" s="59"/>
      <c r="AG18" s="59"/>
      <c r="AH18" s="59"/>
      <c r="AI18" s="61" t="s">
        <v>6</v>
      </c>
      <c r="AJ18" s="413"/>
      <c r="AK18" s="415"/>
      <c r="AL18" s="412" t="s">
        <v>2298</v>
      </c>
      <c r="AM18" s="257" t="s">
        <v>2299</v>
      </c>
      <c r="AN18" s="13"/>
      <c r="AO18" s="15"/>
      <c r="AP18" s="15"/>
      <c r="AQ18" s="15"/>
      <c r="AR18" s="15"/>
      <c r="AS18" s="15"/>
      <c r="AT18" s="15"/>
      <c r="AU18" s="15"/>
      <c r="AV18" s="15"/>
      <c r="AW18" s="18">
        <f t="shared" si="0"/>
        <v>31</v>
      </c>
    </row>
    <row r="19" spans="1:49" s="20" customFormat="1" ht="26.4">
      <c r="A19" s="40">
        <f>ROW() - 6</f>
        <v>13</v>
      </c>
      <c r="B19" s="19"/>
      <c r="C19" s="48"/>
      <c r="D19" s="19"/>
      <c r="E19" s="19"/>
      <c r="F19" s="19"/>
      <c r="G19" s="19"/>
      <c r="H19" s="13"/>
      <c r="I19" s="13"/>
      <c r="J19" s="412" t="s">
        <v>2302</v>
      </c>
      <c r="K19" s="232" t="s">
        <v>122</v>
      </c>
      <c r="L19" s="204" t="s">
        <v>674</v>
      </c>
      <c r="M19" s="204" t="s">
        <v>4037</v>
      </c>
      <c r="N19" s="349" t="s">
        <v>873</v>
      </c>
      <c r="O19" s="126"/>
      <c r="P19" s="126"/>
      <c r="Q19" s="126" t="s">
        <v>6</v>
      </c>
      <c r="R19" s="126" t="s">
        <v>6</v>
      </c>
      <c r="S19" s="126" t="s">
        <v>6</v>
      </c>
      <c r="T19" s="40" t="s">
        <v>6</v>
      </c>
      <c r="U19" s="239"/>
      <c r="V19" s="215"/>
      <c r="W19" s="232" t="s">
        <v>123</v>
      </c>
      <c r="X19" s="59"/>
      <c r="Y19" s="59"/>
      <c r="Z19" s="61" t="s">
        <v>6</v>
      </c>
      <c r="AA19" s="61" t="s">
        <v>6</v>
      </c>
      <c r="AB19" s="215"/>
      <c r="AC19" s="415"/>
      <c r="AD19" s="415"/>
      <c r="AE19" s="232" t="s">
        <v>123</v>
      </c>
      <c r="AF19" s="59"/>
      <c r="AG19" s="59"/>
      <c r="AH19" s="61" t="s">
        <v>6</v>
      </c>
      <c r="AI19" s="61" t="s">
        <v>6</v>
      </c>
      <c r="AJ19" s="215" t="e">
        <f>"Atende também ao agrupamento dos itens "&amp;#REF!&amp;" a "&amp;#REF!&amp;" para anunciador do nível 2 e alarme do nível 3."</f>
        <v>#REF!</v>
      </c>
      <c r="AK19" s="415"/>
      <c r="AL19" s="415"/>
      <c r="AM19" s="43"/>
      <c r="AN19" s="202" t="s">
        <v>649</v>
      </c>
      <c r="AO19" s="13"/>
      <c r="AP19" s="13"/>
      <c r="AQ19" s="13"/>
      <c r="AR19" s="13"/>
      <c r="AS19" s="13"/>
      <c r="AT19" s="13"/>
      <c r="AU19" s="15"/>
      <c r="AV19" s="15"/>
      <c r="AW19" s="18">
        <f t="shared" si="0"/>
        <v>24</v>
      </c>
    </row>
    <row r="20" spans="1:49" s="20" customFormat="1" ht="39.6">
      <c r="A20" s="292">
        <f>ROW() - 6</f>
        <v>14</v>
      </c>
      <c r="B20" s="617"/>
      <c r="C20" s="618"/>
      <c r="D20" s="617"/>
      <c r="E20" s="617"/>
      <c r="F20" s="617"/>
      <c r="G20" s="617"/>
      <c r="H20" s="619"/>
      <c r="I20" s="619"/>
      <c r="J20" s="297" t="s">
        <v>5612</v>
      </c>
      <c r="K20" s="611" t="s">
        <v>122</v>
      </c>
      <c r="L20" s="231" t="s">
        <v>4103</v>
      </c>
      <c r="M20" s="231" t="s">
        <v>4037</v>
      </c>
      <c r="N20" s="620" t="s">
        <v>873</v>
      </c>
      <c r="O20" s="295"/>
      <c r="P20" s="295"/>
      <c r="Q20" s="292" t="s">
        <v>6</v>
      </c>
      <c r="R20" s="292" t="s">
        <v>6</v>
      </c>
      <c r="S20" s="292" t="s">
        <v>6</v>
      </c>
      <c r="T20" s="292" t="s">
        <v>6</v>
      </c>
      <c r="U20" s="231" t="s">
        <v>5611</v>
      </c>
      <c r="V20" s="299"/>
      <c r="W20" s="611" t="s">
        <v>123</v>
      </c>
      <c r="X20" s="610"/>
      <c r="Y20" s="610"/>
      <c r="Z20" s="612" t="s">
        <v>6</v>
      </c>
      <c r="AA20" s="612" t="s">
        <v>6</v>
      </c>
      <c r="AB20" s="299"/>
      <c r="AC20" s="622"/>
      <c r="AD20" s="622"/>
      <c r="AE20" s="611" t="s">
        <v>123</v>
      </c>
      <c r="AF20" s="610"/>
      <c r="AG20" s="610"/>
      <c r="AH20" s="612" t="s">
        <v>6</v>
      </c>
      <c r="AI20" s="612" t="s">
        <v>6</v>
      </c>
      <c r="AJ20" s="621"/>
      <c r="AK20" s="622"/>
      <c r="AL20" s="622"/>
      <c r="AM20" s="623"/>
      <c r="AN20" s="296"/>
      <c r="AO20" s="619"/>
      <c r="AP20" s="619"/>
      <c r="AQ20" s="619"/>
      <c r="AR20" s="619"/>
      <c r="AS20" s="619"/>
      <c r="AT20" s="619"/>
      <c r="AU20" s="613"/>
      <c r="AV20" s="613"/>
      <c r="AW20" s="18"/>
    </row>
    <row r="21" spans="1:49" s="20" customFormat="1" ht="39.6">
      <c r="A21" s="292">
        <f>ROW() - 6</f>
        <v>15</v>
      </c>
      <c r="B21" s="617"/>
      <c r="C21" s="618"/>
      <c r="D21" s="617"/>
      <c r="E21" s="617"/>
      <c r="F21" s="617"/>
      <c r="G21" s="617"/>
      <c r="H21" s="619"/>
      <c r="I21" s="619"/>
      <c r="J21" s="297" t="s">
        <v>5613</v>
      </c>
      <c r="K21" s="611" t="s">
        <v>122</v>
      </c>
      <c r="L21" s="231" t="s">
        <v>4108</v>
      </c>
      <c r="M21" s="231" t="s">
        <v>4037</v>
      </c>
      <c r="N21" s="620" t="s">
        <v>873</v>
      </c>
      <c r="O21" s="295"/>
      <c r="P21" s="295"/>
      <c r="Q21" s="292" t="s">
        <v>6</v>
      </c>
      <c r="R21" s="292" t="s">
        <v>6</v>
      </c>
      <c r="S21" s="292" t="s">
        <v>6</v>
      </c>
      <c r="T21" s="292" t="s">
        <v>6</v>
      </c>
      <c r="U21" s="231" t="s">
        <v>5611</v>
      </c>
      <c r="V21" s="299"/>
      <c r="W21" s="611" t="s">
        <v>123</v>
      </c>
      <c r="X21" s="610"/>
      <c r="Y21" s="610"/>
      <c r="Z21" s="612" t="s">
        <v>6</v>
      </c>
      <c r="AA21" s="612" t="s">
        <v>6</v>
      </c>
      <c r="AB21" s="299"/>
      <c r="AC21" s="622"/>
      <c r="AD21" s="622"/>
      <c r="AE21" s="611" t="s">
        <v>123</v>
      </c>
      <c r="AF21" s="610"/>
      <c r="AG21" s="610"/>
      <c r="AH21" s="612" t="s">
        <v>6</v>
      </c>
      <c r="AI21" s="612" t="s">
        <v>6</v>
      </c>
      <c r="AJ21" s="621"/>
      <c r="AK21" s="622"/>
      <c r="AL21" s="622"/>
      <c r="AM21" s="623"/>
      <c r="AN21" s="296"/>
      <c r="AO21" s="619"/>
      <c r="AP21" s="619"/>
      <c r="AQ21" s="619"/>
      <c r="AR21" s="619"/>
      <c r="AS21" s="619"/>
      <c r="AT21" s="619"/>
      <c r="AU21" s="613"/>
      <c r="AV21" s="613"/>
      <c r="AW21" s="18"/>
    </row>
    <row r="22" spans="1:49" s="20" customFormat="1" ht="39.6">
      <c r="A22" s="292">
        <f>ROW() - 6</f>
        <v>16</v>
      </c>
      <c r="B22" s="617"/>
      <c r="C22" s="618"/>
      <c r="D22" s="617"/>
      <c r="E22" s="617"/>
      <c r="F22" s="617"/>
      <c r="G22" s="617"/>
      <c r="H22" s="619"/>
      <c r="I22" s="619"/>
      <c r="J22" s="297" t="s">
        <v>5614</v>
      </c>
      <c r="K22" s="611" t="s">
        <v>122</v>
      </c>
      <c r="L22" s="231" t="s">
        <v>4112</v>
      </c>
      <c r="M22" s="231" t="s">
        <v>4037</v>
      </c>
      <c r="N22" s="620" t="s">
        <v>873</v>
      </c>
      <c r="O22" s="295"/>
      <c r="P22" s="295"/>
      <c r="Q22" s="292" t="s">
        <v>6</v>
      </c>
      <c r="R22" s="292" t="s">
        <v>6</v>
      </c>
      <c r="S22" s="292" t="s">
        <v>6</v>
      </c>
      <c r="T22" s="292" t="s">
        <v>6</v>
      </c>
      <c r="U22" s="231" t="s">
        <v>5611</v>
      </c>
      <c r="V22" s="299"/>
      <c r="W22" s="611" t="s">
        <v>123</v>
      </c>
      <c r="X22" s="610"/>
      <c r="Y22" s="610"/>
      <c r="Z22" s="612" t="s">
        <v>6</v>
      </c>
      <c r="AA22" s="612" t="s">
        <v>6</v>
      </c>
      <c r="AB22" s="299"/>
      <c r="AC22" s="622"/>
      <c r="AD22" s="622"/>
      <c r="AE22" s="611" t="s">
        <v>123</v>
      </c>
      <c r="AF22" s="610"/>
      <c r="AG22" s="610"/>
      <c r="AH22" s="612" t="s">
        <v>6</v>
      </c>
      <c r="AI22" s="612" t="s">
        <v>6</v>
      </c>
      <c r="AJ22" s="621"/>
      <c r="AK22" s="622"/>
      <c r="AL22" s="622"/>
      <c r="AM22" s="623"/>
      <c r="AN22" s="296"/>
      <c r="AO22" s="619"/>
      <c r="AP22" s="619"/>
      <c r="AQ22" s="619"/>
      <c r="AR22" s="619"/>
      <c r="AS22" s="619"/>
      <c r="AT22" s="619"/>
      <c r="AU22" s="613"/>
      <c r="AV22" s="613"/>
      <c r="AW22" s="18"/>
    </row>
    <row r="23" spans="1:49" s="20" customFormat="1" ht="26.4">
      <c r="A23" s="40">
        <f t="shared" si="1"/>
        <v>17</v>
      </c>
      <c r="B23" s="19"/>
      <c r="C23" s="41"/>
      <c r="D23" s="19"/>
      <c r="E23" s="19"/>
      <c r="F23" s="19"/>
      <c r="G23" s="19"/>
      <c r="H23" s="13"/>
      <c r="I23" s="13"/>
      <c r="J23" s="412" t="s">
        <v>2303</v>
      </c>
      <c r="K23" s="232" t="s">
        <v>122</v>
      </c>
      <c r="L23" s="204" t="s">
        <v>651</v>
      </c>
      <c r="M23" s="204" t="s">
        <v>4033</v>
      </c>
      <c r="N23" s="349" t="s">
        <v>873</v>
      </c>
      <c r="O23" s="126"/>
      <c r="P23" s="126"/>
      <c r="Q23" s="126"/>
      <c r="R23" s="126" t="s">
        <v>6</v>
      </c>
      <c r="S23" s="126" t="s">
        <v>6</v>
      </c>
      <c r="T23" s="126" t="s">
        <v>6</v>
      </c>
      <c r="U23" s="200"/>
      <c r="V23" s="412"/>
      <c r="W23" s="232" t="s">
        <v>125</v>
      </c>
      <c r="X23" s="59"/>
      <c r="Y23" s="59"/>
      <c r="Z23" s="59"/>
      <c r="AA23" s="61" t="s">
        <v>6</v>
      </c>
      <c r="AB23" s="45"/>
      <c r="AC23" s="415"/>
      <c r="AD23" s="412" t="s">
        <v>2304</v>
      </c>
      <c r="AE23" s="232" t="s">
        <v>125</v>
      </c>
      <c r="AF23" s="59"/>
      <c r="AG23" s="59"/>
      <c r="AH23" s="59"/>
      <c r="AI23" s="61" t="s">
        <v>6</v>
      </c>
      <c r="AJ23" s="45"/>
      <c r="AK23" s="415"/>
      <c r="AL23" s="412" t="s">
        <v>2304</v>
      </c>
      <c r="AM23" s="257" t="s">
        <v>1575</v>
      </c>
      <c r="AN23" s="259"/>
      <c r="AO23" s="13"/>
      <c r="AP23" s="13"/>
      <c r="AQ23" s="13"/>
      <c r="AR23" s="13"/>
      <c r="AS23" s="13"/>
      <c r="AT23" s="13"/>
      <c r="AU23" s="15"/>
      <c r="AV23" s="15"/>
      <c r="AW23" s="18">
        <f t="shared" si="0"/>
        <v>31</v>
      </c>
    </row>
    <row r="24" spans="1:49" s="20" customFormat="1" ht="26.4">
      <c r="A24" s="40">
        <f t="shared" si="1"/>
        <v>18</v>
      </c>
      <c r="B24" s="19"/>
      <c r="C24" s="41"/>
      <c r="D24" s="19"/>
      <c r="E24" s="19"/>
      <c r="F24" s="19"/>
      <c r="G24" s="19"/>
      <c r="H24" s="13"/>
      <c r="I24" s="13"/>
      <c r="J24" s="412" t="s">
        <v>2305</v>
      </c>
      <c r="K24" s="232" t="s">
        <v>122</v>
      </c>
      <c r="L24" s="204" t="s">
        <v>655</v>
      </c>
      <c r="M24" s="204" t="s">
        <v>4033</v>
      </c>
      <c r="N24" s="349" t="s">
        <v>873</v>
      </c>
      <c r="O24" s="126"/>
      <c r="P24" s="126"/>
      <c r="Q24" s="126"/>
      <c r="R24" s="126" t="s">
        <v>6</v>
      </c>
      <c r="S24" s="126" t="s">
        <v>6</v>
      </c>
      <c r="T24" s="126" t="s">
        <v>6</v>
      </c>
      <c r="U24" s="200"/>
      <c r="V24" s="412"/>
      <c r="W24" s="232" t="s">
        <v>125</v>
      </c>
      <c r="X24" s="59"/>
      <c r="Y24" s="59"/>
      <c r="Z24" s="59"/>
      <c r="AA24" s="61" t="s">
        <v>6</v>
      </c>
      <c r="AB24" s="45"/>
      <c r="AC24" s="415"/>
      <c r="AD24" s="412" t="s">
        <v>2304</v>
      </c>
      <c r="AE24" s="232" t="s">
        <v>125</v>
      </c>
      <c r="AF24" s="59"/>
      <c r="AG24" s="59"/>
      <c r="AH24" s="59"/>
      <c r="AI24" s="61" t="s">
        <v>6</v>
      </c>
      <c r="AJ24" s="45"/>
      <c r="AK24" s="415"/>
      <c r="AL24" s="412" t="s">
        <v>2304</v>
      </c>
      <c r="AM24" s="257" t="s">
        <v>1575</v>
      </c>
      <c r="AN24" s="259"/>
      <c r="AO24" s="13"/>
      <c r="AP24" s="13"/>
      <c r="AQ24" s="13"/>
      <c r="AR24" s="13"/>
      <c r="AS24" s="13"/>
      <c r="AT24" s="13"/>
      <c r="AU24" s="15"/>
      <c r="AV24" s="15"/>
      <c r="AW24" s="18">
        <f t="shared" ref="AW24:AW50" si="2">LEN(L24)</f>
        <v>31</v>
      </c>
    </row>
    <row r="25" spans="1:49" s="20" customFormat="1" ht="26.4">
      <c r="A25" s="40">
        <f t="shared" si="1"/>
        <v>19</v>
      </c>
      <c r="B25" s="19"/>
      <c r="C25" s="41"/>
      <c r="D25" s="19"/>
      <c r="E25" s="19"/>
      <c r="F25" s="19"/>
      <c r="G25" s="19"/>
      <c r="H25" s="13"/>
      <c r="I25" s="13"/>
      <c r="J25" s="412" t="s">
        <v>2306</v>
      </c>
      <c r="K25" s="232" t="s">
        <v>122</v>
      </c>
      <c r="L25" s="204" t="s">
        <v>657</v>
      </c>
      <c r="M25" s="204" t="s">
        <v>4033</v>
      </c>
      <c r="N25" s="349" t="s">
        <v>873</v>
      </c>
      <c r="O25" s="126"/>
      <c r="P25" s="126"/>
      <c r="Q25" s="126"/>
      <c r="R25" s="126" t="s">
        <v>6</v>
      </c>
      <c r="S25" s="126" t="s">
        <v>6</v>
      </c>
      <c r="T25" s="126" t="s">
        <v>6</v>
      </c>
      <c r="U25" s="200"/>
      <c r="V25" s="412"/>
      <c r="W25" s="232" t="s">
        <v>125</v>
      </c>
      <c r="X25" s="59"/>
      <c r="Y25" s="59"/>
      <c r="Z25" s="59"/>
      <c r="AA25" s="61" t="s">
        <v>6</v>
      </c>
      <c r="AB25" s="45"/>
      <c r="AC25" s="415"/>
      <c r="AD25" s="412" t="s">
        <v>2304</v>
      </c>
      <c r="AE25" s="232" t="s">
        <v>125</v>
      </c>
      <c r="AF25" s="59"/>
      <c r="AG25" s="59"/>
      <c r="AH25" s="59"/>
      <c r="AI25" s="61" t="s">
        <v>6</v>
      </c>
      <c r="AJ25" s="45"/>
      <c r="AK25" s="415"/>
      <c r="AL25" s="412" t="s">
        <v>2304</v>
      </c>
      <c r="AM25" s="257" t="s">
        <v>1575</v>
      </c>
      <c r="AN25" s="259"/>
      <c r="AO25" s="13"/>
      <c r="AP25" s="13"/>
      <c r="AQ25" s="13"/>
      <c r="AR25" s="13"/>
      <c r="AS25" s="13"/>
      <c r="AT25" s="13"/>
      <c r="AU25" s="15"/>
      <c r="AV25" s="15"/>
      <c r="AW25" s="18">
        <f t="shared" si="2"/>
        <v>31</v>
      </c>
    </row>
    <row r="26" spans="1:49" s="20" customFormat="1" ht="26.4">
      <c r="A26" s="40">
        <f t="shared" si="1"/>
        <v>20</v>
      </c>
      <c r="B26" s="19"/>
      <c r="C26" s="41"/>
      <c r="D26" s="19"/>
      <c r="E26" s="19"/>
      <c r="F26" s="19"/>
      <c r="G26" s="19"/>
      <c r="H26" s="13"/>
      <c r="I26" s="13"/>
      <c r="J26" s="412" t="s">
        <v>2307</v>
      </c>
      <c r="K26" s="232" t="s">
        <v>122</v>
      </c>
      <c r="L26" s="204" t="s">
        <v>2308</v>
      </c>
      <c r="M26" s="204" t="s">
        <v>4033</v>
      </c>
      <c r="N26" s="349" t="s">
        <v>873</v>
      </c>
      <c r="O26" s="126"/>
      <c r="P26" s="126"/>
      <c r="Q26" s="40" t="s">
        <v>6</v>
      </c>
      <c r="R26" s="126" t="s">
        <v>6</v>
      </c>
      <c r="S26" s="126" t="s">
        <v>6</v>
      </c>
      <c r="T26" s="126" t="s">
        <v>6</v>
      </c>
      <c r="U26" s="204"/>
      <c r="V26" s="412"/>
      <c r="W26" s="232" t="s">
        <v>125</v>
      </c>
      <c r="X26" s="59"/>
      <c r="Y26" s="59"/>
      <c r="Z26" s="59"/>
      <c r="AA26" s="61" t="s">
        <v>6</v>
      </c>
      <c r="AB26" s="45"/>
      <c r="AC26" s="415"/>
      <c r="AD26" s="412" t="s">
        <v>2304</v>
      </c>
      <c r="AE26" s="232" t="s">
        <v>125</v>
      </c>
      <c r="AF26" s="59"/>
      <c r="AG26" s="59"/>
      <c r="AH26" s="59"/>
      <c r="AI26" s="61" t="s">
        <v>6</v>
      </c>
      <c r="AJ26" s="45"/>
      <c r="AK26" s="415"/>
      <c r="AL26" s="412" t="s">
        <v>2304</v>
      </c>
      <c r="AM26" s="257" t="s">
        <v>1575</v>
      </c>
      <c r="AN26" s="259"/>
      <c r="AO26" s="13"/>
      <c r="AP26" s="13"/>
      <c r="AQ26" s="13"/>
      <c r="AR26" s="13"/>
      <c r="AS26" s="13"/>
      <c r="AT26" s="13"/>
      <c r="AU26" s="15"/>
      <c r="AV26" s="15"/>
      <c r="AW26" s="18">
        <f t="shared" ref="AW26:AW31" si="3">LEN(L26)</f>
        <v>31</v>
      </c>
    </row>
    <row r="27" spans="1:49" s="20" customFormat="1" ht="15">
      <c r="A27" s="40">
        <f t="shared" si="1"/>
        <v>21</v>
      </c>
      <c r="B27" s="59"/>
      <c r="C27" s="59"/>
      <c r="D27" s="59"/>
      <c r="E27" s="59"/>
      <c r="F27" s="59"/>
      <c r="G27" s="59"/>
      <c r="H27" s="59"/>
      <c r="I27" s="59"/>
      <c r="J27" s="218" t="s">
        <v>2309</v>
      </c>
      <c r="K27" s="204" t="s">
        <v>132</v>
      </c>
      <c r="L27" s="204" t="s">
        <v>2310</v>
      </c>
      <c r="M27" s="204" t="s">
        <v>3836</v>
      </c>
      <c r="N27" s="126" t="s">
        <v>504</v>
      </c>
      <c r="O27" s="126"/>
      <c r="P27" s="126"/>
      <c r="Q27" s="40" t="s">
        <v>6</v>
      </c>
      <c r="R27" s="40" t="s">
        <v>6</v>
      </c>
      <c r="S27" s="40" t="s">
        <v>6</v>
      </c>
      <c r="T27" s="126" t="s">
        <v>6</v>
      </c>
      <c r="U27" s="204"/>
      <c r="V27" s="206"/>
      <c r="W27" s="204" t="s">
        <v>133</v>
      </c>
      <c r="X27" s="59"/>
      <c r="Y27" s="59"/>
      <c r="Z27" s="40" t="s">
        <v>6</v>
      </c>
      <c r="AA27" s="40" t="s">
        <v>6</v>
      </c>
      <c r="AB27" s="215"/>
      <c r="AC27" s="59"/>
      <c r="AD27" s="59"/>
      <c r="AE27" s="204" t="s">
        <v>133</v>
      </c>
      <c r="AF27" s="59"/>
      <c r="AG27" s="59"/>
      <c r="AH27" s="40" t="s">
        <v>6</v>
      </c>
      <c r="AI27" s="40" t="s">
        <v>6</v>
      </c>
      <c r="AJ27" s="215" t="str">
        <f>"AGRUPAMENTO DOS ÍTENS "&amp;A24&amp;" A "&amp;A26</f>
        <v>AGRUPAMENTO DOS ÍTENS 18 A 20</v>
      </c>
      <c r="AK27" s="59"/>
      <c r="AL27" s="59"/>
      <c r="AM27" s="257" t="s">
        <v>1575</v>
      </c>
      <c r="AN27" s="59"/>
      <c r="AO27" s="59"/>
      <c r="AP27" s="59"/>
      <c r="AQ27" s="59"/>
      <c r="AR27" s="59"/>
      <c r="AS27" s="59"/>
      <c r="AT27" s="59"/>
      <c r="AU27" s="59"/>
      <c r="AV27" s="59"/>
      <c r="AW27" s="18">
        <f t="shared" si="3"/>
        <v>31</v>
      </c>
    </row>
    <row r="28" spans="1:49" s="20" customFormat="1" ht="15">
      <c r="A28" s="40">
        <f t="shared" si="1"/>
        <v>22</v>
      </c>
      <c r="B28" s="38"/>
      <c r="C28" s="41"/>
      <c r="D28" s="19"/>
      <c r="E28" s="19"/>
      <c r="F28" s="19"/>
      <c r="G28" s="19"/>
      <c r="H28" s="13"/>
      <c r="I28" s="13"/>
      <c r="J28" s="412" t="s">
        <v>2311</v>
      </c>
      <c r="K28" s="232" t="s">
        <v>122</v>
      </c>
      <c r="L28" s="204" t="s">
        <v>659</v>
      </c>
      <c r="M28" s="204" t="s">
        <v>4034</v>
      </c>
      <c r="N28" s="349" t="s">
        <v>873</v>
      </c>
      <c r="O28" s="126"/>
      <c r="P28" s="126"/>
      <c r="Q28" s="126" t="s">
        <v>6</v>
      </c>
      <c r="R28" s="126" t="s">
        <v>6</v>
      </c>
      <c r="S28" s="126" t="s">
        <v>6</v>
      </c>
      <c r="T28" s="126" t="s">
        <v>6</v>
      </c>
      <c r="U28" s="412"/>
      <c r="V28" s="412"/>
      <c r="W28" s="232" t="s">
        <v>123</v>
      </c>
      <c r="X28" s="59"/>
      <c r="Y28" s="59"/>
      <c r="Z28" s="61" t="s">
        <v>6</v>
      </c>
      <c r="AA28" s="61" t="s">
        <v>6</v>
      </c>
      <c r="AB28" s="413"/>
      <c r="AC28" s="415"/>
      <c r="AD28" s="218" t="s">
        <v>1574</v>
      </c>
      <c r="AE28" s="232" t="s">
        <v>123</v>
      </c>
      <c r="AF28" s="59"/>
      <c r="AG28" s="59"/>
      <c r="AH28" s="61" t="s">
        <v>6</v>
      </c>
      <c r="AI28" s="61" t="s">
        <v>6</v>
      </c>
      <c r="AJ28" s="413"/>
      <c r="AK28" s="415"/>
      <c r="AL28" s="218" t="s">
        <v>1574</v>
      </c>
      <c r="AM28" s="257" t="s">
        <v>1575</v>
      </c>
      <c r="AN28" s="19"/>
      <c r="AO28" s="15"/>
      <c r="AP28" s="15"/>
      <c r="AQ28" s="15"/>
      <c r="AR28" s="15"/>
      <c r="AS28" s="15"/>
      <c r="AT28" s="15"/>
      <c r="AU28" s="15"/>
      <c r="AV28" s="15"/>
      <c r="AW28" s="18">
        <f t="shared" si="3"/>
        <v>31</v>
      </c>
    </row>
    <row r="29" spans="1:49" s="20" customFormat="1" ht="15">
      <c r="A29" s="40">
        <f t="shared" si="1"/>
        <v>23</v>
      </c>
      <c r="B29" s="38"/>
      <c r="C29" s="41"/>
      <c r="D29" s="19"/>
      <c r="E29" s="19"/>
      <c r="F29" s="19"/>
      <c r="G29" s="19"/>
      <c r="H29" s="13"/>
      <c r="I29" s="13"/>
      <c r="J29" s="412" t="s">
        <v>2312</v>
      </c>
      <c r="K29" s="232" t="s">
        <v>122</v>
      </c>
      <c r="L29" s="351" t="s">
        <v>1573</v>
      </c>
      <c r="M29" s="351" t="s">
        <v>4803</v>
      </c>
      <c r="N29" s="349" t="s">
        <v>873</v>
      </c>
      <c r="O29" s="126"/>
      <c r="P29" s="126"/>
      <c r="Q29" s="126" t="s">
        <v>6</v>
      </c>
      <c r="R29" s="126" t="s">
        <v>6</v>
      </c>
      <c r="S29" s="126" t="s">
        <v>6</v>
      </c>
      <c r="T29" s="126" t="s">
        <v>6</v>
      </c>
      <c r="U29" s="412"/>
      <c r="V29" s="412"/>
      <c r="W29" s="232" t="s">
        <v>123</v>
      </c>
      <c r="X29" s="59"/>
      <c r="Y29" s="59"/>
      <c r="Z29" s="61" t="s">
        <v>6</v>
      </c>
      <c r="AA29" s="61" t="s">
        <v>6</v>
      </c>
      <c r="AB29" s="13"/>
      <c r="AC29" s="40"/>
      <c r="AD29" s="218" t="s">
        <v>1574</v>
      </c>
      <c r="AE29" s="232" t="s">
        <v>123</v>
      </c>
      <c r="AF29" s="59"/>
      <c r="AG29" s="59"/>
      <c r="AH29" s="61" t="s">
        <v>6</v>
      </c>
      <c r="AI29" s="61" t="s">
        <v>6</v>
      </c>
      <c r="AJ29" s="13"/>
      <c r="AK29" s="40"/>
      <c r="AL29" s="218" t="s">
        <v>1574</v>
      </c>
      <c r="AM29" s="257" t="s">
        <v>1575</v>
      </c>
      <c r="AN29" s="13"/>
      <c r="AO29" s="15"/>
      <c r="AP29" s="15"/>
      <c r="AQ29" s="15"/>
      <c r="AR29" s="15"/>
      <c r="AS29" s="15"/>
      <c r="AT29" s="15"/>
      <c r="AU29" s="15"/>
      <c r="AV29" s="19"/>
      <c r="AW29" s="18">
        <f t="shared" si="3"/>
        <v>25</v>
      </c>
    </row>
    <row r="30" spans="1:49" s="20" customFormat="1" ht="15">
      <c r="A30" s="40">
        <f t="shared" si="1"/>
        <v>24</v>
      </c>
      <c r="B30" s="19"/>
      <c r="C30" s="41"/>
      <c r="D30" s="19"/>
      <c r="E30" s="19"/>
      <c r="F30" s="19"/>
      <c r="G30" s="19"/>
      <c r="H30" s="13"/>
      <c r="I30" s="13"/>
      <c r="J30" s="412" t="s">
        <v>2313</v>
      </c>
      <c r="K30" s="232" t="s">
        <v>122</v>
      </c>
      <c r="L30" s="351" t="s">
        <v>2314</v>
      </c>
      <c r="M30" s="351" t="s">
        <v>4803</v>
      </c>
      <c r="N30" s="349" t="s">
        <v>873</v>
      </c>
      <c r="O30" s="126"/>
      <c r="P30" s="126"/>
      <c r="Q30" s="126" t="s">
        <v>6</v>
      </c>
      <c r="R30" s="126" t="s">
        <v>6</v>
      </c>
      <c r="S30" s="126" t="s">
        <v>6</v>
      </c>
      <c r="T30" s="126" t="s">
        <v>6</v>
      </c>
      <c r="U30" s="412"/>
      <c r="V30" s="412"/>
      <c r="W30" s="232" t="s">
        <v>123</v>
      </c>
      <c r="X30" s="59"/>
      <c r="Y30" s="59"/>
      <c r="Z30" s="61" t="s">
        <v>6</v>
      </c>
      <c r="AA30" s="61" t="s">
        <v>6</v>
      </c>
      <c r="AB30" s="13"/>
      <c r="AC30" s="40"/>
      <c r="AD30" s="218" t="s">
        <v>1574</v>
      </c>
      <c r="AE30" s="232" t="s">
        <v>123</v>
      </c>
      <c r="AF30" s="59"/>
      <c r="AG30" s="59"/>
      <c r="AH30" s="61" t="s">
        <v>6</v>
      </c>
      <c r="AI30" s="61" t="s">
        <v>6</v>
      </c>
      <c r="AJ30" s="13"/>
      <c r="AK30" s="40"/>
      <c r="AL30" s="218" t="s">
        <v>1574</v>
      </c>
      <c r="AM30" s="257" t="s">
        <v>1575</v>
      </c>
      <c r="AN30" s="13"/>
      <c r="AO30" s="15"/>
      <c r="AP30" s="15"/>
      <c r="AQ30" s="15"/>
      <c r="AR30" s="15"/>
      <c r="AS30" s="15"/>
      <c r="AT30" s="15"/>
      <c r="AU30" s="15"/>
      <c r="AV30" s="15"/>
      <c r="AW30" s="18">
        <f t="shared" si="3"/>
        <v>23</v>
      </c>
    </row>
    <row r="31" spans="1:49" s="20" customFormat="1" ht="15">
      <c r="A31" s="40">
        <f t="shared" si="1"/>
        <v>25</v>
      </c>
      <c r="B31" s="19"/>
      <c r="C31" s="41"/>
      <c r="D31" s="19"/>
      <c r="E31" s="19"/>
      <c r="F31" s="19"/>
      <c r="G31" s="19"/>
      <c r="H31" s="13"/>
      <c r="I31" s="13"/>
      <c r="J31" s="412" t="s">
        <v>2315</v>
      </c>
      <c r="K31" s="232" t="s">
        <v>122</v>
      </c>
      <c r="L31" s="351" t="s">
        <v>2316</v>
      </c>
      <c r="M31" s="351" t="s">
        <v>4803</v>
      </c>
      <c r="N31" s="349" t="s">
        <v>873</v>
      </c>
      <c r="O31" s="126"/>
      <c r="P31" s="126"/>
      <c r="Q31" s="126" t="s">
        <v>6</v>
      </c>
      <c r="R31" s="126" t="s">
        <v>6</v>
      </c>
      <c r="S31" s="126" t="s">
        <v>6</v>
      </c>
      <c r="T31" s="126" t="s">
        <v>6</v>
      </c>
      <c r="U31" s="412"/>
      <c r="V31" s="412"/>
      <c r="W31" s="232" t="s">
        <v>123</v>
      </c>
      <c r="X31" s="59"/>
      <c r="Y31" s="59"/>
      <c r="Z31" s="61" t="s">
        <v>6</v>
      </c>
      <c r="AA31" s="61" t="s">
        <v>6</v>
      </c>
      <c r="AB31" s="13"/>
      <c r="AC31" s="40"/>
      <c r="AD31" s="218" t="s">
        <v>1574</v>
      </c>
      <c r="AE31" s="232" t="s">
        <v>123</v>
      </c>
      <c r="AF31" s="59"/>
      <c r="AG31" s="59"/>
      <c r="AH31" s="61" t="s">
        <v>6</v>
      </c>
      <c r="AI31" s="61" t="s">
        <v>6</v>
      </c>
      <c r="AJ31" s="13"/>
      <c r="AK31" s="40"/>
      <c r="AL31" s="218" t="s">
        <v>1574</v>
      </c>
      <c r="AM31" s="257" t="s">
        <v>1575</v>
      </c>
      <c r="AN31" s="13"/>
      <c r="AO31" s="15"/>
      <c r="AP31" s="15"/>
      <c r="AQ31" s="15"/>
      <c r="AR31" s="15"/>
      <c r="AS31" s="15"/>
      <c r="AT31" s="15"/>
      <c r="AU31" s="15"/>
      <c r="AV31" s="15"/>
      <c r="AW31" s="18">
        <f t="shared" si="3"/>
        <v>26</v>
      </c>
    </row>
    <row r="32" spans="1:49" s="20" customFormat="1" ht="15">
      <c r="A32" s="40">
        <f t="shared" ref="A32:A63" si="4">ROW() - 6</f>
        <v>26</v>
      </c>
      <c r="B32" s="59"/>
      <c r="C32" s="59"/>
      <c r="D32" s="59"/>
      <c r="E32" s="59"/>
      <c r="F32" s="59"/>
      <c r="G32" s="59"/>
      <c r="H32" s="59"/>
      <c r="I32" s="59"/>
      <c r="J32" s="412" t="s">
        <v>3430</v>
      </c>
      <c r="K32" s="232" t="s">
        <v>117</v>
      </c>
      <c r="L32" s="204" t="s">
        <v>1048</v>
      </c>
      <c r="M32" s="204"/>
      <c r="N32" s="126" t="s">
        <v>504</v>
      </c>
      <c r="O32" s="40"/>
      <c r="P32" s="40"/>
      <c r="Q32" s="40" t="s">
        <v>6</v>
      </c>
      <c r="R32" s="40" t="s">
        <v>6</v>
      </c>
      <c r="S32" s="126" t="s">
        <v>6</v>
      </c>
      <c r="T32" s="40" t="s">
        <v>6</v>
      </c>
      <c r="U32" s="204"/>
      <c r="V32" s="232"/>
      <c r="W32" s="232" t="s">
        <v>133</v>
      </c>
      <c r="X32" s="43"/>
      <c r="Y32" s="43"/>
      <c r="Z32" s="61" t="s">
        <v>6</v>
      </c>
      <c r="AA32" s="61"/>
      <c r="AB32" s="204" t="s">
        <v>1100</v>
      </c>
      <c r="AC32" s="59"/>
      <c r="AD32" s="59"/>
      <c r="AE32" s="232" t="s">
        <v>133</v>
      </c>
      <c r="AF32" s="43"/>
      <c r="AG32" s="43"/>
      <c r="AH32" s="61"/>
      <c r="AI32" s="61"/>
      <c r="AJ32" s="204" t="s">
        <v>1100</v>
      </c>
      <c r="AK32" s="59"/>
      <c r="AL32" s="59"/>
      <c r="AM32" s="59" t="s">
        <v>1046</v>
      </c>
      <c r="AN32" s="59"/>
      <c r="AO32" s="59"/>
      <c r="AP32" s="59"/>
      <c r="AQ32" s="59"/>
      <c r="AR32" s="59"/>
      <c r="AS32" s="59"/>
      <c r="AT32" s="59"/>
      <c r="AU32" s="59"/>
      <c r="AV32" s="59"/>
      <c r="AW32" s="18">
        <f t="shared" si="2"/>
        <v>39</v>
      </c>
    </row>
    <row r="33" spans="1:49" s="236" customFormat="1" ht="26.4">
      <c r="A33" s="40">
        <f t="shared" si="4"/>
        <v>27</v>
      </c>
      <c r="B33" s="199"/>
      <c r="C33" s="199"/>
      <c r="D33" s="199"/>
      <c r="E33" s="199"/>
      <c r="F33" s="199"/>
      <c r="G33" s="199"/>
      <c r="H33" s="199"/>
      <c r="I33" s="199"/>
      <c r="J33" s="412" t="s">
        <v>2317</v>
      </c>
      <c r="K33" s="232" t="s">
        <v>117</v>
      </c>
      <c r="L33" s="204" t="s">
        <v>1050</v>
      </c>
      <c r="M33" s="204"/>
      <c r="N33" s="126" t="s">
        <v>504</v>
      </c>
      <c r="O33" s="40"/>
      <c r="P33" s="40"/>
      <c r="Q33" s="40"/>
      <c r="R33" s="40" t="s">
        <v>6</v>
      </c>
      <c r="S33" s="126" t="s">
        <v>6</v>
      </c>
      <c r="T33" s="126" t="s">
        <v>6</v>
      </c>
      <c r="U33" s="200" t="s">
        <v>1114</v>
      </c>
      <c r="V33" s="204"/>
      <c r="W33" s="232" t="s">
        <v>133</v>
      </c>
      <c r="X33" s="198"/>
      <c r="Y33" s="198"/>
      <c r="Z33" s="126" t="s">
        <v>6</v>
      </c>
      <c r="AA33" s="126" t="s">
        <v>6</v>
      </c>
      <c r="AB33" s="204"/>
      <c r="AC33" s="199"/>
      <c r="AD33" s="199"/>
      <c r="AE33" s="232" t="s">
        <v>133</v>
      </c>
      <c r="AF33" s="198"/>
      <c r="AG33" s="198"/>
      <c r="AH33" s="126"/>
      <c r="AI33" s="126"/>
      <c r="AJ33" s="204"/>
      <c r="AK33" s="199"/>
      <c r="AL33" s="199"/>
      <c r="AM33" s="199" t="s">
        <v>1046</v>
      </c>
      <c r="AN33" s="199"/>
      <c r="AO33" s="199"/>
      <c r="AP33" s="199"/>
      <c r="AQ33" s="199"/>
      <c r="AR33" s="199"/>
      <c r="AS33" s="199"/>
      <c r="AT33" s="199"/>
      <c r="AU33" s="199"/>
      <c r="AV33" s="199"/>
      <c r="AW33" s="155">
        <f t="shared" si="2"/>
        <v>41</v>
      </c>
    </row>
    <row r="34" spans="1:49" s="236" customFormat="1" ht="26.4">
      <c r="A34" s="40">
        <f t="shared" si="4"/>
        <v>28</v>
      </c>
      <c r="B34" s="199"/>
      <c r="C34" s="199"/>
      <c r="D34" s="199"/>
      <c r="E34" s="199"/>
      <c r="F34" s="199"/>
      <c r="G34" s="199"/>
      <c r="H34" s="199"/>
      <c r="I34" s="199"/>
      <c r="J34" s="412" t="s">
        <v>2318</v>
      </c>
      <c r="K34" s="232" t="s">
        <v>117</v>
      </c>
      <c r="L34" s="204" t="s">
        <v>1052</v>
      </c>
      <c r="M34" s="204"/>
      <c r="N34" s="126" t="s">
        <v>504</v>
      </c>
      <c r="O34" s="40"/>
      <c r="P34" s="40"/>
      <c r="Q34" s="40"/>
      <c r="R34" s="40" t="s">
        <v>6</v>
      </c>
      <c r="S34" s="126" t="s">
        <v>6</v>
      </c>
      <c r="T34" s="126" t="s">
        <v>6</v>
      </c>
      <c r="U34" s="200" t="s">
        <v>1114</v>
      </c>
      <c r="V34" s="204"/>
      <c r="W34" s="232" t="s">
        <v>133</v>
      </c>
      <c r="X34" s="198"/>
      <c r="Y34" s="198"/>
      <c r="Z34" s="126" t="s">
        <v>6</v>
      </c>
      <c r="AA34" s="126" t="s">
        <v>6</v>
      </c>
      <c r="AB34" s="204"/>
      <c r="AC34" s="199"/>
      <c r="AD34" s="199"/>
      <c r="AE34" s="232" t="s">
        <v>133</v>
      </c>
      <c r="AF34" s="198"/>
      <c r="AG34" s="198"/>
      <c r="AH34" s="126"/>
      <c r="AI34" s="126"/>
      <c r="AJ34" s="204"/>
      <c r="AK34" s="199"/>
      <c r="AL34" s="199"/>
      <c r="AM34" s="199" t="s">
        <v>1046</v>
      </c>
      <c r="AN34" s="199"/>
      <c r="AO34" s="199"/>
      <c r="AP34" s="199"/>
      <c r="AQ34" s="199"/>
      <c r="AR34" s="199"/>
      <c r="AS34" s="199"/>
      <c r="AT34" s="199"/>
      <c r="AU34" s="199"/>
      <c r="AV34" s="199"/>
      <c r="AW34" s="155">
        <f t="shared" si="2"/>
        <v>41</v>
      </c>
    </row>
    <row r="35" spans="1:49" s="236" customFormat="1" ht="26.4">
      <c r="A35" s="40">
        <f t="shared" si="4"/>
        <v>29</v>
      </c>
      <c r="B35" s="199"/>
      <c r="C35" s="199"/>
      <c r="D35" s="199"/>
      <c r="E35" s="199"/>
      <c r="F35" s="199"/>
      <c r="G35" s="199"/>
      <c r="H35" s="199"/>
      <c r="I35" s="199"/>
      <c r="J35" s="412" t="s">
        <v>2319</v>
      </c>
      <c r="K35" s="232" t="s">
        <v>117</v>
      </c>
      <c r="L35" s="204" t="s">
        <v>1053</v>
      </c>
      <c r="M35" s="204"/>
      <c r="N35" s="126" t="s">
        <v>504</v>
      </c>
      <c r="O35" s="40"/>
      <c r="P35" s="40"/>
      <c r="Q35" s="40"/>
      <c r="R35" s="40" t="s">
        <v>6</v>
      </c>
      <c r="S35" s="126" t="s">
        <v>6</v>
      </c>
      <c r="T35" s="126" t="s">
        <v>6</v>
      </c>
      <c r="U35" s="200" t="s">
        <v>1114</v>
      </c>
      <c r="V35" s="204"/>
      <c r="W35" s="232" t="s">
        <v>133</v>
      </c>
      <c r="X35" s="198"/>
      <c r="Y35" s="198"/>
      <c r="Z35" s="126" t="s">
        <v>6</v>
      </c>
      <c r="AA35" s="126" t="s">
        <v>6</v>
      </c>
      <c r="AB35" s="204"/>
      <c r="AC35" s="199"/>
      <c r="AD35" s="199"/>
      <c r="AE35" s="232" t="s">
        <v>133</v>
      </c>
      <c r="AF35" s="198"/>
      <c r="AG35" s="198"/>
      <c r="AH35" s="126"/>
      <c r="AI35" s="126"/>
      <c r="AJ35" s="204"/>
      <c r="AK35" s="199"/>
      <c r="AL35" s="199"/>
      <c r="AM35" s="199" t="s">
        <v>1046</v>
      </c>
      <c r="AN35" s="199"/>
      <c r="AO35" s="199"/>
      <c r="AP35" s="199"/>
      <c r="AQ35" s="199"/>
      <c r="AR35" s="199"/>
      <c r="AS35" s="199"/>
      <c r="AT35" s="199"/>
      <c r="AU35" s="199"/>
      <c r="AV35" s="199"/>
      <c r="AW35" s="155">
        <f t="shared" si="2"/>
        <v>41</v>
      </c>
    </row>
    <row r="36" spans="1:49" s="20" customFormat="1" ht="15">
      <c r="A36" s="40">
        <f t="shared" si="4"/>
        <v>30</v>
      </c>
      <c r="B36" s="59"/>
      <c r="C36" s="59"/>
      <c r="D36" s="59"/>
      <c r="E36" s="59"/>
      <c r="F36" s="59"/>
      <c r="G36" s="59"/>
      <c r="H36" s="59"/>
      <c r="I36" s="59"/>
      <c r="J36" s="412" t="s">
        <v>3431</v>
      </c>
      <c r="K36" s="232" t="s">
        <v>117</v>
      </c>
      <c r="L36" s="204" t="s">
        <v>1054</v>
      </c>
      <c r="M36" s="204" t="s">
        <v>4378</v>
      </c>
      <c r="N36" s="126" t="s">
        <v>504</v>
      </c>
      <c r="O36" s="40"/>
      <c r="P36" s="40"/>
      <c r="Q36" s="126" t="s">
        <v>6</v>
      </c>
      <c r="R36" s="126" t="s">
        <v>6</v>
      </c>
      <c r="S36" s="126" t="s">
        <v>6</v>
      </c>
      <c r="T36" s="40" t="s">
        <v>6</v>
      </c>
      <c r="U36" s="204" t="s">
        <v>1582</v>
      </c>
      <c r="V36" s="412" t="s">
        <v>2320</v>
      </c>
      <c r="W36" s="232" t="s">
        <v>133</v>
      </c>
      <c r="X36" s="13"/>
      <c r="Y36" s="13"/>
      <c r="Z36" s="61" t="s">
        <v>6</v>
      </c>
      <c r="AA36" s="61" t="s">
        <v>6</v>
      </c>
      <c r="AB36" s="215"/>
      <c r="AC36" s="59"/>
      <c r="AD36" s="218" t="s">
        <v>2292</v>
      </c>
      <c r="AE36" s="232" t="s">
        <v>133</v>
      </c>
      <c r="AF36" s="13"/>
      <c r="AG36" s="13"/>
      <c r="AH36" s="61" t="s">
        <v>6</v>
      </c>
      <c r="AI36" s="61" t="s">
        <v>6</v>
      </c>
      <c r="AJ36" s="215" t="e">
        <f>"Atende também ao agrupamento dos itens "&amp;A35&amp;" a "&amp;#REF!&amp;" para anunciador do nível 2 e alarme do nível 3."</f>
        <v>#REF!</v>
      </c>
      <c r="AK36" s="59"/>
      <c r="AL36" s="218" t="s">
        <v>2292</v>
      </c>
      <c r="AM36" s="198" t="s">
        <v>2321</v>
      </c>
      <c r="AN36" s="59"/>
      <c r="AO36" s="59"/>
      <c r="AP36" s="59"/>
      <c r="AQ36" s="59"/>
      <c r="AR36" s="59"/>
      <c r="AS36" s="59"/>
      <c r="AT36" s="59"/>
      <c r="AU36" s="59"/>
      <c r="AV36" s="59"/>
      <c r="AW36" s="18">
        <f>LEN(L36)</f>
        <v>28</v>
      </c>
    </row>
    <row r="37" spans="1:49" s="20" customFormat="1" ht="26.4">
      <c r="A37" s="40">
        <f t="shared" si="4"/>
        <v>31</v>
      </c>
      <c r="B37" s="59"/>
      <c r="C37" s="59"/>
      <c r="D37" s="59"/>
      <c r="E37" s="59"/>
      <c r="F37" s="59"/>
      <c r="G37" s="59"/>
      <c r="H37" s="59"/>
      <c r="I37" s="59"/>
      <c r="J37" s="412" t="s">
        <v>3432</v>
      </c>
      <c r="K37" s="232" t="s">
        <v>117</v>
      </c>
      <c r="L37" s="204" t="s">
        <v>1057</v>
      </c>
      <c r="M37" s="204" t="s">
        <v>4378</v>
      </c>
      <c r="N37" s="126" t="s">
        <v>504</v>
      </c>
      <c r="O37" s="40"/>
      <c r="P37" s="40"/>
      <c r="Q37" s="40"/>
      <c r="R37" s="126" t="s">
        <v>6</v>
      </c>
      <c r="S37" s="126" t="s">
        <v>6</v>
      </c>
      <c r="T37" s="40" t="s">
        <v>6</v>
      </c>
      <c r="U37" s="204" t="s">
        <v>2293</v>
      </c>
      <c r="V37" s="412" t="s">
        <v>2320</v>
      </c>
      <c r="W37" s="232" t="s">
        <v>125</v>
      </c>
      <c r="X37" s="13"/>
      <c r="Y37" s="13"/>
      <c r="Z37" s="13"/>
      <c r="AA37" s="61" t="s">
        <v>6</v>
      </c>
      <c r="AB37" s="15"/>
      <c r="AC37" s="59"/>
      <c r="AD37" s="412" t="s">
        <v>2322</v>
      </c>
      <c r="AE37" s="232" t="s">
        <v>125</v>
      </c>
      <c r="AF37" s="13"/>
      <c r="AG37" s="13"/>
      <c r="AH37" s="13"/>
      <c r="AI37" s="61" t="s">
        <v>6</v>
      </c>
      <c r="AJ37" s="15"/>
      <c r="AK37" s="59"/>
      <c r="AL37" s="412" t="s">
        <v>2322</v>
      </c>
      <c r="AM37" s="198" t="s">
        <v>2321</v>
      </c>
      <c r="AN37" s="259" t="s">
        <v>635</v>
      </c>
      <c r="AO37" s="59"/>
      <c r="AP37" s="59"/>
      <c r="AQ37" s="59"/>
      <c r="AR37" s="59"/>
      <c r="AS37" s="59"/>
      <c r="AT37" s="59"/>
      <c r="AU37" s="59"/>
      <c r="AV37" s="59"/>
      <c r="AW37" s="18">
        <f>LEN(L37)</f>
        <v>35</v>
      </c>
    </row>
    <row r="38" spans="1:49" s="20" customFormat="1" ht="26.4">
      <c r="A38" s="40">
        <f t="shared" si="4"/>
        <v>32</v>
      </c>
      <c r="B38" s="59"/>
      <c r="C38" s="59"/>
      <c r="D38" s="59"/>
      <c r="E38" s="59"/>
      <c r="F38" s="59"/>
      <c r="G38" s="59"/>
      <c r="H38" s="59"/>
      <c r="I38" s="59"/>
      <c r="J38" s="412" t="s">
        <v>3433</v>
      </c>
      <c r="K38" s="232" t="s">
        <v>117</v>
      </c>
      <c r="L38" s="204" t="s">
        <v>1059</v>
      </c>
      <c r="M38" s="204" t="s">
        <v>4378</v>
      </c>
      <c r="N38" s="126" t="s">
        <v>504</v>
      </c>
      <c r="O38" s="40"/>
      <c r="P38" s="40"/>
      <c r="Q38" s="40"/>
      <c r="R38" s="126" t="s">
        <v>6</v>
      </c>
      <c r="S38" s="126" t="s">
        <v>6</v>
      </c>
      <c r="T38" s="40" t="s">
        <v>6</v>
      </c>
      <c r="U38" s="204" t="s">
        <v>2293</v>
      </c>
      <c r="V38" s="412" t="s">
        <v>2320</v>
      </c>
      <c r="W38" s="232" t="s">
        <v>125</v>
      </c>
      <c r="X38" s="13"/>
      <c r="Y38" s="13"/>
      <c r="Z38" s="13"/>
      <c r="AA38" s="61" t="s">
        <v>6</v>
      </c>
      <c r="AB38" s="15"/>
      <c r="AC38" s="59"/>
      <c r="AD38" s="412" t="s">
        <v>2322</v>
      </c>
      <c r="AE38" s="232" t="s">
        <v>125</v>
      </c>
      <c r="AF38" s="13"/>
      <c r="AG38" s="13"/>
      <c r="AH38" s="13"/>
      <c r="AI38" s="61" t="s">
        <v>6</v>
      </c>
      <c r="AJ38" s="15"/>
      <c r="AK38" s="59"/>
      <c r="AL38" s="412" t="s">
        <v>2322</v>
      </c>
      <c r="AM38" s="198" t="s">
        <v>2321</v>
      </c>
      <c r="AN38" s="259" t="s">
        <v>635</v>
      </c>
      <c r="AO38" s="59"/>
      <c r="AP38" s="59"/>
      <c r="AQ38" s="59"/>
      <c r="AR38" s="59"/>
      <c r="AS38" s="59"/>
      <c r="AT38" s="59"/>
      <c r="AU38" s="59"/>
      <c r="AV38" s="59"/>
      <c r="AW38" s="18">
        <f>LEN(L38)</f>
        <v>35</v>
      </c>
    </row>
    <row r="39" spans="1:49" s="20" customFormat="1" ht="26.4">
      <c r="A39" s="40">
        <f t="shared" si="4"/>
        <v>33</v>
      </c>
      <c r="B39" s="59"/>
      <c r="C39" s="59"/>
      <c r="D39" s="59"/>
      <c r="E39" s="59"/>
      <c r="F39" s="59"/>
      <c r="G39" s="59"/>
      <c r="H39" s="59"/>
      <c r="I39" s="59"/>
      <c r="J39" s="412" t="s">
        <v>3434</v>
      </c>
      <c r="K39" s="232" t="s">
        <v>117</v>
      </c>
      <c r="L39" s="204" t="s">
        <v>1060</v>
      </c>
      <c r="M39" s="204" t="s">
        <v>4378</v>
      </c>
      <c r="N39" s="126" t="s">
        <v>504</v>
      </c>
      <c r="O39" s="40"/>
      <c r="P39" s="40"/>
      <c r="Q39" s="40"/>
      <c r="R39" s="126" t="s">
        <v>6</v>
      </c>
      <c r="S39" s="126" t="s">
        <v>6</v>
      </c>
      <c r="T39" s="40" t="s">
        <v>6</v>
      </c>
      <c r="U39" s="204" t="s">
        <v>2293</v>
      </c>
      <c r="V39" s="412" t="s">
        <v>2320</v>
      </c>
      <c r="W39" s="232" t="s">
        <v>125</v>
      </c>
      <c r="X39" s="13"/>
      <c r="Y39" s="13"/>
      <c r="Z39" s="13"/>
      <c r="AA39" s="61" t="s">
        <v>6</v>
      </c>
      <c r="AB39" s="15"/>
      <c r="AC39" s="59"/>
      <c r="AD39" s="412" t="s">
        <v>2322</v>
      </c>
      <c r="AE39" s="232" t="s">
        <v>125</v>
      </c>
      <c r="AF39" s="13"/>
      <c r="AG39" s="13"/>
      <c r="AH39" s="13"/>
      <c r="AI39" s="61" t="s">
        <v>6</v>
      </c>
      <c r="AJ39" s="15"/>
      <c r="AK39" s="59"/>
      <c r="AL39" s="412" t="s">
        <v>2322</v>
      </c>
      <c r="AM39" s="198" t="s">
        <v>2321</v>
      </c>
      <c r="AN39" s="259" t="s">
        <v>635</v>
      </c>
      <c r="AO39" s="59"/>
      <c r="AP39" s="59"/>
      <c r="AQ39" s="59"/>
      <c r="AR39" s="59"/>
      <c r="AS39" s="59"/>
      <c r="AT39" s="59"/>
      <c r="AU39" s="59"/>
      <c r="AV39" s="59"/>
      <c r="AW39" s="18">
        <f>LEN(L39)</f>
        <v>35</v>
      </c>
    </row>
    <row r="40" spans="1:49" s="236" customFormat="1" ht="26.4">
      <c r="A40" s="40">
        <f t="shared" si="4"/>
        <v>34</v>
      </c>
      <c r="B40" s="199"/>
      <c r="C40" s="199"/>
      <c r="D40" s="199"/>
      <c r="E40" s="199"/>
      <c r="F40" s="199"/>
      <c r="G40" s="199"/>
      <c r="H40" s="199"/>
      <c r="I40" s="199"/>
      <c r="J40" s="412" t="s">
        <v>3435</v>
      </c>
      <c r="K40" s="232" t="s">
        <v>117</v>
      </c>
      <c r="L40" s="204" t="s">
        <v>2323</v>
      </c>
      <c r="M40" s="204" t="s">
        <v>4378</v>
      </c>
      <c r="N40" s="126" t="s">
        <v>504</v>
      </c>
      <c r="O40" s="40"/>
      <c r="P40" s="40"/>
      <c r="Q40" s="126" t="s">
        <v>6</v>
      </c>
      <c r="R40" s="126" t="s">
        <v>6</v>
      </c>
      <c r="S40" s="126" t="s">
        <v>6</v>
      </c>
      <c r="T40" s="126" t="s">
        <v>6</v>
      </c>
      <c r="U40" s="204" t="s">
        <v>1582</v>
      </c>
      <c r="V40" s="204"/>
      <c r="W40" s="232" t="s">
        <v>133</v>
      </c>
      <c r="X40" s="40"/>
      <c r="Y40" s="40"/>
      <c r="Z40" s="126" t="s">
        <v>6</v>
      </c>
      <c r="AA40" s="126" t="s">
        <v>6</v>
      </c>
      <c r="AB40" s="215"/>
      <c r="AC40" s="199"/>
      <c r="AD40" s="201" t="s">
        <v>1047</v>
      </c>
      <c r="AE40" s="232" t="s">
        <v>133</v>
      </c>
      <c r="AF40" s="40"/>
      <c r="AG40" s="40"/>
      <c r="AH40" s="126" t="s">
        <v>6</v>
      </c>
      <c r="AI40" s="126" t="s">
        <v>6</v>
      </c>
      <c r="AJ40" s="215" t="e">
        <f>"Atende também ao agrupamento dos itens "&amp;#REF!&amp;" a "&amp;#REF!&amp;" para anunciador do nível 2 e alarme do nível 3."</f>
        <v>#REF!</v>
      </c>
      <c r="AK40" s="199"/>
      <c r="AL40" s="201" t="s">
        <v>1047</v>
      </c>
      <c r="AM40" s="198" t="s">
        <v>2324</v>
      </c>
      <c r="AN40" s="199"/>
      <c r="AO40" s="199"/>
      <c r="AP40" s="199"/>
      <c r="AQ40" s="199"/>
      <c r="AR40" s="199"/>
      <c r="AS40" s="199"/>
      <c r="AT40" s="199"/>
      <c r="AU40" s="199"/>
      <c r="AV40" s="199"/>
      <c r="AW40" s="155">
        <f t="shared" si="2"/>
        <v>38</v>
      </c>
    </row>
    <row r="41" spans="1:49" s="236" customFormat="1" ht="26.4">
      <c r="A41" s="40">
        <f t="shared" si="4"/>
        <v>35</v>
      </c>
      <c r="B41" s="199"/>
      <c r="C41" s="199"/>
      <c r="D41" s="199"/>
      <c r="E41" s="199"/>
      <c r="F41" s="199"/>
      <c r="G41" s="199"/>
      <c r="H41" s="199"/>
      <c r="I41" s="199"/>
      <c r="J41" s="412" t="s">
        <v>3436</v>
      </c>
      <c r="K41" s="232" t="s">
        <v>117</v>
      </c>
      <c r="L41" s="204" t="s">
        <v>2325</v>
      </c>
      <c r="M41" s="204" t="s">
        <v>4378</v>
      </c>
      <c r="N41" s="126" t="s">
        <v>504</v>
      </c>
      <c r="O41" s="40"/>
      <c r="P41" s="40"/>
      <c r="Q41" s="126"/>
      <c r="R41" s="126" t="s">
        <v>6</v>
      </c>
      <c r="S41" s="126" t="s">
        <v>6</v>
      </c>
      <c r="T41" s="126" t="s">
        <v>6</v>
      </c>
      <c r="U41" s="204" t="s">
        <v>2293</v>
      </c>
      <c r="V41" s="204"/>
      <c r="W41" s="232" t="s">
        <v>133</v>
      </c>
      <c r="X41" s="40"/>
      <c r="Y41" s="40"/>
      <c r="Z41" s="126" t="s">
        <v>6</v>
      </c>
      <c r="AA41" s="126" t="s">
        <v>6</v>
      </c>
      <c r="AB41" s="215"/>
      <c r="AC41" s="199"/>
      <c r="AD41" s="201" t="s">
        <v>1047</v>
      </c>
      <c r="AE41" s="232" t="s">
        <v>133</v>
      </c>
      <c r="AF41" s="40"/>
      <c r="AG41" s="40"/>
      <c r="AH41" s="126" t="s">
        <v>6</v>
      </c>
      <c r="AI41" s="126" t="s">
        <v>6</v>
      </c>
      <c r="AJ41" s="215" t="e">
        <f>"Atende também ao agrupamento dos itens "&amp;#REF!&amp;" a "&amp;#REF!&amp;" para anunciador do nível 2 e alarme do nível 3."</f>
        <v>#REF!</v>
      </c>
      <c r="AK41" s="199"/>
      <c r="AL41" s="201" t="s">
        <v>1047</v>
      </c>
      <c r="AM41" s="198" t="s">
        <v>2324</v>
      </c>
      <c r="AN41" s="199"/>
      <c r="AO41" s="199"/>
      <c r="AP41" s="199"/>
      <c r="AQ41" s="199"/>
      <c r="AR41" s="199"/>
      <c r="AS41" s="199"/>
      <c r="AT41" s="199"/>
      <c r="AU41" s="199"/>
      <c r="AV41" s="199"/>
      <c r="AW41" s="155">
        <f t="shared" si="2"/>
        <v>40</v>
      </c>
    </row>
    <row r="42" spans="1:49" s="236" customFormat="1" ht="26.4">
      <c r="A42" s="40">
        <f t="shared" si="4"/>
        <v>36</v>
      </c>
      <c r="B42" s="199"/>
      <c r="C42" s="199"/>
      <c r="D42" s="199"/>
      <c r="E42" s="199"/>
      <c r="F42" s="199"/>
      <c r="G42" s="199"/>
      <c r="H42" s="199"/>
      <c r="I42" s="199"/>
      <c r="J42" s="412" t="s">
        <v>3437</v>
      </c>
      <c r="K42" s="232" t="s">
        <v>117</v>
      </c>
      <c r="L42" s="204" t="s">
        <v>2326</v>
      </c>
      <c r="M42" s="204" t="s">
        <v>4378</v>
      </c>
      <c r="N42" s="126" t="s">
        <v>504</v>
      </c>
      <c r="O42" s="40"/>
      <c r="P42" s="40"/>
      <c r="Q42" s="126"/>
      <c r="R42" s="126" t="s">
        <v>6</v>
      </c>
      <c r="S42" s="126" t="s">
        <v>6</v>
      </c>
      <c r="T42" s="126" t="s">
        <v>6</v>
      </c>
      <c r="U42" s="204" t="s">
        <v>2293</v>
      </c>
      <c r="V42" s="204"/>
      <c r="W42" s="232" t="s">
        <v>133</v>
      </c>
      <c r="X42" s="40"/>
      <c r="Y42" s="40"/>
      <c r="Z42" s="126" t="s">
        <v>6</v>
      </c>
      <c r="AA42" s="126" t="s">
        <v>6</v>
      </c>
      <c r="AB42" s="215"/>
      <c r="AC42" s="199"/>
      <c r="AD42" s="201" t="s">
        <v>1047</v>
      </c>
      <c r="AE42" s="232" t="s">
        <v>133</v>
      </c>
      <c r="AF42" s="40"/>
      <c r="AG42" s="40"/>
      <c r="AH42" s="126" t="s">
        <v>6</v>
      </c>
      <c r="AI42" s="126" t="s">
        <v>6</v>
      </c>
      <c r="AJ42" s="215" t="e">
        <f>"Atende também ao agrupamento dos itens "&amp;#REF!&amp;" a "&amp;#REF!&amp;" para anunciador do nível 2 e alarme do nível 3."</f>
        <v>#REF!</v>
      </c>
      <c r="AK42" s="199"/>
      <c r="AL42" s="201" t="s">
        <v>1047</v>
      </c>
      <c r="AM42" s="198" t="s">
        <v>2324</v>
      </c>
      <c r="AN42" s="199"/>
      <c r="AO42" s="199"/>
      <c r="AP42" s="199"/>
      <c r="AQ42" s="199"/>
      <c r="AR42" s="199"/>
      <c r="AS42" s="199"/>
      <c r="AT42" s="199"/>
      <c r="AU42" s="199"/>
      <c r="AV42" s="199"/>
      <c r="AW42" s="155">
        <f t="shared" si="2"/>
        <v>40</v>
      </c>
    </row>
    <row r="43" spans="1:49" s="236" customFormat="1" ht="26.4">
      <c r="A43" s="40">
        <f t="shared" si="4"/>
        <v>37</v>
      </c>
      <c r="B43" s="199"/>
      <c r="C43" s="199"/>
      <c r="D43" s="199"/>
      <c r="E43" s="199"/>
      <c r="F43" s="199"/>
      <c r="G43" s="199"/>
      <c r="H43" s="199"/>
      <c r="I43" s="199"/>
      <c r="J43" s="412" t="s">
        <v>3438</v>
      </c>
      <c r="K43" s="232" t="s">
        <v>117</v>
      </c>
      <c r="L43" s="204" t="s">
        <v>2327</v>
      </c>
      <c r="M43" s="204" t="s">
        <v>4378</v>
      </c>
      <c r="N43" s="126" t="s">
        <v>504</v>
      </c>
      <c r="O43" s="40"/>
      <c r="P43" s="40"/>
      <c r="Q43" s="126"/>
      <c r="R43" s="126" t="s">
        <v>6</v>
      </c>
      <c r="S43" s="126" t="s">
        <v>6</v>
      </c>
      <c r="T43" s="126" t="s">
        <v>6</v>
      </c>
      <c r="U43" s="204" t="s">
        <v>2293</v>
      </c>
      <c r="V43" s="204"/>
      <c r="W43" s="232" t="s">
        <v>133</v>
      </c>
      <c r="X43" s="40"/>
      <c r="Y43" s="40"/>
      <c r="Z43" s="126" t="s">
        <v>6</v>
      </c>
      <c r="AA43" s="126" t="s">
        <v>6</v>
      </c>
      <c r="AB43" s="215"/>
      <c r="AC43" s="199"/>
      <c r="AD43" s="201" t="s">
        <v>1047</v>
      </c>
      <c r="AE43" s="232" t="s">
        <v>133</v>
      </c>
      <c r="AF43" s="40"/>
      <c r="AG43" s="40"/>
      <c r="AH43" s="126" t="s">
        <v>6</v>
      </c>
      <c r="AI43" s="126" t="s">
        <v>6</v>
      </c>
      <c r="AJ43" s="215" t="e">
        <f>"Atende também ao agrupamento dos itens "&amp;#REF!&amp;" a "&amp;#REF!&amp;" para anunciador do nível 2 e alarme do nível 3."</f>
        <v>#REF!</v>
      </c>
      <c r="AK43" s="199"/>
      <c r="AL43" s="201" t="s">
        <v>1047</v>
      </c>
      <c r="AM43" s="198" t="s">
        <v>2324</v>
      </c>
      <c r="AN43" s="199"/>
      <c r="AO43" s="199"/>
      <c r="AP43" s="199"/>
      <c r="AQ43" s="199"/>
      <c r="AR43" s="199"/>
      <c r="AS43" s="199"/>
      <c r="AT43" s="199"/>
      <c r="AU43" s="199"/>
      <c r="AV43" s="199"/>
      <c r="AW43" s="155">
        <f t="shared" si="2"/>
        <v>40</v>
      </c>
    </row>
    <row r="44" spans="1:49" s="20" customFormat="1" ht="26.4">
      <c r="A44" s="40">
        <f t="shared" si="4"/>
        <v>38</v>
      </c>
      <c r="B44" s="59"/>
      <c r="C44" s="59"/>
      <c r="D44" s="59"/>
      <c r="E44" s="59"/>
      <c r="F44" s="59"/>
      <c r="G44" s="59"/>
      <c r="H44" s="59"/>
      <c r="I44" s="59"/>
      <c r="J44" s="412" t="s">
        <v>2328</v>
      </c>
      <c r="K44" s="232" t="s">
        <v>117</v>
      </c>
      <c r="L44" s="204" t="s">
        <v>2329</v>
      </c>
      <c r="M44" s="204"/>
      <c r="N44" s="126" t="s">
        <v>504</v>
      </c>
      <c r="O44" s="126"/>
      <c r="P44" s="126"/>
      <c r="Q44" s="126"/>
      <c r="R44" s="126" t="s">
        <v>6</v>
      </c>
      <c r="S44" s="126" t="s">
        <v>6</v>
      </c>
      <c r="T44" s="40" t="s">
        <v>6</v>
      </c>
      <c r="U44" s="200" t="s">
        <v>1114</v>
      </c>
      <c r="V44" s="204"/>
      <c r="W44" s="232" t="s">
        <v>125</v>
      </c>
      <c r="X44" s="59"/>
      <c r="Y44" s="59"/>
      <c r="Z44" s="59"/>
      <c r="AA44" s="61" t="s">
        <v>6</v>
      </c>
      <c r="AB44" s="15"/>
      <c r="AC44" s="59"/>
      <c r="AD44" s="412" t="s">
        <v>2330</v>
      </c>
      <c r="AE44" s="232" t="s">
        <v>125</v>
      </c>
      <c r="AF44" s="59"/>
      <c r="AG44" s="59"/>
      <c r="AH44" s="59"/>
      <c r="AI44" s="61" t="s">
        <v>6</v>
      </c>
      <c r="AJ44" s="15"/>
      <c r="AK44" s="59"/>
      <c r="AL44" s="412" t="s">
        <v>2330</v>
      </c>
      <c r="AM44" s="198" t="s">
        <v>2295</v>
      </c>
      <c r="AN44" s="59"/>
      <c r="AO44" s="59"/>
      <c r="AP44" s="59"/>
      <c r="AQ44" s="59"/>
      <c r="AR44" s="59"/>
      <c r="AS44" s="59"/>
      <c r="AT44" s="59"/>
      <c r="AU44" s="59"/>
      <c r="AV44" s="59"/>
      <c r="AW44" s="18">
        <f>LEN(L44)</f>
        <v>32</v>
      </c>
    </row>
    <row r="45" spans="1:49" s="20" customFormat="1" ht="26.4">
      <c r="A45" s="40">
        <f t="shared" si="4"/>
        <v>39</v>
      </c>
      <c r="B45" s="59"/>
      <c r="C45" s="59"/>
      <c r="D45" s="59"/>
      <c r="E45" s="59"/>
      <c r="F45" s="59"/>
      <c r="G45" s="59"/>
      <c r="H45" s="59"/>
      <c r="I45" s="59"/>
      <c r="J45" s="412" t="s">
        <v>2331</v>
      </c>
      <c r="K45" s="232" t="s">
        <v>117</v>
      </c>
      <c r="L45" s="204" t="s">
        <v>2332</v>
      </c>
      <c r="M45" s="204"/>
      <c r="N45" s="126" t="s">
        <v>504</v>
      </c>
      <c r="O45" s="126"/>
      <c r="P45" s="126"/>
      <c r="Q45" s="126"/>
      <c r="R45" s="126" t="s">
        <v>6</v>
      </c>
      <c r="S45" s="126" t="s">
        <v>6</v>
      </c>
      <c r="T45" s="40" t="s">
        <v>6</v>
      </c>
      <c r="U45" s="200" t="s">
        <v>1114</v>
      </c>
      <c r="V45" s="204"/>
      <c r="W45" s="232" t="s">
        <v>125</v>
      </c>
      <c r="X45" s="59"/>
      <c r="Y45" s="59"/>
      <c r="Z45" s="59"/>
      <c r="AA45" s="61" t="s">
        <v>6</v>
      </c>
      <c r="AB45" s="15"/>
      <c r="AC45" s="59"/>
      <c r="AD45" s="412" t="s">
        <v>2330</v>
      </c>
      <c r="AE45" s="232" t="s">
        <v>125</v>
      </c>
      <c r="AF45" s="59"/>
      <c r="AG45" s="59"/>
      <c r="AH45" s="59"/>
      <c r="AI45" s="61" t="s">
        <v>6</v>
      </c>
      <c r="AJ45" s="15"/>
      <c r="AK45" s="59"/>
      <c r="AL45" s="412" t="s">
        <v>2330</v>
      </c>
      <c r="AM45" s="198" t="s">
        <v>2295</v>
      </c>
      <c r="AN45" s="59"/>
      <c r="AO45" s="59"/>
      <c r="AP45" s="59"/>
      <c r="AQ45" s="59"/>
      <c r="AR45" s="59"/>
      <c r="AS45" s="59"/>
      <c r="AT45" s="59"/>
      <c r="AU45" s="59"/>
      <c r="AV45" s="59"/>
      <c r="AW45" s="18">
        <f>LEN(L45)</f>
        <v>32</v>
      </c>
    </row>
    <row r="46" spans="1:49" s="20" customFormat="1" ht="26.4">
      <c r="A46" s="40">
        <f t="shared" si="4"/>
        <v>40</v>
      </c>
      <c r="B46" s="59"/>
      <c r="C46" s="59"/>
      <c r="D46" s="59"/>
      <c r="E46" s="59"/>
      <c r="F46" s="59"/>
      <c r="G46" s="59"/>
      <c r="H46" s="59"/>
      <c r="I46" s="59"/>
      <c r="J46" s="412" t="s">
        <v>2333</v>
      </c>
      <c r="K46" s="232" t="s">
        <v>117</v>
      </c>
      <c r="L46" s="204" t="s">
        <v>2334</v>
      </c>
      <c r="M46" s="204"/>
      <c r="N46" s="126" t="s">
        <v>504</v>
      </c>
      <c r="O46" s="126"/>
      <c r="P46" s="126"/>
      <c r="Q46" s="126"/>
      <c r="R46" s="126" t="s">
        <v>6</v>
      </c>
      <c r="S46" s="126" t="s">
        <v>6</v>
      </c>
      <c r="T46" s="40" t="s">
        <v>6</v>
      </c>
      <c r="U46" s="200" t="s">
        <v>1114</v>
      </c>
      <c r="V46" s="204"/>
      <c r="W46" s="232" t="s">
        <v>125</v>
      </c>
      <c r="X46" s="59"/>
      <c r="Y46" s="59"/>
      <c r="Z46" s="59"/>
      <c r="AA46" s="61" t="s">
        <v>6</v>
      </c>
      <c r="AB46" s="15"/>
      <c r="AC46" s="59"/>
      <c r="AD46" s="412" t="s">
        <v>2330</v>
      </c>
      <c r="AE46" s="232" t="s">
        <v>125</v>
      </c>
      <c r="AF46" s="59"/>
      <c r="AG46" s="59"/>
      <c r="AH46" s="59"/>
      <c r="AI46" s="61" t="s">
        <v>6</v>
      </c>
      <c r="AJ46" s="15"/>
      <c r="AK46" s="59"/>
      <c r="AL46" s="412" t="s">
        <v>2330</v>
      </c>
      <c r="AM46" s="198" t="s">
        <v>2295</v>
      </c>
      <c r="AN46" s="59"/>
      <c r="AO46" s="59"/>
      <c r="AP46" s="59"/>
      <c r="AQ46" s="59"/>
      <c r="AR46" s="59"/>
      <c r="AS46" s="59"/>
      <c r="AT46" s="59"/>
      <c r="AU46" s="59"/>
      <c r="AV46" s="59"/>
      <c r="AW46" s="18">
        <f>LEN(L46)</f>
        <v>32</v>
      </c>
    </row>
    <row r="47" spans="1:49" s="20" customFormat="1" ht="39.6">
      <c r="A47" s="40">
        <f t="shared" si="4"/>
        <v>41</v>
      </c>
      <c r="B47" s="59"/>
      <c r="C47" s="59"/>
      <c r="D47" s="59"/>
      <c r="E47" s="59"/>
      <c r="F47" s="59"/>
      <c r="G47" s="59"/>
      <c r="H47" s="59"/>
      <c r="I47" s="59"/>
      <c r="J47" s="412" t="s">
        <v>2335</v>
      </c>
      <c r="K47" s="232" t="s">
        <v>117</v>
      </c>
      <c r="L47" s="204" t="s">
        <v>2336</v>
      </c>
      <c r="M47" s="204"/>
      <c r="N47" s="126" t="s">
        <v>504</v>
      </c>
      <c r="O47" s="126"/>
      <c r="P47" s="126"/>
      <c r="Q47" s="126" t="s">
        <v>6</v>
      </c>
      <c r="R47" s="126" t="s">
        <v>6</v>
      </c>
      <c r="S47" s="126" t="s">
        <v>6</v>
      </c>
      <c r="T47" s="40" t="s">
        <v>6</v>
      </c>
      <c r="U47" s="204"/>
      <c r="V47" s="204"/>
      <c r="W47" s="232" t="s">
        <v>133</v>
      </c>
      <c r="X47" s="59"/>
      <c r="Y47" s="59"/>
      <c r="Z47" s="61" t="s">
        <v>6</v>
      </c>
      <c r="AA47" s="61" t="s">
        <v>6</v>
      </c>
      <c r="AB47" s="215"/>
      <c r="AC47" s="59"/>
      <c r="AD47" s="59"/>
      <c r="AE47" s="232" t="s">
        <v>133</v>
      </c>
      <c r="AF47" s="59"/>
      <c r="AG47" s="59"/>
      <c r="AH47" s="61" t="s">
        <v>6</v>
      </c>
      <c r="AI47" s="61" t="s">
        <v>6</v>
      </c>
      <c r="AJ47" s="215" t="str">
        <f>"Atende também ao agrupamento dos itens "&amp;A44&amp;" a "&amp;A46&amp;" para anunciador do nível 2 e alarme do nível 3."</f>
        <v>Atende também ao agrupamento dos itens 38 a 40 para anunciador do nível 2 e alarme do nível 3.</v>
      </c>
      <c r="AK47" s="59"/>
      <c r="AL47" s="59"/>
      <c r="AM47" s="198" t="s">
        <v>2295</v>
      </c>
      <c r="AN47" s="59"/>
      <c r="AO47" s="59"/>
      <c r="AP47" s="59"/>
      <c r="AQ47" s="59"/>
      <c r="AR47" s="59"/>
      <c r="AS47" s="59"/>
      <c r="AT47" s="59"/>
      <c r="AU47" s="59"/>
      <c r="AV47" s="59"/>
      <c r="AW47" s="18">
        <f>LEN(L47)</f>
        <v>25</v>
      </c>
    </row>
    <row r="48" spans="1:49" s="20" customFormat="1" ht="26.4">
      <c r="A48" s="40">
        <f t="shared" si="4"/>
        <v>42</v>
      </c>
      <c r="B48" s="59"/>
      <c r="C48" s="59"/>
      <c r="D48" s="59"/>
      <c r="E48" s="59"/>
      <c r="F48" s="59"/>
      <c r="G48" s="59"/>
      <c r="H48" s="59"/>
      <c r="I48" s="59"/>
      <c r="J48" s="412" t="s">
        <v>3439</v>
      </c>
      <c r="K48" s="232" t="s">
        <v>117</v>
      </c>
      <c r="L48" s="204" t="s">
        <v>1083</v>
      </c>
      <c r="M48" s="204" t="s">
        <v>4882</v>
      </c>
      <c r="N48" s="126" t="s">
        <v>504</v>
      </c>
      <c r="O48" s="126"/>
      <c r="P48" s="126"/>
      <c r="Q48" s="126"/>
      <c r="R48" s="126" t="s">
        <v>6</v>
      </c>
      <c r="S48" s="126" t="s">
        <v>6</v>
      </c>
      <c r="T48" s="40" t="s">
        <v>6</v>
      </c>
      <c r="U48" s="200" t="s">
        <v>1114</v>
      </c>
      <c r="V48" s="204"/>
      <c r="W48" s="232" t="s">
        <v>133</v>
      </c>
      <c r="X48" s="59"/>
      <c r="Y48" s="59"/>
      <c r="Z48" s="61" t="s">
        <v>6</v>
      </c>
      <c r="AA48" s="61" t="s">
        <v>6</v>
      </c>
      <c r="AB48" s="215"/>
      <c r="AC48" s="59"/>
      <c r="AD48" s="218" t="s">
        <v>1574</v>
      </c>
      <c r="AE48" s="232" t="s">
        <v>133</v>
      </c>
      <c r="AF48" s="59"/>
      <c r="AG48" s="59"/>
      <c r="AH48" s="61" t="s">
        <v>6</v>
      </c>
      <c r="AI48" s="61" t="s">
        <v>6</v>
      </c>
      <c r="AJ48" s="215" t="e">
        <f>"Atende também ao agrupamento dos itens "&amp;A47&amp;" a "&amp;#REF!&amp;" para anunciador do nível 2 e alarme do nível 3."</f>
        <v>#REF!</v>
      </c>
      <c r="AK48" s="59"/>
      <c r="AL48" s="218" t="s">
        <v>1574</v>
      </c>
      <c r="AM48" s="59" t="s">
        <v>2337</v>
      </c>
      <c r="AN48" s="59"/>
      <c r="AO48" s="59"/>
      <c r="AP48" s="59"/>
      <c r="AQ48" s="59"/>
      <c r="AR48" s="59"/>
      <c r="AS48" s="59"/>
      <c r="AT48" s="59"/>
      <c r="AU48" s="59"/>
      <c r="AV48" s="59"/>
      <c r="AW48" s="18">
        <f t="shared" si="2"/>
        <v>32</v>
      </c>
    </row>
    <row r="49" spans="1:49" s="20" customFormat="1" ht="26.4">
      <c r="A49" s="40">
        <f t="shared" si="4"/>
        <v>43</v>
      </c>
      <c r="B49" s="59"/>
      <c r="C49" s="59"/>
      <c r="D49" s="59"/>
      <c r="E49" s="59"/>
      <c r="F49" s="59"/>
      <c r="G49" s="59"/>
      <c r="H49" s="59"/>
      <c r="I49" s="59"/>
      <c r="J49" s="412" t="s">
        <v>3440</v>
      </c>
      <c r="K49" s="232" t="s">
        <v>117</v>
      </c>
      <c r="L49" s="204" t="s">
        <v>1088</v>
      </c>
      <c r="M49" s="204" t="s">
        <v>4882</v>
      </c>
      <c r="N49" s="126" t="s">
        <v>504</v>
      </c>
      <c r="O49" s="126"/>
      <c r="P49" s="126"/>
      <c r="Q49" s="126"/>
      <c r="R49" s="126" t="s">
        <v>6</v>
      </c>
      <c r="S49" s="126" t="s">
        <v>6</v>
      </c>
      <c r="T49" s="40" t="s">
        <v>6</v>
      </c>
      <c r="U49" s="200" t="s">
        <v>1114</v>
      </c>
      <c r="V49" s="204"/>
      <c r="W49" s="232" t="s">
        <v>133</v>
      </c>
      <c r="X49" s="59"/>
      <c r="Y49" s="59"/>
      <c r="Z49" s="61" t="s">
        <v>6</v>
      </c>
      <c r="AA49" s="61" t="s">
        <v>6</v>
      </c>
      <c r="AB49" s="215"/>
      <c r="AC49" s="59"/>
      <c r="AD49" s="218" t="s">
        <v>1574</v>
      </c>
      <c r="AE49" s="232" t="s">
        <v>133</v>
      </c>
      <c r="AF49" s="59"/>
      <c r="AG49" s="59"/>
      <c r="AH49" s="61" t="s">
        <v>6</v>
      </c>
      <c r="AI49" s="61" t="s">
        <v>6</v>
      </c>
      <c r="AJ49" s="215" t="e">
        <f>"Atende também ao agrupamento dos itens "&amp;#REF!&amp;" a "&amp;A48&amp;" para anunciador do nível 2 e alarme do nível 3."</f>
        <v>#REF!</v>
      </c>
      <c r="AK49" s="59"/>
      <c r="AL49" s="218" t="s">
        <v>1574</v>
      </c>
      <c r="AM49" s="59" t="s">
        <v>2337</v>
      </c>
      <c r="AN49" s="59"/>
      <c r="AO49" s="59"/>
      <c r="AP49" s="59"/>
      <c r="AQ49" s="59"/>
      <c r="AR49" s="59"/>
      <c r="AS49" s="59"/>
      <c r="AT49" s="59"/>
      <c r="AU49" s="59"/>
      <c r="AV49" s="59"/>
      <c r="AW49" s="18">
        <f>LEN(L49)</f>
        <v>32</v>
      </c>
    </row>
    <row r="50" spans="1:49" s="20" customFormat="1" ht="26.4">
      <c r="A50" s="40">
        <f t="shared" si="4"/>
        <v>44</v>
      </c>
      <c r="B50" s="59"/>
      <c r="C50" s="59"/>
      <c r="D50" s="59"/>
      <c r="E50" s="59"/>
      <c r="F50" s="59"/>
      <c r="G50" s="59"/>
      <c r="H50" s="59"/>
      <c r="I50" s="59"/>
      <c r="J50" s="412" t="s">
        <v>3441</v>
      </c>
      <c r="K50" s="232" t="s">
        <v>117</v>
      </c>
      <c r="L50" s="204" t="s">
        <v>1090</v>
      </c>
      <c r="M50" s="204" t="s">
        <v>4882</v>
      </c>
      <c r="N50" s="126" t="s">
        <v>504</v>
      </c>
      <c r="O50" s="126"/>
      <c r="P50" s="126"/>
      <c r="Q50" s="126"/>
      <c r="R50" s="126" t="s">
        <v>6</v>
      </c>
      <c r="S50" s="126" t="s">
        <v>6</v>
      </c>
      <c r="T50" s="40" t="s">
        <v>6</v>
      </c>
      <c r="U50" s="200" t="s">
        <v>1114</v>
      </c>
      <c r="V50" s="204"/>
      <c r="W50" s="232" t="s">
        <v>133</v>
      </c>
      <c r="X50" s="59"/>
      <c r="Y50" s="59"/>
      <c r="Z50" s="61" t="s">
        <v>6</v>
      </c>
      <c r="AA50" s="61" t="s">
        <v>6</v>
      </c>
      <c r="AB50" s="215"/>
      <c r="AC50" s="59"/>
      <c r="AD50" s="218" t="s">
        <v>1574</v>
      </c>
      <c r="AE50" s="232" t="s">
        <v>133</v>
      </c>
      <c r="AF50" s="59"/>
      <c r="AG50" s="59"/>
      <c r="AH50" s="61" t="s">
        <v>6</v>
      </c>
      <c r="AI50" s="61" t="s">
        <v>6</v>
      </c>
      <c r="AJ50" s="215" t="e">
        <f>"Atende também ao agrupamento dos itens "&amp;#REF!&amp;" a "&amp;A49&amp;" para anunciador do nível 2 e alarme do nível 3."</f>
        <v>#REF!</v>
      </c>
      <c r="AK50" s="59"/>
      <c r="AL50" s="218" t="s">
        <v>1574</v>
      </c>
      <c r="AM50" s="59" t="s">
        <v>2337</v>
      </c>
      <c r="AN50" s="59"/>
      <c r="AO50" s="59"/>
      <c r="AP50" s="59"/>
      <c r="AQ50" s="59"/>
      <c r="AR50" s="59"/>
      <c r="AS50" s="59"/>
      <c r="AT50" s="59"/>
      <c r="AU50" s="59"/>
      <c r="AV50" s="59"/>
      <c r="AW50" s="18">
        <f t="shared" si="2"/>
        <v>32</v>
      </c>
    </row>
    <row r="51" spans="1:49" s="20" customFormat="1" ht="15">
      <c r="A51" s="40">
        <f t="shared" si="4"/>
        <v>45</v>
      </c>
      <c r="B51" s="59"/>
      <c r="C51" s="59"/>
      <c r="D51" s="59"/>
      <c r="E51" s="59"/>
      <c r="F51" s="59"/>
      <c r="G51" s="59"/>
      <c r="H51" s="59"/>
      <c r="I51" s="59"/>
      <c r="J51" s="412" t="s">
        <v>3442</v>
      </c>
      <c r="K51" s="232" t="s">
        <v>117</v>
      </c>
      <c r="L51" s="204" t="s">
        <v>1092</v>
      </c>
      <c r="M51" s="204" t="s">
        <v>4882</v>
      </c>
      <c r="N51" s="126" t="s">
        <v>504</v>
      </c>
      <c r="O51" s="126"/>
      <c r="P51" s="126"/>
      <c r="Q51" s="126" t="s">
        <v>6</v>
      </c>
      <c r="R51" s="126" t="s">
        <v>6</v>
      </c>
      <c r="S51" s="126" t="s">
        <v>6</v>
      </c>
      <c r="T51" s="40" t="s">
        <v>6</v>
      </c>
      <c r="U51" s="204"/>
      <c r="V51" s="204"/>
      <c r="W51" s="232" t="s">
        <v>133</v>
      </c>
      <c r="X51" s="59"/>
      <c r="Y51" s="59"/>
      <c r="Z51" s="61" t="s">
        <v>6</v>
      </c>
      <c r="AA51" s="61" t="s">
        <v>6</v>
      </c>
      <c r="AB51" s="215"/>
      <c r="AC51" s="59"/>
      <c r="AD51" s="218" t="s">
        <v>1574</v>
      </c>
      <c r="AE51" s="232" t="s">
        <v>133</v>
      </c>
      <c r="AF51" s="59"/>
      <c r="AG51" s="59"/>
      <c r="AH51" s="61" t="s">
        <v>6</v>
      </c>
      <c r="AI51" s="61" t="s">
        <v>6</v>
      </c>
      <c r="AJ51" s="215" t="e">
        <f>"Atende também ao agrupamento dos itens "&amp;#REF!&amp;" a "&amp;#REF!&amp;" para anunciador do nível 2 e alarme do nível 3."</f>
        <v>#REF!</v>
      </c>
      <c r="AK51" s="59"/>
      <c r="AL51" s="218" t="s">
        <v>1574</v>
      </c>
      <c r="AM51" s="59" t="s">
        <v>2337</v>
      </c>
      <c r="AN51" s="59"/>
      <c r="AO51" s="59"/>
      <c r="AP51" s="59"/>
      <c r="AQ51" s="59"/>
      <c r="AR51" s="59"/>
      <c r="AS51" s="59"/>
      <c r="AT51" s="59"/>
      <c r="AU51" s="59"/>
      <c r="AV51" s="59"/>
      <c r="AW51" s="18">
        <f t="shared" ref="AW51:AW65" si="5">LEN(L51)</f>
        <v>25</v>
      </c>
    </row>
    <row r="52" spans="1:49" s="20" customFormat="1" ht="39.6">
      <c r="A52" s="40">
        <f t="shared" si="4"/>
        <v>46</v>
      </c>
      <c r="B52" s="59"/>
      <c r="C52" s="59"/>
      <c r="D52" s="59"/>
      <c r="E52" s="59"/>
      <c r="F52" s="59"/>
      <c r="G52" s="59"/>
      <c r="H52" s="59"/>
      <c r="I52" s="59"/>
      <c r="J52" s="412" t="s">
        <v>3443</v>
      </c>
      <c r="K52" s="232" t="s">
        <v>122</v>
      </c>
      <c r="L52" s="204" t="s">
        <v>1094</v>
      </c>
      <c r="M52" s="204" t="s">
        <v>4882</v>
      </c>
      <c r="N52" s="349" t="s">
        <v>873</v>
      </c>
      <c r="O52" s="126"/>
      <c r="P52" s="126"/>
      <c r="Q52" s="126" t="s">
        <v>6</v>
      </c>
      <c r="R52" s="126" t="s">
        <v>6</v>
      </c>
      <c r="S52" s="126" t="s">
        <v>6</v>
      </c>
      <c r="T52" s="40" t="s">
        <v>6</v>
      </c>
      <c r="U52" s="204" t="s">
        <v>1582</v>
      </c>
      <c r="V52" s="204"/>
      <c r="W52" s="232" t="s">
        <v>133</v>
      </c>
      <c r="X52" s="59"/>
      <c r="Y52" s="59"/>
      <c r="Z52" s="61" t="s">
        <v>6</v>
      </c>
      <c r="AA52" s="61" t="s">
        <v>6</v>
      </c>
      <c r="AB52" s="215"/>
      <c r="AC52" s="59"/>
      <c r="AD52" s="218" t="s">
        <v>1574</v>
      </c>
      <c r="AE52" s="232" t="s">
        <v>133</v>
      </c>
      <c r="AF52" s="59"/>
      <c r="AG52" s="59"/>
      <c r="AH52" s="61" t="s">
        <v>6</v>
      </c>
      <c r="AI52" s="61" t="s">
        <v>6</v>
      </c>
      <c r="AJ52" s="215" t="str">
        <f>"Atende também ao agrupamento dos itens "&amp;A48&amp;" a "&amp;A50&amp;" para anunciador do nível 2 e alarme do nível 3."</f>
        <v>Atende também ao agrupamento dos itens 42 a 44 para anunciador do nível 2 e alarme do nível 3.</v>
      </c>
      <c r="AK52" s="59"/>
      <c r="AL52" s="218" t="s">
        <v>1574</v>
      </c>
      <c r="AM52" s="59" t="s">
        <v>2337</v>
      </c>
      <c r="AN52" s="59"/>
      <c r="AO52" s="59"/>
      <c r="AP52" s="59"/>
      <c r="AQ52" s="59"/>
      <c r="AR52" s="59"/>
      <c r="AS52" s="59"/>
      <c r="AT52" s="59"/>
      <c r="AU52" s="59"/>
      <c r="AV52" s="59"/>
      <c r="AW52" s="18">
        <f t="shared" si="5"/>
        <v>30</v>
      </c>
    </row>
    <row r="53" spans="1:49" s="236" customFormat="1" ht="15">
      <c r="A53" s="40">
        <f t="shared" si="4"/>
        <v>47</v>
      </c>
      <c r="B53" s="199"/>
      <c r="C53" s="199"/>
      <c r="D53" s="199"/>
      <c r="E53" s="199"/>
      <c r="F53" s="199"/>
      <c r="G53" s="199"/>
      <c r="H53" s="199"/>
      <c r="I53" s="199" t="s">
        <v>868</v>
      </c>
      <c r="J53" s="412" t="s">
        <v>3444</v>
      </c>
      <c r="K53" s="232" t="s">
        <v>122</v>
      </c>
      <c r="L53" s="204" t="s">
        <v>1096</v>
      </c>
      <c r="M53" s="204" t="s">
        <v>4882</v>
      </c>
      <c r="N53" s="349" t="s">
        <v>873</v>
      </c>
      <c r="O53" s="126"/>
      <c r="P53" s="126"/>
      <c r="Q53" s="126" t="s">
        <v>6</v>
      </c>
      <c r="R53" s="126" t="s">
        <v>6</v>
      </c>
      <c r="S53" s="126" t="s">
        <v>6</v>
      </c>
      <c r="T53" s="40" t="s">
        <v>6</v>
      </c>
      <c r="U53" s="204" t="s">
        <v>1582</v>
      </c>
      <c r="V53" s="204"/>
      <c r="W53" s="232" t="s">
        <v>133</v>
      </c>
      <c r="X53" s="199"/>
      <c r="Y53" s="199"/>
      <c r="Z53" s="126" t="s">
        <v>6</v>
      </c>
      <c r="AA53" s="126" t="s">
        <v>6</v>
      </c>
      <c r="AB53" s="215"/>
      <c r="AC53" s="199"/>
      <c r="AD53" s="199" t="s">
        <v>881</v>
      </c>
      <c r="AE53" s="232" t="s">
        <v>133</v>
      </c>
      <c r="AF53" s="199"/>
      <c r="AG53" s="199"/>
      <c r="AH53" s="126" t="s">
        <v>6</v>
      </c>
      <c r="AI53" s="126" t="s">
        <v>6</v>
      </c>
      <c r="AJ53" s="215" t="e">
        <f>"Atende também ao agrupamento dos itens "&amp;#REF!&amp;" a "&amp;#REF!&amp;" para anunciador do nível 2 e alarme do nível 3."</f>
        <v>#REF!</v>
      </c>
      <c r="AK53" s="199"/>
      <c r="AL53" s="199" t="s">
        <v>881</v>
      </c>
      <c r="AM53" s="198" t="s">
        <v>1086</v>
      </c>
      <c r="AN53" s="199"/>
      <c r="AO53" s="199"/>
      <c r="AP53" s="199"/>
      <c r="AQ53" s="199"/>
      <c r="AR53" s="199"/>
      <c r="AS53" s="199"/>
      <c r="AT53" s="199"/>
      <c r="AU53" s="199"/>
      <c r="AV53" s="199"/>
      <c r="AW53" s="155">
        <f t="shared" si="5"/>
        <v>37</v>
      </c>
    </row>
    <row r="54" spans="1:49" s="236" customFormat="1" ht="15">
      <c r="A54" s="40">
        <f t="shared" si="4"/>
        <v>48</v>
      </c>
      <c r="B54" s="199"/>
      <c r="C54" s="199"/>
      <c r="D54" s="199"/>
      <c r="E54" s="199"/>
      <c r="F54" s="199"/>
      <c r="G54" s="199"/>
      <c r="H54" s="199"/>
      <c r="I54" s="199" t="s">
        <v>868</v>
      </c>
      <c r="J54" s="412" t="s">
        <v>3445</v>
      </c>
      <c r="K54" s="232" t="s">
        <v>122</v>
      </c>
      <c r="L54" s="204" t="s">
        <v>1098</v>
      </c>
      <c r="M54" s="204" t="s">
        <v>4882</v>
      </c>
      <c r="N54" s="349" t="s">
        <v>873</v>
      </c>
      <c r="O54" s="126"/>
      <c r="P54" s="126"/>
      <c r="Q54" s="126" t="s">
        <v>6</v>
      </c>
      <c r="R54" s="126" t="s">
        <v>6</v>
      </c>
      <c r="S54" s="126" t="s">
        <v>6</v>
      </c>
      <c r="T54" s="40" t="s">
        <v>6</v>
      </c>
      <c r="U54" s="204" t="s">
        <v>1582</v>
      </c>
      <c r="V54" s="204"/>
      <c r="W54" s="232" t="s">
        <v>133</v>
      </c>
      <c r="X54" s="199"/>
      <c r="Y54" s="199"/>
      <c r="Z54" s="126" t="s">
        <v>6</v>
      </c>
      <c r="AA54" s="126" t="s">
        <v>6</v>
      </c>
      <c r="AB54" s="215"/>
      <c r="AC54" s="199"/>
      <c r="AD54" s="199" t="s">
        <v>881</v>
      </c>
      <c r="AE54" s="232" t="s">
        <v>133</v>
      </c>
      <c r="AF54" s="199"/>
      <c r="AG54" s="199"/>
      <c r="AH54" s="126" t="s">
        <v>6</v>
      </c>
      <c r="AI54" s="126" t="s">
        <v>6</v>
      </c>
      <c r="AJ54" s="215" t="e">
        <f>"Atende também ao agrupamento dos itens "&amp;#REF!&amp;" a "&amp;#REF!&amp;" para anunciador do nível 2 e alarme do nível 3."</f>
        <v>#REF!</v>
      </c>
      <c r="AK54" s="199"/>
      <c r="AL54" s="199" t="s">
        <v>881</v>
      </c>
      <c r="AM54" s="198" t="s">
        <v>1086</v>
      </c>
      <c r="AN54" s="199"/>
      <c r="AO54" s="199"/>
      <c r="AP54" s="199"/>
      <c r="AQ54" s="199"/>
      <c r="AR54" s="199"/>
      <c r="AS54" s="199"/>
      <c r="AT54" s="199"/>
      <c r="AU54" s="199"/>
      <c r="AV54" s="199"/>
      <c r="AW54" s="155">
        <f t="shared" si="5"/>
        <v>37</v>
      </c>
    </row>
    <row r="55" spans="1:49" s="236" customFormat="1" ht="39.6">
      <c r="A55" s="40">
        <f t="shared" si="4"/>
        <v>49</v>
      </c>
      <c r="B55" s="199"/>
      <c r="C55" s="199"/>
      <c r="D55" s="199"/>
      <c r="E55" s="199"/>
      <c r="F55" s="199"/>
      <c r="G55" s="199"/>
      <c r="H55" s="199"/>
      <c r="I55" s="199" t="s">
        <v>868</v>
      </c>
      <c r="J55" s="412" t="s">
        <v>3446</v>
      </c>
      <c r="K55" s="232" t="s">
        <v>122</v>
      </c>
      <c r="L55" s="204" t="s">
        <v>1099</v>
      </c>
      <c r="M55" s="204" t="s">
        <v>4882</v>
      </c>
      <c r="N55" s="349" t="s">
        <v>873</v>
      </c>
      <c r="O55" s="126"/>
      <c r="P55" s="126"/>
      <c r="Q55" s="126" t="s">
        <v>6</v>
      </c>
      <c r="R55" s="126" t="s">
        <v>6</v>
      </c>
      <c r="S55" s="126" t="s">
        <v>6</v>
      </c>
      <c r="T55" s="40" t="s">
        <v>6</v>
      </c>
      <c r="U55" s="204" t="s">
        <v>1582</v>
      </c>
      <c r="V55" s="204"/>
      <c r="W55" s="232" t="s">
        <v>133</v>
      </c>
      <c r="X55" s="199"/>
      <c r="Y55" s="199"/>
      <c r="Z55" s="126" t="s">
        <v>6</v>
      </c>
      <c r="AA55" s="126" t="s">
        <v>6</v>
      </c>
      <c r="AB55" s="215"/>
      <c r="AC55" s="199"/>
      <c r="AD55" s="199" t="s">
        <v>881</v>
      </c>
      <c r="AE55" s="232" t="s">
        <v>133</v>
      </c>
      <c r="AF55" s="199"/>
      <c r="AG55" s="199"/>
      <c r="AH55" s="126" t="s">
        <v>6</v>
      </c>
      <c r="AI55" s="126" t="s">
        <v>6</v>
      </c>
      <c r="AJ55" s="215" t="str">
        <f>"Atende também ao agrupamento dos itens "&amp;A49&amp;" a "&amp;A51&amp;" para anunciador do nível 2 e alarme do nível 3."</f>
        <v>Atende também ao agrupamento dos itens 43 a 45 para anunciador do nível 2 e alarme do nível 3.</v>
      </c>
      <c r="AK55" s="199"/>
      <c r="AL55" s="199" t="s">
        <v>881</v>
      </c>
      <c r="AM55" s="198" t="s">
        <v>1086</v>
      </c>
      <c r="AN55" s="199"/>
      <c r="AO55" s="199"/>
      <c r="AP55" s="199"/>
      <c r="AQ55" s="199"/>
      <c r="AR55" s="199"/>
      <c r="AS55" s="199"/>
      <c r="AT55" s="199"/>
      <c r="AU55" s="199"/>
      <c r="AV55" s="199"/>
      <c r="AW55" s="155">
        <f t="shared" si="5"/>
        <v>37</v>
      </c>
    </row>
    <row r="56" spans="1:49" s="20" customFormat="1" ht="15">
      <c r="A56" s="40">
        <f t="shared" si="4"/>
        <v>50</v>
      </c>
      <c r="B56" s="59"/>
      <c r="C56" s="59"/>
      <c r="D56" s="59"/>
      <c r="E56" s="59"/>
      <c r="F56" s="59"/>
      <c r="G56" s="59"/>
      <c r="H56" s="59"/>
      <c r="I56" s="59"/>
      <c r="J56" s="412" t="s">
        <v>3447</v>
      </c>
      <c r="K56" s="232" t="s">
        <v>117</v>
      </c>
      <c r="L56" s="204" t="s">
        <v>1106</v>
      </c>
      <c r="M56" s="204"/>
      <c r="N56" s="126" t="s">
        <v>504</v>
      </c>
      <c r="O56" s="126"/>
      <c r="P56" s="126"/>
      <c r="Q56" s="126" t="s">
        <v>6</v>
      </c>
      <c r="R56" s="126" t="s">
        <v>6</v>
      </c>
      <c r="S56" s="126" t="s">
        <v>6</v>
      </c>
      <c r="T56" s="40" t="s">
        <v>6</v>
      </c>
      <c r="U56" s="412"/>
      <c r="V56" s="412" t="s">
        <v>2338</v>
      </c>
      <c r="W56" s="232" t="s">
        <v>133</v>
      </c>
      <c r="X56" s="59"/>
      <c r="Y56" s="59"/>
      <c r="Z56" s="61" t="s">
        <v>6</v>
      </c>
      <c r="AA56" s="61" t="s">
        <v>6</v>
      </c>
      <c r="AB56" s="15"/>
      <c r="AC56" s="59"/>
      <c r="AD56" s="59"/>
      <c r="AE56" s="232" t="s">
        <v>133</v>
      </c>
      <c r="AF56" s="59"/>
      <c r="AG56" s="59"/>
      <c r="AH56" s="61" t="s">
        <v>6</v>
      </c>
      <c r="AI56" s="61" t="s">
        <v>6</v>
      </c>
      <c r="AJ56" s="15"/>
      <c r="AK56" s="59"/>
      <c r="AL56" s="59"/>
      <c r="AM56" s="59"/>
      <c r="AN56" s="59"/>
      <c r="AO56" s="59"/>
      <c r="AP56" s="59"/>
      <c r="AQ56" s="59"/>
      <c r="AR56" s="59"/>
      <c r="AS56" s="59"/>
      <c r="AT56" s="59"/>
      <c r="AU56" s="59"/>
      <c r="AV56" s="59"/>
      <c r="AW56" s="18">
        <f t="shared" si="5"/>
        <v>21</v>
      </c>
    </row>
    <row r="57" spans="1:49" s="20" customFormat="1" ht="15">
      <c r="A57" s="40">
        <f t="shared" si="4"/>
        <v>51</v>
      </c>
      <c r="B57" s="59"/>
      <c r="C57" s="59"/>
      <c r="D57" s="59"/>
      <c r="E57" s="59"/>
      <c r="F57" s="59"/>
      <c r="G57" s="59"/>
      <c r="H57" s="59"/>
      <c r="I57" s="59"/>
      <c r="J57" s="412" t="s">
        <v>3448</v>
      </c>
      <c r="K57" s="232" t="s">
        <v>117</v>
      </c>
      <c r="L57" s="204" t="s">
        <v>1107</v>
      </c>
      <c r="M57" s="204"/>
      <c r="N57" s="126" t="s">
        <v>504</v>
      </c>
      <c r="O57" s="126"/>
      <c r="P57" s="126"/>
      <c r="Q57" s="126" t="s">
        <v>6</v>
      </c>
      <c r="R57" s="126" t="s">
        <v>6</v>
      </c>
      <c r="S57" s="126" t="s">
        <v>6</v>
      </c>
      <c r="T57" s="40" t="s">
        <v>6</v>
      </c>
      <c r="U57" s="412"/>
      <c r="V57" s="412" t="s">
        <v>2338</v>
      </c>
      <c r="W57" s="232" t="s">
        <v>133</v>
      </c>
      <c r="X57" s="59"/>
      <c r="Y57" s="59"/>
      <c r="Z57" s="61" t="s">
        <v>6</v>
      </c>
      <c r="AA57" s="61" t="s">
        <v>6</v>
      </c>
      <c r="AB57" s="15"/>
      <c r="AC57" s="59"/>
      <c r="AD57" s="59"/>
      <c r="AE57" s="232" t="s">
        <v>133</v>
      </c>
      <c r="AF57" s="59"/>
      <c r="AG57" s="59"/>
      <c r="AH57" s="61" t="s">
        <v>6</v>
      </c>
      <c r="AI57" s="61" t="s">
        <v>6</v>
      </c>
      <c r="AJ57" s="15"/>
      <c r="AK57" s="59"/>
      <c r="AL57" s="59"/>
      <c r="AM57" s="59"/>
      <c r="AN57" s="59"/>
      <c r="AO57" s="59"/>
      <c r="AP57" s="59"/>
      <c r="AQ57" s="59"/>
      <c r="AR57" s="59"/>
      <c r="AS57" s="59"/>
      <c r="AT57" s="59"/>
      <c r="AU57" s="59"/>
      <c r="AV57" s="59"/>
      <c r="AW57" s="18">
        <f t="shared" si="5"/>
        <v>28</v>
      </c>
    </row>
    <row r="58" spans="1:49" s="20" customFormat="1" ht="15">
      <c r="A58" s="40">
        <f t="shared" si="4"/>
        <v>52</v>
      </c>
      <c r="B58" s="59"/>
      <c r="C58" s="59"/>
      <c r="D58" s="59"/>
      <c r="E58" s="59"/>
      <c r="F58" s="59"/>
      <c r="G58" s="59"/>
      <c r="H58" s="59"/>
      <c r="I58" s="59"/>
      <c r="J58" s="412" t="s">
        <v>3449</v>
      </c>
      <c r="K58" s="232" t="s">
        <v>117</v>
      </c>
      <c r="L58" s="204" t="s">
        <v>1108</v>
      </c>
      <c r="M58" s="204"/>
      <c r="N58" s="126" t="s">
        <v>504</v>
      </c>
      <c r="O58" s="126"/>
      <c r="P58" s="126"/>
      <c r="Q58" s="126" t="s">
        <v>6</v>
      </c>
      <c r="R58" s="126" t="s">
        <v>6</v>
      </c>
      <c r="S58" s="126" t="s">
        <v>6</v>
      </c>
      <c r="T58" s="40" t="s">
        <v>6</v>
      </c>
      <c r="U58" s="412"/>
      <c r="V58" s="412" t="s">
        <v>2338</v>
      </c>
      <c r="W58" s="232" t="s">
        <v>133</v>
      </c>
      <c r="X58" s="59"/>
      <c r="Y58" s="59"/>
      <c r="Z58" s="61" t="s">
        <v>6</v>
      </c>
      <c r="AA58" s="61" t="s">
        <v>6</v>
      </c>
      <c r="AB58" s="15"/>
      <c r="AC58" s="59"/>
      <c r="AD58" s="59"/>
      <c r="AE58" s="232" t="s">
        <v>133</v>
      </c>
      <c r="AF58" s="59"/>
      <c r="AG58" s="59"/>
      <c r="AH58" s="61" t="s">
        <v>6</v>
      </c>
      <c r="AI58" s="61" t="s">
        <v>6</v>
      </c>
      <c r="AJ58" s="15"/>
      <c r="AK58" s="59"/>
      <c r="AL58" s="59"/>
      <c r="AM58" s="59"/>
      <c r="AN58" s="59"/>
      <c r="AO58" s="59"/>
      <c r="AP58" s="59"/>
      <c r="AQ58" s="59"/>
      <c r="AR58" s="59"/>
      <c r="AS58" s="59"/>
      <c r="AT58" s="59"/>
      <c r="AU58" s="59"/>
      <c r="AV58" s="59"/>
      <c r="AW58" s="18">
        <f t="shared" si="5"/>
        <v>28</v>
      </c>
    </row>
    <row r="59" spans="1:49" s="20" customFormat="1" ht="15">
      <c r="A59" s="40">
        <f t="shared" si="4"/>
        <v>53</v>
      </c>
      <c r="B59" s="59"/>
      <c r="C59" s="59"/>
      <c r="D59" s="59"/>
      <c r="E59" s="59"/>
      <c r="F59" s="59"/>
      <c r="G59" s="59"/>
      <c r="H59" s="59"/>
      <c r="I59" s="59"/>
      <c r="J59" s="412" t="s">
        <v>3450</v>
      </c>
      <c r="K59" s="232" t="s">
        <v>117</v>
      </c>
      <c r="L59" s="204" t="s">
        <v>1109</v>
      </c>
      <c r="M59" s="204"/>
      <c r="N59" s="126" t="s">
        <v>504</v>
      </c>
      <c r="O59" s="126"/>
      <c r="P59" s="126"/>
      <c r="Q59" s="126" t="s">
        <v>6</v>
      </c>
      <c r="R59" s="126" t="s">
        <v>6</v>
      </c>
      <c r="S59" s="126" t="s">
        <v>6</v>
      </c>
      <c r="T59" s="40" t="s">
        <v>6</v>
      </c>
      <c r="U59" s="412"/>
      <c r="V59" s="412" t="s">
        <v>2338</v>
      </c>
      <c r="W59" s="232" t="s">
        <v>133</v>
      </c>
      <c r="X59" s="59"/>
      <c r="Y59" s="59"/>
      <c r="Z59" s="61" t="s">
        <v>6</v>
      </c>
      <c r="AA59" s="61" t="s">
        <v>6</v>
      </c>
      <c r="AB59" s="15"/>
      <c r="AC59" s="59"/>
      <c r="AD59" s="59"/>
      <c r="AE59" s="232" t="s">
        <v>133</v>
      </c>
      <c r="AF59" s="59"/>
      <c r="AG59" s="59"/>
      <c r="AH59" s="61" t="s">
        <v>6</v>
      </c>
      <c r="AI59" s="61" t="s">
        <v>6</v>
      </c>
      <c r="AJ59" s="15"/>
      <c r="AK59" s="59"/>
      <c r="AL59" s="59"/>
      <c r="AM59" s="59"/>
      <c r="AN59" s="59"/>
      <c r="AO59" s="59"/>
      <c r="AP59" s="59"/>
      <c r="AQ59" s="59"/>
      <c r="AR59" s="59"/>
      <c r="AS59" s="59"/>
      <c r="AT59" s="59"/>
      <c r="AU59" s="59"/>
      <c r="AV59" s="59"/>
      <c r="AW59" s="18">
        <f t="shared" si="5"/>
        <v>28</v>
      </c>
    </row>
    <row r="60" spans="1:49" s="20" customFormat="1" ht="15">
      <c r="A60" s="40">
        <f t="shared" si="4"/>
        <v>54</v>
      </c>
      <c r="B60" s="59"/>
      <c r="C60" s="59"/>
      <c r="D60" s="59"/>
      <c r="E60" s="59"/>
      <c r="F60" s="59"/>
      <c r="G60" s="59"/>
      <c r="H60" s="59"/>
      <c r="I60" s="59"/>
      <c r="J60" s="412" t="s">
        <v>3451</v>
      </c>
      <c r="K60" s="232" t="s">
        <v>117</v>
      </c>
      <c r="L60" s="204" t="s">
        <v>1110</v>
      </c>
      <c r="M60" s="204" t="s">
        <v>4540</v>
      </c>
      <c r="N60" s="126" t="s">
        <v>504</v>
      </c>
      <c r="O60" s="126"/>
      <c r="P60" s="126"/>
      <c r="Q60" s="126" t="s">
        <v>6</v>
      </c>
      <c r="R60" s="126" t="s">
        <v>6</v>
      </c>
      <c r="S60" s="126" t="s">
        <v>6</v>
      </c>
      <c r="T60" s="40" t="s">
        <v>6</v>
      </c>
      <c r="U60" s="210"/>
      <c r="V60" s="412" t="s">
        <v>2338</v>
      </c>
      <c r="W60" s="232" t="s">
        <v>133</v>
      </c>
      <c r="X60" s="59"/>
      <c r="Y60" s="59"/>
      <c r="Z60" s="61" t="s">
        <v>6</v>
      </c>
      <c r="AA60" s="61" t="s">
        <v>6</v>
      </c>
      <c r="AB60" s="15"/>
      <c r="AC60" s="59"/>
      <c r="AD60" s="59"/>
      <c r="AE60" s="232" t="s">
        <v>133</v>
      </c>
      <c r="AF60" s="59"/>
      <c r="AG60" s="59"/>
      <c r="AH60" s="61" t="s">
        <v>6</v>
      </c>
      <c r="AI60" s="61" t="s">
        <v>6</v>
      </c>
      <c r="AJ60" s="15"/>
      <c r="AK60" s="59"/>
      <c r="AL60" s="59"/>
      <c r="AM60" s="59"/>
      <c r="AN60" s="59"/>
      <c r="AO60" s="59"/>
      <c r="AP60" s="59"/>
      <c r="AQ60" s="59"/>
      <c r="AR60" s="59"/>
      <c r="AS60" s="59"/>
      <c r="AT60" s="59"/>
      <c r="AU60" s="59"/>
      <c r="AV60" s="59"/>
      <c r="AW60" s="18">
        <f t="shared" si="5"/>
        <v>34</v>
      </c>
    </row>
    <row r="61" spans="1:49" s="20" customFormat="1" ht="39.6">
      <c r="A61" s="292">
        <f t="shared" si="4"/>
        <v>55</v>
      </c>
      <c r="B61" s="610"/>
      <c r="C61" s="610"/>
      <c r="D61" s="610"/>
      <c r="E61" s="610"/>
      <c r="F61" s="610"/>
      <c r="G61" s="610"/>
      <c r="H61" s="610"/>
      <c r="I61" s="610"/>
      <c r="J61" s="297" t="s">
        <v>5604</v>
      </c>
      <c r="K61" s="611" t="s">
        <v>117</v>
      </c>
      <c r="L61" s="231" t="s">
        <v>5607</v>
      </c>
      <c r="M61" s="231" t="s">
        <v>4540</v>
      </c>
      <c r="N61" s="295" t="s">
        <v>504</v>
      </c>
      <c r="O61" s="295"/>
      <c r="P61" s="295"/>
      <c r="Q61" s="295" t="s">
        <v>6</v>
      </c>
      <c r="R61" s="295" t="s">
        <v>6</v>
      </c>
      <c r="S61" s="295" t="s">
        <v>6</v>
      </c>
      <c r="T61" s="292" t="s">
        <v>6</v>
      </c>
      <c r="U61" s="231" t="s">
        <v>5611</v>
      </c>
      <c r="V61" s="297"/>
      <c r="W61" s="611" t="s">
        <v>133</v>
      </c>
      <c r="X61" s="610"/>
      <c r="Y61" s="610"/>
      <c r="Z61" s="612" t="s">
        <v>6</v>
      </c>
      <c r="AA61" s="612" t="s">
        <v>6</v>
      </c>
      <c r="AB61" s="613"/>
      <c r="AC61" s="610"/>
      <c r="AD61" s="610"/>
      <c r="AE61" s="611" t="s">
        <v>133</v>
      </c>
      <c r="AF61" s="610"/>
      <c r="AG61" s="610"/>
      <c r="AH61" s="612" t="s">
        <v>6</v>
      </c>
      <c r="AI61" s="612" t="s">
        <v>6</v>
      </c>
      <c r="AJ61" s="613"/>
      <c r="AK61" s="610"/>
      <c r="AL61" s="610"/>
      <c r="AM61" s="610"/>
      <c r="AN61" s="610"/>
      <c r="AO61" s="610"/>
      <c r="AP61" s="610"/>
      <c r="AQ61" s="610"/>
      <c r="AR61" s="610"/>
      <c r="AS61" s="610"/>
      <c r="AT61" s="610"/>
      <c r="AU61" s="610"/>
      <c r="AV61" s="610"/>
      <c r="AW61" s="18"/>
    </row>
    <row r="62" spans="1:49" s="20" customFormat="1" ht="39.6">
      <c r="A62" s="292">
        <f t="shared" si="4"/>
        <v>56</v>
      </c>
      <c r="B62" s="610"/>
      <c r="C62" s="610"/>
      <c r="D62" s="610"/>
      <c r="E62" s="610"/>
      <c r="F62" s="610"/>
      <c r="G62" s="610"/>
      <c r="H62" s="610"/>
      <c r="I62" s="610"/>
      <c r="J62" s="297" t="s">
        <v>5605</v>
      </c>
      <c r="K62" s="611" t="s">
        <v>117</v>
      </c>
      <c r="L62" s="231" t="s">
        <v>5608</v>
      </c>
      <c r="M62" s="231" t="s">
        <v>4540</v>
      </c>
      <c r="N62" s="295" t="s">
        <v>504</v>
      </c>
      <c r="O62" s="295"/>
      <c r="P62" s="295"/>
      <c r="Q62" s="295" t="s">
        <v>6</v>
      </c>
      <c r="R62" s="295" t="s">
        <v>6</v>
      </c>
      <c r="S62" s="295" t="s">
        <v>6</v>
      </c>
      <c r="T62" s="292" t="s">
        <v>6</v>
      </c>
      <c r="U62" s="231" t="s">
        <v>5611</v>
      </c>
      <c r="V62" s="297"/>
      <c r="W62" s="611" t="s">
        <v>133</v>
      </c>
      <c r="X62" s="610"/>
      <c r="Y62" s="610"/>
      <c r="Z62" s="612" t="s">
        <v>6</v>
      </c>
      <c r="AA62" s="612" t="s">
        <v>6</v>
      </c>
      <c r="AB62" s="613"/>
      <c r="AC62" s="610"/>
      <c r="AD62" s="610"/>
      <c r="AE62" s="611" t="s">
        <v>133</v>
      </c>
      <c r="AF62" s="610"/>
      <c r="AG62" s="610"/>
      <c r="AH62" s="612" t="s">
        <v>6</v>
      </c>
      <c r="AI62" s="612" t="s">
        <v>6</v>
      </c>
      <c r="AJ62" s="613"/>
      <c r="AK62" s="610"/>
      <c r="AL62" s="610"/>
      <c r="AM62" s="610"/>
      <c r="AN62" s="610"/>
      <c r="AO62" s="610"/>
      <c r="AP62" s="610"/>
      <c r="AQ62" s="610"/>
      <c r="AR62" s="610"/>
      <c r="AS62" s="610"/>
      <c r="AT62" s="610"/>
      <c r="AU62" s="610"/>
      <c r="AV62" s="610"/>
      <c r="AW62" s="18"/>
    </row>
    <row r="63" spans="1:49" s="20" customFormat="1" ht="39.6">
      <c r="A63" s="292">
        <f t="shared" si="4"/>
        <v>57</v>
      </c>
      <c r="B63" s="610"/>
      <c r="C63" s="610"/>
      <c r="D63" s="610"/>
      <c r="E63" s="610"/>
      <c r="F63" s="610"/>
      <c r="G63" s="610"/>
      <c r="H63" s="610"/>
      <c r="I63" s="610"/>
      <c r="J63" s="297" t="s">
        <v>5606</v>
      </c>
      <c r="K63" s="611" t="s">
        <v>117</v>
      </c>
      <c r="L63" s="231" t="s">
        <v>5609</v>
      </c>
      <c r="M63" s="231" t="s">
        <v>4540</v>
      </c>
      <c r="N63" s="295" t="s">
        <v>504</v>
      </c>
      <c r="O63" s="295"/>
      <c r="P63" s="295"/>
      <c r="Q63" s="295" t="s">
        <v>6</v>
      </c>
      <c r="R63" s="295" t="s">
        <v>6</v>
      </c>
      <c r="S63" s="295" t="s">
        <v>6</v>
      </c>
      <c r="T63" s="292" t="s">
        <v>6</v>
      </c>
      <c r="U63" s="231" t="s">
        <v>5611</v>
      </c>
      <c r="V63" s="297"/>
      <c r="W63" s="611" t="s">
        <v>133</v>
      </c>
      <c r="X63" s="610"/>
      <c r="Y63" s="610"/>
      <c r="Z63" s="612" t="s">
        <v>6</v>
      </c>
      <c r="AA63" s="612" t="s">
        <v>6</v>
      </c>
      <c r="AB63" s="613"/>
      <c r="AC63" s="610"/>
      <c r="AD63" s="610"/>
      <c r="AE63" s="611" t="s">
        <v>133</v>
      </c>
      <c r="AF63" s="610"/>
      <c r="AG63" s="610"/>
      <c r="AH63" s="612" t="s">
        <v>6</v>
      </c>
      <c r="AI63" s="612" t="s">
        <v>6</v>
      </c>
      <c r="AJ63" s="613"/>
      <c r="AK63" s="610"/>
      <c r="AL63" s="610"/>
      <c r="AM63" s="610"/>
      <c r="AN63" s="610"/>
      <c r="AO63" s="610"/>
      <c r="AP63" s="610"/>
      <c r="AQ63" s="610"/>
      <c r="AR63" s="610"/>
      <c r="AS63" s="610"/>
      <c r="AT63" s="610"/>
      <c r="AU63" s="610"/>
      <c r="AV63" s="610"/>
      <c r="AW63" s="18"/>
    </row>
    <row r="64" spans="1:49" s="20" customFormat="1" ht="15">
      <c r="A64" s="40">
        <f>ROW() - 6</f>
        <v>58</v>
      </c>
      <c r="B64" s="59"/>
      <c r="C64" s="59"/>
      <c r="D64" s="59"/>
      <c r="E64" s="59"/>
      <c r="F64" s="59"/>
      <c r="G64" s="59"/>
      <c r="H64" s="59"/>
      <c r="I64" s="59"/>
      <c r="J64" s="412" t="s">
        <v>2339</v>
      </c>
      <c r="K64" s="232" t="s">
        <v>65</v>
      </c>
      <c r="L64" s="204" t="s">
        <v>1209</v>
      </c>
      <c r="M64" s="204"/>
      <c r="N64" s="126" t="s">
        <v>504</v>
      </c>
      <c r="O64" s="126"/>
      <c r="P64" s="126"/>
      <c r="Q64" s="126" t="s">
        <v>6</v>
      </c>
      <c r="R64" s="126" t="s">
        <v>6</v>
      </c>
      <c r="S64" s="126" t="s">
        <v>6</v>
      </c>
      <c r="T64" s="40" t="s">
        <v>6</v>
      </c>
      <c r="U64" s="232"/>
      <c r="V64" s="232"/>
      <c r="W64" s="412" t="s">
        <v>65</v>
      </c>
      <c r="X64" s="59"/>
      <c r="Y64" s="59"/>
      <c r="Z64" s="61" t="s">
        <v>6</v>
      </c>
      <c r="AA64" s="61" t="s">
        <v>6</v>
      </c>
      <c r="AB64" s="15"/>
      <c r="AC64" s="59"/>
      <c r="AD64" s="59"/>
      <c r="AE64" s="412" t="s">
        <v>65</v>
      </c>
      <c r="AF64" s="59"/>
      <c r="AG64" s="59"/>
      <c r="AH64" s="61" t="s">
        <v>6</v>
      </c>
      <c r="AI64" s="61" t="s">
        <v>6</v>
      </c>
      <c r="AJ64" s="15"/>
      <c r="AK64" s="59"/>
      <c r="AL64" s="59"/>
      <c r="AM64" s="59"/>
      <c r="AN64" s="59"/>
      <c r="AO64" s="59"/>
      <c r="AP64" s="59"/>
      <c r="AQ64" s="59"/>
      <c r="AR64" s="59"/>
      <c r="AS64" s="59"/>
      <c r="AT64" s="59"/>
      <c r="AU64" s="59"/>
      <c r="AV64" s="59"/>
      <c r="AW64" s="18">
        <f t="shared" si="5"/>
        <v>33</v>
      </c>
    </row>
    <row r="65" spans="1:49" s="236" customFormat="1" ht="15">
      <c r="A65" s="40">
        <f t="shared" ref="A65" si="6">ROW() - 6</f>
        <v>59</v>
      </c>
      <c r="B65" s="199"/>
      <c r="C65" s="199"/>
      <c r="D65" s="199"/>
      <c r="E65" s="199"/>
      <c r="F65" s="199"/>
      <c r="G65" s="199"/>
      <c r="H65" s="199"/>
      <c r="I65" s="199" t="s">
        <v>868</v>
      </c>
      <c r="J65" s="218" t="s">
        <v>3452</v>
      </c>
      <c r="K65" s="232" t="s">
        <v>134</v>
      </c>
      <c r="L65" s="204" t="s">
        <v>1397</v>
      </c>
      <c r="M65" s="204"/>
      <c r="N65" s="126" t="s">
        <v>504</v>
      </c>
      <c r="O65" s="126"/>
      <c r="P65" s="126"/>
      <c r="Q65" s="40" t="s">
        <v>6</v>
      </c>
      <c r="R65" s="40" t="s">
        <v>6</v>
      </c>
      <c r="S65" s="40" t="s">
        <v>6</v>
      </c>
      <c r="T65" s="126" t="s">
        <v>6</v>
      </c>
      <c r="U65" s="204"/>
      <c r="V65" s="204"/>
      <c r="W65" s="232" t="s">
        <v>137</v>
      </c>
      <c r="X65" s="199"/>
      <c r="Y65" s="199"/>
      <c r="Z65" s="199"/>
      <c r="AA65" s="40" t="s">
        <v>6</v>
      </c>
      <c r="AB65" s="198"/>
      <c r="AC65" s="199"/>
      <c r="AD65" s="199"/>
      <c r="AE65" s="232" t="s">
        <v>137</v>
      </c>
      <c r="AF65" s="199"/>
      <c r="AG65" s="199"/>
      <c r="AH65" s="199"/>
      <c r="AI65" s="40" t="s">
        <v>6</v>
      </c>
      <c r="AJ65" s="198"/>
      <c r="AK65" s="199"/>
      <c r="AL65" s="199"/>
      <c r="AM65" s="199"/>
      <c r="AN65" s="199"/>
      <c r="AO65" s="199"/>
      <c r="AP65" s="199"/>
      <c r="AQ65" s="199"/>
      <c r="AR65" s="199"/>
      <c r="AS65" s="199"/>
      <c r="AT65" s="199"/>
      <c r="AU65" s="199"/>
      <c r="AV65" s="199"/>
      <c r="AW65" s="155">
        <f t="shared" si="5"/>
        <v>30</v>
      </c>
    </row>
    <row r="66" spans="1:49" s="20" customFormat="1" ht="15">
      <c r="A66" s="40">
        <f t="shared" ref="A66:A277" si="7">ROW() - 6</f>
        <v>60</v>
      </c>
      <c r="B66" s="59"/>
      <c r="C66" s="59"/>
      <c r="D66" s="59"/>
      <c r="E66" s="59"/>
      <c r="F66" s="59"/>
      <c r="G66" s="59"/>
      <c r="H66" s="59"/>
      <c r="I66" s="59"/>
      <c r="J66" s="412" t="s">
        <v>2341</v>
      </c>
      <c r="K66" s="232" t="s">
        <v>117</v>
      </c>
      <c r="L66" s="204" t="s">
        <v>691</v>
      </c>
      <c r="M66" s="204" t="s">
        <v>4891</v>
      </c>
      <c r="N66" s="126" t="s">
        <v>504</v>
      </c>
      <c r="O66" s="126"/>
      <c r="P66" s="126"/>
      <c r="Q66" s="126" t="s">
        <v>6</v>
      </c>
      <c r="R66" s="126" t="s">
        <v>6</v>
      </c>
      <c r="S66" s="126" t="s">
        <v>6</v>
      </c>
      <c r="T66" s="40" t="s">
        <v>6</v>
      </c>
      <c r="U66" s="204" t="s">
        <v>2342</v>
      </c>
      <c r="V66" s="232"/>
      <c r="W66" s="232" t="s">
        <v>133</v>
      </c>
      <c r="X66" s="59"/>
      <c r="Y66" s="59"/>
      <c r="Z66" s="61" t="s">
        <v>6</v>
      </c>
      <c r="AA66" s="61" t="s">
        <v>6</v>
      </c>
      <c r="AB66" s="15"/>
      <c r="AC66" s="59"/>
      <c r="AD66" s="59"/>
      <c r="AE66" s="232" t="s">
        <v>133</v>
      </c>
      <c r="AF66" s="59"/>
      <c r="AG66" s="59"/>
      <c r="AH66" s="61" t="s">
        <v>6</v>
      </c>
      <c r="AI66" s="61" t="s">
        <v>6</v>
      </c>
      <c r="AJ66" s="15"/>
      <c r="AK66" s="59"/>
      <c r="AL66" s="59"/>
      <c r="AM66" s="218" t="s">
        <v>2343</v>
      </c>
      <c r="AN66" s="59"/>
      <c r="AO66" s="59"/>
      <c r="AP66" s="59"/>
      <c r="AQ66" s="59"/>
      <c r="AR66" s="59"/>
      <c r="AS66" s="59"/>
      <c r="AT66" s="59"/>
      <c r="AU66" s="59"/>
      <c r="AV66" s="59"/>
      <c r="AW66" s="18">
        <f t="shared" ref="AW66:AW301" si="8">LEN(L66)</f>
        <v>24</v>
      </c>
    </row>
    <row r="67" spans="1:49" s="20" customFormat="1" ht="15">
      <c r="A67" s="40">
        <f t="shared" si="7"/>
        <v>61</v>
      </c>
      <c r="B67" s="59"/>
      <c r="C67" s="59"/>
      <c r="D67" s="59"/>
      <c r="E67" s="59"/>
      <c r="F67" s="59"/>
      <c r="G67" s="59"/>
      <c r="H67" s="59"/>
      <c r="I67" s="59"/>
      <c r="J67" s="412" t="s">
        <v>2344</v>
      </c>
      <c r="K67" s="232" t="s">
        <v>117</v>
      </c>
      <c r="L67" s="204" t="s">
        <v>705</v>
      </c>
      <c r="M67" s="204"/>
      <c r="N67" s="126" t="s">
        <v>504</v>
      </c>
      <c r="O67" s="126"/>
      <c r="P67" s="126"/>
      <c r="Q67" s="126" t="s">
        <v>6</v>
      </c>
      <c r="R67" s="126" t="s">
        <v>6</v>
      </c>
      <c r="S67" s="126" t="s">
        <v>6</v>
      </c>
      <c r="T67" s="40" t="s">
        <v>6</v>
      </c>
      <c r="U67" s="232"/>
      <c r="V67" s="232"/>
      <c r="W67" s="232" t="s">
        <v>125</v>
      </c>
      <c r="X67" s="59"/>
      <c r="Y67" s="59"/>
      <c r="Z67" s="59"/>
      <c r="AA67" s="61" t="s">
        <v>6</v>
      </c>
      <c r="AB67" s="15"/>
      <c r="AC67" s="59"/>
      <c r="AD67" s="59"/>
      <c r="AE67" s="232" t="s">
        <v>125</v>
      </c>
      <c r="AF67" s="59"/>
      <c r="AG67" s="59"/>
      <c r="AH67" s="59"/>
      <c r="AI67" s="61" t="s">
        <v>6</v>
      </c>
      <c r="AJ67" s="15"/>
      <c r="AK67" s="59"/>
      <c r="AL67" s="59"/>
      <c r="AM67" s="59"/>
      <c r="AN67" s="59"/>
      <c r="AO67" s="59"/>
      <c r="AP67" s="59"/>
      <c r="AQ67" s="59"/>
      <c r="AR67" s="59"/>
      <c r="AS67" s="59"/>
      <c r="AT67" s="59"/>
      <c r="AU67" s="59"/>
      <c r="AV67" s="59"/>
      <c r="AW67" s="18">
        <f t="shared" si="8"/>
        <v>37</v>
      </c>
    </row>
    <row r="68" spans="1:49" s="20" customFormat="1" ht="15">
      <c r="A68" s="40">
        <f t="shared" si="7"/>
        <v>62</v>
      </c>
      <c r="B68" s="59"/>
      <c r="C68" s="59"/>
      <c r="D68" s="59"/>
      <c r="E68" s="59"/>
      <c r="F68" s="59"/>
      <c r="G68" s="59"/>
      <c r="H68" s="59"/>
      <c r="I68" s="59"/>
      <c r="J68" s="412" t="s">
        <v>2345</v>
      </c>
      <c r="K68" s="232" t="s">
        <v>117</v>
      </c>
      <c r="L68" s="204" t="s">
        <v>719</v>
      </c>
      <c r="M68" s="204"/>
      <c r="N68" s="126" t="s">
        <v>504</v>
      </c>
      <c r="O68" s="126"/>
      <c r="P68" s="126"/>
      <c r="Q68" s="126" t="s">
        <v>6</v>
      </c>
      <c r="R68" s="126" t="s">
        <v>6</v>
      </c>
      <c r="S68" s="126" t="s">
        <v>6</v>
      </c>
      <c r="T68" s="40" t="s">
        <v>6</v>
      </c>
      <c r="U68" s="232"/>
      <c r="V68" s="218" t="s">
        <v>2346</v>
      </c>
      <c r="W68" s="232" t="s">
        <v>125</v>
      </c>
      <c r="X68" s="59"/>
      <c r="Y68" s="59"/>
      <c r="Z68" s="59"/>
      <c r="AA68" s="61" t="s">
        <v>6</v>
      </c>
      <c r="AB68" s="15"/>
      <c r="AC68" s="59"/>
      <c r="AD68" s="59"/>
      <c r="AE68" s="232" t="s">
        <v>125</v>
      </c>
      <c r="AF68" s="59"/>
      <c r="AG68" s="59"/>
      <c r="AH68" s="59"/>
      <c r="AI68" s="61" t="s">
        <v>6</v>
      </c>
      <c r="AJ68" s="15"/>
      <c r="AK68" s="59"/>
      <c r="AL68" s="59"/>
      <c r="AM68" s="59"/>
      <c r="AN68" s="59"/>
      <c r="AO68" s="59"/>
      <c r="AP68" s="59"/>
      <c r="AQ68" s="59"/>
      <c r="AR68" s="59"/>
      <c r="AS68" s="59"/>
      <c r="AT68" s="59"/>
      <c r="AU68" s="59"/>
      <c r="AV68" s="59"/>
      <c r="AW68" s="18">
        <f t="shared" si="8"/>
        <v>38</v>
      </c>
    </row>
    <row r="69" spans="1:49" s="20" customFormat="1" ht="32.25" customHeight="1">
      <c r="A69" s="40">
        <f t="shared" si="7"/>
        <v>63</v>
      </c>
      <c r="B69" s="59"/>
      <c r="C69" s="59"/>
      <c r="D69" s="59"/>
      <c r="E69" s="59"/>
      <c r="F69" s="59"/>
      <c r="G69" s="59"/>
      <c r="H69" s="59"/>
      <c r="I69" s="59"/>
      <c r="J69" s="218" t="s">
        <v>2347</v>
      </c>
      <c r="K69" s="232" t="s">
        <v>117</v>
      </c>
      <c r="L69" s="204" t="s">
        <v>1379</v>
      </c>
      <c r="M69" s="204"/>
      <c r="N69" s="126" t="s">
        <v>504</v>
      </c>
      <c r="O69" s="126"/>
      <c r="P69" s="126"/>
      <c r="Q69" s="126" t="s">
        <v>6</v>
      </c>
      <c r="R69" s="126" t="s">
        <v>6</v>
      </c>
      <c r="S69" s="126" t="s">
        <v>6</v>
      </c>
      <c r="T69" s="40" t="s">
        <v>6</v>
      </c>
      <c r="U69" s="204"/>
      <c r="V69" s="218" t="s">
        <v>2346</v>
      </c>
      <c r="W69" s="232" t="s">
        <v>125</v>
      </c>
      <c r="X69" s="59"/>
      <c r="Y69" s="59"/>
      <c r="Z69" s="59"/>
      <c r="AA69" s="61" t="s">
        <v>6</v>
      </c>
      <c r="AB69" s="15"/>
      <c r="AC69" s="59"/>
      <c r="AD69" s="59"/>
      <c r="AE69" s="232" t="s">
        <v>125</v>
      </c>
      <c r="AF69" s="59"/>
      <c r="AG69" s="59"/>
      <c r="AH69" s="59"/>
      <c r="AI69" s="61" t="s">
        <v>6</v>
      </c>
      <c r="AJ69" s="15"/>
      <c r="AK69" s="59"/>
      <c r="AL69" s="59"/>
      <c r="AM69" s="59"/>
      <c r="AN69" s="59"/>
      <c r="AO69" s="59"/>
      <c r="AP69" s="59"/>
      <c r="AQ69" s="59"/>
      <c r="AR69" s="59"/>
      <c r="AS69" s="59"/>
      <c r="AT69" s="59"/>
      <c r="AU69" s="59"/>
      <c r="AV69" s="59"/>
      <c r="AW69" s="18">
        <f t="shared" si="8"/>
        <v>33</v>
      </c>
    </row>
    <row r="70" spans="1:49" s="20" customFormat="1" ht="32.25" customHeight="1">
      <c r="A70" s="40">
        <f t="shared" si="7"/>
        <v>64</v>
      </c>
      <c r="B70" s="59"/>
      <c r="C70" s="59"/>
      <c r="D70" s="59"/>
      <c r="E70" s="59"/>
      <c r="F70" s="59"/>
      <c r="G70" s="59"/>
      <c r="H70" s="59"/>
      <c r="I70" s="59"/>
      <c r="J70" s="218" t="s">
        <v>2348</v>
      </c>
      <c r="K70" s="232" t="s">
        <v>117</v>
      </c>
      <c r="L70" s="204" t="s">
        <v>1381</v>
      </c>
      <c r="M70" s="204"/>
      <c r="N70" s="126" t="s">
        <v>504</v>
      </c>
      <c r="O70" s="126"/>
      <c r="P70" s="126"/>
      <c r="Q70" s="126" t="s">
        <v>6</v>
      </c>
      <c r="R70" s="126" t="s">
        <v>6</v>
      </c>
      <c r="S70" s="126" t="s">
        <v>6</v>
      </c>
      <c r="T70" s="40" t="s">
        <v>6</v>
      </c>
      <c r="U70" s="200" t="s">
        <v>1114</v>
      </c>
      <c r="V70" s="218" t="s">
        <v>2346</v>
      </c>
      <c r="W70" s="232" t="s">
        <v>125</v>
      </c>
      <c r="X70" s="59"/>
      <c r="Y70" s="59"/>
      <c r="Z70" s="59"/>
      <c r="AA70" s="61" t="s">
        <v>6</v>
      </c>
      <c r="AB70" s="15"/>
      <c r="AC70" s="59"/>
      <c r="AD70" s="59"/>
      <c r="AE70" s="232" t="s">
        <v>125</v>
      </c>
      <c r="AF70" s="59"/>
      <c r="AG70" s="59"/>
      <c r="AH70" s="59"/>
      <c r="AI70" s="61" t="s">
        <v>6</v>
      </c>
      <c r="AJ70" s="15"/>
      <c r="AK70" s="59"/>
      <c r="AL70" s="59"/>
      <c r="AM70" s="59"/>
      <c r="AN70" s="59"/>
      <c r="AO70" s="59"/>
      <c r="AP70" s="59"/>
      <c r="AQ70" s="59"/>
      <c r="AR70" s="59"/>
      <c r="AS70" s="59"/>
      <c r="AT70" s="59"/>
      <c r="AU70" s="59"/>
      <c r="AV70" s="59"/>
      <c r="AW70" s="18">
        <f t="shared" si="8"/>
        <v>40</v>
      </c>
    </row>
    <row r="71" spans="1:49" s="20" customFormat="1" ht="32.25" customHeight="1">
      <c r="A71" s="40">
        <f t="shared" si="7"/>
        <v>65</v>
      </c>
      <c r="B71" s="59"/>
      <c r="C71" s="59"/>
      <c r="D71" s="59"/>
      <c r="E71" s="59"/>
      <c r="F71" s="59"/>
      <c r="G71" s="59"/>
      <c r="H71" s="59"/>
      <c r="I71" s="59"/>
      <c r="J71" s="218" t="s">
        <v>2349</v>
      </c>
      <c r="K71" s="232" t="s">
        <v>117</v>
      </c>
      <c r="L71" s="204" t="s">
        <v>1383</v>
      </c>
      <c r="M71" s="204"/>
      <c r="N71" s="126" t="s">
        <v>504</v>
      </c>
      <c r="O71" s="126"/>
      <c r="P71" s="126"/>
      <c r="Q71" s="126" t="s">
        <v>6</v>
      </c>
      <c r="R71" s="126" t="s">
        <v>6</v>
      </c>
      <c r="S71" s="126" t="s">
        <v>6</v>
      </c>
      <c r="T71" s="40" t="s">
        <v>6</v>
      </c>
      <c r="U71" s="200" t="s">
        <v>1114</v>
      </c>
      <c r="V71" s="218" t="s">
        <v>2346</v>
      </c>
      <c r="W71" s="232" t="s">
        <v>125</v>
      </c>
      <c r="X71" s="59"/>
      <c r="Y71" s="59"/>
      <c r="Z71" s="59"/>
      <c r="AA71" s="61" t="s">
        <v>6</v>
      </c>
      <c r="AB71" s="15"/>
      <c r="AC71" s="59"/>
      <c r="AD71" s="59"/>
      <c r="AE71" s="232" t="s">
        <v>125</v>
      </c>
      <c r="AF71" s="59"/>
      <c r="AG71" s="59"/>
      <c r="AH71" s="59"/>
      <c r="AI71" s="61" t="s">
        <v>6</v>
      </c>
      <c r="AJ71" s="15"/>
      <c r="AK71" s="59"/>
      <c r="AL71" s="59"/>
      <c r="AM71" s="59"/>
      <c r="AN71" s="59"/>
      <c r="AO71" s="59"/>
      <c r="AP71" s="59"/>
      <c r="AQ71" s="59"/>
      <c r="AR71" s="59"/>
      <c r="AS71" s="59"/>
      <c r="AT71" s="59"/>
      <c r="AU71" s="59"/>
      <c r="AV71" s="59"/>
      <c r="AW71" s="18">
        <f t="shared" si="8"/>
        <v>40</v>
      </c>
    </row>
    <row r="72" spans="1:49" s="20" customFormat="1" ht="32.25" customHeight="1">
      <c r="A72" s="40">
        <f t="shared" si="7"/>
        <v>66</v>
      </c>
      <c r="B72" s="59"/>
      <c r="C72" s="59"/>
      <c r="D72" s="59"/>
      <c r="E72" s="59"/>
      <c r="F72" s="59"/>
      <c r="G72" s="59"/>
      <c r="H72" s="59"/>
      <c r="I72" s="59"/>
      <c r="J72" s="218" t="s">
        <v>2350</v>
      </c>
      <c r="K72" s="232" t="s">
        <v>117</v>
      </c>
      <c r="L72" s="204" t="s">
        <v>3331</v>
      </c>
      <c r="M72" s="204"/>
      <c r="N72" s="126" t="s">
        <v>504</v>
      </c>
      <c r="O72" s="126"/>
      <c r="P72" s="126"/>
      <c r="Q72" s="126" t="s">
        <v>6</v>
      </c>
      <c r="R72" s="126" t="s">
        <v>6</v>
      </c>
      <c r="S72" s="126" t="s">
        <v>6</v>
      </c>
      <c r="T72" s="40" t="s">
        <v>6</v>
      </c>
      <c r="U72" s="200" t="s">
        <v>1114</v>
      </c>
      <c r="V72" s="218" t="s">
        <v>2346</v>
      </c>
      <c r="W72" s="232" t="s">
        <v>125</v>
      </c>
      <c r="X72" s="59"/>
      <c r="Y72" s="59"/>
      <c r="Z72" s="59"/>
      <c r="AA72" s="61" t="s">
        <v>6</v>
      </c>
      <c r="AB72" s="15"/>
      <c r="AC72" s="59"/>
      <c r="AD72" s="59"/>
      <c r="AE72" s="232" t="s">
        <v>125</v>
      </c>
      <c r="AF72" s="59"/>
      <c r="AG72" s="59"/>
      <c r="AH72" s="59"/>
      <c r="AI72" s="61" t="s">
        <v>6</v>
      </c>
      <c r="AJ72" s="15"/>
      <c r="AK72" s="59"/>
      <c r="AL72" s="59"/>
      <c r="AM72" s="59"/>
      <c r="AN72" s="59"/>
      <c r="AO72" s="59"/>
      <c r="AP72" s="59"/>
      <c r="AQ72" s="59"/>
      <c r="AR72" s="59"/>
      <c r="AS72" s="59"/>
      <c r="AT72" s="59"/>
      <c r="AU72" s="59"/>
      <c r="AV72" s="59"/>
      <c r="AW72" s="18">
        <f t="shared" si="8"/>
        <v>39</v>
      </c>
    </row>
    <row r="73" spans="1:49" s="12" customFormat="1" ht="15">
      <c r="A73" s="40">
        <f t="shared" si="7"/>
        <v>67</v>
      </c>
      <c r="B73" s="19"/>
      <c r="C73" s="41"/>
      <c r="D73" s="19"/>
      <c r="E73" s="19"/>
      <c r="F73" s="19"/>
      <c r="G73" s="19"/>
      <c r="H73" s="13"/>
      <c r="I73" s="13"/>
      <c r="J73" s="218" t="s">
        <v>2351</v>
      </c>
      <c r="K73" s="412" t="s">
        <v>117</v>
      </c>
      <c r="L73" s="204" t="s">
        <v>729</v>
      </c>
      <c r="M73" s="204"/>
      <c r="N73" s="126" t="s">
        <v>504</v>
      </c>
      <c r="O73" s="126"/>
      <c r="P73" s="40"/>
      <c r="Q73" s="126" t="s">
        <v>6</v>
      </c>
      <c r="R73" s="126" t="s">
        <v>6</v>
      </c>
      <c r="S73" s="126" t="s">
        <v>6</v>
      </c>
      <c r="T73" s="40" t="s">
        <v>6</v>
      </c>
      <c r="U73" s="204" t="s">
        <v>730</v>
      </c>
      <c r="V73" s="206"/>
      <c r="W73" s="412" t="s">
        <v>125</v>
      </c>
      <c r="X73" s="59"/>
      <c r="Y73" s="59"/>
      <c r="Z73" s="59"/>
      <c r="AA73" s="61" t="s">
        <v>6</v>
      </c>
      <c r="AB73" s="79"/>
      <c r="AC73" s="59"/>
      <c r="AD73" s="218" t="s">
        <v>809</v>
      </c>
      <c r="AE73" s="412" t="s">
        <v>125</v>
      </c>
      <c r="AF73" s="59"/>
      <c r="AG73" s="59"/>
      <c r="AH73" s="59"/>
      <c r="AI73" s="61" t="s">
        <v>6</v>
      </c>
      <c r="AJ73" s="79"/>
      <c r="AK73" s="59"/>
      <c r="AL73" s="218" t="s">
        <v>809</v>
      </c>
      <c r="AM73" s="43"/>
      <c r="AN73" s="19"/>
      <c r="AO73" s="15"/>
      <c r="AP73" s="15"/>
      <c r="AQ73" s="15"/>
      <c r="AR73" s="15"/>
      <c r="AS73" s="15"/>
      <c r="AT73" s="15"/>
      <c r="AU73" s="13"/>
      <c r="AV73" s="15"/>
      <c r="AW73" s="18">
        <f t="shared" ref="AW73:AW103" si="9">LEN(L73)</f>
        <v>18</v>
      </c>
    </row>
    <row r="74" spans="1:49" s="20" customFormat="1" ht="15">
      <c r="A74" s="40">
        <f t="shared" si="7"/>
        <v>68</v>
      </c>
      <c r="B74" s="59"/>
      <c r="C74" s="59"/>
      <c r="D74" s="59"/>
      <c r="E74" s="59"/>
      <c r="F74" s="59"/>
      <c r="G74" s="59"/>
      <c r="H74" s="59"/>
      <c r="I74" s="59"/>
      <c r="J74" s="218" t="s">
        <v>2352</v>
      </c>
      <c r="K74" s="232" t="s">
        <v>117</v>
      </c>
      <c r="L74" s="204" t="s">
        <v>729</v>
      </c>
      <c r="M74" s="204"/>
      <c r="N74" s="126" t="s">
        <v>504</v>
      </c>
      <c r="O74" s="126"/>
      <c r="P74" s="126"/>
      <c r="Q74" s="126" t="s">
        <v>6</v>
      </c>
      <c r="R74" s="126" t="s">
        <v>6</v>
      </c>
      <c r="S74" s="126" t="s">
        <v>6</v>
      </c>
      <c r="T74" s="40" t="s">
        <v>6</v>
      </c>
      <c r="U74" s="204"/>
      <c r="V74" s="218" t="s">
        <v>2346</v>
      </c>
      <c r="W74" s="232" t="s">
        <v>125</v>
      </c>
      <c r="X74" s="59"/>
      <c r="Y74" s="59"/>
      <c r="Z74" s="59"/>
      <c r="AA74" s="61" t="s">
        <v>6</v>
      </c>
      <c r="AB74" s="15"/>
      <c r="AC74" s="59"/>
      <c r="AD74" s="59"/>
      <c r="AE74" s="232" t="s">
        <v>125</v>
      </c>
      <c r="AF74" s="59"/>
      <c r="AG74" s="59"/>
      <c r="AH74" s="59"/>
      <c r="AI74" s="61" t="s">
        <v>6</v>
      </c>
      <c r="AJ74" s="15"/>
      <c r="AK74" s="59"/>
      <c r="AL74" s="59"/>
      <c r="AM74" s="59"/>
      <c r="AN74" s="59"/>
      <c r="AO74" s="59"/>
      <c r="AP74" s="59"/>
      <c r="AQ74" s="59"/>
      <c r="AR74" s="59"/>
      <c r="AS74" s="59"/>
      <c r="AT74" s="59"/>
      <c r="AU74" s="59"/>
      <c r="AV74" s="59"/>
      <c r="AW74" s="18">
        <f t="shared" si="9"/>
        <v>18</v>
      </c>
    </row>
    <row r="75" spans="1:49" s="236" customFormat="1" ht="15">
      <c r="A75" s="40"/>
      <c r="B75" s="199"/>
      <c r="C75" s="199"/>
      <c r="D75" s="199"/>
      <c r="E75" s="199"/>
      <c r="F75" s="199"/>
      <c r="G75" s="199"/>
      <c r="H75" s="199"/>
      <c r="I75" s="199"/>
      <c r="J75" s="218" t="s">
        <v>3389</v>
      </c>
      <c r="K75" s="204" t="s">
        <v>117</v>
      </c>
      <c r="L75" s="204" t="s">
        <v>732</v>
      </c>
      <c r="M75" s="204"/>
      <c r="N75" s="40" t="s">
        <v>504</v>
      </c>
      <c r="O75" s="199"/>
      <c r="P75" s="199"/>
      <c r="Q75" s="40" t="s">
        <v>6</v>
      </c>
      <c r="R75" s="40" t="s">
        <v>6</v>
      </c>
      <c r="S75" s="40" t="s">
        <v>6</v>
      </c>
      <c r="T75" s="40" t="s">
        <v>6</v>
      </c>
      <c r="U75" s="204" t="s">
        <v>733</v>
      </c>
      <c r="V75" s="204"/>
      <c r="W75" s="204"/>
      <c r="X75" s="199"/>
      <c r="Y75" s="199"/>
      <c r="Z75" s="40"/>
      <c r="AA75" s="40"/>
      <c r="AB75" s="218"/>
      <c r="AC75" s="199"/>
      <c r="AD75" s="218"/>
      <c r="AE75" s="204"/>
      <c r="AF75" s="199"/>
      <c r="AG75" s="199"/>
      <c r="AH75" s="199"/>
      <c r="AI75" s="40"/>
      <c r="AJ75" s="218"/>
      <c r="AK75" s="199"/>
      <c r="AL75" s="218"/>
      <c r="AM75" s="199"/>
      <c r="AN75" s="199"/>
      <c r="AO75" s="199"/>
      <c r="AP75" s="199"/>
      <c r="AQ75" s="199"/>
      <c r="AR75" s="199"/>
      <c r="AS75" s="199"/>
      <c r="AT75" s="199"/>
      <c r="AU75" s="199"/>
      <c r="AV75" s="199"/>
      <c r="AW75" s="155">
        <f t="shared" si="9"/>
        <v>29</v>
      </c>
    </row>
    <row r="76" spans="1:49" s="20" customFormat="1" ht="15">
      <c r="A76" s="40">
        <f t="shared" si="7"/>
        <v>70</v>
      </c>
      <c r="B76" s="59"/>
      <c r="C76" s="59"/>
      <c r="D76" s="59"/>
      <c r="E76" s="59"/>
      <c r="F76" s="59"/>
      <c r="G76" s="59"/>
      <c r="H76" s="59"/>
      <c r="I76" s="59"/>
      <c r="J76" s="218" t="s">
        <v>2353</v>
      </c>
      <c r="K76" s="204" t="s">
        <v>117</v>
      </c>
      <c r="L76" s="204" t="s">
        <v>735</v>
      </c>
      <c r="M76" s="204"/>
      <c r="N76" s="126" t="s">
        <v>504</v>
      </c>
      <c r="O76" s="126"/>
      <c r="P76" s="126"/>
      <c r="Q76" s="40" t="s">
        <v>6</v>
      </c>
      <c r="R76" s="40" t="s">
        <v>6</v>
      </c>
      <c r="S76" s="40" t="s">
        <v>6</v>
      </c>
      <c r="T76" s="40" t="s">
        <v>6</v>
      </c>
      <c r="U76" s="204"/>
      <c r="V76" s="218" t="s">
        <v>2346</v>
      </c>
      <c r="W76" s="204" t="s">
        <v>125</v>
      </c>
      <c r="X76" s="59"/>
      <c r="Y76" s="59"/>
      <c r="Z76" s="59"/>
      <c r="AA76" s="40" t="s">
        <v>6</v>
      </c>
      <c r="AB76" s="218"/>
      <c r="AC76" s="59"/>
      <c r="AD76" s="218"/>
      <c r="AE76" s="204" t="s">
        <v>125</v>
      </c>
      <c r="AF76" s="59"/>
      <c r="AG76" s="59"/>
      <c r="AH76" s="59"/>
      <c r="AI76" s="40" t="s">
        <v>6</v>
      </c>
      <c r="AJ76" s="218"/>
      <c r="AK76" s="59"/>
      <c r="AL76" s="218"/>
      <c r="AM76" s="59"/>
      <c r="AN76" s="59"/>
      <c r="AO76" s="59"/>
      <c r="AP76" s="59"/>
      <c r="AQ76" s="59"/>
      <c r="AR76" s="59"/>
      <c r="AS76" s="59"/>
      <c r="AT76" s="59"/>
      <c r="AU76" s="59"/>
      <c r="AV76" s="59"/>
      <c r="AW76" s="18">
        <f t="shared" si="9"/>
        <v>14</v>
      </c>
    </row>
    <row r="77" spans="1:49" s="20" customFormat="1" ht="15">
      <c r="A77" s="40">
        <f t="shared" si="7"/>
        <v>71</v>
      </c>
      <c r="B77" s="59"/>
      <c r="C77" s="59"/>
      <c r="D77" s="59"/>
      <c r="E77" s="59"/>
      <c r="F77" s="59"/>
      <c r="G77" s="59"/>
      <c r="H77" s="59"/>
      <c r="I77" s="59"/>
      <c r="J77" s="218" t="s">
        <v>2354</v>
      </c>
      <c r="K77" s="204" t="s">
        <v>117</v>
      </c>
      <c r="L77" s="204" t="s">
        <v>737</v>
      </c>
      <c r="M77" s="204"/>
      <c r="N77" s="126" t="s">
        <v>504</v>
      </c>
      <c r="O77" s="126"/>
      <c r="P77" s="126"/>
      <c r="Q77" s="40" t="s">
        <v>6</v>
      </c>
      <c r="R77" s="40" t="s">
        <v>6</v>
      </c>
      <c r="S77" s="40" t="s">
        <v>6</v>
      </c>
      <c r="T77" s="40" t="s">
        <v>6</v>
      </c>
      <c r="U77" s="204"/>
      <c r="V77" s="218" t="s">
        <v>2346</v>
      </c>
      <c r="W77" s="204" t="s">
        <v>125</v>
      </c>
      <c r="X77" s="59"/>
      <c r="Y77" s="59"/>
      <c r="Z77" s="59"/>
      <c r="AA77" s="40" t="s">
        <v>6</v>
      </c>
      <c r="AB77" s="15"/>
      <c r="AC77" s="59"/>
      <c r="AD77" s="59"/>
      <c r="AE77" s="204" t="s">
        <v>125</v>
      </c>
      <c r="AF77" s="59"/>
      <c r="AG77" s="59"/>
      <c r="AH77" s="59"/>
      <c r="AI77" s="40" t="s">
        <v>6</v>
      </c>
      <c r="AJ77" s="15"/>
      <c r="AK77" s="59"/>
      <c r="AL77" s="59"/>
      <c r="AM77" s="59"/>
      <c r="AN77" s="59"/>
      <c r="AO77" s="59"/>
      <c r="AP77" s="59"/>
      <c r="AQ77" s="59"/>
      <c r="AR77" s="59"/>
      <c r="AS77" s="59"/>
      <c r="AT77" s="59"/>
      <c r="AU77" s="59"/>
      <c r="AV77" s="59"/>
      <c r="AW77" s="18">
        <f t="shared" si="9"/>
        <v>28</v>
      </c>
    </row>
    <row r="78" spans="1:49" s="20" customFormat="1" ht="15">
      <c r="A78" s="40">
        <f t="shared" si="7"/>
        <v>72</v>
      </c>
      <c r="B78" s="59"/>
      <c r="C78" s="59"/>
      <c r="D78" s="59"/>
      <c r="E78" s="59"/>
      <c r="F78" s="59"/>
      <c r="G78" s="59"/>
      <c r="H78" s="59"/>
      <c r="I78" s="59"/>
      <c r="J78" s="218" t="s">
        <v>3324</v>
      </c>
      <c r="K78" s="232" t="s">
        <v>117</v>
      </c>
      <c r="L78" s="204" t="s">
        <v>740</v>
      </c>
      <c r="M78" s="204"/>
      <c r="N78" s="126" t="s">
        <v>504</v>
      </c>
      <c r="O78" s="126"/>
      <c r="P78" s="126"/>
      <c r="Q78" s="40" t="s">
        <v>6</v>
      </c>
      <c r="R78" s="40" t="s">
        <v>6</v>
      </c>
      <c r="S78" s="40" t="s">
        <v>6</v>
      </c>
      <c r="T78" s="40" t="s">
        <v>6</v>
      </c>
      <c r="U78" s="200" t="s">
        <v>3383</v>
      </c>
      <c r="V78" s="218" t="s">
        <v>2346</v>
      </c>
      <c r="W78" s="232" t="s">
        <v>125</v>
      </c>
      <c r="X78" s="59"/>
      <c r="Y78" s="59"/>
      <c r="Z78" s="59"/>
      <c r="AA78" s="40" t="s">
        <v>6</v>
      </c>
      <c r="AB78" s="15"/>
      <c r="AC78" s="59"/>
      <c r="AD78" s="59"/>
      <c r="AE78" s="232" t="s">
        <v>125</v>
      </c>
      <c r="AF78" s="59"/>
      <c r="AG78" s="59"/>
      <c r="AH78" s="59"/>
      <c r="AI78" s="40" t="s">
        <v>6</v>
      </c>
      <c r="AJ78" s="15"/>
      <c r="AK78" s="59"/>
      <c r="AL78" s="59"/>
      <c r="AM78" s="59"/>
      <c r="AN78" s="59"/>
      <c r="AO78" s="59"/>
      <c r="AP78" s="59"/>
      <c r="AQ78" s="59"/>
      <c r="AR78" s="59"/>
      <c r="AS78" s="59"/>
      <c r="AT78" s="59"/>
      <c r="AU78" s="59"/>
      <c r="AV78" s="59"/>
      <c r="AW78" s="18">
        <f t="shared" si="9"/>
        <v>26</v>
      </c>
    </row>
    <row r="79" spans="1:49" s="20" customFormat="1" ht="15">
      <c r="A79" s="40">
        <f t="shared" si="7"/>
        <v>73</v>
      </c>
      <c r="B79" s="59"/>
      <c r="C79" s="59"/>
      <c r="D79" s="59"/>
      <c r="E79" s="59"/>
      <c r="F79" s="59"/>
      <c r="G79" s="59"/>
      <c r="H79" s="59"/>
      <c r="I79" s="59"/>
      <c r="J79" s="218" t="s">
        <v>2355</v>
      </c>
      <c r="K79" s="232" t="s">
        <v>134</v>
      </c>
      <c r="L79" s="204" t="s">
        <v>744</v>
      </c>
      <c r="M79" s="204"/>
      <c r="N79" s="126" t="s">
        <v>504</v>
      </c>
      <c r="O79" s="126"/>
      <c r="P79" s="126"/>
      <c r="Q79" s="40" t="s">
        <v>6</v>
      </c>
      <c r="R79" s="40" t="s">
        <v>6</v>
      </c>
      <c r="S79" s="40" t="s">
        <v>6</v>
      </c>
      <c r="T79" s="40" t="s">
        <v>6</v>
      </c>
      <c r="U79" s="204"/>
      <c r="V79" s="218" t="s">
        <v>2346</v>
      </c>
      <c r="W79" s="232" t="s">
        <v>137</v>
      </c>
      <c r="X79" s="59"/>
      <c r="Y79" s="59"/>
      <c r="Z79" s="59"/>
      <c r="AA79" s="40" t="s">
        <v>6</v>
      </c>
      <c r="AB79" s="15"/>
      <c r="AC79" s="59"/>
      <c r="AD79" s="59"/>
      <c r="AE79" s="232" t="s">
        <v>137</v>
      </c>
      <c r="AF79" s="59"/>
      <c r="AG79" s="59"/>
      <c r="AH79" s="59"/>
      <c r="AI79" s="40" t="s">
        <v>6</v>
      </c>
      <c r="AJ79" s="15"/>
      <c r="AK79" s="59"/>
      <c r="AL79" s="59"/>
      <c r="AM79" s="59"/>
      <c r="AN79" s="59"/>
      <c r="AO79" s="59"/>
      <c r="AP79" s="59"/>
      <c r="AQ79" s="59"/>
      <c r="AR79" s="59"/>
      <c r="AS79" s="59"/>
      <c r="AT79" s="59"/>
      <c r="AU79" s="59"/>
      <c r="AV79" s="59"/>
      <c r="AW79" s="18">
        <f t="shared" si="9"/>
        <v>17</v>
      </c>
    </row>
    <row r="80" spans="1:49" s="20" customFormat="1" ht="15">
      <c r="A80" s="40">
        <f t="shared" si="7"/>
        <v>74</v>
      </c>
      <c r="B80" s="59"/>
      <c r="C80" s="59"/>
      <c r="D80" s="59"/>
      <c r="E80" s="59"/>
      <c r="F80" s="59"/>
      <c r="G80" s="59"/>
      <c r="H80" s="59"/>
      <c r="I80" s="59"/>
      <c r="J80" s="218" t="s">
        <v>2356</v>
      </c>
      <c r="K80" s="232" t="s">
        <v>140</v>
      </c>
      <c r="L80" s="204" t="s">
        <v>749</v>
      </c>
      <c r="M80" s="204"/>
      <c r="N80" s="126" t="s">
        <v>504</v>
      </c>
      <c r="O80" s="126"/>
      <c r="P80" s="126"/>
      <c r="Q80" s="40" t="s">
        <v>6</v>
      </c>
      <c r="R80" s="40" t="s">
        <v>6</v>
      </c>
      <c r="S80" s="40" t="s">
        <v>6</v>
      </c>
      <c r="T80" s="40" t="s">
        <v>6</v>
      </c>
      <c r="U80" s="204"/>
      <c r="V80" s="218" t="s">
        <v>2346</v>
      </c>
      <c r="W80" s="232" t="s">
        <v>125</v>
      </c>
      <c r="X80" s="59"/>
      <c r="Y80" s="59"/>
      <c r="Z80" s="59"/>
      <c r="AA80" s="40" t="s">
        <v>6</v>
      </c>
      <c r="AB80" s="15"/>
      <c r="AC80" s="59"/>
      <c r="AD80" s="59"/>
      <c r="AE80" s="232" t="s">
        <v>125</v>
      </c>
      <c r="AF80" s="59"/>
      <c r="AG80" s="59"/>
      <c r="AH80" s="59"/>
      <c r="AI80" s="40" t="s">
        <v>6</v>
      </c>
      <c r="AJ80" s="15"/>
      <c r="AK80" s="59"/>
      <c r="AL80" s="59"/>
      <c r="AM80" s="59"/>
      <c r="AN80" s="59"/>
      <c r="AO80" s="59"/>
      <c r="AP80" s="59"/>
      <c r="AQ80" s="59"/>
      <c r="AR80" s="59"/>
      <c r="AS80" s="59"/>
      <c r="AT80" s="59"/>
      <c r="AU80" s="59"/>
      <c r="AV80" s="59"/>
      <c r="AW80" s="18">
        <f t="shared" si="9"/>
        <v>28</v>
      </c>
    </row>
    <row r="81" spans="1:87" s="236" customFormat="1" ht="26.4">
      <c r="A81" s="40">
        <f t="shared" si="7"/>
        <v>75</v>
      </c>
      <c r="B81" s="199"/>
      <c r="C81" s="199"/>
      <c r="D81" s="199"/>
      <c r="E81" s="199"/>
      <c r="F81" s="199"/>
      <c r="G81" s="199"/>
      <c r="H81" s="199"/>
      <c r="I81" s="199"/>
      <c r="J81" s="234" t="s">
        <v>2357</v>
      </c>
      <c r="K81" s="204" t="s">
        <v>140</v>
      </c>
      <c r="L81" s="204" t="s">
        <v>749</v>
      </c>
      <c r="M81" s="204"/>
      <c r="N81" s="40" t="s">
        <v>504</v>
      </c>
      <c r="O81" s="199"/>
      <c r="P81" s="199"/>
      <c r="Q81" s="40"/>
      <c r="R81" s="40"/>
      <c r="S81" s="40" t="s">
        <v>6</v>
      </c>
      <c r="T81" s="126" t="s">
        <v>6</v>
      </c>
      <c r="U81" s="244" t="s">
        <v>752</v>
      </c>
      <c r="V81" s="204"/>
      <c r="W81" s="204" t="s">
        <v>140</v>
      </c>
      <c r="X81" s="199"/>
      <c r="Y81" s="199"/>
      <c r="Z81" s="40" t="s">
        <v>6</v>
      </c>
      <c r="AA81" s="40" t="s">
        <v>6</v>
      </c>
      <c r="AB81" s="218"/>
      <c r="AC81" s="199"/>
      <c r="AD81" s="218" t="s">
        <v>709</v>
      </c>
      <c r="AE81" s="204" t="s">
        <v>137</v>
      </c>
      <c r="AF81" s="199"/>
      <c r="AG81" s="199"/>
      <c r="AH81" s="199"/>
      <c r="AI81" s="40" t="s">
        <v>6</v>
      </c>
      <c r="AJ81" s="218"/>
      <c r="AK81" s="199"/>
      <c r="AL81" s="218" t="s">
        <v>709</v>
      </c>
      <c r="AM81" s="199"/>
      <c r="AN81" s="199"/>
      <c r="AO81" s="199"/>
      <c r="AP81" s="199"/>
      <c r="AQ81" s="199"/>
      <c r="AR81" s="199"/>
      <c r="AS81" s="199"/>
      <c r="AT81" s="199"/>
      <c r="AU81" s="199"/>
      <c r="AV81" s="199"/>
      <c r="AW81" s="155">
        <f t="shared" si="9"/>
        <v>28</v>
      </c>
    </row>
    <row r="82" spans="1:87" s="20" customFormat="1" ht="15">
      <c r="A82" s="40">
        <f t="shared" si="7"/>
        <v>76</v>
      </c>
      <c r="B82" s="59"/>
      <c r="C82" s="59"/>
      <c r="D82" s="59"/>
      <c r="E82" s="59"/>
      <c r="F82" s="59"/>
      <c r="G82" s="59"/>
      <c r="H82" s="59"/>
      <c r="I82" s="59"/>
      <c r="J82" s="218" t="s">
        <v>2358</v>
      </c>
      <c r="K82" s="232" t="s">
        <v>117</v>
      </c>
      <c r="L82" s="204" t="s">
        <v>759</v>
      </c>
      <c r="M82" s="204"/>
      <c r="N82" s="126" t="s">
        <v>504</v>
      </c>
      <c r="O82" s="126"/>
      <c r="P82" s="126"/>
      <c r="Q82" s="40" t="s">
        <v>6</v>
      </c>
      <c r="R82" s="40" t="s">
        <v>6</v>
      </c>
      <c r="S82" s="126" t="s">
        <v>6</v>
      </c>
      <c r="T82" s="40" t="s">
        <v>6</v>
      </c>
      <c r="U82" s="204"/>
      <c r="V82" s="218" t="s">
        <v>2346</v>
      </c>
      <c r="W82" s="232" t="s">
        <v>125</v>
      </c>
      <c r="X82" s="59"/>
      <c r="Y82" s="59"/>
      <c r="Z82" s="59"/>
      <c r="AA82" s="61" t="s">
        <v>6</v>
      </c>
      <c r="AB82" s="15"/>
      <c r="AC82" s="59"/>
      <c r="AD82" s="59"/>
      <c r="AE82" s="232" t="s">
        <v>125</v>
      </c>
      <c r="AF82" s="59"/>
      <c r="AG82" s="59"/>
      <c r="AH82" s="59"/>
      <c r="AI82" s="61" t="s">
        <v>6</v>
      </c>
      <c r="AJ82" s="15"/>
      <c r="AK82" s="59"/>
      <c r="AL82" s="59"/>
      <c r="AM82" s="59"/>
      <c r="AN82" s="59"/>
      <c r="AO82" s="59"/>
      <c r="AP82" s="59"/>
      <c r="AQ82" s="59"/>
      <c r="AR82" s="59"/>
      <c r="AS82" s="59"/>
      <c r="AT82" s="59"/>
      <c r="AU82" s="59"/>
      <c r="AV82" s="59"/>
      <c r="AW82" s="18">
        <f t="shared" si="9"/>
        <v>33</v>
      </c>
    </row>
    <row r="83" spans="1:87" s="236" customFormat="1" ht="15">
      <c r="A83" s="40">
        <f t="shared" si="7"/>
        <v>77</v>
      </c>
      <c r="B83" s="199"/>
      <c r="C83" s="199"/>
      <c r="D83" s="199"/>
      <c r="E83" s="199"/>
      <c r="F83" s="199"/>
      <c r="G83" s="199"/>
      <c r="H83" s="199"/>
      <c r="I83" s="199" t="s">
        <v>868</v>
      </c>
      <c r="J83" s="234" t="s">
        <v>2359</v>
      </c>
      <c r="K83" s="232" t="s">
        <v>117</v>
      </c>
      <c r="L83" s="204" t="s">
        <v>1402</v>
      </c>
      <c r="M83" s="204"/>
      <c r="N83" s="126" t="s">
        <v>504</v>
      </c>
      <c r="O83" s="126"/>
      <c r="P83" s="126"/>
      <c r="Q83" s="40" t="s">
        <v>6</v>
      </c>
      <c r="R83" s="40" t="s">
        <v>6</v>
      </c>
      <c r="S83" s="126" t="s">
        <v>6</v>
      </c>
      <c r="T83" s="40" t="s">
        <v>6</v>
      </c>
      <c r="U83" s="204"/>
      <c r="V83" s="204"/>
      <c r="W83" s="232" t="s">
        <v>125</v>
      </c>
      <c r="X83" s="211"/>
      <c r="Y83" s="211"/>
      <c r="Z83" s="211"/>
      <c r="AA83" s="126" t="s">
        <v>6</v>
      </c>
      <c r="AB83" s="198"/>
      <c r="AC83" s="199"/>
      <c r="AD83" s="199"/>
      <c r="AE83" s="232" t="s">
        <v>125</v>
      </c>
      <c r="AF83" s="211"/>
      <c r="AG83" s="211"/>
      <c r="AH83" s="211"/>
      <c r="AI83" s="126" t="s">
        <v>6</v>
      </c>
      <c r="AJ83" s="198"/>
      <c r="AK83" s="199"/>
      <c r="AL83" s="199"/>
      <c r="AM83" s="199"/>
      <c r="AN83" s="199"/>
      <c r="AO83" s="199"/>
      <c r="AP83" s="199"/>
      <c r="AQ83" s="199"/>
      <c r="AR83" s="199"/>
      <c r="AS83" s="199"/>
      <c r="AT83" s="199"/>
      <c r="AU83" s="199"/>
      <c r="AV83" s="199"/>
      <c r="AW83" s="155">
        <f t="shared" si="9"/>
        <v>30</v>
      </c>
    </row>
    <row r="84" spans="1:87" s="236" customFormat="1" ht="15">
      <c r="A84" s="40">
        <f t="shared" si="7"/>
        <v>78</v>
      </c>
      <c r="B84" s="199"/>
      <c r="C84" s="199"/>
      <c r="D84" s="199"/>
      <c r="E84" s="199"/>
      <c r="F84" s="199"/>
      <c r="G84" s="199"/>
      <c r="H84" s="199"/>
      <c r="I84" s="199" t="s">
        <v>868</v>
      </c>
      <c r="J84" s="218" t="s">
        <v>2360</v>
      </c>
      <c r="K84" s="232" t="s">
        <v>117</v>
      </c>
      <c r="L84" s="204" t="s">
        <v>763</v>
      </c>
      <c r="M84" s="204"/>
      <c r="N84" s="126" t="s">
        <v>504</v>
      </c>
      <c r="O84" s="126"/>
      <c r="P84" s="126"/>
      <c r="Q84" s="40" t="s">
        <v>6</v>
      </c>
      <c r="R84" s="40" t="s">
        <v>6</v>
      </c>
      <c r="S84" s="126" t="s">
        <v>6</v>
      </c>
      <c r="T84" s="40" t="s">
        <v>6</v>
      </c>
      <c r="U84" s="204"/>
      <c r="V84" s="204"/>
      <c r="W84" s="232" t="s">
        <v>125</v>
      </c>
      <c r="X84" s="211"/>
      <c r="Y84" s="211"/>
      <c r="Z84" s="211"/>
      <c r="AA84" s="126" t="s">
        <v>6</v>
      </c>
      <c r="AB84" s="198"/>
      <c r="AC84" s="199"/>
      <c r="AD84" s="199"/>
      <c r="AE84" s="232" t="s">
        <v>125</v>
      </c>
      <c r="AF84" s="211"/>
      <c r="AG84" s="211"/>
      <c r="AH84" s="211"/>
      <c r="AI84" s="126" t="s">
        <v>6</v>
      </c>
      <c r="AJ84" s="198"/>
      <c r="AK84" s="199"/>
      <c r="AL84" s="199"/>
      <c r="AM84" s="199"/>
      <c r="AN84" s="199"/>
      <c r="AO84" s="199"/>
      <c r="AP84" s="199"/>
      <c r="AQ84" s="199"/>
      <c r="AR84" s="199"/>
      <c r="AS84" s="199"/>
      <c r="AT84" s="199"/>
      <c r="AU84" s="199"/>
      <c r="AV84" s="199"/>
      <c r="AW84" s="155">
        <f t="shared" si="9"/>
        <v>24</v>
      </c>
    </row>
    <row r="85" spans="1:87" s="236" customFormat="1" ht="15">
      <c r="A85" s="40">
        <f t="shared" si="7"/>
        <v>79</v>
      </c>
      <c r="B85" s="199"/>
      <c r="C85" s="199"/>
      <c r="D85" s="199"/>
      <c r="E85" s="199"/>
      <c r="F85" s="199"/>
      <c r="G85" s="199"/>
      <c r="H85" s="199"/>
      <c r="I85" s="199" t="s">
        <v>868</v>
      </c>
      <c r="J85" s="218" t="s">
        <v>2361</v>
      </c>
      <c r="K85" s="232" t="s">
        <v>117</v>
      </c>
      <c r="L85" s="204" t="s">
        <v>765</v>
      </c>
      <c r="M85" s="204"/>
      <c r="N85" s="126" t="s">
        <v>504</v>
      </c>
      <c r="O85" s="126"/>
      <c r="P85" s="126"/>
      <c r="Q85" s="40" t="s">
        <v>6</v>
      </c>
      <c r="R85" s="40" t="s">
        <v>6</v>
      </c>
      <c r="S85" s="126" t="s">
        <v>6</v>
      </c>
      <c r="T85" s="40" t="s">
        <v>6</v>
      </c>
      <c r="U85" s="200"/>
      <c r="V85" s="204"/>
      <c r="W85" s="232" t="s">
        <v>125</v>
      </c>
      <c r="X85" s="199"/>
      <c r="Y85" s="199"/>
      <c r="Z85" s="199"/>
      <c r="AA85" s="126" t="s">
        <v>6</v>
      </c>
      <c r="AB85" s="198"/>
      <c r="AC85" s="199"/>
      <c r="AD85" s="199"/>
      <c r="AE85" s="232" t="s">
        <v>125</v>
      </c>
      <c r="AF85" s="199"/>
      <c r="AG85" s="199"/>
      <c r="AH85" s="199"/>
      <c r="AI85" s="126" t="s">
        <v>6</v>
      </c>
      <c r="AJ85" s="198"/>
      <c r="AK85" s="199"/>
      <c r="AL85" s="199"/>
      <c r="AM85" s="199"/>
      <c r="AN85" s="199"/>
      <c r="AO85" s="199"/>
      <c r="AP85" s="199"/>
      <c r="AQ85" s="199"/>
      <c r="AR85" s="199"/>
      <c r="AS85" s="199"/>
      <c r="AT85" s="199"/>
      <c r="AU85" s="199"/>
      <c r="AV85" s="199"/>
      <c r="AW85" s="155">
        <f t="shared" si="9"/>
        <v>25</v>
      </c>
    </row>
    <row r="86" spans="1:87" s="236" customFormat="1" ht="15">
      <c r="A86" s="40">
        <f t="shared" si="7"/>
        <v>80</v>
      </c>
      <c r="B86" s="199"/>
      <c r="C86" s="199"/>
      <c r="D86" s="199"/>
      <c r="E86" s="199"/>
      <c r="F86" s="199"/>
      <c r="G86" s="199"/>
      <c r="H86" s="199"/>
      <c r="I86" s="199" t="s">
        <v>868</v>
      </c>
      <c r="J86" s="218" t="s">
        <v>2362</v>
      </c>
      <c r="K86" s="232" t="s">
        <v>117</v>
      </c>
      <c r="L86" s="204" t="s">
        <v>767</v>
      </c>
      <c r="M86" s="204"/>
      <c r="N86" s="126" t="s">
        <v>504</v>
      </c>
      <c r="O86" s="126"/>
      <c r="P86" s="126"/>
      <c r="Q86" s="40" t="s">
        <v>6</v>
      </c>
      <c r="R86" s="40" t="s">
        <v>6</v>
      </c>
      <c r="S86" s="126" t="s">
        <v>6</v>
      </c>
      <c r="T86" s="40" t="s">
        <v>6</v>
      </c>
      <c r="U86" s="200"/>
      <c r="V86" s="204"/>
      <c r="W86" s="232" t="s">
        <v>125</v>
      </c>
      <c r="X86" s="199"/>
      <c r="Y86" s="199"/>
      <c r="Z86" s="199"/>
      <c r="AA86" s="126" t="s">
        <v>6</v>
      </c>
      <c r="AB86" s="198"/>
      <c r="AC86" s="199"/>
      <c r="AD86" s="199"/>
      <c r="AE86" s="232" t="s">
        <v>125</v>
      </c>
      <c r="AF86" s="199"/>
      <c r="AG86" s="199"/>
      <c r="AH86" s="199"/>
      <c r="AI86" s="126" t="s">
        <v>6</v>
      </c>
      <c r="AJ86" s="198"/>
      <c r="AK86" s="199"/>
      <c r="AL86" s="199"/>
      <c r="AM86" s="199"/>
      <c r="AN86" s="199"/>
      <c r="AO86" s="199"/>
      <c r="AP86" s="199"/>
      <c r="AQ86" s="199"/>
      <c r="AR86" s="199"/>
      <c r="AS86" s="199"/>
      <c r="AT86" s="199"/>
      <c r="AU86" s="199"/>
      <c r="AV86" s="199"/>
      <c r="AW86" s="155">
        <f t="shared" si="9"/>
        <v>25</v>
      </c>
    </row>
    <row r="87" spans="1:87" s="236" customFormat="1" ht="15">
      <c r="A87" s="40">
        <f t="shared" si="7"/>
        <v>81</v>
      </c>
      <c r="B87" s="199"/>
      <c r="C87" s="199"/>
      <c r="D87" s="199"/>
      <c r="E87" s="199"/>
      <c r="F87" s="199"/>
      <c r="G87" s="199"/>
      <c r="H87" s="199"/>
      <c r="I87" s="199"/>
      <c r="J87" s="218" t="s">
        <v>3353</v>
      </c>
      <c r="K87" s="232" t="s">
        <v>117</v>
      </c>
      <c r="L87" s="204" t="s">
        <v>3333</v>
      </c>
      <c r="M87" s="204"/>
      <c r="N87" s="126" t="s">
        <v>504</v>
      </c>
      <c r="O87" s="126"/>
      <c r="P87" s="126"/>
      <c r="Q87" s="40"/>
      <c r="R87" s="40" t="s">
        <v>6</v>
      </c>
      <c r="S87" s="126" t="s">
        <v>6</v>
      </c>
      <c r="T87" s="40" t="s">
        <v>6</v>
      </c>
      <c r="U87" s="200"/>
      <c r="V87" s="204"/>
      <c r="W87" s="204" t="s">
        <v>133</v>
      </c>
      <c r="X87" s="199"/>
      <c r="Y87" s="199"/>
      <c r="Z87" s="40" t="s">
        <v>6</v>
      </c>
      <c r="AA87" s="126" t="s">
        <v>6</v>
      </c>
      <c r="AB87" s="198"/>
      <c r="AC87" s="199"/>
      <c r="AD87" s="199"/>
      <c r="AE87" s="232" t="s">
        <v>125</v>
      </c>
      <c r="AF87" s="199"/>
      <c r="AG87" s="199"/>
      <c r="AH87" s="199"/>
      <c r="AI87" s="126" t="s">
        <v>6</v>
      </c>
      <c r="AJ87" s="198"/>
      <c r="AK87" s="199"/>
      <c r="AL87" s="199"/>
      <c r="AM87" s="199"/>
      <c r="AN87" s="199"/>
      <c r="AO87" s="199"/>
      <c r="AP87" s="199"/>
      <c r="AQ87" s="199"/>
      <c r="AR87" s="199"/>
      <c r="AS87" s="199"/>
      <c r="AT87" s="199"/>
      <c r="AU87" s="199"/>
      <c r="AV87" s="199"/>
      <c r="AW87" s="155">
        <f t="shared" si="9"/>
        <v>32</v>
      </c>
    </row>
    <row r="88" spans="1:87" s="236" customFormat="1" ht="15">
      <c r="A88" s="40">
        <f t="shared" si="7"/>
        <v>82</v>
      </c>
      <c r="B88" s="199"/>
      <c r="C88" s="199"/>
      <c r="D88" s="199"/>
      <c r="E88" s="199"/>
      <c r="F88" s="199"/>
      <c r="G88" s="199"/>
      <c r="H88" s="199"/>
      <c r="I88" s="199"/>
      <c r="J88" s="218" t="s">
        <v>3354</v>
      </c>
      <c r="K88" s="232" t="s">
        <v>117</v>
      </c>
      <c r="L88" s="204" t="s">
        <v>3335</v>
      </c>
      <c r="M88" s="204"/>
      <c r="N88" s="126" t="s">
        <v>504</v>
      </c>
      <c r="O88" s="126"/>
      <c r="P88" s="126"/>
      <c r="Q88" s="40"/>
      <c r="R88" s="40" t="s">
        <v>6</v>
      </c>
      <c r="S88" s="126" t="s">
        <v>6</v>
      </c>
      <c r="T88" s="40" t="s">
        <v>6</v>
      </c>
      <c r="U88" s="200"/>
      <c r="V88" s="204"/>
      <c r="W88" s="204" t="s">
        <v>133</v>
      </c>
      <c r="X88" s="199"/>
      <c r="Y88" s="199"/>
      <c r="Z88" s="40" t="s">
        <v>6</v>
      </c>
      <c r="AA88" s="126" t="s">
        <v>6</v>
      </c>
      <c r="AB88" s="198"/>
      <c r="AC88" s="199"/>
      <c r="AD88" s="199"/>
      <c r="AE88" s="232" t="s">
        <v>125</v>
      </c>
      <c r="AF88" s="199"/>
      <c r="AG88" s="199"/>
      <c r="AH88" s="199"/>
      <c r="AI88" s="126" t="s">
        <v>6</v>
      </c>
      <c r="AJ88" s="198"/>
      <c r="AK88" s="199"/>
      <c r="AL88" s="199"/>
      <c r="AM88" s="199"/>
      <c r="AN88" s="199"/>
      <c r="AO88" s="199"/>
      <c r="AP88" s="199"/>
      <c r="AQ88" s="199"/>
      <c r="AR88" s="199"/>
      <c r="AS88" s="199"/>
      <c r="AT88" s="199"/>
      <c r="AU88" s="199"/>
      <c r="AV88" s="199"/>
      <c r="AW88" s="155">
        <f t="shared" si="9"/>
        <v>32</v>
      </c>
    </row>
    <row r="89" spans="1:87" s="236" customFormat="1" ht="15">
      <c r="A89" s="40">
        <f t="shared" si="7"/>
        <v>83</v>
      </c>
      <c r="B89" s="199"/>
      <c r="C89" s="199"/>
      <c r="D89" s="199"/>
      <c r="E89" s="199"/>
      <c r="F89" s="199"/>
      <c r="G89" s="199"/>
      <c r="H89" s="199"/>
      <c r="I89" s="199"/>
      <c r="J89" s="218" t="s">
        <v>3355</v>
      </c>
      <c r="K89" s="232" t="s">
        <v>117</v>
      </c>
      <c r="L89" s="204" t="s">
        <v>3337</v>
      </c>
      <c r="M89" s="204"/>
      <c r="N89" s="126" t="s">
        <v>504</v>
      </c>
      <c r="O89" s="126"/>
      <c r="P89" s="126"/>
      <c r="Q89" s="40"/>
      <c r="R89" s="40" t="s">
        <v>6</v>
      </c>
      <c r="S89" s="126" t="s">
        <v>6</v>
      </c>
      <c r="T89" s="40" t="s">
        <v>6</v>
      </c>
      <c r="U89" s="200"/>
      <c r="V89" s="204"/>
      <c r="W89" s="204" t="s">
        <v>133</v>
      </c>
      <c r="X89" s="199"/>
      <c r="Y89" s="199"/>
      <c r="Z89" s="40" t="s">
        <v>6</v>
      </c>
      <c r="AA89" s="126" t="s">
        <v>6</v>
      </c>
      <c r="AB89" s="198"/>
      <c r="AC89" s="199"/>
      <c r="AD89" s="199"/>
      <c r="AE89" s="232" t="s">
        <v>125</v>
      </c>
      <c r="AF89" s="199"/>
      <c r="AG89" s="199"/>
      <c r="AH89" s="199"/>
      <c r="AI89" s="126" t="s">
        <v>6</v>
      </c>
      <c r="AJ89" s="198"/>
      <c r="AK89" s="199"/>
      <c r="AL89" s="199"/>
      <c r="AM89" s="199"/>
      <c r="AN89" s="199"/>
      <c r="AO89" s="199"/>
      <c r="AP89" s="199"/>
      <c r="AQ89" s="199"/>
      <c r="AR89" s="199"/>
      <c r="AS89" s="199"/>
      <c r="AT89" s="199"/>
      <c r="AU89" s="199"/>
      <c r="AV89" s="199"/>
      <c r="AW89" s="155">
        <f t="shared" si="9"/>
        <v>32</v>
      </c>
    </row>
    <row r="90" spans="1:87" s="18" customFormat="1" ht="15">
      <c r="A90" s="40">
        <f>ROW() - 6</f>
        <v>84</v>
      </c>
      <c r="B90" s="38"/>
      <c r="C90" s="42"/>
      <c r="D90" s="38"/>
      <c r="E90" s="46"/>
      <c r="F90" s="46"/>
      <c r="G90" s="46"/>
      <c r="H90" s="13"/>
      <c r="I90" s="40"/>
      <c r="J90" s="215" t="s">
        <v>2363</v>
      </c>
      <c r="K90" s="412" t="s">
        <v>117</v>
      </c>
      <c r="L90" s="215" t="s">
        <v>1760</v>
      </c>
      <c r="M90" s="215"/>
      <c r="N90" s="126" t="s">
        <v>504</v>
      </c>
      <c r="O90" s="40"/>
      <c r="P90" s="40"/>
      <c r="Q90" s="126" t="s">
        <v>6</v>
      </c>
      <c r="R90" s="126" t="s">
        <v>6</v>
      </c>
      <c r="S90" s="126" t="s">
        <v>6</v>
      </c>
      <c r="T90" s="40" t="s">
        <v>6</v>
      </c>
      <c r="U90" s="204"/>
      <c r="V90" s="204"/>
      <c r="W90" s="215" t="s">
        <v>125</v>
      </c>
      <c r="X90" s="40"/>
      <c r="Y90" s="413"/>
      <c r="Z90" s="61"/>
      <c r="AA90" s="61" t="s">
        <v>6</v>
      </c>
      <c r="AB90" s="413"/>
      <c r="AC90" s="413"/>
      <c r="AD90" s="413"/>
      <c r="AE90" s="215" t="s">
        <v>125</v>
      </c>
      <c r="AF90" s="40"/>
      <c r="AG90" s="413"/>
      <c r="AH90" s="61"/>
      <c r="AI90" s="61" t="s">
        <v>6</v>
      </c>
      <c r="AJ90" s="413"/>
      <c r="AK90" s="413"/>
      <c r="AL90" s="413"/>
      <c r="AM90" s="45"/>
      <c r="AN90" s="53"/>
      <c r="AO90" s="266"/>
      <c r="AP90" s="266"/>
      <c r="AQ90" s="266"/>
      <c r="AR90" s="266"/>
      <c r="AS90" s="15"/>
      <c r="AT90" s="15"/>
      <c r="AU90" s="15"/>
      <c r="AV90" s="13"/>
      <c r="AW90" s="18">
        <f t="shared" si="9"/>
        <v>27</v>
      </c>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c r="CA90" s="12"/>
      <c r="CB90" s="12"/>
      <c r="CC90" s="12"/>
      <c r="CD90" s="12"/>
      <c r="CE90" s="12"/>
      <c r="CF90" s="12"/>
      <c r="CG90" s="12"/>
      <c r="CH90" s="12"/>
      <c r="CI90" s="12"/>
    </row>
    <row r="91" spans="1:87" s="236" customFormat="1" ht="15">
      <c r="A91" s="40">
        <f t="shared" si="7"/>
        <v>85</v>
      </c>
      <c r="B91" s="199"/>
      <c r="C91" s="199"/>
      <c r="D91" s="199"/>
      <c r="E91" s="199"/>
      <c r="F91" s="199"/>
      <c r="G91" s="199"/>
      <c r="H91" s="199"/>
      <c r="I91" s="199"/>
      <c r="J91" s="412" t="s">
        <v>2364</v>
      </c>
      <c r="K91" s="232" t="s">
        <v>117</v>
      </c>
      <c r="L91" s="204" t="s">
        <v>1117</v>
      </c>
      <c r="M91" s="204"/>
      <c r="N91" s="126" t="s">
        <v>504</v>
      </c>
      <c r="O91" s="126"/>
      <c r="P91" s="126"/>
      <c r="Q91" s="126" t="s">
        <v>6</v>
      </c>
      <c r="R91" s="126" t="s">
        <v>6</v>
      </c>
      <c r="S91" s="126" t="s">
        <v>6</v>
      </c>
      <c r="T91" s="40" t="s">
        <v>6</v>
      </c>
      <c r="U91" s="204"/>
      <c r="V91" s="204"/>
      <c r="W91" s="204" t="s">
        <v>125</v>
      </c>
      <c r="X91" s="199"/>
      <c r="Y91" s="199"/>
      <c r="Z91" s="199"/>
      <c r="AA91" s="126" t="s">
        <v>6</v>
      </c>
      <c r="AB91" s="198"/>
      <c r="AC91" s="199"/>
      <c r="AD91" s="201" t="s">
        <v>881</v>
      </c>
      <c r="AE91" s="204" t="s">
        <v>125</v>
      </c>
      <c r="AF91" s="199"/>
      <c r="AG91" s="199"/>
      <c r="AH91" s="199"/>
      <c r="AI91" s="126" t="s">
        <v>6</v>
      </c>
      <c r="AJ91" s="198"/>
      <c r="AK91" s="199"/>
      <c r="AL91" s="201" t="s">
        <v>881</v>
      </c>
      <c r="AM91" s="199"/>
      <c r="AN91" s="199"/>
      <c r="AO91" s="199"/>
      <c r="AP91" s="199"/>
      <c r="AQ91" s="199"/>
      <c r="AR91" s="199"/>
      <c r="AS91" s="199"/>
      <c r="AT91" s="199"/>
      <c r="AU91" s="199"/>
      <c r="AV91" s="199"/>
      <c r="AW91" s="155">
        <f t="shared" si="9"/>
        <v>42</v>
      </c>
    </row>
    <row r="92" spans="1:87" s="236" customFormat="1" ht="26.4">
      <c r="A92" s="40">
        <f t="shared" si="7"/>
        <v>86</v>
      </c>
      <c r="B92" s="199"/>
      <c r="C92" s="199"/>
      <c r="D92" s="199"/>
      <c r="E92" s="199"/>
      <c r="F92" s="199"/>
      <c r="G92" s="199"/>
      <c r="H92" s="199"/>
      <c r="I92" s="199"/>
      <c r="J92" s="412" t="s">
        <v>2365</v>
      </c>
      <c r="K92" s="232" t="s">
        <v>117</v>
      </c>
      <c r="L92" s="204" t="s">
        <v>1121</v>
      </c>
      <c r="M92" s="204"/>
      <c r="N92" s="126" t="s">
        <v>504</v>
      </c>
      <c r="O92" s="126"/>
      <c r="P92" s="126"/>
      <c r="Q92" s="126"/>
      <c r="R92" s="126" t="s">
        <v>6</v>
      </c>
      <c r="S92" s="126" t="s">
        <v>6</v>
      </c>
      <c r="T92" s="40" t="s">
        <v>6</v>
      </c>
      <c r="U92" s="200" t="s">
        <v>1114</v>
      </c>
      <c r="V92" s="204"/>
      <c r="W92" s="204" t="s">
        <v>125</v>
      </c>
      <c r="X92" s="199"/>
      <c r="Y92" s="199"/>
      <c r="Z92" s="199"/>
      <c r="AA92" s="126" t="s">
        <v>6</v>
      </c>
      <c r="AB92" s="198"/>
      <c r="AC92" s="199"/>
      <c r="AD92" s="201" t="s">
        <v>881</v>
      </c>
      <c r="AE92" s="204" t="s">
        <v>125</v>
      </c>
      <c r="AF92" s="199"/>
      <c r="AG92" s="199"/>
      <c r="AH92" s="199"/>
      <c r="AI92" s="126" t="s">
        <v>6</v>
      </c>
      <c r="AJ92" s="198"/>
      <c r="AK92" s="199"/>
      <c r="AL92" s="201" t="s">
        <v>881</v>
      </c>
      <c r="AM92" s="199"/>
      <c r="AN92" s="199"/>
      <c r="AO92" s="199"/>
      <c r="AP92" s="199"/>
      <c r="AQ92" s="199"/>
      <c r="AR92" s="199"/>
      <c r="AS92" s="199"/>
      <c r="AT92" s="199"/>
      <c r="AU92" s="199"/>
      <c r="AV92" s="199"/>
      <c r="AW92" s="155">
        <f t="shared" si="9"/>
        <v>42</v>
      </c>
    </row>
    <row r="93" spans="1:87" s="236" customFormat="1" ht="26.4">
      <c r="A93" s="40">
        <f t="shared" si="7"/>
        <v>87</v>
      </c>
      <c r="B93" s="199"/>
      <c r="C93" s="199"/>
      <c r="D93" s="199"/>
      <c r="E93" s="199"/>
      <c r="F93" s="199"/>
      <c r="G93" s="199"/>
      <c r="H93" s="199"/>
      <c r="I93" s="199"/>
      <c r="J93" s="412" t="s">
        <v>2366</v>
      </c>
      <c r="K93" s="232" t="s">
        <v>117</v>
      </c>
      <c r="L93" s="204" t="s">
        <v>1124</v>
      </c>
      <c r="M93" s="204"/>
      <c r="N93" s="126" t="s">
        <v>504</v>
      </c>
      <c r="O93" s="126"/>
      <c r="P93" s="126"/>
      <c r="Q93" s="126"/>
      <c r="R93" s="126" t="s">
        <v>6</v>
      </c>
      <c r="S93" s="126" t="s">
        <v>6</v>
      </c>
      <c r="T93" s="40" t="s">
        <v>6</v>
      </c>
      <c r="U93" s="200" t="s">
        <v>1114</v>
      </c>
      <c r="V93" s="204"/>
      <c r="W93" s="204" t="s">
        <v>125</v>
      </c>
      <c r="X93" s="199"/>
      <c r="Y93" s="199"/>
      <c r="Z93" s="199"/>
      <c r="AA93" s="126" t="s">
        <v>6</v>
      </c>
      <c r="AB93" s="198"/>
      <c r="AC93" s="199"/>
      <c r="AD93" s="201" t="s">
        <v>881</v>
      </c>
      <c r="AE93" s="204" t="s">
        <v>125</v>
      </c>
      <c r="AF93" s="199"/>
      <c r="AG93" s="199"/>
      <c r="AH93" s="199"/>
      <c r="AI93" s="126" t="s">
        <v>6</v>
      </c>
      <c r="AJ93" s="198"/>
      <c r="AK93" s="199"/>
      <c r="AL93" s="201" t="s">
        <v>881</v>
      </c>
      <c r="AM93" s="199"/>
      <c r="AN93" s="199"/>
      <c r="AO93" s="199"/>
      <c r="AP93" s="199"/>
      <c r="AQ93" s="199"/>
      <c r="AR93" s="199"/>
      <c r="AS93" s="199"/>
      <c r="AT93" s="199"/>
      <c r="AU93" s="199"/>
      <c r="AV93" s="199"/>
      <c r="AW93" s="155">
        <f t="shared" si="9"/>
        <v>42</v>
      </c>
    </row>
    <row r="94" spans="1:87" s="236" customFormat="1" ht="26.4">
      <c r="A94" s="40">
        <f t="shared" si="7"/>
        <v>88</v>
      </c>
      <c r="B94" s="199"/>
      <c r="C94" s="199"/>
      <c r="D94" s="199"/>
      <c r="E94" s="199"/>
      <c r="F94" s="199"/>
      <c r="G94" s="199"/>
      <c r="H94" s="199"/>
      <c r="I94" s="199"/>
      <c r="J94" s="412" t="s">
        <v>2367</v>
      </c>
      <c r="K94" s="232" t="s">
        <v>117</v>
      </c>
      <c r="L94" s="204" t="s">
        <v>1127</v>
      </c>
      <c r="M94" s="204"/>
      <c r="N94" s="126" t="s">
        <v>504</v>
      </c>
      <c r="O94" s="126"/>
      <c r="P94" s="126"/>
      <c r="Q94" s="126"/>
      <c r="R94" s="126" t="s">
        <v>6</v>
      </c>
      <c r="S94" s="126" t="s">
        <v>6</v>
      </c>
      <c r="T94" s="40" t="s">
        <v>6</v>
      </c>
      <c r="U94" s="200" t="s">
        <v>1114</v>
      </c>
      <c r="V94" s="204"/>
      <c r="W94" s="204" t="s">
        <v>125</v>
      </c>
      <c r="X94" s="199"/>
      <c r="Y94" s="199"/>
      <c r="Z94" s="199"/>
      <c r="AA94" s="126" t="s">
        <v>6</v>
      </c>
      <c r="AB94" s="198"/>
      <c r="AC94" s="199"/>
      <c r="AD94" s="201" t="s">
        <v>881</v>
      </c>
      <c r="AE94" s="204" t="s">
        <v>125</v>
      </c>
      <c r="AF94" s="199"/>
      <c r="AG94" s="199"/>
      <c r="AH94" s="199"/>
      <c r="AI94" s="126" t="s">
        <v>6</v>
      </c>
      <c r="AJ94" s="198"/>
      <c r="AK94" s="199"/>
      <c r="AL94" s="201" t="s">
        <v>881</v>
      </c>
      <c r="AM94" s="199"/>
      <c r="AN94" s="199"/>
      <c r="AO94" s="199"/>
      <c r="AP94" s="199"/>
      <c r="AQ94" s="199"/>
      <c r="AR94" s="199"/>
      <c r="AS94" s="199"/>
      <c r="AT94" s="199"/>
      <c r="AU94" s="199"/>
      <c r="AV94" s="199"/>
      <c r="AW94" s="155">
        <f t="shared" si="9"/>
        <v>42</v>
      </c>
    </row>
    <row r="95" spans="1:87" s="236" customFormat="1" ht="15">
      <c r="A95" s="40">
        <f t="shared" si="7"/>
        <v>89</v>
      </c>
      <c r="B95" s="199"/>
      <c r="C95" s="199"/>
      <c r="D95" s="199"/>
      <c r="E95" s="199"/>
      <c r="F95" s="199"/>
      <c r="G95" s="199"/>
      <c r="H95" s="199"/>
      <c r="I95" s="199"/>
      <c r="J95" s="412" t="s">
        <v>2368</v>
      </c>
      <c r="K95" s="232" t="s">
        <v>117</v>
      </c>
      <c r="L95" s="204" t="s">
        <v>1131</v>
      </c>
      <c r="M95" s="204"/>
      <c r="N95" s="126" t="s">
        <v>504</v>
      </c>
      <c r="O95" s="126"/>
      <c r="P95" s="126"/>
      <c r="Q95" s="126" t="s">
        <v>6</v>
      </c>
      <c r="R95" s="126" t="s">
        <v>6</v>
      </c>
      <c r="S95" s="126" t="s">
        <v>6</v>
      </c>
      <c r="T95" s="40" t="s">
        <v>6</v>
      </c>
      <c r="U95" s="204"/>
      <c r="V95" s="204"/>
      <c r="W95" s="204" t="s">
        <v>125</v>
      </c>
      <c r="X95" s="199"/>
      <c r="Y95" s="199"/>
      <c r="Z95" s="199"/>
      <c r="AA95" s="126" t="s">
        <v>6</v>
      </c>
      <c r="AB95" s="198"/>
      <c r="AC95" s="199"/>
      <c r="AD95" s="201"/>
      <c r="AE95" s="204" t="s">
        <v>125</v>
      </c>
      <c r="AF95" s="199"/>
      <c r="AG95" s="199"/>
      <c r="AH95" s="199"/>
      <c r="AI95" s="126" t="s">
        <v>6</v>
      </c>
      <c r="AJ95" s="198"/>
      <c r="AK95" s="199"/>
      <c r="AL95" s="201"/>
      <c r="AM95" s="199"/>
      <c r="AN95" s="199"/>
      <c r="AO95" s="199"/>
      <c r="AP95" s="199"/>
      <c r="AQ95" s="199"/>
      <c r="AR95" s="199"/>
      <c r="AS95" s="199"/>
      <c r="AT95" s="199"/>
      <c r="AU95" s="199"/>
      <c r="AV95" s="199"/>
      <c r="AW95" s="155">
        <f t="shared" si="9"/>
        <v>28</v>
      </c>
    </row>
    <row r="96" spans="1:87" s="236" customFormat="1" ht="26.4">
      <c r="A96" s="40">
        <f t="shared" si="7"/>
        <v>90</v>
      </c>
      <c r="B96" s="199"/>
      <c r="C96" s="199"/>
      <c r="D96" s="199"/>
      <c r="E96" s="199"/>
      <c r="F96" s="199"/>
      <c r="G96" s="199"/>
      <c r="H96" s="199"/>
      <c r="I96" s="199"/>
      <c r="J96" s="412" t="s">
        <v>2369</v>
      </c>
      <c r="K96" s="232" t="s">
        <v>117</v>
      </c>
      <c r="L96" s="204" t="s">
        <v>1133</v>
      </c>
      <c r="M96" s="204"/>
      <c r="N96" s="126" t="s">
        <v>504</v>
      </c>
      <c r="O96" s="126"/>
      <c r="P96" s="126"/>
      <c r="Q96" s="126"/>
      <c r="R96" s="126" t="s">
        <v>6</v>
      </c>
      <c r="S96" s="126" t="s">
        <v>6</v>
      </c>
      <c r="T96" s="40" t="s">
        <v>6</v>
      </c>
      <c r="U96" s="200" t="s">
        <v>1114</v>
      </c>
      <c r="V96" s="204"/>
      <c r="W96" s="204" t="s">
        <v>125</v>
      </c>
      <c r="X96" s="199"/>
      <c r="Y96" s="199"/>
      <c r="Z96" s="199"/>
      <c r="AA96" s="126" t="s">
        <v>6</v>
      </c>
      <c r="AB96" s="198"/>
      <c r="AC96" s="199"/>
      <c r="AD96" s="201"/>
      <c r="AE96" s="204" t="s">
        <v>125</v>
      </c>
      <c r="AF96" s="199"/>
      <c r="AG96" s="199"/>
      <c r="AH96" s="199"/>
      <c r="AI96" s="126" t="s">
        <v>6</v>
      </c>
      <c r="AJ96" s="198"/>
      <c r="AK96" s="199"/>
      <c r="AL96" s="201"/>
      <c r="AM96" s="199"/>
      <c r="AN96" s="199"/>
      <c r="AO96" s="199"/>
      <c r="AP96" s="199"/>
      <c r="AQ96" s="199"/>
      <c r="AR96" s="199"/>
      <c r="AS96" s="199"/>
      <c r="AT96" s="199"/>
      <c r="AU96" s="199"/>
      <c r="AV96" s="199"/>
      <c r="AW96" s="155">
        <f t="shared" si="9"/>
        <v>35</v>
      </c>
    </row>
    <row r="97" spans="1:49" s="236" customFormat="1" ht="26.4">
      <c r="A97" s="40">
        <f t="shared" si="7"/>
        <v>91</v>
      </c>
      <c r="B97" s="199"/>
      <c r="C97" s="199"/>
      <c r="D97" s="199"/>
      <c r="E97" s="199"/>
      <c r="F97" s="199"/>
      <c r="G97" s="199"/>
      <c r="H97" s="199"/>
      <c r="I97" s="199"/>
      <c r="J97" s="412" t="s">
        <v>2370</v>
      </c>
      <c r="K97" s="232" t="s">
        <v>117</v>
      </c>
      <c r="L97" s="204" t="s">
        <v>1135</v>
      </c>
      <c r="M97" s="204"/>
      <c r="N97" s="126" t="s">
        <v>504</v>
      </c>
      <c r="O97" s="126"/>
      <c r="P97" s="126"/>
      <c r="Q97" s="126"/>
      <c r="R97" s="126" t="s">
        <v>6</v>
      </c>
      <c r="S97" s="126" t="s">
        <v>6</v>
      </c>
      <c r="T97" s="40" t="s">
        <v>6</v>
      </c>
      <c r="U97" s="200" t="s">
        <v>1114</v>
      </c>
      <c r="V97" s="204"/>
      <c r="W97" s="204" t="s">
        <v>125</v>
      </c>
      <c r="X97" s="199"/>
      <c r="Y97" s="199"/>
      <c r="Z97" s="199"/>
      <c r="AA97" s="126" t="s">
        <v>6</v>
      </c>
      <c r="AB97" s="198"/>
      <c r="AC97" s="199"/>
      <c r="AD97" s="199"/>
      <c r="AE97" s="204" t="s">
        <v>125</v>
      </c>
      <c r="AF97" s="199"/>
      <c r="AG97" s="199"/>
      <c r="AH97" s="199"/>
      <c r="AI97" s="126" t="s">
        <v>6</v>
      </c>
      <c r="AJ97" s="198"/>
      <c r="AK97" s="199"/>
      <c r="AL97" s="199"/>
      <c r="AM97" s="199"/>
      <c r="AN97" s="199"/>
      <c r="AO97" s="199"/>
      <c r="AP97" s="199"/>
      <c r="AQ97" s="199"/>
      <c r="AR97" s="199"/>
      <c r="AS97" s="199"/>
      <c r="AT97" s="199"/>
      <c r="AU97" s="199"/>
      <c r="AV97" s="199"/>
      <c r="AW97" s="155">
        <f t="shared" si="9"/>
        <v>35</v>
      </c>
    </row>
    <row r="98" spans="1:49" s="236" customFormat="1" ht="26.4">
      <c r="A98" s="40">
        <f t="shared" si="7"/>
        <v>92</v>
      </c>
      <c r="B98" s="199"/>
      <c r="C98" s="199"/>
      <c r="D98" s="199"/>
      <c r="E98" s="199"/>
      <c r="F98" s="199"/>
      <c r="G98" s="199"/>
      <c r="H98" s="199"/>
      <c r="I98" s="199"/>
      <c r="J98" s="412" t="s">
        <v>2371</v>
      </c>
      <c r="K98" s="232" t="s">
        <v>117</v>
      </c>
      <c r="L98" s="204" t="s">
        <v>1137</v>
      </c>
      <c r="M98" s="204"/>
      <c r="N98" s="126" t="s">
        <v>504</v>
      </c>
      <c r="O98" s="126"/>
      <c r="P98" s="126"/>
      <c r="Q98" s="126"/>
      <c r="R98" s="126" t="s">
        <v>6</v>
      </c>
      <c r="S98" s="126" t="s">
        <v>6</v>
      </c>
      <c r="T98" s="40" t="s">
        <v>6</v>
      </c>
      <c r="U98" s="200" t="s">
        <v>1114</v>
      </c>
      <c r="V98" s="204"/>
      <c r="W98" s="204" t="s">
        <v>125</v>
      </c>
      <c r="X98" s="199"/>
      <c r="Y98" s="199"/>
      <c r="Z98" s="199"/>
      <c r="AA98" s="126" t="s">
        <v>6</v>
      </c>
      <c r="AB98" s="198"/>
      <c r="AC98" s="199"/>
      <c r="AD98" s="199"/>
      <c r="AE98" s="204" t="s">
        <v>125</v>
      </c>
      <c r="AF98" s="199"/>
      <c r="AG98" s="199"/>
      <c r="AH98" s="199"/>
      <c r="AI98" s="126" t="s">
        <v>6</v>
      </c>
      <c r="AJ98" s="198"/>
      <c r="AK98" s="199"/>
      <c r="AL98" s="199"/>
      <c r="AM98" s="199"/>
      <c r="AN98" s="199"/>
      <c r="AO98" s="199"/>
      <c r="AP98" s="199"/>
      <c r="AQ98" s="199"/>
      <c r="AR98" s="199"/>
      <c r="AS98" s="199"/>
      <c r="AT98" s="199"/>
      <c r="AU98" s="199"/>
      <c r="AV98" s="199"/>
      <c r="AW98" s="155">
        <f t="shared" si="9"/>
        <v>35</v>
      </c>
    </row>
    <row r="99" spans="1:49" s="236" customFormat="1" ht="15">
      <c r="A99" s="40">
        <f t="shared" si="7"/>
        <v>93</v>
      </c>
      <c r="B99" s="199"/>
      <c r="C99" s="199"/>
      <c r="D99" s="199"/>
      <c r="E99" s="199"/>
      <c r="F99" s="199"/>
      <c r="G99" s="199"/>
      <c r="H99" s="199"/>
      <c r="I99" s="199"/>
      <c r="J99" s="412" t="s">
        <v>2372</v>
      </c>
      <c r="K99" s="232" t="s">
        <v>117</v>
      </c>
      <c r="L99" s="204" t="s">
        <v>1139</v>
      </c>
      <c r="M99" s="204"/>
      <c r="N99" s="126" t="s">
        <v>504</v>
      </c>
      <c r="O99" s="126"/>
      <c r="P99" s="126"/>
      <c r="Q99" s="126" t="s">
        <v>6</v>
      </c>
      <c r="R99" s="126" t="s">
        <v>6</v>
      </c>
      <c r="S99" s="126" t="s">
        <v>6</v>
      </c>
      <c r="T99" s="40" t="s">
        <v>6</v>
      </c>
      <c r="U99" s="204"/>
      <c r="V99" s="204"/>
      <c r="W99" s="204" t="s">
        <v>125</v>
      </c>
      <c r="X99" s="199"/>
      <c r="Y99" s="199"/>
      <c r="Z99" s="199"/>
      <c r="AA99" s="126" t="s">
        <v>6</v>
      </c>
      <c r="AB99" s="198"/>
      <c r="AC99" s="199"/>
      <c r="AD99" s="199"/>
      <c r="AE99" s="204" t="s">
        <v>125</v>
      </c>
      <c r="AF99" s="199"/>
      <c r="AG99" s="199"/>
      <c r="AH99" s="199"/>
      <c r="AI99" s="126" t="s">
        <v>6</v>
      </c>
      <c r="AJ99" s="198"/>
      <c r="AK99" s="199"/>
      <c r="AL99" s="199"/>
      <c r="AM99" s="199"/>
      <c r="AN99" s="199"/>
      <c r="AO99" s="199"/>
      <c r="AP99" s="199"/>
      <c r="AQ99" s="199"/>
      <c r="AR99" s="199"/>
      <c r="AS99" s="199"/>
      <c r="AT99" s="199"/>
      <c r="AU99" s="199"/>
      <c r="AV99" s="199"/>
      <c r="AW99" s="155">
        <f t="shared" si="9"/>
        <v>28</v>
      </c>
    </row>
    <row r="100" spans="1:49" s="236" customFormat="1" ht="26.4">
      <c r="A100" s="40">
        <f t="shared" si="7"/>
        <v>94</v>
      </c>
      <c r="B100" s="199"/>
      <c r="C100" s="199"/>
      <c r="D100" s="199"/>
      <c r="E100" s="199"/>
      <c r="F100" s="199"/>
      <c r="G100" s="199"/>
      <c r="H100" s="199"/>
      <c r="I100" s="199"/>
      <c r="J100" s="412" t="s">
        <v>2373</v>
      </c>
      <c r="K100" s="232" t="s">
        <v>117</v>
      </c>
      <c r="L100" s="204" t="s">
        <v>1140</v>
      </c>
      <c r="M100" s="204"/>
      <c r="N100" s="126" t="s">
        <v>504</v>
      </c>
      <c r="O100" s="126"/>
      <c r="P100" s="126"/>
      <c r="Q100" s="126" t="s">
        <v>6</v>
      </c>
      <c r="R100" s="126" t="s">
        <v>6</v>
      </c>
      <c r="S100" s="126" t="s">
        <v>6</v>
      </c>
      <c r="T100" s="40" t="s">
        <v>6</v>
      </c>
      <c r="U100" s="200" t="s">
        <v>1114</v>
      </c>
      <c r="V100" s="204"/>
      <c r="W100" s="204" t="s">
        <v>125</v>
      </c>
      <c r="X100" s="199"/>
      <c r="Y100" s="199"/>
      <c r="Z100" s="199"/>
      <c r="AA100" s="126" t="s">
        <v>6</v>
      </c>
      <c r="AB100" s="198"/>
      <c r="AC100" s="199"/>
      <c r="AD100" s="199"/>
      <c r="AE100" s="204" t="s">
        <v>125</v>
      </c>
      <c r="AF100" s="199"/>
      <c r="AG100" s="199"/>
      <c r="AH100" s="199"/>
      <c r="AI100" s="126" t="s">
        <v>6</v>
      </c>
      <c r="AJ100" s="198"/>
      <c r="AK100" s="199"/>
      <c r="AL100" s="199"/>
      <c r="AM100" s="199"/>
      <c r="AN100" s="199"/>
      <c r="AO100" s="199"/>
      <c r="AP100" s="199"/>
      <c r="AQ100" s="199"/>
      <c r="AR100" s="199"/>
      <c r="AS100" s="199"/>
      <c r="AT100" s="199"/>
      <c r="AU100" s="199"/>
      <c r="AV100" s="199"/>
      <c r="AW100" s="155">
        <f t="shared" si="9"/>
        <v>35</v>
      </c>
    </row>
    <row r="101" spans="1:49" s="236" customFormat="1" ht="26.4">
      <c r="A101" s="40">
        <f t="shared" si="7"/>
        <v>95</v>
      </c>
      <c r="B101" s="199"/>
      <c r="C101" s="199"/>
      <c r="D101" s="199"/>
      <c r="E101" s="199"/>
      <c r="F101" s="199"/>
      <c r="G101" s="199"/>
      <c r="H101" s="199"/>
      <c r="I101" s="199"/>
      <c r="J101" s="412" t="s">
        <v>2374</v>
      </c>
      <c r="K101" s="232" t="s">
        <v>117</v>
      </c>
      <c r="L101" s="204" t="s">
        <v>1141</v>
      </c>
      <c r="M101" s="204"/>
      <c r="N101" s="126" t="s">
        <v>504</v>
      </c>
      <c r="O101" s="126"/>
      <c r="P101" s="126"/>
      <c r="Q101" s="126" t="s">
        <v>6</v>
      </c>
      <c r="R101" s="126" t="s">
        <v>6</v>
      </c>
      <c r="S101" s="126" t="s">
        <v>6</v>
      </c>
      <c r="T101" s="40" t="s">
        <v>6</v>
      </c>
      <c r="U101" s="200" t="s">
        <v>1114</v>
      </c>
      <c r="V101" s="204"/>
      <c r="W101" s="204" t="s">
        <v>125</v>
      </c>
      <c r="X101" s="199"/>
      <c r="Y101" s="199"/>
      <c r="Z101" s="199"/>
      <c r="AA101" s="126" t="s">
        <v>6</v>
      </c>
      <c r="AB101" s="198"/>
      <c r="AC101" s="199"/>
      <c r="AD101" s="199"/>
      <c r="AE101" s="204" t="s">
        <v>125</v>
      </c>
      <c r="AF101" s="199"/>
      <c r="AG101" s="199"/>
      <c r="AH101" s="199"/>
      <c r="AI101" s="126" t="s">
        <v>6</v>
      </c>
      <c r="AJ101" s="198"/>
      <c r="AK101" s="199"/>
      <c r="AL101" s="199"/>
      <c r="AM101" s="199"/>
      <c r="AN101" s="199"/>
      <c r="AO101" s="199"/>
      <c r="AP101" s="199"/>
      <c r="AQ101" s="199"/>
      <c r="AR101" s="199"/>
      <c r="AS101" s="199"/>
      <c r="AT101" s="199"/>
      <c r="AU101" s="199"/>
      <c r="AV101" s="199"/>
      <c r="AW101" s="155">
        <f t="shared" si="9"/>
        <v>35</v>
      </c>
    </row>
    <row r="102" spans="1:49" s="236" customFormat="1" ht="26.4">
      <c r="A102" s="40">
        <f t="shared" si="7"/>
        <v>96</v>
      </c>
      <c r="B102" s="199"/>
      <c r="C102" s="199"/>
      <c r="D102" s="199"/>
      <c r="E102" s="199"/>
      <c r="F102" s="199"/>
      <c r="G102" s="199"/>
      <c r="H102" s="199"/>
      <c r="I102" s="199"/>
      <c r="J102" s="412" t="s">
        <v>2375</v>
      </c>
      <c r="K102" s="232" t="s">
        <v>117</v>
      </c>
      <c r="L102" s="204" t="s">
        <v>1142</v>
      </c>
      <c r="M102" s="204"/>
      <c r="N102" s="126" t="s">
        <v>504</v>
      </c>
      <c r="O102" s="126"/>
      <c r="P102" s="126"/>
      <c r="Q102" s="126" t="s">
        <v>6</v>
      </c>
      <c r="R102" s="126" t="s">
        <v>6</v>
      </c>
      <c r="S102" s="126" t="s">
        <v>6</v>
      </c>
      <c r="T102" s="40" t="s">
        <v>6</v>
      </c>
      <c r="U102" s="200" t="s">
        <v>1114</v>
      </c>
      <c r="V102" s="204"/>
      <c r="W102" s="204" t="s">
        <v>125</v>
      </c>
      <c r="X102" s="199"/>
      <c r="Y102" s="199"/>
      <c r="Z102" s="199"/>
      <c r="AA102" s="126" t="s">
        <v>6</v>
      </c>
      <c r="AB102" s="198"/>
      <c r="AC102" s="199"/>
      <c r="AD102" s="199"/>
      <c r="AE102" s="204" t="s">
        <v>125</v>
      </c>
      <c r="AF102" s="199"/>
      <c r="AG102" s="199"/>
      <c r="AH102" s="199"/>
      <c r="AI102" s="126" t="s">
        <v>6</v>
      </c>
      <c r="AJ102" s="198"/>
      <c r="AK102" s="199"/>
      <c r="AL102" s="199"/>
      <c r="AM102" s="199"/>
      <c r="AN102" s="199"/>
      <c r="AO102" s="199"/>
      <c r="AP102" s="199"/>
      <c r="AQ102" s="199"/>
      <c r="AR102" s="199"/>
      <c r="AS102" s="199"/>
      <c r="AT102" s="199"/>
      <c r="AU102" s="199"/>
      <c r="AV102" s="199"/>
      <c r="AW102" s="155">
        <f t="shared" si="9"/>
        <v>35</v>
      </c>
    </row>
    <row r="103" spans="1:49" s="20" customFormat="1" ht="15">
      <c r="A103" s="40">
        <f t="shared" si="7"/>
        <v>97</v>
      </c>
      <c r="B103" s="59"/>
      <c r="C103" s="59"/>
      <c r="D103" s="59"/>
      <c r="E103" s="59"/>
      <c r="F103" s="59"/>
      <c r="G103" s="59"/>
      <c r="H103" s="59"/>
      <c r="I103" s="59"/>
      <c r="J103" s="218" t="s">
        <v>2376</v>
      </c>
      <c r="K103" s="412" t="s">
        <v>128</v>
      </c>
      <c r="L103" s="204" t="s">
        <v>2377</v>
      </c>
      <c r="M103" s="204"/>
      <c r="N103" s="126" t="s">
        <v>504</v>
      </c>
      <c r="O103" s="126"/>
      <c r="P103" s="126"/>
      <c r="Q103" s="40" t="s">
        <v>6</v>
      </c>
      <c r="R103" s="40" t="s">
        <v>6</v>
      </c>
      <c r="S103" s="126" t="s">
        <v>6</v>
      </c>
      <c r="T103" s="40" t="s">
        <v>6</v>
      </c>
      <c r="U103" s="200"/>
      <c r="V103" s="206"/>
      <c r="W103" s="232" t="s">
        <v>125</v>
      </c>
      <c r="X103" s="59"/>
      <c r="Y103" s="59"/>
      <c r="Z103" s="59"/>
      <c r="AA103" s="61" t="s">
        <v>6</v>
      </c>
      <c r="AB103" s="15"/>
      <c r="AC103" s="59"/>
      <c r="AD103" s="59"/>
      <c r="AE103" s="232" t="s">
        <v>125</v>
      </c>
      <c r="AF103" s="59"/>
      <c r="AG103" s="59"/>
      <c r="AH103" s="59"/>
      <c r="AI103" s="61" t="s">
        <v>6</v>
      </c>
      <c r="AJ103" s="15"/>
      <c r="AK103" s="59"/>
      <c r="AL103" s="59"/>
      <c r="AM103" s="59"/>
      <c r="AN103" s="59"/>
      <c r="AO103" s="59"/>
      <c r="AP103" s="59"/>
      <c r="AQ103" s="59"/>
      <c r="AR103" s="59"/>
      <c r="AS103" s="59"/>
      <c r="AT103" s="59"/>
      <c r="AU103" s="59"/>
      <c r="AV103" s="59"/>
      <c r="AW103" s="18">
        <f t="shared" si="9"/>
        <v>22</v>
      </c>
    </row>
    <row r="104" spans="1:49" s="20" customFormat="1" ht="15">
      <c r="A104" s="40">
        <f t="shared" si="7"/>
        <v>98</v>
      </c>
      <c r="B104" s="38"/>
      <c r="C104" s="41"/>
      <c r="D104" s="19"/>
      <c r="E104" s="43"/>
      <c r="F104" s="43"/>
      <c r="G104" s="43"/>
      <c r="H104" s="13"/>
      <c r="I104" s="13"/>
      <c r="J104" s="412" t="s">
        <v>2378</v>
      </c>
      <c r="K104" s="412" t="s">
        <v>117</v>
      </c>
      <c r="L104" s="412" t="s">
        <v>695</v>
      </c>
      <c r="M104" s="412"/>
      <c r="N104" s="126" t="s">
        <v>504</v>
      </c>
      <c r="O104" s="126"/>
      <c r="P104" s="126"/>
      <c r="Q104" s="126"/>
      <c r="R104" s="40" t="s">
        <v>6</v>
      </c>
      <c r="S104" s="126" t="s">
        <v>6</v>
      </c>
      <c r="T104" s="126" t="s">
        <v>6</v>
      </c>
      <c r="U104" s="232"/>
      <c r="V104" s="232"/>
      <c r="W104" s="412" t="s">
        <v>125</v>
      </c>
      <c r="X104" s="59"/>
      <c r="Y104" s="59"/>
      <c r="Z104" s="59"/>
      <c r="AA104" s="61" t="s">
        <v>6</v>
      </c>
      <c r="AB104" s="59"/>
      <c r="AC104" s="59"/>
      <c r="AD104" s="59"/>
      <c r="AE104" s="412" t="s">
        <v>125</v>
      </c>
      <c r="AF104" s="59"/>
      <c r="AG104" s="59"/>
      <c r="AH104" s="59"/>
      <c r="AI104" s="61" t="s">
        <v>6</v>
      </c>
      <c r="AJ104" s="59"/>
      <c r="AK104" s="59"/>
      <c r="AL104" s="59"/>
      <c r="AM104" s="43"/>
      <c r="AN104" s="13"/>
      <c r="AO104" s="15"/>
      <c r="AP104" s="15"/>
      <c r="AQ104" s="15"/>
      <c r="AR104" s="15"/>
      <c r="AS104" s="15"/>
      <c r="AT104" s="15"/>
      <c r="AU104" s="15"/>
      <c r="AV104" s="19"/>
      <c r="AW104" s="18">
        <f t="shared" si="8"/>
        <v>23</v>
      </c>
    </row>
    <row r="105" spans="1:49" s="20" customFormat="1" ht="15">
      <c r="A105" s="40">
        <f t="shared" si="7"/>
        <v>99</v>
      </c>
      <c r="B105" s="59"/>
      <c r="C105" s="59"/>
      <c r="D105" s="59"/>
      <c r="E105" s="59"/>
      <c r="F105" s="59"/>
      <c r="G105" s="59"/>
      <c r="H105" s="59"/>
      <c r="I105" s="59"/>
      <c r="J105" s="412" t="s">
        <v>2379</v>
      </c>
      <c r="K105" s="412" t="s">
        <v>128</v>
      </c>
      <c r="L105" s="232" t="s">
        <v>693</v>
      </c>
      <c r="M105" s="232"/>
      <c r="N105" s="126" t="s">
        <v>504</v>
      </c>
      <c r="O105" s="126"/>
      <c r="P105" s="126"/>
      <c r="Q105" s="126"/>
      <c r="R105" s="40" t="s">
        <v>6</v>
      </c>
      <c r="S105" s="126" t="s">
        <v>6</v>
      </c>
      <c r="T105" s="126" t="s">
        <v>6</v>
      </c>
      <c r="U105" s="232"/>
      <c r="V105" s="232"/>
      <c r="W105" s="232" t="s">
        <v>125</v>
      </c>
      <c r="X105" s="59"/>
      <c r="Y105" s="59"/>
      <c r="Z105" s="59"/>
      <c r="AA105" s="61" t="s">
        <v>6</v>
      </c>
      <c r="AB105" s="15"/>
      <c r="AC105" s="59"/>
      <c r="AD105" s="59"/>
      <c r="AE105" s="232" t="s">
        <v>125</v>
      </c>
      <c r="AF105" s="59"/>
      <c r="AG105" s="59"/>
      <c r="AH105" s="59"/>
      <c r="AI105" s="61" t="s">
        <v>6</v>
      </c>
      <c r="AJ105" s="15"/>
      <c r="AK105" s="59"/>
      <c r="AL105" s="59"/>
      <c r="AM105" s="59"/>
      <c r="AN105" s="59"/>
      <c r="AO105" s="59"/>
      <c r="AP105" s="59"/>
      <c r="AQ105" s="59"/>
      <c r="AR105" s="59"/>
      <c r="AS105" s="59"/>
      <c r="AT105" s="59"/>
      <c r="AU105" s="59"/>
      <c r="AV105" s="59"/>
      <c r="AW105" s="18">
        <f t="shared" si="8"/>
        <v>23</v>
      </c>
    </row>
    <row r="106" spans="1:49" s="20" customFormat="1" ht="15">
      <c r="A106" s="40">
        <f t="shared" si="7"/>
        <v>100</v>
      </c>
      <c r="B106" s="59"/>
      <c r="C106" s="59"/>
      <c r="D106" s="59"/>
      <c r="E106" s="59"/>
      <c r="F106" s="59"/>
      <c r="G106" s="59"/>
      <c r="H106" s="59"/>
      <c r="I106" s="59"/>
      <c r="J106" s="412" t="s">
        <v>2380</v>
      </c>
      <c r="K106" s="412" t="s">
        <v>117</v>
      </c>
      <c r="L106" s="232" t="s">
        <v>697</v>
      </c>
      <c r="M106" s="232"/>
      <c r="N106" s="126" t="s">
        <v>504</v>
      </c>
      <c r="O106" s="126"/>
      <c r="P106" s="126"/>
      <c r="Q106" s="126"/>
      <c r="R106" s="40" t="s">
        <v>6</v>
      </c>
      <c r="S106" s="126" t="s">
        <v>6</v>
      </c>
      <c r="T106" s="126" t="s">
        <v>6</v>
      </c>
      <c r="U106" s="232"/>
      <c r="V106" s="232"/>
      <c r="W106" s="232" t="s">
        <v>125</v>
      </c>
      <c r="X106" s="59"/>
      <c r="Y106" s="59"/>
      <c r="Z106" s="59"/>
      <c r="AA106" s="61" t="s">
        <v>6</v>
      </c>
      <c r="AB106" s="15"/>
      <c r="AC106" s="59"/>
      <c r="AD106" s="59"/>
      <c r="AE106" s="232" t="s">
        <v>125</v>
      </c>
      <c r="AF106" s="59"/>
      <c r="AG106" s="59"/>
      <c r="AH106" s="59"/>
      <c r="AI106" s="61" t="s">
        <v>6</v>
      </c>
      <c r="AJ106" s="15"/>
      <c r="AK106" s="59"/>
      <c r="AL106" s="59"/>
      <c r="AM106" s="59"/>
      <c r="AN106" s="59"/>
      <c r="AO106" s="59"/>
      <c r="AP106" s="59"/>
      <c r="AQ106" s="59"/>
      <c r="AR106" s="59"/>
      <c r="AS106" s="59"/>
      <c r="AT106" s="59"/>
      <c r="AU106" s="59"/>
      <c r="AV106" s="59"/>
      <c r="AW106" s="18">
        <f t="shared" si="8"/>
        <v>28</v>
      </c>
    </row>
    <row r="107" spans="1:49" s="236" customFormat="1" ht="15">
      <c r="A107" s="40">
        <f t="shared" si="7"/>
        <v>101</v>
      </c>
      <c r="B107" s="199"/>
      <c r="C107" s="199"/>
      <c r="D107" s="199"/>
      <c r="E107" s="199"/>
      <c r="F107" s="199"/>
      <c r="G107" s="199"/>
      <c r="H107" s="199"/>
      <c r="I107" s="199"/>
      <c r="J107" s="218" t="s">
        <v>2381</v>
      </c>
      <c r="K107" s="412" t="s">
        <v>117</v>
      </c>
      <c r="L107" s="204" t="s">
        <v>699</v>
      </c>
      <c r="M107" s="204"/>
      <c r="N107" s="40" t="s">
        <v>504</v>
      </c>
      <c r="O107" s="199"/>
      <c r="P107" s="199"/>
      <c r="Q107" s="40"/>
      <c r="R107" s="40" t="s">
        <v>6</v>
      </c>
      <c r="S107" s="40" t="s">
        <v>6</v>
      </c>
      <c r="T107" s="126" t="s">
        <v>6</v>
      </c>
      <c r="U107" s="198"/>
      <c r="V107" s="198"/>
      <c r="W107" s="204" t="s">
        <v>125</v>
      </c>
      <c r="X107" s="199"/>
      <c r="Y107" s="199"/>
      <c r="Z107" s="199"/>
      <c r="AA107" s="40" t="s">
        <v>6</v>
      </c>
      <c r="AB107" s="198"/>
      <c r="AC107" s="199"/>
      <c r="AD107" s="199"/>
      <c r="AE107" s="204" t="s">
        <v>125</v>
      </c>
      <c r="AF107" s="199"/>
      <c r="AG107" s="199"/>
      <c r="AH107" s="199"/>
      <c r="AI107" s="40" t="s">
        <v>6</v>
      </c>
      <c r="AJ107" s="198"/>
      <c r="AK107" s="199"/>
      <c r="AL107" s="199"/>
      <c r="AM107" s="199"/>
      <c r="AN107" s="199"/>
      <c r="AO107" s="199"/>
      <c r="AP107" s="199"/>
      <c r="AQ107" s="199"/>
      <c r="AR107" s="199"/>
      <c r="AS107" s="199"/>
      <c r="AT107" s="199"/>
      <c r="AU107" s="199"/>
      <c r="AV107" s="199"/>
      <c r="AW107" s="155">
        <f t="shared" ref="AW107:AW117" si="10">LEN(L107)</f>
        <v>32</v>
      </c>
    </row>
    <row r="108" spans="1:49" s="236" customFormat="1" ht="15">
      <c r="A108" s="40">
        <f t="shared" si="7"/>
        <v>102</v>
      </c>
      <c r="B108" s="199"/>
      <c r="C108" s="199"/>
      <c r="D108" s="199"/>
      <c r="E108" s="199"/>
      <c r="F108" s="199"/>
      <c r="G108" s="199"/>
      <c r="H108" s="199"/>
      <c r="I108" s="199"/>
      <c r="J108" s="412" t="s">
        <v>2382</v>
      </c>
      <c r="K108" s="412" t="s">
        <v>103</v>
      </c>
      <c r="L108" s="204" t="s">
        <v>1144</v>
      </c>
      <c r="M108" s="204"/>
      <c r="N108" s="126" t="s">
        <v>504</v>
      </c>
      <c r="O108" s="126"/>
      <c r="P108" s="126"/>
      <c r="Q108" s="126" t="s">
        <v>6</v>
      </c>
      <c r="R108" s="126" t="s">
        <v>6</v>
      </c>
      <c r="S108" s="126" t="s">
        <v>6</v>
      </c>
      <c r="T108" s="40" t="s">
        <v>6</v>
      </c>
      <c r="U108" s="204"/>
      <c r="V108" s="204"/>
      <c r="W108" s="412" t="s">
        <v>100</v>
      </c>
      <c r="X108" s="199"/>
      <c r="Y108" s="199"/>
      <c r="Z108" s="199"/>
      <c r="AA108" s="126" t="s">
        <v>6</v>
      </c>
      <c r="AB108" s="198"/>
      <c r="AC108" s="199"/>
      <c r="AD108" s="199"/>
      <c r="AE108" s="412" t="s">
        <v>100</v>
      </c>
      <c r="AF108" s="199"/>
      <c r="AG108" s="199"/>
      <c r="AH108" s="199"/>
      <c r="AI108" s="126" t="s">
        <v>6</v>
      </c>
      <c r="AJ108" s="198"/>
      <c r="AK108" s="199"/>
      <c r="AL108" s="199"/>
      <c r="AM108" s="199"/>
      <c r="AN108" s="199"/>
      <c r="AO108" s="199"/>
      <c r="AP108" s="199"/>
      <c r="AQ108" s="199"/>
      <c r="AR108" s="199"/>
      <c r="AS108" s="199"/>
      <c r="AT108" s="199"/>
      <c r="AU108" s="199"/>
      <c r="AV108" s="199"/>
      <c r="AW108" s="155">
        <f t="shared" si="10"/>
        <v>20</v>
      </c>
    </row>
    <row r="109" spans="1:49" s="236" customFormat="1" ht="26.4">
      <c r="A109" s="40">
        <f t="shared" si="7"/>
        <v>103</v>
      </c>
      <c r="B109" s="199"/>
      <c r="C109" s="199"/>
      <c r="D109" s="199"/>
      <c r="E109" s="199"/>
      <c r="F109" s="199"/>
      <c r="G109" s="199"/>
      <c r="H109" s="199"/>
      <c r="I109" s="199"/>
      <c r="J109" s="412" t="s">
        <v>2384</v>
      </c>
      <c r="K109" s="412" t="s">
        <v>103</v>
      </c>
      <c r="L109" s="204" t="s">
        <v>1146</v>
      </c>
      <c r="M109" s="204"/>
      <c r="N109" s="126" t="s">
        <v>504</v>
      </c>
      <c r="O109" s="126"/>
      <c r="P109" s="126"/>
      <c r="Q109" s="126" t="s">
        <v>6</v>
      </c>
      <c r="R109" s="126" t="s">
        <v>6</v>
      </c>
      <c r="S109" s="126" t="s">
        <v>6</v>
      </c>
      <c r="T109" s="40" t="s">
        <v>6</v>
      </c>
      <c r="U109" s="200" t="s">
        <v>1114</v>
      </c>
      <c r="V109" s="204"/>
      <c r="W109" s="412" t="s">
        <v>100</v>
      </c>
      <c r="X109" s="199"/>
      <c r="Y109" s="199"/>
      <c r="Z109" s="199"/>
      <c r="AA109" s="126" t="s">
        <v>6</v>
      </c>
      <c r="AB109" s="198"/>
      <c r="AC109" s="199"/>
      <c r="AD109" s="199"/>
      <c r="AE109" s="412" t="s">
        <v>100</v>
      </c>
      <c r="AF109" s="199"/>
      <c r="AG109" s="199"/>
      <c r="AH109" s="199"/>
      <c r="AI109" s="126" t="s">
        <v>6</v>
      </c>
      <c r="AJ109" s="198"/>
      <c r="AK109" s="199"/>
      <c r="AL109" s="199"/>
      <c r="AM109" s="199"/>
      <c r="AN109" s="199"/>
      <c r="AO109" s="199"/>
      <c r="AP109" s="199"/>
      <c r="AQ109" s="199"/>
      <c r="AR109" s="199"/>
      <c r="AS109" s="199"/>
      <c r="AT109" s="199"/>
      <c r="AU109" s="199"/>
      <c r="AV109" s="199"/>
      <c r="AW109" s="155">
        <f t="shared" si="10"/>
        <v>27</v>
      </c>
    </row>
    <row r="110" spans="1:49" s="236" customFormat="1" ht="26.4">
      <c r="A110" s="40">
        <f t="shared" si="7"/>
        <v>104</v>
      </c>
      <c r="B110" s="199"/>
      <c r="C110" s="199"/>
      <c r="D110" s="199"/>
      <c r="E110" s="199"/>
      <c r="F110" s="199"/>
      <c r="G110" s="199"/>
      <c r="H110" s="199"/>
      <c r="I110" s="199"/>
      <c r="J110" s="412" t="s">
        <v>2385</v>
      </c>
      <c r="K110" s="412" t="s">
        <v>103</v>
      </c>
      <c r="L110" s="204" t="s">
        <v>1148</v>
      </c>
      <c r="M110" s="204"/>
      <c r="N110" s="126" t="s">
        <v>504</v>
      </c>
      <c r="O110" s="126"/>
      <c r="P110" s="126"/>
      <c r="Q110" s="126" t="s">
        <v>6</v>
      </c>
      <c r="R110" s="126" t="s">
        <v>6</v>
      </c>
      <c r="S110" s="126" t="s">
        <v>6</v>
      </c>
      <c r="T110" s="40" t="s">
        <v>6</v>
      </c>
      <c r="U110" s="200" t="s">
        <v>1114</v>
      </c>
      <c r="V110" s="204"/>
      <c r="W110" s="412" t="s">
        <v>100</v>
      </c>
      <c r="X110" s="199"/>
      <c r="Y110" s="199"/>
      <c r="Z110" s="199"/>
      <c r="AA110" s="126" t="s">
        <v>6</v>
      </c>
      <c r="AB110" s="198"/>
      <c r="AC110" s="199"/>
      <c r="AD110" s="199"/>
      <c r="AE110" s="412" t="s">
        <v>100</v>
      </c>
      <c r="AF110" s="199"/>
      <c r="AG110" s="199"/>
      <c r="AH110" s="199"/>
      <c r="AI110" s="126" t="s">
        <v>6</v>
      </c>
      <c r="AJ110" s="198"/>
      <c r="AK110" s="199"/>
      <c r="AL110" s="199"/>
      <c r="AM110" s="199"/>
      <c r="AN110" s="199"/>
      <c r="AO110" s="199"/>
      <c r="AP110" s="199"/>
      <c r="AQ110" s="199"/>
      <c r="AR110" s="199"/>
      <c r="AS110" s="199"/>
      <c r="AT110" s="199"/>
      <c r="AU110" s="199"/>
      <c r="AV110" s="199"/>
      <c r="AW110" s="155">
        <f t="shared" si="10"/>
        <v>27</v>
      </c>
    </row>
    <row r="111" spans="1:49" s="236" customFormat="1" ht="26.4">
      <c r="A111" s="40">
        <f t="shared" si="7"/>
        <v>105</v>
      </c>
      <c r="B111" s="199"/>
      <c r="C111" s="199"/>
      <c r="D111" s="199"/>
      <c r="E111" s="199"/>
      <c r="F111" s="199"/>
      <c r="G111" s="199"/>
      <c r="H111" s="199"/>
      <c r="I111" s="199"/>
      <c r="J111" s="412" t="s">
        <v>2386</v>
      </c>
      <c r="K111" s="412" t="s">
        <v>103</v>
      </c>
      <c r="L111" s="204" t="s">
        <v>1150</v>
      </c>
      <c r="M111" s="204"/>
      <c r="N111" s="126" t="s">
        <v>504</v>
      </c>
      <c r="O111" s="126"/>
      <c r="P111" s="126"/>
      <c r="Q111" s="126" t="s">
        <v>6</v>
      </c>
      <c r="R111" s="126" t="s">
        <v>6</v>
      </c>
      <c r="S111" s="126" t="s">
        <v>6</v>
      </c>
      <c r="T111" s="40" t="s">
        <v>6</v>
      </c>
      <c r="U111" s="200" t="s">
        <v>1114</v>
      </c>
      <c r="V111" s="204"/>
      <c r="W111" s="412" t="s">
        <v>100</v>
      </c>
      <c r="X111" s="199"/>
      <c r="Y111" s="199"/>
      <c r="Z111" s="199"/>
      <c r="AA111" s="126" t="s">
        <v>6</v>
      </c>
      <c r="AB111" s="198"/>
      <c r="AC111" s="199"/>
      <c r="AD111" s="199"/>
      <c r="AE111" s="412" t="s">
        <v>100</v>
      </c>
      <c r="AF111" s="199"/>
      <c r="AG111" s="199"/>
      <c r="AH111" s="199"/>
      <c r="AI111" s="126" t="s">
        <v>6</v>
      </c>
      <c r="AJ111" s="198"/>
      <c r="AK111" s="199"/>
      <c r="AL111" s="199"/>
      <c r="AM111" s="199"/>
      <c r="AN111" s="199"/>
      <c r="AO111" s="199"/>
      <c r="AP111" s="199"/>
      <c r="AQ111" s="199"/>
      <c r="AR111" s="199"/>
      <c r="AS111" s="199"/>
      <c r="AT111" s="199"/>
      <c r="AU111" s="199"/>
      <c r="AV111" s="199"/>
      <c r="AW111" s="155">
        <f t="shared" si="10"/>
        <v>27</v>
      </c>
    </row>
    <row r="112" spans="1:49" s="236" customFormat="1" ht="15">
      <c r="A112" s="40">
        <f t="shared" si="7"/>
        <v>106</v>
      </c>
      <c r="B112" s="199"/>
      <c r="C112" s="199"/>
      <c r="D112" s="199"/>
      <c r="E112" s="199"/>
      <c r="F112" s="199"/>
      <c r="G112" s="199"/>
      <c r="H112" s="199"/>
      <c r="I112" s="199"/>
      <c r="J112" s="412" t="s">
        <v>2387</v>
      </c>
      <c r="K112" s="412" t="s">
        <v>103</v>
      </c>
      <c r="L112" s="204" t="s">
        <v>1152</v>
      </c>
      <c r="M112" s="204"/>
      <c r="N112" s="126" t="s">
        <v>504</v>
      </c>
      <c r="O112" s="126"/>
      <c r="P112" s="126"/>
      <c r="Q112" s="126" t="s">
        <v>6</v>
      </c>
      <c r="R112" s="126" t="s">
        <v>6</v>
      </c>
      <c r="S112" s="126" t="s">
        <v>6</v>
      </c>
      <c r="T112" s="40" t="s">
        <v>6</v>
      </c>
      <c r="U112" s="204"/>
      <c r="V112" s="204"/>
      <c r="W112" s="412" t="s">
        <v>100</v>
      </c>
      <c r="X112" s="199"/>
      <c r="Y112" s="199"/>
      <c r="Z112" s="199"/>
      <c r="AA112" s="126" t="s">
        <v>6</v>
      </c>
      <c r="AB112" s="198"/>
      <c r="AC112" s="199"/>
      <c r="AD112" s="199"/>
      <c r="AE112" s="412" t="s">
        <v>100</v>
      </c>
      <c r="AF112" s="199"/>
      <c r="AG112" s="199"/>
      <c r="AH112" s="199"/>
      <c r="AI112" s="126" t="s">
        <v>6</v>
      </c>
      <c r="AJ112" s="198"/>
      <c r="AK112" s="199"/>
      <c r="AL112" s="199"/>
      <c r="AM112" s="199"/>
      <c r="AN112" s="199"/>
      <c r="AO112" s="199"/>
      <c r="AP112" s="199"/>
      <c r="AQ112" s="199"/>
      <c r="AR112" s="199"/>
      <c r="AS112" s="199"/>
      <c r="AT112" s="199"/>
      <c r="AU112" s="199"/>
      <c r="AV112" s="199"/>
      <c r="AW112" s="155">
        <f t="shared" si="10"/>
        <v>20</v>
      </c>
    </row>
    <row r="113" spans="1:49" s="236" customFormat="1" ht="26.4">
      <c r="A113" s="40">
        <f t="shared" si="7"/>
        <v>107</v>
      </c>
      <c r="B113" s="199"/>
      <c r="C113" s="199"/>
      <c r="D113" s="199"/>
      <c r="E113" s="199"/>
      <c r="F113" s="199"/>
      <c r="G113" s="199"/>
      <c r="H113" s="199"/>
      <c r="I113" s="199"/>
      <c r="J113" s="412" t="s">
        <v>2389</v>
      </c>
      <c r="K113" s="412" t="s">
        <v>103</v>
      </c>
      <c r="L113" s="204" t="s">
        <v>1154</v>
      </c>
      <c r="M113" s="204"/>
      <c r="N113" s="126" t="s">
        <v>504</v>
      </c>
      <c r="O113" s="126"/>
      <c r="P113" s="126"/>
      <c r="Q113" s="126" t="s">
        <v>6</v>
      </c>
      <c r="R113" s="126" t="s">
        <v>6</v>
      </c>
      <c r="S113" s="126" t="s">
        <v>6</v>
      </c>
      <c r="T113" s="40" t="s">
        <v>6</v>
      </c>
      <c r="U113" s="200" t="s">
        <v>1114</v>
      </c>
      <c r="V113" s="204"/>
      <c r="W113" s="412" t="s">
        <v>100</v>
      </c>
      <c r="X113" s="199"/>
      <c r="Y113" s="199"/>
      <c r="Z113" s="199"/>
      <c r="AA113" s="126" t="s">
        <v>6</v>
      </c>
      <c r="AB113" s="198"/>
      <c r="AC113" s="199"/>
      <c r="AD113" s="199"/>
      <c r="AE113" s="412" t="s">
        <v>100</v>
      </c>
      <c r="AF113" s="199"/>
      <c r="AG113" s="199"/>
      <c r="AH113" s="199"/>
      <c r="AI113" s="126" t="s">
        <v>6</v>
      </c>
      <c r="AJ113" s="198"/>
      <c r="AK113" s="199"/>
      <c r="AL113" s="199"/>
      <c r="AM113" s="199"/>
      <c r="AN113" s="199"/>
      <c r="AO113" s="199"/>
      <c r="AP113" s="199"/>
      <c r="AQ113" s="199"/>
      <c r="AR113" s="199"/>
      <c r="AS113" s="199"/>
      <c r="AT113" s="199"/>
      <c r="AU113" s="199"/>
      <c r="AV113" s="199"/>
      <c r="AW113" s="155">
        <f t="shared" si="10"/>
        <v>27</v>
      </c>
    </row>
    <row r="114" spans="1:49" s="236" customFormat="1" ht="26.4">
      <c r="A114" s="40">
        <f t="shared" si="7"/>
        <v>108</v>
      </c>
      <c r="B114" s="199"/>
      <c r="C114" s="199"/>
      <c r="D114" s="199"/>
      <c r="E114" s="199"/>
      <c r="F114" s="199"/>
      <c r="G114" s="199"/>
      <c r="H114" s="199"/>
      <c r="I114" s="199"/>
      <c r="J114" s="412" t="s">
        <v>2390</v>
      </c>
      <c r="K114" s="412" t="s">
        <v>103</v>
      </c>
      <c r="L114" s="204" t="s">
        <v>1156</v>
      </c>
      <c r="M114" s="204"/>
      <c r="N114" s="126" t="s">
        <v>504</v>
      </c>
      <c r="O114" s="126"/>
      <c r="P114" s="126"/>
      <c r="Q114" s="126" t="s">
        <v>6</v>
      </c>
      <c r="R114" s="126" t="s">
        <v>6</v>
      </c>
      <c r="S114" s="126" t="s">
        <v>6</v>
      </c>
      <c r="T114" s="40" t="s">
        <v>6</v>
      </c>
      <c r="U114" s="200" t="s">
        <v>1114</v>
      </c>
      <c r="V114" s="204"/>
      <c r="W114" s="412" t="s">
        <v>100</v>
      </c>
      <c r="X114" s="199"/>
      <c r="Y114" s="199"/>
      <c r="Z114" s="199"/>
      <c r="AA114" s="126" t="s">
        <v>6</v>
      </c>
      <c r="AB114" s="198"/>
      <c r="AC114" s="199"/>
      <c r="AD114" s="199"/>
      <c r="AE114" s="412" t="s">
        <v>100</v>
      </c>
      <c r="AF114" s="199"/>
      <c r="AG114" s="199"/>
      <c r="AH114" s="199"/>
      <c r="AI114" s="126" t="s">
        <v>6</v>
      </c>
      <c r="AJ114" s="198"/>
      <c r="AK114" s="199"/>
      <c r="AL114" s="199"/>
      <c r="AM114" s="199"/>
      <c r="AN114" s="199"/>
      <c r="AO114" s="199"/>
      <c r="AP114" s="199"/>
      <c r="AQ114" s="199"/>
      <c r="AR114" s="199"/>
      <c r="AS114" s="199"/>
      <c r="AT114" s="199"/>
      <c r="AU114" s="199"/>
      <c r="AV114" s="199"/>
      <c r="AW114" s="155">
        <f t="shared" si="10"/>
        <v>27</v>
      </c>
    </row>
    <row r="115" spans="1:49" s="236" customFormat="1" ht="26.4">
      <c r="A115" s="40">
        <f t="shared" si="7"/>
        <v>109</v>
      </c>
      <c r="B115" s="199"/>
      <c r="C115" s="199"/>
      <c r="D115" s="199"/>
      <c r="E115" s="199"/>
      <c r="F115" s="199"/>
      <c r="G115" s="199"/>
      <c r="H115" s="199"/>
      <c r="I115" s="199"/>
      <c r="J115" s="412" t="s">
        <v>2391</v>
      </c>
      <c r="K115" s="412" t="s">
        <v>103</v>
      </c>
      <c r="L115" s="204" t="s">
        <v>1158</v>
      </c>
      <c r="M115" s="204"/>
      <c r="N115" s="126" t="s">
        <v>504</v>
      </c>
      <c r="O115" s="126"/>
      <c r="P115" s="126"/>
      <c r="Q115" s="126" t="s">
        <v>6</v>
      </c>
      <c r="R115" s="126" t="s">
        <v>6</v>
      </c>
      <c r="S115" s="126" t="s">
        <v>6</v>
      </c>
      <c r="T115" s="40" t="s">
        <v>6</v>
      </c>
      <c r="U115" s="200" t="s">
        <v>1114</v>
      </c>
      <c r="V115" s="204"/>
      <c r="W115" s="412" t="s">
        <v>100</v>
      </c>
      <c r="X115" s="199"/>
      <c r="Y115" s="199"/>
      <c r="Z115" s="199"/>
      <c r="AA115" s="126" t="s">
        <v>6</v>
      </c>
      <c r="AB115" s="198"/>
      <c r="AC115" s="199"/>
      <c r="AD115" s="199"/>
      <c r="AE115" s="412" t="s">
        <v>100</v>
      </c>
      <c r="AF115" s="199"/>
      <c r="AG115" s="199"/>
      <c r="AH115" s="199"/>
      <c r="AI115" s="126" t="s">
        <v>6</v>
      </c>
      <c r="AJ115" s="198"/>
      <c r="AK115" s="199"/>
      <c r="AL115" s="199"/>
      <c r="AM115" s="199"/>
      <c r="AN115" s="199"/>
      <c r="AO115" s="199"/>
      <c r="AP115" s="199"/>
      <c r="AQ115" s="199"/>
      <c r="AR115" s="199"/>
      <c r="AS115" s="199"/>
      <c r="AT115" s="199"/>
      <c r="AU115" s="199"/>
      <c r="AV115" s="199"/>
      <c r="AW115" s="155">
        <f t="shared" si="10"/>
        <v>27</v>
      </c>
    </row>
    <row r="116" spans="1:49" s="236" customFormat="1" ht="15">
      <c r="A116" s="40">
        <f t="shared" si="7"/>
        <v>110</v>
      </c>
      <c r="B116" s="199"/>
      <c r="C116" s="199"/>
      <c r="D116" s="199"/>
      <c r="E116" s="199"/>
      <c r="F116" s="199"/>
      <c r="G116" s="199"/>
      <c r="H116" s="199"/>
      <c r="I116" s="199"/>
      <c r="J116" s="412" t="s">
        <v>2392</v>
      </c>
      <c r="K116" s="412" t="s">
        <v>140</v>
      </c>
      <c r="L116" s="204" t="s">
        <v>1160</v>
      </c>
      <c r="M116" s="204"/>
      <c r="N116" s="126" t="s">
        <v>504</v>
      </c>
      <c r="O116" s="126"/>
      <c r="P116" s="126"/>
      <c r="Q116" s="126" t="s">
        <v>6</v>
      </c>
      <c r="R116" s="126" t="s">
        <v>6</v>
      </c>
      <c r="S116" s="126" t="s">
        <v>6</v>
      </c>
      <c r="T116" s="40" t="s">
        <v>6</v>
      </c>
      <c r="U116" s="204"/>
      <c r="V116" s="204"/>
      <c r="W116" s="412" t="s">
        <v>137</v>
      </c>
      <c r="X116" s="199"/>
      <c r="Y116" s="199"/>
      <c r="Z116" s="199"/>
      <c r="AA116" s="126" t="s">
        <v>6</v>
      </c>
      <c r="AB116" s="198"/>
      <c r="AC116" s="199"/>
      <c r="AD116" s="199"/>
      <c r="AE116" s="412" t="s">
        <v>137</v>
      </c>
      <c r="AF116" s="199"/>
      <c r="AG116" s="199"/>
      <c r="AH116" s="199"/>
      <c r="AI116" s="126" t="s">
        <v>6</v>
      </c>
      <c r="AJ116" s="198"/>
      <c r="AK116" s="199"/>
      <c r="AL116" s="199"/>
      <c r="AM116" s="199"/>
      <c r="AN116" s="199"/>
      <c r="AO116" s="199"/>
      <c r="AP116" s="199"/>
      <c r="AQ116" s="199"/>
      <c r="AR116" s="199"/>
      <c r="AS116" s="199"/>
      <c r="AT116" s="199"/>
      <c r="AU116" s="199"/>
      <c r="AV116" s="199"/>
      <c r="AW116" s="155">
        <f t="shared" si="10"/>
        <v>24</v>
      </c>
    </row>
    <row r="117" spans="1:49" s="236" customFormat="1" ht="26.4">
      <c r="A117" s="40">
        <f t="shared" si="7"/>
        <v>111</v>
      </c>
      <c r="B117" s="199"/>
      <c r="C117" s="199"/>
      <c r="D117" s="199"/>
      <c r="E117" s="199"/>
      <c r="F117" s="199"/>
      <c r="G117" s="199"/>
      <c r="H117" s="199"/>
      <c r="I117" s="199"/>
      <c r="J117" s="412" t="s">
        <v>2393</v>
      </c>
      <c r="K117" s="412" t="s">
        <v>140</v>
      </c>
      <c r="L117" s="204" t="s">
        <v>1162</v>
      </c>
      <c r="M117" s="204"/>
      <c r="N117" s="126" t="s">
        <v>504</v>
      </c>
      <c r="O117" s="126"/>
      <c r="P117" s="126"/>
      <c r="Q117" s="126" t="s">
        <v>6</v>
      </c>
      <c r="R117" s="126" t="s">
        <v>6</v>
      </c>
      <c r="S117" s="126" t="s">
        <v>6</v>
      </c>
      <c r="T117" s="40" t="s">
        <v>6</v>
      </c>
      <c r="U117" s="200" t="s">
        <v>1114</v>
      </c>
      <c r="V117" s="204"/>
      <c r="W117" s="412" t="s">
        <v>137</v>
      </c>
      <c r="X117" s="199"/>
      <c r="Y117" s="199"/>
      <c r="Z117" s="199"/>
      <c r="AA117" s="126" t="s">
        <v>6</v>
      </c>
      <c r="AB117" s="198"/>
      <c r="AC117" s="199"/>
      <c r="AD117" s="199"/>
      <c r="AE117" s="412" t="s">
        <v>137</v>
      </c>
      <c r="AF117" s="199"/>
      <c r="AG117" s="199"/>
      <c r="AH117" s="199"/>
      <c r="AI117" s="126" t="s">
        <v>6</v>
      </c>
      <c r="AJ117" s="198"/>
      <c r="AK117" s="199"/>
      <c r="AL117" s="199"/>
      <c r="AM117" s="199"/>
      <c r="AN117" s="199"/>
      <c r="AO117" s="199"/>
      <c r="AP117" s="199"/>
      <c r="AQ117" s="199"/>
      <c r="AR117" s="199"/>
      <c r="AS117" s="199"/>
      <c r="AT117" s="199"/>
      <c r="AU117" s="199"/>
      <c r="AV117" s="199"/>
      <c r="AW117" s="155">
        <f t="shared" si="10"/>
        <v>31</v>
      </c>
    </row>
    <row r="118" spans="1:49" s="236" customFormat="1" ht="26.4">
      <c r="A118" s="40">
        <f t="shared" si="7"/>
        <v>112</v>
      </c>
      <c r="B118" s="199"/>
      <c r="C118" s="199"/>
      <c r="D118" s="199"/>
      <c r="E118" s="199"/>
      <c r="F118" s="199"/>
      <c r="G118" s="199"/>
      <c r="H118" s="199"/>
      <c r="I118" s="199"/>
      <c r="J118" s="412" t="s">
        <v>2394</v>
      </c>
      <c r="K118" s="412" t="s">
        <v>140</v>
      </c>
      <c r="L118" s="204" t="s">
        <v>1164</v>
      </c>
      <c r="M118" s="204"/>
      <c r="N118" s="126" t="s">
        <v>504</v>
      </c>
      <c r="O118" s="126"/>
      <c r="P118" s="126"/>
      <c r="Q118" s="126" t="s">
        <v>6</v>
      </c>
      <c r="R118" s="126" t="s">
        <v>6</v>
      </c>
      <c r="S118" s="126" t="s">
        <v>6</v>
      </c>
      <c r="T118" s="40" t="s">
        <v>6</v>
      </c>
      <c r="U118" s="200" t="s">
        <v>1114</v>
      </c>
      <c r="V118" s="204"/>
      <c r="W118" s="412" t="s">
        <v>137</v>
      </c>
      <c r="X118" s="199"/>
      <c r="Y118" s="199"/>
      <c r="Z118" s="199"/>
      <c r="AA118" s="126" t="s">
        <v>6</v>
      </c>
      <c r="AB118" s="198"/>
      <c r="AC118" s="199"/>
      <c r="AD118" s="199"/>
      <c r="AE118" s="412" t="s">
        <v>137</v>
      </c>
      <c r="AF118" s="199"/>
      <c r="AG118" s="199"/>
      <c r="AH118" s="199"/>
      <c r="AI118" s="126" t="s">
        <v>6</v>
      </c>
      <c r="AJ118" s="198"/>
      <c r="AK118" s="199"/>
      <c r="AL118" s="199"/>
      <c r="AM118" s="199"/>
      <c r="AN118" s="199"/>
      <c r="AO118" s="199"/>
      <c r="AP118" s="199"/>
      <c r="AQ118" s="199"/>
      <c r="AR118" s="199"/>
      <c r="AS118" s="199"/>
      <c r="AT118" s="199"/>
      <c r="AU118" s="199"/>
      <c r="AV118" s="199"/>
      <c r="AW118" s="155">
        <f t="shared" si="8"/>
        <v>31</v>
      </c>
    </row>
    <row r="119" spans="1:49" s="236" customFormat="1" ht="26.4">
      <c r="A119" s="40">
        <f t="shared" si="7"/>
        <v>113</v>
      </c>
      <c r="B119" s="199"/>
      <c r="C119" s="199"/>
      <c r="D119" s="199"/>
      <c r="E119" s="199"/>
      <c r="F119" s="199"/>
      <c r="G119" s="199"/>
      <c r="H119" s="199"/>
      <c r="I119" s="199"/>
      <c r="J119" s="412" t="s">
        <v>2395</v>
      </c>
      <c r="K119" s="412" t="s">
        <v>140</v>
      </c>
      <c r="L119" s="204" t="s">
        <v>1166</v>
      </c>
      <c r="M119" s="204"/>
      <c r="N119" s="126" t="s">
        <v>504</v>
      </c>
      <c r="O119" s="126"/>
      <c r="P119" s="126"/>
      <c r="Q119" s="126" t="s">
        <v>6</v>
      </c>
      <c r="R119" s="126" t="s">
        <v>6</v>
      </c>
      <c r="S119" s="126" t="s">
        <v>6</v>
      </c>
      <c r="T119" s="40" t="s">
        <v>6</v>
      </c>
      <c r="U119" s="200" t="s">
        <v>1114</v>
      </c>
      <c r="V119" s="204"/>
      <c r="W119" s="412" t="s">
        <v>137</v>
      </c>
      <c r="X119" s="199"/>
      <c r="Y119" s="199"/>
      <c r="Z119" s="199"/>
      <c r="AA119" s="126" t="s">
        <v>6</v>
      </c>
      <c r="AB119" s="198"/>
      <c r="AC119" s="199"/>
      <c r="AD119" s="199"/>
      <c r="AE119" s="412" t="s">
        <v>137</v>
      </c>
      <c r="AF119" s="199"/>
      <c r="AG119" s="199"/>
      <c r="AH119" s="199"/>
      <c r="AI119" s="126" t="s">
        <v>6</v>
      </c>
      <c r="AJ119" s="198"/>
      <c r="AK119" s="199"/>
      <c r="AL119" s="199"/>
      <c r="AM119" s="199"/>
      <c r="AN119" s="199"/>
      <c r="AO119" s="199"/>
      <c r="AP119" s="199"/>
      <c r="AQ119" s="199"/>
      <c r="AR119" s="199"/>
      <c r="AS119" s="199"/>
      <c r="AT119" s="199"/>
      <c r="AU119" s="199"/>
      <c r="AV119" s="199"/>
      <c r="AW119" s="155">
        <f>LEN(L119)</f>
        <v>31</v>
      </c>
    </row>
    <row r="120" spans="1:49" s="236" customFormat="1" ht="15">
      <c r="A120" s="40">
        <f t="shared" si="7"/>
        <v>114</v>
      </c>
      <c r="B120" s="199"/>
      <c r="C120" s="199"/>
      <c r="D120" s="199"/>
      <c r="E120" s="199"/>
      <c r="F120" s="199"/>
      <c r="G120" s="199"/>
      <c r="H120" s="199"/>
      <c r="I120" s="199"/>
      <c r="J120" s="412" t="s">
        <v>2396</v>
      </c>
      <c r="K120" s="412" t="s">
        <v>140</v>
      </c>
      <c r="L120" s="204" t="s">
        <v>1168</v>
      </c>
      <c r="M120" s="204"/>
      <c r="N120" s="126" t="s">
        <v>504</v>
      </c>
      <c r="O120" s="126"/>
      <c r="P120" s="126"/>
      <c r="Q120" s="126" t="s">
        <v>6</v>
      </c>
      <c r="R120" s="126" t="s">
        <v>6</v>
      </c>
      <c r="S120" s="126" t="s">
        <v>6</v>
      </c>
      <c r="T120" s="40" t="s">
        <v>6</v>
      </c>
      <c r="U120" s="204"/>
      <c r="V120" s="204"/>
      <c r="W120" s="412" t="s">
        <v>137</v>
      </c>
      <c r="X120" s="199"/>
      <c r="Y120" s="199"/>
      <c r="Z120" s="199"/>
      <c r="AA120" s="126" t="s">
        <v>6</v>
      </c>
      <c r="AB120" s="198"/>
      <c r="AC120" s="199"/>
      <c r="AD120" s="199"/>
      <c r="AE120" s="412" t="s">
        <v>137</v>
      </c>
      <c r="AF120" s="199"/>
      <c r="AG120" s="199"/>
      <c r="AH120" s="199"/>
      <c r="AI120" s="126" t="s">
        <v>6</v>
      </c>
      <c r="AJ120" s="198"/>
      <c r="AK120" s="199"/>
      <c r="AL120" s="199"/>
      <c r="AM120" s="199"/>
      <c r="AN120" s="199"/>
      <c r="AO120" s="199"/>
      <c r="AP120" s="199"/>
      <c r="AQ120" s="199"/>
      <c r="AR120" s="199"/>
      <c r="AS120" s="199"/>
      <c r="AT120" s="199"/>
      <c r="AU120" s="199"/>
      <c r="AV120" s="199"/>
      <c r="AW120" s="155">
        <f>LEN(L120)</f>
        <v>26</v>
      </c>
    </row>
    <row r="121" spans="1:49" s="236" customFormat="1" ht="26.4">
      <c r="A121" s="40">
        <f t="shared" si="7"/>
        <v>115</v>
      </c>
      <c r="B121" s="199"/>
      <c r="C121" s="199"/>
      <c r="D121" s="199"/>
      <c r="E121" s="199"/>
      <c r="F121" s="199"/>
      <c r="G121" s="199"/>
      <c r="H121" s="199"/>
      <c r="I121" s="199"/>
      <c r="J121" s="412" t="s">
        <v>2397</v>
      </c>
      <c r="K121" s="412" t="s">
        <v>140</v>
      </c>
      <c r="L121" s="204" t="s">
        <v>1170</v>
      </c>
      <c r="M121" s="204"/>
      <c r="N121" s="126" t="s">
        <v>504</v>
      </c>
      <c r="O121" s="126"/>
      <c r="P121" s="126"/>
      <c r="Q121" s="126" t="s">
        <v>6</v>
      </c>
      <c r="R121" s="126" t="s">
        <v>6</v>
      </c>
      <c r="S121" s="126" t="s">
        <v>6</v>
      </c>
      <c r="T121" s="40" t="s">
        <v>6</v>
      </c>
      <c r="U121" s="200" t="s">
        <v>1114</v>
      </c>
      <c r="V121" s="204"/>
      <c r="W121" s="412" t="s">
        <v>137</v>
      </c>
      <c r="X121" s="199"/>
      <c r="Y121" s="199"/>
      <c r="Z121" s="199"/>
      <c r="AA121" s="126" t="s">
        <v>6</v>
      </c>
      <c r="AB121" s="198"/>
      <c r="AC121" s="199"/>
      <c r="AD121" s="199"/>
      <c r="AE121" s="412" t="s">
        <v>137</v>
      </c>
      <c r="AF121" s="199"/>
      <c r="AG121" s="199"/>
      <c r="AH121" s="199"/>
      <c r="AI121" s="126" t="s">
        <v>6</v>
      </c>
      <c r="AJ121" s="198"/>
      <c r="AK121" s="199"/>
      <c r="AL121" s="199"/>
      <c r="AM121" s="199"/>
      <c r="AN121" s="199"/>
      <c r="AO121" s="199"/>
      <c r="AP121" s="199"/>
      <c r="AQ121" s="199"/>
      <c r="AR121" s="199"/>
      <c r="AS121" s="199"/>
      <c r="AT121" s="199"/>
      <c r="AU121" s="199"/>
      <c r="AV121" s="199"/>
      <c r="AW121" s="155">
        <f>LEN(L121)</f>
        <v>33</v>
      </c>
    </row>
    <row r="122" spans="1:49" s="236" customFormat="1" ht="26.4">
      <c r="A122" s="40">
        <f t="shared" si="7"/>
        <v>116</v>
      </c>
      <c r="B122" s="199"/>
      <c r="C122" s="199"/>
      <c r="D122" s="199"/>
      <c r="E122" s="199"/>
      <c r="F122" s="199"/>
      <c r="G122" s="199"/>
      <c r="H122" s="199"/>
      <c r="I122" s="199"/>
      <c r="J122" s="412" t="s">
        <v>2398</v>
      </c>
      <c r="K122" s="412" t="s">
        <v>140</v>
      </c>
      <c r="L122" s="204" t="s">
        <v>1172</v>
      </c>
      <c r="M122" s="204"/>
      <c r="N122" s="126" t="s">
        <v>504</v>
      </c>
      <c r="O122" s="126"/>
      <c r="P122" s="126"/>
      <c r="Q122" s="126" t="s">
        <v>6</v>
      </c>
      <c r="R122" s="126" t="s">
        <v>6</v>
      </c>
      <c r="S122" s="126" t="s">
        <v>6</v>
      </c>
      <c r="T122" s="40" t="s">
        <v>6</v>
      </c>
      <c r="U122" s="200" t="s">
        <v>1114</v>
      </c>
      <c r="V122" s="204"/>
      <c r="W122" s="412" t="s">
        <v>137</v>
      </c>
      <c r="X122" s="199"/>
      <c r="Y122" s="199"/>
      <c r="Z122" s="199"/>
      <c r="AA122" s="126" t="s">
        <v>6</v>
      </c>
      <c r="AB122" s="198"/>
      <c r="AC122" s="199"/>
      <c r="AD122" s="199"/>
      <c r="AE122" s="412" t="s">
        <v>137</v>
      </c>
      <c r="AF122" s="199"/>
      <c r="AG122" s="199"/>
      <c r="AH122" s="199"/>
      <c r="AI122" s="126" t="s">
        <v>6</v>
      </c>
      <c r="AJ122" s="198"/>
      <c r="AK122" s="199"/>
      <c r="AL122" s="199"/>
      <c r="AM122" s="199"/>
      <c r="AN122" s="199"/>
      <c r="AO122" s="199"/>
      <c r="AP122" s="199"/>
      <c r="AQ122" s="199"/>
      <c r="AR122" s="199"/>
      <c r="AS122" s="199"/>
      <c r="AT122" s="199"/>
      <c r="AU122" s="199"/>
      <c r="AV122" s="199"/>
      <c r="AW122" s="155">
        <f>LEN(L122)</f>
        <v>33</v>
      </c>
    </row>
    <row r="123" spans="1:49" s="236" customFormat="1" ht="26.4">
      <c r="A123" s="40">
        <f t="shared" si="7"/>
        <v>117</v>
      </c>
      <c r="B123" s="199"/>
      <c r="C123" s="199"/>
      <c r="D123" s="199"/>
      <c r="E123" s="199"/>
      <c r="F123" s="199"/>
      <c r="G123" s="199"/>
      <c r="H123" s="199"/>
      <c r="I123" s="199"/>
      <c r="J123" s="412" t="s">
        <v>2399</v>
      </c>
      <c r="K123" s="412" t="s">
        <v>140</v>
      </c>
      <c r="L123" s="204" t="s">
        <v>1174</v>
      </c>
      <c r="M123" s="204"/>
      <c r="N123" s="126" t="s">
        <v>504</v>
      </c>
      <c r="O123" s="126"/>
      <c r="P123" s="126"/>
      <c r="Q123" s="126" t="s">
        <v>6</v>
      </c>
      <c r="R123" s="126" t="s">
        <v>6</v>
      </c>
      <c r="S123" s="126" t="s">
        <v>6</v>
      </c>
      <c r="T123" s="40" t="s">
        <v>6</v>
      </c>
      <c r="U123" s="200" t="s">
        <v>1114</v>
      </c>
      <c r="V123" s="204"/>
      <c r="W123" s="412" t="s">
        <v>137</v>
      </c>
      <c r="X123" s="199"/>
      <c r="Y123" s="199"/>
      <c r="Z123" s="199"/>
      <c r="AA123" s="126" t="s">
        <v>6</v>
      </c>
      <c r="AB123" s="198"/>
      <c r="AC123" s="199"/>
      <c r="AD123" s="199"/>
      <c r="AE123" s="412" t="s">
        <v>137</v>
      </c>
      <c r="AF123" s="199"/>
      <c r="AG123" s="199"/>
      <c r="AH123" s="199"/>
      <c r="AI123" s="126" t="s">
        <v>6</v>
      </c>
      <c r="AJ123" s="198"/>
      <c r="AK123" s="199"/>
      <c r="AL123" s="199"/>
      <c r="AM123" s="199"/>
      <c r="AN123" s="199"/>
      <c r="AO123" s="199"/>
      <c r="AP123" s="199"/>
      <c r="AQ123" s="199"/>
      <c r="AR123" s="199"/>
      <c r="AS123" s="199"/>
      <c r="AT123" s="199"/>
      <c r="AU123" s="199"/>
      <c r="AV123" s="199"/>
      <c r="AW123" s="155">
        <f t="shared" si="8"/>
        <v>33</v>
      </c>
    </row>
    <row r="124" spans="1:49" s="236" customFormat="1" ht="15">
      <c r="A124" s="40">
        <f t="shared" si="7"/>
        <v>118</v>
      </c>
      <c r="B124" s="199"/>
      <c r="C124" s="199"/>
      <c r="D124" s="199"/>
      <c r="E124" s="199"/>
      <c r="F124" s="199"/>
      <c r="G124" s="199"/>
      <c r="H124" s="199"/>
      <c r="I124" s="199"/>
      <c r="J124" s="412" t="s">
        <v>2400</v>
      </c>
      <c r="K124" s="412" t="s">
        <v>140</v>
      </c>
      <c r="L124" s="204" t="s">
        <v>1176</v>
      </c>
      <c r="M124" s="204"/>
      <c r="N124" s="126" t="s">
        <v>504</v>
      </c>
      <c r="O124" s="126"/>
      <c r="P124" s="126"/>
      <c r="Q124" s="126" t="s">
        <v>6</v>
      </c>
      <c r="R124" s="126" t="s">
        <v>6</v>
      </c>
      <c r="S124" s="126" t="s">
        <v>6</v>
      </c>
      <c r="T124" s="40" t="s">
        <v>6</v>
      </c>
      <c r="U124" s="204"/>
      <c r="V124" s="204"/>
      <c r="W124" s="412" t="s">
        <v>137</v>
      </c>
      <c r="X124" s="199"/>
      <c r="Y124" s="199"/>
      <c r="Z124" s="199"/>
      <c r="AA124" s="126" t="s">
        <v>6</v>
      </c>
      <c r="AB124" s="198"/>
      <c r="AC124" s="199"/>
      <c r="AD124" s="199"/>
      <c r="AE124" s="412" t="s">
        <v>137</v>
      </c>
      <c r="AF124" s="199"/>
      <c r="AG124" s="199"/>
      <c r="AH124" s="199"/>
      <c r="AI124" s="126" t="s">
        <v>6</v>
      </c>
      <c r="AJ124" s="198"/>
      <c r="AK124" s="199"/>
      <c r="AL124" s="199"/>
      <c r="AM124" s="199"/>
      <c r="AN124" s="199"/>
      <c r="AO124" s="199"/>
      <c r="AP124" s="199"/>
      <c r="AQ124" s="199"/>
      <c r="AR124" s="199"/>
      <c r="AS124" s="199"/>
      <c r="AT124" s="199"/>
      <c r="AU124" s="199"/>
      <c r="AV124" s="199"/>
      <c r="AW124" s="155">
        <f>LEN(L124)</f>
        <v>27</v>
      </c>
    </row>
    <row r="125" spans="1:49" s="236" customFormat="1" ht="26.4">
      <c r="A125" s="40">
        <f t="shared" si="7"/>
        <v>119</v>
      </c>
      <c r="B125" s="199"/>
      <c r="C125" s="199"/>
      <c r="D125" s="199"/>
      <c r="E125" s="199"/>
      <c r="F125" s="199"/>
      <c r="G125" s="199"/>
      <c r="H125" s="199"/>
      <c r="I125" s="199"/>
      <c r="J125" s="412" t="s">
        <v>2401</v>
      </c>
      <c r="K125" s="412" t="s">
        <v>140</v>
      </c>
      <c r="L125" s="204" t="s">
        <v>1178</v>
      </c>
      <c r="M125" s="204"/>
      <c r="N125" s="126" t="s">
        <v>504</v>
      </c>
      <c r="O125" s="126"/>
      <c r="P125" s="126"/>
      <c r="Q125" s="126" t="s">
        <v>6</v>
      </c>
      <c r="R125" s="126" t="s">
        <v>6</v>
      </c>
      <c r="S125" s="126" t="s">
        <v>6</v>
      </c>
      <c r="T125" s="40" t="s">
        <v>6</v>
      </c>
      <c r="U125" s="200" t="s">
        <v>1114</v>
      </c>
      <c r="V125" s="204"/>
      <c r="W125" s="412" t="s">
        <v>137</v>
      </c>
      <c r="X125" s="199"/>
      <c r="Y125" s="199"/>
      <c r="Z125" s="199"/>
      <c r="AA125" s="126" t="s">
        <v>6</v>
      </c>
      <c r="AB125" s="198"/>
      <c r="AC125" s="199"/>
      <c r="AD125" s="199"/>
      <c r="AE125" s="412" t="s">
        <v>137</v>
      </c>
      <c r="AF125" s="199"/>
      <c r="AG125" s="199"/>
      <c r="AH125" s="199"/>
      <c r="AI125" s="126" t="s">
        <v>6</v>
      </c>
      <c r="AJ125" s="198"/>
      <c r="AK125" s="199"/>
      <c r="AL125" s="199"/>
      <c r="AM125" s="199"/>
      <c r="AN125" s="199"/>
      <c r="AO125" s="199"/>
      <c r="AP125" s="199"/>
      <c r="AQ125" s="199"/>
      <c r="AR125" s="199"/>
      <c r="AS125" s="199"/>
      <c r="AT125" s="199"/>
      <c r="AU125" s="199"/>
      <c r="AV125" s="199"/>
      <c r="AW125" s="155">
        <f>LEN(L125)</f>
        <v>34</v>
      </c>
    </row>
    <row r="126" spans="1:49" s="236" customFormat="1" ht="26.4">
      <c r="A126" s="40">
        <f t="shared" si="7"/>
        <v>120</v>
      </c>
      <c r="B126" s="199"/>
      <c r="C126" s="199"/>
      <c r="D126" s="199"/>
      <c r="E126" s="199"/>
      <c r="F126" s="199"/>
      <c r="G126" s="199"/>
      <c r="H126" s="199"/>
      <c r="I126" s="199"/>
      <c r="J126" s="412" t="s">
        <v>2402</v>
      </c>
      <c r="K126" s="412" t="s">
        <v>140</v>
      </c>
      <c r="L126" s="204" t="s">
        <v>1180</v>
      </c>
      <c r="M126" s="204"/>
      <c r="N126" s="126" t="s">
        <v>504</v>
      </c>
      <c r="O126" s="126"/>
      <c r="P126" s="126"/>
      <c r="Q126" s="126" t="s">
        <v>6</v>
      </c>
      <c r="R126" s="126" t="s">
        <v>6</v>
      </c>
      <c r="S126" s="126" t="s">
        <v>6</v>
      </c>
      <c r="T126" s="40" t="s">
        <v>6</v>
      </c>
      <c r="U126" s="200" t="s">
        <v>1114</v>
      </c>
      <c r="V126" s="204"/>
      <c r="W126" s="412" t="s">
        <v>137</v>
      </c>
      <c r="X126" s="199"/>
      <c r="Y126" s="199"/>
      <c r="Z126" s="199"/>
      <c r="AA126" s="126" t="s">
        <v>6</v>
      </c>
      <c r="AB126" s="198"/>
      <c r="AC126" s="199"/>
      <c r="AD126" s="199"/>
      <c r="AE126" s="412" t="s">
        <v>137</v>
      </c>
      <c r="AF126" s="199"/>
      <c r="AG126" s="199"/>
      <c r="AH126" s="199"/>
      <c r="AI126" s="126" t="s">
        <v>6</v>
      </c>
      <c r="AJ126" s="198"/>
      <c r="AK126" s="199"/>
      <c r="AL126" s="199"/>
      <c r="AM126" s="199"/>
      <c r="AN126" s="199"/>
      <c r="AO126" s="199"/>
      <c r="AP126" s="199"/>
      <c r="AQ126" s="199"/>
      <c r="AR126" s="199"/>
      <c r="AS126" s="199"/>
      <c r="AT126" s="199"/>
      <c r="AU126" s="199"/>
      <c r="AV126" s="199"/>
      <c r="AW126" s="155">
        <f t="shared" si="8"/>
        <v>34</v>
      </c>
    </row>
    <row r="127" spans="1:49" s="236" customFormat="1" ht="26.4">
      <c r="A127" s="40">
        <f t="shared" si="7"/>
        <v>121</v>
      </c>
      <c r="B127" s="199"/>
      <c r="C127" s="199"/>
      <c r="D127" s="199"/>
      <c r="E127" s="199"/>
      <c r="F127" s="199"/>
      <c r="G127" s="199"/>
      <c r="H127" s="199"/>
      <c r="I127" s="199"/>
      <c r="J127" s="412" t="s">
        <v>2403</v>
      </c>
      <c r="K127" s="412" t="s">
        <v>140</v>
      </c>
      <c r="L127" s="204" t="s">
        <v>1182</v>
      </c>
      <c r="M127" s="204"/>
      <c r="N127" s="126" t="s">
        <v>504</v>
      </c>
      <c r="O127" s="126"/>
      <c r="P127" s="126"/>
      <c r="Q127" s="126" t="s">
        <v>6</v>
      </c>
      <c r="R127" s="126" t="s">
        <v>6</v>
      </c>
      <c r="S127" s="126" t="s">
        <v>6</v>
      </c>
      <c r="T127" s="40" t="s">
        <v>6</v>
      </c>
      <c r="U127" s="200" t="s">
        <v>1114</v>
      </c>
      <c r="V127" s="204"/>
      <c r="W127" s="412" t="s">
        <v>137</v>
      </c>
      <c r="X127" s="199"/>
      <c r="Y127" s="199"/>
      <c r="Z127" s="199"/>
      <c r="AA127" s="126" t="s">
        <v>6</v>
      </c>
      <c r="AB127" s="198"/>
      <c r="AC127" s="199"/>
      <c r="AD127" s="199"/>
      <c r="AE127" s="412" t="s">
        <v>137</v>
      </c>
      <c r="AF127" s="199"/>
      <c r="AG127" s="199"/>
      <c r="AH127" s="199"/>
      <c r="AI127" s="126" t="s">
        <v>6</v>
      </c>
      <c r="AJ127" s="198"/>
      <c r="AK127" s="199"/>
      <c r="AL127" s="199"/>
      <c r="AM127" s="199"/>
      <c r="AN127" s="199"/>
      <c r="AO127" s="199"/>
      <c r="AP127" s="199"/>
      <c r="AQ127" s="199"/>
      <c r="AR127" s="199"/>
      <c r="AS127" s="199"/>
      <c r="AT127" s="199"/>
      <c r="AU127" s="199"/>
      <c r="AV127" s="199"/>
      <c r="AW127" s="155">
        <f t="shared" si="8"/>
        <v>34</v>
      </c>
    </row>
    <row r="128" spans="1:49" s="236" customFormat="1" ht="15">
      <c r="A128" s="40">
        <v>408</v>
      </c>
      <c r="B128" s="199"/>
      <c r="C128" s="199"/>
      <c r="D128" s="199"/>
      <c r="E128" s="199"/>
      <c r="F128" s="199"/>
      <c r="G128" s="199"/>
      <c r="H128" s="199"/>
      <c r="I128" s="199"/>
      <c r="J128" s="412" t="s">
        <v>2404</v>
      </c>
      <c r="K128" s="412" t="s">
        <v>140</v>
      </c>
      <c r="L128" s="204" t="s">
        <v>1192</v>
      </c>
      <c r="M128" s="204"/>
      <c r="N128" s="126" t="s">
        <v>504</v>
      </c>
      <c r="O128" s="126"/>
      <c r="P128" s="126"/>
      <c r="Q128" s="126" t="s">
        <v>6</v>
      </c>
      <c r="R128" s="126" t="s">
        <v>6</v>
      </c>
      <c r="S128" s="126" t="s">
        <v>6</v>
      </c>
      <c r="T128" s="40" t="s">
        <v>6</v>
      </c>
      <c r="U128" s="218" t="s">
        <v>1193</v>
      </c>
      <c r="V128" s="204"/>
      <c r="W128" s="412" t="s">
        <v>137</v>
      </c>
      <c r="X128" s="199"/>
      <c r="Y128" s="199"/>
      <c r="Z128" s="199"/>
      <c r="AA128" s="126" t="s">
        <v>6</v>
      </c>
      <c r="AB128" s="198"/>
      <c r="AC128" s="199"/>
      <c r="AD128" s="199"/>
      <c r="AE128" s="412" t="s">
        <v>137</v>
      </c>
      <c r="AF128" s="199"/>
      <c r="AG128" s="199"/>
      <c r="AH128" s="199"/>
      <c r="AI128" s="126" t="s">
        <v>6</v>
      </c>
      <c r="AJ128" s="198"/>
      <c r="AK128" s="199"/>
      <c r="AL128" s="199"/>
      <c r="AM128" s="199"/>
      <c r="AN128" s="199"/>
      <c r="AO128" s="199"/>
      <c r="AP128" s="199"/>
      <c r="AQ128" s="199"/>
      <c r="AR128" s="199"/>
      <c r="AS128" s="199"/>
      <c r="AT128" s="199"/>
      <c r="AU128" s="199"/>
      <c r="AV128" s="199"/>
      <c r="AW128" s="155">
        <v>34</v>
      </c>
    </row>
    <row r="129" spans="1:87" s="236" customFormat="1" ht="15">
      <c r="A129" s="40">
        <v>408</v>
      </c>
      <c r="B129" s="199"/>
      <c r="C129" s="199"/>
      <c r="D129" s="199"/>
      <c r="E129" s="199"/>
      <c r="F129" s="199"/>
      <c r="G129" s="199"/>
      <c r="H129" s="199"/>
      <c r="I129" s="199"/>
      <c r="J129" s="412" t="s">
        <v>2405</v>
      </c>
      <c r="K129" s="412" t="s">
        <v>140</v>
      </c>
      <c r="L129" s="204" t="s">
        <v>1195</v>
      </c>
      <c r="M129" s="204"/>
      <c r="N129" s="126" t="s">
        <v>504</v>
      </c>
      <c r="O129" s="126"/>
      <c r="P129" s="126"/>
      <c r="Q129" s="126" t="s">
        <v>6</v>
      </c>
      <c r="R129" s="126" t="s">
        <v>6</v>
      </c>
      <c r="S129" s="126" t="s">
        <v>6</v>
      </c>
      <c r="T129" s="40" t="s">
        <v>6</v>
      </c>
      <c r="U129" s="218" t="s">
        <v>1193</v>
      </c>
      <c r="V129" s="204"/>
      <c r="W129" s="412" t="s">
        <v>137</v>
      </c>
      <c r="X129" s="199"/>
      <c r="Y129" s="199"/>
      <c r="Z129" s="199"/>
      <c r="AA129" s="126" t="s">
        <v>6</v>
      </c>
      <c r="AB129" s="198"/>
      <c r="AC129" s="199"/>
      <c r="AD129" s="199"/>
      <c r="AE129" s="412" t="s">
        <v>137</v>
      </c>
      <c r="AF129" s="199"/>
      <c r="AG129" s="199"/>
      <c r="AH129" s="199"/>
      <c r="AI129" s="126" t="s">
        <v>6</v>
      </c>
      <c r="AJ129" s="198"/>
      <c r="AK129" s="199"/>
      <c r="AL129" s="199"/>
      <c r="AM129" s="199"/>
      <c r="AN129" s="199"/>
      <c r="AO129" s="199"/>
      <c r="AP129" s="199"/>
      <c r="AQ129" s="199"/>
      <c r="AR129" s="199"/>
      <c r="AS129" s="199"/>
      <c r="AT129" s="199"/>
      <c r="AU129" s="199"/>
      <c r="AV129" s="199"/>
      <c r="AW129" s="155">
        <v>34</v>
      </c>
    </row>
    <row r="130" spans="1:87" s="236" customFormat="1" ht="15">
      <c r="A130" s="40">
        <v>408</v>
      </c>
      <c r="B130" s="199"/>
      <c r="C130" s="199"/>
      <c r="D130" s="199"/>
      <c r="E130" s="199"/>
      <c r="F130" s="199"/>
      <c r="G130" s="199"/>
      <c r="H130" s="199"/>
      <c r="I130" s="199"/>
      <c r="J130" s="412" t="s">
        <v>2406</v>
      </c>
      <c r="K130" s="412" t="s">
        <v>140</v>
      </c>
      <c r="L130" s="204" t="s">
        <v>1197</v>
      </c>
      <c r="M130" s="204"/>
      <c r="N130" s="126" t="s">
        <v>504</v>
      </c>
      <c r="O130" s="126"/>
      <c r="P130" s="126"/>
      <c r="Q130" s="126" t="s">
        <v>6</v>
      </c>
      <c r="R130" s="126" t="s">
        <v>6</v>
      </c>
      <c r="S130" s="126" t="s">
        <v>6</v>
      </c>
      <c r="T130" s="40" t="s">
        <v>6</v>
      </c>
      <c r="U130" s="218" t="s">
        <v>1193</v>
      </c>
      <c r="V130" s="204"/>
      <c r="W130" s="412" t="s">
        <v>137</v>
      </c>
      <c r="X130" s="199"/>
      <c r="Y130" s="199"/>
      <c r="Z130" s="199"/>
      <c r="AA130" s="126" t="s">
        <v>6</v>
      </c>
      <c r="AB130" s="198"/>
      <c r="AC130" s="199"/>
      <c r="AD130" s="199"/>
      <c r="AE130" s="412" t="s">
        <v>137</v>
      </c>
      <c r="AF130" s="199"/>
      <c r="AG130" s="199"/>
      <c r="AH130" s="199"/>
      <c r="AI130" s="126" t="s">
        <v>6</v>
      </c>
      <c r="AJ130" s="198"/>
      <c r="AK130" s="199"/>
      <c r="AL130" s="199"/>
      <c r="AM130" s="199"/>
      <c r="AN130" s="199"/>
      <c r="AO130" s="199"/>
      <c r="AP130" s="199"/>
      <c r="AQ130" s="199"/>
      <c r="AR130" s="199"/>
      <c r="AS130" s="199"/>
      <c r="AT130" s="199"/>
      <c r="AU130" s="199"/>
      <c r="AV130" s="199"/>
      <c r="AW130" s="155">
        <v>34</v>
      </c>
    </row>
    <row r="131" spans="1:87" s="236" customFormat="1" ht="15">
      <c r="A131" s="40">
        <v>408</v>
      </c>
      <c r="B131" s="199"/>
      <c r="C131" s="199"/>
      <c r="D131" s="199"/>
      <c r="E131" s="199"/>
      <c r="F131" s="199"/>
      <c r="G131" s="199"/>
      <c r="H131" s="199"/>
      <c r="I131" s="199"/>
      <c r="J131" s="412" t="s">
        <v>2407</v>
      </c>
      <c r="K131" s="412" t="s">
        <v>140</v>
      </c>
      <c r="L131" s="204" t="s">
        <v>1199</v>
      </c>
      <c r="M131" s="204"/>
      <c r="N131" s="126" t="s">
        <v>504</v>
      </c>
      <c r="O131" s="126"/>
      <c r="P131" s="126"/>
      <c r="Q131" s="126" t="s">
        <v>6</v>
      </c>
      <c r="R131" s="126" t="s">
        <v>6</v>
      </c>
      <c r="S131" s="126" t="s">
        <v>6</v>
      </c>
      <c r="T131" s="40" t="s">
        <v>6</v>
      </c>
      <c r="U131" s="218" t="s">
        <v>1193</v>
      </c>
      <c r="V131" s="204"/>
      <c r="W131" s="412" t="s">
        <v>137</v>
      </c>
      <c r="X131" s="199"/>
      <c r="Y131" s="199"/>
      <c r="Z131" s="199"/>
      <c r="AA131" s="126" t="s">
        <v>6</v>
      </c>
      <c r="AB131" s="198"/>
      <c r="AC131" s="199"/>
      <c r="AD131" s="199"/>
      <c r="AE131" s="412" t="s">
        <v>137</v>
      </c>
      <c r="AF131" s="199"/>
      <c r="AG131" s="199"/>
      <c r="AH131" s="199"/>
      <c r="AI131" s="126" t="s">
        <v>6</v>
      </c>
      <c r="AJ131" s="198"/>
      <c r="AK131" s="199"/>
      <c r="AL131" s="199"/>
      <c r="AM131" s="199"/>
      <c r="AN131" s="199"/>
      <c r="AO131" s="199"/>
      <c r="AP131" s="199"/>
      <c r="AQ131" s="199"/>
      <c r="AR131" s="199"/>
      <c r="AS131" s="199"/>
      <c r="AT131" s="199"/>
      <c r="AU131" s="199"/>
      <c r="AV131" s="199"/>
      <c r="AW131" s="155">
        <v>34</v>
      </c>
    </row>
    <row r="132" spans="1:87" s="236" customFormat="1" ht="15">
      <c r="A132" s="40">
        <v>408</v>
      </c>
      <c r="B132" s="199"/>
      <c r="C132" s="199"/>
      <c r="D132" s="199"/>
      <c r="E132" s="199"/>
      <c r="F132" s="199"/>
      <c r="G132" s="199"/>
      <c r="H132" s="199"/>
      <c r="I132" s="199"/>
      <c r="J132" s="412" t="s">
        <v>2408</v>
      </c>
      <c r="K132" s="412" t="s">
        <v>140</v>
      </c>
      <c r="L132" s="204" t="s">
        <v>1201</v>
      </c>
      <c r="M132" s="204"/>
      <c r="N132" s="126" t="s">
        <v>504</v>
      </c>
      <c r="O132" s="126"/>
      <c r="P132" s="126"/>
      <c r="Q132" s="126" t="s">
        <v>6</v>
      </c>
      <c r="R132" s="126" t="s">
        <v>6</v>
      </c>
      <c r="S132" s="126" t="s">
        <v>6</v>
      </c>
      <c r="T132" s="40" t="s">
        <v>6</v>
      </c>
      <c r="U132" s="218" t="s">
        <v>1193</v>
      </c>
      <c r="V132" s="204"/>
      <c r="W132" s="412" t="s">
        <v>137</v>
      </c>
      <c r="X132" s="199"/>
      <c r="Y132" s="199"/>
      <c r="Z132" s="199"/>
      <c r="AA132" s="126" t="s">
        <v>6</v>
      </c>
      <c r="AB132" s="198"/>
      <c r="AC132" s="199"/>
      <c r="AD132" s="199"/>
      <c r="AE132" s="412" t="s">
        <v>137</v>
      </c>
      <c r="AF132" s="199"/>
      <c r="AG132" s="199"/>
      <c r="AH132" s="199"/>
      <c r="AI132" s="126" t="s">
        <v>6</v>
      </c>
      <c r="AJ132" s="198"/>
      <c r="AK132" s="199"/>
      <c r="AL132" s="199"/>
      <c r="AM132" s="199"/>
      <c r="AN132" s="199"/>
      <c r="AO132" s="199"/>
      <c r="AP132" s="199"/>
      <c r="AQ132" s="199"/>
      <c r="AR132" s="199"/>
      <c r="AS132" s="199"/>
      <c r="AT132" s="199"/>
      <c r="AU132" s="199"/>
      <c r="AV132" s="199"/>
      <c r="AW132" s="155">
        <v>34</v>
      </c>
    </row>
    <row r="133" spans="1:87" s="236" customFormat="1" ht="15">
      <c r="A133" s="40">
        <v>408</v>
      </c>
      <c r="B133" s="199"/>
      <c r="C133" s="199"/>
      <c r="D133" s="199"/>
      <c r="E133" s="199"/>
      <c r="F133" s="199"/>
      <c r="G133" s="199"/>
      <c r="H133" s="199"/>
      <c r="I133" s="199"/>
      <c r="J133" s="412" t="s">
        <v>2409</v>
      </c>
      <c r="K133" s="412" t="s">
        <v>140</v>
      </c>
      <c r="L133" s="204" t="s">
        <v>1203</v>
      </c>
      <c r="M133" s="204"/>
      <c r="N133" s="126" t="s">
        <v>504</v>
      </c>
      <c r="O133" s="126"/>
      <c r="P133" s="126"/>
      <c r="Q133" s="126" t="s">
        <v>6</v>
      </c>
      <c r="R133" s="126" t="s">
        <v>6</v>
      </c>
      <c r="S133" s="126" t="s">
        <v>6</v>
      </c>
      <c r="T133" s="40" t="s">
        <v>6</v>
      </c>
      <c r="U133" s="218" t="s">
        <v>1193</v>
      </c>
      <c r="V133" s="204"/>
      <c r="W133" s="412" t="s">
        <v>137</v>
      </c>
      <c r="X133" s="199"/>
      <c r="Y133" s="199"/>
      <c r="Z133" s="199"/>
      <c r="AA133" s="126" t="s">
        <v>6</v>
      </c>
      <c r="AB133" s="198"/>
      <c r="AC133" s="199"/>
      <c r="AD133" s="199"/>
      <c r="AE133" s="412" t="s">
        <v>137</v>
      </c>
      <c r="AF133" s="199"/>
      <c r="AG133" s="199"/>
      <c r="AH133" s="199"/>
      <c r="AI133" s="126" t="s">
        <v>6</v>
      </c>
      <c r="AJ133" s="198"/>
      <c r="AK133" s="199"/>
      <c r="AL133" s="199"/>
      <c r="AM133" s="199"/>
      <c r="AN133" s="199"/>
      <c r="AO133" s="199"/>
      <c r="AP133" s="199"/>
      <c r="AQ133" s="199"/>
      <c r="AR133" s="199"/>
      <c r="AS133" s="199"/>
      <c r="AT133" s="199"/>
      <c r="AU133" s="199"/>
      <c r="AV133" s="199"/>
      <c r="AW133" s="155">
        <v>34</v>
      </c>
    </row>
    <row r="134" spans="1:87" s="236" customFormat="1" ht="15">
      <c r="A134" s="40">
        <v>408</v>
      </c>
      <c r="B134" s="199"/>
      <c r="C134" s="199"/>
      <c r="D134" s="199"/>
      <c r="E134" s="199"/>
      <c r="F134" s="199"/>
      <c r="G134" s="199"/>
      <c r="H134" s="199"/>
      <c r="I134" s="199"/>
      <c r="J134" s="412" t="s">
        <v>2410</v>
      </c>
      <c r="K134" s="412" t="s">
        <v>140</v>
      </c>
      <c r="L134" s="204" t="s">
        <v>1205</v>
      </c>
      <c r="M134" s="204"/>
      <c r="N134" s="126" t="s">
        <v>504</v>
      </c>
      <c r="O134" s="126"/>
      <c r="P134" s="126"/>
      <c r="Q134" s="126" t="s">
        <v>6</v>
      </c>
      <c r="R134" s="126" t="s">
        <v>6</v>
      </c>
      <c r="S134" s="126" t="s">
        <v>6</v>
      </c>
      <c r="T134" s="40" t="s">
        <v>6</v>
      </c>
      <c r="U134" s="218" t="s">
        <v>1193</v>
      </c>
      <c r="V134" s="204"/>
      <c r="W134" s="412" t="s">
        <v>137</v>
      </c>
      <c r="X134" s="199"/>
      <c r="Y134" s="199"/>
      <c r="Z134" s="199"/>
      <c r="AA134" s="126" t="s">
        <v>6</v>
      </c>
      <c r="AB134" s="198"/>
      <c r="AC134" s="199"/>
      <c r="AD134" s="199"/>
      <c r="AE134" s="412" t="s">
        <v>137</v>
      </c>
      <c r="AF134" s="199"/>
      <c r="AG134" s="199"/>
      <c r="AH134" s="199"/>
      <c r="AI134" s="126" t="s">
        <v>6</v>
      </c>
      <c r="AJ134" s="198"/>
      <c r="AK134" s="199"/>
      <c r="AL134" s="199"/>
      <c r="AM134" s="199"/>
      <c r="AN134" s="199"/>
      <c r="AO134" s="199"/>
      <c r="AP134" s="199"/>
      <c r="AQ134" s="199"/>
      <c r="AR134" s="199"/>
      <c r="AS134" s="199"/>
      <c r="AT134" s="199"/>
      <c r="AU134" s="199"/>
      <c r="AV134" s="199"/>
      <c r="AW134" s="155">
        <v>34</v>
      </c>
    </row>
    <row r="135" spans="1:87" s="236" customFormat="1" ht="15">
      <c r="A135" s="40">
        <v>408</v>
      </c>
      <c r="B135" s="199"/>
      <c r="C135" s="199"/>
      <c r="D135" s="199"/>
      <c r="E135" s="199"/>
      <c r="F135" s="199"/>
      <c r="G135" s="199"/>
      <c r="H135" s="199"/>
      <c r="I135" s="199"/>
      <c r="J135" s="412" t="s">
        <v>2411</v>
      </c>
      <c r="K135" s="412" t="s">
        <v>140</v>
      </c>
      <c r="L135" s="204" t="s">
        <v>1207</v>
      </c>
      <c r="M135" s="204"/>
      <c r="N135" s="126" t="s">
        <v>504</v>
      </c>
      <c r="O135" s="126"/>
      <c r="P135" s="126"/>
      <c r="Q135" s="126" t="s">
        <v>6</v>
      </c>
      <c r="R135" s="126" t="s">
        <v>6</v>
      </c>
      <c r="S135" s="126" t="s">
        <v>6</v>
      </c>
      <c r="T135" s="40" t="s">
        <v>6</v>
      </c>
      <c r="U135" s="218" t="s">
        <v>1193</v>
      </c>
      <c r="V135" s="204"/>
      <c r="W135" s="412" t="s">
        <v>137</v>
      </c>
      <c r="X135" s="199"/>
      <c r="Y135" s="199"/>
      <c r="Z135" s="199"/>
      <c r="AA135" s="126" t="s">
        <v>6</v>
      </c>
      <c r="AB135" s="198"/>
      <c r="AC135" s="199"/>
      <c r="AD135" s="199"/>
      <c r="AE135" s="412" t="s">
        <v>137</v>
      </c>
      <c r="AF135" s="199"/>
      <c r="AG135" s="199"/>
      <c r="AH135" s="199"/>
      <c r="AI135" s="126" t="s">
        <v>6</v>
      </c>
      <c r="AJ135" s="198"/>
      <c r="AK135" s="199"/>
      <c r="AL135" s="199"/>
      <c r="AM135" s="199"/>
      <c r="AN135" s="199"/>
      <c r="AO135" s="199"/>
      <c r="AP135" s="199"/>
      <c r="AQ135" s="199"/>
      <c r="AR135" s="199"/>
      <c r="AS135" s="199"/>
      <c r="AT135" s="199"/>
      <c r="AU135" s="199"/>
      <c r="AV135" s="199"/>
      <c r="AW135" s="155">
        <v>34</v>
      </c>
    </row>
    <row r="136" spans="1:87" s="12" customFormat="1" ht="27" customHeight="1">
      <c r="A136" s="40">
        <f t="shared" ref="A136:A141" si="11">ROW() - 6</f>
        <v>130</v>
      </c>
      <c r="B136" s="38"/>
      <c r="C136" s="42"/>
      <c r="D136" s="19"/>
      <c r="E136" s="19"/>
      <c r="F136" s="19"/>
      <c r="G136" s="19"/>
      <c r="H136" s="13"/>
      <c r="I136" s="13"/>
      <c r="J136" s="218" t="s">
        <v>2437</v>
      </c>
      <c r="K136" s="412" t="s">
        <v>117</v>
      </c>
      <c r="L136" s="204" t="s">
        <v>801</v>
      </c>
      <c r="M136" s="367"/>
      <c r="N136" s="416" t="s">
        <v>504</v>
      </c>
      <c r="O136" s="126"/>
      <c r="P136" s="126"/>
      <c r="Q136" s="416" t="s">
        <v>6</v>
      </c>
      <c r="R136" s="416" t="s">
        <v>6</v>
      </c>
      <c r="S136" s="40" t="s">
        <v>6</v>
      </c>
      <c r="T136" s="416" t="s">
        <v>6</v>
      </c>
      <c r="U136" s="200" t="s">
        <v>802</v>
      </c>
      <c r="V136" s="206"/>
      <c r="W136" s="412" t="s">
        <v>125</v>
      </c>
      <c r="X136" s="59"/>
      <c r="Y136" s="59"/>
      <c r="Z136" s="59"/>
      <c r="AA136" s="40" t="s">
        <v>6</v>
      </c>
      <c r="AB136" s="413"/>
      <c r="AC136" s="415"/>
      <c r="AD136" s="415"/>
      <c r="AE136" s="412" t="s">
        <v>125</v>
      </c>
      <c r="AF136" s="59"/>
      <c r="AG136" s="59"/>
      <c r="AH136" s="59"/>
      <c r="AI136" s="40" t="s">
        <v>6</v>
      </c>
      <c r="AJ136" s="413"/>
      <c r="AK136" s="415"/>
      <c r="AL136" s="415"/>
      <c r="AM136" s="43"/>
      <c r="AN136" s="44"/>
      <c r="AO136" s="13"/>
      <c r="AP136" s="13"/>
      <c r="AQ136" s="13"/>
      <c r="AR136" s="13"/>
      <c r="AS136" s="13"/>
      <c r="AT136" s="13"/>
      <c r="AU136" s="13"/>
      <c r="AV136" s="13"/>
      <c r="AW136" s="18">
        <f>LEN(L136)</f>
        <v>21</v>
      </c>
      <c r="AX136" s="16"/>
      <c r="AY136" s="17"/>
    </row>
    <row r="137" spans="1:87" s="18" customFormat="1" ht="15">
      <c r="A137" s="40">
        <f t="shared" si="11"/>
        <v>131</v>
      </c>
      <c r="B137" s="38"/>
      <c r="C137" s="42"/>
      <c r="D137" s="38"/>
      <c r="E137" s="46"/>
      <c r="F137" s="46"/>
      <c r="G137" s="46"/>
      <c r="H137" s="13"/>
      <c r="I137" s="40"/>
      <c r="J137" s="218" t="s">
        <v>2438</v>
      </c>
      <c r="K137" s="412" t="s">
        <v>117</v>
      </c>
      <c r="L137" s="204" t="s">
        <v>804</v>
      </c>
      <c r="M137" s="367"/>
      <c r="N137" s="416" t="s">
        <v>504</v>
      </c>
      <c r="O137" s="126"/>
      <c r="P137" s="126"/>
      <c r="Q137" s="416" t="s">
        <v>6</v>
      </c>
      <c r="R137" s="416" t="s">
        <v>6</v>
      </c>
      <c r="S137" s="40" t="s">
        <v>6</v>
      </c>
      <c r="T137" s="416" t="s">
        <v>6</v>
      </c>
      <c r="U137" s="200" t="s">
        <v>802</v>
      </c>
      <c r="V137" s="206"/>
      <c r="W137" s="412" t="s">
        <v>125</v>
      </c>
      <c r="X137" s="59"/>
      <c r="Y137" s="59"/>
      <c r="Z137" s="59"/>
      <c r="AA137" s="40" t="s">
        <v>6</v>
      </c>
      <c r="AB137" s="413"/>
      <c r="AC137" s="413"/>
      <c r="AD137" s="413"/>
      <c r="AE137" s="412" t="s">
        <v>125</v>
      </c>
      <c r="AF137" s="59"/>
      <c r="AG137" s="59"/>
      <c r="AH137" s="59"/>
      <c r="AI137" s="40" t="s">
        <v>6</v>
      </c>
      <c r="AJ137" s="413"/>
      <c r="AK137" s="413"/>
      <c r="AL137" s="413"/>
      <c r="AM137" s="43"/>
      <c r="AN137" s="19"/>
      <c r="AO137" s="15"/>
      <c r="AP137" s="15"/>
      <c r="AQ137" s="15"/>
      <c r="AR137" s="15"/>
      <c r="AS137" s="15"/>
      <c r="AT137" s="15"/>
      <c r="AU137" s="15"/>
      <c r="AV137" s="13"/>
      <c r="AW137" s="18">
        <f>LEN(L137)</f>
        <v>25</v>
      </c>
      <c r="AX137" s="12"/>
      <c r="AY137" s="12"/>
      <c r="AZ137" s="12"/>
      <c r="BA137" s="12"/>
      <c r="BB137" s="12"/>
      <c r="BC137" s="12"/>
      <c r="BD137" s="12"/>
      <c r="BE137" s="12"/>
      <c r="BF137" s="12"/>
      <c r="BG137" s="12"/>
      <c r="BH137" s="12"/>
      <c r="BI137" s="12"/>
      <c r="BJ137" s="12"/>
      <c r="BK137" s="12"/>
      <c r="BL137" s="12"/>
      <c r="BM137" s="12"/>
      <c r="BN137" s="12"/>
      <c r="BO137" s="12"/>
      <c r="BP137" s="12"/>
      <c r="BQ137" s="12"/>
      <c r="BR137" s="12"/>
      <c r="BS137" s="12"/>
      <c r="BT137" s="12"/>
      <c r="BU137" s="12"/>
      <c r="BV137" s="12"/>
      <c r="BW137" s="12"/>
      <c r="BX137" s="12"/>
      <c r="BY137" s="12"/>
      <c r="BZ137" s="12"/>
      <c r="CA137" s="12"/>
      <c r="CB137" s="12"/>
      <c r="CC137" s="12"/>
      <c r="CD137" s="12"/>
      <c r="CE137" s="12"/>
      <c r="CF137" s="12"/>
      <c r="CG137" s="12"/>
      <c r="CH137" s="12"/>
      <c r="CI137" s="12"/>
    </row>
    <row r="138" spans="1:87" s="236" customFormat="1" ht="15" customHeight="1">
      <c r="A138" s="40">
        <f>ROW() - 6</f>
        <v>132</v>
      </c>
      <c r="B138" s="199"/>
      <c r="C138" s="199"/>
      <c r="D138" s="199"/>
      <c r="E138" s="199"/>
      <c r="F138" s="199"/>
      <c r="G138" s="199"/>
      <c r="H138" s="199"/>
      <c r="I138" s="199"/>
      <c r="J138" s="218" t="s">
        <v>3388</v>
      </c>
      <c r="K138" s="204" t="s">
        <v>117</v>
      </c>
      <c r="L138" s="204" t="s">
        <v>732</v>
      </c>
      <c r="M138" s="204"/>
      <c r="N138" s="40" t="s">
        <v>504</v>
      </c>
      <c r="O138" s="199"/>
      <c r="P138" s="199"/>
      <c r="Q138" s="40" t="s">
        <v>6</v>
      </c>
      <c r="R138" s="40" t="s">
        <v>6</v>
      </c>
      <c r="S138" s="40" t="s">
        <v>6</v>
      </c>
      <c r="T138" s="40" t="s">
        <v>6</v>
      </c>
      <c r="U138" s="204" t="s">
        <v>733</v>
      </c>
      <c r="V138" s="204"/>
      <c r="W138" s="204"/>
      <c r="X138" s="199"/>
      <c r="Y138" s="199"/>
      <c r="Z138" s="40"/>
      <c r="AA138" s="40"/>
      <c r="AB138" s="218"/>
      <c r="AC138" s="199"/>
      <c r="AD138" s="218"/>
      <c r="AE138" s="204"/>
      <c r="AF138" s="199"/>
      <c r="AG138" s="199"/>
      <c r="AH138" s="199"/>
      <c r="AI138" s="40"/>
      <c r="AJ138" s="218"/>
      <c r="AK138" s="199"/>
      <c r="AL138" s="218"/>
      <c r="AM138" s="199"/>
      <c r="AN138" s="199"/>
      <c r="AO138" s="199"/>
      <c r="AP138" s="199"/>
      <c r="AQ138" s="199"/>
      <c r="AR138" s="199"/>
      <c r="AS138" s="199"/>
      <c r="AT138" s="199"/>
      <c r="AU138" s="199"/>
      <c r="AV138" s="199"/>
      <c r="AW138" s="155">
        <f t="shared" ref="AW138" si="12">LEN(L138)</f>
        <v>29</v>
      </c>
    </row>
    <row r="139" spans="1:87" s="20" customFormat="1" ht="15">
      <c r="A139" s="40">
        <f t="shared" si="11"/>
        <v>133</v>
      </c>
      <c r="B139" s="59"/>
      <c r="C139" s="59"/>
      <c r="D139" s="59"/>
      <c r="E139" s="59"/>
      <c r="F139" s="59"/>
      <c r="G139" s="59"/>
      <c r="H139" s="59"/>
      <c r="I139" s="59"/>
      <c r="J139" s="218" t="s">
        <v>2439</v>
      </c>
      <c r="K139" s="232" t="s">
        <v>134</v>
      </c>
      <c r="L139" s="204" t="s">
        <v>744</v>
      </c>
      <c r="M139" s="367"/>
      <c r="N139" s="416" t="s">
        <v>504</v>
      </c>
      <c r="O139" s="126"/>
      <c r="P139" s="126"/>
      <c r="Q139" s="40" t="s">
        <v>6</v>
      </c>
      <c r="R139" s="40" t="s">
        <v>6</v>
      </c>
      <c r="S139" s="40" t="s">
        <v>6</v>
      </c>
      <c r="T139" s="416" t="s">
        <v>6</v>
      </c>
      <c r="U139" s="200" t="s">
        <v>802</v>
      </c>
      <c r="V139" s="206"/>
      <c r="W139" s="232" t="s">
        <v>137</v>
      </c>
      <c r="X139" s="59"/>
      <c r="Y139" s="59"/>
      <c r="Z139" s="59"/>
      <c r="AA139" s="40" t="s">
        <v>6</v>
      </c>
      <c r="AB139" s="15"/>
      <c r="AC139" s="59"/>
      <c r="AD139" s="59"/>
      <c r="AE139" s="232" t="s">
        <v>137</v>
      </c>
      <c r="AF139" s="59"/>
      <c r="AG139" s="59"/>
      <c r="AH139" s="59"/>
      <c r="AI139" s="40" t="s">
        <v>6</v>
      </c>
      <c r="AJ139" s="15"/>
      <c r="AK139" s="59"/>
      <c r="AL139" s="59"/>
      <c r="AM139" s="59"/>
      <c r="AN139" s="59"/>
      <c r="AO139" s="59"/>
      <c r="AP139" s="59"/>
      <c r="AQ139" s="59"/>
      <c r="AR139" s="59"/>
      <c r="AS139" s="59"/>
      <c r="AT139" s="59"/>
      <c r="AU139" s="59"/>
      <c r="AV139" s="59"/>
      <c r="AW139" s="18">
        <f>LEN(L139)</f>
        <v>17</v>
      </c>
    </row>
    <row r="140" spans="1:87" s="20" customFormat="1" ht="15">
      <c r="A140" s="40">
        <f>ROW() - 6</f>
        <v>134</v>
      </c>
      <c r="B140" s="59"/>
      <c r="C140" s="59"/>
      <c r="D140" s="59"/>
      <c r="E140" s="59"/>
      <c r="F140" s="59"/>
      <c r="G140" s="59"/>
      <c r="H140" s="59"/>
      <c r="I140" s="59"/>
      <c r="J140" s="218" t="s">
        <v>3387</v>
      </c>
      <c r="K140" s="232" t="s">
        <v>117</v>
      </c>
      <c r="L140" s="204" t="s">
        <v>3362</v>
      </c>
      <c r="M140" s="204"/>
      <c r="N140" s="40" t="s">
        <v>504</v>
      </c>
      <c r="O140" s="126"/>
      <c r="P140" s="126"/>
      <c r="Q140" s="40" t="s">
        <v>6</v>
      </c>
      <c r="R140" s="40" t="s">
        <v>6</v>
      </c>
      <c r="S140" s="40" t="s">
        <v>6</v>
      </c>
      <c r="T140" s="40" t="s">
        <v>6</v>
      </c>
      <c r="U140" s="200" t="s">
        <v>747</v>
      </c>
      <c r="V140" s="206"/>
      <c r="W140" s="204"/>
      <c r="X140" s="59"/>
      <c r="Y140" s="59"/>
      <c r="Z140" s="40"/>
      <c r="AA140" s="40"/>
      <c r="AB140" s="15"/>
      <c r="AC140" s="59"/>
      <c r="AD140" s="59"/>
      <c r="AE140" s="232"/>
      <c r="AF140" s="59"/>
      <c r="AG140" s="59"/>
      <c r="AH140" s="59"/>
      <c r="AI140" s="40"/>
      <c r="AJ140" s="15"/>
      <c r="AK140" s="59"/>
      <c r="AL140" s="59"/>
      <c r="AM140" s="59"/>
      <c r="AN140" s="59"/>
      <c r="AO140" s="59"/>
      <c r="AP140" s="59"/>
      <c r="AQ140" s="59"/>
      <c r="AR140" s="59"/>
      <c r="AS140" s="59"/>
      <c r="AT140" s="59"/>
      <c r="AU140" s="59"/>
      <c r="AV140" s="59"/>
      <c r="AW140" s="18"/>
    </row>
    <row r="141" spans="1:87" s="20" customFormat="1" ht="15">
      <c r="A141" s="40">
        <f t="shared" si="11"/>
        <v>135</v>
      </c>
      <c r="B141" s="59"/>
      <c r="C141" s="59"/>
      <c r="D141" s="59"/>
      <c r="E141" s="59"/>
      <c r="F141" s="59"/>
      <c r="G141" s="59"/>
      <c r="H141" s="59"/>
      <c r="I141" s="59"/>
      <c r="J141" s="218" t="s">
        <v>2440</v>
      </c>
      <c r="K141" s="204" t="s">
        <v>117</v>
      </c>
      <c r="L141" s="204" t="s">
        <v>737</v>
      </c>
      <c r="M141" s="367"/>
      <c r="N141" s="416" t="s">
        <v>504</v>
      </c>
      <c r="O141" s="126"/>
      <c r="P141" s="126"/>
      <c r="Q141" s="40" t="s">
        <v>6</v>
      </c>
      <c r="R141" s="40" t="s">
        <v>6</v>
      </c>
      <c r="S141" s="40" t="s">
        <v>6</v>
      </c>
      <c r="T141" s="416" t="s">
        <v>6</v>
      </c>
      <c r="U141" s="200" t="s">
        <v>802</v>
      </c>
      <c r="V141" s="206"/>
      <c r="W141" s="204" t="s">
        <v>125</v>
      </c>
      <c r="X141" s="59"/>
      <c r="Y141" s="59"/>
      <c r="Z141" s="59"/>
      <c r="AA141" s="40" t="s">
        <v>6</v>
      </c>
      <c r="AB141" s="15"/>
      <c r="AC141" s="59"/>
      <c r="AD141" s="59"/>
      <c r="AE141" s="204" t="s">
        <v>125</v>
      </c>
      <c r="AF141" s="59"/>
      <c r="AG141" s="59"/>
      <c r="AH141" s="59"/>
      <c r="AI141" s="40" t="s">
        <v>6</v>
      </c>
      <c r="AJ141" s="15"/>
      <c r="AK141" s="59"/>
      <c r="AL141" s="59"/>
      <c r="AM141" s="59"/>
      <c r="AN141" s="59"/>
      <c r="AO141" s="59"/>
      <c r="AP141" s="59"/>
      <c r="AQ141" s="59"/>
      <c r="AR141" s="59"/>
      <c r="AS141" s="59"/>
      <c r="AT141" s="59"/>
      <c r="AU141" s="59"/>
      <c r="AV141" s="59"/>
      <c r="AW141" s="18">
        <f>LEN(L141)</f>
        <v>28</v>
      </c>
    </row>
    <row r="142" spans="1:87" s="20" customFormat="1" ht="15">
      <c r="A142" s="40">
        <f>ROW() - 6</f>
        <v>136</v>
      </c>
      <c r="B142" s="59"/>
      <c r="C142" s="59"/>
      <c r="D142" s="59"/>
      <c r="E142" s="59"/>
      <c r="F142" s="59"/>
      <c r="G142" s="59"/>
      <c r="H142" s="59"/>
      <c r="I142" s="59"/>
      <c r="J142" s="218" t="s">
        <v>2441</v>
      </c>
      <c r="K142" s="204" t="s">
        <v>117</v>
      </c>
      <c r="L142" s="204" t="s">
        <v>735</v>
      </c>
      <c r="M142" s="204"/>
      <c r="N142" s="126" t="s">
        <v>504</v>
      </c>
      <c r="O142" s="126"/>
      <c r="P142" s="126"/>
      <c r="Q142" s="40" t="s">
        <v>6</v>
      </c>
      <c r="R142" s="40" t="s">
        <v>6</v>
      </c>
      <c r="S142" s="40" t="s">
        <v>6</v>
      </c>
      <c r="T142" s="40" t="s">
        <v>6</v>
      </c>
      <c r="U142" s="200" t="s">
        <v>802</v>
      </c>
      <c r="V142" s="206"/>
      <c r="W142" s="204" t="s">
        <v>125</v>
      </c>
      <c r="X142" s="59"/>
      <c r="Y142" s="59"/>
      <c r="Z142" s="59"/>
      <c r="AA142" s="40" t="s">
        <v>6</v>
      </c>
      <c r="AB142" s="218"/>
      <c r="AC142" s="59"/>
      <c r="AD142" s="218"/>
      <c r="AE142" s="204" t="s">
        <v>125</v>
      </c>
      <c r="AF142" s="59"/>
      <c r="AG142" s="59"/>
      <c r="AH142" s="59"/>
      <c r="AI142" s="40" t="s">
        <v>6</v>
      </c>
      <c r="AJ142" s="218"/>
      <c r="AK142" s="59"/>
      <c r="AL142" s="218"/>
      <c r="AM142" s="59"/>
      <c r="AN142" s="59"/>
      <c r="AO142" s="59"/>
      <c r="AP142" s="59"/>
      <c r="AQ142" s="59"/>
      <c r="AR142" s="59"/>
      <c r="AS142" s="59"/>
      <c r="AT142" s="59"/>
      <c r="AU142" s="59"/>
      <c r="AV142" s="59"/>
      <c r="AW142" s="18">
        <v>14</v>
      </c>
    </row>
    <row r="143" spans="1:87" s="18" customFormat="1" ht="15">
      <c r="A143" s="40">
        <f>ROW() - 6</f>
        <v>137</v>
      </c>
      <c r="B143" s="19"/>
      <c r="C143" s="41"/>
      <c r="D143" s="19"/>
      <c r="E143" s="19"/>
      <c r="F143" s="19"/>
      <c r="G143" s="19"/>
      <c r="H143" s="13"/>
      <c r="I143" s="13"/>
      <c r="J143" s="218" t="s">
        <v>3325</v>
      </c>
      <c r="K143" s="412" t="s">
        <v>117</v>
      </c>
      <c r="L143" s="204" t="s">
        <v>740</v>
      </c>
      <c r="M143" s="204"/>
      <c r="N143" s="126" t="s">
        <v>504</v>
      </c>
      <c r="O143" s="126"/>
      <c r="P143" s="40"/>
      <c r="Q143" s="126" t="s">
        <v>6</v>
      </c>
      <c r="R143" s="126" t="s">
        <v>6</v>
      </c>
      <c r="S143" s="126" t="s">
        <v>6</v>
      </c>
      <c r="T143" s="40" t="s">
        <v>6</v>
      </c>
      <c r="U143" s="200" t="s">
        <v>3384</v>
      </c>
      <c r="V143" s="206"/>
      <c r="W143" s="412" t="s">
        <v>125</v>
      </c>
      <c r="X143" s="59"/>
      <c r="Y143" s="59"/>
      <c r="Z143" s="59"/>
      <c r="AA143" s="61" t="s">
        <v>6</v>
      </c>
      <c r="AB143" s="79"/>
      <c r="AC143" s="59"/>
      <c r="AD143" s="218" t="s">
        <v>809</v>
      </c>
      <c r="AE143" s="412" t="s">
        <v>125</v>
      </c>
      <c r="AF143" s="59"/>
      <c r="AG143" s="59"/>
      <c r="AH143" s="59"/>
      <c r="AI143" s="61" t="s">
        <v>6</v>
      </c>
      <c r="AJ143" s="79"/>
      <c r="AK143" s="59"/>
      <c r="AL143" s="218" t="s">
        <v>809</v>
      </c>
      <c r="AM143" s="43"/>
      <c r="AN143" s="19"/>
      <c r="AO143" s="15"/>
      <c r="AP143" s="15"/>
      <c r="AQ143" s="15"/>
      <c r="AR143" s="15"/>
      <c r="AS143" s="15"/>
      <c r="AT143" s="15"/>
      <c r="AU143" s="13"/>
      <c r="AV143" s="15"/>
      <c r="AW143" s="18">
        <v>18</v>
      </c>
      <c r="AX143" s="12"/>
      <c r="AY143" s="12"/>
      <c r="AZ143" s="12"/>
      <c r="BA143" s="12"/>
      <c r="BB143" s="12"/>
      <c r="BC143" s="12"/>
      <c r="BD143" s="12"/>
      <c r="BE143" s="12"/>
      <c r="BF143" s="12"/>
      <c r="BG143" s="12"/>
      <c r="BH143" s="12"/>
      <c r="BI143" s="12"/>
      <c r="BJ143" s="12"/>
      <c r="BK143" s="12"/>
      <c r="BL143" s="12"/>
      <c r="BM143" s="12"/>
      <c r="BN143" s="12"/>
      <c r="BO143" s="12"/>
      <c r="BP143" s="12"/>
      <c r="BQ143" s="12"/>
      <c r="BR143" s="12"/>
      <c r="BS143" s="12"/>
      <c r="BT143" s="12"/>
      <c r="BU143" s="12"/>
      <c r="BV143" s="12"/>
      <c r="BW143" s="12"/>
      <c r="BX143" s="12"/>
      <c r="BY143" s="12"/>
      <c r="BZ143" s="12"/>
      <c r="CA143" s="12"/>
      <c r="CB143" s="12"/>
      <c r="CC143" s="12"/>
      <c r="CD143" s="12"/>
      <c r="CE143" s="12"/>
      <c r="CF143" s="12"/>
      <c r="CG143" s="12"/>
      <c r="CH143" s="12"/>
      <c r="CI143" s="12"/>
    </row>
    <row r="144" spans="1:87" s="278" customFormat="1" ht="25.5" customHeight="1">
      <c r="A144" s="202">
        <f t="shared" si="7"/>
        <v>138</v>
      </c>
      <c r="B144" s="219"/>
      <c r="C144" s="219"/>
      <c r="D144" s="219"/>
      <c r="E144" s="219"/>
      <c r="F144" s="219"/>
      <c r="G144" s="219"/>
      <c r="H144" s="219"/>
      <c r="I144" s="219"/>
      <c r="J144" s="218" t="s">
        <v>2292</v>
      </c>
      <c r="K144" s="204" t="s">
        <v>125</v>
      </c>
      <c r="L144" s="204" t="s">
        <v>1437</v>
      </c>
      <c r="M144" s="204"/>
      <c r="N144" s="126" t="s">
        <v>504</v>
      </c>
      <c r="O144" s="203"/>
      <c r="P144" s="203"/>
      <c r="Q144" s="202"/>
      <c r="R144" s="202"/>
      <c r="S144" s="202" t="s">
        <v>6</v>
      </c>
      <c r="T144" s="40" t="s">
        <v>6</v>
      </c>
      <c r="U144" s="201"/>
      <c r="V144" s="275"/>
      <c r="W144" s="204" t="s">
        <v>125</v>
      </c>
      <c r="X144" s="219"/>
      <c r="Y144" s="219"/>
      <c r="Z144" s="219"/>
      <c r="AA144" s="202" t="s">
        <v>6</v>
      </c>
      <c r="AB144" s="275"/>
      <c r="AC144" s="219"/>
      <c r="AD144" s="219"/>
      <c r="AE144" s="204" t="s">
        <v>125</v>
      </c>
      <c r="AF144" s="219"/>
      <c r="AG144" s="219"/>
      <c r="AH144" s="219"/>
      <c r="AI144" s="202" t="s">
        <v>6</v>
      </c>
      <c r="AJ144" s="275"/>
      <c r="AK144" s="219"/>
      <c r="AL144" s="219"/>
      <c r="AM144" s="201" t="s">
        <v>2291</v>
      </c>
      <c r="AN144" s="216" t="e">
        <f>"Agrupamento itens "&amp;#REF!&amp;", "&amp;#REF!&amp;", "&amp;#REF!&amp;", "&amp;#REF!</f>
        <v>#REF!</v>
      </c>
      <c r="AO144" s="219"/>
      <c r="AP144" s="219"/>
      <c r="AQ144" s="219"/>
      <c r="AR144" s="219"/>
      <c r="AS144" s="219"/>
      <c r="AT144" s="219"/>
      <c r="AU144" s="219"/>
      <c r="AV144" s="219"/>
      <c r="AW144" s="18">
        <f t="shared" si="8"/>
        <v>31</v>
      </c>
    </row>
    <row r="145" spans="1:87" s="20" customFormat="1" ht="15">
      <c r="A145" s="40">
        <f t="shared" si="7"/>
        <v>139</v>
      </c>
      <c r="B145" s="59"/>
      <c r="C145" s="59"/>
      <c r="D145" s="59"/>
      <c r="E145" s="59"/>
      <c r="F145" s="59"/>
      <c r="G145" s="59"/>
      <c r="H145" s="59"/>
      <c r="I145" s="59"/>
      <c r="J145" s="218" t="s">
        <v>1574</v>
      </c>
      <c r="K145" s="204" t="s">
        <v>125</v>
      </c>
      <c r="L145" s="204" t="s">
        <v>798</v>
      </c>
      <c r="M145" s="204"/>
      <c r="N145" s="126" t="s">
        <v>504</v>
      </c>
      <c r="O145" s="126"/>
      <c r="P145" s="126"/>
      <c r="Q145" s="40"/>
      <c r="R145" s="40"/>
      <c r="S145" s="40" t="s">
        <v>6</v>
      </c>
      <c r="T145" s="40" t="s">
        <v>6</v>
      </c>
      <c r="U145" s="198"/>
      <c r="V145" s="275"/>
      <c r="W145" s="204" t="s">
        <v>125</v>
      </c>
      <c r="X145" s="59"/>
      <c r="Y145" s="59"/>
      <c r="Z145" s="59"/>
      <c r="AA145" s="40" t="s">
        <v>6</v>
      </c>
      <c r="AB145" s="15"/>
      <c r="AC145" s="59"/>
      <c r="AD145" s="59"/>
      <c r="AE145" s="204" t="s">
        <v>125</v>
      </c>
      <c r="AF145" s="59"/>
      <c r="AG145" s="59"/>
      <c r="AH145" s="59"/>
      <c r="AI145" s="40" t="s">
        <v>6</v>
      </c>
      <c r="AJ145" s="15"/>
      <c r="AK145" s="59"/>
      <c r="AL145" s="59"/>
      <c r="AM145" s="199" t="s">
        <v>2412</v>
      </c>
      <c r="AN145" s="216" t="e">
        <f>"Agrupamento itens "&amp;#REF!&amp;", "&amp;#REF!&amp;", "&amp;#REF!&amp;" a "&amp;#REF!&amp;", "&amp;#REF!&amp;" a "&amp;#REF!</f>
        <v>#REF!</v>
      </c>
      <c r="AO145" s="59"/>
      <c r="AP145" s="59"/>
      <c r="AQ145" s="59"/>
      <c r="AR145" s="59"/>
      <c r="AS145" s="59"/>
      <c r="AT145" s="59"/>
      <c r="AU145" s="59"/>
      <c r="AV145" s="59"/>
      <c r="AW145" s="18">
        <f t="shared" si="8"/>
        <v>29</v>
      </c>
    </row>
    <row r="146" spans="1:87" s="12" customFormat="1" ht="39.6">
      <c r="A146" s="40">
        <f t="shared" si="7"/>
        <v>140</v>
      </c>
      <c r="B146" s="38"/>
      <c r="C146" s="42"/>
      <c r="D146" s="19"/>
      <c r="E146" s="19"/>
      <c r="F146" s="35"/>
      <c r="G146" s="35"/>
      <c r="H146" s="414"/>
      <c r="I146" s="13"/>
      <c r="J146" s="412" t="s">
        <v>5252</v>
      </c>
      <c r="K146" s="232" t="s">
        <v>132</v>
      </c>
      <c r="L146" s="457" t="s">
        <v>5253</v>
      </c>
      <c r="M146" s="204" t="s">
        <v>4378</v>
      </c>
      <c r="N146" s="126" t="s">
        <v>504</v>
      </c>
      <c r="O146" s="126"/>
      <c r="P146" s="126"/>
      <c r="Q146" s="126" t="s">
        <v>6</v>
      </c>
      <c r="R146" s="126" t="s">
        <v>6</v>
      </c>
      <c r="S146" s="126" t="s">
        <v>6</v>
      </c>
      <c r="T146" s="40"/>
      <c r="U146" s="204" t="s">
        <v>5254</v>
      </c>
      <c r="V146" s="555"/>
      <c r="W146" s="232" t="s">
        <v>133</v>
      </c>
      <c r="X146" s="59"/>
      <c r="Y146" s="59"/>
      <c r="Z146" s="61" t="s">
        <v>6</v>
      </c>
      <c r="AA146" s="61" t="s">
        <v>6</v>
      </c>
      <c r="AB146" s="13"/>
      <c r="AC146" s="40"/>
      <c r="AD146" s="40"/>
      <c r="AE146" s="232" t="s">
        <v>133</v>
      </c>
      <c r="AF146" s="59"/>
      <c r="AG146" s="59"/>
      <c r="AH146" s="61" t="s">
        <v>6</v>
      </c>
      <c r="AI146" s="61" t="s">
        <v>6</v>
      </c>
      <c r="AJ146" s="13"/>
      <c r="AK146" s="40"/>
      <c r="AL146" s="40"/>
      <c r="AM146" s="43"/>
      <c r="AN146" s="44"/>
      <c r="AO146" s="13"/>
      <c r="AP146" s="13"/>
      <c r="AQ146" s="13"/>
      <c r="AR146" s="13"/>
      <c r="AS146" s="13"/>
      <c r="AT146" s="13"/>
      <c r="AU146" s="13"/>
      <c r="AV146" s="13"/>
      <c r="AW146" s="18">
        <v>46</v>
      </c>
    </row>
    <row r="147" spans="1:87" s="12" customFormat="1" ht="26.4">
      <c r="A147" s="40">
        <f t="shared" si="7"/>
        <v>141</v>
      </c>
      <c r="B147" s="33"/>
      <c r="C147" s="34"/>
      <c r="D147" s="33"/>
      <c r="E147" s="33"/>
      <c r="F147" s="33"/>
      <c r="G147" s="33"/>
      <c r="H147" s="414"/>
      <c r="I147" s="416"/>
      <c r="J147" s="412" t="s">
        <v>5255</v>
      </c>
      <c r="K147" s="232" t="s">
        <v>132</v>
      </c>
      <c r="L147" s="204" t="s">
        <v>4450</v>
      </c>
      <c r="M147" s="204" t="s">
        <v>4378</v>
      </c>
      <c r="N147" s="126" t="s">
        <v>504</v>
      </c>
      <c r="O147" s="126"/>
      <c r="P147" s="126"/>
      <c r="Q147" s="126"/>
      <c r="R147" s="126" t="s">
        <v>6</v>
      </c>
      <c r="S147" s="126" t="s">
        <v>6</v>
      </c>
      <c r="T147" s="126"/>
      <c r="U147" s="200" t="s">
        <v>1114</v>
      </c>
      <c r="V147" s="204"/>
      <c r="W147" s="232" t="s">
        <v>125</v>
      </c>
      <c r="X147" s="59"/>
      <c r="Y147" s="59"/>
      <c r="Z147" s="59"/>
      <c r="AA147" s="61" t="s">
        <v>6</v>
      </c>
      <c r="AB147" s="13"/>
      <c r="AC147" s="13"/>
      <c r="AD147" s="414"/>
      <c r="AE147" s="232" t="s">
        <v>125</v>
      </c>
      <c r="AF147" s="59"/>
      <c r="AG147" s="59"/>
      <c r="AH147" s="59"/>
      <c r="AI147" s="61" t="s">
        <v>6</v>
      </c>
      <c r="AJ147" s="13"/>
      <c r="AK147" s="13"/>
      <c r="AL147" s="414"/>
      <c r="AM147" s="36"/>
      <c r="AN147" s="259" t="s">
        <v>635</v>
      </c>
      <c r="AO147" s="37"/>
      <c r="AP147" s="37"/>
      <c r="AQ147" s="37"/>
      <c r="AR147" s="37"/>
      <c r="AS147" s="37"/>
      <c r="AT147" s="37"/>
      <c r="AU147" s="13"/>
      <c r="AV147" s="414"/>
      <c r="AW147" s="18">
        <v>29</v>
      </c>
    </row>
    <row r="148" spans="1:87" s="12" customFormat="1" ht="26.4">
      <c r="A148" s="40">
        <f t="shared" si="7"/>
        <v>142</v>
      </c>
      <c r="B148" s="38"/>
      <c r="C148" s="34"/>
      <c r="D148" s="33"/>
      <c r="E148" s="39"/>
      <c r="F148" s="39"/>
      <c r="G148" s="39"/>
      <c r="H148" s="414"/>
      <c r="I148" s="40"/>
      <c r="J148" s="412" t="s">
        <v>5256</v>
      </c>
      <c r="K148" s="232" t="s">
        <v>132</v>
      </c>
      <c r="L148" s="204" t="s">
        <v>4452</v>
      </c>
      <c r="M148" s="204" t="s">
        <v>4378</v>
      </c>
      <c r="N148" s="126" t="s">
        <v>504</v>
      </c>
      <c r="O148" s="126"/>
      <c r="P148" s="126"/>
      <c r="Q148" s="126"/>
      <c r="R148" s="126" t="s">
        <v>6</v>
      </c>
      <c r="S148" s="126" t="s">
        <v>6</v>
      </c>
      <c r="T148" s="126"/>
      <c r="U148" s="200" t="s">
        <v>1114</v>
      </c>
      <c r="V148" s="204"/>
      <c r="W148" s="232" t="s">
        <v>125</v>
      </c>
      <c r="X148" s="59"/>
      <c r="Y148" s="59"/>
      <c r="Z148" s="59"/>
      <c r="AA148" s="61" t="s">
        <v>6</v>
      </c>
      <c r="AB148" s="414"/>
      <c r="AC148" s="414"/>
      <c r="AD148" s="414"/>
      <c r="AE148" s="232" t="s">
        <v>125</v>
      </c>
      <c r="AF148" s="59"/>
      <c r="AG148" s="59"/>
      <c r="AH148" s="59"/>
      <c r="AI148" s="61" t="s">
        <v>6</v>
      </c>
      <c r="AJ148" s="414"/>
      <c r="AK148" s="414"/>
      <c r="AL148" s="414"/>
      <c r="AM148" s="36"/>
      <c r="AN148" s="259" t="s">
        <v>635</v>
      </c>
      <c r="AO148" s="37"/>
      <c r="AP148" s="37"/>
      <c r="AQ148" s="37"/>
      <c r="AR148" s="37"/>
      <c r="AS148" s="37"/>
      <c r="AT148" s="37"/>
      <c r="AU148" s="13"/>
      <c r="AV148" s="13"/>
      <c r="AW148" s="18">
        <v>29</v>
      </c>
    </row>
    <row r="149" spans="1:87" s="12" customFormat="1" ht="26.4">
      <c r="A149" s="40">
        <f t="shared" si="7"/>
        <v>143</v>
      </c>
      <c r="B149" s="38"/>
      <c r="C149" s="41"/>
      <c r="D149" s="33"/>
      <c r="E149" s="39"/>
      <c r="F149" s="39"/>
      <c r="G149" s="39"/>
      <c r="H149" s="414"/>
      <c r="I149" s="40"/>
      <c r="J149" s="412" t="s">
        <v>5257</v>
      </c>
      <c r="K149" s="232" t="s">
        <v>132</v>
      </c>
      <c r="L149" s="204" t="s">
        <v>4454</v>
      </c>
      <c r="M149" s="204" t="s">
        <v>4378</v>
      </c>
      <c r="N149" s="126" t="s">
        <v>504</v>
      </c>
      <c r="O149" s="126"/>
      <c r="P149" s="126"/>
      <c r="Q149" s="126"/>
      <c r="R149" s="126" t="s">
        <v>6</v>
      </c>
      <c r="S149" s="126" t="s">
        <v>6</v>
      </c>
      <c r="T149" s="126"/>
      <c r="U149" s="200" t="s">
        <v>1114</v>
      </c>
      <c r="V149" s="204"/>
      <c r="W149" s="232" t="s">
        <v>125</v>
      </c>
      <c r="X149" s="59"/>
      <c r="Y149" s="59"/>
      <c r="Z149" s="59"/>
      <c r="AA149" s="61" t="s">
        <v>6</v>
      </c>
      <c r="AB149" s="414"/>
      <c r="AC149" s="414"/>
      <c r="AD149" s="414"/>
      <c r="AE149" s="232" t="s">
        <v>125</v>
      </c>
      <c r="AF149" s="59"/>
      <c r="AG149" s="59"/>
      <c r="AH149" s="59"/>
      <c r="AI149" s="61" t="s">
        <v>6</v>
      </c>
      <c r="AJ149" s="414"/>
      <c r="AK149" s="414"/>
      <c r="AL149" s="414"/>
      <c r="AM149" s="36"/>
      <c r="AN149" s="259" t="s">
        <v>635</v>
      </c>
      <c r="AO149" s="37"/>
      <c r="AP149" s="37"/>
      <c r="AQ149" s="37"/>
      <c r="AR149" s="37"/>
      <c r="AS149" s="37"/>
      <c r="AT149" s="37"/>
      <c r="AU149" s="13"/>
      <c r="AV149" s="13"/>
      <c r="AW149" s="18">
        <v>29</v>
      </c>
    </row>
    <row r="150" spans="1:87" s="14" customFormat="1" ht="15">
      <c r="A150" s="40">
        <f t="shared" si="7"/>
        <v>144</v>
      </c>
      <c r="B150" s="38"/>
      <c r="C150" s="42"/>
      <c r="D150" s="19"/>
      <c r="E150" s="19"/>
      <c r="F150" s="35"/>
      <c r="G150" s="35"/>
      <c r="H150" s="414"/>
      <c r="I150" s="13"/>
      <c r="J150" s="412" t="s">
        <v>5258</v>
      </c>
      <c r="K150" s="232" t="s">
        <v>132</v>
      </c>
      <c r="L150" s="204" t="s">
        <v>4456</v>
      </c>
      <c r="M150" s="204" t="s">
        <v>4378</v>
      </c>
      <c r="N150" s="126" t="s">
        <v>504</v>
      </c>
      <c r="O150" s="126"/>
      <c r="P150" s="126"/>
      <c r="Q150" s="126"/>
      <c r="R150" s="126" t="s">
        <v>6</v>
      </c>
      <c r="S150" s="126" t="s">
        <v>6</v>
      </c>
      <c r="T150" s="126"/>
      <c r="U150" s="204" t="s">
        <v>5259</v>
      </c>
      <c r="V150" s="204"/>
      <c r="W150" s="232" t="s">
        <v>125</v>
      </c>
      <c r="X150" s="59"/>
      <c r="Y150" s="59"/>
      <c r="Z150" s="59"/>
      <c r="AA150" s="61" t="s">
        <v>6</v>
      </c>
      <c r="AB150" s="413"/>
      <c r="AC150" s="415"/>
      <c r="AD150" s="218" t="s">
        <v>2292</v>
      </c>
      <c r="AE150" s="232" t="s">
        <v>125</v>
      </c>
      <c r="AF150" s="59"/>
      <c r="AG150" s="59"/>
      <c r="AH150" s="59"/>
      <c r="AI150" s="61" t="s">
        <v>6</v>
      </c>
      <c r="AJ150" s="413"/>
      <c r="AK150" s="415"/>
      <c r="AL150" s="218" t="s">
        <v>2292</v>
      </c>
      <c r="AM150" s="43"/>
      <c r="AN150" s="44"/>
      <c r="AO150" s="13"/>
      <c r="AP150" s="13"/>
      <c r="AQ150" s="13"/>
      <c r="AR150" s="13"/>
      <c r="AS150" s="13"/>
      <c r="AT150" s="13"/>
      <c r="AU150" s="13"/>
      <c r="AV150" s="13"/>
      <c r="AW150" s="18">
        <v>22</v>
      </c>
    </row>
    <row r="151" spans="1:87" s="12" customFormat="1" ht="26.4">
      <c r="A151" s="40">
        <f t="shared" si="7"/>
        <v>145</v>
      </c>
      <c r="B151" s="19"/>
      <c r="C151" s="41"/>
      <c r="D151" s="19"/>
      <c r="E151" s="19"/>
      <c r="F151" s="19"/>
      <c r="G151" s="19"/>
      <c r="H151" s="13"/>
      <c r="I151" s="13"/>
      <c r="J151" s="412" t="s">
        <v>5260</v>
      </c>
      <c r="K151" s="232" t="s">
        <v>132</v>
      </c>
      <c r="L151" s="204" t="s">
        <v>5261</v>
      </c>
      <c r="M151" s="204" t="s">
        <v>4378</v>
      </c>
      <c r="N151" s="126" t="s">
        <v>504</v>
      </c>
      <c r="O151" s="126"/>
      <c r="P151" s="126"/>
      <c r="Q151" s="126"/>
      <c r="R151" s="126" t="s">
        <v>6</v>
      </c>
      <c r="S151" s="126" t="s">
        <v>6</v>
      </c>
      <c r="T151" s="126"/>
      <c r="U151" s="200" t="s">
        <v>1114</v>
      </c>
      <c r="V151" s="204"/>
      <c r="W151" s="232" t="s">
        <v>125</v>
      </c>
      <c r="X151" s="59"/>
      <c r="Y151" s="59"/>
      <c r="Z151" s="59"/>
      <c r="AA151" s="61" t="s">
        <v>6</v>
      </c>
      <c r="AB151" s="45"/>
      <c r="AC151" s="415"/>
      <c r="AD151" s="415"/>
      <c r="AE151" s="232" t="s">
        <v>125</v>
      </c>
      <c r="AF151" s="59"/>
      <c r="AG151" s="59"/>
      <c r="AH151" s="59"/>
      <c r="AI151" s="61" t="s">
        <v>6</v>
      </c>
      <c r="AJ151" s="45"/>
      <c r="AK151" s="415"/>
      <c r="AL151" s="415"/>
      <c r="AM151" s="43"/>
      <c r="AN151" s="259" t="s">
        <v>635</v>
      </c>
      <c r="AO151" s="15"/>
      <c r="AP151" s="15"/>
      <c r="AQ151" s="15"/>
      <c r="AR151" s="15"/>
      <c r="AS151" s="15"/>
      <c r="AT151" s="15"/>
      <c r="AU151" s="13"/>
      <c r="AV151" s="15"/>
      <c r="AW151" s="18">
        <v>30</v>
      </c>
      <c r="AX151" s="16"/>
      <c r="AY151" s="17"/>
    </row>
    <row r="152" spans="1:87" s="12" customFormat="1" ht="26.4">
      <c r="A152" s="40">
        <f t="shared" si="7"/>
        <v>146</v>
      </c>
      <c r="B152" s="38"/>
      <c r="C152" s="42"/>
      <c r="D152" s="19"/>
      <c r="E152" s="19"/>
      <c r="F152" s="19"/>
      <c r="G152" s="19"/>
      <c r="H152" s="13"/>
      <c r="I152" s="13"/>
      <c r="J152" s="412" t="s">
        <v>5262</v>
      </c>
      <c r="K152" s="232" t="s">
        <v>132</v>
      </c>
      <c r="L152" s="204" t="s">
        <v>5263</v>
      </c>
      <c r="M152" s="204" t="s">
        <v>4378</v>
      </c>
      <c r="N152" s="126" t="s">
        <v>504</v>
      </c>
      <c r="O152" s="126"/>
      <c r="P152" s="126"/>
      <c r="Q152" s="126"/>
      <c r="R152" s="126" t="s">
        <v>6</v>
      </c>
      <c r="S152" s="126" t="s">
        <v>6</v>
      </c>
      <c r="T152" s="126"/>
      <c r="U152" s="200" t="s">
        <v>1114</v>
      </c>
      <c r="V152" s="204"/>
      <c r="W152" s="232" t="s">
        <v>125</v>
      </c>
      <c r="X152" s="59"/>
      <c r="Y152" s="59"/>
      <c r="Z152" s="59"/>
      <c r="AA152" s="61" t="s">
        <v>6</v>
      </c>
      <c r="AB152" s="413"/>
      <c r="AC152" s="415"/>
      <c r="AD152" s="415"/>
      <c r="AE152" s="232" t="s">
        <v>125</v>
      </c>
      <c r="AF152" s="59"/>
      <c r="AG152" s="59"/>
      <c r="AH152" s="59"/>
      <c r="AI152" s="61" t="s">
        <v>6</v>
      </c>
      <c r="AJ152" s="413"/>
      <c r="AK152" s="415"/>
      <c r="AL152" s="415"/>
      <c r="AM152" s="43"/>
      <c r="AN152" s="259" t="s">
        <v>635</v>
      </c>
      <c r="AO152" s="13"/>
      <c r="AP152" s="13"/>
      <c r="AQ152" s="13"/>
      <c r="AR152" s="13"/>
      <c r="AS152" s="13"/>
      <c r="AT152" s="13"/>
      <c r="AU152" s="13"/>
      <c r="AV152" s="13"/>
      <c r="AW152" s="18">
        <v>30</v>
      </c>
      <c r="AX152" s="16"/>
      <c r="AY152" s="17"/>
    </row>
    <row r="153" spans="1:87" s="18" customFormat="1" ht="26.4">
      <c r="A153" s="40">
        <f t="shared" si="7"/>
        <v>147</v>
      </c>
      <c r="B153" s="38"/>
      <c r="C153" s="42"/>
      <c r="D153" s="38"/>
      <c r="E153" s="46"/>
      <c r="F153" s="46"/>
      <c r="G153" s="46"/>
      <c r="H153" s="13"/>
      <c r="I153" s="40"/>
      <c r="J153" s="412" t="s">
        <v>5264</v>
      </c>
      <c r="K153" s="232" t="s">
        <v>132</v>
      </c>
      <c r="L153" s="204" t="s">
        <v>5265</v>
      </c>
      <c r="M153" s="204" t="s">
        <v>4378</v>
      </c>
      <c r="N153" s="126" t="s">
        <v>504</v>
      </c>
      <c r="O153" s="126"/>
      <c r="P153" s="126"/>
      <c r="Q153" s="126"/>
      <c r="R153" s="126" t="s">
        <v>6</v>
      </c>
      <c r="S153" s="126" t="s">
        <v>6</v>
      </c>
      <c r="T153" s="126"/>
      <c r="U153" s="200" t="s">
        <v>1114</v>
      </c>
      <c r="V153" s="204"/>
      <c r="W153" s="232" t="s">
        <v>125</v>
      </c>
      <c r="X153" s="59"/>
      <c r="Y153" s="59"/>
      <c r="Z153" s="59"/>
      <c r="AA153" s="61" t="s">
        <v>6</v>
      </c>
      <c r="AB153" s="413"/>
      <c r="AC153" s="413"/>
      <c r="AD153" s="413"/>
      <c r="AE153" s="232" t="s">
        <v>125</v>
      </c>
      <c r="AF153" s="59"/>
      <c r="AG153" s="59"/>
      <c r="AH153" s="59"/>
      <c r="AI153" s="61" t="s">
        <v>6</v>
      </c>
      <c r="AJ153" s="413"/>
      <c r="AK153" s="413"/>
      <c r="AL153" s="413"/>
      <c r="AM153" s="43"/>
      <c r="AN153" s="259" t="s">
        <v>635</v>
      </c>
      <c r="AO153" s="15"/>
      <c r="AP153" s="15"/>
      <c r="AQ153" s="15"/>
      <c r="AR153" s="15"/>
      <c r="AS153" s="15"/>
      <c r="AT153" s="15"/>
      <c r="AU153" s="15"/>
      <c r="AV153" s="13"/>
      <c r="AW153" s="18">
        <v>30</v>
      </c>
      <c r="AX153" s="12"/>
      <c r="AY153" s="12"/>
      <c r="AZ153" s="12"/>
      <c r="BA153" s="12"/>
      <c r="BB153" s="12"/>
      <c r="BC153" s="12"/>
      <c r="BD153" s="12"/>
      <c r="BE153" s="12"/>
      <c r="BF153" s="12"/>
      <c r="BG153" s="12"/>
      <c r="BH153" s="12"/>
      <c r="BI153" s="12"/>
      <c r="BJ153" s="12"/>
      <c r="BK153" s="12"/>
      <c r="BL153" s="12"/>
      <c r="BM153" s="12"/>
      <c r="BN153" s="12"/>
      <c r="BO153" s="12"/>
      <c r="BP153" s="12"/>
      <c r="BQ153" s="12"/>
      <c r="BR153" s="12"/>
      <c r="BS153" s="12"/>
      <c r="BT153" s="12"/>
      <c r="BU153" s="12"/>
      <c r="BV153" s="12"/>
      <c r="BW153" s="12"/>
      <c r="BX153" s="12"/>
      <c r="BY153" s="12"/>
      <c r="BZ153" s="12"/>
      <c r="CA153" s="12"/>
      <c r="CB153" s="12"/>
      <c r="CC153" s="12"/>
      <c r="CD153" s="12"/>
      <c r="CE153" s="12"/>
      <c r="CF153" s="12"/>
      <c r="CG153" s="12"/>
      <c r="CH153" s="12"/>
      <c r="CI153" s="12"/>
    </row>
    <row r="154" spans="1:87" s="18" customFormat="1" ht="15">
      <c r="A154" s="40">
        <f t="shared" si="7"/>
        <v>148</v>
      </c>
      <c r="B154" s="38"/>
      <c r="C154" s="42"/>
      <c r="D154" s="38"/>
      <c r="E154" s="46"/>
      <c r="F154" s="46"/>
      <c r="G154" s="46"/>
      <c r="H154" s="13"/>
      <c r="I154" s="40"/>
      <c r="J154" s="412" t="s">
        <v>5266</v>
      </c>
      <c r="K154" s="232" t="s">
        <v>132</v>
      </c>
      <c r="L154" s="204" t="s">
        <v>5267</v>
      </c>
      <c r="M154" s="204" t="s">
        <v>4378</v>
      </c>
      <c r="N154" s="126" t="s">
        <v>504</v>
      </c>
      <c r="O154" s="126"/>
      <c r="P154" s="126"/>
      <c r="Q154" s="126"/>
      <c r="R154" s="126" t="s">
        <v>6</v>
      </c>
      <c r="S154" s="126" t="s">
        <v>6</v>
      </c>
      <c r="T154" s="126"/>
      <c r="U154" s="204" t="s">
        <v>5259</v>
      </c>
      <c r="V154" s="204"/>
      <c r="W154" s="232" t="s">
        <v>125</v>
      </c>
      <c r="X154" s="59"/>
      <c r="Y154" s="59"/>
      <c r="Z154" s="59"/>
      <c r="AA154" s="61" t="s">
        <v>6</v>
      </c>
      <c r="AB154" s="413"/>
      <c r="AC154" s="413"/>
      <c r="AD154" s="218" t="s">
        <v>2292</v>
      </c>
      <c r="AE154" s="232" t="s">
        <v>125</v>
      </c>
      <c r="AF154" s="59"/>
      <c r="AG154" s="59"/>
      <c r="AH154" s="59"/>
      <c r="AI154" s="61" t="s">
        <v>6</v>
      </c>
      <c r="AJ154" s="413"/>
      <c r="AK154" s="413"/>
      <c r="AL154" s="218" t="s">
        <v>2292</v>
      </c>
      <c r="AM154" s="43"/>
      <c r="AN154" s="19"/>
      <c r="AO154" s="15"/>
      <c r="AP154" s="15"/>
      <c r="AQ154" s="15"/>
      <c r="AR154" s="15"/>
      <c r="AS154" s="15"/>
      <c r="AT154" s="15"/>
      <c r="AU154" s="15"/>
      <c r="AV154" s="13"/>
      <c r="AW154" s="18">
        <v>28</v>
      </c>
      <c r="AX154" s="12"/>
      <c r="AY154" s="12"/>
      <c r="AZ154" s="12"/>
      <c r="BA154" s="12"/>
      <c r="BB154" s="12"/>
      <c r="BC154" s="12"/>
      <c r="BD154" s="12"/>
      <c r="BE154" s="12"/>
      <c r="BF154" s="12"/>
      <c r="BG154" s="12"/>
      <c r="BH154" s="12"/>
      <c r="BI154" s="12"/>
      <c r="BJ154" s="12"/>
      <c r="BK154" s="12"/>
      <c r="BL154" s="12"/>
      <c r="BM154" s="12"/>
      <c r="BN154" s="12"/>
      <c r="BO154" s="12"/>
      <c r="BP154" s="12"/>
      <c r="BQ154" s="12"/>
      <c r="BR154" s="12"/>
      <c r="BS154" s="12"/>
      <c r="BT154" s="12"/>
      <c r="BU154" s="12"/>
      <c r="BV154" s="12"/>
      <c r="BW154" s="12"/>
      <c r="BX154" s="12"/>
      <c r="BY154" s="12"/>
      <c r="BZ154" s="12"/>
      <c r="CA154" s="12"/>
      <c r="CB154" s="12"/>
      <c r="CC154" s="12"/>
      <c r="CD154" s="12"/>
      <c r="CE154" s="12"/>
      <c r="CF154" s="12"/>
      <c r="CG154" s="12"/>
      <c r="CH154" s="12"/>
      <c r="CI154" s="12"/>
    </row>
    <row r="155" spans="1:87" s="18" customFormat="1" ht="26.4">
      <c r="A155" s="40">
        <f t="shared" si="7"/>
        <v>149</v>
      </c>
      <c r="B155" s="19"/>
      <c r="C155" s="41"/>
      <c r="D155" s="19"/>
      <c r="E155" s="19"/>
      <c r="F155" s="19"/>
      <c r="G155" s="19"/>
      <c r="H155" s="13"/>
      <c r="I155" s="13"/>
      <c r="J155" s="412" t="s">
        <v>5268</v>
      </c>
      <c r="K155" s="232" t="s">
        <v>132</v>
      </c>
      <c r="L155" s="204" t="s">
        <v>4486</v>
      </c>
      <c r="M155" s="204" t="s">
        <v>4378</v>
      </c>
      <c r="N155" s="126" t="s">
        <v>504</v>
      </c>
      <c r="O155" s="126"/>
      <c r="P155" s="126"/>
      <c r="Q155" s="126" t="s">
        <v>6</v>
      </c>
      <c r="R155" s="126" t="s">
        <v>6</v>
      </c>
      <c r="S155" s="126" t="s">
        <v>6</v>
      </c>
      <c r="T155" s="126"/>
      <c r="U155" s="215" t="s">
        <v>5269</v>
      </c>
      <c r="V155" s="215"/>
      <c r="W155" s="232" t="s">
        <v>133</v>
      </c>
      <c r="X155" s="59"/>
      <c r="Y155" s="59"/>
      <c r="Z155" s="61" t="s">
        <v>6</v>
      </c>
      <c r="AA155" s="61"/>
      <c r="AB155" s="413"/>
      <c r="AC155" s="415"/>
      <c r="AD155" s="415"/>
      <c r="AE155" s="232" t="s">
        <v>133</v>
      </c>
      <c r="AF155" s="59"/>
      <c r="AG155" s="59"/>
      <c r="AH155" s="61" t="s">
        <v>6</v>
      </c>
      <c r="AI155" s="61"/>
      <c r="AJ155" s="413"/>
      <c r="AK155" s="415"/>
      <c r="AL155" s="415"/>
      <c r="AM155" s="43"/>
      <c r="AN155" s="19"/>
      <c r="AO155" s="15"/>
      <c r="AP155" s="15"/>
      <c r="AQ155" s="15"/>
      <c r="AR155" s="15"/>
      <c r="AS155" s="15"/>
      <c r="AT155" s="15"/>
      <c r="AU155" s="15"/>
      <c r="AV155" s="15"/>
      <c r="AW155" s="18">
        <v>34</v>
      </c>
      <c r="AX155" s="12"/>
      <c r="AY155" s="12"/>
      <c r="AZ155" s="12"/>
      <c r="BA155" s="12"/>
      <c r="BB155" s="12"/>
      <c r="BC155" s="12"/>
      <c r="BD155" s="12"/>
      <c r="BE155" s="12"/>
      <c r="BF155" s="12"/>
      <c r="BG155" s="12"/>
      <c r="BH155" s="12"/>
      <c r="BI155" s="12"/>
      <c r="BJ155" s="12"/>
      <c r="BK155" s="12"/>
      <c r="BL155" s="12"/>
      <c r="BM155" s="12"/>
      <c r="BN155" s="12"/>
      <c r="BO155" s="12"/>
      <c r="BP155" s="12"/>
      <c r="BQ155" s="12"/>
      <c r="BR155" s="12"/>
      <c r="BS155" s="12"/>
      <c r="BT155" s="12"/>
      <c r="BU155" s="12"/>
      <c r="BV155" s="12"/>
      <c r="BW155" s="12"/>
      <c r="BX155" s="12"/>
      <c r="BY155" s="12"/>
      <c r="BZ155" s="12"/>
      <c r="CA155" s="12"/>
      <c r="CB155" s="12"/>
      <c r="CC155" s="12"/>
      <c r="CD155" s="12"/>
      <c r="CE155" s="12"/>
      <c r="CF155" s="12"/>
      <c r="CG155" s="12"/>
      <c r="CH155" s="12"/>
      <c r="CI155" s="12"/>
    </row>
    <row r="156" spans="1:87" s="12" customFormat="1" ht="26.4">
      <c r="A156" s="40">
        <f t="shared" si="7"/>
        <v>150</v>
      </c>
      <c r="B156" s="19"/>
      <c r="C156" s="41"/>
      <c r="D156" s="19"/>
      <c r="E156" s="19"/>
      <c r="F156" s="19"/>
      <c r="G156" s="19"/>
      <c r="H156" s="13"/>
      <c r="I156" s="13"/>
      <c r="J156" s="412" t="s">
        <v>5270</v>
      </c>
      <c r="K156" s="232" t="s">
        <v>122</v>
      </c>
      <c r="L156" s="457" t="s">
        <v>5271</v>
      </c>
      <c r="M156" s="204" t="s">
        <v>4843</v>
      </c>
      <c r="N156" s="349" t="s">
        <v>873</v>
      </c>
      <c r="O156" s="126"/>
      <c r="P156" s="126"/>
      <c r="Q156" s="126"/>
      <c r="R156" s="126" t="s">
        <v>6</v>
      </c>
      <c r="S156" s="126" t="s">
        <v>6</v>
      </c>
      <c r="T156" s="126"/>
      <c r="U156" s="200" t="s">
        <v>1114</v>
      </c>
      <c r="V156" s="204"/>
      <c r="W156" s="232" t="s">
        <v>125</v>
      </c>
      <c r="X156" s="59"/>
      <c r="Y156" s="59"/>
      <c r="Z156" s="59"/>
      <c r="AA156" s="61" t="s">
        <v>6</v>
      </c>
      <c r="AB156" s="413"/>
      <c r="AC156" s="415"/>
      <c r="AD156" s="412" t="s">
        <v>2294</v>
      </c>
      <c r="AE156" s="232" t="s">
        <v>125</v>
      </c>
      <c r="AF156" s="59"/>
      <c r="AG156" s="59"/>
      <c r="AH156" s="59"/>
      <c r="AI156" s="61" t="s">
        <v>6</v>
      </c>
      <c r="AJ156" s="413"/>
      <c r="AK156" s="415"/>
      <c r="AL156" s="412" t="s">
        <v>2294</v>
      </c>
      <c r="AM156" s="198" t="s">
        <v>2295</v>
      </c>
      <c r="AN156" s="259"/>
      <c r="AO156" s="13"/>
      <c r="AP156" s="13"/>
      <c r="AQ156" s="13"/>
      <c r="AR156" s="13"/>
      <c r="AS156" s="13"/>
      <c r="AT156" s="13"/>
      <c r="AU156" s="15"/>
      <c r="AV156" s="15"/>
      <c r="AW156" s="18">
        <v>48</v>
      </c>
    </row>
    <row r="157" spans="1:87" s="12" customFormat="1" ht="26.4">
      <c r="A157" s="40">
        <f t="shared" si="7"/>
        <v>151</v>
      </c>
      <c r="B157" s="19"/>
      <c r="C157" s="41"/>
      <c r="D157" s="19"/>
      <c r="E157" s="19"/>
      <c r="F157" s="19"/>
      <c r="G157" s="19"/>
      <c r="H157" s="13"/>
      <c r="I157" s="13"/>
      <c r="J157" s="412" t="s">
        <v>5272</v>
      </c>
      <c r="K157" s="232" t="s">
        <v>122</v>
      </c>
      <c r="L157" s="473" t="s">
        <v>5273</v>
      </c>
      <c r="M157" s="204" t="s">
        <v>4843</v>
      </c>
      <c r="N157" s="349" t="s">
        <v>873</v>
      </c>
      <c r="O157" s="126"/>
      <c r="P157" s="126"/>
      <c r="Q157" s="126"/>
      <c r="R157" s="126" t="s">
        <v>6</v>
      </c>
      <c r="S157" s="126" t="s">
        <v>6</v>
      </c>
      <c r="T157" s="126"/>
      <c r="U157" s="200" t="s">
        <v>1114</v>
      </c>
      <c r="V157" s="204"/>
      <c r="W157" s="232" t="s">
        <v>125</v>
      </c>
      <c r="X157" s="59"/>
      <c r="Y157" s="59"/>
      <c r="Z157" s="59"/>
      <c r="AA157" s="61" t="s">
        <v>6</v>
      </c>
      <c r="AB157" s="413"/>
      <c r="AC157" s="415"/>
      <c r="AD157" s="412" t="s">
        <v>2294</v>
      </c>
      <c r="AE157" s="232" t="s">
        <v>125</v>
      </c>
      <c r="AF157" s="59"/>
      <c r="AG157" s="59"/>
      <c r="AH157" s="59"/>
      <c r="AI157" s="61" t="s">
        <v>6</v>
      </c>
      <c r="AJ157" s="413"/>
      <c r="AK157" s="415"/>
      <c r="AL157" s="412" t="s">
        <v>2294</v>
      </c>
      <c r="AM157" s="198" t="s">
        <v>2295</v>
      </c>
      <c r="AN157" s="259"/>
      <c r="AO157" s="13"/>
      <c r="AP157" s="13"/>
      <c r="AQ157" s="13"/>
      <c r="AR157" s="13"/>
      <c r="AS157" s="13"/>
      <c r="AT157" s="13"/>
      <c r="AU157" s="15"/>
      <c r="AV157" s="15"/>
      <c r="AW157" s="18">
        <v>48</v>
      </c>
    </row>
    <row r="158" spans="1:87" s="12" customFormat="1" ht="26.4">
      <c r="A158" s="40">
        <f t="shared" si="7"/>
        <v>152</v>
      </c>
      <c r="B158" s="19"/>
      <c r="C158" s="41"/>
      <c r="D158" s="19"/>
      <c r="E158" s="19"/>
      <c r="F158" s="19"/>
      <c r="G158" s="19"/>
      <c r="H158" s="13"/>
      <c r="I158" s="13"/>
      <c r="J158" s="412" t="s">
        <v>5274</v>
      </c>
      <c r="K158" s="232" t="s">
        <v>122</v>
      </c>
      <c r="L158" s="473" t="s">
        <v>5275</v>
      </c>
      <c r="M158" s="204" t="s">
        <v>4843</v>
      </c>
      <c r="N158" s="349" t="s">
        <v>873</v>
      </c>
      <c r="O158" s="126"/>
      <c r="P158" s="126"/>
      <c r="Q158" s="126"/>
      <c r="R158" s="126" t="s">
        <v>6</v>
      </c>
      <c r="S158" s="126" t="s">
        <v>6</v>
      </c>
      <c r="T158" s="126"/>
      <c r="U158" s="200" t="s">
        <v>1114</v>
      </c>
      <c r="V158" s="204"/>
      <c r="W158" s="232" t="s">
        <v>125</v>
      </c>
      <c r="X158" s="59"/>
      <c r="Y158" s="59"/>
      <c r="Z158" s="59"/>
      <c r="AA158" s="61" t="s">
        <v>6</v>
      </c>
      <c r="AB158" s="415"/>
      <c r="AC158" s="415"/>
      <c r="AD158" s="412" t="s">
        <v>2294</v>
      </c>
      <c r="AE158" s="232" t="s">
        <v>125</v>
      </c>
      <c r="AF158" s="59"/>
      <c r="AG158" s="59"/>
      <c r="AH158" s="59"/>
      <c r="AI158" s="61" t="s">
        <v>6</v>
      </c>
      <c r="AJ158" s="415"/>
      <c r="AK158" s="415"/>
      <c r="AL158" s="412" t="s">
        <v>2294</v>
      </c>
      <c r="AM158" s="198" t="s">
        <v>2295</v>
      </c>
      <c r="AN158" s="259"/>
      <c r="AO158" s="13"/>
      <c r="AP158" s="13"/>
      <c r="AQ158" s="13"/>
      <c r="AR158" s="13"/>
      <c r="AS158" s="13"/>
      <c r="AT158" s="13"/>
      <c r="AU158" s="15"/>
      <c r="AV158" s="15"/>
      <c r="AW158" s="18">
        <v>48</v>
      </c>
    </row>
    <row r="159" spans="1:87" s="12" customFormat="1" ht="39.6">
      <c r="A159" s="40">
        <f t="shared" si="7"/>
        <v>153</v>
      </c>
      <c r="B159" s="38"/>
      <c r="C159" s="41"/>
      <c r="D159" s="19"/>
      <c r="E159" s="19"/>
      <c r="F159" s="19"/>
      <c r="G159" s="19"/>
      <c r="H159" s="13"/>
      <c r="I159" s="13"/>
      <c r="J159" s="412" t="s">
        <v>5276</v>
      </c>
      <c r="K159" s="232" t="s">
        <v>122</v>
      </c>
      <c r="L159" s="473" t="s">
        <v>5277</v>
      </c>
      <c r="M159" s="204" t="s">
        <v>4843</v>
      </c>
      <c r="N159" s="349" t="s">
        <v>873</v>
      </c>
      <c r="O159" s="126"/>
      <c r="P159" s="126"/>
      <c r="Q159" s="126" t="s">
        <v>6</v>
      </c>
      <c r="R159" s="126" t="s">
        <v>6</v>
      </c>
      <c r="S159" s="126" t="s">
        <v>6</v>
      </c>
      <c r="T159" s="126"/>
      <c r="U159" s="204"/>
      <c r="V159" s="204"/>
      <c r="W159" s="232" t="s">
        <v>123</v>
      </c>
      <c r="X159" s="59"/>
      <c r="Y159" s="59"/>
      <c r="Z159" s="61" t="s">
        <v>6</v>
      </c>
      <c r="AA159" s="61" t="s">
        <v>6</v>
      </c>
      <c r="AB159" s="215"/>
      <c r="AC159" s="415"/>
      <c r="AD159" s="218" t="s">
        <v>1574</v>
      </c>
      <c r="AE159" s="232" t="s">
        <v>123</v>
      </c>
      <c r="AF159" s="59"/>
      <c r="AG159" s="59"/>
      <c r="AH159" s="61" t="s">
        <v>6</v>
      </c>
      <c r="AI159" s="61" t="s">
        <v>6</v>
      </c>
      <c r="AJ159" s="215" t="s">
        <v>5278</v>
      </c>
      <c r="AK159" s="415"/>
      <c r="AL159" s="218" t="s">
        <v>1574</v>
      </c>
      <c r="AM159" s="198" t="s">
        <v>2295</v>
      </c>
      <c r="AN159" s="19"/>
      <c r="AO159" s="15"/>
      <c r="AP159" s="15"/>
      <c r="AQ159" s="15"/>
      <c r="AR159" s="15"/>
      <c r="AS159" s="15"/>
      <c r="AT159" s="15"/>
      <c r="AU159" s="15"/>
      <c r="AV159" s="13"/>
      <c r="AW159" s="18">
        <v>41</v>
      </c>
    </row>
    <row r="160" spans="1:87" s="12" customFormat="1" ht="39.6">
      <c r="A160" s="40">
        <f t="shared" si="7"/>
        <v>154</v>
      </c>
      <c r="B160" s="38"/>
      <c r="C160" s="41"/>
      <c r="D160" s="19"/>
      <c r="E160" s="19"/>
      <c r="F160" s="19"/>
      <c r="G160" s="19"/>
      <c r="H160" s="13"/>
      <c r="I160" s="13"/>
      <c r="J160" s="412" t="s">
        <v>5279</v>
      </c>
      <c r="K160" s="232" t="s">
        <v>122</v>
      </c>
      <c r="L160" s="473" t="s">
        <v>5280</v>
      </c>
      <c r="M160" s="204" t="s">
        <v>4037</v>
      </c>
      <c r="N160" s="349" t="s">
        <v>873</v>
      </c>
      <c r="O160" s="126"/>
      <c r="P160" s="126"/>
      <c r="Q160" s="126"/>
      <c r="R160" s="126" t="s">
        <v>6</v>
      </c>
      <c r="S160" s="126" t="s">
        <v>6</v>
      </c>
      <c r="T160" s="126"/>
      <c r="U160" s="200"/>
      <c r="V160" s="215"/>
      <c r="W160" s="232" t="s">
        <v>125</v>
      </c>
      <c r="X160" s="59"/>
      <c r="Y160" s="59"/>
      <c r="Z160" s="59"/>
      <c r="AA160" s="61" t="s">
        <v>6</v>
      </c>
      <c r="AB160" s="413"/>
      <c r="AC160" s="415"/>
      <c r="AD160" s="412" t="s">
        <v>5281</v>
      </c>
      <c r="AE160" s="232" t="s">
        <v>125</v>
      </c>
      <c r="AF160" s="59"/>
      <c r="AG160" s="59"/>
      <c r="AH160" s="59"/>
      <c r="AI160" s="61" t="s">
        <v>6</v>
      </c>
      <c r="AJ160" s="413"/>
      <c r="AK160" s="415"/>
      <c r="AL160" s="412" t="s">
        <v>5281</v>
      </c>
      <c r="AM160" s="257" t="s">
        <v>2299</v>
      </c>
      <c r="AN160" s="13"/>
      <c r="AO160" s="15"/>
      <c r="AP160" s="15"/>
      <c r="AQ160" s="15"/>
      <c r="AR160" s="15"/>
      <c r="AS160" s="15"/>
      <c r="AT160" s="15"/>
      <c r="AU160" s="15"/>
      <c r="AV160" s="15"/>
      <c r="AW160" s="18">
        <v>43</v>
      </c>
      <c r="AX160" s="16"/>
      <c r="AY160" s="17"/>
    </row>
    <row r="161" spans="1:49" s="20" customFormat="1" ht="39.6">
      <c r="A161" s="40">
        <f t="shared" si="7"/>
        <v>155</v>
      </c>
      <c r="B161" s="19"/>
      <c r="C161" s="41"/>
      <c r="D161" s="19"/>
      <c r="E161" s="19"/>
      <c r="F161" s="19"/>
      <c r="G161" s="19"/>
      <c r="H161" s="13"/>
      <c r="I161" s="13"/>
      <c r="J161" s="412" t="s">
        <v>5282</v>
      </c>
      <c r="K161" s="232" t="s">
        <v>122</v>
      </c>
      <c r="L161" s="473" t="s">
        <v>5283</v>
      </c>
      <c r="M161" s="204" t="s">
        <v>4037</v>
      </c>
      <c r="N161" s="349" t="s">
        <v>873</v>
      </c>
      <c r="O161" s="126"/>
      <c r="P161" s="126"/>
      <c r="Q161" s="126"/>
      <c r="R161" s="126" t="s">
        <v>6</v>
      </c>
      <c r="S161" s="126" t="s">
        <v>6</v>
      </c>
      <c r="T161" s="126"/>
      <c r="U161" s="200"/>
      <c r="V161" s="215"/>
      <c r="W161" s="232" t="s">
        <v>125</v>
      </c>
      <c r="X161" s="59"/>
      <c r="Y161" s="59"/>
      <c r="Z161" s="59"/>
      <c r="AA161" s="61" t="s">
        <v>6</v>
      </c>
      <c r="AB161" s="413"/>
      <c r="AC161" s="415"/>
      <c r="AD161" s="412" t="s">
        <v>5281</v>
      </c>
      <c r="AE161" s="232" t="s">
        <v>125</v>
      </c>
      <c r="AF161" s="59"/>
      <c r="AG161" s="59"/>
      <c r="AH161" s="59"/>
      <c r="AI161" s="61" t="s">
        <v>6</v>
      </c>
      <c r="AJ161" s="413"/>
      <c r="AK161" s="415"/>
      <c r="AL161" s="412" t="s">
        <v>5281</v>
      </c>
      <c r="AM161" s="257" t="s">
        <v>2299</v>
      </c>
      <c r="AN161" s="13"/>
      <c r="AO161" s="15"/>
      <c r="AP161" s="15"/>
      <c r="AQ161" s="15"/>
      <c r="AR161" s="15"/>
      <c r="AS161" s="15"/>
      <c r="AT161" s="15"/>
      <c r="AU161" s="13"/>
      <c r="AV161" s="15"/>
      <c r="AW161" s="18">
        <v>42</v>
      </c>
    </row>
    <row r="162" spans="1:49" s="20" customFormat="1" ht="39.6">
      <c r="A162" s="40">
        <f t="shared" si="7"/>
        <v>156</v>
      </c>
      <c r="B162" s="19"/>
      <c r="C162" s="41"/>
      <c r="D162" s="19"/>
      <c r="E162" s="19"/>
      <c r="F162" s="19"/>
      <c r="G162" s="19"/>
      <c r="H162" s="13"/>
      <c r="I162" s="13"/>
      <c r="J162" s="412" t="s">
        <v>5284</v>
      </c>
      <c r="K162" s="232" t="s">
        <v>122</v>
      </c>
      <c r="L162" s="473" t="s">
        <v>5285</v>
      </c>
      <c r="M162" s="204" t="s">
        <v>4037</v>
      </c>
      <c r="N162" s="349" t="s">
        <v>873</v>
      </c>
      <c r="O162" s="126"/>
      <c r="P162" s="126"/>
      <c r="Q162" s="126"/>
      <c r="R162" s="126" t="s">
        <v>6</v>
      </c>
      <c r="S162" s="126" t="s">
        <v>6</v>
      </c>
      <c r="T162" s="126"/>
      <c r="U162" s="200"/>
      <c r="V162" s="215"/>
      <c r="W162" s="232" t="s">
        <v>125</v>
      </c>
      <c r="X162" s="59"/>
      <c r="Y162" s="59"/>
      <c r="Z162" s="59"/>
      <c r="AA162" s="61" t="s">
        <v>6</v>
      </c>
      <c r="AB162" s="413"/>
      <c r="AC162" s="415"/>
      <c r="AD162" s="412" t="s">
        <v>5281</v>
      </c>
      <c r="AE162" s="232" t="s">
        <v>125</v>
      </c>
      <c r="AF162" s="59"/>
      <c r="AG162" s="59"/>
      <c r="AH162" s="59"/>
      <c r="AI162" s="61" t="s">
        <v>6</v>
      </c>
      <c r="AJ162" s="413"/>
      <c r="AK162" s="415"/>
      <c r="AL162" s="412" t="s">
        <v>5281</v>
      </c>
      <c r="AM162" s="257" t="s">
        <v>2299</v>
      </c>
      <c r="AN162" s="13"/>
      <c r="AO162" s="15"/>
      <c r="AP162" s="15"/>
      <c r="AQ162" s="15"/>
      <c r="AR162" s="15"/>
      <c r="AS162" s="15"/>
      <c r="AT162" s="15"/>
      <c r="AU162" s="15"/>
      <c r="AV162" s="15"/>
      <c r="AW162" s="18">
        <v>42</v>
      </c>
    </row>
    <row r="163" spans="1:49" s="20" customFormat="1" ht="39.6">
      <c r="A163" s="40">
        <f t="shared" si="7"/>
        <v>157</v>
      </c>
      <c r="B163" s="19"/>
      <c r="C163" s="48"/>
      <c r="D163" s="19"/>
      <c r="E163" s="19"/>
      <c r="F163" s="19"/>
      <c r="G163" s="19"/>
      <c r="H163" s="13"/>
      <c r="I163" s="13"/>
      <c r="J163" s="412" t="s">
        <v>5286</v>
      </c>
      <c r="K163" s="232" t="s">
        <v>122</v>
      </c>
      <c r="L163" s="473" t="s">
        <v>5287</v>
      </c>
      <c r="M163" s="204" t="s">
        <v>4037</v>
      </c>
      <c r="N163" s="349" t="s">
        <v>873</v>
      </c>
      <c r="O163" s="126"/>
      <c r="P163" s="126"/>
      <c r="Q163" s="126" t="s">
        <v>6</v>
      </c>
      <c r="R163" s="126" t="s">
        <v>6</v>
      </c>
      <c r="S163" s="126" t="s">
        <v>6</v>
      </c>
      <c r="T163" s="126"/>
      <c r="U163" s="239"/>
      <c r="V163" s="215"/>
      <c r="W163" s="232" t="s">
        <v>123</v>
      </c>
      <c r="X163" s="59"/>
      <c r="Y163" s="59"/>
      <c r="Z163" s="61" t="s">
        <v>6</v>
      </c>
      <c r="AA163" s="61" t="s">
        <v>6</v>
      </c>
      <c r="AB163" s="215"/>
      <c r="AC163" s="415"/>
      <c r="AD163" s="415"/>
      <c r="AE163" s="232" t="s">
        <v>123</v>
      </c>
      <c r="AF163" s="59"/>
      <c r="AG163" s="59"/>
      <c r="AH163" s="61" t="s">
        <v>6</v>
      </c>
      <c r="AI163" s="61" t="s">
        <v>6</v>
      </c>
      <c r="AJ163" s="215" t="s">
        <v>5288</v>
      </c>
      <c r="AK163" s="415"/>
      <c r="AL163" s="415"/>
      <c r="AM163" s="43"/>
      <c r="AN163" s="202" t="s">
        <v>649</v>
      </c>
      <c r="AO163" s="13"/>
      <c r="AP163" s="13"/>
      <c r="AQ163" s="13"/>
      <c r="AR163" s="13"/>
      <c r="AS163" s="13"/>
      <c r="AT163" s="13"/>
      <c r="AU163" s="15"/>
      <c r="AV163" s="15"/>
      <c r="AW163" s="18">
        <v>35</v>
      </c>
    </row>
    <row r="164" spans="1:49" s="20" customFormat="1" ht="26.4">
      <c r="A164" s="40">
        <f t="shared" si="7"/>
        <v>158</v>
      </c>
      <c r="B164" s="19"/>
      <c r="C164" s="41"/>
      <c r="D164" s="19"/>
      <c r="E164" s="19"/>
      <c r="F164" s="19"/>
      <c r="G164" s="19"/>
      <c r="H164" s="13"/>
      <c r="I164" s="13"/>
      <c r="J164" s="412" t="s">
        <v>5289</v>
      </c>
      <c r="K164" s="232" t="s">
        <v>122</v>
      </c>
      <c r="L164" s="457" t="s">
        <v>5290</v>
      </c>
      <c r="M164" s="204" t="s">
        <v>4033</v>
      </c>
      <c r="N164" s="349" t="s">
        <v>873</v>
      </c>
      <c r="O164" s="126"/>
      <c r="P164" s="126"/>
      <c r="Q164" s="126"/>
      <c r="R164" s="126" t="s">
        <v>6</v>
      </c>
      <c r="S164" s="126" t="s">
        <v>6</v>
      </c>
      <c r="T164" s="126"/>
      <c r="U164" s="200"/>
      <c r="V164" s="412"/>
      <c r="W164" s="232" t="s">
        <v>125</v>
      </c>
      <c r="X164" s="59"/>
      <c r="Y164" s="59"/>
      <c r="Z164" s="59"/>
      <c r="AA164" s="61" t="s">
        <v>6</v>
      </c>
      <c r="AB164" s="45"/>
      <c r="AC164" s="415"/>
      <c r="AD164" s="412" t="s">
        <v>2304</v>
      </c>
      <c r="AE164" s="232" t="s">
        <v>125</v>
      </c>
      <c r="AF164" s="59"/>
      <c r="AG164" s="59"/>
      <c r="AH164" s="59"/>
      <c r="AI164" s="61" t="s">
        <v>6</v>
      </c>
      <c r="AJ164" s="45"/>
      <c r="AK164" s="415"/>
      <c r="AL164" s="412" t="s">
        <v>2304</v>
      </c>
      <c r="AM164" s="257" t="s">
        <v>1575</v>
      </c>
      <c r="AN164" s="259" t="s">
        <v>635</v>
      </c>
      <c r="AO164" s="13"/>
      <c r="AP164" s="13"/>
      <c r="AQ164" s="13"/>
      <c r="AR164" s="13"/>
      <c r="AS164" s="13"/>
      <c r="AT164" s="13"/>
      <c r="AU164" s="15"/>
      <c r="AV164" s="15"/>
      <c r="AW164" s="18">
        <v>42</v>
      </c>
    </row>
    <row r="165" spans="1:49" s="20" customFormat="1" ht="26.4">
      <c r="A165" s="40">
        <f t="shared" si="7"/>
        <v>159</v>
      </c>
      <c r="B165" s="38"/>
      <c r="C165" s="41"/>
      <c r="D165" s="19"/>
      <c r="E165" s="19"/>
      <c r="F165" s="19"/>
      <c r="G165" s="19"/>
      <c r="H165" s="13"/>
      <c r="I165" s="13"/>
      <c r="J165" s="412" t="s">
        <v>5291</v>
      </c>
      <c r="K165" s="232" t="s">
        <v>122</v>
      </c>
      <c r="L165" s="457" t="s">
        <v>5292</v>
      </c>
      <c r="M165" s="204" t="s">
        <v>4033</v>
      </c>
      <c r="N165" s="349" t="s">
        <v>873</v>
      </c>
      <c r="O165" s="126"/>
      <c r="P165" s="126"/>
      <c r="Q165" s="126"/>
      <c r="R165" s="126" t="s">
        <v>6</v>
      </c>
      <c r="S165" s="126" t="s">
        <v>6</v>
      </c>
      <c r="T165" s="126"/>
      <c r="U165" s="200"/>
      <c r="V165" s="412"/>
      <c r="W165" s="232" t="s">
        <v>125</v>
      </c>
      <c r="X165" s="59"/>
      <c r="Y165" s="59"/>
      <c r="Z165" s="59"/>
      <c r="AA165" s="61" t="s">
        <v>6</v>
      </c>
      <c r="AB165" s="413"/>
      <c r="AC165" s="415"/>
      <c r="AD165" s="412" t="s">
        <v>2304</v>
      </c>
      <c r="AE165" s="232" t="s">
        <v>125</v>
      </c>
      <c r="AF165" s="59"/>
      <c r="AG165" s="59"/>
      <c r="AH165" s="59"/>
      <c r="AI165" s="61" t="s">
        <v>6</v>
      </c>
      <c r="AJ165" s="413"/>
      <c r="AK165" s="415"/>
      <c r="AL165" s="412" t="s">
        <v>2304</v>
      </c>
      <c r="AM165" s="257" t="s">
        <v>1575</v>
      </c>
      <c r="AN165" s="259" t="s">
        <v>635</v>
      </c>
      <c r="AO165" s="15"/>
      <c r="AP165" s="15"/>
      <c r="AQ165" s="15"/>
      <c r="AR165" s="15"/>
      <c r="AS165" s="15"/>
      <c r="AT165" s="15"/>
      <c r="AU165" s="15"/>
      <c r="AV165" s="13"/>
      <c r="AW165" s="18">
        <v>42</v>
      </c>
    </row>
    <row r="166" spans="1:49" s="20" customFormat="1" ht="26.4">
      <c r="A166" s="40">
        <f t="shared" si="7"/>
        <v>160</v>
      </c>
      <c r="B166" s="38"/>
      <c r="C166" s="41"/>
      <c r="D166" s="19"/>
      <c r="E166" s="19"/>
      <c r="F166" s="19"/>
      <c r="G166" s="19"/>
      <c r="H166" s="13"/>
      <c r="I166" s="13"/>
      <c r="J166" s="412" t="s">
        <v>5293</v>
      </c>
      <c r="K166" s="232" t="s">
        <v>122</v>
      </c>
      <c r="L166" s="457" t="s">
        <v>5294</v>
      </c>
      <c r="M166" s="204" t="s">
        <v>4033</v>
      </c>
      <c r="N166" s="349" t="s">
        <v>873</v>
      </c>
      <c r="O166" s="126"/>
      <c r="P166" s="126"/>
      <c r="Q166" s="126"/>
      <c r="R166" s="126" t="s">
        <v>6</v>
      </c>
      <c r="S166" s="126" t="s">
        <v>6</v>
      </c>
      <c r="T166" s="126"/>
      <c r="U166" s="200"/>
      <c r="V166" s="412"/>
      <c r="W166" s="232" t="s">
        <v>125</v>
      </c>
      <c r="X166" s="59"/>
      <c r="Y166" s="59"/>
      <c r="Z166" s="59"/>
      <c r="AA166" s="61" t="s">
        <v>6</v>
      </c>
      <c r="AB166" s="413"/>
      <c r="AC166" s="415"/>
      <c r="AD166" s="412" t="s">
        <v>2304</v>
      </c>
      <c r="AE166" s="232" t="s">
        <v>125</v>
      </c>
      <c r="AF166" s="59"/>
      <c r="AG166" s="59"/>
      <c r="AH166" s="59"/>
      <c r="AI166" s="61" t="s">
        <v>6</v>
      </c>
      <c r="AJ166" s="413"/>
      <c r="AK166" s="415"/>
      <c r="AL166" s="412" t="s">
        <v>2304</v>
      </c>
      <c r="AM166" s="257" t="s">
        <v>1575</v>
      </c>
      <c r="AN166" s="259" t="s">
        <v>635</v>
      </c>
      <c r="AO166" s="15"/>
      <c r="AP166" s="15"/>
      <c r="AQ166" s="15"/>
      <c r="AR166" s="15"/>
      <c r="AS166" s="15"/>
      <c r="AT166" s="15"/>
      <c r="AU166" s="15"/>
      <c r="AV166" s="13"/>
      <c r="AW166" s="18">
        <v>42</v>
      </c>
    </row>
    <row r="167" spans="1:49" s="20" customFormat="1" ht="39.6">
      <c r="A167" s="40">
        <f t="shared" si="7"/>
        <v>161</v>
      </c>
      <c r="B167" s="38"/>
      <c r="C167" s="41"/>
      <c r="D167" s="19"/>
      <c r="E167" s="19"/>
      <c r="F167" s="19"/>
      <c r="G167" s="19"/>
      <c r="H167" s="13"/>
      <c r="I167" s="13"/>
      <c r="J167" s="412" t="s">
        <v>5295</v>
      </c>
      <c r="K167" s="232" t="s">
        <v>122</v>
      </c>
      <c r="L167" s="457" t="s">
        <v>5296</v>
      </c>
      <c r="M167" s="204" t="s">
        <v>4033</v>
      </c>
      <c r="N167" s="349" t="s">
        <v>873</v>
      </c>
      <c r="O167" s="126"/>
      <c r="P167" s="126"/>
      <c r="Q167" s="126" t="s">
        <v>6</v>
      </c>
      <c r="R167" s="126" t="s">
        <v>6</v>
      </c>
      <c r="S167" s="126" t="s">
        <v>6</v>
      </c>
      <c r="T167" s="126"/>
      <c r="U167" s="215"/>
      <c r="V167" s="215"/>
      <c r="W167" s="232" t="s">
        <v>123</v>
      </c>
      <c r="X167" s="59"/>
      <c r="Y167" s="59"/>
      <c r="Z167" s="61" t="s">
        <v>6</v>
      </c>
      <c r="AA167" s="61" t="s">
        <v>6</v>
      </c>
      <c r="AB167" s="215"/>
      <c r="AC167" s="415"/>
      <c r="AD167" s="218" t="s">
        <v>1574</v>
      </c>
      <c r="AE167" s="232" t="s">
        <v>123</v>
      </c>
      <c r="AF167" s="59"/>
      <c r="AG167" s="59"/>
      <c r="AH167" s="61" t="s">
        <v>6</v>
      </c>
      <c r="AI167" s="61" t="s">
        <v>6</v>
      </c>
      <c r="AJ167" s="215" t="s">
        <v>5297</v>
      </c>
      <c r="AK167" s="415"/>
      <c r="AL167" s="218" t="s">
        <v>1574</v>
      </c>
      <c r="AM167" s="257" t="s">
        <v>1575</v>
      </c>
      <c r="AN167" s="13"/>
      <c r="AO167" s="15"/>
      <c r="AP167" s="15"/>
      <c r="AQ167" s="15"/>
      <c r="AR167" s="15"/>
      <c r="AS167" s="15"/>
      <c r="AT167" s="15"/>
      <c r="AU167" s="15"/>
      <c r="AV167" s="13"/>
      <c r="AW167" s="18">
        <v>42</v>
      </c>
    </row>
    <row r="168" spans="1:49" s="20" customFormat="1" ht="15">
      <c r="A168" s="40">
        <f t="shared" si="7"/>
        <v>162</v>
      </c>
      <c r="B168" s="59"/>
      <c r="C168" s="59"/>
      <c r="D168" s="59"/>
      <c r="E168" s="59"/>
      <c r="F168" s="59"/>
      <c r="G168" s="59"/>
      <c r="H168" s="59"/>
      <c r="I168" s="59"/>
      <c r="J168" s="218" t="s">
        <v>5298</v>
      </c>
      <c r="K168" s="204" t="s">
        <v>132</v>
      </c>
      <c r="L168" s="204" t="s">
        <v>5299</v>
      </c>
      <c r="M168" s="204" t="s">
        <v>3836</v>
      </c>
      <c r="N168" s="126" t="s">
        <v>504</v>
      </c>
      <c r="O168" s="126"/>
      <c r="P168" s="126"/>
      <c r="Q168" s="40" t="s">
        <v>6</v>
      </c>
      <c r="R168" s="40" t="s">
        <v>6</v>
      </c>
      <c r="S168" s="40" t="s">
        <v>6</v>
      </c>
      <c r="T168" s="40"/>
      <c r="U168" s="204"/>
      <c r="V168" s="206"/>
      <c r="W168" s="204" t="s">
        <v>133</v>
      </c>
      <c r="X168" s="59"/>
      <c r="Y168" s="59"/>
      <c r="Z168" s="40" t="s">
        <v>6</v>
      </c>
      <c r="AA168" s="40" t="s">
        <v>6</v>
      </c>
      <c r="AB168" s="215"/>
      <c r="AC168" s="59"/>
      <c r="AD168" s="59"/>
      <c r="AE168" s="204" t="s">
        <v>133</v>
      </c>
      <c r="AF168" s="59"/>
      <c r="AG168" s="59"/>
      <c r="AH168" s="40" t="s">
        <v>6</v>
      </c>
      <c r="AI168" s="40" t="s">
        <v>6</v>
      </c>
      <c r="AJ168" s="215" t="s">
        <v>5300</v>
      </c>
      <c r="AK168" s="59"/>
      <c r="AL168" s="59"/>
      <c r="AM168" s="257" t="s">
        <v>1575</v>
      </c>
      <c r="AN168" s="59"/>
      <c r="AO168" s="59"/>
      <c r="AP168" s="59"/>
      <c r="AQ168" s="59"/>
      <c r="AR168" s="59"/>
      <c r="AS168" s="59"/>
      <c r="AT168" s="59"/>
      <c r="AU168" s="59"/>
      <c r="AV168" s="59"/>
      <c r="AW168" s="18">
        <v>38</v>
      </c>
    </row>
    <row r="169" spans="1:49" s="20" customFormat="1" ht="26.4">
      <c r="A169" s="40">
        <f t="shared" si="7"/>
        <v>163</v>
      </c>
      <c r="B169" s="38"/>
      <c r="C169" s="41"/>
      <c r="D169" s="19"/>
      <c r="E169" s="19"/>
      <c r="F169" s="19"/>
      <c r="G169" s="19"/>
      <c r="H169" s="13"/>
      <c r="I169" s="13"/>
      <c r="J169" s="412" t="s">
        <v>5301</v>
      </c>
      <c r="K169" s="232" t="s">
        <v>122</v>
      </c>
      <c r="L169" s="457" t="s">
        <v>5302</v>
      </c>
      <c r="M169" s="204" t="s">
        <v>4034</v>
      </c>
      <c r="N169" s="349" t="s">
        <v>873</v>
      </c>
      <c r="O169" s="126"/>
      <c r="P169" s="126"/>
      <c r="Q169" s="126" t="s">
        <v>6</v>
      </c>
      <c r="R169" s="126" t="s">
        <v>6</v>
      </c>
      <c r="S169" s="126" t="s">
        <v>6</v>
      </c>
      <c r="T169" s="126"/>
      <c r="U169" s="412" t="s">
        <v>4140</v>
      </c>
      <c r="V169" s="412"/>
      <c r="W169" s="232" t="s">
        <v>123</v>
      </c>
      <c r="X169" s="59"/>
      <c r="Y169" s="59"/>
      <c r="Z169" s="61" t="s">
        <v>6</v>
      </c>
      <c r="AA169" s="61" t="s">
        <v>6</v>
      </c>
      <c r="AB169" s="413"/>
      <c r="AC169" s="415"/>
      <c r="AD169" s="218" t="s">
        <v>1574</v>
      </c>
      <c r="AE169" s="232" t="s">
        <v>123</v>
      </c>
      <c r="AF169" s="59"/>
      <c r="AG169" s="59"/>
      <c r="AH169" s="61" t="s">
        <v>6</v>
      </c>
      <c r="AI169" s="61" t="s">
        <v>6</v>
      </c>
      <c r="AJ169" s="413"/>
      <c r="AK169" s="415"/>
      <c r="AL169" s="218" t="s">
        <v>1574</v>
      </c>
      <c r="AM169" s="257" t="s">
        <v>1575</v>
      </c>
      <c r="AN169" s="19"/>
      <c r="AO169" s="15"/>
      <c r="AP169" s="15"/>
      <c r="AQ169" s="15"/>
      <c r="AR169" s="15"/>
      <c r="AS169" s="15"/>
      <c r="AT169" s="15"/>
      <c r="AU169" s="15"/>
      <c r="AV169" s="15"/>
      <c r="AW169" s="18">
        <v>42</v>
      </c>
    </row>
    <row r="170" spans="1:49" s="20" customFormat="1" ht="26.4">
      <c r="A170" s="40">
        <f t="shared" si="7"/>
        <v>164</v>
      </c>
      <c r="B170" s="38"/>
      <c r="C170" s="41"/>
      <c r="D170" s="19"/>
      <c r="E170" s="19"/>
      <c r="F170" s="19"/>
      <c r="G170" s="19"/>
      <c r="H170" s="13"/>
      <c r="I170" s="13"/>
      <c r="J170" s="412" t="s">
        <v>5303</v>
      </c>
      <c r="K170" s="232" t="s">
        <v>122</v>
      </c>
      <c r="L170" s="458" t="s">
        <v>5304</v>
      </c>
      <c r="M170" s="351" t="s">
        <v>3809</v>
      </c>
      <c r="N170" s="349" t="s">
        <v>873</v>
      </c>
      <c r="O170" s="126"/>
      <c r="P170" s="126"/>
      <c r="Q170" s="126" t="s">
        <v>6</v>
      </c>
      <c r="R170" s="126" t="s">
        <v>6</v>
      </c>
      <c r="S170" s="126" t="s">
        <v>6</v>
      </c>
      <c r="T170" s="126"/>
      <c r="U170" s="412" t="s">
        <v>4140</v>
      </c>
      <c r="V170" s="412"/>
      <c r="W170" s="232" t="s">
        <v>123</v>
      </c>
      <c r="X170" s="59"/>
      <c r="Y170" s="59"/>
      <c r="Z170" s="61" t="s">
        <v>6</v>
      </c>
      <c r="AA170" s="61" t="s">
        <v>6</v>
      </c>
      <c r="AB170" s="13"/>
      <c r="AC170" s="40"/>
      <c r="AD170" s="218" t="s">
        <v>1574</v>
      </c>
      <c r="AE170" s="232" t="s">
        <v>123</v>
      </c>
      <c r="AF170" s="59"/>
      <c r="AG170" s="59"/>
      <c r="AH170" s="61" t="s">
        <v>6</v>
      </c>
      <c r="AI170" s="61" t="s">
        <v>6</v>
      </c>
      <c r="AJ170" s="13"/>
      <c r="AK170" s="40"/>
      <c r="AL170" s="218" t="s">
        <v>1574</v>
      </c>
      <c r="AM170" s="257" t="s">
        <v>1575</v>
      </c>
      <c r="AN170" s="13"/>
      <c r="AO170" s="15"/>
      <c r="AP170" s="15"/>
      <c r="AQ170" s="15"/>
      <c r="AR170" s="15"/>
      <c r="AS170" s="15"/>
      <c r="AT170" s="15"/>
      <c r="AU170" s="15"/>
      <c r="AV170" s="19"/>
      <c r="AW170" s="18">
        <v>36</v>
      </c>
    </row>
    <row r="171" spans="1:49" s="20" customFormat="1" ht="26.4">
      <c r="A171" s="40">
        <f t="shared" si="7"/>
        <v>165</v>
      </c>
      <c r="B171" s="19"/>
      <c r="C171" s="41"/>
      <c r="D171" s="19"/>
      <c r="E171" s="19"/>
      <c r="F171" s="19"/>
      <c r="G171" s="19"/>
      <c r="H171" s="13"/>
      <c r="I171" s="13"/>
      <c r="J171" s="412" t="s">
        <v>5305</v>
      </c>
      <c r="K171" s="232" t="s">
        <v>122</v>
      </c>
      <c r="L171" s="458" t="s">
        <v>5306</v>
      </c>
      <c r="M171" s="351" t="s">
        <v>3809</v>
      </c>
      <c r="N171" s="349" t="s">
        <v>873</v>
      </c>
      <c r="O171" s="126"/>
      <c r="P171" s="126"/>
      <c r="Q171" s="126" t="s">
        <v>6</v>
      </c>
      <c r="R171" s="126" t="s">
        <v>6</v>
      </c>
      <c r="S171" s="126" t="s">
        <v>6</v>
      </c>
      <c r="T171" s="126"/>
      <c r="U171" s="412" t="s">
        <v>4140</v>
      </c>
      <c r="V171" s="412"/>
      <c r="W171" s="232" t="s">
        <v>123</v>
      </c>
      <c r="X171" s="59"/>
      <c r="Y171" s="59"/>
      <c r="Z171" s="61" t="s">
        <v>6</v>
      </c>
      <c r="AA171" s="61" t="s">
        <v>6</v>
      </c>
      <c r="AB171" s="13"/>
      <c r="AC171" s="40"/>
      <c r="AD171" s="218" t="s">
        <v>1574</v>
      </c>
      <c r="AE171" s="232" t="s">
        <v>123</v>
      </c>
      <c r="AF171" s="59"/>
      <c r="AG171" s="59"/>
      <c r="AH171" s="61" t="s">
        <v>6</v>
      </c>
      <c r="AI171" s="61" t="s">
        <v>6</v>
      </c>
      <c r="AJ171" s="13"/>
      <c r="AK171" s="40"/>
      <c r="AL171" s="218" t="s">
        <v>1574</v>
      </c>
      <c r="AM171" s="257" t="s">
        <v>1575</v>
      </c>
      <c r="AN171" s="13"/>
      <c r="AO171" s="15"/>
      <c r="AP171" s="15"/>
      <c r="AQ171" s="15"/>
      <c r="AR171" s="15"/>
      <c r="AS171" s="15"/>
      <c r="AT171" s="15"/>
      <c r="AU171" s="15"/>
      <c r="AV171" s="15"/>
      <c r="AW171" s="18">
        <v>34</v>
      </c>
    </row>
    <row r="172" spans="1:49" s="20" customFormat="1" ht="26.4">
      <c r="A172" s="40">
        <f t="shared" si="7"/>
        <v>166</v>
      </c>
      <c r="B172" s="19"/>
      <c r="C172" s="41"/>
      <c r="D172" s="19"/>
      <c r="E172" s="19"/>
      <c r="F172" s="19"/>
      <c r="G172" s="19"/>
      <c r="H172" s="13"/>
      <c r="I172" s="13"/>
      <c r="J172" s="412" t="s">
        <v>5307</v>
      </c>
      <c r="K172" s="232" t="s">
        <v>122</v>
      </c>
      <c r="L172" s="458" t="s">
        <v>5308</v>
      </c>
      <c r="M172" s="351" t="s">
        <v>3809</v>
      </c>
      <c r="N172" s="349" t="s">
        <v>873</v>
      </c>
      <c r="O172" s="126"/>
      <c r="P172" s="126"/>
      <c r="Q172" s="126" t="s">
        <v>6</v>
      </c>
      <c r="R172" s="126" t="s">
        <v>6</v>
      </c>
      <c r="S172" s="126" t="s">
        <v>6</v>
      </c>
      <c r="T172" s="126"/>
      <c r="U172" s="412" t="s">
        <v>4140</v>
      </c>
      <c r="V172" s="412"/>
      <c r="W172" s="232" t="s">
        <v>123</v>
      </c>
      <c r="X172" s="59"/>
      <c r="Y172" s="59"/>
      <c r="Z172" s="61" t="s">
        <v>6</v>
      </c>
      <c r="AA172" s="61" t="s">
        <v>6</v>
      </c>
      <c r="AB172" s="13"/>
      <c r="AC172" s="40"/>
      <c r="AD172" s="218" t="s">
        <v>1574</v>
      </c>
      <c r="AE172" s="232" t="s">
        <v>123</v>
      </c>
      <c r="AF172" s="59"/>
      <c r="AG172" s="59"/>
      <c r="AH172" s="61" t="s">
        <v>6</v>
      </c>
      <c r="AI172" s="61" t="s">
        <v>6</v>
      </c>
      <c r="AJ172" s="13"/>
      <c r="AK172" s="40"/>
      <c r="AL172" s="218" t="s">
        <v>1574</v>
      </c>
      <c r="AM172" s="257" t="s">
        <v>1575</v>
      </c>
      <c r="AN172" s="13"/>
      <c r="AO172" s="15"/>
      <c r="AP172" s="15"/>
      <c r="AQ172" s="15"/>
      <c r="AR172" s="15"/>
      <c r="AS172" s="15"/>
      <c r="AT172" s="15"/>
      <c r="AU172" s="15"/>
      <c r="AV172" s="15"/>
      <c r="AW172" s="18">
        <v>37</v>
      </c>
    </row>
    <row r="173" spans="1:49" s="20" customFormat="1" ht="15">
      <c r="A173" s="40">
        <f t="shared" si="7"/>
        <v>167</v>
      </c>
      <c r="B173" s="59"/>
      <c r="C173" s="59"/>
      <c r="D173" s="59"/>
      <c r="E173" s="59"/>
      <c r="F173" s="59"/>
      <c r="G173" s="59"/>
      <c r="H173" s="59"/>
      <c r="I173" s="59"/>
      <c r="J173" s="412" t="s">
        <v>5309</v>
      </c>
      <c r="K173" s="232" t="s">
        <v>122</v>
      </c>
      <c r="L173" s="232" t="s">
        <v>5310</v>
      </c>
      <c r="M173" s="232" t="s">
        <v>4306</v>
      </c>
      <c r="N173" s="349" t="s">
        <v>873</v>
      </c>
      <c r="O173" s="126"/>
      <c r="P173" s="126"/>
      <c r="Q173" s="126" t="s">
        <v>6</v>
      </c>
      <c r="R173" s="126" t="s">
        <v>6</v>
      </c>
      <c r="S173" s="126" t="s">
        <v>6</v>
      </c>
      <c r="T173" s="126"/>
      <c r="U173" s="242"/>
      <c r="V173" s="242"/>
      <c r="W173" s="232" t="s">
        <v>123</v>
      </c>
      <c r="X173" s="59"/>
      <c r="Y173" s="59"/>
      <c r="Z173" s="61" t="s">
        <v>6</v>
      </c>
      <c r="AA173" s="61" t="s">
        <v>6</v>
      </c>
      <c r="AB173" s="15"/>
      <c r="AC173" s="59"/>
      <c r="AD173" s="59"/>
      <c r="AE173" s="232" t="s">
        <v>123</v>
      </c>
      <c r="AF173" s="59"/>
      <c r="AG173" s="59"/>
      <c r="AH173" s="61" t="s">
        <v>6</v>
      </c>
      <c r="AI173" s="61" t="s">
        <v>6</v>
      </c>
      <c r="AJ173" s="15"/>
      <c r="AK173" s="59"/>
      <c r="AL173" s="59"/>
      <c r="AM173" s="59"/>
      <c r="AN173" s="59"/>
      <c r="AO173" s="59"/>
      <c r="AP173" s="59"/>
      <c r="AQ173" s="59"/>
      <c r="AR173" s="59"/>
      <c r="AS173" s="59"/>
      <c r="AT173" s="59"/>
      <c r="AU173" s="59"/>
      <c r="AV173" s="59"/>
      <c r="AW173" s="18">
        <v>21</v>
      </c>
    </row>
    <row r="174" spans="1:49" s="236" customFormat="1" ht="39.6">
      <c r="A174" s="40">
        <f t="shared" si="7"/>
        <v>168</v>
      </c>
      <c r="B174" s="38"/>
      <c r="C174" s="41"/>
      <c r="D174" s="232"/>
      <c r="E174" s="232"/>
      <c r="F174" s="232"/>
      <c r="G174" s="232"/>
      <c r="H174" s="40"/>
      <c r="I174" s="40"/>
      <c r="J174" s="215" t="s">
        <v>5311</v>
      </c>
      <c r="K174" s="204" t="s">
        <v>132</v>
      </c>
      <c r="L174" s="215" t="s">
        <v>3595</v>
      </c>
      <c r="M174" s="215" t="s">
        <v>3602</v>
      </c>
      <c r="N174" s="40" t="s">
        <v>504</v>
      </c>
      <c r="O174" s="40"/>
      <c r="P174" s="40"/>
      <c r="Q174" s="40"/>
      <c r="R174" s="40" t="s">
        <v>6</v>
      </c>
      <c r="S174" s="40" t="s">
        <v>6</v>
      </c>
      <c r="T174" s="40"/>
      <c r="U174" s="215" t="s">
        <v>5312</v>
      </c>
      <c r="V174" s="204"/>
      <c r="W174" s="204" t="s">
        <v>125</v>
      </c>
      <c r="X174" s="40"/>
      <c r="Y174" s="40"/>
      <c r="Z174" s="40"/>
      <c r="AA174" s="40" t="s">
        <v>6</v>
      </c>
      <c r="AB174" s="204"/>
      <c r="AC174" s="40"/>
      <c r="AD174" s="215" t="s">
        <v>520</v>
      </c>
      <c r="AE174" s="204" t="s">
        <v>125</v>
      </c>
      <c r="AF174" s="40"/>
      <c r="AG174" s="40"/>
      <c r="AH174" s="40"/>
      <c r="AI174" s="40" t="s">
        <v>6</v>
      </c>
      <c r="AJ174" s="204"/>
      <c r="AK174" s="40"/>
      <c r="AL174" s="215" t="s">
        <v>520</v>
      </c>
      <c r="AM174" s="198"/>
      <c r="AN174" s="232"/>
      <c r="AO174" s="40"/>
      <c r="AP174" s="40"/>
      <c r="AQ174" s="40"/>
      <c r="AR174" s="40"/>
      <c r="AS174" s="40"/>
      <c r="AT174" s="40"/>
      <c r="AU174" s="40"/>
      <c r="AV174" s="232"/>
      <c r="AW174" s="155">
        <v>15</v>
      </c>
    </row>
    <row r="175" spans="1:49" s="20" customFormat="1" ht="26.4">
      <c r="A175" s="40">
        <f t="shared" si="7"/>
        <v>169</v>
      </c>
      <c r="B175" s="59"/>
      <c r="C175" s="59"/>
      <c r="D175" s="59"/>
      <c r="E175" s="59"/>
      <c r="F175" s="59"/>
      <c r="G175" s="59"/>
      <c r="H175" s="59"/>
      <c r="I175" s="59"/>
      <c r="J175" s="412" t="s">
        <v>5313</v>
      </c>
      <c r="K175" s="232" t="s">
        <v>117</v>
      </c>
      <c r="L175" s="204" t="s">
        <v>4313</v>
      </c>
      <c r="M175" s="204"/>
      <c r="N175" s="126" t="s">
        <v>504</v>
      </c>
      <c r="O175" s="40"/>
      <c r="P175" s="40"/>
      <c r="Q175" s="40"/>
      <c r="R175" s="126" t="s">
        <v>6</v>
      </c>
      <c r="S175" s="126" t="s">
        <v>6</v>
      </c>
      <c r="T175" s="126"/>
      <c r="U175" s="200" t="s">
        <v>1114</v>
      </c>
      <c r="V175" s="412" t="s">
        <v>5314</v>
      </c>
      <c r="W175" s="232" t="s">
        <v>125</v>
      </c>
      <c r="X175" s="13"/>
      <c r="Y175" s="13"/>
      <c r="Z175" s="13"/>
      <c r="AA175" s="61" t="s">
        <v>6</v>
      </c>
      <c r="AB175" s="15"/>
      <c r="AC175" s="59"/>
      <c r="AD175" s="412" t="s">
        <v>5315</v>
      </c>
      <c r="AE175" s="232" t="s">
        <v>125</v>
      </c>
      <c r="AF175" s="13"/>
      <c r="AG175" s="13"/>
      <c r="AH175" s="13"/>
      <c r="AI175" s="61" t="s">
        <v>6</v>
      </c>
      <c r="AJ175" s="15"/>
      <c r="AK175" s="59"/>
      <c r="AL175" s="412" t="s">
        <v>5315</v>
      </c>
      <c r="AM175" s="59"/>
      <c r="AN175" s="259" t="s">
        <v>635</v>
      </c>
      <c r="AO175" s="59"/>
      <c r="AP175" s="59"/>
      <c r="AQ175" s="59"/>
      <c r="AR175" s="59"/>
      <c r="AS175" s="59"/>
      <c r="AT175" s="59"/>
      <c r="AU175" s="59"/>
      <c r="AV175" s="59"/>
      <c r="AW175" s="18">
        <v>31</v>
      </c>
    </row>
    <row r="176" spans="1:49" s="20" customFormat="1" ht="26.4">
      <c r="A176" s="40">
        <f t="shared" si="7"/>
        <v>170</v>
      </c>
      <c r="B176" s="59"/>
      <c r="C176" s="59"/>
      <c r="D176" s="59"/>
      <c r="E176" s="59"/>
      <c r="F176" s="59"/>
      <c r="G176" s="59"/>
      <c r="H176" s="59"/>
      <c r="I176" s="59"/>
      <c r="J176" s="412" t="s">
        <v>5316</v>
      </c>
      <c r="K176" s="232" t="s">
        <v>117</v>
      </c>
      <c r="L176" s="204" t="s">
        <v>4316</v>
      </c>
      <c r="M176" s="204"/>
      <c r="N176" s="126" t="s">
        <v>504</v>
      </c>
      <c r="O176" s="40"/>
      <c r="P176" s="40"/>
      <c r="Q176" s="40"/>
      <c r="R176" s="126" t="s">
        <v>6</v>
      </c>
      <c r="S176" s="126" t="s">
        <v>6</v>
      </c>
      <c r="T176" s="126"/>
      <c r="U176" s="200" t="s">
        <v>1114</v>
      </c>
      <c r="V176" s="412" t="s">
        <v>5314</v>
      </c>
      <c r="W176" s="232" t="s">
        <v>125</v>
      </c>
      <c r="X176" s="13"/>
      <c r="Y176" s="13"/>
      <c r="Z176" s="13"/>
      <c r="AA176" s="61" t="s">
        <v>6</v>
      </c>
      <c r="AB176" s="15"/>
      <c r="AC176" s="59"/>
      <c r="AD176" s="412" t="s">
        <v>5315</v>
      </c>
      <c r="AE176" s="232" t="s">
        <v>125</v>
      </c>
      <c r="AF176" s="13"/>
      <c r="AG176" s="13"/>
      <c r="AH176" s="13"/>
      <c r="AI176" s="61" t="s">
        <v>6</v>
      </c>
      <c r="AJ176" s="15"/>
      <c r="AK176" s="59"/>
      <c r="AL176" s="412" t="s">
        <v>5315</v>
      </c>
      <c r="AM176" s="59"/>
      <c r="AN176" s="259" t="s">
        <v>635</v>
      </c>
      <c r="AO176" s="59"/>
      <c r="AP176" s="59"/>
      <c r="AQ176" s="59"/>
      <c r="AR176" s="59"/>
      <c r="AS176" s="59"/>
      <c r="AT176" s="59"/>
      <c r="AU176" s="59"/>
      <c r="AV176" s="59"/>
      <c r="AW176" s="18">
        <v>31</v>
      </c>
    </row>
    <row r="177" spans="1:49" s="20" customFormat="1" ht="26.4">
      <c r="A177" s="40">
        <f t="shared" si="7"/>
        <v>171</v>
      </c>
      <c r="B177" s="59"/>
      <c r="C177" s="59"/>
      <c r="D177" s="59"/>
      <c r="E177" s="59"/>
      <c r="F177" s="59"/>
      <c r="G177" s="59"/>
      <c r="H177" s="59"/>
      <c r="I177" s="59"/>
      <c r="J177" s="412" t="s">
        <v>5317</v>
      </c>
      <c r="K177" s="232" t="s">
        <v>117</v>
      </c>
      <c r="L177" s="204" t="s">
        <v>4318</v>
      </c>
      <c r="M177" s="204"/>
      <c r="N177" s="126" t="s">
        <v>504</v>
      </c>
      <c r="O177" s="40"/>
      <c r="P177" s="40"/>
      <c r="Q177" s="40"/>
      <c r="R177" s="126" t="s">
        <v>6</v>
      </c>
      <c r="S177" s="126" t="s">
        <v>6</v>
      </c>
      <c r="T177" s="126"/>
      <c r="U177" s="200" t="s">
        <v>1114</v>
      </c>
      <c r="V177" s="412" t="s">
        <v>5314</v>
      </c>
      <c r="W177" s="232" t="s">
        <v>125</v>
      </c>
      <c r="X177" s="13"/>
      <c r="Y177" s="13"/>
      <c r="Z177" s="13"/>
      <c r="AA177" s="61" t="s">
        <v>6</v>
      </c>
      <c r="AB177" s="15"/>
      <c r="AC177" s="59"/>
      <c r="AD177" s="412" t="s">
        <v>5315</v>
      </c>
      <c r="AE177" s="232" t="s">
        <v>125</v>
      </c>
      <c r="AF177" s="13"/>
      <c r="AG177" s="13"/>
      <c r="AH177" s="13"/>
      <c r="AI177" s="61" t="s">
        <v>6</v>
      </c>
      <c r="AJ177" s="15"/>
      <c r="AK177" s="59"/>
      <c r="AL177" s="412" t="s">
        <v>5315</v>
      </c>
      <c r="AM177" s="59"/>
      <c r="AN177" s="259" t="s">
        <v>635</v>
      </c>
      <c r="AO177" s="59"/>
      <c r="AP177" s="59"/>
      <c r="AQ177" s="59"/>
      <c r="AR177" s="59"/>
      <c r="AS177" s="59"/>
      <c r="AT177" s="59"/>
      <c r="AU177" s="59"/>
      <c r="AV177" s="59"/>
      <c r="AW177" s="18">
        <v>31</v>
      </c>
    </row>
    <row r="178" spans="1:49" s="20" customFormat="1" ht="39.6">
      <c r="A178" s="40">
        <f t="shared" si="7"/>
        <v>172</v>
      </c>
      <c r="B178" s="59"/>
      <c r="C178" s="59"/>
      <c r="D178" s="59"/>
      <c r="E178" s="59"/>
      <c r="F178" s="59"/>
      <c r="G178" s="59"/>
      <c r="H178" s="59"/>
      <c r="I178" s="59"/>
      <c r="J178" s="412" t="s">
        <v>5315</v>
      </c>
      <c r="K178" s="232" t="s">
        <v>117</v>
      </c>
      <c r="L178" s="204" t="s">
        <v>4320</v>
      </c>
      <c r="M178" s="204"/>
      <c r="N178" s="126" t="s">
        <v>504</v>
      </c>
      <c r="O178" s="40"/>
      <c r="P178" s="40"/>
      <c r="Q178" s="126" t="s">
        <v>6</v>
      </c>
      <c r="R178" s="126" t="s">
        <v>6</v>
      </c>
      <c r="S178" s="126" t="s">
        <v>6</v>
      </c>
      <c r="T178" s="126"/>
      <c r="U178" s="204"/>
      <c r="V178" s="412" t="s">
        <v>5314</v>
      </c>
      <c r="W178" s="232" t="s">
        <v>133</v>
      </c>
      <c r="X178" s="13"/>
      <c r="Y178" s="13"/>
      <c r="Z178" s="61" t="s">
        <v>6</v>
      </c>
      <c r="AA178" s="61" t="s">
        <v>6</v>
      </c>
      <c r="AB178" s="215"/>
      <c r="AC178" s="59"/>
      <c r="AD178" s="59"/>
      <c r="AE178" s="232" t="s">
        <v>133</v>
      </c>
      <c r="AF178" s="13"/>
      <c r="AG178" s="13"/>
      <c r="AH178" s="61" t="s">
        <v>6</v>
      </c>
      <c r="AI178" s="61" t="s">
        <v>6</v>
      </c>
      <c r="AJ178" s="215" t="s">
        <v>5318</v>
      </c>
      <c r="AK178" s="59"/>
      <c r="AL178" s="59"/>
      <c r="AM178" s="59" t="s">
        <v>1046</v>
      </c>
      <c r="AN178" s="59"/>
      <c r="AO178" s="59"/>
      <c r="AP178" s="59"/>
      <c r="AQ178" s="59"/>
      <c r="AR178" s="59"/>
      <c r="AS178" s="59"/>
      <c r="AT178" s="59"/>
      <c r="AU178" s="59"/>
      <c r="AV178" s="59"/>
      <c r="AW178" s="18">
        <v>23</v>
      </c>
    </row>
    <row r="179" spans="1:49" s="20" customFormat="1" ht="26.4">
      <c r="A179" s="40">
        <f t="shared" si="7"/>
        <v>173</v>
      </c>
      <c r="B179" s="59"/>
      <c r="C179" s="59"/>
      <c r="D179" s="59"/>
      <c r="E179" s="59"/>
      <c r="F179" s="59"/>
      <c r="G179" s="59"/>
      <c r="H179" s="59"/>
      <c r="I179" s="59"/>
      <c r="J179" s="412" t="s">
        <v>5319</v>
      </c>
      <c r="K179" s="232" t="s">
        <v>117</v>
      </c>
      <c r="L179" s="204" t="s">
        <v>5320</v>
      </c>
      <c r="M179" s="204"/>
      <c r="N179" s="126" t="s">
        <v>504</v>
      </c>
      <c r="O179" s="40"/>
      <c r="P179" s="40"/>
      <c r="Q179" s="40"/>
      <c r="R179" s="126" t="s">
        <v>6</v>
      </c>
      <c r="S179" s="126" t="s">
        <v>6</v>
      </c>
      <c r="T179" s="126"/>
      <c r="U179" s="200" t="s">
        <v>1114</v>
      </c>
      <c r="V179" s="412" t="s">
        <v>5314</v>
      </c>
      <c r="W179" s="232" t="s">
        <v>125</v>
      </c>
      <c r="X179" s="40"/>
      <c r="Y179" s="13"/>
      <c r="Z179" s="13"/>
      <c r="AA179" s="61" t="s">
        <v>6</v>
      </c>
      <c r="AB179" s="15"/>
      <c r="AC179" s="59"/>
      <c r="AD179" s="412" t="s">
        <v>5321</v>
      </c>
      <c r="AE179" s="232" t="s">
        <v>125</v>
      </c>
      <c r="AF179" s="40"/>
      <c r="AG179" s="13"/>
      <c r="AH179" s="13"/>
      <c r="AI179" s="61" t="s">
        <v>6</v>
      </c>
      <c r="AJ179" s="15"/>
      <c r="AK179" s="59"/>
      <c r="AL179" s="412" t="s">
        <v>5321</v>
      </c>
      <c r="AM179" s="59"/>
      <c r="AN179" s="259" t="s">
        <v>635</v>
      </c>
      <c r="AO179" s="59"/>
      <c r="AP179" s="59"/>
      <c r="AQ179" s="59"/>
      <c r="AR179" s="59"/>
      <c r="AS179" s="59"/>
      <c r="AT179" s="59"/>
      <c r="AU179" s="59"/>
      <c r="AV179" s="59"/>
      <c r="AW179" s="18">
        <v>32</v>
      </c>
    </row>
    <row r="180" spans="1:49" s="20" customFormat="1" ht="26.4">
      <c r="A180" s="40">
        <f t="shared" si="7"/>
        <v>174</v>
      </c>
      <c r="B180" s="59"/>
      <c r="C180" s="59"/>
      <c r="D180" s="59"/>
      <c r="E180" s="59"/>
      <c r="F180" s="59"/>
      <c r="G180" s="59"/>
      <c r="H180" s="59"/>
      <c r="I180" s="59"/>
      <c r="J180" s="412" t="s">
        <v>5322</v>
      </c>
      <c r="K180" s="232" t="s">
        <v>117</v>
      </c>
      <c r="L180" s="204" t="s">
        <v>5323</v>
      </c>
      <c r="M180" s="204"/>
      <c r="N180" s="126" t="s">
        <v>504</v>
      </c>
      <c r="O180" s="40"/>
      <c r="P180" s="40"/>
      <c r="Q180" s="40"/>
      <c r="R180" s="126" t="s">
        <v>6</v>
      </c>
      <c r="S180" s="126" t="s">
        <v>6</v>
      </c>
      <c r="T180" s="126"/>
      <c r="U180" s="200" t="s">
        <v>1114</v>
      </c>
      <c r="V180" s="412" t="s">
        <v>5314</v>
      </c>
      <c r="W180" s="232" t="s">
        <v>125</v>
      </c>
      <c r="X180" s="13"/>
      <c r="Y180" s="13"/>
      <c r="Z180" s="13"/>
      <c r="AA180" s="61" t="s">
        <v>6</v>
      </c>
      <c r="AB180" s="15"/>
      <c r="AC180" s="59"/>
      <c r="AD180" s="412" t="s">
        <v>5321</v>
      </c>
      <c r="AE180" s="232" t="s">
        <v>125</v>
      </c>
      <c r="AF180" s="13"/>
      <c r="AG180" s="13"/>
      <c r="AH180" s="13"/>
      <c r="AI180" s="61" t="s">
        <v>6</v>
      </c>
      <c r="AJ180" s="15"/>
      <c r="AK180" s="59"/>
      <c r="AL180" s="412" t="s">
        <v>5321</v>
      </c>
      <c r="AM180" s="59"/>
      <c r="AN180" s="259" t="s">
        <v>635</v>
      </c>
      <c r="AO180" s="59"/>
      <c r="AP180" s="59"/>
      <c r="AQ180" s="59"/>
      <c r="AR180" s="59"/>
      <c r="AS180" s="59"/>
      <c r="AT180" s="59"/>
      <c r="AU180" s="59"/>
      <c r="AV180" s="59"/>
      <c r="AW180" s="18">
        <v>32</v>
      </c>
    </row>
    <row r="181" spans="1:49" s="20" customFormat="1" ht="26.4">
      <c r="A181" s="40">
        <f t="shared" si="7"/>
        <v>175</v>
      </c>
      <c r="B181" s="59"/>
      <c r="C181" s="59"/>
      <c r="D181" s="59"/>
      <c r="E181" s="59"/>
      <c r="F181" s="59"/>
      <c r="G181" s="59"/>
      <c r="H181" s="59"/>
      <c r="I181" s="59"/>
      <c r="J181" s="412" t="s">
        <v>5324</v>
      </c>
      <c r="K181" s="232" t="s">
        <v>117</v>
      </c>
      <c r="L181" s="204" t="s">
        <v>5325</v>
      </c>
      <c r="M181" s="204"/>
      <c r="N181" s="126" t="s">
        <v>504</v>
      </c>
      <c r="O181" s="40"/>
      <c r="P181" s="40"/>
      <c r="Q181" s="40"/>
      <c r="R181" s="126" t="s">
        <v>6</v>
      </c>
      <c r="S181" s="126" t="s">
        <v>6</v>
      </c>
      <c r="T181" s="126"/>
      <c r="U181" s="200" t="s">
        <v>1114</v>
      </c>
      <c r="V181" s="412" t="s">
        <v>5314</v>
      </c>
      <c r="W181" s="232" t="s">
        <v>125</v>
      </c>
      <c r="X181" s="13"/>
      <c r="Y181" s="13"/>
      <c r="Z181" s="13"/>
      <c r="AA181" s="61" t="s">
        <v>6</v>
      </c>
      <c r="AB181" s="15"/>
      <c r="AC181" s="59"/>
      <c r="AD181" s="412" t="s">
        <v>5321</v>
      </c>
      <c r="AE181" s="232" t="s">
        <v>125</v>
      </c>
      <c r="AF181" s="13"/>
      <c r="AG181" s="13"/>
      <c r="AH181" s="13"/>
      <c r="AI181" s="61" t="s">
        <v>6</v>
      </c>
      <c r="AJ181" s="15"/>
      <c r="AK181" s="59"/>
      <c r="AL181" s="412" t="s">
        <v>5321</v>
      </c>
      <c r="AM181" s="59"/>
      <c r="AN181" s="259" t="s">
        <v>635</v>
      </c>
      <c r="AO181" s="59"/>
      <c r="AP181" s="59"/>
      <c r="AQ181" s="59"/>
      <c r="AR181" s="59"/>
      <c r="AS181" s="59"/>
      <c r="AT181" s="59"/>
      <c r="AU181" s="59"/>
      <c r="AV181" s="59"/>
      <c r="AW181" s="18">
        <v>32</v>
      </c>
    </row>
    <row r="182" spans="1:49" s="20" customFormat="1" ht="39.6">
      <c r="A182" s="40">
        <f t="shared" si="7"/>
        <v>176</v>
      </c>
      <c r="B182" s="59"/>
      <c r="C182" s="59"/>
      <c r="D182" s="59"/>
      <c r="E182" s="59"/>
      <c r="F182" s="59"/>
      <c r="G182" s="59"/>
      <c r="H182" s="59"/>
      <c r="I182" s="59"/>
      <c r="J182" s="412" t="s">
        <v>5321</v>
      </c>
      <c r="K182" s="232" t="s">
        <v>117</v>
      </c>
      <c r="L182" s="204" t="s">
        <v>5326</v>
      </c>
      <c r="M182" s="204"/>
      <c r="N182" s="126" t="s">
        <v>504</v>
      </c>
      <c r="O182" s="40"/>
      <c r="P182" s="40"/>
      <c r="Q182" s="126" t="s">
        <v>6</v>
      </c>
      <c r="R182" s="126" t="s">
        <v>6</v>
      </c>
      <c r="S182" s="126" t="s">
        <v>6</v>
      </c>
      <c r="T182" s="126"/>
      <c r="U182" s="204"/>
      <c r="V182" s="412" t="s">
        <v>5314</v>
      </c>
      <c r="W182" s="232" t="s">
        <v>133</v>
      </c>
      <c r="X182" s="13"/>
      <c r="Y182" s="13"/>
      <c r="Z182" s="61" t="s">
        <v>6</v>
      </c>
      <c r="AA182" s="61" t="s">
        <v>6</v>
      </c>
      <c r="AB182" s="215"/>
      <c r="AC182" s="59"/>
      <c r="AD182" s="59"/>
      <c r="AE182" s="232" t="s">
        <v>133</v>
      </c>
      <c r="AF182" s="13"/>
      <c r="AG182" s="13"/>
      <c r="AH182" s="61" t="s">
        <v>6</v>
      </c>
      <c r="AI182" s="61" t="s">
        <v>6</v>
      </c>
      <c r="AJ182" s="215" t="s">
        <v>5327</v>
      </c>
      <c r="AK182" s="59"/>
      <c r="AL182" s="59"/>
      <c r="AM182" s="59" t="s">
        <v>1046</v>
      </c>
      <c r="AN182" s="59"/>
      <c r="AO182" s="59"/>
      <c r="AP182" s="59"/>
      <c r="AQ182" s="59"/>
      <c r="AR182" s="59"/>
      <c r="AS182" s="59"/>
      <c r="AT182" s="59"/>
      <c r="AU182" s="59"/>
      <c r="AV182" s="59"/>
      <c r="AW182" s="18">
        <v>25</v>
      </c>
    </row>
    <row r="183" spans="1:49" s="20" customFormat="1" ht="26.4">
      <c r="A183" s="40">
        <f t="shared" si="7"/>
        <v>177</v>
      </c>
      <c r="B183" s="59"/>
      <c r="C183" s="59"/>
      <c r="D183" s="59"/>
      <c r="E183" s="59"/>
      <c r="F183" s="59"/>
      <c r="G183" s="59"/>
      <c r="H183" s="59"/>
      <c r="I183" s="59"/>
      <c r="J183" s="412" t="s">
        <v>5328</v>
      </c>
      <c r="K183" s="232" t="s">
        <v>117</v>
      </c>
      <c r="L183" s="204" t="s">
        <v>4377</v>
      </c>
      <c r="M183" s="204" t="s">
        <v>4378</v>
      </c>
      <c r="N183" s="126" t="s">
        <v>504</v>
      </c>
      <c r="O183" s="40"/>
      <c r="P183" s="40"/>
      <c r="Q183" s="40"/>
      <c r="R183" s="126" t="s">
        <v>6</v>
      </c>
      <c r="S183" s="126" t="s">
        <v>6</v>
      </c>
      <c r="T183" s="40"/>
      <c r="U183" s="200" t="s">
        <v>1114</v>
      </c>
      <c r="V183" s="412" t="s">
        <v>2320</v>
      </c>
      <c r="W183" s="232" t="s">
        <v>125</v>
      </c>
      <c r="X183" s="13"/>
      <c r="Y183" s="13"/>
      <c r="Z183" s="13"/>
      <c r="AA183" s="61" t="s">
        <v>6</v>
      </c>
      <c r="AB183" s="15"/>
      <c r="AC183" s="59"/>
      <c r="AD183" s="412" t="s">
        <v>5329</v>
      </c>
      <c r="AE183" s="232" t="s">
        <v>125</v>
      </c>
      <c r="AF183" s="13"/>
      <c r="AG183" s="13"/>
      <c r="AH183" s="13"/>
      <c r="AI183" s="61" t="s">
        <v>6</v>
      </c>
      <c r="AJ183" s="15"/>
      <c r="AK183" s="59"/>
      <c r="AL183" s="412" t="s">
        <v>5329</v>
      </c>
      <c r="AM183" s="59"/>
      <c r="AN183" s="259" t="s">
        <v>635</v>
      </c>
      <c r="AO183" s="59"/>
      <c r="AP183" s="59"/>
      <c r="AQ183" s="59"/>
      <c r="AR183" s="59"/>
      <c r="AS183" s="59"/>
      <c r="AT183" s="59"/>
      <c r="AU183" s="59"/>
      <c r="AV183" s="59"/>
      <c r="AW183" s="18">
        <v>31</v>
      </c>
    </row>
    <row r="184" spans="1:49" s="20" customFormat="1" ht="26.4">
      <c r="A184" s="40">
        <f t="shared" si="7"/>
        <v>178</v>
      </c>
      <c r="B184" s="59"/>
      <c r="C184" s="59"/>
      <c r="D184" s="59"/>
      <c r="E184" s="59"/>
      <c r="F184" s="59"/>
      <c r="G184" s="59"/>
      <c r="H184" s="59"/>
      <c r="I184" s="59"/>
      <c r="J184" s="412" t="s">
        <v>5330</v>
      </c>
      <c r="K184" s="232" t="s">
        <v>117</v>
      </c>
      <c r="L184" s="204" t="s">
        <v>4381</v>
      </c>
      <c r="M184" s="204" t="s">
        <v>4378</v>
      </c>
      <c r="N184" s="126" t="s">
        <v>504</v>
      </c>
      <c r="O184" s="40"/>
      <c r="P184" s="40"/>
      <c r="Q184" s="40"/>
      <c r="R184" s="126" t="s">
        <v>6</v>
      </c>
      <c r="S184" s="126" t="s">
        <v>6</v>
      </c>
      <c r="T184" s="40"/>
      <c r="U184" s="200" t="s">
        <v>1114</v>
      </c>
      <c r="V184" s="412" t="s">
        <v>2320</v>
      </c>
      <c r="W184" s="232" t="s">
        <v>125</v>
      </c>
      <c r="X184" s="13"/>
      <c r="Y184" s="13"/>
      <c r="Z184" s="13"/>
      <c r="AA184" s="61" t="s">
        <v>6</v>
      </c>
      <c r="AB184" s="15"/>
      <c r="AC184" s="59"/>
      <c r="AD184" s="412" t="s">
        <v>5329</v>
      </c>
      <c r="AE184" s="232" t="s">
        <v>125</v>
      </c>
      <c r="AF184" s="13"/>
      <c r="AG184" s="13"/>
      <c r="AH184" s="13"/>
      <c r="AI184" s="61" t="s">
        <v>6</v>
      </c>
      <c r="AJ184" s="15"/>
      <c r="AK184" s="59"/>
      <c r="AL184" s="412" t="s">
        <v>5329</v>
      </c>
      <c r="AM184" s="59"/>
      <c r="AN184" s="259" t="s">
        <v>635</v>
      </c>
      <c r="AO184" s="59"/>
      <c r="AP184" s="59"/>
      <c r="AQ184" s="59"/>
      <c r="AR184" s="59"/>
      <c r="AS184" s="59"/>
      <c r="AT184" s="59"/>
      <c r="AU184" s="59"/>
      <c r="AV184" s="59"/>
      <c r="AW184" s="18">
        <v>31</v>
      </c>
    </row>
    <row r="185" spans="1:49" s="20" customFormat="1" ht="26.4">
      <c r="A185" s="40">
        <f t="shared" si="7"/>
        <v>179</v>
      </c>
      <c r="B185" s="59"/>
      <c r="C185" s="59"/>
      <c r="D185" s="59"/>
      <c r="E185" s="59"/>
      <c r="F185" s="59"/>
      <c r="G185" s="59"/>
      <c r="H185" s="59"/>
      <c r="I185" s="59"/>
      <c r="J185" s="412" t="s">
        <v>5331</v>
      </c>
      <c r="K185" s="232" t="s">
        <v>117</v>
      </c>
      <c r="L185" s="204" t="s">
        <v>4383</v>
      </c>
      <c r="M185" s="204" t="s">
        <v>4378</v>
      </c>
      <c r="N185" s="126" t="s">
        <v>504</v>
      </c>
      <c r="O185" s="40"/>
      <c r="P185" s="40"/>
      <c r="Q185" s="40"/>
      <c r="R185" s="126" t="s">
        <v>6</v>
      </c>
      <c r="S185" s="126" t="s">
        <v>6</v>
      </c>
      <c r="T185" s="40"/>
      <c r="U185" s="200" t="s">
        <v>1114</v>
      </c>
      <c r="V185" s="412" t="s">
        <v>2320</v>
      </c>
      <c r="W185" s="232" t="s">
        <v>125</v>
      </c>
      <c r="X185" s="13"/>
      <c r="Y185" s="13"/>
      <c r="Z185" s="13"/>
      <c r="AA185" s="61" t="s">
        <v>6</v>
      </c>
      <c r="AB185" s="15"/>
      <c r="AC185" s="59"/>
      <c r="AD185" s="412" t="s">
        <v>5329</v>
      </c>
      <c r="AE185" s="232" t="s">
        <v>125</v>
      </c>
      <c r="AF185" s="13"/>
      <c r="AG185" s="13"/>
      <c r="AH185" s="13"/>
      <c r="AI185" s="61" t="s">
        <v>6</v>
      </c>
      <c r="AJ185" s="15"/>
      <c r="AK185" s="59"/>
      <c r="AL185" s="412" t="s">
        <v>5329</v>
      </c>
      <c r="AM185" s="59"/>
      <c r="AN185" s="259" t="s">
        <v>635</v>
      </c>
      <c r="AO185" s="59"/>
      <c r="AP185" s="59"/>
      <c r="AQ185" s="59"/>
      <c r="AR185" s="59"/>
      <c r="AS185" s="59"/>
      <c r="AT185" s="59"/>
      <c r="AU185" s="59"/>
      <c r="AV185" s="59"/>
      <c r="AW185" s="18">
        <v>31</v>
      </c>
    </row>
    <row r="186" spans="1:49" s="20" customFormat="1" ht="39.6">
      <c r="A186" s="40">
        <f t="shared" si="7"/>
        <v>180</v>
      </c>
      <c r="B186" s="59"/>
      <c r="C186" s="59"/>
      <c r="D186" s="59"/>
      <c r="E186" s="59"/>
      <c r="F186" s="59"/>
      <c r="G186" s="59"/>
      <c r="H186" s="59"/>
      <c r="I186" s="59"/>
      <c r="J186" s="412" t="s">
        <v>5329</v>
      </c>
      <c r="K186" s="232" t="s">
        <v>117</v>
      </c>
      <c r="L186" s="204" t="s">
        <v>4441</v>
      </c>
      <c r="M186" s="204" t="s">
        <v>4378</v>
      </c>
      <c r="N186" s="126" t="s">
        <v>504</v>
      </c>
      <c r="O186" s="40"/>
      <c r="P186" s="40"/>
      <c r="Q186" s="126" t="s">
        <v>6</v>
      </c>
      <c r="R186" s="126" t="s">
        <v>6</v>
      </c>
      <c r="S186" s="126" t="s">
        <v>6</v>
      </c>
      <c r="T186" s="40"/>
      <c r="U186" s="204"/>
      <c r="V186" s="412" t="s">
        <v>2320</v>
      </c>
      <c r="W186" s="232" t="s">
        <v>133</v>
      </c>
      <c r="X186" s="13"/>
      <c r="Y186" s="13"/>
      <c r="Z186" s="61" t="s">
        <v>6</v>
      </c>
      <c r="AA186" s="61" t="s">
        <v>6</v>
      </c>
      <c r="AB186" s="215"/>
      <c r="AC186" s="59"/>
      <c r="AD186" s="218" t="s">
        <v>2292</v>
      </c>
      <c r="AE186" s="232" t="s">
        <v>133</v>
      </c>
      <c r="AF186" s="13"/>
      <c r="AG186" s="13"/>
      <c r="AH186" s="61" t="s">
        <v>6</v>
      </c>
      <c r="AI186" s="61" t="s">
        <v>6</v>
      </c>
      <c r="AJ186" s="215" t="s">
        <v>5332</v>
      </c>
      <c r="AK186" s="59"/>
      <c r="AL186" s="218" t="s">
        <v>2292</v>
      </c>
      <c r="AM186" s="198" t="s">
        <v>2321</v>
      </c>
      <c r="AN186" s="59"/>
      <c r="AO186" s="59"/>
      <c r="AP186" s="59"/>
      <c r="AQ186" s="59"/>
      <c r="AR186" s="59"/>
      <c r="AS186" s="59"/>
      <c r="AT186" s="59"/>
      <c r="AU186" s="59"/>
      <c r="AV186" s="59"/>
      <c r="AW186" s="18">
        <v>23</v>
      </c>
    </row>
    <row r="187" spans="1:49" s="20" customFormat="1" ht="26.4">
      <c r="A187" s="40">
        <f t="shared" si="7"/>
        <v>181</v>
      </c>
      <c r="B187" s="59"/>
      <c r="C187" s="59"/>
      <c r="D187" s="59"/>
      <c r="E187" s="59"/>
      <c r="F187" s="59"/>
      <c r="G187" s="59"/>
      <c r="H187" s="59"/>
      <c r="I187" s="59"/>
      <c r="J187" s="412" t="s">
        <v>5333</v>
      </c>
      <c r="K187" s="232" t="s">
        <v>117</v>
      </c>
      <c r="L187" s="204" t="s">
        <v>5334</v>
      </c>
      <c r="M187" s="204" t="s">
        <v>4378</v>
      </c>
      <c r="N187" s="126" t="s">
        <v>504</v>
      </c>
      <c r="O187" s="40"/>
      <c r="P187" s="40"/>
      <c r="Q187" s="40"/>
      <c r="R187" s="126" t="s">
        <v>6</v>
      </c>
      <c r="S187" s="126" t="s">
        <v>6</v>
      </c>
      <c r="T187" s="40"/>
      <c r="U187" s="200" t="s">
        <v>1114</v>
      </c>
      <c r="V187" s="412" t="s">
        <v>2320</v>
      </c>
      <c r="W187" s="232" t="s">
        <v>125</v>
      </c>
      <c r="X187" s="13"/>
      <c r="Y187" s="13"/>
      <c r="Z187" s="13"/>
      <c r="AA187" s="61" t="s">
        <v>6</v>
      </c>
      <c r="AB187" s="15"/>
      <c r="AC187" s="59"/>
      <c r="AD187" s="412" t="s">
        <v>2322</v>
      </c>
      <c r="AE187" s="232" t="s">
        <v>125</v>
      </c>
      <c r="AF187" s="13"/>
      <c r="AG187" s="13"/>
      <c r="AH187" s="13"/>
      <c r="AI187" s="61" t="s">
        <v>6</v>
      </c>
      <c r="AJ187" s="15"/>
      <c r="AK187" s="59"/>
      <c r="AL187" s="412" t="s">
        <v>2322</v>
      </c>
      <c r="AM187" s="198" t="s">
        <v>2321</v>
      </c>
      <c r="AN187" s="259" t="s">
        <v>635</v>
      </c>
      <c r="AO187" s="59"/>
      <c r="AP187" s="59"/>
      <c r="AQ187" s="59"/>
      <c r="AR187" s="59"/>
      <c r="AS187" s="59"/>
      <c r="AT187" s="59"/>
      <c r="AU187" s="59"/>
      <c r="AV187" s="59"/>
      <c r="AW187" s="18">
        <v>32</v>
      </c>
    </row>
    <row r="188" spans="1:49" s="20" customFormat="1" ht="26.4">
      <c r="A188" s="40">
        <f t="shared" si="7"/>
        <v>182</v>
      </c>
      <c r="B188" s="59"/>
      <c r="C188" s="59"/>
      <c r="D188" s="59"/>
      <c r="E188" s="59"/>
      <c r="F188" s="59"/>
      <c r="G188" s="59"/>
      <c r="H188" s="59"/>
      <c r="I188" s="59"/>
      <c r="J188" s="412" t="s">
        <v>5335</v>
      </c>
      <c r="K188" s="232" t="s">
        <v>117</v>
      </c>
      <c r="L188" s="204" t="s">
        <v>5336</v>
      </c>
      <c r="M188" s="204" t="s">
        <v>4378</v>
      </c>
      <c r="N188" s="126" t="s">
        <v>504</v>
      </c>
      <c r="O188" s="40"/>
      <c r="P188" s="40"/>
      <c r="Q188" s="40"/>
      <c r="R188" s="126" t="s">
        <v>6</v>
      </c>
      <c r="S188" s="126" t="s">
        <v>6</v>
      </c>
      <c r="T188" s="40"/>
      <c r="U188" s="200" t="s">
        <v>1114</v>
      </c>
      <c r="V188" s="412" t="s">
        <v>2320</v>
      </c>
      <c r="W188" s="232" t="s">
        <v>125</v>
      </c>
      <c r="X188" s="13"/>
      <c r="Y188" s="13"/>
      <c r="Z188" s="13"/>
      <c r="AA188" s="61" t="s">
        <v>6</v>
      </c>
      <c r="AB188" s="15"/>
      <c r="AC188" s="59"/>
      <c r="AD188" s="412" t="s">
        <v>2322</v>
      </c>
      <c r="AE188" s="232" t="s">
        <v>125</v>
      </c>
      <c r="AF188" s="13"/>
      <c r="AG188" s="13"/>
      <c r="AH188" s="13"/>
      <c r="AI188" s="61" t="s">
        <v>6</v>
      </c>
      <c r="AJ188" s="15"/>
      <c r="AK188" s="59"/>
      <c r="AL188" s="412" t="s">
        <v>2322</v>
      </c>
      <c r="AM188" s="198" t="s">
        <v>2321</v>
      </c>
      <c r="AN188" s="259" t="s">
        <v>635</v>
      </c>
      <c r="AO188" s="59"/>
      <c r="AP188" s="59"/>
      <c r="AQ188" s="59"/>
      <c r="AR188" s="59"/>
      <c r="AS188" s="59"/>
      <c r="AT188" s="59"/>
      <c r="AU188" s="59"/>
      <c r="AV188" s="59"/>
      <c r="AW188" s="18">
        <v>32</v>
      </c>
    </row>
    <row r="189" spans="1:49" s="20" customFormat="1" ht="26.4">
      <c r="A189" s="40">
        <f t="shared" si="7"/>
        <v>183</v>
      </c>
      <c r="B189" s="59"/>
      <c r="C189" s="59"/>
      <c r="D189" s="59"/>
      <c r="E189" s="59"/>
      <c r="F189" s="59"/>
      <c r="G189" s="59"/>
      <c r="H189" s="59"/>
      <c r="I189" s="59"/>
      <c r="J189" s="412" t="s">
        <v>5337</v>
      </c>
      <c r="K189" s="232" t="s">
        <v>117</v>
      </c>
      <c r="L189" s="204" t="s">
        <v>5338</v>
      </c>
      <c r="M189" s="204" t="s">
        <v>4378</v>
      </c>
      <c r="N189" s="126" t="s">
        <v>504</v>
      </c>
      <c r="O189" s="40"/>
      <c r="P189" s="40"/>
      <c r="Q189" s="40"/>
      <c r="R189" s="126" t="s">
        <v>6</v>
      </c>
      <c r="S189" s="126" t="s">
        <v>6</v>
      </c>
      <c r="T189" s="40"/>
      <c r="U189" s="200" t="s">
        <v>1114</v>
      </c>
      <c r="V189" s="412" t="s">
        <v>2320</v>
      </c>
      <c r="W189" s="232" t="s">
        <v>125</v>
      </c>
      <c r="X189" s="13"/>
      <c r="Y189" s="13"/>
      <c r="Z189" s="13"/>
      <c r="AA189" s="61" t="s">
        <v>6</v>
      </c>
      <c r="AB189" s="15"/>
      <c r="AC189" s="59"/>
      <c r="AD189" s="412" t="s">
        <v>2322</v>
      </c>
      <c r="AE189" s="232" t="s">
        <v>125</v>
      </c>
      <c r="AF189" s="13"/>
      <c r="AG189" s="13"/>
      <c r="AH189" s="13"/>
      <c r="AI189" s="61" t="s">
        <v>6</v>
      </c>
      <c r="AJ189" s="15"/>
      <c r="AK189" s="59"/>
      <c r="AL189" s="412" t="s">
        <v>2322</v>
      </c>
      <c r="AM189" s="198" t="s">
        <v>2321</v>
      </c>
      <c r="AN189" s="259" t="s">
        <v>635</v>
      </c>
      <c r="AO189" s="59"/>
      <c r="AP189" s="59"/>
      <c r="AQ189" s="59"/>
      <c r="AR189" s="59"/>
      <c r="AS189" s="59"/>
      <c r="AT189" s="59"/>
      <c r="AU189" s="59"/>
      <c r="AV189" s="59"/>
      <c r="AW189" s="18">
        <v>32</v>
      </c>
    </row>
    <row r="190" spans="1:49" s="20" customFormat="1" ht="39.6">
      <c r="A190" s="40">
        <f t="shared" si="7"/>
        <v>184</v>
      </c>
      <c r="B190" s="59"/>
      <c r="C190" s="59"/>
      <c r="D190" s="59"/>
      <c r="E190" s="59"/>
      <c r="F190" s="59"/>
      <c r="G190" s="59"/>
      <c r="H190" s="59"/>
      <c r="I190" s="59"/>
      <c r="J190" s="412" t="s">
        <v>2322</v>
      </c>
      <c r="K190" s="232" t="s">
        <v>117</v>
      </c>
      <c r="L190" s="204" t="s">
        <v>5339</v>
      </c>
      <c r="M190" s="204" t="s">
        <v>4378</v>
      </c>
      <c r="N190" s="126" t="s">
        <v>504</v>
      </c>
      <c r="O190" s="40"/>
      <c r="P190" s="40"/>
      <c r="Q190" s="126" t="s">
        <v>6</v>
      </c>
      <c r="R190" s="126" t="s">
        <v>6</v>
      </c>
      <c r="S190" s="126" t="s">
        <v>6</v>
      </c>
      <c r="T190" s="40"/>
      <c r="U190" s="204"/>
      <c r="V190" s="412" t="s">
        <v>2320</v>
      </c>
      <c r="W190" s="232" t="s">
        <v>133</v>
      </c>
      <c r="X190" s="13"/>
      <c r="Y190" s="13"/>
      <c r="Z190" s="61" t="s">
        <v>6</v>
      </c>
      <c r="AA190" s="61" t="s">
        <v>6</v>
      </c>
      <c r="AB190" s="215"/>
      <c r="AC190" s="59"/>
      <c r="AD190" s="218" t="s">
        <v>2292</v>
      </c>
      <c r="AE190" s="232" t="s">
        <v>133</v>
      </c>
      <c r="AF190" s="13"/>
      <c r="AG190" s="13"/>
      <c r="AH190" s="61" t="s">
        <v>6</v>
      </c>
      <c r="AI190" s="61" t="s">
        <v>6</v>
      </c>
      <c r="AJ190" s="215" t="s">
        <v>5340</v>
      </c>
      <c r="AK190" s="59"/>
      <c r="AL190" s="218" t="s">
        <v>2292</v>
      </c>
      <c r="AM190" s="198" t="s">
        <v>2324</v>
      </c>
      <c r="AN190" s="59"/>
      <c r="AO190" s="59"/>
      <c r="AP190" s="59"/>
      <c r="AQ190" s="59"/>
      <c r="AR190" s="59"/>
      <c r="AS190" s="59"/>
      <c r="AT190" s="59"/>
      <c r="AU190" s="59"/>
      <c r="AV190" s="59"/>
      <c r="AW190" s="18">
        <v>24</v>
      </c>
    </row>
    <row r="191" spans="1:49" s="20" customFormat="1" ht="26.4">
      <c r="A191" s="40">
        <f t="shared" si="7"/>
        <v>185</v>
      </c>
      <c r="B191" s="59"/>
      <c r="C191" s="59"/>
      <c r="D191" s="59"/>
      <c r="E191" s="59"/>
      <c r="F191" s="59"/>
      <c r="G191" s="59"/>
      <c r="H191" s="59"/>
      <c r="I191" s="59"/>
      <c r="J191" s="412" t="s">
        <v>2320</v>
      </c>
      <c r="K191" s="232" t="s">
        <v>117</v>
      </c>
      <c r="L191" s="204" t="s">
        <v>4444</v>
      </c>
      <c r="M191" s="204" t="s">
        <v>4378</v>
      </c>
      <c r="N191" s="126" t="s">
        <v>504</v>
      </c>
      <c r="O191" s="126"/>
      <c r="P191" s="126"/>
      <c r="Q191" s="126" t="s">
        <v>6</v>
      </c>
      <c r="R191" s="126" t="s">
        <v>6</v>
      </c>
      <c r="S191" s="126" t="s">
        <v>6</v>
      </c>
      <c r="T191" s="126"/>
      <c r="U191" s="218" t="s">
        <v>5341</v>
      </c>
      <c r="V191" s="246"/>
      <c r="W191" s="232" t="s">
        <v>133</v>
      </c>
      <c r="X191" s="59"/>
      <c r="Y191" s="59"/>
      <c r="Z191" s="61" t="s">
        <v>6</v>
      </c>
      <c r="AA191" s="61"/>
      <c r="AB191" s="204" t="s">
        <v>1100</v>
      </c>
      <c r="AC191" s="59"/>
      <c r="AD191" s="59"/>
      <c r="AE191" s="232" t="s">
        <v>133</v>
      </c>
      <c r="AF191" s="59"/>
      <c r="AG191" s="59"/>
      <c r="AH191" s="61"/>
      <c r="AI191" s="61"/>
      <c r="AJ191" s="204" t="s">
        <v>1100</v>
      </c>
      <c r="AK191" s="59"/>
      <c r="AL191" s="59"/>
      <c r="AM191" s="59"/>
      <c r="AN191" s="59"/>
      <c r="AO191" s="59"/>
      <c r="AP191" s="59"/>
      <c r="AQ191" s="59"/>
      <c r="AR191" s="59"/>
      <c r="AS191" s="59"/>
      <c r="AT191" s="59"/>
      <c r="AU191" s="59"/>
      <c r="AV191" s="59"/>
      <c r="AW191" s="18">
        <v>29</v>
      </c>
    </row>
    <row r="192" spans="1:49" s="20" customFormat="1" ht="26.4">
      <c r="A192" s="40">
        <f t="shared" si="7"/>
        <v>186</v>
      </c>
      <c r="B192" s="59"/>
      <c r="C192" s="59"/>
      <c r="D192" s="59"/>
      <c r="E192" s="59"/>
      <c r="F192" s="59"/>
      <c r="G192" s="59"/>
      <c r="H192" s="59"/>
      <c r="I192" s="59"/>
      <c r="J192" s="412" t="s">
        <v>5342</v>
      </c>
      <c r="K192" s="232" t="s">
        <v>117</v>
      </c>
      <c r="L192" s="204" t="s">
        <v>2329</v>
      </c>
      <c r="M192" s="204"/>
      <c r="N192" s="126" t="s">
        <v>504</v>
      </c>
      <c r="O192" s="126"/>
      <c r="P192" s="126"/>
      <c r="Q192" s="126"/>
      <c r="R192" s="126" t="s">
        <v>6</v>
      </c>
      <c r="S192" s="126" t="s">
        <v>6</v>
      </c>
      <c r="T192" s="126"/>
      <c r="U192" s="200" t="s">
        <v>1114</v>
      </c>
      <c r="V192" s="204"/>
      <c r="W192" s="232" t="s">
        <v>125</v>
      </c>
      <c r="X192" s="59"/>
      <c r="Y192" s="59"/>
      <c r="Z192" s="59"/>
      <c r="AA192" s="61" t="s">
        <v>6</v>
      </c>
      <c r="AB192" s="15"/>
      <c r="AC192" s="59"/>
      <c r="AD192" s="412" t="s">
        <v>2330</v>
      </c>
      <c r="AE192" s="232" t="s">
        <v>125</v>
      </c>
      <c r="AF192" s="59"/>
      <c r="AG192" s="59"/>
      <c r="AH192" s="59"/>
      <c r="AI192" s="61" t="s">
        <v>6</v>
      </c>
      <c r="AJ192" s="15"/>
      <c r="AK192" s="59"/>
      <c r="AL192" s="412" t="s">
        <v>2330</v>
      </c>
      <c r="AM192" s="198" t="s">
        <v>2295</v>
      </c>
      <c r="AN192" s="59"/>
      <c r="AO192" s="59"/>
      <c r="AP192" s="59"/>
      <c r="AQ192" s="59"/>
      <c r="AR192" s="59"/>
      <c r="AS192" s="59"/>
      <c r="AT192" s="59"/>
      <c r="AU192" s="59"/>
      <c r="AV192" s="59"/>
      <c r="AW192" s="18">
        <v>32</v>
      </c>
    </row>
    <row r="193" spans="1:49" s="20" customFormat="1" ht="26.4">
      <c r="A193" s="40">
        <f t="shared" si="7"/>
        <v>187</v>
      </c>
      <c r="B193" s="59"/>
      <c r="C193" s="59"/>
      <c r="D193" s="59"/>
      <c r="E193" s="59"/>
      <c r="F193" s="59"/>
      <c r="G193" s="59"/>
      <c r="H193" s="59"/>
      <c r="I193" s="59"/>
      <c r="J193" s="412" t="s">
        <v>5343</v>
      </c>
      <c r="K193" s="232" t="s">
        <v>117</v>
      </c>
      <c r="L193" s="204" t="s">
        <v>2332</v>
      </c>
      <c r="M193" s="204"/>
      <c r="N193" s="126" t="s">
        <v>504</v>
      </c>
      <c r="O193" s="126"/>
      <c r="P193" s="126"/>
      <c r="Q193" s="126"/>
      <c r="R193" s="126" t="s">
        <v>6</v>
      </c>
      <c r="S193" s="126" t="s">
        <v>6</v>
      </c>
      <c r="T193" s="126"/>
      <c r="U193" s="200" t="s">
        <v>1114</v>
      </c>
      <c r="V193" s="204"/>
      <c r="W193" s="232" t="s">
        <v>125</v>
      </c>
      <c r="X193" s="59"/>
      <c r="Y193" s="59"/>
      <c r="Z193" s="59"/>
      <c r="AA193" s="61" t="s">
        <v>6</v>
      </c>
      <c r="AB193" s="15"/>
      <c r="AC193" s="59"/>
      <c r="AD193" s="412" t="s">
        <v>2330</v>
      </c>
      <c r="AE193" s="232" t="s">
        <v>125</v>
      </c>
      <c r="AF193" s="59"/>
      <c r="AG193" s="59"/>
      <c r="AH193" s="59"/>
      <c r="AI193" s="61" t="s">
        <v>6</v>
      </c>
      <c r="AJ193" s="15"/>
      <c r="AK193" s="59"/>
      <c r="AL193" s="412" t="s">
        <v>2330</v>
      </c>
      <c r="AM193" s="198" t="s">
        <v>2295</v>
      </c>
      <c r="AN193" s="59"/>
      <c r="AO193" s="59"/>
      <c r="AP193" s="59"/>
      <c r="AQ193" s="59"/>
      <c r="AR193" s="59"/>
      <c r="AS193" s="59"/>
      <c r="AT193" s="59"/>
      <c r="AU193" s="59"/>
      <c r="AV193" s="59"/>
      <c r="AW193" s="18">
        <v>32</v>
      </c>
    </row>
    <row r="194" spans="1:49" s="20" customFormat="1" ht="26.4">
      <c r="A194" s="40">
        <f t="shared" si="7"/>
        <v>188</v>
      </c>
      <c r="B194" s="59"/>
      <c r="C194" s="59"/>
      <c r="D194" s="59"/>
      <c r="E194" s="59"/>
      <c r="F194" s="59"/>
      <c r="G194" s="59"/>
      <c r="H194" s="59"/>
      <c r="I194" s="59"/>
      <c r="J194" s="412" t="s">
        <v>5344</v>
      </c>
      <c r="K194" s="232" t="s">
        <v>117</v>
      </c>
      <c r="L194" s="204" t="s">
        <v>2334</v>
      </c>
      <c r="M194" s="204"/>
      <c r="N194" s="126" t="s">
        <v>504</v>
      </c>
      <c r="O194" s="126"/>
      <c r="P194" s="126"/>
      <c r="Q194" s="126"/>
      <c r="R194" s="126" t="s">
        <v>6</v>
      </c>
      <c r="S194" s="126" t="s">
        <v>6</v>
      </c>
      <c r="T194" s="126"/>
      <c r="U194" s="200" t="s">
        <v>1114</v>
      </c>
      <c r="V194" s="204"/>
      <c r="W194" s="232" t="s">
        <v>125</v>
      </c>
      <c r="X194" s="59"/>
      <c r="Y194" s="59"/>
      <c r="Z194" s="59"/>
      <c r="AA194" s="61" t="s">
        <v>6</v>
      </c>
      <c r="AB194" s="15"/>
      <c r="AC194" s="59"/>
      <c r="AD194" s="412" t="s">
        <v>2330</v>
      </c>
      <c r="AE194" s="232" t="s">
        <v>125</v>
      </c>
      <c r="AF194" s="59"/>
      <c r="AG194" s="59"/>
      <c r="AH194" s="59"/>
      <c r="AI194" s="61" t="s">
        <v>6</v>
      </c>
      <c r="AJ194" s="15"/>
      <c r="AK194" s="59"/>
      <c r="AL194" s="412" t="s">
        <v>2330</v>
      </c>
      <c r="AM194" s="198" t="s">
        <v>2295</v>
      </c>
      <c r="AN194" s="59"/>
      <c r="AO194" s="59"/>
      <c r="AP194" s="59"/>
      <c r="AQ194" s="59"/>
      <c r="AR194" s="59"/>
      <c r="AS194" s="59"/>
      <c r="AT194" s="59"/>
      <c r="AU194" s="59"/>
      <c r="AV194" s="59"/>
      <c r="AW194" s="18">
        <v>32</v>
      </c>
    </row>
    <row r="195" spans="1:49" s="20" customFormat="1" ht="39.6">
      <c r="A195" s="40">
        <f t="shared" si="7"/>
        <v>189</v>
      </c>
      <c r="B195" s="59"/>
      <c r="C195" s="59"/>
      <c r="D195" s="59"/>
      <c r="E195" s="59"/>
      <c r="F195" s="59"/>
      <c r="G195" s="59"/>
      <c r="H195" s="59"/>
      <c r="I195" s="59"/>
      <c r="J195" s="412" t="s">
        <v>2330</v>
      </c>
      <c r="K195" s="232" t="s">
        <v>117</v>
      </c>
      <c r="L195" s="204" t="s">
        <v>2336</v>
      </c>
      <c r="M195" s="204"/>
      <c r="N195" s="126" t="s">
        <v>504</v>
      </c>
      <c r="O195" s="126"/>
      <c r="P195" s="126"/>
      <c r="Q195" s="126" t="s">
        <v>6</v>
      </c>
      <c r="R195" s="126" t="s">
        <v>6</v>
      </c>
      <c r="S195" s="126" t="s">
        <v>6</v>
      </c>
      <c r="T195" s="126"/>
      <c r="U195" s="204"/>
      <c r="V195" s="204"/>
      <c r="W195" s="232" t="s">
        <v>133</v>
      </c>
      <c r="X195" s="59"/>
      <c r="Y195" s="59"/>
      <c r="Z195" s="61" t="s">
        <v>6</v>
      </c>
      <c r="AA195" s="61" t="s">
        <v>6</v>
      </c>
      <c r="AB195" s="215"/>
      <c r="AC195" s="59"/>
      <c r="AD195" s="59"/>
      <c r="AE195" s="232" t="s">
        <v>133</v>
      </c>
      <c r="AF195" s="59"/>
      <c r="AG195" s="59"/>
      <c r="AH195" s="61" t="s">
        <v>6</v>
      </c>
      <c r="AI195" s="61" t="s">
        <v>6</v>
      </c>
      <c r="AJ195" s="215" t="s">
        <v>5345</v>
      </c>
      <c r="AK195" s="59"/>
      <c r="AL195" s="59"/>
      <c r="AM195" s="198" t="s">
        <v>2295</v>
      </c>
      <c r="AN195" s="59"/>
      <c r="AO195" s="59"/>
      <c r="AP195" s="59"/>
      <c r="AQ195" s="59"/>
      <c r="AR195" s="59"/>
      <c r="AS195" s="59"/>
      <c r="AT195" s="59"/>
      <c r="AU195" s="59"/>
      <c r="AV195" s="59"/>
      <c r="AW195" s="18">
        <v>25</v>
      </c>
    </row>
    <row r="196" spans="1:49" s="20" customFormat="1" ht="26.4">
      <c r="A196" s="40">
        <f t="shared" si="7"/>
        <v>190</v>
      </c>
      <c r="B196" s="59"/>
      <c r="C196" s="59"/>
      <c r="D196" s="59"/>
      <c r="E196" s="59"/>
      <c r="F196" s="59"/>
      <c r="G196" s="59"/>
      <c r="H196" s="59"/>
      <c r="I196" s="59"/>
      <c r="J196" s="412" t="s">
        <v>5346</v>
      </c>
      <c r="K196" s="232" t="s">
        <v>117</v>
      </c>
      <c r="L196" s="204" t="s">
        <v>4503</v>
      </c>
      <c r="M196" s="204"/>
      <c r="N196" s="126" t="s">
        <v>504</v>
      </c>
      <c r="O196" s="126"/>
      <c r="P196" s="126"/>
      <c r="Q196" s="126"/>
      <c r="R196" s="126" t="s">
        <v>6</v>
      </c>
      <c r="S196" s="126" t="s">
        <v>6</v>
      </c>
      <c r="T196" s="126"/>
      <c r="U196" s="200" t="s">
        <v>1114</v>
      </c>
      <c r="V196" s="204"/>
      <c r="W196" s="232" t="s">
        <v>125</v>
      </c>
      <c r="X196" s="59"/>
      <c r="Y196" s="59"/>
      <c r="Z196" s="59"/>
      <c r="AA196" s="61" t="s">
        <v>6</v>
      </c>
      <c r="AB196" s="15"/>
      <c r="AC196" s="59"/>
      <c r="AD196" s="412" t="s">
        <v>5347</v>
      </c>
      <c r="AE196" s="232" t="s">
        <v>125</v>
      </c>
      <c r="AF196" s="59"/>
      <c r="AG196" s="59"/>
      <c r="AH196" s="59"/>
      <c r="AI196" s="61" t="s">
        <v>6</v>
      </c>
      <c r="AJ196" s="15"/>
      <c r="AK196" s="59"/>
      <c r="AL196" s="412" t="s">
        <v>5347</v>
      </c>
      <c r="AM196" s="59"/>
      <c r="AN196" s="59"/>
      <c r="AO196" s="59"/>
      <c r="AP196" s="59"/>
      <c r="AQ196" s="59"/>
      <c r="AR196" s="59"/>
      <c r="AS196" s="59"/>
      <c r="AT196" s="59"/>
      <c r="AU196" s="59"/>
      <c r="AV196" s="59"/>
      <c r="AW196" s="18">
        <v>34</v>
      </c>
    </row>
    <row r="197" spans="1:49" s="20" customFormat="1" ht="26.4">
      <c r="A197" s="40">
        <f t="shared" si="7"/>
        <v>191</v>
      </c>
      <c r="B197" s="59"/>
      <c r="C197" s="59"/>
      <c r="D197" s="59"/>
      <c r="E197" s="59"/>
      <c r="F197" s="59"/>
      <c r="G197" s="59"/>
      <c r="H197" s="59"/>
      <c r="I197" s="59"/>
      <c r="J197" s="412" t="s">
        <v>5348</v>
      </c>
      <c r="K197" s="232" t="s">
        <v>117</v>
      </c>
      <c r="L197" s="204" t="s">
        <v>4506</v>
      </c>
      <c r="M197" s="204"/>
      <c r="N197" s="126" t="s">
        <v>504</v>
      </c>
      <c r="O197" s="126"/>
      <c r="P197" s="126"/>
      <c r="Q197" s="126"/>
      <c r="R197" s="126" t="s">
        <v>6</v>
      </c>
      <c r="S197" s="126" t="s">
        <v>6</v>
      </c>
      <c r="T197" s="126"/>
      <c r="U197" s="200" t="s">
        <v>1114</v>
      </c>
      <c r="V197" s="204"/>
      <c r="W197" s="232" t="s">
        <v>125</v>
      </c>
      <c r="X197" s="59"/>
      <c r="Y197" s="59"/>
      <c r="Z197" s="59"/>
      <c r="AA197" s="61" t="s">
        <v>6</v>
      </c>
      <c r="AB197" s="15"/>
      <c r="AC197" s="59"/>
      <c r="AD197" s="412" t="s">
        <v>5347</v>
      </c>
      <c r="AE197" s="232" t="s">
        <v>125</v>
      </c>
      <c r="AF197" s="59"/>
      <c r="AG197" s="59"/>
      <c r="AH197" s="59"/>
      <c r="AI197" s="61" t="s">
        <v>6</v>
      </c>
      <c r="AJ197" s="15"/>
      <c r="AK197" s="59"/>
      <c r="AL197" s="412" t="s">
        <v>5347</v>
      </c>
      <c r="AM197" s="59"/>
      <c r="AN197" s="59"/>
      <c r="AO197" s="59"/>
      <c r="AP197" s="59"/>
      <c r="AQ197" s="59"/>
      <c r="AR197" s="59"/>
      <c r="AS197" s="59"/>
      <c r="AT197" s="59"/>
      <c r="AU197" s="59"/>
      <c r="AV197" s="59"/>
      <c r="AW197" s="18">
        <v>34</v>
      </c>
    </row>
    <row r="198" spans="1:49" s="20" customFormat="1" ht="26.4">
      <c r="A198" s="40">
        <f t="shared" si="7"/>
        <v>192</v>
      </c>
      <c r="B198" s="59"/>
      <c r="C198" s="59"/>
      <c r="D198" s="59"/>
      <c r="E198" s="59"/>
      <c r="F198" s="59"/>
      <c r="G198" s="59"/>
      <c r="H198" s="59"/>
      <c r="I198" s="59"/>
      <c r="J198" s="412" t="s">
        <v>5349</v>
      </c>
      <c r="K198" s="232" t="s">
        <v>117</v>
      </c>
      <c r="L198" s="204" t="s">
        <v>4508</v>
      </c>
      <c r="M198" s="204"/>
      <c r="N198" s="126" t="s">
        <v>504</v>
      </c>
      <c r="O198" s="126"/>
      <c r="P198" s="126"/>
      <c r="Q198" s="126"/>
      <c r="R198" s="126" t="s">
        <v>6</v>
      </c>
      <c r="S198" s="126" t="s">
        <v>6</v>
      </c>
      <c r="T198" s="126"/>
      <c r="U198" s="200" t="s">
        <v>1114</v>
      </c>
      <c r="V198" s="204"/>
      <c r="W198" s="232" t="s">
        <v>125</v>
      </c>
      <c r="X198" s="59"/>
      <c r="Y198" s="59"/>
      <c r="Z198" s="59"/>
      <c r="AA198" s="61" t="s">
        <v>6</v>
      </c>
      <c r="AB198" s="15"/>
      <c r="AC198" s="59"/>
      <c r="AD198" s="412" t="s">
        <v>5347</v>
      </c>
      <c r="AE198" s="232" t="s">
        <v>125</v>
      </c>
      <c r="AF198" s="59"/>
      <c r="AG198" s="59"/>
      <c r="AH198" s="59"/>
      <c r="AI198" s="61" t="s">
        <v>6</v>
      </c>
      <c r="AJ198" s="15"/>
      <c r="AK198" s="59"/>
      <c r="AL198" s="412" t="s">
        <v>5347</v>
      </c>
      <c r="AM198" s="59"/>
      <c r="AN198" s="59"/>
      <c r="AO198" s="59"/>
      <c r="AP198" s="59"/>
      <c r="AQ198" s="59"/>
      <c r="AR198" s="59"/>
      <c r="AS198" s="59"/>
      <c r="AT198" s="59"/>
      <c r="AU198" s="59"/>
      <c r="AV198" s="59"/>
      <c r="AW198" s="18">
        <v>34</v>
      </c>
    </row>
    <row r="199" spans="1:49" s="20" customFormat="1" ht="39.6">
      <c r="A199" s="40">
        <f t="shared" si="7"/>
        <v>193</v>
      </c>
      <c r="B199" s="59"/>
      <c r="C199" s="59"/>
      <c r="D199" s="59"/>
      <c r="E199" s="59"/>
      <c r="F199" s="59"/>
      <c r="G199" s="59"/>
      <c r="H199" s="59"/>
      <c r="I199" s="59"/>
      <c r="J199" s="412" t="s">
        <v>5347</v>
      </c>
      <c r="K199" s="232" t="s">
        <v>117</v>
      </c>
      <c r="L199" s="204" t="s">
        <v>4509</v>
      </c>
      <c r="M199" s="204"/>
      <c r="N199" s="126" t="s">
        <v>504</v>
      </c>
      <c r="O199" s="126"/>
      <c r="P199" s="126"/>
      <c r="Q199" s="126" t="s">
        <v>6</v>
      </c>
      <c r="R199" s="126" t="s">
        <v>6</v>
      </c>
      <c r="S199" s="126" t="s">
        <v>6</v>
      </c>
      <c r="T199" s="126"/>
      <c r="U199" s="204"/>
      <c r="V199" s="204"/>
      <c r="W199" s="232" t="s">
        <v>133</v>
      </c>
      <c r="X199" s="59"/>
      <c r="Y199" s="59"/>
      <c r="Z199" s="61" t="s">
        <v>6</v>
      </c>
      <c r="AA199" s="61" t="s">
        <v>6</v>
      </c>
      <c r="AB199" s="215"/>
      <c r="AC199" s="59"/>
      <c r="AD199" s="59"/>
      <c r="AE199" s="232" t="s">
        <v>133</v>
      </c>
      <c r="AF199" s="59"/>
      <c r="AG199" s="59"/>
      <c r="AH199" s="61" t="s">
        <v>6</v>
      </c>
      <c r="AI199" s="61" t="s">
        <v>6</v>
      </c>
      <c r="AJ199" s="215" t="s">
        <v>5350</v>
      </c>
      <c r="AK199" s="59"/>
      <c r="AL199" s="59"/>
      <c r="AM199" s="59"/>
      <c r="AN199" s="59"/>
      <c r="AO199" s="59"/>
      <c r="AP199" s="59"/>
      <c r="AQ199" s="59"/>
      <c r="AR199" s="59"/>
      <c r="AS199" s="59"/>
      <c r="AT199" s="59"/>
      <c r="AU199" s="59"/>
      <c r="AV199" s="59"/>
      <c r="AW199" s="18">
        <v>27</v>
      </c>
    </row>
    <row r="200" spans="1:49" s="20" customFormat="1" ht="26.4">
      <c r="A200" s="40">
        <f t="shared" si="7"/>
        <v>194</v>
      </c>
      <c r="B200" s="59"/>
      <c r="C200" s="59"/>
      <c r="D200" s="59"/>
      <c r="E200" s="59"/>
      <c r="F200" s="59"/>
      <c r="G200" s="59"/>
      <c r="H200" s="59"/>
      <c r="I200" s="59"/>
      <c r="J200" s="412" t="s">
        <v>5351</v>
      </c>
      <c r="K200" s="232" t="s">
        <v>117</v>
      </c>
      <c r="L200" s="204" t="s">
        <v>4512</v>
      </c>
      <c r="M200" s="204" t="s">
        <v>4882</v>
      </c>
      <c r="N200" s="126" t="s">
        <v>504</v>
      </c>
      <c r="O200" s="126"/>
      <c r="P200" s="126"/>
      <c r="Q200" s="126"/>
      <c r="R200" s="126" t="s">
        <v>6</v>
      </c>
      <c r="S200" s="126" t="s">
        <v>6</v>
      </c>
      <c r="T200" s="126"/>
      <c r="U200" s="200" t="s">
        <v>1114</v>
      </c>
      <c r="V200" s="204"/>
      <c r="W200" s="232" t="s">
        <v>125</v>
      </c>
      <c r="X200" s="59"/>
      <c r="Y200" s="59"/>
      <c r="Z200" s="59"/>
      <c r="AA200" s="61" t="s">
        <v>6</v>
      </c>
      <c r="AB200" s="15"/>
      <c r="AC200" s="59"/>
      <c r="AD200" s="412" t="s">
        <v>5352</v>
      </c>
      <c r="AE200" s="232" t="s">
        <v>125</v>
      </c>
      <c r="AF200" s="59"/>
      <c r="AG200" s="59"/>
      <c r="AH200" s="59"/>
      <c r="AI200" s="61" t="s">
        <v>6</v>
      </c>
      <c r="AJ200" s="15"/>
      <c r="AK200" s="59"/>
      <c r="AL200" s="412" t="s">
        <v>5352</v>
      </c>
      <c r="AM200" s="59" t="s">
        <v>2337</v>
      </c>
      <c r="AN200" s="259" t="s">
        <v>635</v>
      </c>
      <c r="AO200" s="59"/>
      <c r="AP200" s="59"/>
      <c r="AQ200" s="59"/>
      <c r="AR200" s="59"/>
      <c r="AS200" s="59"/>
      <c r="AT200" s="59"/>
      <c r="AU200" s="59"/>
      <c r="AV200" s="59"/>
      <c r="AW200" s="18">
        <v>34</v>
      </c>
    </row>
    <row r="201" spans="1:49" s="20" customFormat="1" ht="26.4">
      <c r="A201" s="40">
        <f t="shared" si="7"/>
        <v>195</v>
      </c>
      <c r="B201" s="59"/>
      <c r="C201" s="59"/>
      <c r="D201" s="59"/>
      <c r="E201" s="59"/>
      <c r="F201" s="59"/>
      <c r="G201" s="59"/>
      <c r="H201" s="59"/>
      <c r="I201" s="59"/>
      <c r="J201" s="412" t="s">
        <v>5353</v>
      </c>
      <c r="K201" s="232" t="s">
        <v>117</v>
      </c>
      <c r="L201" s="204" t="s">
        <v>4515</v>
      </c>
      <c r="M201" s="204" t="s">
        <v>4882</v>
      </c>
      <c r="N201" s="126" t="s">
        <v>504</v>
      </c>
      <c r="O201" s="126"/>
      <c r="P201" s="126"/>
      <c r="Q201" s="126"/>
      <c r="R201" s="126" t="s">
        <v>6</v>
      </c>
      <c r="S201" s="126" t="s">
        <v>6</v>
      </c>
      <c r="T201" s="126"/>
      <c r="U201" s="200" t="s">
        <v>1114</v>
      </c>
      <c r="V201" s="204"/>
      <c r="W201" s="232" t="s">
        <v>125</v>
      </c>
      <c r="X201" s="59"/>
      <c r="Y201" s="59"/>
      <c r="Z201" s="59"/>
      <c r="AA201" s="61" t="s">
        <v>6</v>
      </c>
      <c r="AB201" s="15"/>
      <c r="AC201" s="59"/>
      <c r="AD201" s="412" t="s">
        <v>5352</v>
      </c>
      <c r="AE201" s="232" t="s">
        <v>125</v>
      </c>
      <c r="AF201" s="59"/>
      <c r="AG201" s="59"/>
      <c r="AH201" s="59"/>
      <c r="AI201" s="61" t="s">
        <v>6</v>
      </c>
      <c r="AJ201" s="15"/>
      <c r="AK201" s="59"/>
      <c r="AL201" s="412" t="s">
        <v>5352</v>
      </c>
      <c r="AM201" s="59" t="s">
        <v>2337</v>
      </c>
      <c r="AN201" s="259" t="s">
        <v>635</v>
      </c>
      <c r="AO201" s="59"/>
      <c r="AP201" s="59"/>
      <c r="AQ201" s="59"/>
      <c r="AR201" s="59"/>
      <c r="AS201" s="59"/>
      <c r="AT201" s="59"/>
      <c r="AU201" s="59"/>
      <c r="AV201" s="59"/>
      <c r="AW201" s="18">
        <v>34</v>
      </c>
    </row>
    <row r="202" spans="1:49" s="20" customFormat="1" ht="26.4">
      <c r="A202" s="40">
        <f t="shared" si="7"/>
        <v>196</v>
      </c>
      <c r="B202" s="59"/>
      <c r="C202" s="59"/>
      <c r="D202" s="59"/>
      <c r="E202" s="59"/>
      <c r="F202" s="59"/>
      <c r="G202" s="59"/>
      <c r="H202" s="59"/>
      <c r="I202" s="59"/>
      <c r="J202" s="412" t="s">
        <v>5354</v>
      </c>
      <c r="K202" s="232" t="s">
        <v>117</v>
      </c>
      <c r="L202" s="204" t="s">
        <v>4517</v>
      </c>
      <c r="M202" s="204" t="s">
        <v>4882</v>
      </c>
      <c r="N202" s="126" t="s">
        <v>504</v>
      </c>
      <c r="O202" s="126"/>
      <c r="P202" s="126"/>
      <c r="Q202" s="126"/>
      <c r="R202" s="126" t="s">
        <v>6</v>
      </c>
      <c r="S202" s="126" t="s">
        <v>6</v>
      </c>
      <c r="T202" s="126"/>
      <c r="U202" s="200" t="s">
        <v>1114</v>
      </c>
      <c r="V202" s="204"/>
      <c r="W202" s="232" t="s">
        <v>125</v>
      </c>
      <c r="X202" s="59"/>
      <c r="Y202" s="59"/>
      <c r="Z202" s="59"/>
      <c r="AA202" s="61" t="s">
        <v>6</v>
      </c>
      <c r="AB202" s="15"/>
      <c r="AC202" s="59"/>
      <c r="AD202" s="412" t="s">
        <v>5352</v>
      </c>
      <c r="AE202" s="232" t="s">
        <v>125</v>
      </c>
      <c r="AF202" s="59"/>
      <c r="AG202" s="59"/>
      <c r="AH202" s="59"/>
      <c r="AI202" s="61" t="s">
        <v>6</v>
      </c>
      <c r="AJ202" s="15"/>
      <c r="AK202" s="59"/>
      <c r="AL202" s="412" t="s">
        <v>5352</v>
      </c>
      <c r="AM202" s="59" t="s">
        <v>2337</v>
      </c>
      <c r="AN202" s="259" t="s">
        <v>635</v>
      </c>
      <c r="AO202" s="59"/>
      <c r="AP202" s="59"/>
      <c r="AQ202" s="59"/>
      <c r="AR202" s="59"/>
      <c r="AS202" s="59"/>
      <c r="AT202" s="59"/>
      <c r="AU202" s="59"/>
      <c r="AV202" s="59"/>
      <c r="AW202" s="18">
        <v>34</v>
      </c>
    </row>
    <row r="203" spans="1:49" s="20" customFormat="1" ht="39.6">
      <c r="A203" s="40">
        <f t="shared" si="7"/>
        <v>197</v>
      </c>
      <c r="B203" s="59"/>
      <c r="C203" s="59"/>
      <c r="D203" s="59"/>
      <c r="E203" s="59"/>
      <c r="F203" s="59"/>
      <c r="G203" s="59"/>
      <c r="H203" s="59"/>
      <c r="I203" s="59"/>
      <c r="J203" s="412" t="s">
        <v>5352</v>
      </c>
      <c r="K203" s="232" t="s">
        <v>117</v>
      </c>
      <c r="L203" s="204" t="s">
        <v>4518</v>
      </c>
      <c r="M203" s="204" t="s">
        <v>4882</v>
      </c>
      <c r="N203" s="126" t="s">
        <v>504</v>
      </c>
      <c r="O203" s="126"/>
      <c r="P203" s="126"/>
      <c r="Q203" s="126" t="s">
        <v>6</v>
      </c>
      <c r="R203" s="126" t="s">
        <v>6</v>
      </c>
      <c r="S203" s="126" t="s">
        <v>6</v>
      </c>
      <c r="T203" s="126"/>
      <c r="U203" s="204"/>
      <c r="V203" s="204"/>
      <c r="W203" s="232" t="s">
        <v>133</v>
      </c>
      <c r="X203" s="59"/>
      <c r="Y203" s="59"/>
      <c r="Z203" s="61" t="s">
        <v>6</v>
      </c>
      <c r="AA203" s="61" t="s">
        <v>6</v>
      </c>
      <c r="AB203" s="215"/>
      <c r="AC203" s="59"/>
      <c r="AD203" s="218" t="s">
        <v>1574</v>
      </c>
      <c r="AE203" s="232" t="s">
        <v>133</v>
      </c>
      <c r="AF203" s="59"/>
      <c r="AG203" s="59"/>
      <c r="AH203" s="61" t="s">
        <v>6</v>
      </c>
      <c r="AI203" s="61" t="s">
        <v>6</v>
      </c>
      <c r="AJ203" s="215" t="s">
        <v>5355</v>
      </c>
      <c r="AK203" s="59"/>
      <c r="AL203" s="218" t="s">
        <v>1574</v>
      </c>
      <c r="AM203" s="59" t="s">
        <v>2337</v>
      </c>
      <c r="AN203" s="59"/>
      <c r="AO203" s="59"/>
      <c r="AP203" s="59"/>
      <c r="AQ203" s="59"/>
      <c r="AR203" s="59"/>
      <c r="AS203" s="59"/>
      <c r="AT203" s="59"/>
      <c r="AU203" s="59"/>
      <c r="AV203" s="59"/>
      <c r="AW203" s="18">
        <v>38</v>
      </c>
    </row>
    <row r="204" spans="1:49" s="20" customFormat="1" ht="15">
      <c r="A204" s="40">
        <f t="shared" si="7"/>
        <v>198</v>
      </c>
      <c r="B204" s="59"/>
      <c r="C204" s="59"/>
      <c r="D204" s="59"/>
      <c r="E204" s="59"/>
      <c r="F204" s="59"/>
      <c r="G204" s="59"/>
      <c r="H204" s="59"/>
      <c r="I204" s="556"/>
      <c r="J204" s="412" t="s">
        <v>5356</v>
      </c>
      <c r="K204" s="232" t="s">
        <v>117</v>
      </c>
      <c r="L204" s="204" t="s">
        <v>4884</v>
      </c>
      <c r="M204" s="204"/>
      <c r="N204" s="126" t="s">
        <v>504</v>
      </c>
      <c r="O204" s="126"/>
      <c r="P204" s="126"/>
      <c r="Q204" s="126" t="s">
        <v>6</v>
      </c>
      <c r="R204" s="126" t="s">
        <v>6</v>
      </c>
      <c r="S204" s="126" t="s">
        <v>6</v>
      </c>
      <c r="T204" s="126"/>
      <c r="U204" s="462" t="s">
        <v>4522</v>
      </c>
      <c r="V204" s="218"/>
      <c r="W204" s="232" t="s">
        <v>133</v>
      </c>
      <c r="X204" s="59"/>
      <c r="Y204" s="59"/>
      <c r="Z204" s="61" t="s">
        <v>6</v>
      </c>
      <c r="AA204" s="61" t="s">
        <v>6</v>
      </c>
      <c r="AB204" s="204" t="s">
        <v>1100</v>
      </c>
      <c r="AC204" s="59"/>
      <c r="AD204" s="59"/>
      <c r="AE204" s="232"/>
      <c r="AF204" s="59"/>
      <c r="AG204" s="59"/>
      <c r="AH204" s="61"/>
      <c r="AI204" s="61"/>
      <c r="AJ204" s="204" t="s">
        <v>1100</v>
      </c>
      <c r="AK204" s="59"/>
      <c r="AL204" s="59"/>
      <c r="AM204" s="59"/>
      <c r="AN204" s="59"/>
      <c r="AO204" s="59"/>
      <c r="AP204" s="59"/>
      <c r="AQ204" s="59"/>
      <c r="AR204" s="59"/>
      <c r="AS204" s="59"/>
      <c r="AT204" s="59"/>
      <c r="AU204" s="59"/>
      <c r="AV204" s="59"/>
      <c r="AW204" s="18">
        <v>34</v>
      </c>
    </row>
    <row r="205" spans="1:49" s="20" customFormat="1" ht="15">
      <c r="A205" s="40">
        <f t="shared" si="7"/>
        <v>199</v>
      </c>
      <c r="B205" s="59"/>
      <c r="C205" s="59"/>
      <c r="D205" s="59"/>
      <c r="E205" s="59"/>
      <c r="F205" s="59"/>
      <c r="G205" s="59"/>
      <c r="H205" s="59"/>
      <c r="I205" s="59"/>
      <c r="J205" s="412" t="s">
        <v>5357</v>
      </c>
      <c r="K205" s="232" t="s">
        <v>117</v>
      </c>
      <c r="L205" s="204" t="s">
        <v>4524</v>
      </c>
      <c r="M205" s="204"/>
      <c r="N205" s="126" t="s">
        <v>504</v>
      </c>
      <c r="O205" s="126"/>
      <c r="P205" s="126"/>
      <c r="Q205" s="126" t="s">
        <v>6</v>
      </c>
      <c r="R205" s="126" t="s">
        <v>6</v>
      </c>
      <c r="S205" s="126" t="s">
        <v>6</v>
      </c>
      <c r="T205" s="126"/>
      <c r="U205" s="412"/>
      <c r="V205" s="412" t="s">
        <v>2338</v>
      </c>
      <c r="W205" s="232" t="s">
        <v>133</v>
      </c>
      <c r="X205" s="59"/>
      <c r="Y205" s="59"/>
      <c r="Z205" s="61" t="s">
        <v>6</v>
      </c>
      <c r="AA205" s="61" t="s">
        <v>6</v>
      </c>
      <c r="AB205" s="15"/>
      <c r="AC205" s="59"/>
      <c r="AD205" s="59"/>
      <c r="AE205" s="232" t="s">
        <v>133</v>
      </c>
      <c r="AF205" s="59"/>
      <c r="AG205" s="59"/>
      <c r="AH205" s="61" t="s">
        <v>6</v>
      </c>
      <c r="AI205" s="61" t="s">
        <v>6</v>
      </c>
      <c r="AJ205" s="15"/>
      <c r="AK205" s="59"/>
      <c r="AL205" s="59"/>
      <c r="AM205" s="59"/>
      <c r="AN205" s="59"/>
      <c r="AO205" s="59"/>
      <c r="AP205" s="59"/>
      <c r="AQ205" s="59"/>
      <c r="AR205" s="59"/>
      <c r="AS205" s="59"/>
      <c r="AT205" s="59"/>
      <c r="AU205" s="59"/>
      <c r="AV205" s="59"/>
      <c r="AW205" s="18">
        <v>19</v>
      </c>
    </row>
    <row r="206" spans="1:49" s="20" customFormat="1" ht="15">
      <c r="A206" s="40">
        <f t="shared" si="7"/>
        <v>200</v>
      </c>
      <c r="B206" s="59"/>
      <c r="C206" s="59"/>
      <c r="D206" s="59"/>
      <c r="E206" s="59"/>
      <c r="F206" s="59"/>
      <c r="G206" s="59"/>
      <c r="H206" s="59"/>
      <c r="I206" s="59"/>
      <c r="J206" s="412" t="s">
        <v>5358</v>
      </c>
      <c r="K206" s="232" t="s">
        <v>117</v>
      </c>
      <c r="L206" s="204" t="s">
        <v>1110</v>
      </c>
      <c r="M206" s="204" t="s">
        <v>4540</v>
      </c>
      <c r="N206" s="126" t="s">
        <v>504</v>
      </c>
      <c r="O206" s="126"/>
      <c r="P206" s="126"/>
      <c r="Q206" s="126" t="s">
        <v>6</v>
      </c>
      <c r="R206" s="126" t="s">
        <v>6</v>
      </c>
      <c r="S206" s="126" t="s">
        <v>6</v>
      </c>
      <c r="T206" s="126"/>
      <c r="U206" s="210"/>
      <c r="V206" s="412" t="s">
        <v>2338</v>
      </c>
      <c r="W206" s="232" t="s">
        <v>133</v>
      </c>
      <c r="X206" s="59"/>
      <c r="Y206" s="59"/>
      <c r="Z206" s="61" t="s">
        <v>6</v>
      </c>
      <c r="AA206" s="61" t="s">
        <v>6</v>
      </c>
      <c r="AB206" s="15"/>
      <c r="AC206" s="59"/>
      <c r="AD206" s="59"/>
      <c r="AE206" s="232" t="s">
        <v>133</v>
      </c>
      <c r="AF206" s="59"/>
      <c r="AG206" s="59"/>
      <c r="AH206" s="61" t="s">
        <v>6</v>
      </c>
      <c r="AI206" s="61" t="s">
        <v>6</v>
      </c>
      <c r="AJ206" s="15"/>
      <c r="AK206" s="59"/>
      <c r="AL206" s="59"/>
      <c r="AM206" s="59"/>
      <c r="AN206" s="59"/>
      <c r="AO206" s="59"/>
      <c r="AP206" s="59"/>
      <c r="AQ206" s="59"/>
      <c r="AR206" s="59"/>
      <c r="AS206" s="59"/>
      <c r="AT206" s="59"/>
      <c r="AU206" s="59"/>
      <c r="AV206" s="59"/>
      <c r="AW206" s="18">
        <v>34</v>
      </c>
    </row>
    <row r="207" spans="1:49" s="20" customFormat="1" ht="15">
      <c r="A207" s="40">
        <f t="shared" si="7"/>
        <v>201</v>
      </c>
      <c r="B207" s="59"/>
      <c r="C207" s="59"/>
      <c r="D207" s="59"/>
      <c r="E207" s="59"/>
      <c r="F207" s="59"/>
      <c r="G207" s="59"/>
      <c r="H207" s="59"/>
      <c r="I207" s="59"/>
      <c r="J207" s="412" t="s">
        <v>2338</v>
      </c>
      <c r="K207" s="232" t="s">
        <v>125</v>
      </c>
      <c r="L207" s="232" t="s">
        <v>5359</v>
      </c>
      <c r="M207" s="232"/>
      <c r="N207" s="126" t="s">
        <v>504</v>
      </c>
      <c r="O207" s="126"/>
      <c r="P207" s="126"/>
      <c r="Q207" s="126"/>
      <c r="R207" s="126" t="s">
        <v>6</v>
      </c>
      <c r="S207" s="126" t="s">
        <v>6</v>
      </c>
      <c r="T207" s="140"/>
      <c r="U207" s="246" t="s">
        <v>5360</v>
      </c>
      <c r="V207" s="15"/>
      <c r="W207" s="232" t="s">
        <v>133</v>
      </c>
      <c r="X207" s="59"/>
      <c r="Y207" s="59"/>
      <c r="Z207" s="61" t="s">
        <v>6</v>
      </c>
      <c r="AA207" s="61"/>
      <c r="AB207" s="215"/>
      <c r="AC207" s="59"/>
      <c r="AD207" s="59"/>
      <c r="AE207" s="232" t="s">
        <v>133</v>
      </c>
      <c r="AF207" s="59"/>
      <c r="AG207" s="59"/>
      <c r="AH207" s="61" t="s">
        <v>6</v>
      </c>
      <c r="AI207" s="61"/>
      <c r="AJ207" s="215"/>
      <c r="AK207" s="59"/>
      <c r="AL207" s="59"/>
      <c r="AM207" s="59"/>
      <c r="AN207" s="59"/>
      <c r="AO207" s="59"/>
      <c r="AP207" s="59"/>
      <c r="AQ207" s="59"/>
      <c r="AR207" s="59"/>
      <c r="AS207" s="59"/>
      <c r="AT207" s="59"/>
      <c r="AU207" s="59"/>
      <c r="AV207" s="59"/>
      <c r="AW207" s="18">
        <v>19</v>
      </c>
    </row>
    <row r="208" spans="1:49" s="20" customFormat="1" ht="15">
      <c r="A208" s="40">
        <f t="shared" si="7"/>
        <v>202</v>
      </c>
      <c r="B208" s="59"/>
      <c r="C208" s="59"/>
      <c r="D208" s="59"/>
      <c r="E208" s="59"/>
      <c r="F208" s="59"/>
      <c r="G208" s="59"/>
      <c r="H208" s="59"/>
      <c r="I208" s="59"/>
      <c r="J208" s="412" t="s">
        <v>5361</v>
      </c>
      <c r="K208" s="232" t="s">
        <v>65</v>
      </c>
      <c r="L208" s="204" t="s">
        <v>4598</v>
      </c>
      <c r="M208" s="204"/>
      <c r="N208" s="126" t="s">
        <v>504</v>
      </c>
      <c r="O208" s="126"/>
      <c r="P208" s="126"/>
      <c r="Q208" s="126" t="s">
        <v>6</v>
      </c>
      <c r="R208" s="126" t="s">
        <v>6</v>
      </c>
      <c r="S208" s="126" t="s">
        <v>6</v>
      </c>
      <c r="T208" s="40"/>
      <c r="U208" s="232"/>
      <c r="V208" s="232"/>
      <c r="W208" s="412" t="s">
        <v>65</v>
      </c>
      <c r="X208" s="59"/>
      <c r="Y208" s="59"/>
      <c r="Z208" s="61" t="s">
        <v>6</v>
      </c>
      <c r="AA208" s="61" t="s">
        <v>6</v>
      </c>
      <c r="AB208" s="15"/>
      <c r="AC208" s="59"/>
      <c r="AD208" s="59"/>
      <c r="AE208" s="412" t="s">
        <v>65</v>
      </c>
      <c r="AF208" s="59"/>
      <c r="AG208" s="59"/>
      <c r="AH208" s="61" t="s">
        <v>6</v>
      </c>
      <c r="AI208" s="61" t="s">
        <v>6</v>
      </c>
      <c r="AJ208" s="15"/>
      <c r="AK208" s="59"/>
      <c r="AL208" s="59"/>
      <c r="AM208" s="59"/>
      <c r="AN208" s="59"/>
      <c r="AO208" s="59"/>
      <c r="AP208" s="59"/>
      <c r="AQ208" s="59"/>
      <c r="AR208" s="59"/>
      <c r="AS208" s="59"/>
      <c r="AT208" s="59"/>
      <c r="AU208" s="59"/>
      <c r="AV208" s="59"/>
      <c r="AW208" s="18">
        <v>44</v>
      </c>
    </row>
    <row r="209" spans="1:49" s="20" customFormat="1" ht="15">
      <c r="A209" s="40">
        <f t="shared" si="7"/>
        <v>203</v>
      </c>
      <c r="B209" s="59"/>
      <c r="C209" s="59"/>
      <c r="D209" s="59"/>
      <c r="E209" s="59"/>
      <c r="F209" s="59"/>
      <c r="G209" s="59"/>
      <c r="H209" s="59"/>
      <c r="I209" s="59"/>
      <c r="J209" s="215" t="s">
        <v>2340</v>
      </c>
      <c r="K209" s="232" t="s">
        <v>117</v>
      </c>
      <c r="L209" s="204" t="s">
        <v>3904</v>
      </c>
      <c r="M209" s="204"/>
      <c r="N209" s="126" t="s">
        <v>504</v>
      </c>
      <c r="O209" s="40"/>
      <c r="P209" s="40"/>
      <c r="Q209" s="40"/>
      <c r="R209" s="126" t="s">
        <v>6</v>
      </c>
      <c r="S209" s="126" t="s">
        <v>6</v>
      </c>
      <c r="T209" s="126"/>
      <c r="U209" s="204"/>
      <c r="V209" s="204"/>
      <c r="W209" s="232" t="s">
        <v>133</v>
      </c>
      <c r="X209" s="40"/>
      <c r="Y209" s="13"/>
      <c r="Z209" s="61" t="s">
        <v>6</v>
      </c>
      <c r="AA209" s="61" t="s">
        <v>6</v>
      </c>
      <c r="AB209" s="15"/>
      <c r="AC209" s="59"/>
      <c r="AD209" s="59"/>
      <c r="AE209" s="232" t="s">
        <v>133</v>
      </c>
      <c r="AF209" s="40"/>
      <c r="AG209" s="13"/>
      <c r="AH209" s="61" t="s">
        <v>6</v>
      </c>
      <c r="AI209" s="61" t="s">
        <v>6</v>
      </c>
      <c r="AJ209" s="15"/>
      <c r="AK209" s="59"/>
      <c r="AL209" s="59"/>
      <c r="AM209" s="59"/>
      <c r="AN209" s="59"/>
      <c r="AO209" s="59"/>
      <c r="AP209" s="59"/>
      <c r="AQ209" s="59"/>
      <c r="AR209" s="59"/>
      <c r="AS209" s="59"/>
      <c r="AT209" s="59"/>
      <c r="AU209" s="59"/>
      <c r="AV209" s="59"/>
      <c r="AW209" s="18">
        <v>27</v>
      </c>
    </row>
    <row r="210" spans="1:49" s="20" customFormat="1" ht="39.6">
      <c r="A210" s="40">
        <f t="shared" si="7"/>
        <v>204</v>
      </c>
      <c r="B210" s="59"/>
      <c r="C210" s="59"/>
      <c r="D210" s="59"/>
      <c r="E210" s="59"/>
      <c r="F210" s="59"/>
      <c r="G210" s="59"/>
      <c r="H210" s="59"/>
      <c r="I210" s="59"/>
      <c r="J210" s="218" t="s">
        <v>5362</v>
      </c>
      <c r="K210" s="232" t="s">
        <v>117</v>
      </c>
      <c r="L210" s="204" t="s">
        <v>729</v>
      </c>
      <c r="M210" s="204"/>
      <c r="N210" s="126" t="s">
        <v>504</v>
      </c>
      <c r="O210" s="126"/>
      <c r="P210" s="126"/>
      <c r="Q210" s="126" t="s">
        <v>6</v>
      </c>
      <c r="R210" s="126" t="s">
        <v>6</v>
      </c>
      <c r="S210" s="126" t="s">
        <v>6</v>
      </c>
      <c r="T210" s="126"/>
      <c r="U210" s="204" t="s">
        <v>742</v>
      </c>
      <c r="V210" s="218" t="s">
        <v>2346</v>
      </c>
      <c r="W210" s="232" t="s">
        <v>125</v>
      </c>
      <c r="X210" s="59"/>
      <c r="Y210" s="59"/>
      <c r="Z210" s="59"/>
      <c r="AA210" s="61" t="s">
        <v>6</v>
      </c>
      <c r="AB210" s="15"/>
      <c r="AC210" s="59"/>
      <c r="AD210" s="59"/>
      <c r="AE210" s="232" t="s">
        <v>125</v>
      </c>
      <c r="AF210" s="59"/>
      <c r="AG210" s="59"/>
      <c r="AH210" s="59"/>
      <c r="AI210" s="61" t="s">
        <v>6</v>
      </c>
      <c r="AJ210" s="15"/>
      <c r="AK210" s="59"/>
      <c r="AL210" s="59"/>
      <c r="AM210" s="59"/>
      <c r="AN210" s="59"/>
      <c r="AO210" s="59"/>
      <c r="AP210" s="59"/>
      <c r="AQ210" s="59"/>
      <c r="AR210" s="59"/>
      <c r="AS210" s="59"/>
      <c r="AT210" s="59"/>
      <c r="AU210" s="59"/>
      <c r="AV210" s="59"/>
      <c r="AW210" s="18">
        <v>18</v>
      </c>
    </row>
    <row r="211" spans="1:49" s="20" customFormat="1" ht="39.6">
      <c r="A211" s="40">
        <f t="shared" si="7"/>
        <v>205</v>
      </c>
      <c r="B211" s="59"/>
      <c r="C211" s="59"/>
      <c r="D211" s="59"/>
      <c r="E211" s="59"/>
      <c r="F211" s="59"/>
      <c r="G211" s="59"/>
      <c r="H211" s="59"/>
      <c r="I211" s="59"/>
      <c r="J211" s="218" t="s">
        <v>5363</v>
      </c>
      <c r="K211" s="232" t="s">
        <v>117</v>
      </c>
      <c r="L211" s="204" t="s">
        <v>3933</v>
      </c>
      <c r="M211" s="204"/>
      <c r="N211" s="126" t="s">
        <v>504</v>
      </c>
      <c r="O211" s="126"/>
      <c r="P211" s="126"/>
      <c r="Q211" s="126" t="s">
        <v>6</v>
      </c>
      <c r="R211" s="126" t="s">
        <v>6</v>
      </c>
      <c r="S211" s="126" t="s">
        <v>6</v>
      </c>
      <c r="T211" s="126"/>
      <c r="U211" s="204" t="s">
        <v>742</v>
      </c>
      <c r="V211" s="218" t="s">
        <v>2346</v>
      </c>
      <c r="W211" s="232" t="s">
        <v>125</v>
      </c>
      <c r="X211" s="59"/>
      <c r="Y211" s="59"/>
      <c r="Z211" s="59"/>
      <c r="AA211" s="61" t="s">
        <v>6</v>
      </c>
      <c r="AB211" s="15"/>
      <c r="AC211" s="59"/>
      <c r="AD211" s="59"/>
      <c r="AE211" s="232" t="s">
        <v>125</v>
      </c>
      <c r="AF211" s="59"/>
      <c r="AG211" s="59"/>
      <c r="AH211" s="59"/>
      <c r="AI211" s="61" t="s">
        <v>6</v>
      </c>
      <c r="AJ211" s="15"/>
      <c r="AK211" s="59"/>
      <c r="AL211" s="59"/>
      <c r="AM211" s="59"/>
      <c r="AN211" s="59"/>
      <c r="AO211" s="59"/>
      <c r="AP211" s="59"/>
      <c r="AQ211" s="59"/>
      <c r="AR211" s="59"/>
      <c r="AS211" s="59"/>
      <c r="AT211" s="59"/>
      <c r="AU211" s="59"/>
      <c r="AV211" s="59"/>
      <c r="AW211" s="18">
        <v>22</v>
      </c>
    </row>
    <row r="212" spans="1:49" s="20" customFormat="1" ht="39.6">
      <c r="A212" s="40">
        <f t="shared" si="7"/>
        <v>206</v>
      </c>
      <c r="B212" s="59"/>
      <c r="C212" s="59"/>
      <c r="D212" s="59"/>
      <c r="E212" s="59"/>
      <c r="F212" s="59"/>
      <c r="G212" s="59"/>
      <c r="H212" s="59"/>
      <c r="I212" s="59"/>
      <c r="J212" s="218" t="s">
        <v>5364</v>
      </c>
      <c r="K212" s="232" t="s">
        <v>117</v>
      </c>
      <c r="L212" s="204" t="s">
        <v>5365</v>
      </c>
      <c r="M212" s="204"/>
      <c r="N212" s="126" t="s">
        <v>504</v>
      </c>
      <c r="O212" s="126"/>
      <c r="P212" s="126"/>
      <c r="Q212" s="126" t="s">
        <v>6</v>
      </c>
      <c r="R212" s="126" t="s">
        <v>6</v>
      </c>
      <c r="S212" s="126" t="s">
        <v>6</v>
      </c>
      <c r="T212" s="126"/>
      <c r="U212" s="204" t="s">
        <v>742</v>
      </c>
      <c r="V212" s="218" t="s">
        <v>2346</v>
      </c>
      <c r="W212" s="232" t="s">
        <v>125</v>
      </c>
      <c r="X212" s="59"/>
      <c r="Y212" s="59"/>
      <c r="Z212" s="59"/>
      <c r="AA212" s="61" t="s">
        <v>6</v>
      </c>
      <c r="AB212" s="15"/>
      <c r="AC212" s="59"/>
      <c r="AD212" s="59"/>
      <c r="AE212" s="232" t="s">
        <v>125</v>
      </c>
      <c r="AF212" s="59"/>
      <c r="AG212" s="59"/>
      <c r="AH212" s="59"/>
      <c r="AI212" s="61" t="s">
        <v>6</v>
      </c>
      <c r="AJ212" s="15"/>
      <c r="AK212" s="59"/>
      <c r="AL212" s="59"/>
      <c r="AM212" s="59"/>
      <c r="AN212" s="59"/>
      <c r="AO212" s="59"/>
      <c r="AP212" s="59"/>
      <c r="AQ212" s="59"/>
      <c r="AR212" s="59"/>
      <c r="AS212" s="59"/>
      <c r="AT212" s="59"/>
      <c r="AU212" s="59"/>
      <c r="AV212" s="59"/>
      <c r="AW212" s="18">
        <v>33</v>
      </c>
    </row>
    <row r="213" spans="1:49" s="20" customFormat="1" ht="15">
      <c r="A213" s="40">
        <f t="shared" si="7"/>
        <v>207</v>
      </c>
      <c r="B213" s="59"/>
      <c r="C213" s="59"/>
      <c r="D213" s="59"/>
      <c r="E213" s="59"/>
      <c r="F213" s="59"/>
      <c r="G213" s="59"/>
      <c r="H213" s="59"/>
      <c r="I213" s="59"/>
      <c r="J213" s="218" t="s">
        <v>5366</v>
      </c>
      <c r="K213" s="204" t="s">
        <v>117</v>
      </c>
      <c r="L213" s="204" t="s">
        <v>5367</v>
      </c>
      <c r="M213" s="204"/>
      <c r="N213" s="126" t="s">
        <v>504</v>
      </c>
      <c r="O213" s="126"/>
      <c r="P213" s="126"/>
      <c r="Q213" s="40" t="s">
        <v>6</v>
      </c>
      <c r="R213" s="40" t="s">
        <v>6</v>
      </c>
      <c r="S213" s="40" t="s">
        <v>6</v>
      </c>
      <c r="T213" s="40"/>
      <c r="U213" s="204" t="s">
        <v>730</v>
      </c>
      <c r="V213" s="218" t="s">
        <v>2346</v>
      </c>
      <c r="W213" s="204" t="s">
        <v>125</v>
      </c>
      <c r="X213" s="59"/>
      <c r="Y213" s="59"/>
      <c r="Z213" s="59"/>
      <c r="AA213" s="40" t="s">
        <v>6</v>
      </c>
      <c r="AB213" s="218"/>
      <c r="AC213" s="59"/>
      <c r="AD213" s="218"/>
      <c r="AE213" s="204" t="s">
        <v>125</v>
      </c>
      <c r="AF213" s="59"/>
      <c r="AG213" s="59"/>
      <c r="AH213" s="59"/>
      <c r="AI213" s="40" t="s">
        <v>6</v>
      </c>
      <c r="AJ213" s="218"/>
      <c r="AK213" s="59"/>
      <c r="AL213" s="218"/>
      <c r="AM213" s="59"/>
      <c r="AN213" s="59"/>
      <c r="AO213" s="59"/>
      <c r="AP213" s="59"/>
      <c r="AQ213" s="59"/>
      <c r="AR213" s="59"/>
      <c r="AS213" s="59"/>
      <c r="AT213" s="59"/>
      <c r="AU213" s="59"/>
      <c r="AV213" s="59"/>
      <c r="AW213" s="18">
        <v>21</v>
      </c>
    </row>
    <row r="214" spans="1:49" s="20" customFormat="1" ht="26.4">
      <c r="A214" s="40">
        <f t="shared" si="7"/>
        <v>208</v>
      </c>
      <c r="B214" s="59"/>
      <c r="C214" s="59"/>
      <c r="D214" s="59"/>
      <c r="E214" s="59"/>
      <c r="F214" s="59"/>
      <c r="G214" s="59"/>
      <c r="H214" s="59"/>
      <c r="I214" s="59"/>
      <c r="J214" s="218" t="s">
        <v>5368</v>
      </c>
      <c r="K214" s="204" t="s">
        <v>117</v>
      </c>
      <c r="L214" s="204" t="s">
        <v>5369</v>
      </c>
      <c r="M214" s="204"/>
      <c r="N214" s="126" t="s">
        <v>504</v>
      </c>
      <c r="O214" s="126"/>
      <c r="P214" s="126"/>
      <c r="Q214" s="40" t="s">
        <v>6</v>
      </c>
      <c r="R214" s="40" t="s">
        <v>6</v>
      </c>
      <c r="S214" s="40" t="s">
        <v>6</v>
      </c>
      <c r="T214" s="40"/>
      <c r="U214" s="204" t="s">
        <v>738</v>
      </c>
      <c r="V214" s="218" t="s">
        <v>2346</v>
      </c>
      <c r="W214" s="204" t="s">
        <v>125</v>
      </c>
      <c r="X214" s="59"/>
      <c r="Y214" s="59"/>
      <c r="Z214" s="59"/>
      <c r="AA214" s="40" t="s">
        <v>6</v>
      </c>
      <c r="AB214" s="15"/>
      <c r="AC214" s="59"/>
      <c r="AD214" s="59"/>
      <c r="AE214" s="204" t="s">
        <v>125</v>
      </c>
      <c r="AF214" s="59"/>
      <c r="AG214" s="59"/>
      <c r="AH214" s="59"/>
      <c r="AI214" s="40" t="s">
        <v>6</v>
      </c>
      <c r="AJ214" s="15"/>
      <c r="AK214" s="59"/>
      <c r="AL214" s="59"/>
      <c r="AM214" s="59"/>
      <c r="AN214" s="59"/>
      <c r="AO214" s="59"/>
      <c r="AP214" s="59"/>
      <c r="AQ214" s="59"/>
      <c r="AR214" s="59"/>
      <c r="AS214" s="59"/>
      <c r="AT214" s="59"/>
      <c r="AU214" s="59"/>
      <c r="AV214" s="59"/>
      <c r="AW214" s="18">
        <v>35</v>
      </c>
    </row>
    <row r="215" spans="1:49" s="20" customFormat="1" ht="52.8">
      <c r="A215" s="40">
        <f t="shared" si="7"/>
        <v>209</v>
      </c>
      <c r="B215" s="59"/>
      <c r="C215" s="59"/>
      <c r="D215" s="59"/>
      <c r="E215" s="59"/>
      <c r="F215" s="59"/>
      <c r="G215" s="59"/>
      <c r="H215" s="59"/>
      <c r="I215" s="59"/>
      <c r="J215" s="218" t="s">
        <v>5370</v>
      </c>
      <c r="K215" s="232" t="s">
        <v>117</v>
      </c>
      <c r="L215" s="204" t="s">
        <v>5371</v>
      </c>
      <c r="M215" s="204"/>
      <c r="N215" s="126" t="s">
        <v>504</v>
      </c>
      <c r="O215" s="126"/>
      <c r="P215" s="126"/>
      <c r="Q215" s="40" t="s">
        <v>6</v>
      </c>
      <c r="R215" s="40" t="s">
        <v>6</v>
      </c>
      <c r="S215" s="40" t="s">
        <v>6</v>
      </c>
      <c r="T215" s="40"/>
      <c r="U215" s="204" t="s">
        <v>3947</v>
      </c>
      <c r="V215" s="218" t="s">
        <v>2346</v>
      </c>
      <c r="W215" s="232" t="s">
        <v>125</v>
      </c>
      <c r="X215" s="59"/>
      <c r="Y215" s="59"/>
      <c r="Z215" s="59"/>
      <c r="AA215" s="40" t="s">
        <v>6</v>
      </c>
      <c r="AB215" s="15"/>
      <c r="AC215" s="59"/>
      <c r="AD215" s="59"/>
      <c r="AE215" s="232" t="s">
        <v>125</v>
      </c>
      <c r="AF215" s="59"/>
      <c r="AG215" s="59"/>
      <c r="AH215" s="59"/>
      <c r="AI215" s="40" t="s">
        <v>6</v>
      </c>
      <c r="AJ215" s="15"/>
      <c r="AK215" s="59"/>
      <c r="AL215" s="59"/>
      <c r="AM215" s="59"/>
      <c r="AN215" s="59"/>
      <c r="AO215" s="59"/>
      <c r="AP215" s="59"/>
      <c r="AQ215" s="59"/>
      <c r="AR215" s="59"/>
      <c r="AS215" s="59"/>
      <c r="AT215" s="59"/>
      <c r="AU215" s="59"/>
      <c r="AV215" s="59"/>
      <c r="AW215" s="18">
        <v>33</v>
      </c>
    </row>
    <row r="216" spans="1:49" s="20" customFormat="1" ht="39.6">
      <c r="A216" s="40">
        <f t="shared" si="7"/>
        <v>210</v>
      </c>
      <c r="B216" s="59"/>
      <c r="C216" s="59"/>
      <c r="D216" s="59"/>
      <c r="E216" s="59"/>
      <c r="F216" s="59"/>
      <c r="G216" s="59"/>
      <c r="H216" s="59"/>
      <c r="I216" s="59"/>
      <c r="J216" s="218" t="s">
        <v>5372</v>
      </c>
      <c r="K216" s="232" t="s">
        <v>117</v>
      </c>
      <c r="L216" s="204" t="s">
        <v>3949</v>
      </c>
      <c r="M216" s="204"/>
      <c r="N216" s="126" t="s">
        <v>504</v>
      </c>
      <c r="O216" s="126"/>
      <c r="P216" s="126"/>
      <c r="Q216" s="40" t="s">
        <v>6</v>
      </c>
      <c r="R216" s="40" t="s">
        <v>6</v>
      </c>
      <c r="S216" s="40" t="s">
        <v>6</v>
      </c>
      <c r="T216" s="40"/>
      <c r="U216" s="204" t="s">
        <v>742</v>
      </c>
      <c r="V216" s="218" t="s">
        <v>2346</v>
      </c>
      <c r="W216" s="232" t="s">
        <v>125</v>
      </c>
      <c r="X216" s="59"/>
      <c r="Y216" s="59"/>
      <c r="Z216" s="59"/>
      <c r="AA216" s="40" t="s">
        <v>6</v>
      </c>
      <c r="AB216" s="15"/>
      <c r="AC216" s="59"/>
      <c r="AD216" s="59"/>
      <c r="AE216" s="232" t="s">
        <v>125</v>
      </c>
      <c r="AF216" s="59"/>
      <c r="AG216" s="59"/>
      <c r="AH216" s="59"/>
      <c r="AI216" s="40" t="s">
        <v>6</v>
      </c>
      <c r="AJ216" s="15"/>
      <c r="AK216" s="59"/>
      <c r="AL216" s="59"/>
      <c r="AM216" s="59"/>
      <c r="AN216" s="59"/>
      <c r="AO216" s="59"/>
      <c r="AP216" s="59"/>
      <c r="AQ216" s="59"/>
      <c r="AR216" s="59"/>
      <c r="AS216" s="59"/>
      <c r="AT216" s="59"/>
      <c r="AU216" s="59"/>
      <c r="AV216" s="59"/>
      <c r="AW216" s="18">
        <v>21</v>
      </c>
    </row>
    <row r="217" spans="1:49" s="20" customFormat="1" ht="39.6">
      <c r="A217" s="40">
        <f t="shared" si="7"/>
        <v>211</v>
      </c>
      <c r="B217" s="59"/>
      <c r="C217" s="59"/>
      <c r="D217" s="59"/>
      <c r="E217" s="59"/>
      <c r="F217" s="59"/>
      <c r="G217" s="59"/>
      <c r="H217" s="59"/>
      <c r="I217" s="59"/>
      <c r="J217" s="218" t="s">
        <v>5373</v>
      </c>
      <c r="K217" s="232" t="s">
        <v>134</v>
      </c>
      <c r="L217" s="204" t="s">
        <v>744</v>
      </c>
      <c r="M217" s="204"/>
      <c r="N217" s="126" t="s">
        <v>504</v>
      </c>
      <c r="O217" s="126"/>
      <c r="P217" s="126"/>
      <c r="Q217" s="40" t="s">
        <v>6</v>
      </c>
      <c r="R217" s="40" t="s">
        <v>6</v>
      </c>
      <c r="S217" s="40" t="s">
        <v>6</v>
      </c>
      <c r="T217" s="40"/>
      <c r="U217" s="204" t="s">
        <v>742</v>
      </c>
      <c r="V217" s="218" t="s">
        <v>2346</v>
      </c>
      <c r="W217" s="232" t="s">
        <v>137</v>
      </c>
      <c r="X217" s="59"/>
      <c r="Y217" s="59"/>
      <c r="Z217" s="59"/>
      <c r="AA217" s="40" t="s">
        <v>6</v>
      </c>
      <c r="AB217" s="15"/>
      <c r="AC217" s="59"/>
      <c r="AD217" s="59"/>
      <c r="AE217" s="232" t="s">
        <v>137</v>
      </c>
      <c r="AF217" s="59"/>
      <c r="AG217" s="59"/>
      <c r="AH217" s="59"/>
      <c r="AI217" s="40" t="s">
        <v>6</v>
      </c>
      <c r="AJ217" s="15"/>
      <c r="AK217" s="59"/>
      <c r="AL217" s="59"/>
      <c r="AM217" s="59"/>
      <c r="AN217" s="59"/>
      <c r="AO217" s="59"/>
      <c r="AP217" s="59"/>
      <c r="AQ217" s="59"/>
      <c r="AR217" s="59"/>
      <c r="AS217" s="59"/>
      <c r="AT217" s="59"/>
      <c r="AU217" s="59"/>
      <c r="AV217" s="59"/>
      <c r="AW217" s="18">
        <v>17</v>
      </c>
    </row>
    <row r="218" spans="1:49" s="236" customFormat="1" ht="26.4">
      <c r="A218" s="40">
        <f t="shared" si="7"/>
        <v>212</v>
      </c>
      <c r="B218" s="199"/>
      <c r="C218" s="199"/>
      <c r="D218" s="199"/>
      <c r="E218" s="199"/>
      <c r="F218" s="199"/>
      <c r="G218" s="199"/>
      <c r="H218" s="199"/>
      <c r="I218" s="199"/>
      <c r="J218" s="218" t="s">
        <v>5374</v>
      </c>
      <c r="K218" s="204" t="s">
        <v>117</v>
      </c>
      <c r="L218" s="204" t="s">
        <v>1406</v>
      </c>
      <c r="M218" s="204"/>
      <c r="N218" s="40" t="s">
        <v>504</v>
      </c>
      <c r="O218" s="199"/>
      <c r="P218" s="199"/>
      <c r="Q218" s="40" t="s">
        <v>6</v>
      </c>
      <c r="R218" s="40" t="s">
        <v>6</v>
      </c>
      <c r="S218" s="40" t="s">
        <v>6</v>
      </c>
      <c r="T218" s="40"/>
      <c r="U218" s="204" t="s">
        <v>3961</v>
      </c>
      <c r="V218" s="204"/>
      <c r="W218" s="204" t="s">
        <v>125</v>
      </c>
      <c r="X218" s="199"/>
      <c r="Y218" s="199"/>
      <c r="Z218" s="199"/>
      <c r="AA218" s="40" t="s">
        <v>6</v>
      </c>
      <c r="AB218" s="218"/>
      <c r="AC218" s="199"/>
      <c r="AD218" s="218" t="s">
        <v>709</v>
      </c>
      <c r="AE218" s="204" t="s">
        <v>125</v>
      </c>
      <c r="AF218" s="199"/>
      <c r="AG218" s="199"/>
      <c r="AH218" s="199"/>
      <c r="AI218" s="40" t="s">
        <v>6</v>
      </c>
      <c r="AJ218" s="218"/>
      <c r="AK218" s="199"/>
      <c r="AL218" s="218" t="s">
        <v>709</v>
      </c>
      <c r="AM218" s="199"/>
      <c r="AN218" s="199"/>
      <c r="AO218" s="199"/>
      <c r="AP218" s="199"/>
      <c r="AQ218" s="199"/>
      <c r="AR218" s="199"/>
      <c r="AS218" s="199"/>
      <c r="AT218" s="199"/>
      <c r="AU218" s="199"/>
      <c r="AV218" s="199"/>
      <c r="AW218" s="155">
        <v>18</v>
      </c>
    </row>
    <row r="219" spans="1:49" s="20" customFormat="1" ht="26.4">
      <c r="A219" s="40">
        <f t="shared" si="7"/>
        <v>213</v>
      </c>
      <c r="B219" s="59"/>
      <c r="C219" s="59"/>
      <c r="D219" s="59"/>
      <c r="E219" s="59"/>
      <c r="F219" s="59"/>
      <c r="G219" s="59"/>
      <c r="H219" s="59"/>
      <c r="I219" s="59"/>
      <c r="J219" s="218" t="s">
        <v>5375</v>
      </c>
      <c r="K219" s="232" t="s">
        <v>140</v>
      </c>
      <c r="L219" s="204" t="s">
        <v>749</v>
      </c>
      <c r="M219" s="204"/>
      <c r="N219" s="126" t="s">
        <v>504</v>
      </c>
      <c r="O219" s="126"/>
      <c r="P219" s="126"/>
      <c r="Q219" s="40" t="s">
        <v>6</v>
      </c>
      <c r="R219" s="40" t="s">
        <v>6</v>
      </c>
      <c r="S219" s="40" t="s">
        <v>6</v>
      </c>
      <c r="T219" s="40"/>
      <c r="U219" s="204" t="s">
        <v>3963</v>
      </c>
      <c r="V219" s="218" t="s">
        <v>2346</v>
      </c>
      <c r="W219" s="232" t="s">
        <v>125</v>
      </c>
      <c r="X219" s="59"/>
      <c r="Y219" s="59"/>
      <c r="Z219" s="59"/>
      <c r="AA219" s="40" t="s">
        <v>6</v>
      </c>
      <c r="AB219" s="15"/>
      <c r="AC219" s="59"/>
      <c r="AD219" s="59"/>
      <c r="AE219" s="232" t="s">
        <v>125</v>
      </c>
      <c r="AF219" s="59"/>
      <c r="AG219" s="59"/>
      <c r="AH219" s="59"/>
      <c r="AI219" s="40" t="s">
        <v>6</v>
      </c>
      <c r="AJ219" s="15"/>
      <c r="AK219" s="59"/>
      <c r="AL219" s="59"/>
      <c r="AM219" s="59"/>
      <c r="AN219" s="59"/>
      <c r="AO219" s="59"/>
      <c r="AP219" s="59"/>
      <c r="AQ219" s="59"/>
      <c r="AR219" s="59"/>
      <c r="AS219" s="59"/>
      <c r="AT219" s="59"/>
      <c r="AU219" s="59"/>
      <c r="AV219" s="59"/>
      <c r="AW219" s="18">
        <v>28</v>
      </c>
    </row>
    <row r="220" spans="1:49" s="20" customFormat="1" ht="15">
      <c r="A220" s="40">
        <f t="shared" si="7"/>
        <v>214</v>
      </c>
      <c r="B220" s="59"/>
      <c r="C220" s="59"/>
      <c r="D220" s="59"/>
      <c r="E220" s="59"/>
      <c r="F220" s="59"/>
      <c r="G220" s="59"/>
      <c r="H220" s="59"/>
      <c r="I220" s="59"/>
      <c r="J220" s="218" t="s">
        <v>5376</v>
      </c>
      <c r="K220" s="232" t="s">
        <v>140</v>
      </c>
      <c r="L220" s="204" t="s">
        <v>754</v>
      </c>
      <c r="M220" s="204"/>
      <c r="N220" s="126" t="s">
        <v>504</v>
      </c>
      <c r="O220" s="126"/>
      <c r="P220" s="126"/>
      <c r="Q220" s="40" t="s">
        <v>6</v>
      </c>
      <c r="R220" s="40" t="s">
        <v>6</v>
      </c>
      <c r="S220" s="40" t="s">
        <v>6</v>
      </c>
      <c r="T220" s="40"/>
      <c r="U220" s="200" t="s">
        <v>3965</v>
      </c>
      <c r="V220" s="218" t="s">
        <v>2346</v>
      </c>
      <c r="W220" s="232" t="s">
        <v>125</v>
      </c>
      <c r="X220" s="59"/>
      <c r="Y220" s="59"/>
      <c r="Z220" s="59"/>
      <c r="AA220" s="40" t="s">
        <v>6</v>
      </c>
      <c r="AB220" s="15"/>
      <c r="AC220" s="59"/>
      <c r="AD220" s="59"/>
      <c r="AE220" s="232" t="s">
        <v>125</v>
      </c>
      <c r="AF220" s="59"/>
      <c r="AG220" s="59"/>
      <c r="AH220" s="59"/>
      <c r="AI220" s="40" t="s">
        <v>6</v>
      </c>
      <c r="AJ220" s="15"/>
      <c r="AK220" s="59"/>
      <c r="AL220" s="59"/>
      <c r="AM220" s="59"/>
      <c r="AN220" s="59"/>
      <c r="AO220" s="59"/>
      <c r="AP220" s="59"/>
      <c r="AQ220" s="59"/>
      <c r="AR220" s="59"/>
      <c r="AS220" s="59"/>
      <c r="AT220" s="59"/>
      <c r="AU220" s="59"/>
      <c r="AV220" s="59"/>
      <c r="AW220" s="18">
        <v>12</v>
      </c>
    </row>
    <row r="221" spans="1:49" s="20" customFormat="1" ht="26.4">
      <c r="A221" s="40">
        <f t="shared" si="7"/>
        <v>215</v>
      </c>
      <c r="B221" s="59"/>
      <c r="C221" s="59"/>
      <c r="D221" s="59"/>
      <c r="E221" s="59"/>
      <c r="F221" s="59"/>
      <c r="G221" s="59"/>
      <c r="H221" s="59"/>
      <c r="I221" s="59"/>
      <c r="J221" s="218" t="s">
        <v>5377</v>
      </c>
      <c r="K221" s="232" t="s">
        <v>117</v>
      </c>
      <c r="L221" s="204" t="s">
        <v>759</v>
      </c>
      <c r="M221" s="204"/>
      <c r="N221" s="126" t="s">
        <v>504</v>
      </c>
      <c r="O221" s="126"/>
      <c r="P221" s="126"/>
      <c r="Q221" s="40" t="s">
        <v>6</v>
      </c>
      <c r="R221" s="40" t="s">
        <v>6</v>
      </c>
      <c r="S221" s="126" t="s">
        <v>6</v>
      </c>
      <c r="T221" s="126"/>
      <c r="U221" s="204" t="s">
        <v>3963</v>
      </c>
      <c r="V221" s="218" t="s">
        <v>2346</v>
      </c>
      <c r="W221" s="232" t="s">
        <v>125</v>
      </c>
      <c r="X221" s="59"/>
      <c r="Y221" s="59"/>
      <c r="Z221" s="59"/>
      <c r="AA221" s="61" t="s">
        <v>6</v>
      </c>
      <c r="AB221" s="15"/>
      <c r="AC221" s="59"/>
      <c r="AD221" s="59"/>
      <c r="AE221" s="232" t="s">
        <v>125</v>
      </c>
      <c r="AF221" s="59"/>
      <c r="AG221" s="59"/>
      <c r="AH221" s="59"/>
      <c r="AI221" s="61" t="s">
        <v>6</v>
      </c>
      <c r="AJ221" s="15"/>
      <c r="AK221" s="59"/>
      <c r="AL221" s="59"/>
      <c r="AM221" s="59"/>
      <c r="AN221" s="59"/>
      <c r="AO221" s="59"/>
      <c r="AP221" s="59"/>
      <c r="AQ221" s="59"/>
      <c r="AR221" s="59"/>
      <c r="AS221" s="59"/>
      <c r="AT221" s="59"/>
      <c r="AU221" s="59"/>
      <c r="AV221" s="59"/>
      <c r="AW221" s="18">
        <v>33</v>
      </c>
    </row>
    <row r="222" spans="1:49" s="20" customFormat="1" ht="15">
      <c r="A222" s="40">
        <f t="shared" si="7"/>
        <v>216</v>
      </c>
      <c r="B222" s="59"/>
      <c r="C222" s="59"/>
      <c r="D222" s="59"/>
      <c r="E222" s="59"/>
      <c r="F222" s="59"/>
      <c r="G222" s="59"/>
      <c r="H222" s="59"/>
      <c r="I222" s="59"/>
      <c r="J222" s="218" t="s">
        <v>5378</v>
      </c>
      <c r="K222" s="232" t="s">
        <v>117</v>
      </c>
      <c r="L222" s="204" t="s">
        <v>3968</v>
      </c>
      <c r="M222" s="204"/>
      <c r="N222" s="126" t="s">
        <v>504</v>
      </c>
      <c r="O222" s="126"/>
      <c r="P222" s="126"/>
      <c r="Q222" s="40" t="s">
        <v>6</v>
      </c>
      <c r="R222" s="40" t="s">
        <v>6</v>
      </c>
      <c r="S222" s="126" t="s">
        <v>6</v>
      </c>
      <c r="T222" s="126"/>
      <c r="U222" s="200" t="s">
        <v>3965</v>
      </c>
      <c r="V222" s="218" t="s">
        <v>2346</v>
      </c>
      <c r="W222" s="232" t="s">
        <v>125</v>
      </c>
      <c r="X222" s="59"/>
      <c r="Y222" s="59"/>
      <c r="Z222" s="59"/>
      <c r="AA222" s="61" t="s">
        <v>6</v>
      </c>
      <c r="AB222" s="15"/>
      <c r="AC222" s="59"/>
      <c r="AD222" s="59"/>
      <c r="AE222" s="232" t="s">
        <v>125</v>
      </c>
      <c r="AF222" s="59"/>
      <c r="AG222" s="59"/>
      <c r="AH222" s="59"/>
      <c r="AI222" s="61" t="s">
        <v>6</v>
      </c>
      <c r="AJ222" s="15"/>
      <c r="AK222" s="59"/>
      <c r="AL222" s="59"/>
      <c r="AM222" s="59"/>
      <c r="AN222" s="59"/>
      <c r="AO222" s="59"/>
      <c r="AP222" s="59"/>
      <c r="AQ222" s="59"/>
      <c r="AR222" s="59"/>
      <c r="AS222" s="59"/>
      <c r="AT222" s="59"/>
      <c r="AU222" s="59"/>
      <c r="AV222" s="59"/>
      <c r="AW222" s="18">
        <v>17</v>
      </c>
    </row>
    <row r="223" spans="1:49" s="20" customFormat="1" ht="26.4">
      <c r="A223" s="40">
        <f t="shared" si="7"/>
        <v>217</v>
      </c>
      <c r="B223" s="59"/>
      <c r="C223" s="59"/>
      <c r="D223" s="59"/>
      <c r="E223" s="59"/>
      <c r="F223" s="59"/>
      <c r="G223" s="59"/>
      <c r="H223" s="59"/>
      <c r="I223" s="59"/>
      <c r="J223" s="218" t="s">
        <v>5379</v>
      </c>
      <c r="K223" s="232" t="s">
        <v>117</v>
      </c>
      <c r="L223" s="204" t="s">
        <v>3970</v>
      </c>
      <c r="M223" s="204"/>
      <c r="N223" s="126" t="s">
        <v>504</v>
      </c>
      <c r="O223" s="126"/>
      <c r="P223" s="126"/>
      <c r="Q223" s="40" t="s">
        <v>6</v>
      </c>
      <c r="R223" s="40" t="s">
        <v>6</v>
      </c>
      <c r="S223" s="126" t="s">
        <v>6</v>
      </c>
      <c r="T223" s="126"/>
      <c r="U223" s="204" t="s">
        <v>3963</v>
      </c>
      <c r="V223" s="218" t="s">
        <v>2346</v>
      </c>
      <c r="W223" s="232" t="s">
        <v>125</v>
      </c>
      <c r="X223" s="59"/>
      <c r="Y223" s="59"/>
      <c r="Z223" s="59"/>
      <c r="AA223" s="61" t="s">
        <v>6</v>
      </c>
      <c r="AB223" s="15"/>
      <c r="AC223" s="59"/>
      <c r="AD223" s="59"/>
      <c r="AE223" s="232" t="s">
        <v>125</v>
      </c>
      <c r="AF223" s="59"/>
      <c r="AG223" s="59"/>
      <c r="AH223" s="59"/>
      <c r="AI223" s="61" t="s">
        <v>6</v>
      </c>
      <c r="AJ223" s="15"/>
      <c r="AK223" s="59"/>
      <c r="AL223" s="59"/>
      <c r="AM223" s="59"/>
      <c r="AN223" s="59"/>
      <c r="AO223" s="59"/>
      <c r="AP223" s="59"/>
      <c r="AQ223" s="59"/>
      <c r="AR223" s="59"/>
      <c r="AS223" s="59"/>
      <c r="AT223" s="59"/>
      <c r="AU223" s="59"/>
      <c r="AV223" s="59"/>
      <c r="AW223" s="18">
        <v>37</v>
      </c>
    </row>
    <row r="224" spans="1:49" s="20" customFormat="1" ht="15">
      <c r="A224" s="40">
        <f t="shared" si="7"/>
        <v>218</v>
      </c>
      <c r="B224" s="59"/>
      <c r="C224" s="59"/>
      <c r="D224" s="59"/>
      <c r="E224" s="59"/>
      <c r="F224" s="59"/>
      <c r="G224" s="59"/>
      <c r="H224" s="59"/>
      <c r="I224" s="59"/>
      <c r="J224" s="218" t="s">
        <v>5380</v>
      </c>
      <c r="K224" s="232" t="s">
        <v>117</v>
      </c>
      <c r="L224" s="204" t="s">
        <v>3973</v>
      </c>
      <c r="M224" s="204"/>
      <c r="N224" s="126" t="s">
        <v>504</v>
      </c>
      <c r="O224" s="126"/>
      <c r="P224" s="126"/>
      <c r="Q224" s="40" t="s">
        <v>6</v>
      </c>
      <c r="R224" s="40" t="s">
        <v>6</v>
      </c>
      <c r="S224" s="126" t="s">
        <v>6</v>
      </c>
      <c r="T224" s="126"/>
      <c r="U224" s="200" t="s">
        <v>3965</v>
      </c>
      <c r="V224" s="218" t="s">
        <v>2346</v>
      </c>
      <c r="W224" s="232" t="s">
        <v>125</v>
      </c>
      <c r="X224" s="59"/>
      <c r="Y224" s="59"/>
      <c r="Z224" s="59"/>
      <c r="AA224" s="61" t="s">
        <v>6</v>
      </c>
      <c r="AB224" s="15"/>
      <c r="AC224" s="59"/>
      <c r="AD224" s="59"/>
      <c r="AE224" s="232" t="s">
        <v>125</v>
      </c>
      <c r="AF224" s="59"/>
      <c r="AG224" s="59"/>
      <c r="AH224" s="59"/>
      <c r="AI224" s="61" t="s">
        <v>6</v>
      </c>
      <c r="AJ224" s="15"/>
      <c r="AK224" s="59"/>
      <c r="AL224" s="59"/>
      <c r="AM224" s="59"/>
      <c r="AN224" s="59"/>
      <c r="AO224" s="59"/>
      <c r="AP224" s="59"/>
      <c r="AQ224" s="59"/>
      <c r="AR224" s="59"/>
      <c r="AS224" s="59"/>
      <c r="AT224" s="59"/>
      <c r="AU224" s="59"/>
      <c r="AV224" s="59"/>
      <c r="AW224" s="18">
        <v>21</v>
      </c>
    </row>
    <row r="225" spans="1:87" s="20" customFormat="1" ht="15">
      <c r="A225" s="40">
        <f t="shared" si="7"/>
        <v>219</v>
      </c>
      <c r="B225" s="59"/>
      <c r="C225" s="59"/>
      <c r="D225" s="59"/>
      <c r="E225" s="59"/>
      <c r="F225" s="59"/>
      <c r="G225" s="59"/>
      <c r="H225" s="59"/>
      <c r="I225" s="59"/>
      <c r="J225" s="218" t="s">
        <v>5381</v>
      </c>
      <c r="K225" s="232" t="s">
        <v>117</v>
      </c>
      <c r="L225" s="204" t="s">
        <v>1391</v>
      </c>
      <c r="M225" s="204"/>
      <c r="N225" s="126" t="s">
        <v>504</v>
      </c>
      <c r="O225" s="126"/>
      <c r="P225" s="126"/>
      <c r="Q225" s="40" t="s">
        <v>6</v>
      </c>
      <c r="R225" s="40" t="s">
        <v>6</v>
      </c>
      <c r="S225" s="126" t="s">
        <v>6</v>
      </c>
      <c r="T225" s="40"/>
      <c r="U225" s="204"/>
      <c r="V225" s="218" t="s">
        <v>2346</v>
      </c>
      <c r="W225" s="232" t="s">
        <v>125</v>
      </c>
      <c r="X225" s="59"/>
      <c r="Y225" s="59"/>
      <c r="Z225" s="59"/>
      <c r="AA225" s="61" t="s">
        <v>6</v>
      </c>
      <c r="AB225" s="15"/>
      <c r="AC225" s="59"/>
      <c r="AD225" s="59"/>
      <c r="AE225" s="232" t="s">
        <v>125</v>
      </c>
      <c r="AF225" s="59"/>
      <c r="AG225" s="59"/>
      <c r="AH225" s="59"/>
      <c r="AI225" s="61" t="s">
        <v>6</v>
      </c>
      <c r="AJ225" s="15"/>
      <c r="AK225" s="59"/>
      <c r="AL225" s="59"/>
      <c r="AM225" s="59"/>
      <c r="AN225" s="59"/>
      <c r="AO225" s="59"/>
      <c r="AP225" s="59"/>
      <c r="AQ225" s="59"/>
      <c r="AR225" s="59"/>
      <c r="AS225" s="59"/>
      <c r="AT225" s="59"/>
      <c r="AU225" s="59"/>
      <c r="AV225" s="59"/>
      <c r="AW225" s="18">
        <v>38</v>
      </c>
    </row>
    <row r="226" spans="1:87" s="20" customFormat="1" ht="15">
      <c r="A226" s="40">
        <f t="shared" si="7"/>
        <v>220</v>
      </c>
      <c r="B226" s="59"/>
      <c r="C226" s="59"/>
      <c r="D226" s="59"/>
      <c r="E226" s="59"/>
      <c r="F226" s="59"/>
      <c r="G226" s="59"/>
      <c r="H226" s="59"/>
      <c r="I226" s="59"/>
      <c r="J226" s="218" t="s">
        <v>5382</v>
      </c>
      <c r="K226" s="232" t="s">
        <v>117</v>
      </c>
      <c r="L226" s="204" t="s">
        <v>3977</v>
      </c>
      <c r="M226" s="204"/>
      <c r="N226" s="126" t="s">
        <v>504</v>
      </c>
      <c r="O226" s="126"/>
      <c r="P226" s="126"/>
      <c r="Q226" s="40" t="s">
        <v>6</v>
      </c>
      <c r="R226" s="40" t="s">
        <v>6</v>
      </c>
      <c r="S226" s="126" t="s">
        <v>6</v>
      </c>
      <c r="T226" s="126"/>
      <c r="U226" s="200" t="s">
        <v>3965</v>
      </c>
      <c r="V226" s="218" t="s">
        <v>2346</v>
      </c>
      <c r="W226" s="232" t="s">
        <v>125</v>
      </c>
      <c r="X226" s="59"/>
      <c r="Y226" s="59"/>
      <c r="Z226" s="59"/>
      <c r="AA226" s="61" t="s">
        <v>6</v>
      </c>
      <c r="AB226" s="15"/>
      <c r="AC226" s="59"/>
      <c r="AD226" s="59"/>
      <c r="AE226" s="232" t="s">
        <v>125</v>
      </c>
      <c r="AF226" s="59"/>
      <c r="AG226" s="59"/>
      <c r="AH226" s="59"/>
      <c r="AI226" s="61" t="s">
        <v>6</v>
      </c>
      <c r="AJ226" s="15"/>
      <c r="AK226" s="59"/>
      <c r="AL226" s="59"/>
      <c r="AM226" s="59"/>
      <c r="AN226" s="59"/>
      <c r="AO226" s="59"/>
      <c r="AP226" s="59"/>
      <c r="AQ226" s="59"/>
      <c r="AR226" s="59"/>
      <c r="AS226" s="59"/>
      <c r="AT226" s="59"/>
      <c r="AU226" s="59"/>
      <c r="AV226" s="59"/>
      <c r="AW226" s="18">
        <v>21</v>
      </c>
    </row>
    <row r="227" spans="1:87" s="20" customFormat="1" ht="26.4">
      <c r="A227" s="40">
        <f t="shared" si="7"/>
        <v>221</v>
      </c>
      <c r="B227" s="59"/>
      <c r="C227" s="59"/>
      <c r="D227" s="59"/>
      <c r="E227" s="59"/>
      <c r="F227" s="59"/>
      <c r="G227" s="59"/>
      <c r="H227" s="59"/>
      <c r="I227" s="59"/>
      <c r="J227" s="218" t="s">
        <v>5383</v>
      </c>
      <c r="K227" s="232" t="s">
        <v>117</v>
      </c>
      <c r="L227" s="204" t="s">
        <v>3979</v>
      </c>
      <c r="M227" s="204"/>
      <c r="N227" s="126" t="s">
        <v>504</v>
      </c>
      <c r="O227" s="126"/>
      <c r="P227" s="126"/>
      <c r="Q227" s="40" t="s">
        <v>6</v>
      </c>
      <c r="R227" s="40" t="s">
        <v>6</v>
      </c>
      <c r="S227" s="126" t="s">
        <v>6</v>
      </c>
      <c r="T227" s="126"/>
      <c r="U227" s="204" t="s">
        <v>3963</v>
      </c>
      <c r="V227" s="218" t="s">
        <v>2346</v>
      </c>
      <c r="W227" s="232" t="s">
        <v>125</v>
      </c>
      <c r="X227" s="59"/>
      <c r="Y227" s="59"/>
      <c r="Z227" s="59"/>
      <c r="AA227" s="61" t="s">
        <v>6</v>
      </c>
      <c r="AB227" s="15"/>
      <c r="AC227" s="59"/>
      <c r="AD227" s="59"/>
      <c r="AE227" s="232" t="s">
        <v>125</v>
      </c>
      <c r="AF227" s="59"/>
      <c r="AG227" s="59"/>
      <c r="AH227" s="59"/>
      <c r="AI227" s="61" t="s">
        <v>6</v>
      </c>
      <c r="AJ227" s="15"/>
      <c r="AK227" s="59"/>
      <c r="AL227" s="59"/>
      <c r="AM227" s="59"/>
      <c r="AN227" s="59"/>
      <c r="AO227" s="59"/>
      <c r="AP227" s="59"/>
      <c r="AQ227" s="59"/>
      <c r="AR227" s="59"/>
      <c r="AS227" s="59"/>
      <c r="AT227" s="59"/>
      <c r="AU227" s="59"/>
      <c r="AV227" s="59"/>
      <c r="AW227" s="18">
        <v>28</v>
      </c>
    </row>
    <row r="228" spans="1:87" s="20" customFormat="1" ht="15">
      <c r="A228" s="40">
        <f t="shared" si="7"/>
        <v>222</v>
      </c>
      <c r="B228" s="59"/>
      <c r="C228" s="59"/>
      <c r="D228" s="59"/>
      <c r="E228" s="59"/>
      <c r="F228" s="59"/>
      <c r="G228" s="59"/>
      <c r="H228" s="59"/>
      <c r="I228" s="59"/>
      <c r="J228" s="218" t="s">
        <v>5384</v>
      </c>
      <c r="K228" s="232" t="s">
        <v>117</v>
      </c>
      <c r="L228" s="204" t="s">
        <v>3981</v>
      </c>
      <c r="M228" s="204"/>
      <c r="N228" s="126" t="s">
        <v>504</v>
      </c>
      <c r="O228" s="126"/>
      <c r="P228" s="126"/>
      <c r="Q228" s="40" t="s">
        <v>6</v>
      </c>
      <c r="R228" s="40" t="s">
        <v>6</v>
      </c>
      <c r="S228" s="126" t="s">
        <v>6</v>
      </c>
      <c r="T228" s="126"/>
      <c r="U228" s="200" t="s">
        <v>3965</v>
      </c>
      <c r="V228" s="218" t="s">
        <v>2346</v>
      </c>
      <c r="W228" s="232" t="s">
        <v>125</v>
      </c>
      <c r="X228" s="59"/>
      <c r="Y228" s="59"/>
      <c r="Z228" s="59"/>
      <c r="AA228" s="61" t="s">
        <v>6</v>
      </c>
      <c r="AB228" s="15"/>
      <c r="AC228" s="59"/>
      <c r="AD228" s="59"/>
      <c r="AE228" s="232" t="s">
        <v>125</v>
      </c>
      <c r="AF228" s="59"/>
      <c r="AG228" s="59"/>
      <c r="AH228" s="59"/>
      <c r="AI228" s="61" t="s">
        <v>6</v>
      </c>
      <c r="AJ228" s="15"/>
      <c r="AK228" s="59"/>
      <c r="AL228" s="59"/>
      <c r="AM228" s="59"/>
      <c r="AN228" s="59"/>
      <c r="AO228" s="59"/>
      <c r="AP228" s="59"/>
      <c r="AQ228" s="59"/>
      <c r="AR228" s="59"/>
      <c r="AS228" s="59"/>
      <c r="AT228" s="59"/>
      <c r="AU228" s="59"/>
      <c r="AV228" s="59"/>
      <c r="AW228" s="18">
        <v>12</v>
      </c>
    </row>
    <row r="229" spans="1:87" s="20" customFormat="1" ht="15">
      <c r="A229" s="40">
        <f t="shared" si="7"/>
        <v>223</v>
      </c>
      <c r="B229" s="59"/>
      <c r="C229" s="59"/>
      <c r="D229" s="59"/>
      <c r="E229" s="59"/>
      <c r="F229" s="59"/>
      <c r="G229" s="59"/>
      <c r="H229" s="59"/>
      <c r="I229" s="59"/>
      <c r="J229" s="218" t="s">
        <v>5385</v>
      </c>
      <c r="K229" s="232" t="s">
        <v>117</v>
      </c>
      <c r="L229" s="204" t="s">
        <v>3983</v>
      </c>
      <c r="M229" s="204"/>
      <c r="N229" s="126" t="s">
        <v>504</v>
      </c>
      <c r="O229" s="126"/>
      <c r="P229" s="126"/>
      <c r="Q229" s="40" t="s">
        <v>6</v>
      </c>
      <c r="R229" s="40" t="s">
        <v>6</v>
      </c>
      <c r="S229" s="126" t="s">
        <v>6</v>
      </c>
      <c r="T229" s="126"/>
      <c r="U229" s="204" t="s">
        <v>768</v>
      </c>
      <c r="V229" s="218" t="s">
        <v>2346</v>
      </c>
      <c r="W229" s="232" t="s">
        <v>125</v>
      </c>
      <c r="X229" s="260"/>
      <c r="Y229" s="260"/>
      <c r="Z229" s="260"/>
      <c r="AA229" s="61" t="s">
        <v>6</v>
      </c>
      <c r="AB229" s="15"/>
      <c r="AC229" s="59"/>
      <c r="AD229" s="59"/>
      <c r="AE229" s="232" t="s">
        <v>125</v>
      </c>
      <c r="AF229" s="260"/>
      <c r="AG229" s="260"/>
      <c r="AH229" s="260"/>
      <c r="AI229" s="61" t="s">
        <v>6</v>
      </c>
      <c r="AJ229" s="15"/>
      <c r="AK229" s="59"/>
      <c r="AL229" s="59"/>
      <c r="AM229" s="59"/>
      <c r="AN229" s="59"/>
      <c r="AO229" s="59"/>
      <c r="AP229" s="59"/>
      <c r="AQ229" s="59"/>
      <c r="AR229" s="59"/>
      <c r="AS229" s="59"/>
      <c r="AT229" s="59"/>
      <c r="AU229" s="59"/>
      <c r="AV229" s="59"/>
      <c r="AW229" s="18">
        <v>15</v>
      </c>
    </row>
    <row r="230" spans="1:87" s="20" customFormat="1" ht="26.4">
      <c r="A230" s="40">
        <f t="shared" si="7"/>
        <v>224</v>
      </c>
      <c r="B230" s="59"/>
      <c r="C230" s="59"/>
      <c r="D230" s="59"/>
      <c r="E230" s="59"/>
      <c r="F230" s="59"/>
      <c r="G230" s="59"/>
      <c r="H230" s="59"/>
      <c r="I230" s="59"/>
      <c r="J230" s="218" t="s">
        <v>5386</v>
      </c>
      <c r="K230" s="232" t="s">
        <v>117</v>
      </c>
      <c r="L230" s="204" t="s">
        <v>3987</v>
      </c>
      <c r="M230" s="204"/>
      <c r="N230" s="126" t="s">
        <v>504</v>
      </c>
      <c r="O230" s="126"/>
      <c r="P230" s="126"/>
      <c r="Q230" s="40" t="s">
        <v>6</v>
      </c>
      <c r="R230" s="40" t="s">
        <v>6</v>
      </c>
      <c r="S230" s="126" t="s">
        <v>6</v>
      </c>
      <c r="T230" s="126"/>
      <c r="U230" s="204" t="s">
        <v>4756</v>
      </c>
      <c r="V230" s="218" t="s">
        <v>2346</v>
      </c>
      <c r="W230" s="232" t="s">
        <v>125</v>
      </c>
      <c r="X230" s="260"/>
      <c r="Y230" s="260"/>
      <c r="Z230" s="260"/>
      <c r="AA230" s="61" t="s">
        <v>6</v>
      </c>
      <c r="AB230" s="15"/>
      <c r="AC230" s="59"/>
      <c r="AD230" s="59"/>
      <c r="AE230" s="232" t="s">
        <v>125</v>
      </c>
      <c r="AF230" s="260"/>
      <c r="AG230" s="260"/>
      <c r="AH230" s="260"/>
      <c r="AI230" s="61" t="s">
        <v>6</v>
      </c>
      <c r="AJ230" s="15"/>
      <c r="AK230" s="59"/>
      <c r="AL230" s="59"/>
      <c r="AM230" s="59"/>
      <c r="AN230" s="59"/>
      <c r="AO230" s="59"/>
      <c r="AP230" s="59"/>
      <c r="AQ230" s="59"/>
      <c r="AR230" s="59"/>
      <c r="AS230" s="59"/>
      <c r="AT230" s="59"/>
      <c r="AU230" s="59"/>
      <c r="AV230" s="59"/>
      <c r="AW230" s="18">
        <v>26</v>
      </c>
    </row>
    <row r="231" spans="1:87" s="20" customFormat="1" ht="26.4">
      <c r="A231" s="40">
        <f t="shared" si="7"/>
        <v>225</v>
      </c>
      <c r="B231" s="59"/>
      <c r="C231" s="59"/>
      <c r="D231" s="59"/>
      <c r="E231" s="59"/>
      <c r="F231" s="59"/>
      <c r="G231" s="59"/>
      <c r="H231" s="59"/>
      <c r="I231" s="59"/>
      <c r="J231" s="218" t="s">
        <v>5387</v>
      </c>
      <c r="K231" s="232" t="s">
        <v>117</v>
      </c>
      <c r="L231" s="204" t="s">
        <v>3992</v>
      </c>
      <c r="M231" s="204"/>
      <c r="N231" s="126" t="s">
        <v>504</v>
      </c>
      <c r="O231" s="126"/>
      <c r="P231" s="126"/>
      <c r="Q231" s="40" t="s">
        <v>6</v>
      </c>
      <c r="R231" s="40" t="s">
        <v>6</v>
      </c>
      <c r="S231" s="126" t="s">
        <v>6</v>
      </c>
      <c r="T231" s="126"/>
      <c r="U231" s="204" t="s">
        <v>4756</v>
      </c>
      <c r="V231" s="218" t="s">
        <v>2346</v>
      </c>
      <c r="W231" s="232" t="s">
        <v>125</v>
      </c>
      <c r="X231" s="260"/>
      <c r="Y231" s="260"/>
      <c r="Z231" s="260"/>
      <c r="AA231" s="61" t="s">
        <v>6</v>
      </c>
      <c r="AB231" s="15"/>
      <c r="AC231" s="59"/>
      <c r="AD231" s="59"/>
      <c r="AE231" s="232" t="s">
        <v>125</v>
      </c>
      <c r="AF231" s="260"/>
      <c r="AG231" s="260"/>
      <c r="AH231" s="260"/>
      <c r="AI231" s="61" t="s">
        <v>6</v>
      </c>
      <c r="AJ231" s="15"/>
      <c r="AK231" s="59"/>
      <c r="AL231" s="59"/>
      <c r="AM231" s="59"/>
      <c r="AN231" s="59"/>
      <c r="AO231" s="59"/>
      <c r="AP231" s="59"/>
      <c r="AQ231" s="59"/>
      <c r="AR231" s="59"/>
      <c r="AS231" s="59"/>
      <c r="AT231" s="59"/>
      <c r="AU231" s="59"/>
      <c r="AV231" s="59"/>
      <c r="AW231" s="18">
        <v>32</v>
      </c>
    </row>
    <row r="232" spans="1:87" s="20" customFormat="1" ht="26.4">
      <c r="A232" s="40">
        <f t="shared" si="7"/>
        <v>226</v>
      </c>
      <c r="B232" s="59"/>
      <c r="C232" s="59"/>
      <c r="D232" s="59"/>
      <c r="E232" s="59"/>
      <c r="F232" s="59"/>
      <c r="G232" s="59"/>
      <c r="H232" s="59"/>
      <c r="I232" s="59"/>
      <c r="J232" s="218" t="s">
        <v>5388</v>
      </c>
      <c r="K232" s="232" t="s">
        <v>117</v>
      </c>
      <c r="L232" s="204" t="s">
        <v>3994</v>
      </c>
      <c r="M232" s="204"/>
      <c r="N232" s="126" t="s">
        <v>504</v>
      </c>
      <c r="O232" s="126"/>
      <c r="P232" s="126"/>
      <c r="Q232" s="40" t="s">
        <v>6</v>
      </c>
      <c r="R232" s="40" t="s">
        <v>6</v>
      </c>
      <c r="S232" s="126" t="s">
        <v>6</v>
      </c>
      <c r="T232" s="126"/>
      <c r="U232" s="204" t="s">
        <v>4756</v>
      </c>
      <c r="V232" s="218" t="s">
        <v>2346</v>
      </c>
      <c r="W232" s="232" t="s">
        <v>125</v>
      </c>
      <c r="X232" s="260"/>
      <c r="Y232" s="260"/>
      <c r="Z232" s="260"/>
      <c r="AA232" s="61" t="s">
        <v>6</v>
      </c>
      <c r="AB232" s="15"/>
      <c r="AC232" s="59"/>
      <c r="AD232" s="59"/>
      <c r="AE232" s="232" t="s">
        <v>125</v>
      </c>
      <c r="AF232" s="260"/>
      <c r="AG232" s="260"/>
      <c r="AH232" s="260"/>
      <c r="AI232" s="61" t="s">
        <v>6</v>
      </c>
      <c r="AJ232" s="15"/>
      <c r="AK232" s="59"/>
      <c r="AL232" s="59"/>
      <c r="AM232" s="59"/>
      <c r="AN232" s="59"/>
      <c r="AO232" s="59"/>
      <c r="AP232" s="59"/>
      <c r="AQ232" s="59"/>
      <c r="AR232" s="59"/>
      <c r="AS232" s="59"/>
      <c r="AT232" s="59"/>
      <c r="AU232" s="59"/>
      <c r="AV232" s="59"/>
      <c r="AW232" s="18">
        <v>29</v>
      </c>
    </row>
    <row r="233" spans="1:87" s="20" customFormat="1" ht="26.4">
      <c r="A233" s="40">
        <f t="shared" si="7"/>
        <v>227</v>
      </c>
      <c r="B233" s="59"/>
      <c r="C233" s="59"/>
      <c r="D233" s="59"/>
      <c r="E233" s="59"/>
      <c r="F233" s="59"/>
      <c r="G233" s="59"/>
      <c r="H233" s="59"/>
      <c r="I233" s="59"/>
      <c r="J233" s="218" t="s">
        <v>5389</v>
      </c>
      <c r="K233" s="232" t="s">
        <v>117</v>
      </c>
      <c r="L233" s="204" t="s">
        <v>3998</v>
      </c>
      <c r="M233" s="204"/>
      <c r="N233" s="126" t="s">
        <v>504</v>
      </c>
      <c r="O233" s="126"/>
      <c r="P233" s="126"/>
      <c r="Q233" s="40" t="s">
        <v>6</v>
      </c>
      <c r="R233" s="40" t="s">
        <v>6</v>
      </c>
      <c r="S233" s="126" t="s">
        <v>6</v>
      </c>
      <c r="T233" s="126"/>
      <c r="U233" s="204" t="s">
        <v>4756</v>
      </c>
      <c r="V233" s="218" t="s">
        <v>2346</v>
      </c>
      <c r="W233" s="232" t="s">
        <v>125</v>
      </c>
      <c r="X233" s="59"/>
      <c r="Y233" s="59"/>
      <c r="Z233" s="59"/>
      <c r="AA233" s="61" t="s">
        <v>6</v>
      </c>
      <c r="AB233" s="15"/>
      <c r="AC233" s="59"/>
      <c r="AD233" s="59"/>
      <c r="AE233" s="232" t="s">
        <v>125</v>
      </c>
      <c r="AF233" s="59"/>
      <c r="AG233" s="59"/>
      <c r="AH233" s="59"/>
      <c r="AI233" s="61" t="s">
        <v>6</v>
      </c>
      <c r="AJ233" s="15"/>
      <c r="AK233" s="59"/>
      <c r="AL233" s="59"/>
      <c r="AM233" s="59"/>
      <c r="AN233" s="59"/>
      <c r="AO233" s="59"/>
      <c r="AP233" s="59"/>
      <c r="AQ233" s="59"/>
      <c r="AR233" s="59"/>
      <c r="AS233" s="59"/>
      <c r="AT233" s="59"/>
      <c r="AU233" s="59"/>
      <c r="AV233" s="59"/>
      <c r="AW233" s="18">
        <v>30</v>
      </c>
    </row>
    <row r="234" spans="1:87" s="20" customFormat="1" ht="52.8">
      <c r="A234" s="40">
        <f t="shared" si="7"/>
        <v>228</v>
      </c>
      <c r="B234" s="59"/>
      <c r="C234" s="59"/>
      <c r="D234" s="59"/>
      <c r="E234" s="59"/>
      <c r="F234" s="59"/>
      <c r="G234" s="59"/>
      <c r="H234" s="59"/>
      <c r="I234" s="59"/>
      <c r="J234" s="218" t="s">
        <v>5390</v>
      </c>
      <c r="K234" s="204" t="s">
        <v>117</v>
      </c>
      <c r="L234" s="204" t="s">
        <v>4025</v>
      </c>
      <c r="M234" s="204"/>
      <c r="N234" s="126" t="s">
        <v>504</v>
      </c>
      <c r="O234" s="126"/>
      <c r="P234" s="126"/>
      <c r="Q234" s="40"/>
      <c r="R234" s="40" t="s">
        <v>6</v>
      </c>
      <c r="S234" s="40" t="s">
        <v>6</v>
      </c>
      <c r="T234" s="40"/>
      <c r="U234" s="204" t="s">
        <v>4787</v>
      </c>
      <c r="V234" s="206"/>
      <c r="W234" s="204" t="s">
        <v>125</v>
      </c>
      <c r="X234" s="59"/>
      <c r="Y234" s="59"/>
      <c r="Z234" s="40"/>
      <c r="AA234" s="40" t="s">
        <v>6</v>
      </c>
      <c r="AB234" s="218"/>
      <c r="AC234" s="59"/>
      <c r="AD234" s="59"/>
      <c r="AE234" s="204" t="s">
        <v>125</v>
      </c>
      <c r="AF234" s="59"/>
      <c r="AG234" s="59"/>
      <c r="AH234" s="40"/>
      <c r="AI234" s="40" t="s">
        <v>6</v>
      </c>
      <c r="AJ234" s="218"/>
      <c r="AK234" s="59"/>
      <c r="AL234" s="59"/>
      <c r="AM234" s="59"/>
      <c r="AN234" s="59"/>
      <c r="AO234" s="59"/>
      <c r="AP234" s="59"/>
      <c r="AQ234" s="59"/>
      <c r="AR234" s="59"/>
      <c r="AS234" s="59"/>
      <c r="AT234" s="59"/>
      <c r="AU234" s="59"/>
      <c r="AV234" s="59"/>
      <c r="AW234" s="18">
        <v>29</v>
      </c>
    </row>
    <row r="235" spans="1:87" s="18" customFormat="1" ht="26.4">
      <c r="A235" s="40">
        <f t="shared" si="7"/>
        <v>229</v>
      </c>
      <c r="B235" s="38"/>
      <c r="C235" s="42"/>
      <c r="D235" s="38"/>
      <c r="E235" s="46"/>
      <c r="F235" s="46"/>
      <c r="G235" s="46"/>
      <c r="H235" s="13"/>
      <c r="I235" s="40"/>
      <c r="J235" s="215" t="s">
        <v>5391</v>
      </c>
      <c r="K235" s="412" t="s">
        <v>117</v>
      </c>
      <c r="L235" s="215" t="s">
        <v>1760</v>
      </c>
      <c r="M235" s="215"/>
      <c r="N235" s="126" t="s">
        <v>504</v>
      </c>
      <c r="O235" s="40"/>
      <c r="P235" s="40"/>
      <c r="Q235" s="126" t="s">
        <v>6</v>
      </c>
      <c r="R235" s="126" t="s">
        <v>6</v>
      </c>
      <c r="S235" s="126" t="s">
        <v>6</v>
      </c>
      <c r="T235" s="126"/>
      <c r="U235" s="204" t="s">
        <v>1964</v>
      </c>
      <c r="V235" s="204"/>
      <c r="W235" s="215" t="s">
        <v>125</v>
      </c>
      <c r="X235" s="40"/>
      <c r="Y235" s="413"/>
      <c r="Z235" s="61"/>
      <c r="AA235" s="61" t="s">
        <v>6</v>
      </c>
      <c r="AB235" s="413"/>
      <c r="AC235" s="413"/>
      <c r="AD235" s="413"/>
      <c r="AE235" s="215" t="s">
        <v>125</v>
      </c>
      <c r="AF235" s="40"/>
      <c r="AG235" s="413"/>
      <c r="AH235" s="61"/>
      <c r="AI235" s="61" t="s">
        <v>6</v>
      </c>
      <c r="AJ235" s="413"/>
      <c r="AK235" s="413"/>
      <c r="AL235" s="413"/>
      <c r="AM235" s="45"/>
      <c r="AN235" s="53"/>
      <c r="AO235" s="266"/>
      <c r="AP235" s="266"/>
      <c r="AQ235" s="266"/>
      <c r="AR235" s="266"/>
      <c r="AS235" s="15"/>
      <c r="AT235" s="15"/>
      <c r="AU235" s="15"/>
      <c r="AV235" s="13"/>
      <c r="AW235" s="18">
        <v>27</v>
      </c>
      <c r="AX235" s="12"/>
      <c r="AY235" s="12"/>
      <c r="AZ235" s="12"/>
      <c r="BA235" s="12"/>
      <c r="BB235" s="12"/>
      <c r="BC235" s="12"/>
      <c r="BD235" s="12"/>
      <c r="BE235" s="12"/>
      <c r="BF235" s="12"/>
      <c r="BG235" s="12"/>
      <c r="BH235" s="12"/>
      <c r="BI235" s="12"/>
      <c r="BJ235" s="12"/>
      <c r="BK235" s="12"/>
      <c r="BL235" s="12"/>
      <c r="BM235" s="12"/>
      <c r="BN235" s="12"/>
      <c r="BO235" s="12"/>
      <c r="BP235" s="12"/>
      <c r="BQ235" s="12"/>
      <c r="BR235" s="12"/>
      <c r="BS235" s="12"/>
      <c r="BT235" s="12"/>
      <c r="BU235" s="12"/>
      <c r="BV235" s="12"/>
      <c r="BW235" s="12"/>
      <c r="BX235" s="12"/>
      <c r="BY235" s="12"/>
      <c r="BZ235" s="12"/>
      <c r="CA235" s="12"/>
      <c r="CB235" s="12"/>
      <c r="CC235" s="12"/>
      <c r="CD235" s="12"/>
      <c r="CE235" s="12"/>
      <c r="CF235" s="12"/>
      <c r="CG235" s="12"/>
      <c r="CH235" s="12"/>
      <c r="CI235" s="12"/>
    </row>
    <row r="236" spans="1:87" s="18" customFormat="1" ht="26.4">
      <c r="A236" s="40">
        <f t="shared" si="7"/>
        <v>230</v>
      </c>
      <c r="B236" s="38"/>
      <c r="C236" s="42"/>
      <c r="D236" s="38"/>
      <c r="E236" s="46"/>
      <c r="F236" s="46"/>
      <c r="G236" s="46"/>
      <c r="H236" s="13"/>
      <c r="I236" s="40"/>
      <c r="J236" s="218" t="s">
        <v>5392</v>
      </c>
      <c r="K236" s="412" t="s">
        <v>117</v>
      </c>
      <c r="L236" s="204" t="s">
        <v>794</v>
      </c>
      <c r="M236" s="367"/>
      <c r="N236" s="416" t="s">
        <v>504</v>
      </c>
      <c r="O236" s="126"/>
      <c r="P236" s="126"/>
      <c r="Q236" s="416" t="s">
        <v>6</v>
      </c>
      <c r="R236" s="416" t="s">
        <v>6</v>
      </c>
      <c r="S236" s="40" t="s">
        <v>6</v>
      </c>
      <c r="T236" s="40"/>
      <c r="U236" s="204" t="s">
        <v>795</v>
      </c>
      <c r="V236" s="206"/>
      <c r="W236" s="412" t="s">
        <v>125</v>
      </c>
      <c r="X236" s="59"/>
      <c r="Y236" s="59"/>
      <c r="Z236" s="59"/>
      <c r="AA236" s="40" t="s">
        <v>6</v>
      </c>
      <c r="AB236" s="413"/>
      <c r="AC236" s="413"/>
      <c r="AD236" s="413"/>
      <c r="AE236" s="412" t="s">
        <v>125</v>
      </c>
      <c r="AF236" s="59"/>
      <c r="AG236" s="59"/>
      <c r="AH236" s="59"/>
      <c r="AI236" s="40" t="s">
        <v>6</v>
      </c>
      <c r="AJ236" s="413"/>
      <c r="AK236" s="413"/>
      <c r="AL236" s="413"/>
      <c r="AM236" s="43"/>
      <c r="AN236" s="19"/>
      <c r="AO236" s="15"/>
      <c r="AP236" s="15"/>
      <c r="AQ236" s="15"/>
      <c r="AR236" s="15"/>
      <c r="AS236" s="15"/>
      <c r="AT236" s="15"/>
      <c r="AU236" s="15"/>
      <c r="AV236" s="13"/>
      <c r="AW236" s="18">
        <v>20</v>
      </c>
      <c r="AX236" s="12"/>
      <c r="AY236" s="12"/>
      <c r="AZ236" s="12"/>
      <c r="BA236" s="12"/>
      <c r="BB236" s="12"/>
      <c r="BC236" s="12"/>
      <c r="BD236" s="12"/>
      <c r="BE236" s="12"/>
      <c r="BF236" s="12"/>
      <c r="BG236" s="12"/>
      <c r="BH236" s="12"/>
      <c r="BI236" s="12"/>
      <c r="BJ236" s="12"/>
      <c r="BK236" s="12"/>
      <c r="BL236" s="12"/>
      <c r="BM236" s="12"/>
      <c r="BN236" s="12"/>
      <c r="BO236" s="12"/>
      <c r="BP236" s="12"/>
      <c r="BQ236" s="12"/>
      <c r="BR236" s="12"/>
      <c r="BS236" s="12"/>
      <c r="BT236" s="12"/>
      <c r="BU236" s="12"/>
      <c r="BV236" s="12"/>
      <c r="BW236" s="12"/>
      <c r="BX236" s="12"/>
      <c r="BY236" s="12"/>
      <c r="BZ236" s="12"/>
      <c r="CA236" s="12"/>
      <c r="CB236" s="12"/>
      <c r="CC236" s="12"/>
      <c r="CD236" s="12"/>
      <c r="CE236" s="12"/>
      <c r="CF236" s="12"/>
      <c r="CG236" s="12"/>
      <c r="CH236" s="12"/>
      <c r="CI236" s="12"/>
    </row>
    <row r="237" spans="1:87" s="236" customFormat="1" ht="26.4">
      <c r="A237" s="40">
        <f t="shared" si="7"/>
        <v>231</v>
      </c>
      <c r="B237" s="199"/>
      <c r="C237" s="199"/>
      <c r="D237" s="199"/>
      <c r="E237" s="199"/>
      <c r="F237" s="199"/>
      <c r="G237" s="199"/>
      <c r="H237" s="199"/>
      <c r="I237" s="199"/>
      <c r="J237" s="412" t="s">
        <v>5393</v>
      </c>
      <c r="K237" s="232" t="s">
        <v>117</v>
      </c>
      <c r="L237" s="204" t="s">
        <v>4545</v>
      </c>
      <c r="M237" s="204"/>
      <c r="N237" s="126" t="s">
        <v>504</v>
      </c>
      <c r="O237" s="126"/>
      <c r="P237" s="126"/>
      <c r="Q237" s="126"/>
      <c r="R237" s="126" t="s">
        <v>6</v>
      </c>
      <c r="S237" s="126" t="s">
        <v>6</v>
      </c>
      <c r="T237" s="126"/>
      <c r="U237" s="200" t="s">
        <v>1114</v>
      </c>
      <c r="V237" s="204"/>
      <c r="W237" s="204" t="s">
        <v>125</v>
      </c>
      <c r="X237" s="199"/>
      <c r="Y237" s="199"/>
      <c r="Z237" s="199"/>
      <c r="AA237" s="126" t="s">
        <v>6</v>
      </c>
      <c r="AB237" s="198"/>
      <c r="AC237" s="199"/>
      <c r="AD237" s="199"/>
      <c r="AE237" s="204" t="s">
        <v>125</v>
      </c>
      <c r="AF237" s="199"/>
      <c r="AG237" s="199"/>
      <c r="AH237" s="199"/>
      <c r="AI237" s="126" t="s">
        <v>6</v>
      </c>
      <c r="AJ237" s="198"/>
      <c r="AK237" s="199"/>
      <c r="AL237" s="199"/>
      <c r="AM237" s="199"/>
      <c r="AN237" s="202" t="s">
        <v>635</v>
      </c>
      <c r="AO237" s="199"/>
      <c r="AP237" s="199"/>
      <c r="AQ237" s="199"/>
      <c r="AR237" s="199"/>
      <c r="AS237" s="199"/>
      <c r="AT237" s="199"/>
      <c r="AU237" s="199"/>
      <c r="AV237" s="199"/>
      <c r="AW237" s="155">
        <v>39</v>
      </c>
    </row>
    <row r="238" spans="1:87" s="236" customFormat="1" ht="26.4">
      <c r="A238" s="40">
        <f t="shared" si="7"/>
        <v>232</v>
      </c>
      <c r="B238" s="199"/>
      <c r="C238" s="199"/>
      <c r="D238" s="199"/>
      <c r="E238" s="199"/>
      <c r="F238" s="199"/>
      <c r="G238" s="199"/>
      <c r="H238" s="199"/>
      <c r="I238" s="199"/>
      <c r="J238" s="412" t="s">
        <v>5394</v>
      </c>
      <c r="K238" s="232" t="s">
        <v>117</v>
      </c>
      <c r="L238" s="204" t="s">
        <v>4548</v>
      </c>
      <c r="M238" s="204"/>
      <c r="N238" s="126" t="s">
        <v>504</v>
      </c>
      <c r="O238" s="126"/>
      <c r="P238" s="126"/>
      <c r="Q238" s="126"/>
      <c r="R238" s="126" t="s">
        <v>6</v>
      </c>
      <c r="S238" s="126" t="s">
        <v>6</v>
      </c>
      <c r="T238" s="126"/>
      <c r="U238" s="200" t="s">
        <v>1114</v>
      </c>
      <c r="V238" s="204"/>
      <c r="W238" s="204" t="s">
        <v>125</v>
      </c>
      <c r="X238" s="199"/>
      <c r="Y238" s="199"/>
      <c r="Z238" s="199"/>
      <c r="AA238" s="126" t="s">
        <v>6</v>
      </c>
      <c r="AB238" s="198"/>
      <c r="AC238" s="199"/>
      <c r="AD238" s="199"/>
      <c r="AE238" s="204" t="s">
        <v>125</v>
      </c>
      <c r="AF238" s="199"/>
      <c r="AG238" s="199"/>
      <c r="AH238" s="199"/>
      <c r="AI238" s="126" t="s">
        <v>6</v>
      </c>
      <c r="AJ238" s="198"/>
      <c r="AK238" s="199"/>
      <c r="AL238" s="199"/>
      <c r="AM238" s="199"/>
      <c r="AN238" s="202" t="s">
        <v>635</v>
      </c>
      <c r="AO238" s="199"/>
      <c r="AP238" s="199"/>
      <c r="AQ238" s="199"/>
      <c r="AR238" s="199"/>
      <c r="AS238" s="199"/>
      <c r="AT238" s="199"/>
      <c r="AU238" s="199"/>
      <c r="AV238" s="199"/>
      <c r="AW238" s="155">
        <v>39</v>
      </c>
    </row>
    <row r="239" spans="1:87" s="236" customFormat="1" ht="26.4">
      <c r="A239" s="40">
        <f t="shared" si="7"/>
        <v>233</v>
      </c>
      <c r="B239" s="199"/>
      <c r="C239" s="199"/>
      <c r="D239" s="199"/>
      <c r="E239" s="199"/>
      <c r="F239" s="199"/>
      <c r="G239" s="199"/>
      <c r="H239" s="199"/>
      <c r="I239" s="199"/>
      <c r="J239" s="412" t="s">
        <v>5395</v>
      </c>
      <c r="K239" s="232" t="s">
        <v>117</v>
      </c>
      <c r="L239" s="204" t="s">
        <v>4551</v>
      </c>
      <c r="M239" s="204"/>
      <c r="N239" s="126" t="s">
        <v>504</v>
      </c>
      <c r="O239" s="126"/>
      <c r="P239" s="126"/>
      <c r="Q239" s="126"/>
      <c r="R239" s="126" t="s">
        <v>6</v>
      </c>
      <c r="S239" s="126" t="s">
        <v>6</v>
      </c>
      <c r="T239" s="126"/>
      <c r="U239" s="200" t="s">
        <v>1114</v>
      </c>
      <c r="V239" s="204"/>
      <c r="W239" s="204" t="s">
        <v>125</v>
      </c>
      <c r="X239" s="199"/>
      <c r="Y239" s="199"/>
      <c r="Z239" s="199"/>
      <c r="AA239" s="126" t="s">
        <v>6</v>
      </c>
      <c r="AB239" s="198"/>
      <c r="AC239" s="199"/>
      <c r="AD239" s="199"/>
      <c r="AE239" s="204" t="s">
        <v>125</v>
      </c>
      <c r="AF239" s="199"/>
      <c r="AG239" s="199"/>
      <c r="AH239" s="199"/>
      <c r="AI239" s="126" t="s">
        <v>6</v>
      </c>
      <c r="AJ239" s="198"/>
      <c r="AK239" s="199"/>
      <c r="AL239" s="199"/>
      <c r="AM239" s="199"/>
      <c r="AN239" s="202" t="s">
        <v>635</v>
      </c>
      <c r="AO239" s="199"/>
      <c r="AP239" s="199"/>
      <c r="AQ239" s="199"/>
      <c r="AR239" s="199"/>
      <c r="AS239" s="199"/>
      <c r="AT239" s="199"/>
      <c r="AU239" s="199"/>
      <c r="AV239" s="199"/>
      <c r="AW239" s="155">
        <v>39</v>
      </c>
    </row>
    <row r="240" spans="1:87" s="236" customFormat="1" ht="26.4">
      <c r="A240" s="40">
        <f t="shared" si="7"/>
        <v>234</v>
      </c>
      <c r="B240" s="199"/>
      <c r="C240" s="199"/>
      <c r="D240" s="199"/>
      <c r="E240" s="199"/>
      <c r="F240" s="199"/>
      <c r="G240" s="199"/>
      <c r="H240" s="199"/>
      <c r="I240" s="199"/>
      <c r="J240" s="412" t="s">
        <v>5396</v>
      </c>
      <c r="K240" s="232" t="s">
        <v>117</v>
      </c>
      <c r="L240" s="204" t="s">
        <v>4554</v>
      </c>
      <c r="M240" s="204"/>
      <c r="N240" s="126" t="s">
        <v>504</v>
      </c>
      <c r="O240" s="126"/>
      <c r="P240" s="126"/>
      <c r="Q240" s="126" t="s">
        <v>6</v>
      </c>
      <c r="R240" s="126" t="s">
        <v>6</v>
      </c>
      <c r="S240" s="126" t="s">
        <v>6</v>
      </c>
      <c r="T240" s="126"/>
      <c r="U240" s="215" t="s">
        <v>5397</v>
      </c>
      <c r="V240" s="215"/>
      <c r="W240" s="204" t="s">
        <v>125</v>
      </c>
      <c r="X240" s="199"/>
      <c r="Y240" s="199"/>
      <c r="Z240" s="126"/>
      <c r="AA240" s="126" t="s">
        <v>6</v>
      </c>
      <c r="AB240" s="198"/>
      <c r="AC240" s="199"/>
      <c r="AD240" s="201" t="s">
        <v>881</v>
      </c>
      <c r="AE240" s="204" t="s">
        <v>125</v>
      </c>
      <c r="AF240" s="199"/>
      <c r="AG240" s="199"/>
      <c r="AH240" s="126"/>
      <c r="AI240" s="126" t="s">
        <v>6</v>
      </c>
      <c r="AJ240" s="198"/>
      <c r="AK240" s="199"/>
      <c r="AL240" s="201" t="s">
        <v>881</v>
      </c>
      <c r="AM240" s="199"/>
      <c r="AN240" s="199"/>
      <c r="AO240" s="199"/>
      <c r="AP240" s="199"/>
      <c r="AQ240" s="199"/>
      <c r="AR240" s="199"/>
      <c r="AS240" s="199"/>
      <c r="AT240" s="199"/>
      <c r="AU240" s="199"/>
      <c r="AV240" s="199"/>
      <c r="AW240" s="155">
        <v>32</v>
      </c>
    </row>
    <row r="241" spans="1:49" s="236" customFormat="1" ht="15">
      <c r="A241" s="40">
        <f t="shared" si="7"/>
        <v>235</v>
      </c>
      <c r="B241" s="199"/>
      <c r="C241" s="199"/>
      <c r="D241" s="199"/>
      <c r="E241" s="199"/>
      <c r="F241" s="199"/>
      <c r="G241" s="199"/>
      <c r="H241" s="199"/>
      <c r="I241" s="199"/>
      <c r="J241" s="412" t="s">
        <v>5398</v>
      </c>
      <c r="K241" s="232" t="s">
        <v>117</v>
      </c>
      <c r="L241" s="204" t="s">
        <v>1117</v>
      </c>
      <c r="M241" s="204"/>
      <c r="N241" s="126" t="s">
        <v>504</v>
      </c>
      <c r="O241" s="126"/>
      <c r="P241" s="126"/>
      <c r="Q241" s="126" t="s">
        <v>6</v>
      </c>
      <c r="R241" s="126" t="s">
        <v>6</v>
      </c>
      <c r="S241" s="126" t="s">
        <v>6</v>
      </c>
      <c r="T241" s="126"/>
      <c r="U241" s="204"/>
      <c r="V241" s="204"/>
      <c r="W241" s="204" t="s">
        <v>125</v>
      </c>
      <c r="X241" s="199"/>
      <c r="Y241" s="199"/>
      <c r="Z241" s="199"/>
      <c r="AA241" s="126" t="s">
        <v>6</v>
      </c>
      <c r="AB241" s="198"/>
      <c r="AC241" s="199"/>
      <c r="AD241" s="201" t="s">
        <v>881</v>
      </c>
      <c r="AE241" s="204" t="s">
        <v>125</v>
      </c>
      <c r="AF241" s="199"/>
      <c r="AG241" s="199"/>
      <c r="AH241" s="199"/>
      <c r="AI241" s="126" t="s">
        <v>6</v>
      </c>
      <c r="AJ241" s="198"/>
      <c r="AK241" s="199"/>
      <c r="AL241" s="201" t="s">
        <v>881</v>
      </c>
      <c r="AM241" s="199"/>
      <c r="AN241" s="199"/>
      <c r="AO241" s="199"/>
      <c r="AP241" s="199"/>
      <c r="AQ241" s="199"/>
      <c r="AR241" s="199"/>
      <c r="AS241" s="199"/>
      <c r="AT241" s="199"/>
      <c r="AU241" s="199"/>
      <c r="AV241" s="199"/>
      <c r="AW241" s="155">
        <v>42</v>
      </c>
    </row>
    <row r="242" spans="1:49" s="236" customFormat="1" ht="26.4">
      <c r="A242" s="40">
        <f t="shared" si="7"/>
        <v>236</v>
      </c>
      <c r="B242" s="199"/>
      <c r="C242" s="199"/>
      <c r="D242" s="199"/>
      <c r="E242" s="199"/>
      <c r="F242" s="199"/>
      <c r="G242" s="199"/>
      <c r="H242" s="199"/>
      <c r="I242" s="199"/>
      <c r="J242" s="412" t="s">
        <v>5399</v>
      </c>
      <c r="K242" s="232" t="s">
        <v>117</v>
      </c>
      <c r="L242" s="204" t="s">
        <v>1121</v>
      </c>
      <c r="M242" s="204"/>
      <c r="N242" s="126" t="s">
        <v>504</v>
      </c>
      <c r="O242" s="126"/>
      <c r="P242" s="126"/>
      <c r="Q242" s="126" t="s">
        <v>6</v>
      </c>
      <c r="R242" s="126" t="s">
        <v>6</v>
      </c>
      <c r="S242" s="126" t="s">
        <v>6</v>
      </c>
      <c r="T242" s="126"/>
      <c r="U242" s="200" t="s">
        <v>1114</v>
      </c>
      <c r="V242" s="204"/>
      <c r="W242" s="204" t="s">
        <v>125</v>
      </c>
      <c r="X242" s="199"/>
      <c r="Y242" s="199"/>
      <c r="Z242" s="199"/>
      <c r="AA242" s="126" t="s">
        <v>6</v>
      </c>
      <c r="AB242" s="198"/>
      <c r="AC242" s="199"/>
      <c r="AD242" s="201" t="s">
        <v>881</v>
      </c>
      <c r="AE242" s="204" t="s">
        <v>125</v>
      </c>
      <c r="AF242" s="199"/>
      <c r="AG242" s="199"/>
      <c r="AH242" s="199"/>
      <c r="AI242" s="126" t="s">
        <v>6</v>
      </c>
      <c r="AJ242" s="198"/>
      <c r="AK242" s="199"/>
      <c r="AL242" s="201" t="s">
        <v>881</v>
      </c>
      <c r="AM242" s="199"/>
      <c r="AN242" s="199"/>
      <c r="AO242" s="199"/>
      <c r="AP242" s="199"/>
      <c r="AQ242" s="199"/>
      <c r="AR242" s="199"/>
      <c r="AS242" s="199"/>
      <c r="AT242" s="199"/>
      <c r="AU242" s="199"/>
      <c r="AV242" s="199"/>
      <c r="AW242" s="155">
        <v>42</v>
      </c>
    </row>
    <row r="243" spans="1:49" s="236" customFormat="1" ht="26.4">
      <c r="A243" s="40">
        <f t="shared" si="7"/>
        <v>237</v>
      </c>
      <c r="B243" s="199"/>
      <c r="C243" s="199"/>
      <c r="D243" s="199"/>
      <c r="E243" s="199"/>
      <c r="F243" s="199"/>
      <c r="G243" s="199"/>
      <c r="H243" s="199"/>
      <c r="I243" s="199"/>
      <c r="J243" s="412" t="s">
        <v>5400</v>
      </c>
      <c r="K243" s="232" t="s">
        <v>117</v>
      </c>
      <c r="L243" s="204" t="s">
        <v>1124</v>
      </c>
      <c r="M243" s="204"/>
      <c r="N243" s="126" t="s">
        <v>504</v>
      </c>
      <c r="O243" s="126"/>
      <c r="P243" s="126"/>
      <c r="Q243" s="126" t="s">
        <v>6</v>
      </c>
      <c r="R243" s="126" t="s">
        <v>6</v>
      </c>
      <c r="S243" s="126" t="s">
        <v>6</v>
      </c>
      <c r="T243" s="126"/>
      <c r="U243" s="200" t="s">
        <v>1114</v>
      </c>
      <c r="V243" s="204"/>
      <c r="W243" s="204" t="s">
        <v>125</v>
      </c>
      <c r="X243" s="199"/>
      <c r="Y243" s="199"/>
      <c r="Z243" s="199"/>
      <c r="AA243" s="126" t="s">
        <v>6</v>
      </c>
      <c r="AB243" s="198"/>
      <c r="AC243" s="199"/>
      <c r="AD243" s="201" t="s">
        <v>881</v>
      </c>
      <c r="AE243" s="204" t="s">
        <v>125</v>
      </c>
      <c r="AF243" s="199"/>
      <c r="AG243" s="199"/>
      <c r="AH243" s="199"/>
      <c r="AI243" s="126" t="s">
        <v>6</v>
      </c>
      <c r="AJ243" s="198"/>
      <c r="AK243" s="199"/>
      <c r="AL243" s="201" t="s">
        <v>881</v>
      </c>
      <c r="AM243" s="199"/>
      <c r="AN243" s="199"/>
      <c r="AO243" s="199"/>
      <c r="AP243" s="199"/>
      <c r="AQ243" s="199"/>
      <c r="AR243" s="199"/>
      <c r="AS243" s="199"/>
      <c r="AT243" s="199"/>
      <c r="AU243" s="199"/>
      <c r="AV243" s="199"/>
      <c r="AW243" s="155">
        <v>42</v>
      </c>
    </row>
    <row r="244" spans="1:49" s="236" customFormat="1" ht="26.4">
      <c r="A244" s="40">
        <f t="shared" si="7"/>
        <v>238</v>
      </c>
      <c r="B244" s="199"/>
      <c r="C244" s="199"/>
      <c r="D244" s="199"/>
      <c r="E244" s="199"/>
      <c r="F244" s="199"/>
      <c r="G244" s="199"/>
      <c r="H244" s="199"/>
      <c r="I244" s="199"/>
      <c r="J244" s="412" t="s">
        <v>5401</v>
      </c>
      <c r="K244" s="232" t="s">
        <v>117</v>
      </c>
      <c r="L244" s="204" t="s">
        <v>1127</v>
      </c>
      <c r="M244" s="204"/>
      <c r="N244" s="126" t="s">
        <v>504</v>
      </c>
      <c r="O244" s="126"/>
      <c r="P244" s="126"/>
      <c r="Q244" s="126" t="s">
        <v>6</v>
      </c>
      <c r="R244" s="126" t="s">
        <v>6</v>
      </c>
      <c r="S244" s="126" t="s">
        <v>6</v>
      </c>
      <c r="T244" s="126"/>
      <c r="U244" s="200" t="s">
        <v>1114</v>
      </c>
      <c r="V244" s="204"/>
      <c r="W244" s="204" t="s">
        <v>125</v>
      </c>
      <c r="X244" s="199"/>
      <c r="Y244" s="199"/>
      <c r="Z244" s="199"/>
      <c r="AA244" s="126" t="s">
        <v>6</v>
      </c>
      <c r="AB244" s="198"/>
      <c r="AC244" s="199"/>
      <c r="AD244" s="201" t="s">
        <v>881</v>
      </c>
      <c r="AE244" s="204" t="s">
        <v>125</v>
      </c>
      <c r="AF244" s="199"/>
      <c r="AG244" s="199"/>
      <c r="AH244" s="199"/>
      <c r="AI244" s="126" t="s">
        <v>6</v>
      </c>
      <c r="AJ244" s="198"/>
      <c r="AK244" s="199"/>
      <c r="AL244" s="201" t="s">
        <v>881</v>
      </c>
      <c r="AM244" s="199"/>
      <c r="AN244" s="199"/>
      <c r="AO244" s="199"/>
      <c r="AP244" s="199"/>
      <c r="AQ244" s="199"/>
      <c r="AR244" s="199"/>
      <c r="AS244" s="199"/>
      <c r="AT244" s="199"/>
      <c r="AU244" s="199"/>
      <c r="AV244" s="199"/>
      <c r="AW244" s="155">
        <v>42</v>
      </c>
    </row>
    <row r="245" spans="1:49" s="236" customFormat="1" ht="15">
      <c r="A245" s="40">
        <f t="shared" si="7"/>
        <v>239</v>
      </c>
      <c r="B245" s="199"/>
      <c r="C245" s="199"/>
      <c r="D245" s="199"/>
      <c r="E245" s="199"/>
      <c r="F245" s="199"/>
      <c r="G245" s="199"/>
      <c r="H245" s="199"/>
      <c r="I245" s="199"/>
      <c r="J245" s="412" t="s">
        <v>5402</v>
      </c>
      <c r="K245" s="232" t="s">
        <v>117</v>
      </c>
      <c r="L245" s="204" t="s">
        <v>4562</v>
      </c>
      <c r="M245" s="204"/>
      <c r="N245" s="126" t="s">
        <v>504</v>
      </c>
      <c r="O245" s="126"/>
      <c r="P245" s="126"/>
      <c r="Q245" s="126" t="s">
        <v>6</v>
      </c>
      <c r="R245" s="126" t="s">
        <v>6</v>
      </c>
      <c r="S245" s="126" t="s">
        <v>6</v>
      </c>
      <c r="T245" s="126"/>
      <c r="U245" s="204"/>
      <c r="V245" s="204"/>
      <c r="W245" s="204" t="s">
        <v>125</v>
      </c>
      <c r="X245" s="199"/>
      <c r="Y245" s="199"/>
      <c r="Z245" s="199"/>
      <c r="AA245" s="126" t="s">
        <v>6</v>
      </c>
      <c r="AB245" s="198"/>
      <c r="AC245" s="199"/>
      <c r="AD245" s="201"/>
      <c r="AE245" s="204" t="s">
        <v>125</v>
      </c>
      <c r="AF245" s="199"/>
      <c r="AG245" s="199"/>
      <c r="AH245" s="199"/>
      <c r="AI245" s="126" t="s">
        <v>6</v>
      </c>
      <c r="AJ245" s="198"/>
      <c r="AK245" s="199"/>
      <c r="AL245" s="201"/>
      <c r="AM245" s="199"/>
      <c r="AN245" s="199"/>
      <c r="AO245" s="199"/>
      <c r="AP245" s="199"/>
      <c r="AQ245" s="199"/>
      <c r="AR245" s="199"/>
      <c r="AS245" s="199"/>
      <c r="AT245" s="199"/>
      <c r="AU245" s="199"/>
      <c r="AV245" s="199"/>
      <c r="AW245" s="155">
        <v>34</v>
      </c>
    </row>
    <row r="246" spans="1:49" s="20" customFormat="1" ht="15">
      <c r="A246" s="40">
        <f t="shared" si="7"/>
        <v>240</v>
      </c>
      <c r="B246" s="59"/>
      <c r="C246" s="59"/>
      <c r="D246" s="59"/>
      <c r="E246" s="59"/>
      <c r="F246" s="59"/>
      <c r="G246" s="59"/>
      <c r="H246" s="59"/>
      <c r="I246" s="59"/>
      <c r="J246" s="412" t="s">
        <v>5403</v>
      </c>
      <c r="K246" s="232" t="s">
        <v>117</v>
      </c>
      <c r="L246" s="204" t="s">
        <v>1131</v>
      </c>
      <c r="M246" s="204"/>
      <c r="N246" s="126" t="s">
        <v>504</v>
      </c>
      <c r="O246" s="126"/>
      <c r="P246" s="126"/>
      <c r="Q246" s="126" t="s">
        <v>6</v>
      </c>
      <c r="R246" s="126" t="s">
        <v>6</v>
      </c>
      <c r="S246" s="126" t="s">
        <v>6</v>
      </c>
      <c r="T246" s="126"/>
      <c r="U246" s="204"/>
      <c r="V246" s="412" t="s">
        <v>2338</v>
      </c>
      <c r="W246" s="232" t="s">
        <v>125</v>
      </c>
      <c r="X246" s="59"/>
      <c r="Y246" s="59"/>
      <c r="Z246" s="59"/>
      <c r="AA246" s="61" t="s">
        <v>6</v>
      </c>
      <c r="AB246" s="15"/>
      <c r="AC246" s="59"/>
      <c r="AD246" s="59"/>
      <c r="AE246" s="232" t="s">
        <v>125</v>
      </c>
      <c r="AF246" s="59"/>
      <c r="AG246" s="59"/>
      <c r="AH246" s="59"/>
      <c r="AI246" s="61" t="s">
        <v>6</v>
      </c>
      <c r="AJ246" s="15"/>
      <c r="AK246" s="59"/>
      <c r="AL246" s="59"/>
      <c r="AM246" s="59"/>
      <c r="AN246" s="59"/>
      <c r="AO246" s="59"/>
      <c r="AP246" s="59"/>
      <c r="AQ246" s="59"/>
      <c r="AR246" s="59"/>
      <c r="AS246" s="59"/>
      <c r="AT246" s="59"/>
      <c r="AU246" s="59"/>
      <c r="AV246" s="59"/>
      <c r="AW246" s="18">
        <v>28</v>
      </c>
    </row>
    <row r="247" spans="1:49" s="236" customFormat="1" ht="26.4">
      <c r="A247" s="40">
        <f t="shared" si="7"/>
        <v>241</v>
      </c>
      <c r="B247" s="199"/>
      <c r="C247" s="199"/>
      <c r="D247" s="199"/>
      <c r="E247" s="199"/>
      <c r="F247" s="199"/>
      <c r="G247" s="199"/>
      <c r="H247" s="199"/>
      <c r="I247" s="199"/>
      <c r="J247" s="412" t="s">
        <v>5404</v>
      </c>
      <c r="K247" s="232" t="s">
        <v>117</v>
      </c>
      <c r="L247" s="204" t="s">
        <v>1133</v>
      </c>
      <c r="M247" s="204"/>
      <c r="N247" s="126" t="s">
        <v>504</v>
      </c>
      <c r="O247" s="126"/>
      <c r="P247" s="126"/>
      <c r="Q247" s="126" t="s">
        <v>6</v>
      </c>
      <c r="R247" s="126" t="s">
        <v>6</v>
      </c>
      <c r="S247" s="126" t="s">
        <v>6</v>
      </c>
      <c r="T247" s="126"/>
      <c r="U247" s="200" t="s">
        <v>1114</v>
      </c>
      <c r="V247" s="204"/>
      <c r="W247" s="204" t="s">
        <v>125</v>
      </c>
      <c r="X247" s="199"/>
      <c r="Y247" s="199"/>
      <c r="Z247" s="199"/>
      <c r="AA247" s="126" t="s">
        <v>6</v>
      </c>
      <c r="AB247" s="198"/>
      <c r="AC247" s="199"/>
      <c r="AD247" s="201"/>
      <c r="AE247" s="204" t="s">
        <v>125</v>
      </c>
      <c r="AF247" s="199"/>
      <c r="AG247" s="199"/>
      <c r="AH247" s="199"/>
      <c r="AI247" s="126" t="s">
        <v>6</v>
      </c>
      <c r="AJ247" s="198"/>
      <c r="AK247" s="199"/>
      <c r="AL247" s="201"/>
      <c r="AM247" s="199"/>
      <c r="AN247" s="199"/>
      <c r="AO247" s="199"/>
      <c r="AP247" s="199"/>
      <c r="AQ247" s="199"/>
      <c r="AR247" s="199"/>
      <c r="AS247" s="199"/>
      <c r="AT247" s="199"/>
      <c r="AU247" s="199"/>
      <c r="AV247" s="199"/>
      <c r="AW247" s="155">
        <v>35</v>
      </c>
    </row>
    <row r="248" spans="1:49" s="236" customFormat="1" ht="26.4">
      <c r="A248" s="40">
        <f t="shared" si="7"/>
        <v>242</v>
      </c>
      <c r="B248" s="199"/>
      <c r="C248" s="199"/>
      <c r="D248" s="199"/>
      <c r="E248" s="199"/>
      <c r="F248" s="199"/>
      <c r="G248" s="199"/>
      <c r="H248" s="199"/>
      <c r="I248" s="199"/>
      <c r="J248" s="412" t="s">
        <v>5405</v>
      </c>
      <c r="K248" s="232" t="s">
        <v>117</v>
      </c>
      <c r="L248" s="204" t="s">
        <v>1135</v>
      </c>
      <c r="M248" s="204"/>
      <c r="N248" s="126" t="s">
        <v>504</v>
      </c>
      <c r="O248" s="126"/>
      <c r="P248" s="126"/>
      <c r="Q248" s="126" t="s">
        <v>6</v>
      </c>
      <c r="R248" s="126" t="s">
        <v>6</v>
      </c>
      <c r="S248" s="126" t="s">
        <v>6</v>
      </c>
      <c r="T248" s="126"/>
      <c r="U248" s="200" t="s">
        <v>1114</v>
      </c>
      <c r="V248" s="204"/>
      <c r="W248" s="204" t="s">
        <v>125</v>
      </c>
      <c r="X248" s="199"/>
      <c r="Y248" s="199"/>
      <c r="Z248" s="199"/>
      <c r="AA248" s="126" t="s">
        <v>6</v>
      </c>
      <c r="AB248" s="198"/>
      <c r="AC248" s="199"/>
      <c r="AD248" s="199"/>
      <c r="AE248" s="204" t="s">
        <v>125</v>
      </c>
      <c r="AF248" s="199"/>
      <c r="AG248" s="199"/>
      <c r="AH248" s="199"/>
      <c r="AI248" s="126" t="s">
        <v>6</v>
      </c>
      <c r="AJ248" s="198"/>
      <c r="AK248" s="199"/>
      <c r="AL248" s="199"/>
      <c r="AM248" s="199"/>
      <c r="AN248" s="199"/>
      <c r="AO248" s="199"/>
      <c r="AP248" s="199"/>
      <c r="AQ248" s="199"/>
      <c r="AR248" s="199"/>
      <c r="AS248" s="199"/>
      <c r="AT248" s="199"/>
      <c r="AU248" s="199"/>
      <c r="AV248" s="199"/>
      <c r="AW248" s="155">
        <v>35</v>
      </c>
    </row>
    <row r="249" spans="1:49" s="236" customFormat="1" ht="26.4">
      <c r="A249" s="40">
        <f t="shared" si="7"/>
        <v>243</v>
      </c>
      <c r="B249" s="199"/>
      <c r="C249" s="199"/>
      <c r="D249" s="199"/>
      <c r="E249" s="199"/>
      <c r="F249" s="199"/>
      <c r="G249" s="199"/>
      <c r="H249" s="199"/>
      <c r="I249" s="199"/>
      <c r="J249" s="412" t="s">
        <v>5406</v>
      </c>
      <c r="K249" s="232" t="s">
        <v>117</v>
      </c>
      <c r="L249" s="204" t="s">
        <v>1137</v>
      </c>
      <c r="M249" s="204"/>
      <c r="N249" s="126" t="s">
        <v>504</v>
      </c>
      <c r="O249" s="126"/>
      <c r="P249" s="126"/>
      <c r="Q249" s="126" t="s">
        <v>6</v>
      </c>
      <c r="R249" s="126" t="s">
        <v>6</v>
      </c>
      <c r="S249" s="126" t="s">
        <v>6</v>
      </c>
      <c r="T249" s="126"/>
      <c r="U249" s="200" t="s">
        <v>1114</v>
      </c>
      <c r="V249" s="204"/>
      <c r="W249" s="204" t="s">
        <v>125</v>
      </c>
      <c r="X249" s="199"/>
      <c r="Y249" s="199"/>
      <c r="Z249" s="199"/>
      <c r="AA249" s="126" t="s">
        <v>6</v>
      </c>
      <c r="AB249" s="198"/>
      <c r="AC249" s="199"/>
      <c r="AD249" s="199"/>
      <c r="AE249" s="204" t="s">
        <v>125</v>
      </c>
      <c r="AF249" s="199"/>
      <c r="AG249" s="199"/>
      <c r="AH249" s="199"/>
      <c r="AI249" s="126" t="s">
        <v>6</v>
      </c>
      <c r="AJ249" s="198"/>
      <c r="AK249" s="199"/>
      <c r="AL249" s="199"/>
      <c r="AM249" s="199"/>
      <c r="AN249" s="199"/>
      <c r="AO249" s="199"/>
      <c r="AP249" s="199"/>
      <c r="AQ249" s="199"/>
      <c r="AR249" s="199"/>
      <c r="AS249" s="199"/>
      <c r="AT249" s="199"/>
      <c r="AU249" s="199"/>
      <c r="AV249" s="199"/>
      <c r="AW249" s="155">
        <v>35</v>
      </c>
    </row>
    <row r="250" spans="1:49" s="20" customFormat="1" ht="15">
      <c r="A250" s="40">
        <f t="shared" si="7"/>
        <v>244</v>
      </c>
      <c r="B250" s="59"/>
      <c r="C250" s="59"/>
      <c r="D250" s="59"/>
      <c r="E250" s="59"/>
      <c r="F250" s="59"/>
      <c r="G250" s="59"/>
      <c r="H250" s="59"/>
      <c r="I250" s="59"/>
      <c r="J250" s="412" t="s">
        <v>5407</v>
      </c>
      <c r="K250" s="232" t="s">
        <v>117</v>
      </c>
      <c r="L250" s="204" t="s">
        <v>1139</v>
      </c>
      <c r="M250" s="204"/>
      <c r="N250" s="126" t="s">
        <v>504</v>
      </c>
      <c r="O250" s="126"/>
      <c r="P250" s="126"/>
      <c r="Q250" s="126" t="s">
        <v>6</v>
      </c>
      <c r="R250" s="126" t="s">
        <v>6</v>
      </c>
      <c r="S250" s="126" t="s">
        <v>6</v>
      </c>
      <c r="T250" s="126"/>
      <c r="U250" s="204"/>
      <c r="V250" s="412" t="s">
        <v>2338</v>
      </c>
      <c r="W250" s="232" t="s">
        <v>125</v>
      </c>
      <c r="X250" s="59"/>
      <c r="Y250" s="59"/>
      <c r="Z250" s="59"/>
      <c r="AA250" s="61" t="s">
        <v>6</v>
      </c>
      <c r="AB250" s="15"/>
      <c r="AC250" s="59"/>
      <c r="AD250" s="59"/>
      <c r="AE250" s="232" t="s">
        <v>125</v>
      </c>
      <c r="AF250" s="59"/>
      <c r="AG250" s="59"/>
      <c r="AH250" s="59"/>
      <c r="AI250" s="61" t="s">
        <v>6</v>
      </c>
      <c r="AJ250" s="15"/>
      <c r="AK250" s="59"/>
      <c r="AL250" s="59"/>
      <c r="AM250" s="59"/>
      <c r="AN250" s="59"/>
      <c r="AO250" s="59"/>
      <c r="AP250" s="59"/>
      <c r="AQ250" s="59"/>
      <c r="AR250" s="59"/>
      <c r="AS250" s="59"/>
      <c r="AT250" s="59"/>
      <c r="AU250" s="59"/>
      <c r="AV250" s="59"/>
      <c r="AW250" s="18">
        <v>28</v>
      </c>
    </row>
    <row r="251" spans="1:49" s="236" customFormat="1" ht="26.4">
      <c r="A251" s="40">
        <f t="shared" si="7"/>
        <v>245</v>
      </c>
      <c r="B251" s="199"/>
      <c r="C251" s="199"/>
      <c r="D251" s="199"/>
      <c r="E251" s="199"/>
      <c r="F251" s="199"/>
      <c r="G251" s="199"/>
      <c r="H251" s="199"/>
      <c r="I251" s="199"/>
      <c r="J251" s="412" t="s">
        <v>5408</v>
      </c>
      <c r="K251" s="232" t="s">
        <v>117</v>
      </c>
      <c r="L251" s="204" t="s">
        <v>1140</v>
      </c>
      <c r="M251" s="204"/>
      <c r="N251" s="126" t="s">
        <v>504</v>
      </c>
      <c r="O251" s="126"/>
      <c r="P251" s="126"/>
      <c r="Q251" s="126" t="s">
        <v>6</v>
      </c>
      <c r="R251" s="126" t="s">
        <v>6</v>
      </c>
      <c r="S251" s="126" t="s">
        <v>6</v>
      </c>
      <c r="T251" s="126"/>
      <c r="U251" s="200" t="s">
        <v>1114</v>
      </c>
      <c r="V251" s="204"/>
      <c r="W251" s="204" t="s">
        <v>125</v>
      </c>
      <c r="X251" s="199"/>
      <c r="Y251" s="199"/>
      <c r="Z251" s="199"/>
      <c r="AA251" s="126" t="s">
        <v>6</v>
      </c>
      <c r="AB251" s="198"/>
      <c r="AC251" s="199"/>
      <c r="AD251" s="199"/>
      <c r="AE251" s="204" t="s">
        <v>125</v>
      </c>
      <c r="AF251" s="199"/>
      <c r="AG251" s="199"/>
      <c r="AH251" s="199"/>
      <c r="AI251" s="126" t="s">
        <v>6</v>
      </c>
      <c r="AJ251" s="198"/>
      <c r="AK251" s="199"/>
      <c r="AL251" s="199"/>
      <c r="AM251" s="199"/>
      <c r="AN251" s="199"/>
      <c r="AO251" s="199"/>
      <c r="AP251" s="199"/>
      <c r="AQ251" s="199"/>
      <c r="AR251" s="199"/>
      <c r="AS251" s="199"/>
      <c r="AT251" s="199"/>
      <c r="AU251" s="199"/>
      <c r="AV251" s="199"/>
      <c r="AW251" s="155">
        <v>35</v>
      </c>
    </row>
    <row r="252" spans="1:49" s="236" customFormat="1" ht="26.4">
      <c r="A252" s="40">
        <f t="shared" si="7"/>
        <v>246</v>
      </c>
      <c r="B252" s="199"/>
      <c r="C252" s="199"/>
      <c r="D252" s="199"/>
      <c r="E252" s="199"/>
      <c r="F252" s="199"/>
      <c r="G252" s="199"/>
      <c r="H252" s="199"/>
      <c r="I252" s="199"/>
      <c r="J252" s="412" t="s">
        <v>5409</v>
      </c>
      <c r="K252" s="232" t="s">
        <v>117</v>
      </c>
      <c r="L252" s="204" t="s">
        <v>1141</v>
      </c>
      <c r="M252" s="204"/>
      <c r="N252" s="126" t="s">
        <v>504</v>
      </c>
      <c r="O252" s="126"/>
      <c r="P252" s="126"/>
      <c r="Q252" s="126" t="s">
        <v>6</v>
      </c>
      <c r="R252" s="126" t="s">
        <v>6</v>
      </c>
      <c r="S252" s="126" t="s">
        <v>6</v>
      </c>
      <c r="T252" s="126"/>
      <c r="U252" s="200" t="s">
        <v>1114</v>
      </c>
      <c r="V252" s="204"/>
      <c r="W252" s="204" t="s">
        <v>125</v>
      </c>
      <c r="X252" s="199"/>
      <c r="Y252" s="199"/>
      <c r="Z252" s="199"/>
      <c r="AA252" s="126" t="s">
        <v>6</v>
      </c>
      <c r="AB252" s="198"/>
      <c r="AC252" s="199"/>
      <c r="AD252" s="199"/>
      <c r="AE252" s="204" t="s">
        <v>125</v>
      </c>
      <c r="AF252" s="199"/>
      <c r="AG252" s="199"/>
      <c r="AH252" s="199"/>
      <c r="AI252" s="126" t="s">
        <v>6</v>
      </c>
      <c r="AJ252" s="198"/>
      <c r="AK252" s="199"/>
      <c r="AL252" s="199"/>
      <c r="AM252" s="199"/>
      <c r="AN252" s="199"/>
      <c r="AO252" s="199"/>
      <c r="AP252" s="199"/>
      <c r="AQ252" s="199"/>
      <c r="AR252" s="199"/>
      <c r="AS252" s="199"/>
      <c r="AT252" s="199"/>
      <c r="AU252" s="199"/>
      <c r="AV252" s="199"/>
      <c r="AW252" s="155">
        <v>35</v>
      </c>
    </row>
    <row r="253" spans="1:49" s="236" customFormat="1" ht="26.4">
      <c r="A253" s="40">
        <f t="shared" si="7"/>
        <v>247</v>
      </c>
      <c r="B253" s="199"/>
      <c r="C253" s="199"/>
      <c r="D253" s="199"/>
      <c r="E253" s="199"/>
      <c r="F253" s="199"/>
      <c r="G253" s="199"/>
      <c r="H253" s="199"/>
      <c r="I253" s="199"/>
      <c r="J253" s="412" t="s">
        <v>5410</v>
      </c>
      <c r="K253" s="232" t="s">
        <v>117</v>
      </c>
      <c r="L253" s="204" t="s">
        <v>1142</v>
      </c>
      <c r="M253" s="204"/>
      <c r="N253" s="126" t="s">
        <v>504</v>
      </c>
      <c r="O253" s="126"/>
      <c r="P253" s="126"/>
      <c r="Q253" s="126" t="s">
        <v>6</v>
      </c>
      <c r="R253" s="126" t="s">
        <v>6</v>
      </c>
      <c r="S253" s="126" t="s">
        <v>6</v>
      </c>
      <c r="T253" s="126"/>
      <c r="U253" s="200" t="s">
        <v>1114</v>
      </c>
      <c r="V253" s="204"/>
      <c r="W253" s="204" t="s">
        <v>125</v>
      </c>
      <c r="X253" s="199"/>
      <c r="Y253" s="199"/>
      <c r="Z253" s="199"/>
      <c r="AA253" s="126" t="s">
        <v>6</v>
      </c>
      <c r="AB253" s="198"/>
      <c r="AC253" s="199"/>
      <c r="AD253" s="199"/>
      <c r="AE253" s="204" t="s">
        <v>125</v>
      </c>
      <c r="AF253" s="199"/>
      <c r="AG253" s="199"/>
      <c r="AH253" s="199"/>
      <c r="AI253" s="126" t="s">
        <v>6</v>
      </c>
      <c r="AJ253" s="198"/>
      <c r="AK253" s="199"/>
      <c r="AL253" s="199"/>
      <c r="AM253" s="199"/>
      <c r="AN253" s="199"/>
      <c r="AO253" s="199"/>
      <c r="AP253" s="199"/>
      <c r="AQ253" s="199"/>
      <c r="AR253" s="199"/>
      <c r="AS253" s="199"/>
      <c r="AT253" s="199"/>
      <c r="AU253" s="199"/>
      <c r="AV253" s="199"/>
      <c r="AW253" s="155">
        <v>35</v>
      </c>
    </row>
    <row r="254" spans="1:49" s="20" customFormat="1" ht="15">
      <c r="A254" s="40">
        <f t="shared" si="7"/>
        <v>248</v>
      </c>
      <c r="B254" s="59"/>
      <c r="C254" s="59"/>
      <c r="D254" s="59"/>
      <c r="E254" s="59"/>
      <c r="F254" s="59"/>
      <c r="G254" s="59"/>
      <c r="H254" s="59"/>
      <c r="I254" s="59"/>
      <c r="J254" s="218" t="s">
        <v>2346</v>
      </c>
      <c r="K254" s="204" t="s">
        <v>117</v>
      </c>
      <c r="L254" s="204" t="s">
        <v>1409</v>
      </c>
      <c r="M254" s="204"/>
      <c r="N254" s="126" t="s">
        <v>504</v>
      </c>
      <c r="O254" s="126"/>
      <c r="P254" s="126"/>
      <c r="Q254" s="40"/>
      <c r="R254" s="40" t="s">
        <v>6</v>
      </c>
      <c r="S254" s="126" t="s">
        <v>6</v>
      </c>
      <c r="T254" s="140"/>
      <c r="U254" s="246" t="s">
        <v>5411</v>
      </c>
      <c r="V254" s="15"/>
      <c r="W254" s="59" t="s">
        <v>133</v>
      </c>
      <c r="X254" s="59"/>
      <c r="Y254" s="59"/>
      <c r="Z254" s="40" t="s">
        <v>6</v>
      </c>
      <c r="AA254" s="61"/>
      <c r="AB254" s="215"/>
      <c r="AC254" s="59"/>
      <c r="AD254" s="59"/>
      <c r="AE254" s="59" t="s">
        <v>133</v>
      </c>
      <c r="AF254" s="59"/>
      <c r="AG254" s="59"/>
      <c r="AH254" s="40" t="s">
        <v>6</v>
      </c>
      <c r="AI254" s="61"/>
      <c r="AJ254" s="215"/>
      <c r="AK254" s="59"/>
      <c r="AL254" s="59"/>
      <c r="AM254" s="59"/>
      <c r="AN254" s="59"/>
      <c r="AO254" s="59"/>
      <c r="AP254" s="59"/>
      <c r="AQ254" s="59"/>
      <c r="AR254" s="59"/>
      <c r="AS254" s="59"/>
      <c r="AT254" s="59"/>
      <c r="AU254" s="59"/>
      <c r="AV254" s="59"/>
      <c r="AW254" s="18">
        <v>32</v>
      </c>
    </row>
    <row r="255" spans="1:49" s="20" customFormat="1" ht="26.4">
      <c r="A255" s="40">
        <f t="shared" si="7"/>
        <v>249</v>
      </c>
      <c r="B255" s="59"/>
      <c r="C255" s="59"/>
      <c r="D255" s="59"/>
      <c r="E255" s="59"/>
      <c r="F255" s="59"/>
      <c r="G255" s="59"/>
      <c r="H255" s="59"/>
      <c r="I255" s="59"/>
      <c r="J255" s="218" t="s">
        <v>5412</v>
      </c>
      <c r="K255" s="412" t="s">
        <v>128</v>
      </c>
      <c r="L255" s="204" t="s">
        <v>2377</v>
      </c>
      <c r="M255" s="204"/>
      <c r="N255" s="126" t="s">
        <v>504</v>
      </c>
      <c r="O255" s="126"/>
      <c r="P255" s="126"/>
      <c r="Q255" s="40" t="s">
        <v>6</v>
      </c>
      <c r="R255" s="40" t="s">
        <v>6</v>
      </c>
      <c r="S255" s="126" t="s">
        <v>6</v>
      </c>
      <c r="T255" s="126"/>
      <c r="U255" s="200" t="s">
        <v>3921</v>
      </c>
      <c r="V255" s="206"/>
      <c r="W255" s="232" t="s">
        <v>125</v>
      </c>
      <c r="X255" s="59"/>
      <c r="Y255" s="59"/>
      <c r="Z255" s="59"/>
      <c r="AA255" s="61" t="s">
        <v>6</v>
      </c>
      <c r="AB255" s="15"/>
      <c r="AC255" s="59"/>
      <c r="AD255" s="59"/>
      <c r="AE255" s="232" t="s">
        <v>125</v>
      </c>
      <c r="AF255" s="59"/>
      <c r="AG255" s="59"/>
      <c r="AH255" s="59"/>
      <c r="AI255" s="61" t="s">
        <v>6</v>
      </c>
      <c r="AJ255" s="15"/>
      <c r="AK255" s="59"/>
      <c r="AL255" s="59"/>
      <c r="AM255" s="59"/>
      <c r="AN255" s="59"/>
      <c r="AO255" s="59"/>
      <c r="AP255" s="59"/>
      <c r="AQ255" s="59"/>
      <c r="AR255" s="59"/>
      <c r="AS255" s="59"/>
      <c r="AT255" s="59"/>
      <c r="AU255" s="59"/>
      <c r="AV255" s="59"/>
      <c r="AW255" s="18">
        <v>22</v>
      </c>
    </row>
    <row r="256" spans="1:49" s="20" customFormat="1" ht="15">
      <c r="A256" s="40">
        <f t="shared" si="7"/>
        <v>250</v>
      </c>
      <c r="B256" s="59"/>
      <c r="C256" s="59"/>
      <c r="D256" s="59"/>
      <c r="E256" s="59"/>
      <c r="F256" s="59"/>
      <c r="G256" s="59"/>
      <c r="H256" s="59"/>
      <c r="I256" s="59"/>
      <c r="J256" s="218" t="s">
        <v>5413</v>
      </c>
      <c r="K256" s="412" t="s">
        <v>65</v>
      </c>
      <c r="L256" s="204" t="s">
        <v>5414</v>
      </c>
      <c r="M256" s="204"/>
      <c r="N256" s="40" t="s">
        <v>504</v>
      </c>
      <c r="O256" s="59"/>
      <c r="P256" s="59"/>
      <c r="Q256" s="40"/>
      <c r="R256" s="40" t="s">
        <v>6</v>
      </c>
      <c r="S256" s="40" t="s">
        <v>6</v>
      </c>
      <c r="T256" s="126"/>
      <c r="U256" s="204"/>
      <c r="V256" s="206"/>
      <c r="W256" s="204" t="s">
        <v>125</v>
      </c>
      <c r="X256" s="59"/>
      <c r="Y256" s="59"/>
      <c r="Z256" s="59"/>
      <c r="AA256" s="40" t="s">
        <v>6</v>
      </c>
      <c r="AB256" s="15"/>
      <c r="AC256" s="59"/>
      <c r="AD256" s="59"/>
      <c r="AE256" s="204" t="s">
        <v>125</v>
      </c>
      <c r="AF256" s="59"/>
      <c r="AG256" s="59"/>
      <c r="AH256" s="59"/>
      <c r="AI256" s="40" t="s">
        <v>6</v>
      </c>
      <c r="AJ256" s="15"/>
      <c r="AK256" s="59"/>
      <c r="AL256" s="59"/>
      <c r="AM256" s="59"/>
      <c r="AN256" s="59"/>
      <c r="AO256" s="59"/>
      <c r="AP256" s="59"/>
      <c r="AQ256" s="59"/>
      <c r="AR256" s="59"/>
      <c r="AS256" s="59"/>
      <c r="AT256" s="59"/>
      <c r="AU256" s="59"/>
      <c r="AV256" s="59"/>
      <c r="AW256" s="18">
        <v>17</v>
      </c>
    </row>
    <row r="257" spans="1:49" s="236" customFormat="1" ht="15">
      <c r="A257" s="40">
        <f t="shared" si="7"/>
        <v>251</v>
      </c>
      <c r="B257" s="199"/>
      <c r="C257" s="199"/>
      <c r="D257" s="199"/>
      <c r="E257" s="199"/>
      <c r="F257" s="199"/>
      <c r="G257" s="199"/>
      <c r="H257" s="199"/>
      <c r="I257" s="199"/>
      <c r="J257" s="412" t="s">
        <v>2383</v>
      </c>
      <c r="K257" s="412" t="s">
        <v>103</v>
      </c>
      <c r="L257" s="204" t="s">
        <v>1144</v>
      </c>
      <c r="M257" s="204"/>
      <c r="N257" s="126" t="s">
        <v>504</v>
      </c>
      <c r="O257" s="126"/>
      <c r="P257" s="126"/>
      <c r="Q257" s="126" t="s">
        <v>6</v>
      </c>
      <c r="R257" s="126" t="s">
        <v>6</v>
      </c>
      <c r="S257" s="126" t="s">
        <v>6</v>
      </c>
      <c r="T257" s="126"/>
      <c r="U257" s="204"/>
      <c r="V257" s="204"/>
      <c r="W257" s="412" t="s">
        <v>100</v>
      </c>
      <c r="X257" s="199"/>
      <c r="Y257" s="199"/>
      <c r="Z257" s="199"/>
      <c r="AA257" s="126" t="s">
        <v>6</v>
      </c>
      <c r="AB257" s="198"/>
      <c r="AC257" s="199"/>
      <c r="AD257" s="199"/>
      <c r="AE257" s="412" t="s">
        <v>100</v>
      </c>
      <c r="AF257" s="199"/>
      <c r="AG257" s="199"/>
      <c r="AH257" s="199"/>
      <c r="AI257" s="126" t="s">
        <v>6</v>
      </c>
      <c r="AJ257" s="198"/>
      <c r="AK257" s="199"/>
      <c r="AL257" s="199"/>
      <c r="AM257" s="199"/>
      <c r="AN257" s="199"/>
      <c r="AO257" s="199"/>
      <c r="AP257" s="199"/>
      <c r="AQ257" s="199"/>
      <c r="AR257" s="199"/>
      <c r="AS257" s="199"/>
      <c r="AT257" s="199"/>
      <c r="AU257" s="199"/>
      <c r="AV257" s="199"/>
      <c r="AW257" s="155">
        <v>20</v>
      </c>
    </row>
    <row r="258" spans="1:49" s="236" customFormat="1" ht="26.4">
      <c r="A258" s="40">
        <f t="shared" si="7"/>
        <v>252</v>
      </c>
      <c r="B258" s="199"/>
      <c r="C258" s="199"/>
      <c r="D258" s="199"/>
      <c r="E258" s="199"/>
      <c r="F258" s="199"/>
      <c r="G258" s="199"/>
      <c r="H258" s="199"/>
      <c r="I258" s="199"/>
      <c r="J258" s="412" t="s">
        <v>5415</v>
      </c>
      <c r="K258" s="412" t="s">
        <v>103</v>
      </c>
      <c r="L258" s="204" t="s">
        <v>1146</v>
      </c>
      <c r="M258" s="204"/>
      <c r="N258" s="126" t="s">
        <v>504</v>
      </c>
      <c r="O258" s="126"/>
      <c r="P258" s="126"/>
      <c r="Q258" s="126" t="s">
        <v>6</v>
      </c>
      <c r="R258" s="126" t="s">
        <v>6</v>
      </c>
      <c r="S258" s="126" t="s">
        <v>6</v>
      </c>
      <c r="T258" s="126"/>
      <c r="U258" s="200" t="s">
        <v>1114</v>
      </c>
      <c r="V258" s="204"/>
      <c r="W258" s="412" t="s">
        <v>100</v>
      </c>
      <c r="X258" s="199"/>
      <c r="Y258" s="199"/>
      <c r="Z258" s="199"/>
      <c r="AA258" s="126" t="s">
        <v>6</v>
      </c>
      <c r="AB258" s="198"/>
      <c r="AC258" s="199"/>
      <c r="AD258" s="199"/>
      <c r="AE258" s="412" t="s">
        <v>100</v>
      </c>
      <c r="AF258" s="199"/>
      <c r="AG258" s="199"/>
      <c r="AH258" s="199"/>
      <c r="AI258" s="126" t="s">
        <v>6</v>
      </c>
      <c r="AJ258" s="198"/>
      <c r="AK258" s="199"/>
      <c r="AL258" s="199"/>
      <c r="AM258" s="199"/>
      <c r="AN258" s="199"/>
      <c r="AO258" s="199"/>
      <c r="AP258" s="199"/>
      <c r="AQ258" s="199"/>
      <c r="AR258" s="199"/>
      <c r="AS258" s="199"/>
      <c r="AT258" s="199"/>
      <c r="AU258" s="199"/>
      <c r="AV258" s="199"/>
      <c r="AW258" s="155">
        <v>27</v>
      </c>
    </row>
    <row r="259" spans="1:49" s="236" customFormat="1" ht="26.4">
      <c r="A259" s="40">
        <f t="shared" si="7"/>
        <v>253</v>
      </c>
      <c r="B259" s="199"/>
      <c r="C259" s="199"/>
      <c r="D259" s="199"/>
      <c r="E259" s="199"/>
      <c r="F259" s="199"/>
      <c r="G259" s="199"/>
      <c r="H259" s="199"/>
      <c r="I259" s="199"/>
      <c r="J259" s="412" t="s">
        <v>5416</v>
      </c>
      <c r="K259" s="412" t="s">
        <v>103</v>
      </c>
      <c r="L259" s="204" t="s">
        <v>1148</v>
      </c>
      <c r="M259" s="204"/>
      <c r="N259" s="126" t="s">
        <v>504</v>
      </c>
      <c r="O259" s="126"/>
      <c r="P259" s="126"/>
      <c r="Q259" s="126" t="s">
        <v>6</v>
      </c>
      <c r="R259" s="126" t="s">
        <v>6</v>
      </c>
      <c r="S259" s="126" t="s">
        <v>6</v>
      </c>
      <c r="T259" s="126"/>
      <c r="U259" s="200" t="s">
        <v>1114</v>
      </c>
      <c r="V259" s="204"/>
      <c r="W259" s="412" t="s">
        <v>100</v>
      </c>
      <c r="X259" s="199"/>
      <c r="Y259" s="199"/>
      <c r="Z259" s="199"/>
      <c r="AA259" s="126" t="s">
        <v>6</v>
      </c>
      <c r="AB259" s="198"/>
      <c r="AC259" s="199"/>
      <c r="AD259" s="199"/>
      <c r="AE259" s="412" t="s">
        <v>100</v>
      </c>
      <c r="AF259" s="199"/>
      <c r="AG259" s="199"/>
      <c r="AH259" s="199"/>
      <c r="AI259" s="126" t="s">
        <v>6</v>
      </c>
      <c r="AJ259" s="198"/>
      <c r="AK259" s="199"/>
      <c r="AL259" s="199"/>
      <c r="AM259" s="199"/>
      <c r="AN259" s="199"/>
      <c r="AO259" s="199"/>
      <c r="AP259" s="199"/>
      <c r="AQ259" s="199"/>
      <c r="AR259" s="199"/>
      <c r="AS259" s="199"/>
      <c r="AT259" s="199"/>
      <c r="AU259" s="199"/>
      <c r="AV259" s="199"/>
      <c r="AW259" s="155">
        <v>27</v>
      </c>
    </row>
    <row r="260" spans="1:49" s="236" customFormat="1" ht="26.4">
      <c r="A260" s="40">
        <f t="shared" si="7"/>
        <v>254</v>
      </c>
      <c r="B260" s="199"/>
      <c r="C260" s="199"/>
      <c r="D260" s="199"/>
      <c r="E260" s="199"/>
      <c r="F260" s="199"/>
      <c r="G260" s="199"/>
      <c r="H260" s="199"/>
      <c r="I260" s="199"/>
      <c r="J260" s="412" t="s">
        <v>5417</v>
      </c>
      <c r="K260" s="412" t="s">
        <v>103</v>
      </c>
      <c r="L260" s="204" t="s">
        <v>1150</v>
      </c>
      <c r="M260" s="204"/>
      <c r="N260" s="126" t="s">
        <v>504</v>
      </c>
      <c r="O260" s="126"/>
      <c r="P260" s="126"/>
      <c r="Q260" s="126" t="s">
        <v>6</v>
      </c>
      <c r="R260" s="126" t="s">
        <v>6</v>
      </c>
      <c r="S260" s="126" t="s">
        <v>6</v>
      </c>
      <c r="T260" s="126"/>
      <c r="U260" s="200" t="s">
        <v>1114</v>
      </c>
      <c r="V260" s="204"/>
      <c r="W260" s="412" t="s">
        <v>100</v>
      </c>
      <c r="X260" s="199"/>
      <c r="Y260" s="199"/>
      <c r="Z260" s="199"/>
      <c r="AA260" s="126" t="s">
        <v>6</v>
      </c>
      <c r="AB260" s="198"/>
      <c r="AC260" s="199"/>
      <c r="AD260" s="199"/>
      <c r="AE260" s="412" t="s">
        <v>100</v>
      </c>
      <c r="AF260" s="199"/>
      <c r="AG260" s="199"/>
      <c r="AH260" s="199"/>
      <c r="AI260" s="126" t="s">
        <v>6</v>
      </c>
      <c r="AJ260" s="198"/>
      <c r="AK260" s="199"/>
      <c r="AL260" s="199"/>
      <c r="AM260" s="199"/>
      <c r="AN260" s="199"/>
      <c r="AO260" s="199"/>
      <c r="AP260" s="199"/>
      <c r="AQ260" s="199"/>
      <c r="AR260" s="199"/>
      <c r="AS260" s="199"/>
      <c r="AT260" s="199"/>
      <c r="AU260" s="199"/>
      <c r="AV260" s="199"/>
      <c r="AW260" s="155">
        <v>27</v>
      </c>
    </row>
    <row r="261" spans="1:49" s="236" customFormat="1" ht="15">
      <c r="A261" s="40">
        <f t="shared" si="7"/>
        <v>255</v>
      </c>
      <c r="B261" s="199"/>
      <c r="C261" s="199"/>
      <c r="D261" s="199"/>
      <c r="E261" s="199"/>
      <c r="F261" s="199"/>
      <c r="G261" s="199"/>
      <c r="H261" s="199"/>
      <c r="I261" s="199"/>
      <c r="J261" s="412" t="s">
        <v>2388</v>
      </c>
      <c r="K261" s="412" t="s">
        <v>103</v>
      </c>
      <c r="L261" s="204" t="s">
        <v>1152</v>
      </c>
      <c r="M261" s="204"/>
      <c r="N261" s="126" t="s">
        <v>504</v>
      </c>
      <c r="O261" s="126"/>
      <c r="P261" s="126"/>
      <c r="Q261" s="126" t="s">
        <v>6</v>
      </c>
      <c r="R261" s="126" t="s">
        <v>6</v>
      </c>
      <c r="S261" s="126" t="s">
        <v>6</v>
      </c>
      <c r="T261" s="126"/>
      <c r="U261" s="204"/>
      <c r="V261" s="204"/>
      <c r="W261" s="412" t="s">
        <v>100</v>
      </c>
      <c r="X261" s="199"/>
      <c r="Y261" s="199"/>
      <c r="Z261" s="199"/>
      <c r="AA261" s="126" t="s">
        <v>6</v>
      </c>
      <c r="AB261" s="198"/>
      <c r="AC261" s="199"/>
      <c r="AD261" s="199"/>
      <c r="AE261" s="412" t="s">
        <v>100</v>
      </c>
      <c r="AF261" s="199"/>
      <c r="AG261" s="199"/>
      <c r="AH261" s="199"/>
      <c r="AI261" s="126" t="s">
        <v>6</v>
      </c>
      <c r="AJ261" s="198"/>
      <c r="AK261" s="199"/>
      <c r="AL261" s="199"/>
      <c r="AM261" s="199"/>
      <c r="AN261" s="199"/>
      <c r="AO261" s="199"/>
      <c r="AP261" s="199"/>
      <c r="AQ261" s="199"/>
      <c r="AR261" s="199"/>
      <c r="AS261" s="199"/>
      <c r="AT261" s="199"/>
      <c r="AU261" s="199"/>
      <c r="AV261" s="199"/>
      <c r="AW261" s="155">
        <v>20</v>
      </c>
    </row>
    <row r="262" spans="1:49" s="236" customFormat="1" ht="26.4">
      <c r="A262" s="40">
        <f t="shared" si="7"/>
        <v>256</v>
      </c>
      <c r="B262" s="199"/>
      <c r="C262" s="199"/>
      <c r="D262" s="199"/>
      <c r="E262" s="199"/>
      <c r="F262" s="199"/>
      <c r="G262" s="199"/>
      <c r="H262" s="199"/>
      <c r="I262" s="199"/>
      <c r="J262" s="412" t="s">
        <v>5418</v>
      </c>
      <c r="K262" s="412" t="s">
        <v>103</v>
      </c>
      <c r="L262" s="204" t="s">
        <v>1154</v>
      </c>
      <c r="M262" s="204"/>
      <c r="N262" s="126" t="s">
        <v>504</v>
      </c>
      <c r="O262" s="126"/>
      <c r="P262" s="126"/>
      <c r="Q262" s="126" t="s">
        <v>6</v>
      </c>
      <c r="R262" s="126" t="s">
        <v>6</v>
      </c>
      <c r="S262" s="126" t="s">
        <v>6</v>
      </c>
      <c r="T262" s="126"/>
      <c r="U262" s="200" t="s">
        <v>1114</v>
      </c>
      <c r="V262" s="204"/>
      <c r="W262" s="412" t="s">
        <v>100</v>
      </c>
      <c r="X262" s="199"/>
      <c r="Y262" s="199"/>
      <c r="Z262" s="199"/>
      <c r="AA262" s="126" t="s">
        <v>6</v>
      </c>
      <c r="AB262" s="198"/>
      <c r="AC262" s="199"/>
      <c r="AD262" s="199"/>
      <c r="AE262" s="412" t="s">
        <v>100</v>
      </c>
      <c r="AF262" s="199"/>
      <c r="AG262" s="199"/>
      <c r="AH262" s="199"/>
      <c r="AI262" s="126" t="s">
        <v>6</v>
      </c>
      <c r="AJ262" s="198"/>
      <c r="AK262" s="199"/>
      <c r="AL262" s="199"/>
      <c r="AM262" s="199"/>
      <c r="AN262" s="199"/>
      <c r="AO262" s="199"/>
      <c r="AP262" s="199"/>
      <c r="AQ262" s="199"/>
      <c r="AR262" s="199"/>
      <c r="AS262" s="199"/>
      <c r="AT262" s="199"/>
      <c r="AU262" s="199"/>
      <c r="AV262" s="199"/>
      <c r="AW262" s="155">
        <v>27</v>
      </c>
    </row>
    <row r="263" spans="1:49" s="236" customFormat="1" ht="26.4">
      <c r="A263" s="40">
        <f t="shared" si="7"/>
        <v>257</v>
      </c>
      <c r="B263" s="199"/>
      <c r="C263" s="199"/>
      <c r="D263" s="199"/>
      <c r="E263" s="199"/>
      <c r="F263" s="199"/>
      <c r="G263" s="199"/>
      <c r="H263" s="199"/>
      <c r="I263" s="199"/>
      <c r="J263" s="412" t="s">
        <v>5419</v>
      </c>
      <c r="K263" s="412" t="s">
        <v>103</v>
      </c>
      <c r="L263" s="204" t="s">
        <v>1156</v>
      </c>
      <c r="M263" s="204"/>
      <c r="N263" s="126" t="s">
        <v>504</v>
      </c>
      <c r="O263" s="126"/>
      <c r="P263" s="126"/>
      <c r="Q263" s="126" t="s">
        <v>6</v>
      </c>
      <c r="R263" s="126" t="s">
        <v>6</v>
      </c>
      <c r="S263" s="126" t="s">
        <v>6</v>
      </c>
      <c r="T263" s="126"/>
      <c r="U263" s="200" t="s">
        <v>1114</v>
      </c>
      <c r="V263" s="204"/>
      <c r="W263" s="412" t="s">
        <v>100</v>
      </c>
      <c r="X263" s="199"/>
      <c r="Y263" s="199"/>
      <c r="Z263" s="199"/>
      <c r="AA263" s="126" t="s">
        <v>6</v>
      </c>
      <c r="AB263" s="198"/>
      <c r="AC263" s="199"/>
      <c r="AD263" s="199"/>
      <c r="AE263" s="412" t="s">
        <v>100</v>
      </c>
      <c r="AF263" s="199"/>
      <c r="AG263" s="199"/>
      <c r="AH263" s="199"/>
      <c r="AI263" s="126" t="s">
        <v>6</v>
      </c>
      <c r="AJ263" s="198"/>
      <c r="AK263" s="199"/>
      <c r="AL263" s="199"/>
      <c r="AM263" s="199"/>
      <c r="AN263" s="199"/>
      <c r="AO263" s="199"/>
      <c r="AP263" s="199"/>
      <c r="AQ263" s="199"/>
      <c r="AR263" s="199"/>
      <c r="AS263" s="199"/>
      <c r="AT263" s="199"/>
      <c r="AU263" s="199"/>
      <c r="AV263" s="199"/>
      <c r="AW263" s="155">
        <v>27</v>
      </c>
    </row>
    <row r="264" spans="1:49" s="236" customFormat="1" ht="26.4">
      <c r="A264" s="40">
        <f t="shared" si="7"/>
        <v>258</v>
      </c>
      <c r="B264" s="199"/>
      <c r="C264" s="199"/>
      <c r="D264" s="199"/>
      <c r="E264" s="199"/>
      <c r="F264" s="199"/>
      <c r="G264" s="199"/>
      <c r="H264" s="199"/>
      <c r="I264" s="199"/>
      <c r="J264" s="412" t="s">
        <v>5420</v>
      </c>
      <c r="K264" s="412" t="s">
        <v>103</v>
      </c>
      <c r="L264" s="204" t="s">
        <v>1158</v>
      </c>
      <c r="M264" s="204"/>
      <c r="N264" s="126" t="s">
        <v>504</v>
      </c>
      <c r="O264" s="126"/>
      <c r="P264" s="126"/>
      <c r="Q264" s="126" t="s">
        <v>6</v>
      </c>
      <c r="R264" s="126" t="s">
        <v>6</v>
      </c>
      <c r="S264" s="126" t="s">
        <v>6</v>
      </c>
      <c r="T264" s="126"/>
      <c r="U264" s="200" t="s">
        <v>1114</v>
      </c>
      <c r="V264" s="204"/>
      <c r="W264" s="412" t="s">
        <v>100</v>
      </c>
      <c r="X264" s="199"/>
      <c r="Y264" s="199"/>
      <c r="Z264" s="199"/>
      <c r="AA264" s="126" t="s">
        <v>6</v>
      </c>
      <c r="AB264" s="198"/>
      <c r="AC264" s="199"/>
      <c r="AD264" s="199"/>
      <c r="AE264" s="412" t="s">
        <v>100</v>
      </c>
      <c r="AF264" s="199"/>
      <c r="AG264" s="199"/>
      <c r="AH264" s="199"/>
      <c r="AI264" s="126" t="s">
        <v>6</v>
      </c>
      <c r="AJ264" s="198"/>
      <c r="AK264" s="199"/>
      <c r="AL264" s="199"/>
      <c r="AM264" s="199"/>
      <c r="AN264" s="199"/>
      <c r="AO264" s="199"/>
      <c r="AP264" s="199"/>
      <c r="AQ264" s="199"/>
      <c r="AR264" s="199"/>
      <c r="AS264" s="199"/>
      <c r="AT264" s="199"/>
      <c r="AU264" s="199"/>
      <c r="AV264" s="199"/>
      <c r="AW264" s="155">
        <v>27</v>
      </c>
    </row>
    <row r="265" spans="1:49" s="236" customFormat="1" ht="15">
      <c r="A265" s="40">
        <f t="shared" si="7"/>
        <v>259</v>
      </c>
      <c r="B265" s="199"/>
      <c r="C265" s="199"/>
      <c r="D265" s="199"/>
      <c r="E265" s="199"/>
      <c r="F265" s="199"/>
      <c r="G265" s="199"/>
      <c r="H265" s="199"/>
      <c r="I265" s="199"/>
      <c r="J265" s="412" t="s">
        <v>5421</v>
      </c>
      <c r="K265" s="412" t="s">
        <v>140</v>
      </c>
      <c r="L265" s="204" t="s">
        <v>1160</v>
      </c>
      <c r="M265" s="204"/>
      <c r="N265" s="126" t="s">
        <v>504</v>
      </c>
      <c r="O265" s="126"/>
      <c r="P265" s="126"/>
      <c r="Q265" s="126" t="s">
        <v>6</v>
      </c>
      <c r="R265" s="126" t="s">
        <v>6</v>
      </c>
      <c r="S265" s="126" t="s">
        <v>6</v>
      </c>
      <c r="T265" s="126"/>
      <c r="U265" s="204"/>
      <c r="V265" s="204"/>
      <c r="W265" s="412" t="s">
        <v>137</v>
      </c>
      <c r="X265" s="199"/>
      <c r="Y265" s="199"/>
      <c r="Z265" s="199"/>
      <c r="AA265" s="126" t="s">
        <v>6</v>
      </c>
      <c r="AB265" s="198"/>
      <c r="AC265" s="199"/>
      <c r="AD265" s="199"/>
      <c r="AE265" s="412" t="s">
        <v>137</v>
      </c>
      <c r="AF265" s="199"/>
      <c r="AG265" s="199"/>
      <c r="AH265" s="199"/>
      <c r="AI265" s="126" t="s">
        <v>6</v>
      </c>
      <c r="AJ265" s="198"/>
      <c r="AK265" s="199"/>
      <c r="AL265" s="199"/>
      <c r="AM265" s="199"/>
      <c r="AN265" s="199"/>
      <c r="AO265" s="199"/>
      <c r="AP265" s="199"/>
      <c r="AQ265" s="199"/>
      <c r="AR265" s="199"/>
      <c r="AS265" s="199"/>
      <c r="AT265" s="199"/>
      <c r="AU265" s="199"/>
      <c r="AV265" s="199"/>
      <c r="AW265" s="155">
        <v>24</v>
      </c>
    </row>
    <row r="266" spans="1:49" s="236" customFormat="1" ht="26.4">
      <c r="A266" s="40">
        <f t="shared" si="7"/>
        <v>260</v>
      </c>
      <c r="B266" s="199"/>
      <c r="C266" s="199"/>
      <c r="D266" s="199"/>
      <c r="E266" s="199"/>
      <c r="F266" s="199"/>
      <c r="G266" s="199"/>
      <c r="H266" s="199"/>
      <c r="I266" s="199"/>
      <c r="J266" s="412" t="s">
        <v>5422</v>
      </c>
      <c r="K266" s="412" t="s">
        <v>140</v>
      </c>
      <c r="L266" s="204" t="s">
        <v>1162</v>
      </c>
      <c r="M266" s="204"/>
      <c r="N266" s="126" t="s">
        <v>504</v>
      </c>
      <c r="O266" s="126"/>
      <c r="P266" s="126"/>
      <c r="Q266" s="126" t="s">
        <v>6</v>
      </c>
      <c r="R266" s="126" t="s">
        <v>6</v>
      </c>
      <c r="S266" s="126" t="s">
        <v>6</v>
      </c>
      <c r="T266" s="126"/>
      <c r="U266" s="200" t="s">
        <v>1114</v>
      </c>
      <c r="V266" s="204"/>
      <c r="W266" s="412" t="s">
        <v>137</v>
      </c>
      <c r="X266" s="199"/>
      <c r="Y266" s="199"/>
      <c r="Z266" s="199"/>
      <c r="AA266" s="126" t="s">
        <v>6</v>
      </c>
      <c r="AB266" s="198"/>
      <c r="AC266" s="199"/>
      <c r="AD266" s="199"/>
      <c r="AE266" s="412" t="s">
        <v>137</v>
      </c>
      <c r="AF266" s="199"/>
      <c r="AG266" s="199"/>
      <c r="AH266" s="199"/>
      <c r="AI266" s="126" t="s">
        <v>6</v>
      </c>
      <c r="AJ266" s="198"/>
      <c r="AK266" s="199"/>
      <c r="AL266" s="199"/>
      <c r="AM266" s="199"/>
      <c r="AN266" s="199"/>
      <c r="AO266" s="199"/>
      <c r="AP266" s="199"/>
      <c r="AQ266" s="199"/>
      <c r="AR266" s="199"/>
      <c r="AS266" s="199"/>
      <c r="AT266" s="199"/>
      <c r="AU266" s="199"/>
      <c r="AV266" s="199"/>
      <c r="AW266" s="155">
        <v>31</v>
      </c>
    </row>
    <row r="267" spans="1:49" s="236" customFormat="1" ht="26.4">
      <c r="A267" s="40">
        <f t="shared" si="7"/>
        <v>261</v>
      </c>
      <c r="B267" s="199"/>
      <c r="C267" s="199"/>
      <c r="D267" s="199"/>
      <c r="E267" s="199"/>
      <c r="F267" s="199"/>
      <c r="G267" s="199"/>
      <c r="H267" s="199"/>
      <c r="I267" s="199"/>
      <c r="J267" s="412" t="s">
        <v>5423</v>
      </c>
      <c r="K267" s="412" t="s">
        <v>140</v>
      </c>
      <c r="L267" s="204" t="s">
        <v>1164</v>
      </c>
      <c r="M267" s="204"/>
      <c r="N267" s="126" t="s">
        <v>504</v>
      </c>
      <c r="O267" s="126"/>
      <c r="P267" s="126"/>
      <c r="Q267" s="126" t="s">
        <v>6</v>
      </c>
      <c r="R267" s="126" t="s">
        <v>6</v>
      </c>
      <c r="S267" s="126" t="s">
        <v>6</v>
      </c>
      <c r="T267" s="126"/>
      <c r="U267" s="200" t="s">
        <v>1114</v>
      </c>
      <c r="V267" s="204"/>
      <c r="W267" s="412" t="s">
        <v>137</v>
      </c>
      <c r="X267" s="199"/>
      <c r="Y267" s="199"/>
      <c r="Z267" s="199"/>
      <c r="AA267" s="126" t="s">
        <v>6</v>
      </c>
      <c r="AB267" s="198"/>
      <c r="AC267" s="199"/>
      <c r="AD267" s="199"/>
      <c r="AE267" s="412" t="s">
        <v>137</v>
      </c>
      <c r="AF267" s="199"/>
      <c r="AG267" s="199"/>
      <c r="AH267" s="199"/>
      <c r="AI267" s="126" t="s">
        <v>6</v>
      </c>
      <c r="AJ267" s="198"/>
      <c r="AK267" s="199"/>
      <c r="AL267" s="199"/>
      <c r="AM267" s="199"/>
      <c r="AN267" s="199"/>
      <c r="AO267" s="199"/>
      <c r="AP267" s="199"/>
      <c r="AQ267" s="199"/>
      <c r="AR267" s="199"/>
      <c r="AS267" s="199"/>
      <c r="AT267" s="199"/>
      <c r="AU267" s="199"/>
      <c r="AV267" s="199"/>
      <c r="AW267" s="155">
        <v>31</v>
      </c>
    </row>
    <row r="268" spans="1:49" s="236" customFormat="1" ht="26.4">
      <c r="A268" s="40">
        <f t="shared" si="7"/>
        <v>262</v>
      </c>
      <c r="B268" s="199"/>
      <c r="C268" s="199"/>
      <c r="D268" s="199"/>
      <c r="E268" s="199"/>
      <c r="F268" s="199"/>
      <c r="G268" s="199"/>
      <c r="H268" s="199"/>
      <c r="I268" s="199"/>
      <c r="J268" s="412" t="s">
        <v>5424</v>
      </c>
      <c r="K268" s="412" t="s">
        <v>140</v>
      </c>
      <c r="L268" s="204" t="s">
        <v>1166</v>
      </c>
      <c r="M268" s="204"/>
      <c r="N268" s="126" t="s">
        <v>504</v>
      </c>
      <c r="O268" s="126"/>
      <c r="P268" s="126"/>
      <c r="Q268" s="126" t="s">
        <v>6</v>
      </c>
      <c r="R268" s="126" t="s">
        <v>6</v>
      </c>
      <c r="S268" s="126" t="s">
        <v>6</v>
      </c>
      <c r="T268" s="126"/>
      <c r="U268" s="200" t="s">
        <v>1114</v>
      </c>
      <c r="V268" s="204"/>
      <c r="W268" s="412" t="s">
        <v>137</v>
      </c>
      <c r="X268" s="199"/>
      <c r="Y268" s="199"/>
      <c r="Z268" s="199"/>
      <c r="AA268" s="126" t="s">
        <v>6</v>
      </c>
      <c r="AB268" s="198"/>
      <c r="AC268" s="199"/>
      <c r="AD268" s="199"/>
      <c r="AE268" s="412" t="s">
        <v>137</v>
      </c>
      <c r="AF268" s="199"/>
      <c r="AG268" s="199"/>
      <c r="AH268" s="199"/>
      <c r="AI268" s="126" t="s">
        <v>6</v>
      </c>
      <c r="AJ268" s="198"/>
      <c r="AK268" s="199"/>
      <c r="AL268" s="199"/>
      <c r="AM268" s="199"/>
      <c r="AN268" s="199"/>
      <c r="AO268" s="199"/>
      <c r="AP268" s="199"/>
      <c r="AQ268" s="199"/>
      <c r="AR268" s="199"/>
      <c r="AS268" s="199"/>
      <c r="AT268" s="199"/>
      <c r="AU268" s="199"/>
      <c r="AV268" s="199"/>
      <c r="AW268" s="155">
        <v>31</v>
      </c>
    </row>
    <row r="269" spans="1:49" s="236" customFormat="1" ht="15">
      <c r="A269" s="40">
        <f t="shared" si="7"/>
        <v>263</v>
      </c>
      <c r="B269" s="199"/>
      <c r="C269" s="199"/>
      <c r="D269" s="199"/>
      <c r="E269" s="199"/>
      <c r="F269" s="199"/>
      <c r="G269" s="199"/>
      <c r="H269" s="199"/>
      <c r="I269" s="199"/>
      <c r="J269" s="412" t="s">
        <v>5425</v>
      </c>
      <c r="K269" s="412" t="s">
        <v>140</v>
      </c>
      <c r="L269" s="204" t="s">
        <v>1168</v>
      </c>
      <c r="M269" s="204"/>
      <c r="N269" s="126" t="s">
        <v>504</v>
      </c>
      <c r="O269" s="126"/>
      <c r="P269" s="126"/>
      <c r="Q269" s="126" t="s">
        <v>6</v>
      </c>
      <c r="R269" s="126" t="s">
        <v>6</v>
      </c>
      <c r="S269" s="126" t="s">
        <v>6</v>
      </c>
      <c r="T269" s="126"/>
      <c r="U269" s="204"/>
      <c r="V269" s="204"/>
      <c r="W269" s="412" t="s">
        <v>137</v>
      </c>
      <c r="X269" s="199"/>
      <c r="Y269" s="199"/>
      <c r="Z269" s="199"/>
      <c r="AA269" s="126" t="s">
        <v>6</v>
      </c>
      <c r="AB269" s="198"/>
      <c r="AC269" s="199"/>
      <c r="AD269" s="199"/>
      <c r="AE269" s="412" t="s">
        <v>137</v>
      </c>
      <c r="AF269" s="199"/>
      <c r="AG269" s="199"/>
      <c r="AH269" s="199"/>
      <c r="AI269" s="126" t="s">
        <v>6</v>
      </c>
      <c r="AJ269" s="198"/>
      <c r="AK269" s="199"/>
      <c r="AL269" s="199"/>
      <c r="AM269" s="199"/>
      <c r="AN269" s="199"/>
      <c r="AO269" s="199"/>
      <c r="AP269" s="199"/>
      <c r="AQ269" s="199"/>
      <c r="AR269" s="199"/>
      <c r="AS269" s="199"/>
      <c r="AT269" s="199"/>
      <c r="AU269" s="199"/>
      <c r="AV269" s="199"/>
      <c r="AW269" s="155">
        <v>26</v>
      </c>
    </row>
    <row r="270" spans="1:49" s="236" customFormat="1" ht="26.4">
      <c r="A270" s="40">
        <f t="shared" si="7"/>
        <v>264</v>
      </c>
      <c r="B270" s="199"/>
      <c r="C270" s="199"/>
      <c r="D270" s="199"/>
      <c r="E270" s="199"/>
      <c r="F270" s="199"/>
      <c r="G270" s="199"/>
      <c r="H270" s="199"/>
      <c r="I270" s="199"/>
      <c r="J270" s="412" t="s">
        <v>5426</v>
      </c>
      <c r="K270" s="412" t="s">
        <v>140</v>
      </c>
      <c r="L270" s="204" t="s">
        <v>1170</v>
      </c>
      <c r="M270" s="204"/>
      <c r="N270" s="126" t="s">
        <v>504</v>
      </c>
      <c r="O270" s="126"/>
      <c r="P270" s="126"/>
      <c r="Q270" s="126" t="s">
        <v>6</v>
      </c>
      <c r="R270" s="126" t="s">
        <v>6</v>
      </c>
      <c r="S270" s="126" t="s">
        <v>6</v>
      </c>
      <c r="T270" s="126"/>
      <c r="U270" s="200" t="s">
        <v>1114</v>
      </c>
      <c r="V270" s="204"/>
      <c r="W270" s="412" t="s">
        <v>137</v>
      </c>
      <c r="X270" s="199"/>
      <c r="Y270" s="199"/>
      <c r="Z270" s="199"/>
      <c r="AA270" s="126" t="s">
        <v>6</v>
      </c>
      <c r="AB270" s="198"/>
      <c r="AC270" s="199"/>
      <c r="AD270" s="199"/>
      <c r="AE270" s="412" t="s">
        <v>137</v>
      </c>
      <c r="AF270" s="199"/>
      <c r="AG270" s="199"/>
      <c r="AH270" s="199"/>
      <c r="AI270" s="126" t="s">
        <v>6</v>
      </c>
      <c r="AJ270" s="198"/>
      <c r="AK270" s="199"/>
      <c r="AL270" s="199"/>
      <c r="AM270" s="199"/>
      <c r="AN270" s="199"/>
      <c r="AO270" s="199"/>
      <c r="AP270" s="199"/>
      <c r="AQ270" s="199"/>
      <c r="AR270" s="199"/>
      <c r="AS270" s="199"/>
      <c r="AT270" s="199"/>
      <c r="AU270" s="199"/>
      <c r="AV270" s="199"/>
      <c r="AW270" s="155">
        <v>33</v>
      </c>
    </row>
    <row r="271" spans="1:49" s="236" customFormat="1" ht="26.4">
      <c r="A271" s="40">
        <f t="shared" si="7"/>
        <v>265</v>
      </c>
      <c r="B271" s="199"/>
      <c r="C271" s="199"/>
      <c r="D271" s="199"/>
      <c r="E271" s="199"/>
      <c r="F271" s="199"/>
      <c r="G271" s="199"/>
      <c r="H271" s="199"/>
      <c r="I271" s="199"/>
      <c r="J271" s="412" t="s">
        <v>5427</v>
      </c>
      <c r="K271" s="412" t="s">
        <v>140</v>
      </c>
      <c r="L271" s="204" t="s">
        <v>1172</v>
      </c>
      <c r="M271" s="204"/>
      <c r="N271" s="126" t="s">
        <v>504</v>
      </c>
      <c r="O271" s="126"/>
      <c r="P271" s="126"/>
      <c r="Q271" s="126" t="s">
        <v>6</v>
      </c>
      <c r="R271" s="126" t="s">
        <v>6</v>
      </c>
      <c r="S271" s="126" t="s">
        <v>6</v>
      </c>
      <c r="T271" s="126"/>
      <c r="U271" s="200" t="s">
        <v>1114</v>
      </c>
      <c r="V271" s="204"/>
      <c r="W271" s="412" t="s">
        <v>137</v>
      </c>
      <c r="X271" s="199"/>
      <c r="Y271" s="199"/>
      <c r="Z271" s="199"/>
      <c r="AA271" s="126" t="s">
        <v>6</v>
      </c>
      <c r="AB271" s="198"/>
      <c r="AC271" s="199"/>
      <c r="AD271" s="199"/>
      <c r="AE271" s="412" t="s">
        <v>137</v>
      </c>
      <c r="AF271" s="199"/>
      <c r="AG271" s="199"/>
      <c r="AH271" s="199"/>
      <c r="AI271" s="126" t="s">
        <v>6</v>
      </c>
      <c r="AJ271" s="198"/>
      <c r="AK271" s="199"/>
      <c r="AL271" s="199"/>
      <c r="AM271" s="199"/>
      <c r="AN271" s="199"/>
      <c r="AO271" s="199"/>
      <c r="AP271" s="199"/>
      <c r="AQ271" s="199"/>
      <c r="AR271" s="199"/>
      <c r="AS271" s="199"/>
      <c r="AT271" s="199"/>
      <c r="AU271" s="199"/>
      <c r="AV271" s="199"/>
      <c r="AW271" s="155">
        <v>33</v>
      </c>
    </row>
    <row r="272" spans="1:49" s="236" customFormat="1" ht="26.4">
      <c r="A272" s="40">
        <f t="shared" si="7"/>
        <v>266</v>
      </c>
      <c r="B272" s="199"/>
      <c r="C272" s="199"/>
      <c r="D272" s="199"/>
      <c r="E272" s="199"/>
      <c r="F272" s="199"/>
      <c r="G272" s="199"/>
      <c r="H272" s="199"/>
      <c r="I272" s="199"/>
      <c r="J272" s="412" t="s">
        <v>5428</v>
      </c>
      <c r="K272" s="412" t="s">
        <v>140</v>
      </c>
      <c r="L272" s="204" t="s">
        <v>1174</v>
      </c>
      <c r="M272" s="204"/>
      <c r="N272" s="126" t="s">
        <v>504</v>
      </c>
      <c r="O272" s="126"/>
      <c r="P272" s="126"/>
      <c r="Q272" s="126" t="s">
        <v>6</v>
      </c>
      <c r="R272" s="126" t="s">
        <v>6</v>
      </c>
      <c r="S272" s="126" t="s">
        <v>6</v>
      </c>
      <c r="T272" s="126"/>
      <c r="U272" s="200" t="s">
        <v>1114</v>
      </c>
      <c r="V272" s="204"/>
      <c r="W272" s="412" t="s">
        <v>137</v>
      </c>
      <c r="X272" s="199"/>
      <c r="Y272" s="199"/>
      <c r="Z272" s="199"/>
      <c r="AA272" s="126" t="s">
        <v>6</v>
      </c>
      <c r="AB272" s="198"/>
      <c r="AC272" s="199"/>
      <c r="AD272" s="199"/>
      <c r="AE272" s="412" t="s">
        <v>137</v>
      </c>
      <c r="AF272" s="199"/>
      <c r="AG272" s="199"/>
      <c r="AH272" s="199"/>
      <c r="AI272" s="126" t="s">
        <v>6</v>
      </c>
      <c r="AJ272" s="198"/>
      <c r="AK272" s="199"/>
      <c r="AL272" s="199"/>
      <c r="AM272" s="199"/>
      <c r="AN272" s="199"/>
      <c r="AO272" s="199"/>
      <c r="AP272" s="199"/>
      <c r="AQ272" s="199"/>
      <c r="AR272" s="199"/>
      <c r="AS272" s="199"/>
      <c r="AT272" s="199"/>
      <c r="AU272" s="199"/>
      <c r="AV272" s="199"/>
      <c r="AW272" s="155">
        <v>33</v>
      </c>
    </row>
    <row r="273" spans="1:49" s="236" customFormat="1" ht="15">
      <c r="A273" s="40">
        <f t="shared" si="7"/>
        <v>267</v>
      </c>
      <c r="B273" s="199"/>
      <c r="C273" s="199"/>
      <c r="D273" s="199"/>
      <c r="E273" s="199"/>
      <c r="F273" s="199"/>
      <c r="G273" s="199"/>
      <c r="H273" s="199"/>
      <c r="I273" s="199"/>
      <c r="J273" s="412" t="s">
        <v>5429</v>
      </c>
      <c r="K273" s="412" t="s">
        <v>140</v>
      </c>
      <c r="L273" s="204" t="s">
        <v>1176</v>
      </c>
      <c r="M273" s="204"/>
      <c r="N273" s="126" t="s">
        <v>504</v>
      </c>
      <c r="O273" s="126"/>
      <c r="P273" s="126"/>
      <c r="Q273" s="126" t="s">
        <v>6</v>
      </c>
      <c r="R273" s="126" t="s">
        <v>6</v>
      </c>
      <c r="S273" s="126" t="s">
        <v>6</v>
      </c>
      <c r="T273" s="126"/>
      <c r="U273" s="204"/>
      <c r="V273" s="204"/>
      <c r="W273" s="412" t="s">
        <v>137</v>
      </c>
      <c r="X273" s="199"/>
      <c r="Y273" s="199"/>
      <c r="Z273" s="199"/>
      <c r="AA273" s="126" t="s">
        <v>6</v>
      </c>
      <c r="AB273" s="198"/>
      <c r="AC273" s="199"/>
      <c r="AD273" s="199"/>
      <c r="AE273" s="412" t="s">
        <v>137</v>
      </c>
      <c r="AF273" s="199"/>
      <c r="AG273" s="199"/>
      <c r="AH273" s="199"/>
      <c r="AI273" s="126" t="s">
        <v>6</v>
      </c>
      <c r="AJ273" s="198"/>
      <c r="AK273" s="199"/>
      <c r="AL273" s="199"/>
      <c r="AM273" s="199"/>
      <c r="AN273" s="199"/>
      <c r="AO273" s="199"/>
      <c r="AP273" s="199"/>
      <c r="AQ273" s="199"/>
      <c r="AR273" s="199"/>
      <c r="AS273" s="199"/>
      <c r="AT273" s="199"/>
      <c r="AU273" s="199"/>
      <c r="AV273" s="199"/>
      <c r="AW273" s="155">
        <v>27</v>
      </c>
    </row>
    <row r="274" spans="1:49" s="236" customFormat="1" ht="26.4">
      <c r="A274" s="40">
        <f t="shared" si="7"/>
        <v>268</v>
      </c>
      <c r="B274" s="199"/>
      <c r="C274" s="199"/>
      <c r="D274" s="199"/>
      <c r="E274" s="199"/>
      <c r="F274" s="199"/>
      <c r="G274" s="199"/>
      <c r="H274" s="199"/>
      <c r="I274" s="199"/>
      <c r="J274" s="412" t="s">
        <v>5430</v>
      </c>
      <c r="K274" s="412" t="s">
        <v>140</v>
      </c>
      <c r="L274" s="204" t="s">
        <v>1178</v>
      </c>
      <c r="M274" s="204"/>
      <c r="N274" s="126" t="s">
        <v>504</v>
      </c>
      <c r="O274" s="126"/>
      <c r="P274" s="126"/>
      <c r="Q274" s="126" t="s">
        <v>6</v>
      </c>
      <c r="R274" s="126" t="s">
        <v>6</v>
      </c>
      <c r="S274" s="126" t="s">
        <v>6</v>
      </c>
      <c r="T274" s="126"/>
      <c r="U274" s="200" t="s">
        <v>1114</v>
      </c>
      <c r="V274" s="204"/>
      <c r="W274" s="412" t="s">
        <v>137</v>
      </c>
      <c r="X274" s="199"/>
      <c r="Y274" s="199"/>
      <c r="Z274" s="199"/>
      <c r="AA274" s="126" t="s">
        <v>6</v>
      </c>
      <c r="AB274" s="198"/>
      <c r="AC274" s="199"/>
      <c r="AD274" s="199"/>
      <c r="AE274" s="412" t="s">
        <v>137</v>
      </c>
      <c r="AF274" s="199"/>
      <c r="AG274" s="199"/>
      <c r="AH274" s="199"/>
      <c r="AI274" s="126" t="s">
        <v>6</v>
      </c>
      <c r="AJ274" s="198"/>
      <c r="AK274" s="199"/>
      <c r="AL274" s="199"/>
      <c r="AM274" s="199"/>
      <c r="AN274" s="199"/>
      <c r="AO274" s="199"/>
      <c r="AP274" s="199"/>
      <c r="AQ274" s="199"/>
      <c r="AR274" s="199"/>
      <c r="AS274" s="199"/>
      <c r="AT274" s="199"/>
      <c r="AU274" s="199"/>
      <c r="AV274" s="199"/>
      <c r="AW274" s="155">
        <v>34</v>
      </c>
    </row>
    <row r="275" spans="1:49" s="236" customFormat="1" ht="26.4">
      <c r="A275" s="40">
        <f t="shared" si="7"/>
        <v>269</v>
      </c>
      <c r="B275" s="199"/>
      <c r="C275" s="199"/>
      <c r="D275" s="199"/>
      <c r="E275" s="199"/>
      <c r="F275" s="199"/>
      <c r="G275" s="199"/>
      <c r="H275" s="199"/>
      <c r="I275" s="199"/>
      <c r="J275" s="412" t="s">
        <v>5431</v>
      </c>
      <c r="K275" s="412" t="s">
        <v>140</v>
      </c>
      <c r="L275" s="204" t="s">
        <v>1180</v>
      </c>
      <c r="M275" s="204"/>
      <c r="N275" s="126" t="s">
        <v>504</v>
      </c>
      <c r="O275" s="126"/>
      <c r="P275" s="126"/>
      <c r="Q275" s="126" t="s">
        <v>6</v>
      </c>
      <c r="R275" s="126" t="s">
        <v>6</v>
      </c>
      <c r="S275" s="126" t="s">
        <v>6</v>
      </c>
      <c r="T275" s="126"/>
      <c r="U275" s="200" t="s">
        <v>1114</v>
      </c>
      <c r="V275" s="204"/>
      <c r="W275" s="412" t="s">
        <v>137</v>
      </c>
      <c r="X275" s="199"/>
      <c r="Y275" s="199"/>
      <c r="Z275" s="199"/>
      <c r="AA275" s="126" t="s">
        <v>6</v>
      </c>
      <c r="AB275" s="198"/>
      <c r="AC275" s="199"/>
      <c r="AD275" s="199"/>
      <c r="AE275" s="412" t="s">
        <v>137</v>
      </c>
      <c r="AF275" s="199"/>
      <c r="AG275" s="199"/>
      <c r="AH275" s="199"/>
      <c r="AI275" s="126" t="s">
        <v>6</v>
      </c>
      <c r="AJ275" s="198"/>
      <c r="AK275" s="199"/>
      <c r="AL275" s="199"/>
      <c r="AM275" s="199"/>
      <c r="AN275" s="199"/>
      <c r="AO275" s="199"/>
      <c r="AP275" s="199"/>
      <c r="AQ275" s="199"/>
      <c r="AR275" s="199"/>
      <c r="AS275" s="199"/>
      <c r="AT275" s="199"/>
      <c r="AU275" s="199"/>
      <c r="AV275" s="199"/>
      <c r="AW275" s="155">
        <v>34</v>
      </c>
    </row>
    <row r="276" spans="1:49" s="236" customFormat="1" ht="26.4">
      <c r="A276" s="40">
        <f t="shared" si="7"/>
        <v>270</v>
      </c>
      <c r="B276" s="199"/>
      <c r="C276" s="199"/>
      <c r="D276" s="199"/>
      <c r="E276" s="199"/>
      <c r="F276" s="199"/>
      <c r="G276" s="199"/>
      <c r="H276" s="199"/>
      <c r="I276" s="199"/>
      <c r="J276" s="412" t="s">
        <v>5432</v>
      </c>
      <c r="K276" s="412" t="s">
        <v>140</v>
      </c>
      <c r="L276" s="204" t="s">
        <v>1182</v>
      </c>
      <c r="M276" s="204"/>
      <c r="N276" s="126" t="s">
        <v>504</v>
      </c>
      <c r="O276" s="126"/>
      <c r="P276" s="126"/>
      <c r="Q276" s="126" t="s">
        <v>6</v>
      </c>
      <c r="R276" s="126" t="s">
        <v>6</v>
      </c>
      <c r="S276" s="126" t="s">
        <v>6</v>
      </c>
      <c r="T276" s="126"/>
      <c r="U276" s="200" t="s">
        <v>1114</v>
      </c>
      <c r="V276" s="204"/>
      <c r="W276" s="412" t="s">
        <v>137</v>
      </c>
      <c r="X276" s="199"/>
      <c r="Y276" s="199"/>
      <c r="Z276" s="199"/>
      <c r="AA276" s="126" t="s">
        <v>6</v>
      </c>
      <c r="AB276" s="198"/>
      <c r="AC276" s="199"/>
      <c r="AD276" s="199"/>
      <c r="AE276" s="412" t="s">
        <v>137</v>
      </c>
      <c r="AF276" s="199"/>
      <c r="AG276" s="199"/>
      <c r="AH276" s="199"/>
      <c r="AI276" s="126" t="s">
        <v>6</v>
      </c>
      <c r="AJ276" s="198"/>
      <c r="AK276" s="199"/>
      <c r="AL276" s="199"/>
      <c r="AM276" s="199"/>
      <c r="AN276" s="199"/>
      <c r="AO276" s="199"/>
      <c r="AP276" s="199"/>
      <c r="AQ276" s="199"/>
      <c r="AR276" s="199"/>
      <c r="AS276" s="199"/>
      <c r="AT276" s="199"/>
      <c r="AU276" s="199"/>
      <c r="AV276" s="199"/>
      <c r="AW276" s="155">
        <v>34</v>
      </c>
    </row>
    <row r="277" spans="1:49" ht="15">
      <c r="A277" s="452">
        <f t="shared" si="7"/>
        <v>271</v>
      </c>
      <c r="B277" s="62"/>
      <c r="C277" s="62"/>
      <c r="D277" s="62"/>
      <c r="E277" s="62"/>
      <c r="F277" s="62"/>
      <c r="G277" s="62"/>
      <c r="H277" s="62"/>
      <c r="I277" s="62"/>
      <c r="J277" s="465" t="s">
        <v>821</v>
      </c>
      <c r="K277" s="63"/>
      <c r="L277" s="63"/>
      <c r="M277" s="63"/>
      <c r="N277" s="139"/>
      <c r="O277" s="139"/>
      <c r="P277" s="139"/>
      <c r="Q277" s="139"/>
      <c r="R277" s="139"/>
      <c r="S277" s="139"/>
      <c r="T277" s="139"/>
      <c r="U277" s="354"/>
      <c r="V277" s="311"/>
      <c r="W277" s="63"/>
      <c r="X277" s="63"/>
      <c r="Y277" s="63"/>
      <c r="Z277" s="63"/>
      <c r="AA277" s="63"/>
      <c r="AB277" s="312"/>
      <c r="AC277" s="63"/>
      <c r="AD277" s="63"/>
      <c r="AE277" s="63"/>
      <c r="AF277" s="63"/>
      <c r="AG277" s="63"/>
      <c r="AH277" s="63"/>
      <c r="AI277" s="63"/>
      <c r="AJ277" s="312"/>
      <c r="AK277" s="63"/>
      <c r="AL277" s="63"/>
      <c r="AM277" s="63"/>
      <c r="AN277" s="63"/>
      <c r="AO277" s="63"/>
      <c r="AP277" s="63"/>
      <c r="AQ277" s="63"/>
      <c r="AR277" s="63"/>
      <c r="AS277" s="63"/>
      <c r="AT277" s="63"/>
      <c r="AU277" s="63"/>
      <c r="AV277" s="63"/>
      <c r="AW277" s="18">
        <f t="shared" si="8"/>
        <v>0</v>
      </c>
    </row>
    <row r="278" spans="1:49" s="20" customFormat="1" ht="15">
      <c r="A278" s="40">
        <f t="shared" ref="A278:A291" si="13">ROW() - 6</f>
        <v>272</v>
      </c>
      <c r="B278" s="59"/>
      <c r="C278" s="59"/>
      <c r="D278" s="59"/>
      <c r="E278" s="59"/>
      <c r="F278" s="59"/>
      <c r="G278" s="59"/>
      <c r="H278" s="59"/>
      <c r="I278" s="59"/>
      <c r="J278" s="215" t="s">
        <v>2413</v>
      </c>
      <c r="K278" s="204" t="s">
        <v>163</v>
      </c>
      <c r="L278" s="204" t="s">
        <v>2414</v>
      </c>
      <c r="M278" s="204"/>
      <c r="N278" s="40" t="s">
        <v>829</v>
      </c>
      <c r="O278" s="40"/>
      <c r="P278" s="40" t="s">
        <v>829</v>
      </c>
      <c r="Q278" s="40" t="s">
        <v>6</v>
      </c>
      <c r="R278" s="40"/>
      <c r="S278" s="40"/>
      <c r="T278" s="40" t="s">
        <v>6</v>
      </c>
      <c r="U278" s="204"/>
      <c r="V278" s="204"/>
      <c r="W278" s="204" t="s">
        <v>163</v>
      </c>
      <c r="X278" s="13"/>
      <c r="Y278" s="13" t="s">
        <v>829</v>
      </c>
      <c r="Z278" s="59"/>
      <c r="AA278" s="59"/>
      <c r="AB278" s="15"/>
      <c r="AC278" s="59"/>
      <c r="AD278" s="59"/>
      <c r="AE278" s="204" t="s">
        <v>163</v>
      </c>
      <c r="AF278" s="13"/>
      <c r="AG278" s="13" t="s">
        <v>829</v>
      </c>
      <c r="AH278" s="59"/>
      <c r="AI278" s="59"/>
      <c r="AJ278" s="15"/>
      <c r="AK278" s="59"/>
      <c r="AL278" s="59"/>
      <c r="AM278" s="59"/>
      <c r="AN278" s="59"/>
      <c r="AO278" s="59"/>
      <c r="AP278" s="59"/>
      <c r="AQ278" s="59"/>
      <c r="AR278" s="59"/>
      <c r="AS278" s="59"/>
      <c r="AT278" s="59"/>
      <c r="AU278" s="59"/>
      <c r="AV278" s="59"/>
      <c r="AW278" s="18">
        <f t="shared" si="8"/>
        <v>16</v>
      </c>
    </row>
    <row r="279" spans="1:49" s="20" customFormat="1" ht="26.4">
      <c r="A279" s="40">
        <f t="shared" si="13"/>
        <v>273</v>
      </c>
      <c r="B279" s="59"/>
      <c r="C279" s="59"/>
      <c r="D279" s="59"/>
      <c r="E279" s="59"/>
      <c r="F279" s="59"/>
      <c r="G279" s="59"/>
      <c r="H279" s="59"/>
      <c r="I279" s="59"/>
      <c r="J279" s="215" t="s">
        <v>2415</v>
      </c>
      <c r="K279" s="204" t="s">
        <v>163</v>
      </c>
      <c r="L279" s="204" t="s">
        <v>2416</v>
      </c>
      <c r="M279" s="204"/>
      <c r="N279" s="40" t="s">
        <v>845</v>
      </c>
      <c r="O279" s="40"/>
      <c r="P279" s="40" t="s">
        <v>846</v>
      </c>
      <c r="Q279" s="40" t="s">
        <v>6</v>
      </c>
      <c r="R279" s="40"/>
      <c r="S279" s="40"/>
      <c r="T279" s="40" t="s">
        <v>6</v>
      </c>
      <c r="U279" s="200"/>
      <c r="V279" s="204"/>
      <c r="W279" s="204" t="s">
        <v>163</v>
      </c>
      <c r="X279" s="13"/>
      <c r="Y279" s="40" t="s">
        <v>846</v>
      </c>
      <c r="Z279" s="59"/>
      <c r="AA279" s="59"/>
      <c r="AB279" s="253" t="s">
        <v>835</v>
      </c>
      <c r="AC279" s="59"/>
      <c r="AD279" s="59"/>
      <c r="AE279" s="204" t="s">
        <v>163</v>
      </c>
      <c r="AF279" s="13"/>
      <c r="AG279" s="40" t="s">
        <v>846</v>
      </c>
      <c r="AH279" s="59"/>
      <c r="AI279" s="59"/>
      <c r="AJ279" s="253" t="s">
        <v>835</v>
      </c>
      <c r="AK279" s="59"/>
      <c r="AL279" s="59"/>
      <c r="AM279" s="59"/>
      <c r="AN279" s="59"/>
      <c r="AO279" s="59"/>
      <c r="AP279" s="59"/>
      <c r="AQ279" s="59"/>
      <c r="AR279" s="59"/>
      <c r="AS279" s="59"/>
      <c r="AT279" s="59"/>
      <c r="AU279" s="59"/>
      <c r="AV279" s="59"/>
      <c r="AW279" s="18">
        <f t="shared" si="8"/>
        <v>27</v>
      </c>
    </row>
    <row r="280" spans="1:49" s="20" customFormat="1" ht="26.4">
      <c r="A280" s="40">
        <f t="shared" si="13"/>
        <v>274</v>
      </c>
      <c r="B280" s="59"/>
      <c r="C280" s="59"/>
      <c r="D280" s="59"/>
      <c r="E280" s="59"/>
      <c r="F280" s="59"/>
      <c r="G280" s="59"/>
      <c r="H280" s="59"/>
      <c r="I280" s="59"/>
      <c r="J280" s="215" t="s">
        <v>2417</v>
      </c>
      <c r="K280" s="204" t="s">
        <v>163</v>
      </c>
      <c r="L280" s="204" t="s">
        <v>2418</v>
      </c>
      <c r="M280" s="204"/>
      <c r="N280" s="40" t="s">
        <v>849</v>
      </c>
      <c r="O280" s="40"/>
      <c r="P280" s="40" t="s">
        <v>846</v>
      </c>
      <c r="Q280" s="40" t="s">
        <v>6</v>
      </c>
      <c r="R280" s="40"/>
      <c r="S280" s="40"/>
      <c r="T280" s="40" t="s">
        <v>6</v>
      </c>
      <c r="U280" s="200"/>
      <c r="V280" s="204"/>
      <c r="W280" s="204" t="s">
        <v>163</v>
      </c>
      <c r="X280" s="13"/>
      <c r="Y280" s="40" t="s">
        <v>846</v>
      </c>
      <c r="Z280" s="59"/>
      <c r="AA280" s="59"/>
      <c r="AB280" s="253" t="s">
        <v>835</v>
      </c>
      <c r="AC280" s="59"/>
      <c r="AD280" s="59"/>
      <c r="AE280" s="204" t="s">
        <v>163</v>
      </c>
      <c r="AF280" s="13"/>
      <c r="AG280" s="40" t="s">
        <v>846</v>
      </c>
      <c r="AH280" s="59"/>
      <c r="AI280" s="59"/>
      <c r="AJ280" s="253" t="s">
        <v>835</v>
      </c>
      <c r="AK280" s="59"/>
      <c r="AL280" s="59"/>
      <c r="AM280" s="59"/>
      <c r="AN280" s="59"/>
      <c r="AO280" s="59"/>
      <c r="AP280" s="59"/>
      <c r="AQ280" s="59"/>
      <c r="AR280" s="59"/>
      <c r="AS280" s="59"/>
      <c r="AT280" s="59"/>
      <c r="AU280" s="59"/>
      <c r="AV280" s="59"/>
      <c r="AW280" s="18">
        <f t="shared" si="8"/>
        <v>27</v>
      </c>
    </row>
    <row r="281" spans="1:49" s="20" customFormat="1" ht="26.4">
      <c r="A281" s="40">
        <f t="shared" si="13"/>
        <v>275</v>
      </c>
      <c r="B281" s="59"/>
      <c r="C281" s="59"/>
      <c r="D281" s="59"/>
      <c r="E281" s="59"/>
      <c r="F281" s="59"/>
      <c r="G281" s="59"/>
      <c r="H281" s="59"/>
      <c r="I281" s="59"/>
      <c r="J281" s="215" t="s">
        <v>2419</v>
      </c>
      <c r="K281" s="204" t="s">
        <v>163</v>
      </c>
      <c r="L281" s="204" t="s">
        <v>2420</v>
      </c>
      <c r="M281" s="204"/>
      <c r="N281" s="40" t="s">
        <v>853</v>
      </c>
      <c r="O281" s="40"/>
      <c r="P281" s="40" t="s">
        <v>846</v>
      </c>
      <c r="Q281" s="40" t="s">
        <v>6</v>
      </c>
      <c r="R281" s="40"/>
      <c r="S281" s="40"/>
      <c r="T281" s="40" t="s">
        <v>6</v>
      </c>
      <c r="U281" s="200"/>
      <c r="V281" s="204"/>
      <c r="W281" s="204" t="s">
        <v>163</v>
      </c>
      <c r="X281" s="13"/>
      <c r="Y281" s="40" t="s">
        <v>846</v>
      </c>
      <c r="Z281" s="59"/>
      <c r="AA281" s="59"/>
      <c r="AB281" s="253" t="s">
        <v>835</v>
      </c>
      <c r="AC281" s="59"/>
      <c r="AD281" s="59"/>
      <c r="AE281" s="204" t="s">
        <v>163</v>
      </c>
      <c r="AF281" s="13"/>
      <c r="AG281" s="40" t="s">
        <v>846</v>
      </c>
      <c r="AH281" s="59"/>
      <c r="AI281" s="59"/>
      <c r="AJ281" s="253" t="s">
        <v>835</v>
      </c>
      <c r="AK281" s="59"/>
      <c r="AL281" s="59"/>
      <c r="AM281" s="59"/>
      <c r="AN281" s="59"/>
      <c r="AO281" s="59"/>
      <c r="AP281" s="59"/>
      <c r="AQ281" s="59"/>
      <c r="AR281" s="59"/>
      <c r="AS281" s="59"/>
      <c r="AT281" s="59"/>
      <c r="AU281" s="59"/>
      <c r="AV281" s="59"/>
      <c r="AW281" s="18">
        <f t="shared" si="8"/>
        <v>27</v>
      </c>
    </row>
    <row r="282" spans="1:49" s="20" customFormat="1" ht="26.4">
      <c r="A282" s="40">
        <f t="shared" si="13"/>
        <v>276</v>
      </c>
      <c r="B282" s="59"/>
      <c r="C282" s="59"/>
      <c r="D282" s="59"/>
      <c r="E282" s="59"/>
      <c r="F282" s="59"/>
      <c r="G282" s="59"/>
      <c r="H282" s="59"/>
      <c r="I282" s="59"/>
      <c r="J282" s="199" t="s">
        <v>2421</v>
      </c>
      <c r="K282" s="204" t="s">
        <v>163</v>
      </c>
      <c r="L282" s="216" t="s">
        <v>2422</v>
      </c>
      <c r="M282" s="216"/>
      <c r="N282" s="126" t="s">
        <v>1505</v>
      </c>
      <c r="O282" s="126"/>
      <c r="P282" s="126" t="s">
        <v>1506</v>
      </c>
      <c r="Q282" s="40" t="s">
        <v>6</v>
      </c>
      <c r="R282" s="126"/>
      <c r="S282" s="126"/>
      <c r="T282" s="40" t="s">
        <v>6</v>
      </c>
      <c r="U282" s="200" t="s">
        <v>1114</v>
      </c>
      <c r="V282" s="204"/>
      <c r="W282" s="204" t="s">
        <v>163</v>
      </c>
      <c r="X282" s="59"/>
      <c r="Y282" s="61" t="s">
        <v>1506</v>
      </c>
      <c r="Z282" s="59"/>
      <c r="AA282" s="59"/>
      <c r="AB282" s="253" t="s">
        <v>835</v>
      </c>
      <c r="AC282" s="59"/>
      <c r="AD282" s="59"/>
      <c r="AE282" s="204" t="s">
        <v>163</v>
      </c>
      <c r="AF282" s="59"/>
      <c r="AG282" s="61" t="s">
        <v>1506</v>
      </c>
      <c r="AH282" s="59"/>
      <c r="AI282" s="59"/>
      <c r="AJ282" s="253" t="s">
        <v>835</v>
      </c>
      <c r="AK282" s="59"/>
      <c r="AL282" s="59"/>
      <c r="AM282" s="59"/>
      <c r="AN282" s="59"/>
      <c r="AO282" s="59"/>
      <c r="AP282" s="59"/>
      <c r="AQ282" s="59"/>
      <c r="AR282" s="59"/>
      <c r="AS282" s="59"/>
      <c r="AT282" s="59"/>
      <c r="AU282" s="59"/>
      <c r="AV282" s="59"/>
      <c r="AW282" s="18">
        <f t="shared" si="8"/>
        <v>38</v>
      </c>
    </row>
    <row r="283" spans="1:49" s="20" customFormat="1" ht="26.4">
      <c r="A283" s="40">
        <f t="shared" si="13"/>
        <v>277</v>
      </c>
      <c r="B283" s="59"/>
      <c r="C283" s="59"/>
      <c r="D283" s="59"/>
      <c r="E283" s="59"/>
      <c r="F283" s="59"/>
      <c r="G283" s="59"/>
      <c r="H283" s="59"/>
      <c r="I283" s="59"/>
      <c r="J283" s="199" t="s">
        <v>2423</v>
      </c>
      <c r="K283" s="204" t="s">
        <v>163</v>
      </c>
      <c r="L283" s="216" t="s">
        <v>2424</v>
      </c>
      <c r="M283" s="216"/>
      <c r="N283" s="126" t="s">
        <v>1505</v>
      </c>
      <c r="O283" s="126"/>
      <c r="P283" s="126" t="s">
        <v>1506</v>
      </c>
      <c r="Q283" s="40" t="s">
        <v>6</v>
      </c>
      <c r="R283" s="126"/>
      <c r="S283" s="126"/>
      <c r="T283" s="40" t="s">
        <v>6</v>
      </c>
      <c r="U283" s="200" t="s">
        <v>1114</v>
      </c>
      <c r="V283" s="204"/>
      <c r="W283" s="204" t="s">
        <v>163</v>
      </c>
      <c r="X283" s="59"/>
      <c r="Y283" s="61" t="s">
        <v>1506</v>
      </c>
      <c r="Z283" s="59"/>
      <c r="AA283" s="59"/>
      <c r="AB283" s="253" t="s">
        <v>835</v>
      </c>
      <c r="AC283" s="59"/>
      <c r="AD283" s="59"/>
      <c r="AE283" s="204" t="s">
        <v>163</v>
      </c>
      <c r="AF283" s="59"/>
      <c r="AG283" s="61" t="s">
        <v>1506</v>
      </c>
      <c r="AH283" s="59"/>
      <c r="AI283" s="59"/>
      <c r="AJ283" s="253" t="s">
        <v>835</v>
      </c>
      <c r="AK283" s="59"/>
      <c r="AL283" s="59"/>
      <c r="AM283" s="59"/>
      <c r="AN283" s="59"/>
      <c r="AO283" s="59"/>
      <c r="AP283" s="59"/>
      <c r="AQ283" s="59"/>
      <c r="AR283" s="59"/>
      <c r="AS283" s="59"/>
      <c r="AT283" s="59"/>
      <c r="AU283" s="59"/>
      <c r="AV283" s="59"/>
      <c r="AW283" s="18">
        <f t="shared" si="8"/>
        <v>38</v>
      </c>
    </row>
    <row r="284" spans="1:49" s="20" customFormat="1" ht="26.4">
      <c r="A284" s="40">
        <f t="shared" si="13"/>
        <v>278</v>
      </c>
      <c r="B284" s="59"/>
      <c r="C284" s="59"/>
      <c r="D284" s="59"/>
      <c r="E284" s="59"/>
      <c r="F284" s="59"/>
      <c r="G284" s="59"/>
      <c r="H284" s="59"/>
      <c r="I284" s="59"/>
      <c r="J284" s="199" t="s">
        <v>2425</v>
      </c>
      <c r="K284" s="204" t="s">
        <v>163</v>
      </c>
      <c r="L284" s="216" t="s">
        <v>2426</v>
      </c>
      <c r="M284" s="216"/>
      <c r="N284" s="126" t="s">
        <v>1505</v>
      </c>
      <c r="O284" s="126"/>
      <c r="P284" s="126" t="s">
        <v>1506</v>
      </c>
      <c r="Q284" s="40" t="s">
        <v>6</v>
      </c>
      <c r="R284" s="126"/>
      <c r="S284" s="126"/>
      <c r="T284" s="40" t="s">
        <v>6</v>
      </c>
      <c r="U284" s="200" t="s">
        <v>1114</v>
      </c>
      <c r="V284" s="204"/>
      <c r="W284" s="204" t="s">
        <v>163</v>
      </c>
      <c r="X284" s="59"/>
      <c r="Y284" s="61" t="s">
        <v>1506</v>
      </c>
      <c r="Z284" s="59"/>
      <c r="AA284" s="59"/>
      <c r="AB284" s="253" t="s">
        <v>835</v>
      </c>
      <c r="AC284" s="59"/>
      <c r="AD284" s="59"/>
      <c r="AE284" s="204" t="s">
        <v>163</v>
      </c>
      <c r="AF284" s="59"/>
      <c r="AG284" s="61" t="s">
        <v>1506</v>
      </c>
      <c r="AH284" s="59"/>
      <c r="AI284" s="59"/>
      <c r="AJ284" s="253" t="s">
        <v>835</v>
      </c>
      <c r="AK284" s="59"/>
      <c r="AL284" s="59"/>
      <c r="AM284" s="59"/>
      <c r="AN284" s="59"/>
      <c r="AO284" s="59"/>
      <c r="AP284" s="59"/>
      <c r="AQ284" s="59"/>
      <c r="AR284" s="59"/>
      <c r="AS284" s="59"/>
      <c r="AT284" s="59"/>
      <c r="AU284" s="59"/>
      <c r="AV284" s="59"/>
      <c r="AW284" s="18">
        <f t="shared" si="8"/>
        <v>38</v>
      </c>
    </row>
    <row r="285" spans="1:49" s="20" customFormat="1" ht="27" customHeight="1">
      <c r="A285" s="40">
        <f t="shared" si="13"/>
        <v>279</v>
      </c>
      <c r="B285" s="59"/>
      <c r="C285" s="59"/>
      <c r="D285" s="59"/>
      <c r="E285" s="59"/>
      <c r="F285" s="59"/>
      <c r="G285" s="59"/>
      <c r="H285" s="59"/>
      <c r="I285" s="59"/>
      <c r="J285" s="199" t="s">
        <v>2427</v>
      </c>
      <c r="K285" s="204" t="s">
        <v>163</v>
      </c>
      <c r="L285" s="216" t="s">
        <v>2428</v>
      </c>
      <c r="M285" s="216"/>
      <c r="N285" s="126" t="s">
        <v>1505</v>
      </c>
      <c r="O285" s="126"/>
      <c r="P285" s="126" t="s">
        <v>1506</v>
      </c>
      <c r="Q285" s="40" t="s">
        <v>6</v>
      </c>
      <c r="R285" s="126"/>
      <c r="S285" s="126"/>
      <c r="T285" s="40" t="s">
        <v>6</v>
      </c>
      <c r="U285" s="198"/>
      <c r="V285" s="15"/>
      <c r="W285" s="204" t="s">
        <v>163</v>
      </c>
      <c r="X285" s="59"/>
      <c r="Y285" s="61" t="s">
        <v>1506</v>
      </c>
      <c r="Z285" s="59"/>
      <c r="AA285" s="59"/>
      <c r="AB285" s="253" t="s">
        <v>835</v>
      </c>
      <c r="AC285" s="59"/>
      <c r="AD285" s="59"/>
      <c r="AE285" s="204" t="s">
        <v>163</v>
      </c>
      <c r="AF285" s="59"/>
      <c r="AG285" s="61" t="s">
        <v>1506</v>
      </c>
      <c r="AH285" s="59"/>
      <c r="AI285" s="59"/>
      <c r="AJ285" s="253" t="s">
        <v>835</v>
      </c>
      <c r="AK285" s="59"/>
      <c r="AL285" s="59"/>
      <c r="AM285" s="59"/>
      <c r="AN285" s="59"/>
      <c r="AO285" s="59"/>
      <c r="AP285" s="59"/>
      <c r="AQ285" s="59"/>
      <c r="AR285" s="59"/>
      <c r="AS285" s="59"/>
      <c r="AT285" s="59"/>
      <c r="AU285" s="59"/>
      <c r="AV285" s="59"/>
      <c r="AW285" s="18">
        <f t="shared" si="8"/>
        <v>31</v>
      </c>
    </row>
    <row r="286" spans="1:49" s="20" customFormat="1" ht="26.4">
      <c r="A286" s="40">
        <f t="shared" si="13"/>
        <v>280</v>
      </c>
      <c r="B286" s="59"/>
      <c r="C286" s="59"/>
      <c r="D286" s="59"/>
      <c r="E286" s="59"/>
      <c r="F286" s="59"/>
      <c r="G286" s="59"/>
      <c r="H286" s="59"/>
      <c r="I286" s="59"/>
      <c r="J286" s="217" t="s">
        <v>2429</v>
      </c>
      <c r="K286" s="204" t="s">
        <v>163</v>
      </c>
      <c r="L286" s="200" t="s">
        <v>2430</v>
      </c>
      <c r="M286" s="200"/>
      <c r="N286" s="126" t="s">
        <v>1505</v>
      </c>
      <c r="O286" s="126"/>
      <c r="P286" s="126" t="s">
        <v>1506</v>
      </c>
      <c r="Q286" s="40" t="s">
        <v>6</v>
      </c>
      <c r="R286" s="126"/>
      <c r="S286" s="126"/>
      <c r="T286" s="40" t="s">
        <v>6</v>
      </c>
      <c r="U286" s="200" t="s">
        <v>1114</v>
      </c>
      <c r="V286" s="399"/>
      <c r="W286" s="204" t="s">
        <v>163</v>
      </c>
      <c r="X286" s="217"/>
      <c r="Y286" s="61" t="s">
        <v>1506</v>
      </c>
      <c r="Z286" s="59"/>
      <c r="AA286" s="59"/>
      <c r="AB286" s="253" t="s">
        <v>835</v>
      </c>
      <c r="AC286" s="59"/>
      <c r="AD286" s="59"/>
      <c r="AE286" s="204" t="s">
        <v>163</v>
      </c>
      <c r="AF286" s="217"/>
      <c r="AG286" s="61" t="s">
        <v>1506</v>
      </c>
      <c r="AH286" s="59"/>
      <c r="AI286" s="59"/>
      <c r="AJ286" s="253" t="s">
        <v>835</v>
      </c>
      <c r="AK286" s="59"/>
      <c r="AL286" s="59"/>
      <c r="AM286" s="59"/>
      <c r="AN286" s="59"/>
      <c r="AO286" s="59"/>
      <c r="AP286" s="59"/>
      <c r="AQ286" s="59"/>
      <c r="AR286" s="59"/>
      <c r="AS286" s="59"/>
      <c r="AT286" s="59"/>
      <c r="AU286" s="59"/>
      <c r="AV286" s="59"/>
      <c r="AW286" s="18">
        <f t="shared" si="8"/>
        <v>37</v>
      </c>
    </row>
    <row r="287" spans="1:49" s="20" customFormat="1" ht="26.4">
      <c r="A287" s="40">
        <f t="shared" si="13"/>
        <v>281</v>
      </c>
      <c r="B287" s="59"/>
      <c r="C287" s="59"/>
      <c r="D287" s="59"/>
      <c r="E287" s="59"/>
      <c r="F287" s="59"/>
      <c r="G287" s="59"/>
      <c r="H287" s="59"/>
      <c r="I287" s="59"/>
      <c r="J287" s="217" t="s">
        <v>2431</v>
      </c>
      <c r="K287" s="204" t="s">
        <v>163</v>
      </c>
      <c r="L287" s="200" t="s">
        <v>2432</v>
      </c>
      <c r="M287" s="200"/>
      <c r="N287" s="126" t="s">
        <v>1505</v>
      </c>
      <c r="O287" s="126"/>
      <c r="P287" s="126" t="s">
        <v>1506</v>
      </c>
      <c r="Q287" s="40" t="s">
        <v>6</v>
      </c>
      <c r="R287" s="126"/>
      <c r="S287" s="126"/>
      <c r="T287" s="40" t="s">
        <v>6</v>
      </c>
      <c r="U287" s="200" t="s">
        <v>1114</v>
      </c>
      <c r="V287" s="399"/>
      <c r="W287" s="204" t="s">
        <v>163</v>
      </c>
      <c r="X287" s="217"/>
      <c r="Y287" s="61" t="s">
        <v>1506</v>
      </c>
      <c r="Z287" s="59"/>
      <c r="AA287" s="59"/>
      <c r="AB287" s="253" t="s">
        <v>835</v>
      </c>
      <c r="AC287" s="59"/>
      <c r="AD287" s="59"/>
      <c r="AE287" s="204" t="s">
        <v>163</v>
      </c>
      <c r="AF287" s="217"/>
      <c r="AG287" s="61" t="s">
        <v>1506</v>
      </c>
      <c r="AH287" s="59"/>
      <c r="AI287" s="59"/>
      <c r="AJ287" s="253" t="s">
        <v>835</v>
      </c>
      <c r="AK287" s="59"/>
      <c r="AL287" s="59"/>
      <c r="AM287" s="59"/>
      <c r="AN287" s="59"/>
      <c r="AO287" s="59"/>
      <c r="AP287" s="59"/>
      <c r="AQ287" s="59"/>
      <c r="AR287" s="59"/>
      <c r="AS287" s="59"/>
      <c r="AT287" s="59"/>
      <c r="AU287" s="59"/>
      <c r="AV287" s="59"/>
      <c r="AW287" s="18">
        <f t="shared" si="8"/>
        <v>37</v>
      </c>
    </row>
    <row r="288" spans="1:49" s="20" customFormat="1" ht="26.4">
      <c r="A288" s="40">
        <f t="shared" si="13"/>
        <v>282</v>
      </c>
      <c r="B288" s="59"/>
      <c r="C288" s="59"/>
      <c r="D288" s="59"/>
      <c r="E288" s="59"/>
      <c r="F288" s="59"/>
      <c r="G288" s="59"/>
      <c r="H288" s="59"/>
      <c r="I288" s="59"/>
      <c r="J288" s="217" t="s">
        <v>2433</v>
      </c>
      <c r="K288" s="204" t="s">
        <v>163</v>
      </c>
      <c r="L288" s="200" t="s">
        <v>2434</v>
      </c>
      <c r="M288" s="200"/>
      <c r="N288" s="126" t="s">
        <v>1505</v>
      </c>
      <c r="O288" s="126"/>
      <c r="P288" s="126" t="s">
        <v>1506</v>
      </c>
      <c r="Q288" s="40" t="s">
        <v>6</v>
      </c>
      <c r="R288" s="126"/>
      <c r="S288" s="126"/>
      <c r="T288" s="40" t="s">
        <v>6</v>
      </c>
      <c r="U288" s="200" t="s">
        <v>1114</v>
      </c>
      <c r="V288" s="399"/>
      <c r="W288" s="204" t="s">
        <v>163</v>
      </c>
      <c r="X288" s="217"/>
      <c r="Y288" s="61" t="s">
        <v>1506</v>
      </c>
      <c r="Z288" s="59"/>
      <c r="AA288" s="59"/>
      <c r="AB288" s="253" t="s">
        <v>835</v>
      </c>
      <c r="AC288" s="59"/>
      <c r="AD288" s="59"/>
      <c r="AE288" s="204" t="s">
        <v>163</v>
      </c>
      <c r="AF288" s="217"/>
      <c r="AG288" s="61" t="s">
        <v>1506</v>
      </c>
      <c r="AH288" s="59"/>
      <c r="AI288" s="59"/>
      <c r="AJ288" s="253" t="s">
        <v>835</v>
      </c>
      <c r="AK288" s="59"/>
      <c r="AL288" s="59"/>
      <c r="AM288" s="59"/>
      <c r="AN288" s="59"/>
      <c r="AO288" s="59"/>
      <c r="AP288" s="59"/>
      <c r="AQ288" s="59"/>
      <c r="AR288" s="59"/>
      <c r="AS288" s="59"/>
      <c r="AT288" s="59"/>
      <c r="AU288" s="59"/>
      <c r="AV288" s="59"/>
      <c r="AW288" s="18">
        <f t="shared" si="8"/>
        <v>37</v>
      </c>
    </row>
    <row r="289" spans="1:49" s="20" customFormat="1" ht="26.4">
      <c r="A289" s="40">
        <f t="shared" si="13"/>
        <v>283</v>
      </c>
      <c r="B289" s="59"/>
      <c r="C289" s="59"/>
      <c r="D289" s="59"/>
      <c r="E289" s="59"/>
      <c r="F289" s="59"/>
      <c r="G289" s="59"/>
      <c r="H289" s="59"/>
      <c r="I289" s="59"/>
      <c r="J289" s="217" t="s">
        <v>2435</v>
      </c>
      <c r="K289" s="204" t="s">
        <v>163</v>
      </c>
      <c r="L289" s="200" t="s">
        <v>2436</v>
      </c>
      <c r="M289" s="200"/>
      <c r="N289" s="126" t="s">
        <v>1505</v>
      </c>
      <c r="O289" s="126"/>
      <c r="P289" s="126" t="s">
        <v>1506</v>
      </c>
      <c r="Q289" s="40" t="s">
        <v>6</v>
      </c>
      <c r="R289" s="126"/>
      <c r="S289" s="126"/>
      <c r="T289" s="40" t="s">
        <v>6</v>
      </c>
      <c r="U289" s="412"/>
      <c r="V289" s="399"/>
      <c r="W289" s="204" t="s">
        <v>163</v>
      </c>
      <c r="X289" s="217"/>
      <c r="Y289" s="61" t="s">
        <v>1506</v>
      </c>
      <c r="Z289" s="59"/>
      <c r="AA289" s="59"/>
      <c r="AB289" s="253" t="s">
        <v>835</v>
      </c>
      <c r="AC289" s="59"/>
      <c r="AD289" s="59"/>
      <c r="AE289" s="204" t="s">
        <v>163</v>
      </c>
      <c r="AF289" s="217"/>
      <c r="AG289" s="61" t="s">
        <v>1506</v>
      </c>
      <c r="AH289" s="59"/>
      <c r="AI289" s="59"/>
      <c r="AJ289" s="253" t="s">
        <v>835</v>
      </c>
      <c r="AK289" s="59"/>
      <c r="AL289" s="59"/>
      <c r="AM289" s="59"/>
      <c r="AN289" s="59"/>
      <c r="AO289" s="59"/>
      <c r="AP289" s="59"/>
      <c r="AQ289" s="59"/>
      <c r="AR289" s="59"/>
      <c r="AS289" s="59"/>
      <c r="AT289" s="59"/>
      <c r="AU289" s="59"/>
      <c r="AV289" s="59"/>
      <c r="AW289" s="18">
        <f t="shared" si="8"/>
        <v>38</v>
      </c>
    </row>
    <row r="290" spans="1:49" ht="15">
      <c r="A290" s="452">
        <f t="shared" si="13"/>
        <v>284</v>
      </c>
      <c r="B290" s="62"/>
      <c r="C290" s="62"/>
      <c r="D290" s="62"/>
      <c r="E290" s="62"/>
      <c r="F290" s="62"/>
      <c r="G290" s="62"/>
      <c r="H290" s="62"/>
      <c r="I290" s="62"/>
      <c r="J290" s="483" t="s">
        <v>858</v>
      </c>
      <c r="K290" s="63"/>
      <c r="L290" s="63"/>
      <c r="M290" s="63"/>
      <c r="N290" s="139"/>
      <c r="O290" s="139"/>
      <c r="P290" s="139"/>
      <c r="Q290" s="139"/>
      <c r="R290" s="139"/>
      <c r="S290" s="139"/>
      <c r="T290" s="139"/>
      <c r="U290" s="354"/>
      <c r="V290" s="311"/>
      <c r="W290" s="63"/>
      <c r="X290" s="63"/>
      <c r="Y290" s="63"/>
      <c r="Z290" s="63"/>
      <c r="AA290" s="63"/>
      <c r="AB290" s="312"/>
      <c r="AC290" s="63"/>
      <c r="AD290" s="63"/>
      <c r="AE290" s="63"/>
      <c r="AF290" s="63"/>
      <c r="AG290" s="63"/>
      <c r="AH290" s="63"/>
      <c r="AI290" s="63"/>
      <c r="AJ290" s="312"/>
      <c r="AK290" s="63"/>
      <c r="AL290" s="63"/>
      <c r="AM290" s="63"/>
      <c r="AN290" s="63"/>
      <c r="AO290" s="63"/>
      <c r="AP290" s="63"/>
      <c r="AQ290" s="63"/>
      <c r="AR290" s="63"/>
      <c r="AS290" s="63"/>
      <c r="AT290" s="63"/>
      <c r="AU290" s="63"/>
      <c r="AV290" s="63"/>
      <c r="AW290" s="18">
        <f t="shared" si="8"/>
        <v>0</v>
      </c>
    </row>
    <row r="291" spans="1:49" s="20" customFormat="1" ht="15">
      <c r="A291" s="40">
        <f t="shared" si="13"/>
        <v>285</v>
      </c>
      <c r="B291" s="59"/>
      <c r="C291" s="59"/>
      <c r="D291" s="59"/>
      <c r="E291" s="59"/>
      <c r="F291" s="59"/>
      <c r="G291" s="59"/>
      <c r="H291" s="59"/>
      <c r="I291" s="59"/>
      <c r="J291" s="215" t="s">
        <v>2340</v>
      </c>
      <c r="K291" s="204"/>
      <c r="L291" s="253" t="s">
        <v>1641</v>
      </c>
      <c r="M291" s="253"/>
      <c r="N291" s="126" t="s">
        <v>413</v>
      </c>
      <c r="O291" s="40" t="s">
        <v>862</v>
      </c>
      <c r="P291" s="40"/>
      <c r="Q291" s="40" t="s">
        <v>6</v>
      </c>
      <c r="R291" s="40"/>
      <c r="S291" s="40"/>
      <c r="T291" s="40" t="s">
        <v>6</v>
      </c>
      <c r="U291" s="232" t="s">
        <v>2342</v>
      </c>
      <c r="V291" s="204"/>
      <c r="W291" s="204"/>
      <c r="X291" s="40" t="s">
        <v>862</v>
      </c>
      <c r="Y291" s="13"/>
      <c r="Z291" s="59"/>
      <c r="AA291" s="59"/>
      <c r="AB291" s="15"/>
      <c r="AC291" s="59"/>
      <c r="AD291" s="59"/>
      <c r="AE291" s="204"/>
      <c r="AF291" s="40" t="s">
        <v>862</v>
      </c>
      <c r="AG291" s="13"/>
      <c r="AH291" s="59"/>
      <c r="AI291" s="59"/>
      <c r="AJ291" s="15"/>
      <c r="AK291" s="59"/>
      <c r="AL291" s="59"/>
      <c r="AM291" s="59"/>
      <c r="AN291" s="59"/>
      <c r="AO291" s="59"/>
      <c r="AP291" s="59"/>
      <c r="AQ291" s="59"/>
      <c r="AR291" s="59"/>
      <c r="AS291" s="59"/>
      <c r="AT291" s="59"/>
      <c r="AU291" s="59"/>
      <c r="AV291" s="59"/>
      <c r="AW291" s="18">
        <f t="shared" si="8"/>
        <v>23</v>
      </c>
    </row>
    <row r="292" spans="1:49" s="20" customFormat="1" ht="15">
      <c r="A292" s="40">
        <f>ROW() - 6</f>
        <v>286</v>
      </c>
      <c r="B292" s="59"/>
      <c r="C292" s="59"/>
      <c r="D292" s="59"/>
      <c r="E292" s="59"/>
      <c r="F292" s="59"/>
      <c r="G292" s="59"/>
      <c r="H292" s="59"/>
      <c r="I292" s="59"/>
      <c r="J292" s="217" t="s">
        <v>2442</v>
      </c>
      <c r="K292" s="217"/>
      <c r="L292" s="253" t="s">
        <v>1563</v>
      </c>
      <c r="M292" s="253"/>
      <c r="N292" s="126" t="s">
        <v>407</v>
      </c>
      <c r="O292" s="40" t="s">
        <v>861</v>
      </c>
      <c r="P292" s="40"/>
      <c r="Q292" s="40" t="s">
        <v>6</v>
      </c>
      <c r="R292" s="126"/>
      <c r="S292" s="126"/>
      <c r="T292" s="40" t="s">
        <v>6</v>
      </c>
      <c r="U292" s="412"/>
      <c r="V292" s="399"/>
      <c r="W292" s="217"/>
      <c r="X292" s="40" t="s">
        <v>861</v>
      </c>
      <c r="Y292" s="126"/>
      <c r="Z292" s="59"/>
      <c r="AA292" s="59"/>
      <c r="AB292" s="15"/>
      <c r="AC292" s="59"/>
      <c r="AD292" s="59"/>
      <c r="AE292" s="217"/>
      <c r="AF292" s="40" t="s">
        <v>861</v>
      </c>
      <c r="AG292" s="126"/>
      <c r="AH292" s="59"/>
      <c r="AI292" s="59"/>
      <c r="AJ292" s="15"/>
      <c r="AK292" s="59"/>
      <c r="AL292" s="59"/>
      <c r="AM292" s="59"/>
      <c r="AN292" s="59"/>
      <c r="AO292" s="59"/>
      <c r="AP292" s="59"/>
      <c r="AQ292" s="59"/>
      <c r="AR292" s="59"/>
      <c r="AS292" s="59"/>
      <c r="AT292" s="59"/>
      <c r="AU292" s="59"/>
      <c r="AV292" s="59"/>
      <c r="AW292" s="18">
        <f t="shared" si="8"/>
        <v>41</v>
      </c>
    </row>
    <row r="293" spans="1:49" s="236" customFormat="1" ht="15">
      <c r="A293" s="40">
        <f>ROW() - 6</f>
        <v>287</v>
      </c>
      <c r="B293" s="199"/>
      <c r="C293" s="199"/>
      <c r="D293" s="199"/>
      <c r="E293" s="199"/>
      <c r="F293" s="199"/>
      <c r="G293" s="199"/>
      <c r="H293" s="199"/>
      <c r="I293" s="199"/>
      <c r="J293" s="412" t="s">
        <v>2383</v>
      </c>
      <c r="K293" s="217"/>
      <c r="L293" s="204" t="s">
        <v>1561</v>
      </c>
      <c r="M293" s="204"/>
      <c r="N293" s="40" t="s">
        <v>244</v>
      </c>
      <c r="O293" s="40" t="s">
        <v>861</v>
      </c>
      <c r="P293" s="40"/>
      <c r="Q293" s="40" t="s">
        <v>6</v>
      </c>
      <c r="R293" s="126"/>
      <c r="S293" s="126"/>
      <c r="T293" s="40" t="s">
        <v>6</v>
      </c>
      <c r="U293" s="412"/>
      <c r="V293" s="399"/>
      <c r="W293" s="217"/>
      <c r="X293" s="40" t="s">
        <v>861</v>
      </c>
      <c r="Y293" s="126"/>
      <c r="Z293" s="199"/>
      <c r="AA293" s="199"/>
      <c r="AB293" s="198"/>
      <c r="AC293" s="199"/>
      <c r="AD293" s="199"/>
      <c r="AE293" s="217"/>
      <c r="AF293" s="40" t="s">
        <v>861</v>
      </c>
      <c r="AG293" s="126"/>
      <c r="AH293" s="199"/>
      <c r="AI293" s="199"/>
      <c r="AJ293" s="198"/>
      <c r="AK293" s="199"/>
      <c r="AL293" s="199"/>
      <c r="AM293" s="199"/>
      <c r="AN293" s="199"/>
      <c r="AO293" s="199"/>
      <c r="AP293" s="199"/>
      <c r="AQ293" s="199"/>
      <c r="AR293" s="199"/>
      <c r="AS293" s="199"/>
      <c r="AT293" s="199"/>
      <c r="AU293" s="199"/>
      <c r="AV293" s="199"/>
      <c r="AW293" s="155">
        <f t="shared" si="8"/>
        <v>32</v>
      </c>
    </row>
    <row r="294" spans="1:49" s="236" customFormat="1" ht="15">
      <c r="A294" s="40">
        <f>ROW() - 6</f>
        <v>288</v>
      </c>
      <c r="B294" s="199"/>
      <c r="C294" s="199"/>
      <c r="D294" s="199"/>
      <c r="E294" s="199"/>
      <c r="F294" s="199"/>
      <c r="G294" s="199"/>
      <c r="H294" s="199"/>
      <c r="I294" s="199"/>
      <c r="J294" s="412" t="s">
        <v>2388</v>
      </c>
      <c r="K294" s="217"/>
      <c r="L294" s="204" t="s">
        <v>1562</v>
      </c>
      <c r="M294" s="204"/>
      <c r="N294" s="40" t="s">
        <v>244</v>
      </c>
      <c r="O294" s="40" t="s">
        <v>861</v>
      </c>
      <c r="P294" s="40"/>
      <c r="Q294" s="40" t="s">
        <v>6</v>
      </c>
      <c r="R294" s="126"/>
      <c r="S294" s="126"/>
      <c r="T294" s="40" t="s">
        <v>6</v>
      </c>
      <c r="U294" s="412"/>
      <c r="V294" s="399"/>
      <c r="W294" s="217"/>
      <c r="X294" s="40" t="s">
        <v>861</v>
      </c>
      <c r="Y294" s="126"/>
      <c r="Z294" s="199"/>
      <c r="AA294" s="199"/>
      <c r="AB294" s="198"/>
      <c r="AC294" s="199"/>
      <c r="AD294" s="199"/>
      <c r="AE294" s="217"/>
      <c r="AF294" s="40" t="s">
        <v>861</v>
      </c>
      <c r="AG294" s="126"/>
      <c r="AH294" s="199"/>
      <c r="AI294" s="199"/>
      <c r="AJ294" s="198"/>
      <c r="AK294" s="199"/>
      <c r="AL294" s="199"/>
      <c r="AM294" s="199"/>
      <c r="AN294" s="199"/>
      <c r="AO294" s="199"/>
      <c r="AP294" s="199"/>
      <c r="AQ294" s="199"/>
      <c r="AR294" s="199"/>
      <c r="AS294" s="199"/>
      <c r="AT294" s="199"/>
      <c r="AU294" s="199"/>
      <c r="AV294" s="199"/>
      <c r="AW294" s="155">
        <f t="shared" si="8"/>
        <v>32</v>
      </c>
    </row>
    <row r="295" spans="1:49" ht="15">
      <c r="U295" s="346"/>
      <c r="V295" s="72"/>
      <c r="AJ295" s="72"/>
      <c r="AW295" s="18">
        <f t="shared" si="8"/>
        <v>0</v>
      </c>
    </row>
    <row r="296" spans="1:49" ht="15">
      <c r="U296" s="346"/>
      <c r="V296" s="72"/>
      <c r="AJ296" s="72"/>
      <c r="AW296" s="18">
        <f t="shared" si="8"/>
        <v>0</v>
      </c>
    </row>
    <row r="297" spans="1:49" ht="15">
      <c r="U297" s="346"/>
      <c r="V297" s="72"/>
      <c r="AJ297" s="72"/>
      <c r="AW297" s="18">
        <f t="shared" si="8"/>
        <v>0</v>
      </c>
    </row>
    <row r="298" spans="1:49" ht="15">
      <c r="AW298" s="18">
        <f t="shared" si="8"/>
        <v>0</v>
      </c>
    </row>
    <row r="299" spans="1:49" ht="15">
      <c r="AW299" s="18">
        <f t="shared" si="8"/>
        <v>0</v>
      </c>
    </row>
    <row r="300" spans="1:49" ht="15">
      <c r="AW300" s="18">
        <f t="shared" si="8"/>
        <v>0</v>
      </c>
    </row>
    <row r="301" spans="1:49" ht="15">
      <c r="AW301" s="18">
        <f t="shared" si="8"/>
        <v>0</v>
      </c>
    </row>
    <row r="302" spans="1:49" ht="15">
      <c r="AW302" s="18">
        <f t="shared" ref="AW302:AW365" si="14">LEN(L302)</f>
        <v>0</v>
      </c>
    </row>
    <row r="303" spans="1:49" ht="15">
      <c r="AW303" s="18">
        <f t="shared" si="14"/>
        <v>0</v>
      </c>
    </row>
    <row r="304" spans="1:49" ht="15">
      <c r="AW304" s="18">
        <f t="shared" si="14"/>
        <v>0</v>
      </c>
    </row>
    <row r="305" spans="49:49" ht="15">
      <c r="AW305" s="18">
        <f t="shared" si="14"/>
        <v>0</v>
      </c>
    </row>
    <row r="306" spans="49:49" ht="15">
      <c r="AW306" s="18">
        <f t="shared" si="14"/>
        <v>0</v>
      </c>
    </row>
    <row r="307" spans="49:49" ht="15">
      <c r="AW307" s="18">
        <f t="shared" si="14"/>
        <v>0</v>
      </c>
    </row>
    <row r="308" spans="49:49" ht="15">
      <c r="AW308" s="18">
        <f t="shared" si="14"/>
        <v>0</v>
      </c>
    </row>
    <row r="309" spans="49:49" ht="15">
      <c r="AW309" s="18">
        <f t="shared" si="14"/>
        <v>0</v>
      </c>
    </row>
    <row r="310" spans="49:49" ht="15">
      <c r="AW310" s="18">
        <f t="shared" si="14"/>
        <v>0</v>
      </c>
    </row>
    <row r="311" spans="49:49" ht="15">
      <c r="AW311" s="18">
        <f t="shared" si="14"/>
        <v>0</v>
      </c>
    </row>
    <row r="312" spans="49:49" ht="15">
      <c r="AW312" s="18">
        <f t="shared" si="14"/>
        <v>0</v>
      </c>
    </row>
    <row r="313" spans="49:49" ht="15">
      <c r="AW313" s="18">
        <f t="shared" si="14"/>
        <v>0</v>
      </c>
    </row>
    <row r="314" spans="49:49" ht="15">
      <c r="AW314" s="18">
        <f t="shared" si="14"/>
        <v>0</v>
      </c>
    </row>
    <row r="315" spans="49:49" ht="15">
      <c r="AW315" s="18">
        <f t="shared" si="14"/>
        <v>0</v>
      </c>
    </row>
    <row r="316" spans="49:49" ht="15">
      <c r="AW316" s="18">
        <f t="shared" si="14"/>
        <v>0</v>
      </c>
    </row>
    <row r="317" spans="49:49" ht="15">
      <c r="AW317" s="18">
        <f t="shared" si="14"/>
        <v>0</v>
      </c>
    </row>
    <row r="318" spans="49:49" ht="15">
      <c r="AW318" s="18">
        <f t="shared" si="14"/>
        <v>0</v>
      </c>
    </row>
    <row r="319" spans="49:49" ht="15">
      <c r="AW319" s="18">
        <f t="shared" si="14"/>
        <v>0</v>
      </c>
    </row>
    <row r="320" spans="49:49" ht="15">
      <c r="AW320" s="18">
        <f t="shared" si="14"/>
        <v>0</v>
      </c>
    </row>
    <row r="321" spans="49:49" ht="15">
      <c r="AW321" s="18">
        <f t="shared" si="14"/>
        <v>0</v>
      </c>
    </row>
    <row r="322" spans="49:49" ht="15">
      <c r="AW322" s="18">
        <f t="shared" si="14"/>
        <v>0</v>
      </c>
    </row>
    <row r="323" spans="49:49" ht="15">
      <c r="AW323" s="18">
        <f t="shared" si="14"/>
        <v>0</v>
      </c>
    </row>
    <row r="324" spans="49:49" ht="15">
      <c r="AW324" s="18">
        <f t="shared" si="14"/>
        <v>0</v>
      </c>
    </row>
    <row r="325" spans="49:49" ht="15">
      <c r="AW325" s="18">
        <f t="shared" si="14"/>
        <v>0</v>
      </c>
    </row>
    <row r="326" spans="49:49" ht="15">
      <c r="AW326" s="18">
        <f t="shared" si="14"/>
        <v>0</v>
      </c>
    </row>
    <row r="327" spans="49:49" ht="15">
      <c r="AW327" s="18">
        <f t="shared" si="14"/>
        <v>0</v>
      </c>
    </row>
    <row r="328" spans="49:49" ht="15">
      <c r="AW328" s="18">
        <f t="shared" si="14"/>
        <v>0</v>
      </c>
    </row>
    <row r="329" spans="49:49" ht="15">
      <c r="AW329" s="18">
        <f t="shared" si="14"/>
        <v>0</v>
      </c>
    </row>
    <row r="330" spans="49:49" ht="15">
      <c r="AW330" s="18">
        <f t="shared" si="14"/>
        <v>0</v>
      </c>
    </row>
    <row r="331" spans="49:49" ht="15">
      <c r="AW331" s="18">
        <f t="shared" si="14"/>
        <v>0</v>
      </c>
    </row>
    <row r="332" spans="49:49" ht="15">
      <c r="AW332" s="18">
        <f t="shared" si="14"/>
        <v>0</v>
      </c>
    </row>
    <row r="333" spans="49:49" ht="15">
      <c r="AW333" s="18">
        <f t="shared" si="14"/>
        <v>0</v>
      </c>
    </row>
    <row r="334" spans="49:49" ht="15">
      <c r="AW334" s="18">
        <f t="shared" si="14"/>
        <v>0</v>
      </c>
    </row>
    <row r="335" spans="49:49" ht="15">
      <c r="AW335" s="18">
        <f t="shared" si="14"/>
        <v>0</v>
      </c>
    </row>
    <row r="336" spans="49:49" ht="15">
      <c r="AW336" s="18">
        <f t="shared" si="14"/>
        <v>0</v>
      </c>
    </row>
    <row r="337" spans="49:49" ht="15">
      <c r="AW337" s="18">
        <f t="shared" si="14"/>
        <v>0</v>
      </c>
    </row>
    <row r="338" spans="49:49" ht="15">
      <c r="AW338" s="18">
        <f t="shared" si="14"/>
        <v>0</v>
      </c>
    </row>
    <row r="339" spans="49:49" ht="15">
      <c r="AW339" s="18">
        <f t="shared" si="14"/>
        <v>0</v>
      </c>
    </row>
    <row r="340" spans="49:49" ht="15">
      <c r="AW340" s="18">
        <f t="shared" si="14"/>
        <v>0</v>
      </c>
    </row>
    <row r="341" spans="49:49" ht="15">
      <c r="AW341" s="18">
        <f t="shared" si="14"/>
        <v>0</v>
      </c>
    </row>
    <row r="342" spans="49:49" ht="15">
      <c r="AW342" s="18">
        <f t="shared" si="14"/>
        <v>0</v>
      </c>
    </row>
    <row r="343" spans="49:49" ht="15">
      <c r="AW343" s="18">
        <f t="shared" si="14"/>
        <v>0</v>
      </c>
    </row>
    <row r="344" spans="49:49" ht="15">
      <c r="AW344" s="18">
        <f t="shared" si="14"/>
        <v>0</v>
      </c>
    </row>
    <row r="345" spans="49:49" ht="15">
      <c r="AW345" s="18">
        <f t="shared" si="14"/>
        <v>0</v>
      </c>
    </row>
    <row r="346" spans="49:49" ht="15">
      <c r="AW346" s="18">
        <f t="shared" si="14"/>
        <v>0</v>
      </c>
    </row>
    <row r="347" spans="49:49" ht="15">
      <c r="AW347" s="18">
        <f t="shared" si="14"/>
        <v>0</v>
      </c>
    </row>
    <row r="348" spans="49:49" ht="15">
      <c r="AW348" s="18">
        <f t="shared" si="14"/>
        <v>0</v>
      </c>
    </row>
    <row r="349" spans="49:49" ht="15">
      <c r="AW349" s="18">
        <f t="shared" si="14"/>
        <v>0</v>
      </c>
    </row>
    <row r="350" spans="49:49" ht="15">
      <c r="AW350" s="18">
        <f t="shared" si="14"/>
        <v>0</v>
      </c>
    </row>
    <row r="351" spans="49:49" ht="15">
      <c r="AW351" s="18">
        <f t="shared" si="14"/>
        <v>0</v>
      </c>
    </row>
    <row r="352" spans="49:49" ht="15">
      <c r="AW352" s="18">
        <f t="shared" si="14"/>
        <v>0</v>
      </c>
    </row>
    <row r="353" spans="49:49" ht="15">
      <c r="AW353" s="18">
        <f t="shared" si="14"/>
        <v>0</v>
      </c>
    </row>
    <row r="354" spans="49:49" ht="15">
      <c r="AW354" s="18">
        <f t="shared" si="14"/>
        <v>0</v>
      </c>
    </row>
    <row r="355" spans="49:49" ht="15">
      <c r="AW355" s="18">
        <f t="shared" si="14"/>
        <v>0</v>
      </c>
    </row>
    <row r="356" spans="49:49" ht="15">
      <c r="AW356" s="18">
        <f t="shared" si="14"/>
        <v>0</v>
      </c>
    </row>
    <row r="357" spans="49:49" ht="15">
      <c r="AW357" s="18">
        <f t="shared" si="14"/>
        <v>0</v>
      </c>
    </row>
    <row r="358" spans="49:49" ht="15">
      <c r="AW358" s="18">
        <f t="shared" si="14"/>
        <v>0</v>
      </c>
    </row>
    <row r="359" spans="49:49" ht="15">
      <c r="AW359" s="18">
        <f t="shared" si="14"/>
        <v>0</v>
      </c>
    </row>
    <row r="360" spans="49:49" ht="15">
      <c r="AW360" s="18">
        <f t="shared" si="14"/>
        <v>0</v>
      </c>
    </row>
    <row r="361" spans="49:49" ht="15">
      <c r="AW361" s="18">
        <f t="shared" si="14"/>
        <v>0</v>
      </c>
    </row>
    <row r="362" spans="49:49" ht="15">
      <c r="AW362" s="18">
        <f t="shared" si="14"/>
        <v>0</v>
      </c>
    </row>
    <row r="363" spans="49:49" ht="15">
      <c r="AW363" s="18">
        <f t="shared" si="14"/>
        <v>0</v>
      </c>
    </row>
    <row r="364" spans="49:49" ht="15">
      <c r="AW364" s="18">
        <f t="shared" si="14"/>
        <v>0</v>
      </c>
    </row>
    <row r="365" spans="49:49" ht="15">
      <c r="AW365" s="18">
        <f t="shared" si="14"/>
        <v>0</v>
      </c>
    </row>
    <row r="366" spans="49:49" ht="15">
      <c r="AW366" s="18">
        <f t="shared" ref="AW366:AW429" si="15">LEN(L366)</f>
        <v>0</v>
      </c>
    </row>
    <row r="367" spans="49:49" ht="15">
      <c r="AW367" s="18">
        <f t="shared" si="15"/>
        <v>0</v>
      </c>
    </row>
    <row r="368" spans="49:49" ht="15">
      <c r="AW368" s="18">
        <f t="shared" si="15"/>
        <v>0</v>
      </c>
    </row>
    <row r="369" spans="49:49" ht="15">
      <c r="AW369" s="18">
        <f t="shared" si="15"/>
        <v>0</v>
      </c>
    </row>
    <row r="370" spans="49:49" ht="15">
      <c r="AW370" s="18">
        <f t="shared" si="15"/>
        <v>0</v>
      </c>
    </row>
    <row r="371" spans="49:49" ht="15">
      <c r="AW371" s="18">
        <f t="shared" si="15"/>
        <v>0</v>
      </c>
    </row>
    <row r="372" spans="49:49" ht="15">
      <c r="AW372" s="18">
        <f t="shared" si="15"/>
        <v>0</v>
      </c>
    </row>
    <row r="373" spans="49:49" ht="15">
      <c r="AW373" s="18">
        <f t="shared" si="15"/>
        <v>0</v>
      </c>
    </row>
    <row r="374" spans="49:49" ht="15">
      <c r="AW374" s="18">
        <f t="shared" si="15"/>
        <v>0</v>
      </c>
    </row>
    <row r="375" spans="49:49" ht="15">
      <c r="AW375" s="18">
        <f t="shared" si="15"/>
        <v>0</v>
      </c>
    </row>
    <row r="376" spans="49:49" ht="15">
      <c r="AW376" s="18">
        <f t="shared" si="15"/>
        <v>0</v>
      </c>
    </row>
    <row r="377" spans="49:49" ht="15">
      <c r="AW377" s="18">
        <f t="shared" si="15"/>
        <v>0</v>
      </c>
    </row>
    <row r="378" spans="49:49" ht="15">
      <c r="AW378" s="18">
        <f t="shared" si="15"/>
        <v>0</v>
      </c>
    </row>
    <row r="379" spans="49:49" ht="15">
      <c r="AW379" s="18">
        <f t="shared" si="15"/>
        <v>0</v>
      </c>
    </row>
    <row r="380" spans="49:49" ht="15">
      <c r="AW380" s="18">
        <f t="shared" si="15"/>
        <v>0</v>
      </c>
    </row>
    <row r="381" spans="49:49" ht="15">
      <c r="AW381" s="18">
        <f t="shared" si="15"/>
        <v>0</v>
      </c>
    </row>
    <row r="382" spans="49:49" ht="15">
      <c r="AW382" s="18">
        <f t="shared" si="15"/>
        <v>0</v>
      </c>
    </row>
    <row r="383" spans="49:49" ht="15">
      <c r="AW383" s="18">
        <f t="shared" si="15"/>
        <v>0</v>
      </c>
    </row>
    <row r="384" spans="49:49" ht="15">
      <c r="AW384" s="18">
        <f t="shared" si="15"/>
        <v>0</v>
      </c>
    </row>
    <row r="385" spans="49:49" ht="15">
      <c r="AW385" s="18">
        <f t="shared" si="15"/>
        <v>0</v>
      </c>
    </row>
    <row r="386" spans="49:49" ht="15">
      <c r="AW386" s="18">
        <f t="shared" si="15"/>
        <v>0</v>
      </c>
    </row>
    <row r="387" spans="49:49" ht="15">
      <c r="AW387" s="18">
        <f t="shared" si="15"/>
        <v>0</v>
      </c>
    </row>
    <row r="388" spans="49:49" ht="15">
      <c r="AW388" s="18">
        <f t="shared" si="15"/>
        <v>0</v>
      </c>
    </row>
    <row r="389" spans="49:49" ht="15">
      <c r="AW389" s="18">
        <f t="shared" si="15"/>
        <v>0</v>
      </c>
    </row>
    <row r="390" spans="49:49" ht="15">
      <c r="AW390" s="18">
        <f t="shared" si="15"/>
        <v>0</v>
      </c>
    </row>
    <row r="391" spans="49:49" ht="15">
      <c r="AW391" s="18">
        <f t="shared" si="15"/>
        <v>0</v>
      </c>
    </row>
    <row r="392" spans="49:49" ht="15">
      <c r="AW392" s="18">
        <f t="shared" si="15"/>
        <v>0</v>
      </c>
    </row>
    <row r="393" spans="49:49" ht="15">
      <c r="AW393" s="18">
        <f t="shared" si="15"/>
        <v>0</v>
      </c>
    </row>
    <row r="394" spans="49:49" ht="15">
      <c r="AW394" s="18">
        <f t="shared" si="15"/>
        <v>0</v>
      </c>
    </row>
    <row r="395" spans="49:49" ht="15">
      <c r="AW395" s="18">
        <f t="shared" si="15"/>
        <v>0</v>
      </c>
    </row>
    <row r="396" spans="49:49" ht="15">
      <c r="AW396" s="18">
        <f t="shared" si="15"/>
        <v>0</v>
      </c>
    </row>
    <row r="397" spans="49:49" ht="15">
      <c r="AW397" s="18">
        <f t="shared" si="15"/>
        <v>0</v>
      </c>
    </row>
    <row r="398" spans="49:49" ht="15">
      <c r="AW398" s="18">
        <f t="shared" si="15"/>
        <v>0</v>
      </c>
    </row>
    <row r="399" spans="49:49" ht="15">
      <c r="AW399" s="18">
        <f t="shared" si="15"/>
        <v>0</v>
      </c>
    </row>
    <row r="400" spans="49:49" ht="15">
      <c r="AW400" s="18">
        <f t="shared" si="15"/>
        <v>0</v>
      </c>
    </row>
    <row r="401" spans="49:49" ht="15">
      <c r="AW401" s="18">
        <f t="shared" si="15"/>
        <v>0</v>
      </c>
    </row>
    <row r="402" spans="49:49" ht="15">
      <c r="AW402" s="18">
        <f t="shared" si="15"/>
        <v>0</v>
      </c>
    </row>
    <row r="403" spans="49:49" ht="15">
      <c r="AW403" s="18">
        <f t="shared" si="15"/>
        <v>0</v>
      </c>
    </row>
    <row r="404" spans="49:49" ht="15">
      <c r="AW404" s="18">
        <f t="shared" si="15"/>
        <v>0</v>
      </c>
    </row>
    <row r="405" spans="49:49" ht="15">
      <c r="AW405" s="18">
        <f t="shared" si="15"/>
        <v>0</v>
      </c>
    </row>
    <row r="406" spans="49:49" ht="15">
      <c r="AW406" s="18">
        <f t="shared" si="15"/>
        <v>0</v>
      </c>
    </row>
    <row r="407" spans="49:49" ht="15">
      <c r="AW407" s="18">
        <f t="shared" si="15"/>
        <v>0</v>
      </c>
    </row>
    <row r="408" spans="49:49" ht="15">
      <c r="AW408" s="18">
        <f t="shared" si="15"/>
        <v>0</v>
      </c>
    </row>
    <row r="409" spans="49:49" ht="15">
      <c r="AW409" s="18">
        <f t="shared" si="15"/>
        <v>0</v>
      </c>
    </row>
    <row r="410" spans="49:49" ht="15">
      <c r="AW410" s="18">
        <f t="shared" si="15"/>
        <v>0</v>
      </c>
    </row>
    <row r="411" spans="49:49" ht="15">
      <c r="AW411" s="18">
        <f t="shared" si="15"/>
        <v>0</v>
      </c>
    </row>
    <row r="412" spans="49:49" ht="15">
      <c r="AW412" s="18">
        <f t="shared" si="15"/>
        <v>0</v>
      </c>
    </row>
    <row r="413" spans="49:49" ht="15">
      <c r="AW413" s="18">
        <f t="shared" si="15"/>
        <v>0</v>
      </c>
    </row>
    <row r="414" spans="49:49" ht="15">
      <c r="AW414" s="18">
        <f t="shared" si="15"/>
        <v>0</v>
      </c>
    </row>
    <row r="415" spans="49:49" ht="15">
      <c r="AW415" s="18">
        <f t="shared" si="15"/>
        <v>0</v>
      </c>
    </row>
    <row r="416" spans="49:49" ht="15">
      <c r="AW416" s="18">
        <f t="shared" si="15"/>
        <v>0</v>
      </c>
    </row>
    <row r="417" spans="49:49" ht="15">
      <c r="AW417" s="18">
        <f t="shared" si="15"/>
        <v>0</v>
      </c>
    </row>
    <row r="418" spans="49:49" ht="15">
      <c r="AW418" s="18">
        <f t="shared" si="15"/>
        <v>0</v>
      </c>
    </row>
    <row r="419" spans="49:49" ht="15">
      <c r="AW419" s="18">
        <f t="shared" si="15"/>
        <v>0</v>
      </c>
    </row>
    <row r="420" spans="49:49" ht="15">
      <c r="AW420" s="18">
        <f t="shared" si="15"/>
        <v>0</v>
      </c>
    </row>
    <row r="421" spans="49:49" ht="15">
      <c r="AW421" s="18">
        <f t="shared" si="15"/>
        <v>0</v>
      </c>
    </row>
    <row r="422" spans="49:49" ht="15">
      <c r="AW422" s="18">
        <f t="shared" si="15"/>
        <v>0</v>
      </c>
    </row>
    <row r="423" spans="49:49" ht="15">
      <c r="AW423" s="18">
        <f t="shared" si="15"/>
        <v>0</v>
      </c>
    </row>
    <row r="424" spans="49:49" ht="15">
      <c r="AW424" s="18">
        <f t="shared" si="15"/>
        <v>0</v>
      </c>
    </row>
    <row r="425" spans="49:49" ht="15">
      <c r="AW425" s="18">
        <f t="shared" si="15"/>
        <v>0</v>
      </c>
    </row>
    <row r="426" spans="49:49" ht="15">
      <c r="AW426" s="18">
        <f t="shared" si="15"/>
        <v>0</v>
      </c>
    </row>
    <row r="427" spans="49:49" ht="15">
      <c r="AW427" s="18">
        <f t="shared" si="15"/>
        <v>0</v>
      </c>
    </row>
    <row r="428" spans="49:49" ht="15">
      <c r="AW428" s="18">
        <f t="shared" si="15"/>
        <v>0</v>
      </c>
    </row>
    <row r="429" spans="49:49" ht="15">
      <c r="AW429" s="18">
        <f t="shared" si="15"/>
        <v>0</v>
      </c>
    </row>
    <row r="430" spans="49:49" ht="15">
      <c r="AW430" s="18">
        <f t="shared" ref="AW430:AW493" si="16">LEN(L430)</f>
        <v>0</v>
      </c>
    </row>
    <row r="431" spans="49:49" ht="15">
      <c r="AW431" s="18">
        <f t="shared" si="16"/>
        <v>0</v>
      </c>
    </row>
    <row r="432" spans="49:49" ht="15">
      <c r="AW432" s="18">
        <f t="shared" si="16"/>
        <v>0</v>
      </c>
    </row>
    <row r="433" spans="49:49" ht="15">
      <c r="AW433" s="18">
        <f t="shared" si="16"/>
        <v>0</v>
      </c>
    </row>
    <row r="434" spans="49:49" ht="15">
      <c r="AW434" s="18">
        <f t="shared" si="16"/>
        <v>0</v>
      </c>
    </row>
    <row r="435" spans="49:49" ht="15">
      <c r="AW435" s="18">
        <f t="shared" si="16"/>
        <v>0</v>
      </c>
    </row>
    <row r="436" spans="49:49" ht="15">
      <c r="AW436" s="18">
        <f t="shared" si="16"/>
        <v>0</v>
      </c>
    </row>
    <row r="437" spans="49:49" ht="15">
      <c r="AW437" s="18">
        <f t="shared" si="16"/>
        <v>0</v>
      </c>
    </row>
    <row r="438" spans="49:49" ht="15">
      <c r="AW438" s="18">
        <f t="shared" si="16"/>
        <v>0</v>
      </c>
    </row>
    <row r="439" spans="49:49" ht="15">
      <c r="AW439" s="18">
        <f t="shared" si="16"/>
        <v>0</v>
      </c>
    </row>
    <row r="440" spans="49:49" ht="15">
      <c r="AW440" s="18">
        <f t="shared" si="16"/>
        <v>0</v>
      </c>
    </row>
    <row r="441" spans="49:49" ht="15">
      <c r="AW441" s="18">
        <f t="shared" si="16"/>
        <v>0</v>
      </c>
    </row>
    <row r="442" spans="49:49" ht="15">
      <c r="AW442" s="18">
        <f t="shared" si="16"/>
        <v>0</v>
      </c>
    </row>
    <row r="443" spans="49:49" ht="15">
      <c r="AW443" s="18">
        <f t="shared" si="16"/>
        <v>0</v>
      </c>
    </row>
    <row r="444" spans="49:49" ht="15">
      <c r="AW444" s="18">
        <f t="shared" si="16"/>
        <v>0</v>
      </c>
    </row>
    <row r="445" spans="49:49" ht="15">
      <c r="AW445" s="18">
        <f t="shared" si="16"/>
        <v>0</v>
      </c>
    </row>
    <row r="446" spans="49:49" ht="15">
      <c r="AW446" s="18">
        <f t="shared" si="16"/>
        <v>0</v>
      </c>
    </row>
    <row r="447" spans="49:49" ht="15">
      <c r="AW447" s="18">
        <f t="shared" si="16"/>
        <v>0</v>
      </c>
    </row>
    <row r="448" spans="49:49" ht="15">
      <c r="AW448" s="18">
        <f t="shared" si="16"/>
        <v>0</v>
      </c>
    </row>
    <row r="449" spans="49:49" ht="15">
      <c r="AW449" s="18">
        <f t="shared" si="16"/>
        <v>0</v>
      </c>
    </row>
    <row r="450" spans="49:49" ht="15">
      <c r="AW450" s="18">
        <f t="shared" si="16"/>
        <v>0</v>
      </c>
    </row>
    <row r="451" spans="49:49" ht="15">
      <c r="AW451" s="18">
        <f t="shared" si="16"/>
        <v>0</v>
      </c>
    </row>
    <row r="452" spans="49:49" ht="15">
      <c r="AW452" s="18">
        <f t="shared" si="16"/>
        <v>0</v>
      </c>
    </row>
    <row r="453" spans="49:49" ht="15">
      <c r="AW453" s="18">
        <f t="shared" si="16"/>
        <v>0</v>
      </c>
    </row>
    <row r="454" spans="49:49" ht="15">
      <c r="AW454" s="18">
        <f t="shared" si="16"/>
        <v>0</v>
      </c>
    </row>
    <row r="455" spans="49:49" ht="15">
      <c r="AW455" s="18">
        <f t="shared" si="16"/>
        <v>0</v>
      </c>
    </row>
    <row r="456" spans="49:49" ht="15">
      <c r="AW456" s="18">
        <f t="shared" si="16"/>
        <v>0</v>
      </c>
    </row>
    <row r="457" spans="49:49" ht="15">
      <c r="AW457" s="18">
        <f t="shared" si="16"/>
        <v>0</v>
      </c>
    </row>
    <row r="458" spans="49:49" ht="15">
      <c r="AW458" s="18">
        <f t="shared" si="16"/>
        <v>0</v>
      </c>
    </row>
    <row r="459" spans="49:49" ht="15">
      <c r="AW459" s="18">
        <f t="shared" si="16"/>
        <v>0</v>
      </c>
    </row>
    <row r="460" spans="49:49" ht="15">
      <c r="AW460" s="18">
        <f t="shared" si="16"/>
        <v>0</v>
      </c>
    </row>
    <row r="461" spans="49:49" ht="15">
      <c r="AW461" s="18">
        <f t="shared" si="16"/>
        <v>0</v>
      </c>
    </row>
    <row r="462" spans="49:49" ht="15">
      <c r="AW462" s="18">
        <f t="shared" si="16"/>
        <v>0</v>
      </c>
    </row>
    <row r="463" spans="49:49" ht="15">
      <c r="AW463" s="18">
        <f t="shared" si="16"/>
        <v>0</v>
      </c>
    </row>
    <row r="464" spans="49:49" ht="15">
      <c r="AW464" s="18">
        <f t="shared" si="16"/>
        <v>0</v>
      </c>
    </row>
    <row r="465" spans="49:49" ht="15">
      <c r="AW465" s="18">
        <f t="shared" si="16"/>
        <v>0</v>
      </c>
    </row>
    <row r="466" spans="49:49" ht="15">
      <c r="AW466" s="18">
        <f t="shared" si="16"/>
        <v>0</v>
      </c>
    </row>
    <row r="467" spans="49:49" ht="15">
      <c r="AW467" s="18">
        <f t="shared" si="16"/>
        <v>0</v>
      </c>
    </row>
    <row r="468" spans="49:49" ht="15">
      <c r="AW468" s="18">
        <f t="shared" si="16"/>
        <v>0</v>
      </c>
    </row>
    <row r="469" spans="49:49" ht="15">
      <c r="AW469" s="18">
        <f t="shared" si="16"/>
        <v>0</v>
      </c>
    </row>
    <row r="470" spans="49:49" ht="15">
      <c r="AW470" s="18">
        <f t="shared" si="16"/>
        <v>0</v>
      </c>
    </row>
    <row r="471" spans="49:49" ht="15">
      <c r="AW471" s="18">
        <f t="shared" si="16"/>
        <v>0</v>
      </c>
    </row>
    <row r="472" spans="49:49" ht="15">
      <c r="AW472" s="18">
        <f t="shared" si="16"/>
        <v>0</v>
      </c>
    </row>
    <row r="473" spans="49:49" ht="15">
      <c r="AW473" s="18">
        <f t="shared" si="16"/>
        <v>0</v>
      </c>
    </row>
    <row r="474" spans="49:49" ht="15">
      <c r="AW474" s="18">
        <f t="shared" si="16"/>
        <v>0</v>
      </c>
    </row>
    <row r="475" spans="49:49" ht="15">
      <c r="AW475" s="18">
        <f t="shared" si="16"/>
        <v>0</v>
      </c>
    </row>
    <row r="476" spans="49:49" ht="15">
      <c r="AW476" s="18">
        <f t="shared" si="16"/>
        <v>0</v>
      </c>
    </row>
    <row r="477" spans="49:49" ht="15">
      <c r="AW477" s="18">
        <f t="shared" si="16"/>
        <v>0</v>
      </c>
    </row>
    <row r="478" spans="49:49" ht="15">
      <c r="AW478" s="18">
        <f t="shared" si="16"/>
        <v>0</v>
      </c>
    </row>
    <row r="479" spans="49:49" ht="15">
      <c r="AW479" s="18">
        <f t="shared" si="16"/>
        <v>0</v>
      </c>
    </row>
    <row r="480" spans="49:49" ht="15">
      <c r="AW480" s="18">
        <f t="shared" si="16"/>
        <v>0</v>
      </c>
    </row>
    <row r="481" spans="49:49" ht="15">
      <c r="AW481" s="18">
        <f t="shared" si="16"/>
        <v>0</v>
      </c>
    </row>
    <row r="482" spans="49:49" ht="15">
      <c r="AW482" s="18">
        <f t="shared" si="16"/>
        <v>0</v>
      </c>
    </row>
    <row r="483" spans="49:49" ht="15">
      <c r="AW483" s="18">
        <f t="shared" si="16"/>
        <v>0</v>
      </c>
    </row>
    <row r="484" spans="49:49" ht="15">
      <c r="AW484" s="18">
        <f t="shared" si="16"/>
        <v>0</v>
      </c>
    </row>
    <row r="485" spans="49:49" ht="15">
      <c r="AW485" s="18">
        <f t="shared" si="16"/>
        <v>0</v>
      </c>
    </row>
    <row r="486" spans="49:49" ht="15">
      <c r="AW486" s="18">
        <f t="shared" si="16"/>
        <v>0</v>
      </c>
    </row>
    <row r="487" spans="49:49" ht="15">
      <c r="AW487" s="18">
        <f t="shared" si="16"/>
        <v>0</v>
      </c>
    </row>
    <row r="488" spans="49:49" ht="15">
      <c r="AW488" s="18">
        <f t="shared" si="16"/>
        <v>0</v>
      </c>
    </row>
    <row r="489" spans="49:49" ht="15">
      <c r="AW489" s="18">
        <f t="shared" si="16"/>
        <v>0</v>
      </c>
    </row>
    <row r="490" spans="49:49" ht="15">
      <c r="AW490" s="18">
        <f t="shared" si="16"/>
        <v>0</v>
      </c>
    </row>
    <row r="491" spans="49:49" ht="15">
      <c r="AW491" s="18">
        <f t="shared" si="16"/>
        <v>0</v>
      </c>
    </row>
    <row r="492" spans="49:49" ht="15">
      <c r="AW492" s="18">
        <f t="shared" si="16"/>
        <v>0</v>
      </c>
    </row>
    <row r="493" spans="49:49" ht="15">
      <c r="AW493" s="18">
        <f t="shared" si="16"/>
        <v>0</v>
      </c>
    </row>
    <row r="494" spans="49:49" ht="15">
      <c r="AW494" s="18">
        <f t="shared" ref="AW494:AW557" si="17">LEN(L494)</f>
        <v>0</v>
      </c>
    </row>
    <row r="495" spans="49:49" ht="15">
      <c r="AW495" s="18">
        <f t="shared" si="17"/>
        <v>0</v>
      </c>
    </row>
    <row r="496" spans="49:49" ht="15">
      <c r="AW496" s="18">
        <f t="shared" si="17"/>
        <v>0</v>
      </c>
    </row>
    <row r="497" spans="49:49" ht="15">
      <c r="AW497" s="18">
        <f t="shared" si="17"/>
        <v>0</v>
      </c>
    </row>
    <row r="498" spans="49:49" ht="15">
      <c r="AW498" s="18">
        <f t="shared" si="17"/>
        <v>0</v>
      </c>
    </row>
    <row r="499" spans="49:49" ht="15">
      <c r="AW499" s="18">
        <f t="shared" si="17"/>
        <v>0</v>
      </c>
    </row>
    <row r="500" spans="49:49" ht="15">
      <c r="AW500" s="18">
        <f t="shared" si="17"/>
        <v>0</v>
      </c>
    </row>
    <row r="501" spans="49:49" ht="15">
      <c r="AW501" s="18">
        <f t="shared" si="17"/>
        <v>0</v>
      </c>
    </row>
    <row r="502" spans="49:49" ht="15">
      <c r="AW502" s="18">
        <f t="shared" si="17"/>
        <v>0</v>
      </c>
    </row>
    <row r="503" spans="49:49" ht="15">
      <c r="AW503" s="18">
        <f t="shared" si="17"/>
        <v>0</v>
      </c>
    </row>
    <row r="504" spans="49:49" ht="15">
      <c r="AW504" s="18">
        <f t="shared" si="17"/>
        <v>0</v>
      </c>
    </row>
    <row r="505" spans="49:49" ht="15">
      <c r="AW505" s="18">
        <f t="shared" si="17"/>
        <v>0</v>
      </c>
    </row>
    <row r="506" spans="49:49" ht="15">
      <c r="AW506" s="18">
        <f t="shared" si="17"/>
        <v>0</v>
      </c>
    </row>
    <row r="507" spans="49:49" ht="15">
      <c r="AW507" s="18">
        <f t="shared" si="17"/>
        <v>0</v>
      </c>
    </row>
    <row r="508" spans="49:49" ht="15">
      <c r="AW508" s="18">
        <f t="shared" si="17"/>
        <v>0</v>
      </c>
    </row>
    <row r="509" spans="49:49" ht="15">
      <c r="AW509" s="18">
        <f t="shared" si="17"/>
        <v>0</v>
      </c>
    </row>
    <row r="510" spans="49:49" ht="15">
      <c r="AW510" s="18">
        <f t="shared" si="17"/>
        <v>0</v>
      </c>
    </row>
    <row r="511" spans="49:49" ht="15">
      <c r="AW511" s="18">
        <f t="shared" si="17"/>
        <v>0</v>
      </c>
    </row>
    <row r="512" spans="49:49" ht="15">
      <c r="AW512" s="18">
        <f t="shared" si="17"/>
        <v>0</v>
      </c>
    </row>
    <row r="513" spans="49:49" ht="15">
      <c r="AW513" s="18">
        <f t="shared" si="17"/>
        <v>0</v>
      </c>
    </row>
    <row r="514" spans="49:49" ht="15">
      <c r="AW514" s="18">
        <f t="shared" si="17"/>
        <v>0</v>
      </c>
    </row>
    <row r="515" spans="49:49" ht="15">
      <c r="AW515" s="18">
        <f t="shared" si="17"/>
        <v>0</v>
      </c>
    </row>
    <row r="516" spans="49:49" ht="15">
      <c r="AW516" s="18">
        <f t="shared" si="17"/>
        <v>0</v>
      </c>
    </row>
    <row r="517" spans="49:49" ht="15">
      <c r="AW517" s="18">
        <f t="shared" si="17"/>
        <v>0</v>
      </c>
    </row>
    <row r="518" spans="49:49" ht="15">
      <c r="AW518" s="18">
        <f t="shared" si="17"/>
        <v>0</v>
      </c>
    </row>
    <row r="519" spans="49:49" ht="15">
      <c r="AW519" s="18">
        <f t="shared" si="17"/>
        <v>0</v>
      </c>
    </row>
    <row r="520" spans="49:49" ht="15">
      <c r="AW520" s="18">
        <f t="shared" si="17"/>
        <v>0</v>
      </c>
    </row>
    <row r="521" spans="49:49" ht="15">
      <c r="AW521" s="18">
        <f t="shared" si="17"/>
        <v>0</v>
      </c>
    </row>
    <row r="522" spans="49:49" ht="15">
      <c r="AW522" s="18">
        <f t="shared" si="17"/>
        <v>0</v>
      </c>
    </row>
    <row r="523" spans="49:49" ht="15">
      <c r="AW523" s="18">
        <f t="shared" si="17"/>
        <v>0</v>
      </c>
    </row>
    <row r="524" spans="49:49" ht="15">
      <c r="AW524" s="18">
        <f t="shared" si="17"/>
        <v>0</v>
      </c>
    </row>
    <row r="525" spans="49:49" ht="15">
      <c r="AW525" s="18">
        <f t="shared" si="17"/>
        <v>0</v>
      </c>
    </row>
    <row r="526" spans="49:49" ht="15">
      <c r="AW526" s="18">
        <f t="shared" si="17"/>
        <v>0</v>
      </c>
    </row>
    <row r="527" spans="49:49" ht="15">
      <c r="AW527" s="18">
        <f t="shared" si="17"/>
        <v>0</v>
      </c>
    </row>
    <row r="528" spans="49:49" ht="15">
      <c r="AW528" s="18">
        <f t="shared" si="17"/>
        <v>0</v>
      </c>
    </row>
    <row r="529" spans="49:49" ht="15">
      <c r="AW529" s="18">
        <f t="shared" si="17"/>
        <v>0</v>
      </c>
    </row>
    <row r="530" spans="49:49" ht="15">
      <c r="AW530" s="18">
        <f t="shared" si="17"/>
        <v>0</v>
      </c>
    </row>
    <row r="531" spans="49:49" ht="15">
      <c r="AW531" s="18">
        <f t="shared" si="17"/>
        <v>0</v>
      </c>
    </row>
    <row r="532" spans="49:49" ht="15">
      <c r="AW532" s="18">
        <f t="shared" si="17"/>
        <v>0</v>
      </c>
    </row>
    <row r="533" spans="49:49" ht="15">
      <c r="AW533" s="18">
        <f t="shared" si="17"/>
        <v>0</v>
      </c>
    </row>
    <row r="534" spans="49:49" ht="15">
      <c r="AW534" s="18">
        <f t="shared" si="17"/>
        <v>0</v>
      </c>
    </row>
    <row r="535" spans="49:49" ht="15">
      <c r="AW535" s="18">
        <f t="shared" si="17"/>
        <v>0</v>
      </c>
    </row>
    <row r="536" spans="49:49" ht="15">
      <c r="AW536" s="18">
        <f t="shared" si="17"/>
        <v>0</v>
      </c>
    </row>
    <row r="537" spans="49:49" ht="15">
      <c r="AW537" s="18">
        <f t="shared" si="17"/>
        <v>0</v>
      </c>
    </row>
    <row r="538" spans="49:49" ht="15">
      <c r="AW538" s="18">
        <f t="shared" si="17"/>
        <v>0</v>
      </c>
    </row>
    <row r="539" spans="49:49" ht="15">
      <c r="AW539" s="18">
        <f t="shared" si="17"/>
        <v>0</v>
      </c>
    </row>
    <row r="540" spans="49:49" ht="15">
      <c r="AW540" s="18">
        <f t="shared" si="17"/>
        <v>0</v>
      </c>
    </row>
    <row r="541" spans="49:49" ht="15">
      <c r="AW541" s="18">
        <f t="shared" si="17"/>
        <v>0</v>
      </c>
    </row>
    <row r="542" spans="49:49" ht="15">
      <c r="AW542" s="18">
        <f t="shared" si="17"/>
        <v>0</v>
      </c>
    </row>
    <row r="543" spans="49:49" ht="15">
      <c r="AW543" s="18">
        <f t="shared" si="17"/>
        <v>0</v>
      </c>
    </row>
    <row r="544" spans="49:49" ht="15">
      <c r="AW544" s="18">
        <f t="shared" si="17"/>
        <v>0</v>
      </c>
    </row>
    <row r="545" spans="49:49" ht="15">
      <c r="AW545" s="18">
        <f t="shared" si="17"/>
        <v>0</v>
      </c>
    </row>
    <row r="546" spans="49:49" ht="15">
      <c r="AW546" s="18">
        <f t="shared" si="17"/>
        <v>0</v>
      </c>
    </row>
    <row r="547" spans="49:49" ht="15">
      <c r="AW547" s="18">
        <f t="shared" si="17"/>
        <v>0</v>
      </c>
    </row>
    <row r="548" spans="49:49" ht="15">
      <c r="AW548" s="18">
        <f t="shared" si="17"/>
        <v>0</v>
      </c>
    </row>
    <row r="549" spans="49:49" ht="15">
      <c r="AW549" s="18">
        <f t="shared" si="17"/>
        <v>0</v>
      </c>
    </row>
    <row r="550" spans="49:49" ht="15">
      <c r="AW550" s="18">
        <f t="shared" si="17"/>
        <v>0</v>
      </c>
    </row>
    <row r="551" spans="49:49" ht="15">
      <c r="AW551" s="18">
        <f t="shared" si="17"/>
        <v>0</v>
      </c>
    </row>
    <row r="552" spans="49:49" ht="15">
      <c r="AW552" s="18">
        <f t="shared" si="17"/>
        <v>0</v>
      </c>
    </row>
    <row r="553" spans="49:49" ht="15">
      <c r="AW553" s="18">
        <f t="shared" si="17"/>
        <v>0</v>
      </c>
    </row>
    <row r="554" spans="49:49" ht="15">
      <c r="AW554" s="18">
        <f t="shared" si="17"/>
        <v>0</v>
      </c>
    </row>
    <row r="555" spans="49:49" ht="15">
      <c r="AW555" s="18">
        <f t="shared" si="17"/>
        <v>0</v>
      </c>
    </row>
    <row r="556" spans="49:49" ht="15">
      <c r="AW556" s="18">
        <f t="shared" si="17"/>
        <v>0</v>
      </c>
    </row>
    <row r="557" spans="49:49" ht="15">
      <c r="AW557" s="18">
        <f t="shared" si="17"/>
        <v>0</v>
      </c>
    </row>
    <row r="558" spans="49:49" ht="15">
      <c r="AW558" s="18">
        <f t="shared" ref="AW558:AW612" si="18">LEN(L558)</f>
        <v>0</v>
      </c>
    </row>
    <row r="559" spans="49:49" ht="15">
      <c r="AW559" s="18">
        <f t="shared" si="18"/>
        <v>0</v>
      </c>
    </row>
    <row r="560" spans="49:49" ht="15">
      <c r="AW560" s="18">
        <f t="shared" si="18"/>
        <v>0</v>
      </c>
    </row>
    <row r="561" spans="49:49" ht="15">
      <c r="AW561" s="18">
        <f t="shared" si="18"/>
        <v>0</v>
      </c>
    </row>
    <row r="562" spans="49:49" ht="15">
      <c r="AW562" s="18">
        <f t="shared" si="18"/>
        <v>0</v>
      </c>
    </row>
    <row r="563" spans="49:49" ht="15">
      <c r="AW563" s="18">
        <f t="shared" si="18"/>
        <v>0</v>
      </c>
    </row>
    <row r="564" spans="49:49" ht="15">
      <c r="AW564" s="18">
        <f t="shared" si="18"/>
        <v>0</v>
      </c>
    </row>
    <row r="565" spans="49:49" ht="15">
      <c r="AW565" s="18">
        <f t="shared" si="18"/>
        <v>0</v>
      </c>
    </row>
    <row r="566" spans="49:49" ht="15">
      <c r="AW566" s="18">
        <f t="shared" si="18"/>
        <v>0</v>
      </c>
    </row>
    <row r="567" spans="49:49" ht="15">
      <c r="AW567" s="18">
        <f t="shared" si="18"/>
        <v>0</v>
      </c>
    </row>
    <row r="568" spans="49:49" ht="15">
      <c r="AW568" s="18">
        <f t="shared" si="18"/>
        <v>0</v>
      </c>
    </row>
    <row r="569" spans="49:49" ht="15">
      <c r="AW569" s="18">
        <f t="shared" si="18"/>
        <v>0</v>
      </c>
    </row>
    <row r="570" spans="49:49" ht="15">
      <c r="AW570" s="18">
        <f t="shared" si="18"/>
        <v>0</v>
      </c>
    </row>
    <row r="571" spans="49:49" ht="15">
      <c r="AW571" s="18">
        <f t="shared" si="18"/>
        <v>0</v>
      </c>
    </row>
    <row r="572" spans="49:49" ht="15">
      <c r="AW572" s="18">
        <f t="shared" si="18"/>
        <v>0</v>
      </c>
    </row>
    <row r="573" spans="49:49" ht="15">
      <c r="AW573" s="18">
        <f t="shared" si="18"/>
        <v>0</v>
      </c>
    </row>
    <row r="574" spans="49:49" ht="15">
      <c r="AW574" s="18">
        <f t="shared" si="18"/>
        <v>0</v>
      </c>
    </row>
    <row r="575" spans="49:49" ht="15">
      <c r="AW575" s="18">
        <f t="shared" si="18"/>
        <v>0</v>
      </c>
    </row>
    <row r="576" spans="49:49" ht="15">
      <c r="AW576" s="18">
        <f t="shared" si="18"/>
        <v>0</v>
      </c>
    </row>
    <row r="577" spans="49:49" ht="15">
      <c r="AW577" s="18">
        <f t="shared" si="18"/>
        <v>0</v>
      </c>
    </row>
    <row r="578" spans="49:49" ht="15">
      <c r="AW578" s="18">
        <f t="shared" si="18"/>
        <v>0</v>
      </c>
    </row>
    <row r="579" spans="49:49" ht="15">
      <c r="AW579" s="18">
        <f t="shared" si="18"/>
        <v>0</v>
      </c>
    </row>
    <row r="580" spans="49:49" ht="15">
      <c r="AW580" s="18">
        <f t="shared" si="18"/>
        <v>0</v>
      </c>
    </row>
    <row r="581" spans="49:49" ht="15">
      <c r="AW581" s="18">
        <f t="shared" si="18"/>
        <v>0</v>
      </c>
    </row>
    <row r="582" spans="49:49" ht="15">
      <c r="AW582" s="18">
        <f t="shared" si="18"/>
        <v>0</v>
      </c>
    </row>
    <row r="583" spans="49:49" ht="15">
      <c r="AW583" s="18">
        <f t="shared" si="18"/>
        <v>0</v>
      </c>
    </row>
    <row r="584" spans="49:49" ht="15">
      <c r="AW584" s="18">
        <f t="shared" si="18"/>
        <v>0</v>
      </c>
    </row>
    <row r="585" spans="49:49" ht="15">
      <c r="AW585" s="18">
        <f t="shared" si="18"/>
        <v>0</v>
      </c>
    </row>
    <row r="586" spans="49:49" ht="15">
      <c r="AW586" s="18">
        <f t="shared" si="18"/>
        <v>0</v>
      </c>
    </row>
    <row r="587" spans="49:49" ht="15">
      <c r="AW587" s="18">
        <f t="shared" si="18"/>
        <v>0</v>
      </c>
    </row>
    <row r="588" spans="49:49" ht="15">
      <c r="AW588" s="18">
        <f t="shared" si="18"/>
        <v>0</v>
      </c>
    </row>
    <row r="589" spans="49:49" ht="15">
      <c r="AW589" s="18">
        <f t="shared" si="18"/>
        <v>0</v>
      </c>
    </row>
    <row r="590" spans="49:49" ht="15">
      <c r="AW590" s="18">
        <f t="shared" si="18"/>
        <v>0</v>
      </c>
    </row>
    <row r="591" spans="49:49" ht="15">
      <c r="AW591" s="18">
        <f t="shared" si="18"/>
        <v>0</v>
      </c>
    </row>
    <row r="592" spans="49:49" ht="15">
      <c r="AW592" s="18">
        <f t="shared" si="18"/>
        <v>0</v>
      </c>
    </row>
    <row r="593" spans="49:49" ht="15">
      <c r="AW593" s="18">
        <f t="shared" si="18"/>
        <v>0</v>
      </c>
    </row>
    <row r="594" spans="49:49" ht="15">
      <c r="AW594" s="18">
        <f t="shared" si="18"/>
        <v>0</v>
      </c>
    </row>
    <row r="595" spans="49:49" ht="15">
      <c r="AW595" s="18">
        <f t="shared" si="18"/>
        <v>0</v>
      </c>
    </row>
    <row r="596" spans="49:49" ht="15">
      <c r="AW596" s="18">
        <f t="shared" si="18"/>
        <v>0</v>
      </c>
    </row>
    <row r="597" spans="49:49" ht="15">
      <c r="AW597" s="18">
        <f t="shared" si="18"/>
        <v>0</v>
      </c>
    </row>
    <row r="598" spans="49:49" ht="15">
      <c r="AW598" s="18">
        <f t="shared" si="18"/>
        <v>0</v>
      </c>
    </row>
    <row r="599" spans="49:49" ht="15">
      <c r="AW599" s="18">
        <f t="shared" si="18"/>
        <v>0</v>
      </c>
    </row>
    <row r="600" spans="49:49" ht="15">
      <c r="AW600" s="18">
        <f t="shared" si="18"/>
        <v>0</v>
      </c>
    </row>
    <row r="601" spans="49:49" ht="15">
      <c r="AW601" s="18">
        <f t="shared" si="18"/>
        <v>0</v>
      </c>
    </row>
    <row r="602" spans="49:49" ht="15">
      <c r="AW602" s="18">
        <f t="shared" si="18"/>
        <v>0</v>
      </c>
    </row>
    <row r="603" spans="49:49" ht="15">
      <c r="AW603" s="18">
        <f t="shared" si="18"/>
        <v>0</v>
      </c>
    </row>
    <row r="604" spans="49:49" ht="15">
      <c r="AW604" s="18">
        <f t="shared" si="18"/>
        <v>0</v>
      </c>
    </row>
    <row r="605" spans="49:49" ht="15">
      <c r="AW605" s="18">
        <f t="shared" si="18"/>
        <v>0</v>
      </c>
    </row>
    <row r="606" spans="49:49" ht="15">
      <c r="AW606" s="18">
        <f t="shared" si="18"/>
        <v>0</v>
      </c>
    </row>
    <row r="607" spans="49:49" ht="15">
      <c r="AW607" s="18">
        <f t="shared" si="18"/>
        <v>0</v>
      </c>
    </row>
    <row r="608" spans="49:49" ht="15">
      <c r="AW608" s="18">
        <f t="shared" si="18"/>
        <v>0</v>
      </c>
    </row>
    <row r="609" spans="49:49" ht="15">
      <c r="AW609" s="18">
        <f t="shared" si="18"/>
        <v>0</v>
      </c>
    </row>
    <row r="610" spans="49:49" ht="15">
      <c r="AW610" s="18">
        <f t="shared" si="18"/>
        <v>0</v>
      </c>
    </row>
    <row r="611" spans="49:49" ht="15">
      <c r="AW611" s="18">
        <f t="shared" si="18"/>
        <v>0</v>
      </c>
    </row>
    <row r="612" spans="49:49" ht="15">
      <c r="AW612" s="18">
        <f t="shared" si="18"/>
        <v>0</v>
      </c>
    </row>
  </sheetData>
  <mergeCells count="54">
    <mergeCell ref="AH5:AH6"/>
    <mergeCell ref="AO5:AO6"/>
    <mergeCell ref="AJ5:AJ6"/>
    <mergeCell ref="AV5:AV6"/>
    <mergeCell ref="AX5:AX6"/>
    <mergeCell ref="AP5:AP6"/>
    <mergeCell ref="AQ5:AQ6"/>
    <mergeCell ref="AR5:AR6"/>
    <mergeCell ref="AS5:AS6"/>
    <mergeCell ref="AT5:AT6"/>
    <mergeCell ref="CC5:CD5"/>
    <mergeCell ref="AZ5:AZ6"/>
    <mergeCell ref="BA5:BE5"/>
    <mergeCell ref="BF5:BS5"/>
    <mergeCell ref="BT5:BW5"/>
    <mergeCell ref="BZ5:CB5"/>
    <mergeCell ref="BX5:BY5"/>
    <mergeCell ref="B4:C4"/>
    <mergeCell ref="AO4:AU4"/>
    <mergeCell ref="B5:B6"/>
    <mergeCell ref="C5:C6"/>
    <mergeCell ref="D5:D6"/>
    <mergeCell ref="E5:E6"/>
    <mergeCell ref="AF5:AF6"/>
    <mergeCell ref="Q5:Q6"/>
    <mergeCell ref="AG5:AG6"/>
    <mergeCell ref="R5:R6"/>
    <mergeCell ref="AU5:AU6"/>
    <mergeCell ref="AE4:AL4"/>
    <mergeCell ref="AK5:AK6"/>
    <mergeCell ref="AL5:AL6"/>
    <mergeCell ref="AI5:AI6"/>
    <mergeCell ref="AE5:AE6"/>
    <mergeCell ref="K5:K6"/>
    <mergeCell ref="H5:H6"/>
    <mergeCell ref="I5:I6"/>
    <mergeCell ref="J5:J6"/>
    <mergeCell ref="L5:L6"/>
    <mergeCell ref="W4:AD4"/>
    <mergeCell ref="AB5:AB6"/>
    <mergeCell ref="AC5:AC6"/>
    <mergeCell ref="AD5:AD6"/>
    <mergeCell ref="N5:N6"/>
    <mergeCell ref="O5:O6"/>
    <mergeCell ref="S5:S6"/>
    <mergeCell ref="U5:U6"/>
    <mergeCell ref="V5:V6"/>
    <mergeCell ref="W5:W6"/>
    <mergeCell ref="P5:P6"/>
    <mergeCell ref="T5:T6"/>
    <mergeCell ref="Y5:Y6"/>
    <mergeCell ref="X5:X6"/>
    <mergeCell ref="Z5:Z6"/>
    <mergeCell ref="AA5:AA6"/>
  </mergeCells>
  <phoneticPr fontId="13" type="noConversion"/>
  <conditionalFormatting sqref="AW84:AW86 AW82 AW1:AW64 AW90:AW127 AW76:AW80 AW144:AW65554 AW66:AW74">
    <cfRule type="cellIs" dxfId="193" priority="260" stopIfTrue="1" operator="greaterThan">
      <formula>42</formula>
    </cfRule>
  </conditionalFormatting>
  <conditionalFormatting sqref="AW73">
    <cfRule type="cellIs" dxfId="192" priority="133" stopIfTrue="1" operator="greaterThan">
      <formula>42</formula>
    </cfRule>
  </conditionalFormatting>
  <conditionalFormatting sqref="AW53:AW55">
    <cfRule type="cellIs" dxfId="191" priority="121" stopIfTrue="1" operator="greaterThan">
      <formula>42</formula>
    </cfRule>
  </conditionalFormatting>
  <conditionalFormatting sqref="AW83">
    <cfRule type="cellIs" dxfId="190" priority="120" stopIfTrue="1" operator="greaterThan">
      <formula>42</formula>
    </cfRule>
  </conditionalFormatting>
  <conditionalFormatting sqref="AW81">
    <cfRule type="cellIs" dxfId="189" priority="119" stopIfTrue="1" operator="greaterThan">
      <formula>42</formula>
    </cfRule>
  </conditionalFormatting>
  <conditionalFormatting sqref="AW128">
    <cfRule type="cellIs" dxfId="188" priority="118" stopIfTrue="1" operator="greaterThan">
      <formula>42</formula>
    </cfRule>
  </conditionalFormatting>
  <conditionalFormatting sqref="AW129">
    <cfRule type="cellIs" dxfId="187" priority="117" stopIfTrue="1" operator="greaterThan">
      <formula>42</formula>
    </cfRule>
  </conditionalFormatting>
  <conditionalFormatting sqref="AW130">
    <cfRule type="cellIs" dxfId="186" priority="116" stopIfTrue="1" operator="greaterThan">
      <formula>42</formula>
    </cfRule>
  </conditionalFormatting>
  <conditionalFormatting sqref="AW131">
    <cfRule type="cellIs" dxfId="185" priority="115" stopIfTrue="1" operator="greaterThan">
      <formula>42</formula>
    </cfRule>
  </conditionalFormatting>
  <conditionalFormatting sqref="AW132">
    <cfRule type="cellIs" dxfId="184" priority="114" stopIfTrue="1" operator="greaterThan">
      <formula>42</formula>
    </cfRule>
  </conditionalFormatting>
  <conditionalFormatting sqref="AW133">
    <cfRule type="cellIs" dxfId="183" priority="113" stopIfTrue="1" operator="greaterThan">
      <formula>42</formula>
    </cfRule>
  </conditionalFormatting>
  <conditionalFormatting sqref="AW134">
    <cfRule type="cellIs" dxfId="182" priority="112" stopIfTrue="1" operator="greaterThan">
      <formula>42</formula>
    </cfRule>
  </conditionalFormatting>
  <conditionalFormatting sqref="AW135">
    <cfRule type="cellIs" dxfId="181" priority="111" stopIfTrue="1" operator="greaterThan">
      <formula>42</formula>
    </cfRule>
  </conditionalFormatting>
  <conditionalFormatting sqref="AW87">
    <cfRule type="cellIs" dxfId="180" priority="110" stopIfTrue="1" operator="greaterThan">
      <formula>42</formula>
    </cfRule>
  </conditionalFormatting>
  <conditionalFormatting sqref="AW88">
    <cfRule type="cellIs" dxfId="179" priority="109" stopIfTrue="1" operator="greaterThan">
      <formula>42</formula>
    </cfRule>
  </conditionalFormatting>
  <conditionalFormatting sqref="AW89">
    <cfRule type="cellIs" dxfId="178" priority="108" stopIfTrue="1" operator="greaterThan">
      <formula>42</formula>
    </cfRule>
  </conditionalFormatting>
  <conditionalFormatting sqref="AW75">
    <cfRule type="cellIs" dxfId="177" priority="105" stopIfTrue="1" operator="greaterThan">
      <formula>42</formula>
    </cfRule>
  </conditionalFormatting>
  <conditionalFormatting sqref="AW136:AW137 AW139 AW141:AW143">
    <cfRule type="cellIs" dxfId="176" priority="104" stopIfTrue="1" operator="greaterThan">
      <formula>42</formula>
    </cfRule>
  </conditionalFormatting>
  <conditionalFormatting sqref="AW136:AW137 AW139 AW141:AW143">
    <cfRule type="cellIs" dxfId="175" priority="103" stopIfTrue="1" operator="greaterThan">
      <formula>42</formula>
    </cfRule>
  </conditionalFormatting>
  <conditionalFormatting sqref="AW136:AW137 AW139 AW141:AW143">
    <cfRule type="cellIs" dxfId="174" priority="102" stopIfTrue="1" operator="greaterThan">
      <formula>42</formula>
    </cfRule>
  </conditionalFormatting>
  <conditionalFormatting sqref="AW136:AW137 AW139 AW141:AW143">
    <cfRule type="cellIs" dxfId="173" priority="101" stopIfTrue="1" operator="greaterThan">
      <formula>42</formula>
    </cfRule>
  </conditionalFormatting>
  <conditionalFormatting sqref="AW136:AW137 AW139 AW141:AW143">
    <cfRule type="cellIs" dxfId="172" priority="100" stopIfTrue="1" operator="greaterThan">
      <formula>42</formula>
    </cfRule>
  </conditionalFormatting>
  <conditionalFormatting sqref="AW136:AW137 AW139 AW141:AW143">
    <cfRule type="cellIs" dxfId="171" priority="99" stopIfTrue="1" operator="greaterThan">
      <formula>42</formula>
    </cfRule>
  </conditionalFormatting>
  <conditionalFormatting sqref="AW136:AW137 AW139 AW141:AW143">
    <cfRule type="cellIs" dxfId="170" priority="98" stopIfTrue="1" operator="greaterThan">
      <formula>42</formula>
    </cfRule>
  </conditionalFormatting>
  <conditionalFormatting sqref="AW136:AW137 AW139 AW141:AW143">
    <cfRule type="cellIs" dxfId="169" priority="97" stopIfTrue="1" operator="greaterThan">
      <formula>42</formula>
    </cfRule>
  </conditionalFormatting>
  <conditionalFormatting sqref="AW136:AW137 AW139 AW141:AW143">
    <cfRule type="cellIs" dxfId="168" priority="96" stopIfTrue="1" operator="greaterThan">
      <formula>42</formula>
    </cfRule>
  </conditionalFormatting>
  <conditionalFormatting sqref="AW136:AW137 AW139 AW141:AW143">
    <cfRule type="cellIs" dxfId="167" priority="95" stopIfTrue="1" operator="greaterThan">
      <formula>42</formula>
    </cfRule>
  </conditionalFormatting>
  <conditionalFormatting sqref="AW136:AW137 AW139 AW141:AW143">
    <cfRule type="cellIs" dxfId="166" priority="94" stopIfTrue="1" operator="greaterThan">
      <formula>42</formula>
    </cfRule>
  </conditionalFormatting>
  <conditionalFormatting sqref="AW136:AW137 AW139 AW141:AW143">
    <cfRule type="cellIs" dxfId="165" priority="93" stopIfTrue="1" operator="greaterThan">
      <formula>42</formula>
    </cfRule>
  </conditionalFormatting>
  <conditionalFormatting sqref="AW136:AW137 AW139 AW141:AW143">
    <cfRule type="cellIs" dxfId="164" priority="92" stopIfTrue="1" operator="greaterThan">
      <formula>42</formula>
    </cfRule>
  </conditionalFormatting>
  <conditionalFormatting sqref="AW136:AW137 AW139 AW141:AW143">
    <cfRule type="cellIs" dxfId="163" priority="91" stopIfTrue="1" operator="greaterThan">
      <formula>42</formula>
    </cfRule>
  </conditionalFormatting>
  <conditionalFormatting sqref="AW136:AW137 AW139 AW141:AW143">
    <cfRule type="cellIs" dxfId="162" priority="90" stopIfTrue="1" operator="greaterThan">
      <formula>42</formula>
    </cfRule>
  </conditionalFormatting>
  <conditionalFormatting sqref="AW136">
    <cfRule type="cellIs" dxfId="161" priority="89" stopIfTrue="1" operator="greaterThan">
      <formula>42</formula>
    </cfRule>
  </conditionalFormatting>
  <conditionalFormatting sqref="AW136">
    <cfRule type="cellIs" dxfId="160" priority="88" stopIfTrue="1" operator="greaterThan">
      <formula>42</formula>
    </cfRule>
  </conditionalFormatting>
  <conditionalFormatting sqref="AW136">
    <cfRule type="cellIs" dxfId="159" priority="87" stopIfTrue="1" operator="greaterThan">
      <formula>42</formula>
    </cfRule>
  </conditionalFormatting>
  <conditionalFormatting sqref="AW136">
    <cfRule type="cellIs" dxfId="158" priority="86" stopIfTrue="1" operator="greaterThan">
      <formula>42</formula>
    </cfRule>
  </conditionalFormatting>
  <conditionalFormatting sqref="AW136">
    <cfRule type="cellIs" dxfId="157" priority="85" stopIfTrue="1" operator="greaterThan">
      <formula>42</formula>
    </cfRule>
  </conditionalFormatting>
  <conditionalFormatting sqref="AW136">
    <cfRule type="cellIs" dxfId="156" priority="84" stopIfTrue="1" operator="greaterThan">
      <formula>42</formula>
    </cfRule>
  </conditionalFormatting>
  <conditionalFormatting sqref="AW136">
    <cfRule type="cellIs" dxfId="155" priority="83" stopIfTrue="1" operator="greaterThan">
      <formula>42</formula>
    </cfRule>
  </conditionalFormatting>
  <conditionalFormatting sqref="AW136">
    <cfRule type="cellIs" dxfId="154" priority="82" stopIfTrue="1" operator="greaterThan">
      <formula>42</formula>
    </cfRule>
  </conditionalFormatting>
  <conditionalFormatting sqref="AW136">
    <cfRule type="cellIs" dxfId="153" priority="81" stopIfTrue="1" operator="greaterThan">
      <formula>42</formula>
    </cfRule>
  </conditionalFormatting>
  <conditionalFormatting sqref="AW136">
    <cfRule type="cellIs" dxfId="152" priority="80" stopIfTrue="1" operator="greaterThan">
      <formula>42</formula>
    </cfRule>
  </conditionalFormatting>
  <conditionalFormatting sqref="AW136">
    <cfRule type="cellIs" dxfId="151" priority="79" stopIfTrue="1" operator="greaterThan">
      <formula>42</formula>
    </cfRule>
  </conditionalFormatting>
  <conditionalFormatting sqref="AW136">
    <cfRule type="cellIs" dxfId="150" priority="78" stopIfTrue="1" operator="greaterThan">
      <formula>42</formula>
    </cfRule>
  </conditionalFormatting>
  <conditionalFormatting sqref="AW136">
    <cfRule type="cellIs" dxfId="149" priority="77" stopIfTrue="1" operator="greaterThan">
      <formula>42</formula>
    </cfRule>
  </conditionalFormatting>
  <conditionalFormatting sqref="AW136">
    <cfRule type="cellIs" dxfId="148" priority="76" stopIfTrue="1" operator="greaterThan">
      <formula>42</formula>
    </cfRule>
  </conditionalFormatting>
  <conditionalFormatting sqref="AW136">
    <cfRule type="cellIs" dxfId="147" priority="75" stopIfTrue="1" operator="greaterThan">
      <formula>42</formula>
    </cfRule>
  </conditionalFormatting>
  <conditionalFormatting sqref="AW136">
    <cfRule type="cellIs" dxfId="146" priority="74" stopIfTrue="1" operator="greaterThan">
      <formula>42</formula>
    </cfRule>
  </conditionalFormatting>
  <conditionalFormatting sqref="AW136">
    <cfRule type="cellIs" dxfId="145" priority="73" stopIfTrue="1" operator="greaterThan">
      <formula>42</formula>
    </cfRule>
  </conditionalFormatting>
  <conditionalFormatting sqref="AW136">
    <cfRule type="cellIs" dxfId="144" priority="72" stopIfTrue="1" operator="greaterThan">
      <formula>42</formula>
    </cfRule>
  </conditionalFormatting>
  <conditionalFormatting sqref="AW136">
    <cfRule type="cellIs" dxfId="143" priority="71" stopIfTrue="1" operator="greaterThan">
      <formula>42</formula>
    </cfRule>
  </conditionalFormatting>
  <conditionalFormatting sqref="AW137 AW139 AW141:AW143">
    <cfRule type="cellIs" dxfId="142" priority="70" stopIfTrue="1" operator="greaterThan">
      <formula>42</formula>
    </cfRule>
  </conditionalFormatting>
  <conditionalFormatting sqref="AW137 AW139 AW141:AW143">
    <cfRule type="cellIs" dxfId="141" priority="69" stopIfTrue="1" operator="greaterThan">
      <formula>42</formula>
    </cfRule>
  </conditionalFormatting>
  <conditionalFormatting sqref="AW137 AW139 AW141:AW143">
    <cfRule type="cellIs" dxfId="140" priority="68" stopIfTrue="1" operator="greaterThan">
      <formula>42</formula>
    </cfRule>
  </conditionalFormatting>
  <conditionalFormatting sqref="AW137 AW139 AW141:AW143">
    <cfRule type="cellIs" dxfId="139" priority="67" stopIfTrue="1" operator="greaterThan">
      <formula>42</formula>
    </cfRule>
  </conditionalFormatting>
  <conditionalFormatting sqref="AW137 AW139 AW141:AW143">
    <cfRule type="cellIs" dxfId="138" priority="66" stopIfTrue="1" operator="greaterThan">
      <formula>42</formula>
    </cfRule>
  </conditionalFormatting>
  <conditionalFormatting sqref="AW137 AW139 AW141:AW143">
    <cfRule type="cellIs" dxfId="137" priority="65" stopIfTrue="1" operator="greaterThan">
      <formula>42</formula>
    </cfRule>
  </conditionalFormatting>
  <conditionalFormatting sqref="AW139 AW141:AW143">
    <cfRule type="cellIs" dxfId="136" priority="64" stopIfTrue="1" operator="greaterThan">
      <formula>42</formula>
    </cfRule>
  </conditionalFormatting>
  <conditionalFormatting sqref="AW139 AW141:AW143">
    <cfRule type="cellIs" dxfId="135" priority="63" stopIfTrue="1" operator="greaterThan">
      <formula>42</formula>
    </cfRule>
  </conditionalFormatting>
  <conditionalFormatting sqref="AW139 AW141:AW143">
    <cfRule type="cellIs" dxfId="134" priority="62" stopIfTrue="1" operator="greaterThan">
      <formula>42</formula>
    </cfRule>
  </conditionalFormatting>
  <conditionalFormatting sqref="AW139 AW141:AW143">
    <cfRule type="cellIs" dxfId="133" priority="61" stopIfTrue="1" operator="greaterThan">
      <formula>42</formula>
    </cfRule>
  </conditionalFormatting>
  <conditionalFormatting sqref="AW139 AW141:AW143">
    <cfRule type="cellIs" dxfId="132" priority="60" stopIfTrue="1" operator="greaterThan">
      <formula>42</formula>
    </cfRule>
  </conditionalFormatting>
  <conditionalFormatting sqref="AW139 AW141:AW143">
    <cfRule type="cellIs" dxfId="131" priority="59" stopIfTrue="1" operator="greaterThan">
      <formula>42</formula>
    </cfRule>
  </conditionalFormatting>
  <conditionalFormatting sqref="AW139 AW141:AW143">
    <cfRule type="cellIs" dxfId="130" priority="58" stopIfTrue="1" operator="greaterThan">
      <formula>42</formula>
    </cfRule>
  </conditionalFormatting>
  <conditionalFormatting sqref="AW139 AW141:AW143">
    <cfRule type="cellIs" dxfId="129" priority="57" stopIfTrue="1" operator="greaterThan">
      <formula>42</formula>
    </cfRule>
  </conditionalFormatting>
  <conditionalFormatting sqref="AW139 AW141:AW143">
    <cfRule type="cellIs" dxfId="128" priority="56" stopIfTrue="1" operator="greaterThan">
      <formula>42</formula>
    </cfRule>
  </conditionalFormatting>
  <conditionalFormatting sqref="AW139 AW141:AW143">
    <cfRule type="cellIs" dxfId="127" priority="55" stopIfTrue="1" operator="greaterThan">
      <formula>42</formula>
    </cfRule>
  </conditionalFormatting>
  <conditionalFormatting sqref="AW139 AW141:AW143">
    <cfRule type="cellIs" dxfId="126" priority="54" stopIfTrue="1" operator="greaterThan">
      <formula>42</formula>
    </cfRule>
  </conditionalFormatting>
  <conditionalFormatting sqref="AW139 AW141:AW143">
    <cfRule type="cellIs" dxfId="125" priority="53" stopIfTrue="1" operator="greaterThan">
      <formula>42</formula>
    </cfRule>
  </conditionalFormatting>
  <conditionalFormatting sqref="AW139 AW141:AW143">
    <cfRule type="cellIs" dxfId="124" priority="52" stopIfTrue="1" operator="greaterThan">
      <formula>42</formula>
    </cfRule>
  </conditionalFormatting>
  <conditionalFormatting sqref="AW139 AW141:AW143">
    <cfRule type="cellIs" dxfId="123" priority="51" stopIfTrue="1" operator="greaterThan">
      <formula>42</formula>
    </cfRule>
  </conditionalFormatting>
  <conditionalFormatting sqref="AW139 AW141:AW143">
    <cfRule type="cellIs" dxfId="122" priority="50" stopIfTrue="1" operator="greaterThan">
      <formula>42</formula>
    </cfRule>
  </conditionalFormatting>
  <conditionalFormatting sqref="AW139 AW141:AW143">
    <cfRule type="cellIs" dxfId="121" priority="49" stopIfTrue="1" operator="greaterThan">
      <formula>42</formula>
    </cfRule>
  </conditionalFormatting>
  <conditionalFormatting sqref="AW139 AW141:AW143">
    <cfRule type="cellIs" dxfId="120" priority="48" stopIfTrue="1" operator="greaterThan">
      <formula>42</formula>
    </cfRule>
  </conditionalFormatting>
  <conditionalFormatting sqref="AW139 AW141:AW143">
    <cfRule type="cellIs" dxfId="119" priority="47" stopIfTrue="1" operator="greaterThan">
      <formula>42</formula>
    </cfRule>
  </conditionalFormatting>
  <conditionalFormatting sqref="AW139 AW141:AW143">
    <cfRule type="cellIs" dxfId="118" priority="46" stopIfTrue="1" operator="greaterThan">
      <formula>42</formula>
    </cfRule>
  </conditionalFormatting>
  <conditionalFormatting sqref="AW139 AW141:AW143">
    <cfRule type="cellIs" dxfId="117" priority="45" stopIfTrue="1" operator="greaterThan">
      <formula>42</formula>
    </cfRule>
  </conditionalFormatting>
  <conditionalFormatting sqref="AW139 AW141:AW143">
    <cfRule type="cellIs" dxfId="116" priority="44" stopIfTrue="1" operator="greaterThan">
      <formula>42</formula>
    </cfRule>
  </conditionalFormatting>
  <conditionalFormatting sqref="AW139 AW141:AW143">
    <cfRule type="cellIs" dxfId="115" priority="43" stopIfTrue="1" operator="greaterThan">
      <formula>42</formula>
    </cfRule>
  </conditionalFormatting>
  <conditionalFormatting sqref="AW139 AW141:AW143">
    <cfRule type="cellIs" dxfId="114" priority="42" stopIfTrue="1" operator="greaterThan">
      <formula>42</formula>
    </cfRule>
  </conditionalFormatting>
  <conditionalFormatting sqref="AW139 AW141:AW143">
    <cfRule type="cellIs" dxfId="113" priority="41" stopIfTrue="1" operator="greaterThan">
      <formula>42</formula>
    </cfRule>
  </conditionalFormatting>
  <conditionalFormatting sqref="AW139 AW141:AW143">
    <cfRule type="cellIs" dxfId="112" priority="40" stopIfTrue="1" operator="greaterThan">
      <formula>42</formula>
    </cfRule>
  </conditionalFormatting>
  <conditionalFormatting sqref="AW139 AW141:AW143">
    <cfRule type="cellIs" dxfId="111" priority="39" stopIfTrue="1" operator="greaterThan">
      <formula>42</formula>
    </cfRule>
  </conditionalFormatting>
  <conditionalFormatting sqref="AW139 AW141:AW143">
    <cfRule type="cellIs" dxfId="110" priority="38" stopIfTrue="1" operator="greaterThan">
      <formula>42</formula>
    </cfRule>
  </conditionalFormatting>
  <conditionalFormatting sqref="AW139 AW141:AW143">
    <cfRule type="cellIs" dxfId="109" priority="37" stopIfTrue="1" operator="greaterThan">
      <formula>42</formula>
    </cfRule>
  </conditionalFormatting>
  <conditionalFormatting sqref="AW139 AW141:AW143">
    <cfRule type="cellIs" dxfId="108" priority="36" stopIfTrue="1" operator="greaterThan">
      <formula>42</formula>
    </cfRule>
  </conditionalFormatting>
  <conditionalFormatting sqref="AW139 AW141:AW143">
    <cfRule type="cellIs" dxfId="107" priority="35" stopIfTrue="1" operator="greaterThan">
      <formula>42</formula>
    </cfRule>
  </conditionalFormatting>
  <conditionalFormatting sqref="AW139 AW141:AW143">
    <cfRule type="cellIs" dxfId="106" priority="34" stopIfTrue="1" operator="greaterThan">
      <formula>42</formula>
    </cfRule>
  </conditionalFormatting>
  <conditionalFormatting sqref="AW139 AW141:AW143">
    <cfRule type="cellIs" dxfId="105" priority="33" stopIfTrue="1" operator="greaterThan">
      <formula>42</formula>
    </cfRule>
  </conditionalFormatting>
  <conditionalFormatting sqref="AW139 AW141:AW143">
    <cfRule type="cellIs" dxfId="104" priority="32" stopIfTrue="1" operator="greaterThan">
      <formula>42</formula>
    </cfRule>
  </conditionalFormatting>
  <conditionalFormatting sqref="AW139 AW141:AW143">
    <cfRule type="cellIs" dxfId="103" priority="31" stopIfTrue="1" operator="greaterThan">
      <formula>42</formula>
    </cfRule>
  </conditionalFormatting>
  <conditionalFormatting sqref="AW139 AW141:AW143">
    <cfRule type="cellIs" dxfId="102" priority="30" stopIfTrue="1" operator="greaterThan">
      <formula>42</formula>
    </cfRule>
  </conditionalFormatting>
  <conditionalFormatting sqref="AW139 AW141:AW143">
    <cfRule type="cellIs" dxfId="101" priority="29" stopIfTrue="1" operator="greaterThan">
      <formula>42</formula>
    </cfRule>
  </conditionalFormatting>
  <conditionalFormatting sqref="AW139 AW141:AW143">
    <cfRule type="cellIs" dxfId="100" priority="28" stopIfTrue="1" operator="greaterThan">
      <formula>42</formula>
    </cfRule>
  </conditionalFormatting>
  <conditionalFormatting sqref="AW139 AW141:AW143">
    <cfRule type="cellIs" dxfId="99" priority="27" stopIfTrue="1" operator="greaterThan">
      <formula>42</formula>
    </cfRule>
  </conditionalFormatting>
  <conditionalFormatting sqref="AW139 AW141:AW143">
    <cfRule type="cellIs" dxfId="98" priority="26" stopIfTrue="1" operator="greaterThan">
      <formula>42</formula>
    </cfRule>
  </conditionalFormatting>
  <conditionalFormatting sqref="AW139 AW141:AW143">
    <cfRule type="cellIs" dxfId="97" priority="25" stopIfTrue="1" operator="greaterThan">
      <formula>42</formula>
    </cfRule>
  </conditionalFormatting>
  <conditionalFormatting sqref="AW139 AW141:AW143">
    <cfRule type="cellIs" dxfId="96" priority="24" stopIfTrue="1" operator="greaterThan">
      <formula>42</formula>
    </cfRule>
  </conditionalFormatting>
  <conditionalFormatting sqref="AW139 AW141:AW143">
    <cfRule type="cellIs" dxfId="95" priority="23" stopIfTrue="1" operator="greaterThan">
      <formula>42</formula>
    </cfRule>
  </conditionalFormatting>
  <conditionalFormatting sqref="AW139 AW141:AW143">
    <cfRule type="cellIs" dxfId="94" priority="22" stopIfTrue="1" operator="greaterThan">
      <formula>42</formula>
    </cfRule>
  </conditionalFormatting>
  <conditionalFormatting sqref="AW139 AW141:AW143">
    <cfRule type="cellIs" dxfId="93" priority="21" stopIfTrue="1" operator="greaterThan">
      <formula>42</formula>
    </cfRule>
  </conditionalFormatting>
  <conditionalFormatting sqref="AW139 AW141:AW143">
    <cfRule type="cellIs" dxfId="92" priority="20" stopIfTrue="1" operator="greaterThan">
      <formula>42</formula>
    </cfRule>
  </conditionalFormatting>
  <conditionalFormatting sqref="AW139 AW141:AW143">
    <cfRule type="cellIs" dxfId="91" priority="19" stopIfTrue="1" operator="greaterThan">
      <formula>42</formula>
    </cfRule>
  </conditionalFormatting>
  <conditionalFormatting sqref="AW139 AW141:AW143">
    <cfRule type="cellIs" dxfId="90" priority="18" stopIfTrue="1" operator="greaterThan">
      <formula>42</formula>
    </cfRule>
  </conditionalFormatting>
  <conditionalFormatting sqref="AW139 AW141:AW143">
    <cfRule type="cellIs" dxfId="89" priority="17" stopIfTrue="1" operator="greaterThan">
      <formula>42</formula>
    </cfRule>
  </conditionalFormatting>
  <conditionalFormatting sqref="AW139 AW141:AW143">
    <cfRule type="cellIs" dxfId="88" priority="16" stopIfTrue="1" operator="greaterThan">
      <formula>42</formula>
    </cfRule>
  </conditionalFormatting>
  <conditionalFormatting sqref="AW139 AW141:AW143">
    <cfRule type="cellIs" dxfId="87" priority="15" stopIfTrue="1" operator="greaterThan">
      <formula>42</formula>
    </cfRule>
  </conditionalFormatting>
  <conditionalFormatting sqref="AW139 AW141:AW143">
    <cfRule type="cellIs" dxfId="86" priority="14" stopIfTrue="1" operator="greaterThan">
      <formula>42</formula>
    </cfRule>
  </conditionalFormatting>
  <conditionalFormatting sqref="AW139 AW141:AW143">
    <cfRule type="cellIs" dxfId="85" priority="13" stopIfTrue="1" operator="greaterThan">
      <formula>42</formula>
    </cfRule>
  </conditionalFormatting>
  <conditionalFormatting sqref="AW139 AW141:AW143">
    <cfRule type="cellIs" dxfId="84" priority="12" stopIfTrue="1" operator="greaterThan">
      <formula>42</formula>
    </cfRule>
  </conditionalFormatting>
  <conditionalFormatting sqref="AW139 AW141:AW143">
    <cfRule type="cellIs" dxfId="83" priority="11" stopIfTrue="1" operator="greaterThan">
      <formula>42</formula>
    </cfRule>
  </conditionalFormatting>
  <conditionalFormatting sqref="AW139 AW141:AW143">
    <cfRule type="cellIs" dxfId="82" priority="10" stopIfTrue="1" operator="greaterThan">
      <formula>42</formula>
    </cfRule>
  </conditionalFormatting>
  <conditionalFormatting sqref="AW139 AW141:AW143">
    <cfRule type="cellIs" dxfId="81" priority="9" stopIfTrue="1" operator="greaterThan">
      <formula>42</formula>
    </cfRule>
  </conditionalFormatting>
  <conditionalFormatting sqref="AW139 AW141:AW143">
    <cfRule type="cellIs" dxfId="80" priority="8" stopIfTrue="1" operator="greaterThan">
      <formula>42</formula>
    </cfRule>
  </conditionalFormatting>
  <conditionalFormatting sqref="AW139 AW141:AW143">
    <cfRule type="cellIs" dxfId="79" priority="7" stopIfTrue="1" operator="greaterThan">
      <formula>42</formula>
    </cfRule>
  </conditionalFormatting>
  <conditionalFormatting sqref="AW139 AW141:AW143">
    <cfRule type="cellIs" dxfId="78" priority="6" stopIfTrue="1" operator="greaterThan">
      <formula>42</formula>
    </cfRule>
  </conditionalFormatting>
  <conditionalFormatting sqref="AW138">
    <cfRule type="cellIs" dxfId="77" priority="5" stopIfTrue="1" operator="greaterThan">
      <formula>42</formula>
    </cfRule>
  </conditionalFormatting>
  <conditionalFormatting sqref="AW140">
    <cfRule type="cellIs" dxfId="76" priority="4" stopIfTrue="1" operator="greaterThan">
      <formula>42</formula>
    </cfRule>
  </conditionalFormatting>
  <conditionalFormatting sqref="AW65">
    <cfRule type="cellIs" dxfId="75" priority="3" stopIfTrue="1" operator="greaterThan">
      <formula>42</formula>
    </cfRule>
  </conditionalFormatting>
  <conditionalFormatting sqref="AW146:AW276">
    <cfRule type="cellIs" dxfId="74" priority="2" stopIfTrue="1" operator="greaterThan">
      <formula>42</formula>
    </cfRule>
  </conditionalFormatting>
  <conditionalFormatting sqref="AW146:AW276">
    <cfRule type="cellIs" dxfId="73" priority="1" stopIfTrue="1" operator="greaterThan">
      <formula>42</formula>
    </cfRule>
  </conditionalFormatting>
  <dataValidations disablePrompts="1" count="3">
    <dataValidation type="textLength" operator="lessThanOrEqual" allowBlank="1" showInputMessage="1" showErrorMessage="1" sqref="AO146:AT150 AO170:AT172" xr:uid="{00000000-0002-0000-0D00-000000000000}">
      <formula1>4</formula1>
    </dataValidation>
    <dataValidation type="textLength" operator="lessThan" allowBlank="1" showInputMessage="1" showErrorMessage="1" error="text length exceeded" prompt="max. 64 charcters" sqref="B155:B167 C151:C155 B146:C146 B153 B147:D149 C157 C161 C167 B169:C172 B174 B236:C236 C235" xr:uid="{00000000-0002-0000-0D00-000001000000}">
      <formula1>65</formula1>
    </dataValidation>
    <dataValidation type="textLength" allowBlank="1" showInputMessage="1" showErrorMessage="1" sqref="AO151:AT167 AO169:AT169 AO174:AT174 AO235:AT236" xr:uid="{00000000-0002-0000-0D00-000002000000}">
      <formula1>0</formula1>
      <formula2>4</formula2>
    </dataValidation>
  </dataValidations>
  <pageMargins left="0.78740157499999996" right="0.78740157499999996" top="0.984251969" bottom="0.984251969" header="0.49212598499999999" footer="0.49212598499999999"/>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6"/>
  <dimension ref="A1:CI460"/>
  <sheetViews>
    <sheetView showGridLines="0" showRuler="0" topLeftCell="A4" zoomScale="60" zoomScaleNormal="60" workbookViewId="0">
      <pane ySplit="3" topLeftCell="A7" activePane="bottomLeft" state="frozenSplit"/>
      <selection activeCell="A4" sqref="A4"/>
      <selection pane="bottomLeft" activeCell="M22" sqref="M22"/>
    </sheetView>
  </sheetViews>
  <sheetFormatPr defaultColWidth="8.88671875" defaultRowHeight="13.2"/>
  <cols>
    <col min="1" max="1" width="5.6640625" style="144" customWidth="1"/>
    <col min="2" max="2" width="46.44140625" hidden="1" customWidth="1"/>
    <col min="3" max="3" width="8.6640625" hidden="1" customWidth="1"/>
    <col min="4" max="4" width="0" hidden="1" customWidth="1"/>
    <col min="5" max="7" width="10" hidden="1" customWidth="1"/>
    <col min="8" max="9" width="0" hidden="1" customWidth="1"/>
    <col min="10" max="10" width="36.6640625" customWidth="1"/>
    <col min="11" max="11" width="25.6640625" customWidth="1"/>
    <col min="12" max="12" width="51.44140625" customWidth="1"/>
    <col min="13" max="13" width="42.88671875" customWidth="1"/>
    <col min="14" max="14" width="7.109375" style="138" bestFit="1" customWidth="1"/>
    <col min="15" max="16" width="5.6640625" style="138" customWidth="1"/>
    <col min="17" max="20" width="4.6640625" style="138" customWidth="1"/>
    <col min="21" max="21" width="60.109375" style="144" customWidth="1"/>
    <col min="22" max="22" width="32.6640625" customWidth="1"/>
    <col min="23" max="23" width="18.33203125" customWidth="1"/>
    <col min="24" max="25" width="5.6640625" customWidth="1"/>
    <col min="26" max="27" width="4.6640625" customWidth="1"/>
    <col min="28" max="28" width="19.109375" customWidth="1"/>
    <col min="29" max="29" width="16.109375" customWidth="1"/>
    <col min="30" max="30" width="22.109375" customWidth="1"/>
    <col min="31" max="31" width="18.33203125" customWidth="1"/>
    <col min="32" max="33" width="5.6640625" customWidth="1"/>
    <col min="34" max="35" width="4.6640625" customWidth="1"/>
    <col min="36" max="36" width="33.6640625" customWidth="1"/>
    <col min="37" max="37" width="8.88671875" customWidth="1"/>
    <col min="38" max="38" width="24.44140625" customWidth="1"/>
    <col min="40" max="40" width="30.6640625" customWidth="1"/>
    <col min="48" max="48" width="30.6640625" customWidth="1"/>
    <col min="49" max="49" width="0" hidden="1" customWidth="1"/>
  </cols>
  <sheetData>
    <row r="1" spans="1:87" ht="13.8" hidden="1" thickBot="1"/>
    <row r="2" spans="1:87" ht="13.8" hidden="1" thickBot="1"/>
    <row r="3" spans="1:87" s="1" customFormat="1" ht="13.8" hidden="1" thickBot="1">
      <c r="A3" s="146"/>
      <c r="C3" s="2"/>
      <c r="E3" s="3"/>
      <c r="F3" s="3"/>
      <c r="G3" s="3"/>
      <c r="H3" s="3"/>
      <c r="I3" s="3"/>
      <c r="J3" s="3"/>
      <c r="K3" s="3"/>
      <c r="L3" s="3"/>
      <c r="M3" s="3"/>
      <c r="N3" s="136"/>
      <c r="O3" s="136"/>
      <c r="P3" s="136"/>
      <c r="Q3" s="136"/>
      <c r="R3" s="136"/>
      <c r="S3" s="136"/>
      <c r="T3" s="136"/>
      <c r="U3" s="136"/>
      <c r="V3" s="3"/>
      <c r="W3" s="3"/>
      <c r="X3" s="4"/>
      <c r="Y3" s="5"/>
      <c r="Z3" s="5"/>
      <c r="AA3" s="3"/>
      <c r="AB3" s="3"/>
      <c r="AC3" s="2"/>
      <c r="AD3" s="2"/>
      <c r="AE3" s="3"/>
      <c r="AF3" s="4"/>
      <c r="AG3" s="5"/>
      <c r="AH3" s="5"/>
      <c r="AI3" s="3"/>
      <c r="AJ3" s="3"/>
      <c r="AK3" s="2"/>
      <c r="AL3" s="2"/>
      <c r="AM3" s="2"/>
      <c r="AN3" s="2"/>
      <c r="AO3" s="2"/>
      <c r="AP3" s="2"/>
      <c r="AQ3" s="2"/>
    </row>
    <row r="4" spans="1:87"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7" s="1" customFormat="1" ht="24" customHeight="1" thickBot="1">
      <c r="A5" s="159"/>
      <c r="B5" s="654" t="s">
        <v>469</v>
      </c>
      <c r="C5" s="654" t="s">
        <v>470</v>
      </c>
      <c r="D5" s="637" t="s">
        <v>471</v>
      </c>
      <c r="E5" s="637" t="s">
        <v>472</v>
      </c>
      <c r="F5" s="550"/>
      <c r="G5" s="550"/>
      <c r="H5" s="637" t="s">
        <v>475</v>
      </c>
      <c r="I5" s="646" t="s">
        <v>476</v>
      </c>
      <c r="J5" s="648" t="s">
        <v>477</v>
      </c>
      <c r="K5" s="648" t="s">
        <v>478</v>
      </c>
      <c r="L5" s="648" t="s">
        <v>479</v>
      </c>
      <c r="M5" s="552"/>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7" s="7" customFormat="1" ht="173.25" customHeight="1" thickBot="1">
      <c r="A6" s="58" t="s">
        <v>501</v>
      </c>
      <c r="B6" s="655"/>
      <c r="C6" s="655"/>
      <c r="D6" s="638"/>
      <c r="E6" s="638"/>
      <c r="F6" s="551" t="s">
        <v>473</v>
      </c>
      <c r="G6" s="551" t="s">
        <v>474</v>
      </c>
      <c r="H6" s="638"/>
      <c r="I6" s="647"/>
      <c r="J6" s="649"/>
      <c r="K6" s="649"/>
      <c r="L6" s="649"/>
      <c r="M6" s="553" t="s">
        <v>3506</v>
      </c>
      <c r="N6" s="649"/>
      <c r="O6" s="649"/>
      <c r="P6" s="649"/>
      <c r="Q6" s="649"/>
      <c r="R6" s="649"/>
      <c r="S6" s="649"/>
      <c r="T6" s="649"/>
      <c r="U6" s="649"/>
      <c r="V6" s="649"/>
      <c r="W6" s="636"/>
      <c r="X6" s="636"/>
      <c r="Y6" s="636"/>
      <c r="Z6" s="641"/>
      <c r="AA6" s="636"/>
      <c r="AB6" s="636"/>
      <c r="AC6" s="636"/>
      <c r="AD6" s="636"/>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7" ht="15">
      <c r="A7" s="452">
        <f t="shared" ref="A7:A67" si="0">ROW() - 6</f>
        <v>1</v>
      </c>
      <c r="B7" s="65"/>
      <c r="C7" s="65"/>
      <c r="D7" s="65"/>
      <c r="E7" s="65"/>
      <c r="F7" s="65"/>
      <c r="G7" s="65"/>
      <c r="H7" s="65"/>
      <c r="I7" s="65"/>
      <c r="J7" s="523" t="s">
        <v>503</v>
      </c>
      <c r="K7" s="65"/>
      <c r="L7" s="65"/>
      <c r="M7" s="65"/>
      <c r="N7" s="137"/>
      <c r="O7" s="137"/>
      <c r="P7" s="137"/>
      <c r="Q7" s="137"/>
      <c r="R7" s="137"/>
      <c r="S7" s="137"/>
      <c r="T7" s="137"/>
      <c r="U7" s="145"/>
      <c r="V7" s="73"/>
      <c r="W7" s="65"/>
      <c r="X7" s="65"/>
      <c r="Y7" s="65"/>
      <c r="Z7" s="65"/>
      <c r="AA7" s="65"/>
      <c r="AB7" s="73"/>
      <c r="AC7" s="65"/>
      <c r="AD7" s="65"/>
      <c r="AE7" s="65"/>
      <c r="AF7" s="65"/>
      <c r="AG7" s="65"/>
      <c r="AH7" s="65"/>
      <c r="AI7" s="65"/>
      <c r="AJ7" s="73"/>
      <c r="AK7" s="65"/>
      <c r="AL7" s="65"/>
      <c r="AM7" s="65"/>
      <c r="AN7" s="65"/>
      <c r="AO7" s="65"/>
      <c r="AP7" s="65"/>
      <c r="AQ7" s="65"/>
      <c r="AR7" s="65"/>
      <c r="AS7" s="65"/>
      <c r="AT7" s="65"/>
      <c r="AU7" s="65"/>
      <c r="AV7" s="65"/>
      <c r="AW7" s="18">
        <f>LEN(L7)</f>
        <v>0</v>
      </c>
    </row>
    <row r="8" spans="1:87" s="180" customFormat="1" ht="15">
      <c r="A8" s="164">
        <f t="shared" si="0"/>
        <v>2</v>
      </c>
      <c r="B8" s="176"/>
      <c r="C8" s="177"/>
      <c r="D8" s="176"/>
      <c r="E8" s="176"/>
      <c r="F8" s="176"/>
      <c r="G8" s="176"/>
      <c r="H8" s="173"/>
      <c r="I8" s="173"/>
      <c r="J8" s="306" t="s">
        <v>2443</v>
      </c>
      <c r="K8" s="306" t="s">
        <v>128</v>
      </c>
      <c r="L8" s="352" t="s">
        <v>2444</v>
      </c>
      <c r="M8" s="352"/>
      <c r="N8" s="164" t="s">
        <v>504</v>
      </c>
      <c r="O8" s="164"/>
      <c r="P8" s="164"/>
      <c r="Q8" s="164" t="s">
        <v>6</v>
      </c>
      <c r="R8" s="164" t="s">
        <v>6</v>
      </c>
      <c r="S8" s="164" t="s">
        <v>6</v>
      </c>
      <c r="T8" s="164" t="s">
        <v>6</v>
      </c>
      <c r="U8" s="164"/>
      <c r="V8" s="173"/>
      <c r="W8" s="306" t="s">
        <v>128</v>
      </c>
      <c r="X8" s="164"/>
      <c r="Y8" s="173"/>
      <c r="Z8" s="164" t="s">
        <v>6</v>
      </c>
      <c r="AA8" s="164" t="s">
        <v>6</v>
      </c>
      <c r="AB8" s="172"/>
      <c r="AC8" s="164"/>
      <c r="AD8" s="164"/>
      <c r="AE8" s="306" t="s">
        <v>128</v>
      </c>
      <c r="AF8" s="164"/>
      <c r="AG8" s="173"/>
      <c r="AH8" s="164" t="s">
        <v>6</v>
      </c>
      <c r="AI8" s="164" t="s">
        <v>6</v>
      </c>
      <c r="AJ8" s="172"/>
      <c r="AK8" s="164"/>
      <c r="AL8" s="164"/>
      <c r="AM8" s="172"/>
      <c r="AN8" s="173"/>
      <c r="AO8" s="178"/>
      <c r="AP8" s="178"/>
      <c r="AQ8" s="178"/>
      <c r="AR8" s="178"/>
      <c r="AS8" s="178"/>
      <c r="AT8" s="178"/>
      <c r="AU8" s="173"/>
      <c r="AV8" s="178"/>
      <c r="AW8" s="179">
        <f t="shared" ref="AW8:AW85" si="1">LEN(L8)</f>
        <v>42</v>
      </c>
      <c r="AX8" s="191"/>
      <c r="AY8" s="192"/>
    </row>
    <row r="9" spans="1:87" s="180" customFormat="1" ht="15">
      <c r="A9" s="164">
        <f t="shared" si="0"/>
        <v>3</v>
      </c>
      <c r="B9" s="186"/>
      <c r="C9" s="187"/>
      <c r="D9" s="176"/>
      <c r="E9" s="176"/>
      <c r="F9" s="176"/>
      <c r="G9" s="176"/>
      <c r="H9" s="173"/>
      <c r="I9" s="173"/>
      <c r="J9" s="306" t="s">
        <v>2445</v>
      </c>
      <c r="K9" s="306" t="s">
        <v>128</v>
      </c>
      <c r="L9" s="352" t="s">
        <v>2446</v>
      </c>
      <c r="M9" s="352"/>
      <c r="N9" s="164" t="s">
        <v>504</v>
      </c>
      <c r="O9" s="164"/>
      <c r="P9" s="164"/>
      <c r="Q9" s="169" t="s">
        <v>6</v>
      </c>
      <c r="R9" s="169" t="s">
        <v>6</v>
      </c>
      <c r="S9" s="169" t="s">
        <v>6</v>
      </c>
      <c r="T9" s="169" t="s">
        <v>6</v>
      </c>
      <c r="U9" s="164"/>
      <c r="V9" s="173"/>
      <c r="W9" s="306" t="s">
        <v>128</v>
      </c>
      <c r="X9" s="181"/>
      <c r="Y9" s="181"/>
      <c r="Z9" s="169" t="s">
        <v>6</v>
      </c>
      <c r="AA9" s="169" t="s">
        <v>6</v>
      </c>
      <c r="AB9" s="181"/>
      <c r="AC9" s="170"/>
      <c r="AD9" s="170"/>
      <c r="AE9" s="306" t="s">
        <v>128</v>
      </c>
      <c r="AF9" s="181"/>
      <c r="AG9" s="181"/>
      <c r="AH9" s="169" t="s">
        <v>6</v>
      </c>
      <c r="AI9" s="169" t="s">
        <v>6</v>
      </c>
      <c r="AJ9" s="181"/>
      <c r="AK9" s="170"/>
      <c r="AL9" s="170"/>
      <c r="AM9" s="172"/>
      <c r="AN9" s="190"/>
      <c r="AO9" s="173"/>
      <c r="AP9" s="173"/>
      <c r="AQ9" s="173"/>
      <c r="AR9" s="173"/>
      <c r="AS9" s="173"/>
      <c r="AT9" s="173"/>
      <c r="AU9" s="173"/>
      <c r="AV9" s="173"/>
      <c r="AW9" s="179">
        <f t="shared" si="1"/>
        <v>39</v>
      </c>
      <c r="AX9" s="191"/>
      <c r="AY9" s="192"/>
    </row>
    <row r="10" spans="1:87" s="179" customFormat="1" ht="15">
      <c r="A10" s="164">
        <f t="shared" si="0"/>
        <v>4</v>
      </c>
      <c r="B10" s="186"/>
      <c r="C10" s="187"/>
      <c r="D10" s="186"/>
      <c r="E10" s="188"/>
      <c r="F10" s="188"/>
      <c r="G10" s="188"/>
      <c r="H10" s="173"/>
      <c r="I10" s="164"/>
      <c r="J10" s="306" t="s">
        <v>2447</v>
      </c>
      <c r="K10" s="306" t="s">
        <v>128</v>
      </c>
      <c r="L10" s="352" t="s">
        <v>2448</v>
      </c>
      <c r="M10" s="352"/>
      <c r="N10" s="164" t="s">
        <v>504</v>
      </c>
      <c r="O10" s="164"/>
      <c r="P10" s="164"/>
      <c r="Q10" s="169" t="s">
        <v>6</v>
      </c>
      <c r="R10" s="169" t="s">
        <v>6</v>
      </c>
      <c r="S10" s="169" t="s">
        <v>6</v>
      </c>
      <c r="T10" s="169" t="s">
        <v>6</v>
      </c>
      <c r="U10" s="164"/>
      <c r="V10" s="173"/>
      <c r="W10" s="306" t="s">
        <v>128</v>
      </c>
      <c r="X10" s="181"/>
      <c r="Y10" s="181"/>
      <c r="Z10" s="169" t="s">
        <v>6</v>
      </c>
      <c r="AA10" s="169" t="s">
        <v>6</v>
      </c>
      <c r="AB10" s="181"/>
      <c r="AC10" s="181"/>
      <c r="AD10" s="181"/>
      <c r="AE10" s="306" t="s">
        <v>128</v>
      </c>
      <c r="AF10" s="181"/>
      <c r="AG10" s="181"/>
      <c r="AH10" s="169" t="s">
        <v>6</v>
      </c>
      <c r="AI10" s="169" t="s">
        <v>6</v>
      </c>
      <c r="AJ10" s="181"/>
      <c r="AK10" s="181"/>
      <c r="AL10" s="181"/>
      <c r="AM10" s="172"/>
      <c r="AN10" s="176"/>
      <c r="AO10" s="178"/>
      <c r="AP10" s="178"/>
      <c r="AQ10" s="178"/>
      <c r="AR10" s="178"/>
      <c r="AS10" s="178"/>
      <c r="AT10" s="178"/>
      <c r="AU10" s="178"/>
      <c r="AV10" s="173"/>
      <c r="AW10" s="179">
        <f t="shared" si="1"/>
        <v>39</v>
      </c>
      <c r="AX10" s="180"/>
      <c r="AY10" s="180"/>
      <c r="AZ10" s="180"/>
      <c r="BA10" s="180"/>
      <c r="BB10" s="180"/>
      <c r="BC10" s="180"/>
      <c r="BD10" s="180"/>
      <c r="BE10" s="180"/>
      <c r="BF10" s="180"/>
      <c r="BG10" s="180"/>
      <c r="BH10" s="180"/>
      <c r="BI10" s="180"/>
      <c r="BJ10" s="180"/>
      <c r="BK10" s="180"/>
      <c r="BL10" s="180"/>
      <c r="BM10" s="180"/>
      <c r="BN10" s="180"/>
      <c r="BO10" s="180"/>
      <c r="BP10" s="180"/>
      <c r="BQ10" s="180"/>
      <c r="BR10" s="180"/>
      <c r="BS10" s="180"/>
      <c r="BT10" s="180"/>
      <c r="BU10" s="180"/>
      <c r="BV10" s="180"/>
      <c r="BW10" s="180"/>
      <c r="BX10" s="180"/>
      <c r="BY10" s="180"/>
      <c r="BZ10" s="180"/>
      <c r="CA10" s="180"/>
      <c r="CB10" s="180"/>
      <c r="CC10" s="180"/>
      <c r="CD10" s="180"/>
      <c r="CE10" s="180"/>
      <c r="CF10" s="180"/>
      <c r="CG10" s="180"/>
      <c r="CH10" s="180"/>
      <c r="CI10" s="180"/>
    </row>
    <row r="11" spans="1:87" s="179" customFormat="1" ht="15">
      <c r="A11" s="164">
        <f t="shared" si="0"/>
        <v>5</v>
      </c>
      <c r="B11" s="186"/>
      <c r="C11" s="187"/>
      <c r="D11" s="186"/>
      <c r="E11" s="188"/>
      <c r="F11" s="188"/>
      <c r="G11" s="188"/>
      <c r="H11" s="173"/>
      <c r="I11" s="164"/>
      <c r="J11" s="306" t="s">
        <v>2449</v>
      </c>
      <c r="K11" s="306" t="s">
        <v>128</v>
      </c>
      <c r="L11" s="352" t="s">
        <v>2450</v>
      </c>
      <c r="M11" s="352"/>
      <c r="N11" s="164" t="s">
        <v>504</v>
      </c>
      <c r="O11" s="164"/>
      <c r="P11" s="164"/>
      <c r="Q11" s="169" t="s">
        <v>6</v>
      </c>
      <c r="R11" s="169" t="s">
        <v>6</v>
      </c>
      <c r="S11" s="169" t="s">
        <v>6</v>
      </c>
      <c r="T11" s="169" t="s">
        <v>6</v>
      </c>
      <c r="U11" s="164"/>
      <c r="V11" s="173"/>
      <c r="W11" s="306" t="s">
        <v>128</v>
      </c>
      <c r="X11" s="173"/>
      <c r="Y11" s="173"/>
      <c r="Z11" s="169" t="s">
        <v>6</v>
      </c>
      <c r="AA11" s="169" t="s">
        <v>6</v>
      </c>
      <c r="AB11" s="181"/>
      <c r="AC11" s="181"/>
      <c r="AD11" s="181"/>
      <c r="AE11" s="306" t="s">
        <v>128</v>
      </c>
      <c r="AF11" s="173"/>
      <c r="AG11" s="173"/>
      <c r="AH11" s="169" t="s">
        <v>6</v>
      </c>
      <c r="AI11" s="169" t="s">
        <v>6</v>
      </c>
      <c r="AJ11" s="181"/>
      <c r="AK11" s="181"/>
      <c r="AL11" s="181"/>
      <c r="AM11" s="172"/>
      <c r="AN11" s="176"/>
      <c r="AO11" s="178"/>
      <c r="AP11" s="178"/>
      <c r="AQ11" s="178"/>
      <c r="AR11" s="178"/>
      <c r="AS11" s="178"/>
      <c r="AT11" s="178"/>
      <c r="AU11" s="178"/>
      <c r="AV11" s="173"/>
      <c r="AW11" s="179">
        <f t="shared" si="1"/>
        <v>40</v>
      </c>
      <c r="AX11" s="180"/>
      <c r="AY11" s="180"/>
      <c r="AZ11" s="180"/>
      <c r="BA11" s="180"/>
      <c r="BB11" s="180"/>
      <c r="BC11" s="180"/>
      <c r="BD11" s="180"/>
      <c r="BE11" s="180"/>
      <c r="BF11" s="180"/>
      <c r="BG11" s="180"/>
      <c r="BH11" s="180"/>
      <c r="BI11" s="180"/>
      <c r="BJ11" s="180"/>
      <c r="BK11" s="180"/>
      <c r="BL11" s="180"/>
      <c r="BM11" s="180"/>
      <c r="BN11" s="180"/>
      <c r="BO11" s="180"/>
      <c r="BP11" s="180"/>
      <c r="BQ11" s="180"/>
      <c r="BR11" s="180"/>
      <c r="BS11" s="180"/>
      <c r="BT11" s="180"/>
      <c r="BU11" s="180"/>
      <c r="BV11" s="180"/>
      <c r="BW11" s="180"/>
      <c r="BX11" s="180"/>
      <c r="BY11" s="180"/>
      <c r="BZ11" s="180"/>
      <c r="CA11" s="180"/>
      <c r="CB11" s="180"/>
      <c r="CC11" s="180"/>
      <c r="CD11" s="180"/>
      <c r="CE11" s="180"/>
      <c r="CF11" s="180"/>
      <c r="CG11" s="180"/>
      <c r="CH11" s="180"/>
      <c r="CI11" s="180"/>
    </row>
    <row r="12" spans="1:87" s="180" customFormat="1" ht="15">
      <c r="A12" s="40">
        <f t="shared" si="0"/>
        <v>6</v>
      </c>
      <c r="B12" s="186"/>
      <c r="C12" s="187"/>
      <c r="D12" s="176"/>
      <c r="E12" s="176"/>
      <c r="F12" s="176"/>
      <c r="G12" s="176"/>
      <c r="H12" s="173"/>
      <c r="I12" s="173"/>
      <c r="J12" s="306" t="s">
        <v>2451</v>
      </c>
      <c r="K12" s="306" t="s">
        <v>65</v>
      </c>
      <c r="L12" s="352" t="s">
        <v>2452</v>
      </c>
      <c r="M12" s="352"/>
      <c r="N12" s="164" t="s">
        <v>504</v>
      </c>
      <c r="O12" s="164"/>
      <c r="P12" s="164"/>
      <c r="Q12" s="169" t="s">
        <v>6</v>
      </c>
      <c r="R12" s="169" t="s">
        <v>6</v>
      </c>
      <c r="S12" s="169" t="s">
        <v>6</v>
      </c>
      <c r="T12" s="169" t="s">
        <v>6</v>
      </c>
      <c r="U12" s="164"/>
      <c r="V12" s="173"/>
      <c r="W12" s="306" t="s">
        <v>65</v>
      </c>
      <c r="X12" s="173"/>
      <c r="Y12" s="173"/>
      <c r="Z12" s="169" t="s">
        <v>6</v>
      </c>
      <c r="AA12" s="169" t="s">
        <v>6</v>
      </c>
      <c r="AB12" s="173"/>
      <c r="AC12" s="164"/>
      <c r="AD12" s="164"/>
      <c r="AE12" s="306" t="s">
        <v>65</v>
      </c>
      <c r="AF12" s="173"/>
      <c r="AG12" s="173"/>
      <c r="AH12" s="169" t="s">
        <v>6</v>
      </c>
      <c r="AI12" s="169" t="s">
        <v>6</v>
      </c>
      <c r="AJ12" s="173"/>
      <c r="AK12" s="164"/>
      <c r="AL12" s="164"/>
      <c r="AM12" s="172"/>
      <c r="AN12" s="173"/>
      <c r="AO12" s="173"/>
      <c r="AP12" s="173"/>
      <c r="AQ12" s="173"/>
      <c r="AR12" s="173"/>
      <c r="AS12" s="173"/>
      <c r="AT12" s="173"/>
      <c r="AU12" s="173"/>
      <c r="AV12" s="173"/>
      <c r="AW12" s="179">
        <f t="shared" si="1"/>
        <v>28</v>
      </c>
    </row>
    <row r="13" spans="1:87" s="180" customFormat="1" ht="15">
      <c r="A13" s="164">
        <f t="shared" si="0"/>
        <v>7</v>
      </c>
      <c r="B13" s="186"/>
      <c r="C13" s="187"/>
      <c r="D13" s="176"/>
      <c r="E13" s="176"/>
      <c r="F13" s="176"/>
      <c r="G13" s="176"/>
      <c r="H13" s="173"/>
      <c r="I13" s="173"/>
      <c r="J13" s="306" t="s">
        <v>2453</v>
      </c>
      <c r="K13" s="306" t="s">
        <v>128</v>
      </c>
      <c r="L13" s="352" t="s">
        <v>2454</v>
      </c>
      <c r="M13" s="352"/>
      <c r="N13" s="164" t="s">
        <v>504</v>
      </c>
      <c r="O13" s="164"/>
      <c r="P13" s="164"/>
      <c r="Q13" s="169" t="s">
        <v>6</v>
      </c>
      <c r="R13" s="169" t="s">
        <v>6</v>
      </c>
      <c r="S13" s="169" t="s">
        <v>6</v>
      </c>
      <c r="T13" s="169" t="s">
        <v>6</v>
      </c>
      <c r="U13" s="164"/>
      <c r="V13" s="173"/>
      <c r="W13" s="306" t="s">
        <v>128</v>
      </c>
      <c r="X13" s="173"/>
      <c r="Y13" s="173"/>
      <c r="Z13" s="169" t="s">
        <v>6</v>
      </c>
      <c r="AA13" s="169" t="s">
        <v>6</v>
      </c>
      <c r="AB13" s="182"/>
      <c r="AC13" s="169"/>
      <c r="AD13" s="169"/>
      <c r="AE13" s="306" t="s">
        <v>128</v>
      </c>
      <c r="AF13" s="173"/>
      <c r="AG13" s="173"/>
      <c r="AH13" s="169" t="s">
        <v>6</v>
      </c>
      <c r="AI13" s="169" t="s">
        <v>6</v>
      </c>
      <c r="AJ13" s="182"/>
      <c r="AK13" s="169"/>
      <c r="AL13" s="169"/>
      <c r="AM13" s="172"/>
      <c r="AN13" s="173"/>
      <c r="AO13" s="173"/>
      <c r="AP13" s="173"/>
      <c r="AQ13" s="173"/>
      <c r="AR13" s="173"/>
      <c r="AS13" s="173"/>
      <c r="AT13" s="173"/>
      <c r="AU13" s="173"/>
      <c r="AV13" s="173"/>
      <c r="AW13" s="179">
        <f t="shared" si="1"/>
        <v>26</v>
      </c>
    </row>
    <row r="14" spans="1:87" s="180" customFormat="1" ht="15">
      <c r="A14" s="164">
        <f t="shared" si="0"/>
        <v>8</v>
      </c>
      <c r="B14" s="186"/>
      <c r="C14" s="187"/>
      <c r="D14" s="176"/>
      <c r="E14" s="176"/>
      <c r="F14" s="176"/>
      <c r="G14" s="176"/>
      <c r="H14" s="173"/>
      <c r="I14" s="173"/>
      <c r="J14" s="306" t="s">
        <v>2455</v>
      </c>
      <c r="K14" s="306" t="s">
        <v>128</v>
      </c>
      <c r="L14" s="352" t="s">
        <v>2456</v>
      </c>
      <c r="M14" s="352"/>
      <c r="N14" s="164" t="s">
        <v>504</v>
      </c>
      <c r="O14" s="164"/>
      <c r="P14" s="164"/>
      <c r="Q14" s="169" t="s">
        <v>6</v>
      </c>
      <c r="R14" s="169" t="s">
        <v>6</v>
      </c>
      <c r="S14" s="169" t="s">
        <v>6</v>
      </c>
      <c r="T14" s="169" t="s">
        <v>6</v>
      </c>
      <c r="U14" s="164"/>
      <c r="V14" s="173"/>
      <c r="W14" s="306" t="s">
        <v>128</v>
      </c>
      <c r="X14" s="173"/>
      <c r="Y14" s="173"/>
      <c r="Z14" s="169" t="s">
        <v>6</v>
      </c>
      <c r="AA14" s="169" t="s">
        <v>6</v>
      </c>
      <c r="AB14" s="182"/>
      <c r="AC14" s="169"/>
      <c r="AD14" s="169"/>
      <c r="AE14" s="306" t="s">
        <v>128</v>
      </c>
      <c r="AF14" s="173"/>
      <c r="AG14" s="173"/>
      <c r="AH14" s="169" t="s">
        <v>6</v>
      </c>
      <c r="AI14" s="169" t="s">
        <v>6</v>
      </c>
      <c r="AJ14" s="182"/>
      <c r="AK14" s="169"/>
      <c r="AL14" s="169"/>
      <c r="AM14" s="172"/>
      <c r="AN14" s="173"/>
      <c r="AO14" s="173"/>
      <c r="AP14" s="173"/>
      <c r="AQ14" s="173"/>
      <c r="AR14" s="173"/>
      <c r="AS14" s="173"/>
      <c r="AT14" s="173"/>
      <c r="AU14" s="173"/>
      <c r="AV14" s="173"/>
      <c r="AW14" s="179">
        <f t="shared" si="1"/>
        <v>23</v>
      </c>
    </row>
    <row r="15" spans="1:87" s="179" customFormat="1" ht="15">
      <c r="A15" s="164">
        <f t="shared" si="0"/>
        <v>9</v>
      </c>
      <c r="B15" s="176"/>
      <c r="C15" s="177"/>
      <c r="D15" s="176"/>
      <c r="E15" s="176"/>
      <c r="F15" s="176"/>
      <c r="G15" s="176"/>
      <c r="H15" s="173"/>
      <c r="I15" s="173"/>
      <c r="J15" s="306" t="s">
        <v>2457</v>
      </c>
      <c r="K15" s="306" t="s">
        <v>128</v>
      </c>
      <c r="L15" s="352" t="s">
        <v>2458</v>
      </c>
      <c r="M15" s="352"/>
      <c r="N15" s="164" t="s">
        <v>504</v>
      </c>
      <c r="O15" s="164"/>
      <c r="P15" s="164"/>
      <c r="Q15" s="169" t="s">
        <v>6</v>
      </c>
      <c r="R15" s="169" t="s">
        <v>6</v>
      </c>
      <c r="S15" s="169" t="s">
        <v>6</v>
      </c>
      <c r="T15" s="169" t="s">
        <v>6</v>
      </c>
      <c r="U15" s="164"/>
      <c r="V15" s="173"/>
      <c r="W15" s="306" t="s">
        <v>128</v>
      </c>
      <c r="X15" s="170"/>
      <c r="Y15" s="181"/>
      <c r="Z15" s="169" t="s">
        <v>6</v>
      </c>
      <c r="AA15" s="169" t="s">
        <v>6</v>
      </c>
      <c r="AB15" s="183"/>
      <c r="AC15" s="170"/>
      <c r="AD15" s="170"/>
      <c r="AE15" s="306" t="s">
        <v>128</v>
      </c>
      <c r="AF15" s="170"/>
      <c r="AG15" s="181"/>
      <c r="AH15" s="169" t="s">
        <v>6</v>
      </c>
      <c r="AI15" s="169" t="s">
        <v>6</v>
      </c>
      <c r="AJ15" s="183"/>
      <c r="AK15" s="170"/>
      <c r="AL15" s="170"/>
      <c r="AM15" s="172"/>
      <c r="AN15" s="173"/>
      <c r="AO15" s="178"/>
      <c r="AP15" s="178"/>
      <c r="AQ15" s="178"/>
      <c r="AR15" s="178"/>
      <c r="AS15" s="178"/>
      <c r="AT15" s="178"/>
      <c r="AU15" s="173"/>
      <c r="AV15" s="178"/>
      <c r="AW15" s="179">
        <f t="shared" si="1"/>
        <v>23</v>
      </c>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row>
    <row r="16" spans="1:87" s="180" customFormat="1" ht="15">
      <c r="A16" s="164">
        <f t="shared" si="0"/>
        <v>10</v>
      </c>
      <c r="B16" s="186"/>
      <c r="C16" s="187"/>
      <c r="D16" s="176"/>
      <c r="E16" s="176"/>
      <c r="F16" s="176"/>
      <c r="G16" s="176"/>
      <c r="H16" s="173"/>
      <c r="I16" s="173"/>
      <c r="J16" s="306" t="s">
        <v>2459</v>
      </c>
      <c r="K16" s="306" t="s">
        <v>128</v>
      </c>
      <c r="L16" s="352" t="s">
        <v>2460</v>
      </c>
      <c r="M16" s="352"/>
      <c r="N16" s="164" t="s">
        <v>504</v>
      </c>
      <c r="O16" s="164"/>
      <c r="P16" s="164"/>
      <c r="Q16" s="169" t="s">
        <v>6</v>
      </c>
      <c r="R16" s="169" t="s">
        <v>6</v>
      </c>
      <c r="S16" s="169" t="s">
        <v>6</v>
      </c>
      <c r="T16" s="169" t="s">
        <v>6</v>
      </c>
      <c r="U16" s="164"/>
      <c r="V16" s="173"/>
      <c r="W16" s="306" t="s">
        <v>128</v>
      </c>
      <c r="X16" s="173"/>
      <c r="Y16" s="173"/>
      <c r="Z16" s="169" t="s">
        <v>6</v>
      </c>
      <c r="AA16" s="169" t="s">
        <v>6</v>
      </c>
      <c r="AB16" s="181"/>
      <c r="AC16" s="170"/>
      <c r="AD16" s="170"/>
      <c r="AE16" s="306" t="s">
        <v>128</v>
      </c>
      <c r="AF16" s="173"/>
      <c r="AG16" s="173"/>
      <c r="AH16" s="169" t="s">
        <v>6</v>
      </c>
      <c r="AI16" s="169" t="s">
        <v>6</v>
      </c>
      <c r="AJ16" s="181"/>
      <c r="AK16" s="170"/>
      <c r="AL16" s="170"/>
      <c r="AM16" s="172"/>
      <c r="AN16" s="173"/>
      <c r="AO16" s="173"/>
      <c r="AP16" s="173"/>
      <c r="AQ16" s="173"/>
      <c r="AR16" s="173"/>
      <c r="AS16" s="173"/>
      <c r="AT16" s="173"/>
      <c r="AU16" s="173"/>
      <c r="AV16" s="173"/>
      <c r="AW16" s="179">
        <f t="shared" si="1"/>
        <v>24</v>
      </c>
      <c r="AX16" s="191"/>
      <c r="AY16" s="192"/>
    </row>
    <row r="17" spans="1:87" s="180" customFormat="1" ht="15">
      <c r="A17" s="40">
        <f t="shared" si="0"/>
        <v>11</v>
      </c>
      <c r="B17" s="186"/>
      <c r="C17" s="187"/>
      <c r="D17" s="186"/>
      <c r="E17" s="188"/>
      <c r="F17" s="188"/>
      <c r="G17" s="188"/>
      <c r="H17" s="173"/>
      <c r="I17" s="164"/>
      <c r="J17" s="306" t="s">
        <v>2461</v>
      </c>
      <c r="K17" s="306" t="s">
        <v>65</v>
      </c>
      <c r="L17" s="352" t="s">
        <v>2462</v>
      </c>
      <c r="M17" s="352"/>
      <c r="N17" s="164" t="s">
        <v>504</v>
      </c>
      <c r="O17" s="164"/>
      <c r="P17" s="164"/>
      <c r="Q17" s="169" t="s">
        <v>6</v>
      </c>
      <c r="R17" s="169" t="s">
        <v>6</v>
      </c>
      <c r="S17" s="169" t="s">
        <v>6</v>
      </c>
      <c r="T17" s="169" t="s">
        <v>6</v>
      </c>
      <c r="U17" s="164"/>
      <c r="V17" s="173"/>
      <c r="W17" s="306" t="s">
        <v>65</v>
      </c>
      <c r="X17" s="181"/>
      <c r="Y17" s="181"/>
      <c r="Z17" s="169" t="s">
        <v>6</v>
      </c>
      <c r="AA17" s="169" t="s">
        <v>6</v>
      </c>
      <c r="AB17" s="181"/>
      <c r="AC17" s="181"/>
      <c r="AD17" s="181"/>
      <c r="AE17" s="306" t="s">
        <v>65</v>
      </c>
      <c r="AF17" s="181"/>
      <c r="AG17" s="181"/>
      <c r="AH17" s="169" t="s">
        <v>6</v>
      </c>
      <c r="AI17" s="169" t="s">
        <v>6</v>
      </c>
      <c r="AJ17" s="181"/>
      <c r="AK17" s="181"/>
      <c r="AL17" s="181"/>
      <c r="AM17" s="172"/>
      <c r="AN17" s="195"/>
      <c r="AO17" s="178"/>
      <c r="AP17" s="178"/>
      <c r="AQ17" s="178"/>
      <c r="AR17" s="178"/>
      <c r="AS17" s="178"/>
      <c r="AT17" s="178"/>
      <c r="AU17" s="178"/>
      <c r="AV17" s="173"/>
      <c r="AW17" s="179">
        <f t="shared" si="1"/>
        <v>14</v>
      </c>
    </row>
    <row r="18" spans="1:87" s="180" customFormat="1" ht="52.8">
      <c r="A18" s="164">
        <f t="shared" si="0"/>
        <v>12</v>
      </c>
      <c r="B18" s="176"/>
      <c r="C18" s="177"/>
      <c r="D18" s="176"/>
      <c r="E18" s="176"/>
      <c r="F18" s="176"/>
      <c r="G18" s="176"/>
      <c r="H18" s="173"/>
      <c r="I18" s="173"/>
      <c r="J18" s="306" t="s">
        <v>2463</v>
      </c>
      <c r="K18" s="306" t="s">
        <v>69</v>
      </c>
      <c r="L18" s="352" t="s">
        <v>2464</v>
      </c>
      <c r="M18" s="352"/>
      <c r="N18" s="164" t="s">
        <v>504</v>
      </c>
      <c r="O18" s="164"/>
      <c r="P18" s="164"/>
      <c r="Q18" s="169" t="s">
        <v>6</v>
      </c>
      <c r="R18" s="169" t="s">
        <v>6</v>
      </c>
      <c r="S18" s="169" t="s">
        <v>6</v>
      </c>
      <c r="T18" s="169" t="s">
        <v>6</v>
      </c>
      <c r="U18" s="563" t="s">
        <v>2465</v>
      </c>
      <c r="V18" s="174"/>
      <c r="W18" s="306" t="s">
        <v>69</v>
      </c>
      <c r="X18" s="173"/>
      <c r="Y18" s="173"/>
      <c r="Z18" s="169" t="s">
        <v>6</v>
      </c>
      <c r="AA18" s="169" t="s">
        <v>6</v>
      </c>
      <c r="AB18" s="181"/>
      <c r="AC18" s="170"/>
      <c r="AD18" s="170"/>
      <c r="AE18" s="306" t="s">
        <v>69</v>
      </c>
      <c r="AF18" s="173"/>
      <c r="AG18" s="173"/>
      <c r="AH18" s="169" t="s">
        <v>6</v>
      </c>
      <c r="AI18" s="169" t="s">
        <v>6</v>
      </c>
      <c r="AJ18" s="181"/>
      <c r="AK18" s="170"/>
      <c r="AL18" s="170"/>
      <c r="AM18" s="172"/>
      <c r="AN18" s="176"/>
      <c r="AO18" s="178"/>
      <c r="AP18" s="178"/>
      <c r="AQ18" s="178"/>
      <c r="AR18" s="178"/>
      <c r="AS18" s="178"/>
      <c r="AT18" s="178"/>
      <c r="AU18" s="178"/>
      <c r="AV18" s="178"/>
      <c r="AW18" s="179">
        <f t="shared" si="1"/>
        <v>9</v>
      </c>
      <c r="AX18" s="191"/>
      <c r="AY18" s="192"/>
    </row>
    <row r="19" spans="1:87" s="180" customFormat="1" ht="52.8">
      <c r="A19" s="164">
        <f t="shared" si="0"/>
        <v>13</v>
      </c>
      <c r="B19" s="176"/>
      <c r="C19" s="177"/>
      <c r="D19" s="176"/>
      <c r="E19" s="176"/>
      <c r="F19" s="176"/>
      <c r="G19" s="176"/>
      <c r="H19" s="173"/>
      <c r="I19" s="173"/>
      <c r="J19" s="306" t="s">
        <v>2466</v>
      </c>
      <c r="K19" s="306" t="s">
        <v>75</v>
      </c>
      <c r="L19" s="352" t="s">
        <v>2467</v>
      </c>
      <c r="M19" s="352"/>
      <c r="N19" s="164" t="s">
        <v>504</v>
      </c>
      <c r="O19" s="164"/>
      <c r="P19" s="164"/>
      <c r="Q19" s="169" t="s">
        <v>6</v>
      </c>
      <c r="R19" s="169" t="s">
        <v>6</v>
      </c>
      <c r="S19" s="169" t="s">
        <v>6</v>
      </c>
      <c r="T19" s="169" t="s">
        <v>6</v>
      </c>
      <c r="U19" s="563" t="s">
        <v>2465</v>
      </c>
      <c r="V19" s="174"/>
      <c r="W19" s="306" t="s">
        <v>75</v>
      </c>
      <c r="X19" s="173"/>
      <c r="Y19" s="173"/>
      <c r="Z19" s="169" t="s">
        <v>6</v>
      </c>
      <c r="AA19" s="169" t="s">
        <v>6</v>
      </c>
      <c r="AB19" s="181"/>
      <c r="AC19" s="170"/>
      <c r="AD19" s="170"/>
      <c r="AE19" s="306" t="s">
        <v>75</v>
      </c>
      <c r="AF19" s="173"/>
      <c r="AG19" s="173"/>
      <c r="AH19" s="169" t="s">
        <v>6</v>
      </c>
      <c r="AI19" s="169" t="s">
        <v>6</v>
      </c>
      <c r="AJ19" s="181"/>
      <c r="AK19" s="170"/>
      <c r="AL19" s="170"/>
      <c r="AM19" s="172"/>
      <c r="AN19" s="176"/>
      <c r="AO19" s="178"/>
      <c r="AP19" s="178"/>
      <c r="AQ19" s="178"/>
      <c r="AR19" s="178"/>
      <c r="AS19" s="178"/>
      <c r="AT19" s="178"/>
      <c r="AU19" s="173"/>
      <c r="AV19" s="178"/>
      <c r="AW19" s="179">
        <f t="shared" si="1"/>
        <v>42</v>
      </c>
    </row>
    <row r="20" spans="1:87" s="180" customFormat="1" ht="66">
      <c r="A20" s="164">
        <f t="shared" si="0"/>
        <v>14</v>
      </c>
      <c r="B20" s="176"/>
      <c r="C20" s="177"/>
      <c r="D20" s="176"/>
      <c r="E20" s="176"/>
      <c r="F20" s="176"/>
      <c r="G20" s="176"/>
      <c r="H20" s="173"/>
      <c r="I20" s="173"/>
      <c r="J20" s="306" t="s">
        <v>2468</v>
      </c>
      <c r="K20" s="306" t="s">
        <v>140</v>
      </c>
      <c r="L20" s="352" t="s">
        <v>1427</v>
      </c>
      <c r="M20" s="352"/>
      <c r="N20" s="164" t="s">
        <v>504</v>
      </c>
      <c r="O20" s="164"/>
      <c r="P20" s="164"/>
      <c r="Q20" s="169" t="s">
        <v>6</v>
      </c>
      <c r="R20" s="169" t="s">
        <v>6</v>
      </c>
      <c r="S20" s="169" t="s">
        <v>6</v>
      </c>
      <c r="T20" s="169" t="s">
        <v>6</v>
      </c>
      <c r="U20" s="563" t="s">
        <v>2469</v>
      </c>
      <c r="V20" s="174"/>
      <c r="W20" s="306" t="s">
        <v>140</v>
      </c>
      <c r="X20" s="173"/>
      <c r="Y20" s="173"/>
      <c r="Z20" s="169" t="s">
        <v>6</v>
      </c>
      <c r="AA20" s="169" t="s">
        <v>6</v>
      </c>
      <c r="AB20" s="181"/>
      <c r="AC20" s="170"/>
      <c r="AD20" s="170"/>
      <c r="AE20" s="306" t="s">
        <v>140</v>
      </c>
      <c r="AF20" s="173"/>
      <c r="AG20" s="173"/>
      <c r="AH20" s="169" t="s">
        <v>6</v>
      </c>
      <c r="AI20" s="169" t="s">
        <v>6</v>
      </c>
      <c r="AJ20" s="181"/>
      <c r="AK20" s="170"/>
      <c r="AL20" s="170"/>
      <c r="AM20" s="172"/>
      <c r="AN20" s="173"/>
      <c r="AO20" s="173"/>
      <c r="AP20" s="173"/>
      <c r="AQ20" s="173"/>
      <c r="AR20" s="173"/>
      <c r="AS20" s="173"/>
      <c r="AT20" s="173"/>
      <c r="AU20" s="178"/>
      <c r="AV20" s="178"/>
      <c r="AW20" s="179">
        <f t="shared" si="1"/>
        <v>15</v>
      </c>
    </row>
    <row r="21" spans="1:87" s="179" customFormat="1" ht="66">
      <c r="A21" s="164">
        <f t="shared" si="0"/>
        <v>15</v>
      </c>
      <c r="B21" s="176"/>
      <c r="C21" s="177"/>
      <c r="D21" s="176"/>
      <c r="E21" s="176"/>
      <c r="F21" s="176"/>
      <c r="G21" s="176"/>
      <c r="H21" s="173"/>
      <c r="I21" s="173"/>
      <c r="J21" s="306" t="s">
        <v>2470</v>
      </c>
      <c r="K21" s="306" t="s">
        <v>117</v>
      </c>
      <c r="L21" s="352" t="s">
        <v>2471</v>
      </c>
      <c r="M21" s="352"/>
      <c r="N21" s="164" t="s">
        <v>504</v>
      </c>
      <c r="O21" s="164"/>
      <c r="P21" s="164"/>
      <c r="Q21" s="169" t="s">
        <v>6</v>
      </c>
      <c r="R21" s="169" t="s">
        <v>6</v>
      </c>
      <c r="S21" s="169" t="s">
        <v>6</v>
      </c>
      <c r="T21" s="169" t="s">
        <v>6</v>
      </c>
      <c r="U21" s="563" t="s">
        <v>2469</v>
      </c>
      <c r="V21" s="174"/>
      <c r="W21" s="306" t="s">
        <v>133</v>
      </c>
      <c r="X21" s="173"/>
      <c r="Y21" s="173"/>
      <c r="Z21" s="169" t="s">
        <v>6</v>
      </c>
      <c r="AA21" s="169" t="s">
        <v>6</v>
      </c>
      <c r="AB21" s="181"/>
      <c r="AC21" s="170"/>
      <c r="AD21" s="170"/>
      <c r="AE21" s="306" t="s">
        <v>133</v>
      </c>
      <c r="AF21" s="173"/>
      <c r="AG21" s="173"/>
      <c r="AH21" s="169" t="s">
        <v>6</v>
      </c>
      <c r="AI21" s="169" t="s">
        <v>6</v>
      </c>
      <c r="AJ21" s="181"/>
      <c r="AK21" s="170"/>
      <c r="AL21" s="170"/>
      <c r="AM21" s="172"/>
      <c r="AN21" s="176"/>
      <c r="AO21" s="178"/>
      <c r="AP21" s="178"/>
      <c r="AQ21" s="178"/>
      <c r="AR21" s="178"/>
      <c r="AS21" s="178"/>
      <c r="AT21" s="178"/>
      <c r="AU21" s="173"/>
      <c r="AV21" s="178"/>
      <c r="AW21" s="179">
        <f t="shared" si="1"/>
        <v>39</v>
      </c>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row>
    <row r="22" spans="1:87" s="179" customFormat="1" ht="66">
      <c r="A22" s="40">
        <f t="shared" si="0"/>
        <v>16</v>
      </c>
      <c r="B22" s="176"/>
      <c r="C22" s="177"/>
      <c r="D22" s="176"/>
      <c r="E22" s="176"/>
      <c r="F22" s="176"/>
      <c r="G22" s="176"/>
      <c r="H22" s="173"/>
      <c r="I22" s="173"/>
      <c r="J22" s="306" t="s">
        <v>2472</v>
      </c>
      <c r="K22" s="306" t="s">
        <v>113</v>
      </c>
      <c r="L22" s="352" t="s">
        <v>1310</v>
      </c>
      <c r="M22" s="352"/>
      <c r="N22" s="164" t="s">
        <v>504</v>
      </c>
      <c r="O22" s="164"/>
      <c r="P22" s="164"/>
      <c r="Q22" s="169" t="s">
        <v>6</v>
      </c>
      <c r="R22" s="169" t="s">
        <v>6</v>
      </c>
      <c r="S22" s="169" t="s">
        <v>6</v>
      </c>
      <c r="T22" s="169" t="s">
        <v>6</v>
      </c>
      <c r="U22" s="563" t="s">
        <v>2469</v>
      </c>
      <c r="V22" s="174"/>
      <c r="W22" s="306" t="s">
        <v>113</v>
      </c>
      <c r="X22" s="173"/>
      <c r="Y22" s="173"/>
      <c r="Z22" s="169" t="s">
        <v>6</v>
      </c>
      <c r="AA22" s="169" t="s">
        <v>6</v>
      </c>
      <c r="AB22" s="181"/>
      <c r="AC22" s="170"/>
      <c r="AD22" s="170"/>
      <c r="AE22" s="306" t="s">
        <v>113</v>
      </c>
      <c r="AF22" s="173"/>
      <c r="AG22" s="173"/>
      <c r="AH22" s="169" t="s">
        <v>6</v>
      </c>
      <c r="AI22" s="169" t="s">
        <v>6</v>
      </c>
      <c r="AJ22" s="181"/>
      <c r="AK22" s="170"/>
      <c r="AL22" s="170"/>
      <c r="AM22" s="172"/>
      <c r="AN22" s="176"/>
      <c r="AO22" s="178"/>
      <c r="AP22" s="178"/>
      <c r="AQ22" s="178"/>
      <c r="AR22" s="178"/>
      <c r="AS22" s="178"/>
      <c r="AT22" s="178"/>
      <c r="AU22" s="173"/>
      <c r="AV22" s="178"/>
      <c r="AW22" s="179">
        <f t="shared" si="1"/>
        <v>24</v>
      </c>
      <c r="AX22" s="180"/>
      <c r="AY22" s="180"/>
      <c r="AZ22" s="180"/>
      <c r="BA22" s="180"/>
      <c r="BB22" s="180"/>
      <c r="BC22" s="180"/>
      <c r="BD22" s="180"/>
      <c r="BE22" s="180"/>
      <c r="BF22" s="180"/>
      <c r="BG22" s="180"/>
      <c r="BH22" s="180"/>
      <c r="BI22" s="180"/>
      <c r="BJ22" s="180"/>
      <c r="BK22" s="180"/>
      <c r="BL22" s="180"/>
      <c r="BM22" s="180"/>
      <c r="BN22" s="180"/>
      <c r="BO22" s="180"/>
      <c r="BP22" s="180"/>
      <c r="BQ22" s="180"/>
      <c r="BR22" s="180"/>
      <c r="BS22" s="180"/>
      <c r="BT22" s="180"/>
      <c r="BU22" s="180"/>
      <c r="BV22" s="180"/>
      <c r="BW22" s="180"/>
      <c r="BX22" s="180"/>
      <c r="BY22" s="180"/>
      <c r="BZ22" s="180"/>
      <c r="CA22" s="180"/>
      <c r="CB22" s="180"/>
      <c r="CC22" s="180"/>
      <c r="CD22" s="180"/>
      <c r="CE22" s="180"/>
      <c r="CF22" s="180"/>
      <c r="CG22" s="180"/>
      <c r="CH22" s="180"/>
      <c r="CI22" s="180"/>
    </row>
    <row r="23" spans="1:87" s="179" customFormat="1" ht="66">
      <c r="A23" s="164">
        <f t="shared" si="0"/>
        <v>17</v>
      </c>
      <c r="B23" s="176"/>
      <c r="C23" s="177"/>
      <c r="D23" s="176"/>
      <c r="E23" s="176"/>
      <c r="F23" s="176"/>
      <c r="G23" s="176"/>
      <c r="H23" s="173"/>
      <c r="I23" s="173"/>
      <c r="J23" s="306" t="s">
        <v>2473</v>
      </c>
      <c r="K23" s="306" t="s">
        <v>113</v>
      </c>
      <c r="L23" s="352" t="s">
        <v>1311</v>
      </c>
      <c r="M23" s="352"/>
      <c r="N23" s="164" t="s">
        <v>504</v>
      </c>
      <c r="O23" s="164"/>
      <c r="P23" s="164"/>
      <c r="Q23" s="169" t="s">
        <v>6</v>
      </c>
      <c r="R23" s="169" t="s">
        <v>6</v>
      </c>
      <c r="S23" s="169" t="s">
        <v>6</v>
      </c>
      <c r="T23" s="169" t="s">
        <v>6</v>
      </c>
      <c r="U23" s="563" t="s">
        <v>2469</v>
      </c>
      <c r="V23" s="174"/>
      <c r="W23" s="306" t="s">
        <v>113</v>
      </c>
      <c r="X23" s="173"/>
      <c r="Y23" s="173"/>
      <c r="Z23" s="169" t="s">
        <v>6</v>
      </c>
      <c r="AA23" s="169" t="s">
        <v>6</v>
      </c>
      <c r="AB23" s="181"/>
      <c r="AC23" s="170"/>
      <c r="AD23" s="170"/>
      <c r="AE23" s="306" t="s">
        <v>113</v>
      </c>
      <c r="AF23" s="173"/>
      <c r="AG23" s="173"/>
      <c r="AH23" s="169" t="s">
        <v>6</v>
      </c>
      <c r="AI23" s="169" t="s">
        <v>6</v>
      </c>
      <c r="AJ23" s="181"/>
      <c r="AK23" s="170"/>
      <c r="AL23" s="170"/>
      <c r="AM23" s="172"/>
      <c r="AN23" s="176"/>
      <c r="AO23" s="178"/>
      <c r="AP23" s="178"/>
      <c r="AQ23" s="178"/>
      <c r="AR23" s="178"/>
      <c r="AS23" s="178"/>
      <c r="AT23" s="178"/>
      <c r="AU23" s="173"/>
      <c r="AV23" s="178"/>
      <c r="AW23" s="179">
        <f t="shared" si="1"/>
        <v>25</v>
      </c>
      <c r="AX23" s="180"/>
      <c r="AY23" s="180"/>
      <c r="AZ23" s="180"/>
      <c r="BA23" s="180"/>
      <c r="BB23" s="180"/>
      <c r="BC23" s="180"/>
      <c r="BD23" s="180"/>
      <c r="BE23" s="180"/>
      <c r="BF23" s="180"/>
      <c r="BG23" s="180"/>
      <c r="BH23" s="180"/>
      <c r="BI23" s="180"/>
      <c r="BJ23" s="180"/>
      <c r="BK23" s="180"/>
      <c r="BL23" s="180"/>
      <c r="BM23" s="180"/>
      <c r="BN23" s="180"/>
      <c r="BO23" s="180"/>
      <c r="BP23" s="180"/>
      <c r="BQ23" s="180"/>
      <c r="BR23" s="180"/>
      <c r="BS23" s="180"/>
      <c r="BT23" s="180"/>
      <c r="BU23" s="180"/>
      <c r="BV23" s="180"/>
      <c r="BW23" s="180"/>
      <c r="BX23" s="180"/>
      <c r="BY23" s="180"/>
      <c r="BZ23" s="180"/>
      <c r="CA23" s="180"/>
      <c r="CB23" s="180"/>
      <c r="CC23" s="180"/>
      <c r="CD23" s="180"/>
      <c r="CE23" s="180"/>
      <c r="CF23" s="180"/>
      <c r="CG23" s="180"/>
      <c r="CH23" s="180"/>
      <c r="CI23" s="180"/>
    </row>
    <row r="24" spans="1:87" s="179" customFormat="1" ht="66">
      <c r="A24" s="164">
        <f t="shared" si="0"/>
        <v>18</v>
      </c>
      <c r="B24" s="176"/>
      <c r="C24" s="177"/>
      <c r="D24" s="176"/>
      <c r="E24" s="176"/>
      <c r="F24" s="176"/>
      <c r="G24" s="176"/>
      <c r="H24" s="173"/>
      <c r="I24" s="173"/>
      <c r="J24" s="306" t="s">
        <v>2474</v>
      </c>
      <c r="K24" s="306" t="s">
        <v>140</v>
      </c>
      <c r="L24" s="352" t="s">
        <v>2475</v>
      </c>
      <c r="M24" s="352"/>
      <c r="N24" s="164" t="s">
        <v>504</v>
      </c>
      <c r="O24" s="164"/>
      <c r="P24" s="164"/>
      <c r="Q24" s="169" t="s">
        <v>6</v>
      </c>
      <c r="R24" s="169" t="s">
        <v>6</v>
      </c>
      <c r="S24" s="169" t="s">
        <v>6</v>
      </c>
      <c r="T24" s="169" t="s">
        <v>6</v>
      </c>
      <c r="U24" s="563" t="s">
        <v>2469</v>
      </c>
      <c r="V24" s="174"/>
      <c r="W24" s="306" t="s">
        <v>140</v>
      </c>
      <c r="X24" s="173"/>
      <c r="Y24" s="173"/>
      <c r="Z24" s="169" t="s">
        <v>6</v>
      </c>
      <c r="AA24" s="169" t="s">
        <v>6</v>
      </c>
      <c r="AB24" s="181"/>
      <c r="AC24" s="170"/>
      <c r="AD24" s="170"/>
      <c r="AE24" s="306" t="s">
        <v>140</v>
      </c>
      <c r="AF24" s="173"/>
      <c r="AG24" s="173"/>
      <c r="AH24" s="169" t="s">
        <v>6</v>
      </c>
      <c r="AI24" s="169" t="s">
        <v>6</v>
      </c>
      <c r="AJ24" s="181"/>
      <c r="AK24" s="170"/>
      <c r="AL24" s="170"/>
      <c r="AM24" s="172"/>
      <c r="AN24" s="176"/>
      <c r="AO24" s="178"/>
      <c r="AP24" s="178"/>
      <c r="AQ24" s="178"/>
      <c r="AR24" s="178"/>
      <c r="AS24" s="178"/>
      <c r="AT24" s="178"/>
      <c r="AU24" s="173"/>
      <c r="AV24" s="178"/>
      <c r="AW24" s="179">
        <f t="shared" si="1"/>
        <v>20</v>
      </c>
      <c r="AX24" s="180"/>
      <c r="AY24" s="180"/>
      <c r="AZ24" s="180"/>
      <c r="BA24" s="180"/>
      <c r="BB24" s="180"/>
      <c r="BC24" s="180"/>
      <c r="BD24" s="180"/>
      <c r="BE24" s="180"/>
      <c r="BF24" s="180"/>
      <c r="BG24" s="180"/>
      <c r="BH24" s="180"/>
      <c r="BI24" s="180"/>
      <c r="BJ24" s="180"/>
      <c r="BK24" s="180"/>
      <c r="BL24" s="180"/>
      <c r="BM24" s="180"/>
      <c r="BN24" s="180"/>
      <c r="BO24" s="180"/>
      <c r="BP24" s="180"/>
      <c r="BQ24" s="180"/>
      <c r="BR24" s="180"/>
      <c r="BS24" s="180"/>
      <c r="BT24" s="180"/>
      <c r="BU24" s="180"/>
      <c r="BV24" s="180"/>
      <c r="BW24" s="180"/>
      <c r="BX24" s="180"/>
      <c r="BY24" s="180"/>
      <c r="BZ24" s="180"/>
      <c r="CA24" s="180"/>
      <c r="CB24" s="180"/>
      <c r="CC24" s="180"/>
      <c r="CD24" s="180"/>
      <c r="CE24" s="180"/>
      <c r="CF24" s="180"/>
      <c r="CG24" s="180"/>
      <c r="CH24" s="180"/>
      <c r="CI24" s="180"/>
    </row>
    <row r="25" spans="1:87" s="179" customFormat="1" ht="66">
      <c r="A25" s="164">
        <f t="shared" si="0"/>
        <v>19</v>
      </c>
      <c r="B25" s="176"/>
      <c r="C25" s="177"/>
      <c r="D25" s="176"/>
      <c r="E25" s="176"/>
      <c r="F25" s="176"/>
      <c r="G25" s="176"/>
      <c r="H25" s="173"/>
      <c r="I25" s="173"/>
      <c r="J25" s="306" t="s">
        <v>2476</v>
      </c>
      <c r="K25" s="306" t="s">
        <v>140</v>
      </c>
      <c r="L25" s="352" t="s">
        <v>2477</v>
      </c>
      <c r="M25" s="352"/>
      <c r="N25" s="164" t="s">
        <v>504</v>
      </c>
      <c r="O25" s="164"/>
      <c r="P25" s="164"/>
      <c r="Q25" s="169" t="s">
        <v>6</v>
      </c>
      <c r="R25" s="169" t="s">
        <v>6</v>
      </c>
      <c r="S25" s="169" t="s">
        <v>6</v>
      </c>
      <c r="T25" s="169" t="s">
        <v>6</v>
      </c>
      <c r="U25" s="563" t="s">
        <v>2469</v>
      </c>
      <c r="V25" s="174"/>
      <c r="W25" s="306" t="s">
        <v>140</v>
      </c>
      <c r="X25" s="173"/>
      <c r="Y25" s="173"/>
      <c r="Z25" s="169" t="s">
        <v>6</v>
      </c>
      <c r="AA25" s="169" t="s">
        <v>6</v>
      </c>
      <c r="AB25" s="181"/>
      <c r="AC25" s="170"/>
      <c r="AD25" s="170"/>
      <c r="AE25" s="306" t="s">
        <v>140</v>
      </c>
      <c r="AF25" s="173"/>
      <c r="AG25" s="173"/>
      <c r="AH25" s="169" t="s">
        <v>6</v>
      </c>
      <c r="AI25" s="169" t="s">
        <v>6</v>
      </c>
      <c r="AJ25" s="181"/>
      <c r="AK25" s="170"/>
      <c r="AL25" s="170"/>
      <c r="AM25" s="172"/>
      <c r="AN25" s="176"/>
      <c r="AO25" s="178"/>
      <c r="AP25" s="178"/>
      <c r="AQ25" s="178"/>
      <c r="AR25" s="178"/>
      <c r="AS25" s="178"/>
      <c r="AT25" s="178"/>
      <c r="AU25" s="173"/>
      <c r="AV25" s="178"/>
      <c r="AW25" s="179">
        <f t="shared" si="1"/>
        <v>16</v>
      </c>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row>
    <row r="26" spans="1:87" s="179" customFormat="1" ht="66">
      <c r="A26" s="164">
        <f t="shared" si="0"/>
        <v>20</v>
      </c>
      <c r="B26" s="176"/>
      <c r="C26" s="177"/>
      <c r="D26" s="176"/>
      <c r="E26" s="176"/>
      <c r="F26" s="176"/>
      <c r="G26" s="176"/>
      <c r="H26" s="173"/>
      <c r="I26" s="173"/>
      <c r="J26" s="306" t="s">
        <v>2478</v>
      </c>
      <c r="K26" s="306" t="s">
        <v>140</v>
      </c>
      <c r="L26" s="352" t="s">
        <v>2479</v>
      </c>
      <c r="M26" s="352"/>
      <c r="N26" s="164" t="s">
        <v>504</v>
      </c>
      <c r="O26" s="164"/>
      <c r="P26" s="164"/>
      <c r="Q26" s="169" t="s">
        <v>6</v>
      </c>
      <c r="R26" s="169" t="s">
        <v>6</v>
      </c>
      <c r="S26" s="169" t="s">
        <v>6</v>
      </c>
      <c r="T26" s="169" t="s">
        <v>6</v>
      </c>
      <c r="U26" s="563" t="s">
        <v>2469</v>
      </c>
      <c r="V26" s="174"/>
      <c r="W26" s="306" t="s">
        <v>140</v>
      </c>
      <c r="X26" s="173"/>
      <c r="Y26" s="173"/>
      <c r="Z26" s="169" t="s">
        <v>6</v>
      </c>
      <c r="AA26" s="169" t="s">
        <v>6</v>
      </c>
      <c r="AB26" s="181"/>
      <c r="AC26" s="170"/>
      <c r="AD26" s="170"/>
      <c r="AE26" s="306" t="s">
        <v>140</v>
      </c>
      <c r="AF26" s="173"/>
      <c r="AG26" s="173"/>
      <c r="AH26" s="169" t="s">
        <v>6</v>
      </c>
      <c r="AI26" s="169" t="s">
        <v>6</v>
      </c>
      <c r="AJ26" s="181"/>
      <c r="AK26" s="170"/>
      <c r="AL26" s="170"/>
      <c r="AM26" s="172"/>
      <c r="AN26" s="176"/>
      <c r="AO26" s="178"/>
      <c r="AP26" s="178"/>
      <c r="AQ26" s="178"/>
      <c r="AR26" s="178"/>
      <c r="AS26" s="178"/>
      <c r="AT26" s="178"/>
      <c r="AU26" s="173"/>
      <c r="AV26" s="178"/>
      <c r="AW26" s="179">
        <f t="shared" si="1"/>
        <v>20</v>
      </c>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row>
    <row r="27" spans="1:87" s="180" customFormat="1" ht="52.8">
      <c r="A27" s="40">
        <f t="shared" si="0"/>
        <v>21</v>
      </c>
      <c r="B27" s="186"/>
      <c r="C27" s="187"/>
      <c r="D27" s="186"/>
      <c r="E27" s="188"/>
      <c r="F27" s="188"/>
      <c r="G27" s="188"/>
      <c r="H27" s="173"/>
      <c r="I27" s="164"/>
      <c r="J27" s="306" t="s">
        <v>2480</v>
      </c>
      <c r="K27" s="306" t="s">
        <v>128</v>
      </c>
      <c r="L27" s="352" t="s">
        <v>2481</v>
      </c>
      <c r="M27" s="352"/>
      <c r="N27" s="164" t="s">
        <v>504</v>
      </c>
      <c r="O27" s="164"/>
      <c r="P27" s="164"/>
      <c r="Q27" s="169" t="s">
        <v>6</v>
      </c>
      <c r="R27" s="169" t="s">
        <v>6</v>
      </c>
      <c r="S27" s="169" t="s">
        <v>6</v>
      </c>
      <c r="T27" s="169" t="s">
        <v>6</v>
      </c>
      <c r="U27" s="563" t="s">
        <v>2465</v>
      </c>
      <c r="V27" s="174"/>
      <c r="W27" s="306" t="s">
        <v>133</v>
      </c>
      <c r="X27" s="173"/>
      <c r="Y27" s="173"/>
      <c r="Z27" s="169" t="s">
        <v>6</v>
      </c>
      <c r="AA27" s="169" t="s">
        <v>6</v>
      </c>
      <c r="AB27" s="181"/>
      <c r="AC27" s="181"/>
      <c r="AD27" s="181"/>
      <c r="AE27" s="306" t="s">
        <v>133</v>
      </c>
      <c r="AF27" s="173"/>
      <c r="AG27" s="173"/>
      <c r="AH27" s="169" t="s">
        <v>6</v>
      </c>
      <c r="AI27" s="169" t="s">
        <v>6</v>
      </c>
      <c r="AJ27" s="181"/>
      <c r="AK27" s="181"/>
      <c r="AL27" s="181"/>
      <c r="AM27" s="172"/>
      <c r="AN27" s="176"/>
      <c r="AO27" s="178"/>
      <c r="AP27" s="178"/>
      <c r="AQ27" s="178"/>
      <c r="AR27" s="178"/>
      <c r="AS27" s="178"/>
      <c r="AT27" s="178"/>
      <c r="AU27" s="178"/>
      <c r="AV27" s="173"/>
      <c r="AW27" s="179">
        <f t="shared" si="1"/>
        <v>20</v>
      </c>
    </row>
    <row r="28" spans="1:87" s="180" customFormat="1" ht="52.8">
      <c r="A28" s="164">
        <f t="shared" si="0"/>
        <v>22</v>
      </c>
      <c r="B28" s="186"/>
      <c r="C28" s="187"/>
      <c r="D28" s="186"/>
      <c r="E28" s="188"/>
      <c r="F28" s="188"/>
      <c r="G28" s="188"/>
      <c r="H28" s="173"/>
      <c r="I28" s="164"/>
      <c r="J28" s="306" t="s">
        <v>2482</v>
      </c>
      <c r="K28" s="306" t="s">
        <v>117</v>
      </c>
      <c r="L28" s="352" t="s">
        <v>2483</v>
      </c>
      <c r="M28" s="352"/>
      <c r="N28" s="164" t="s">
        <v>504</v>
      </c>
      <c r="O28" s="164"/>
      <c r="P28" s="164"/>
      <c r="Q28" s="169" t="s">
        <v>6</v>
      </c>
      <c r="R28" s="169" t="s">
        <v>6</v>
      </c>
      <c r="S28" s="169" t="s">
        <v>6</v>
      </c>
      <c r="T28" s="169" t="s">
        <v>6</v>
      </c>
      <c r="U28" s="563" t="s">
        <v>2465</v>
      </c>
      <c r="V28" s="174"/>
      <c r="W28" s="306" t="s">
        <v>133</v>
      </c>
      <c r="X28" s="173"/>
      <c r="Y28" s="173"/>
      <c r="Z28" s="169" t="s">
        <v>6</v>
      </c>
      <c r="AA28" s="169" t="s">
        <v>6</v>
      </c>
      <c r="AB28" s="181"/>
      <c r="AC28" s="181"/>
      <c r="AD28" s="181"/>
      <c r="AE28" s="306" t="s">
        <v>133</v>
      </c>
      <c r="AF28" s="173"/>
      <c r="AG28" s="173"/>
      <c r="AH28" s="169" t="s">
        <v>6</v>
      </c>
      <c r="AI28" s="169" t="s">
        <v>6</v>
      </c>
      <c r="AJ28" s="181"/>
      <c r="AK28" s="181"/>
      <c r="AL28" s="181"/>
      <c r="AM28" s="172"/>
      <c r="AN28" s="176"/>
      <c r="AO28" s="178"/>
      <c r="AP28" s="178"/>
      <c r="AQ28" s="178"/>
      <c r="AR28" s="178"/>
      <c r="AS28" s="178"/>
      <c r="AT28" s="178"/>
      <c r="AU28" s="178"/>
      <c r="AV28" s="173"/>
      <c r="AW28" s="179">
        <f t="shared" si="1"/>
        <v>22</v>
      </c>
    </row>
    <row r="29" spans="1:87" s="12" customFormat="1" ht="79.2">
      <c r="A29" s="40">
        <f t="shared" si="0"/>
        <v>23</v>
      </c>
      <c r="B29" s="19"/>
      <c r="C29" s="41"/>
      <c r="D29" s="19"/>
      <c r="E29" s="19"/>
      <c r="F29" s="19"/>
      <c r="G29" s="19"/>
      <c r="H29" s="13"/>
      <c r="I29" s="13"/>
      <c r="J29" s="412" t="s">
        <v>2485</v>
      </c>
      <c r="K29" s="412" t="s">
        <v>117</v>
      </c>
      <c r="L29" s="204" t="s">
        <v>2486</v>
      </c>
      <c r="M29" s="204"/>
      <c r="N29" s="40" t="s">
        <v>504</v>
      </c>
      <c r="O29" s="40"/>
      <c r="P29" s="40"/>
      <c r="Q29" s="416" t="s">
        <v>6</v>
      </c>
      <c r="R29" s="416" t="s">
        <v>6</v>
      </c>
      <c r="S29" s="416" t="s">
        <v>6</v>
      </c>
      <c r="T29" s="416" t="s">
        <v>6</v>
      </c>
      <c r="U29" s="202" t="s">
        <v>3487</v>
      </c>
      <c r="V29" s="204"/>
      <c r="W29" s="412" t="s">
        <v>133</v>
      </c>
      <c r="X29" s="13"/>
      <c r="Y29" s="13"/>
      <c r="Z29" s="416" t="s">
        <v>6</v>
      </c>
      <c r="AA29" s="416" t="s">
        <v>6</v>
      </c>
      <c r="AB29" s="413"/>
      <c r="AC29" s="415"/>
      <c r="AD29" s="415"/>
      <c r="AE29" s="412" t="s">
        <v>133</v>
      </c>
      <c r="AF29" s="13"/>
      <c r="AG29" s="13"/>
      <c r="AH29" s="416" t="s">
        <v>6</v>
      </c>
      <c r="AI29" s="416" t="s">
        <v>6</v>
      </c>
      <c r="AJ29" s="413"/>
      <c r="AK29" s="415"/>
      <c r="AL29" s="415"/>
      <c r="AM29" s="43"/>
      <c r="AN29" s="19"/>
      <c r="AO29" s="15"/>
      <c r="AP29" s="15"/>
      <c r="AQ29" s="15"/>
      <c r="AR29" s="15"/>
      <c r="AS29" s="15"/>
      <c r="AT29" s="15"/>
      <c r="AU29" s="13"/>
      <c r="AV29" s="15"/>
      <c r="AW29" s="18">
        <f t="shared" ref="AW29" si="2">LEN(L29)</f>
        <v>32</v>
      </c>
    </row>
    <row r="30" spans="1:87" s="12" customFormat="1" ht="79.2">
      <c r="A30" s="40">
        <f t="shared" si="0"/>
        <v>24</v>
      </c>
      <c r="B30" s="19"/>
      <c r="C30" s="41"/>
      <c r="D30" s="19"/>
      <c r="E30" s="19"/>
      <c r="F30" s="19"/>
      <c r="G30" s="19"/>
      <c r="H30" s="13"/>
      <c r="I30" s="13"/>
      <c r="J30" s="412" t="s">
        <v>2487</v>
      </c>
      <c r="K30" s="412" t="s">
        <v>117</v>
      </c>
      <c r="L30" s="204" t="s">
        <v>2488</v>
      </c>
      <c r="M30" s="204"/>
      <c r="N30" s="40" t="s">
        <v>504</v>
      </c>
      <c r="O30" s="40"/>
      <c r="P30" s="40"/>
      <c r="Q30" s="416" t="s">
        <v>6</v>
      </c>
      <c r="R30" s="416" t="s">
        <v>6</v>
      </c>
      <c r="S30" s="416" t="s">
        <v>6</v>
      </c>
      <c r="T30" s="416" t="s">
        <v>6</v>
      </c>
      <c r="U30" s="202" t="s">
        <v>3487</v>
      </c>
      <c r="V30" s="204"/>
      <c r="W30" s="412" t="s">
        <v>133</v>
      </c>
      <c r="X30" s="13"/>
      <c r="Y30" s="13"/>
      <c r="Z30" s="416" t="s">
        <v>6</v>
      </c>
      <c r="AA30" s="416" t="s">
        <v>6</v>
      </c>
      <c r="AB30" s="413"/>
      <c r="AC30" s="415"/>
      <c r="AD30" s="415"/>
      <c r="AE30" s="412" t="s">
        <v>133</v>
      </c>
      <c r="AF30" s="13"/>
      <c r="AG30" s="13"/>
      <c r="AH30" s="416" t="s">
        <v>6</v>
      </c>
      <c r="AI30" s="416" t="s">
        <v>6</v>
      </c>
      <c r="AJ30" s="413"/>
      <c r="AK30" s="415"/>
      <c r="AL30" s="415"/>
      <c r="AM30" s="43"/>
      <c r="AN30" s="13"/>
      <c r="AO30" s="13"/>
      <c r="AP30" s="13"/>
      <c r="AQ30" s="13"/>
      <c r="AR30" s="13"/>
      <c r="AS30" s="13"/>
      <c r="AT30" s="13"/>
      <c r="AU30" s="15"/>
      <c r="AV30" s="15"/>
      <c r="AW30" s="18">
        <f t="shared" ref="AW30" si="3">LEN(L30)</f>
        <v>43</v>
      </c>
    </row>
    <row r="31" spans="1:87" s="12" customFormat="1" ht="79.2">
      <c r="A31" s="40">
        <f t="shared" si="0"/>
        <v>25</v>
      </c>
      <c r="B31" s="38"/>
      <c r="C31" s="41"/>
      <c r="D31" s="19"/>
      <c r="E31" s="19"/>
      <c r="F31" s="19"/>
      <c r="G31" s="19"/>
      <c r="H31" s="13"/>
      <c r="I31" s="13"/>
      <c r="J31" s="412" t="s">
        <v>2489</v>
      </c>
      <c r="K31" s="412" t="s">
        <v>117</v>
      </c>
      <c r="L31" s="204" t="s">
        <v>2490</v>
      </c>
      <c r="M31" s="204"/>
      <c r="N31" s="40" t="s">
        <v>504</v>
      </c>
      <c r="O31" s="40"/>
      <c r="P31" s="40"/>
      <c r="Q31" s="416" t="s">
        <v>6</v>
      </c>
      <c r="R31" s="416" t="s">
        <v>6</v>
      </c>
      <c r="S31" s="416" t="s">
        <v>6</v>
      </c>
      <c r="T31" s="416" t="s">
        <v>6</v>
      </c>
      <c r="U31" s="202" t="s">
        <v>3487</v>
      </c>
      <c r="V31" s="204"/>
      <c r="W31" s="412" t="s">
        <v>133</v>
      </c>
      <c r="X31" s="43"/>
      <c r="Y31" s="43"/>
      <c r="Z31" s="416" t="s">
        <v>6</v>
      </c>
      <c r="AA31" s="416" t="s">
        <v>6</v>
      </c>
      <c r="AB31" s="413"/>
      <c r="AC31" s="415"/>
      <c r="AD31" s="415"/>
      <c r="AE31" s="412" t="s">
        <v>133</v>
      </c>
      <c r="AF31" s="43"/>
      <c r="AG31" s="43"/>
      <c r="AH31" s="416" t="s">
        <v>6</v>
      </c>
      <c r="AI31" s="416" t="s">
        <v>6</v>
      </c>
      <c r="AJ31" s="413"/>
      <c r="AK31" s="415"/>
      <c r="AL31" s="415"/>
      <c r="AM31" s="43"/>
      <c r="AN31" s="19"/>
      <c r="AO31" s="15"/>
      <c r="AP31" s="15"/>
      <c r="AQ31" s="15"/>
      <c r="AR31" s="15"/>
      <c r="AS31" s="15"/>
      <c r="AT31" s="15"/>
      <c r="AU31" s="15"/>
      <c r="AV31" s="13"/>
      <c r="AW31" s="18">
        <f t="shared" ref="AW31" si="4">LEN(L31)</f>
        <v>35</v>
      </c>
    </row>
    <row r="32" spans="1:87" s="12" customFormat="1" ht="79.2">
      <c r="A32" s="40">
        <f t="shared" si="0"/>
        <v>26</v>
      </c>
      <c r="B32" s="38"/>
      <c r="C32" s="41"/>
      <c r="D32" s="19"/>
      <c r="E32" s="19"/>
      <c r="F32" s="19"/>
      <c r="G32" s="19"/>
      <c r="H32" s="13"/>
      <c r="I32" s="13"/>
      <c r="J32" s="412" t="s">
        <v>2491</v>
      </c>
      <c r="K32" s="412" t="s">
        <v>117</v>
      </c>
      <c r="L32" s="204" t="s">
        <v>2492</v>
      </c>
      <c r="M32" s="204"/>
      <c r="N32" s="40" t="s">
        <v>504</v>
      </c>
      <c r="O32" s="40"/>
      <c r="P32" s="40"/>
      <c r="Q32" s="416" t="s">
        <v>6</v>
      </c>
      <c r="R32" s="416" t="s">
        <v>6</v>
      </c>
      <c r="S32" s="416" t="s">
        <v>6</v>
      </c>
      <c r="T32" s="416" t="s">
        <v>6</v>
      </c>
      <c r="U32" s="202" t="s">
        <v>3487</v>
      </c>
      <c r="V32" s="204"/>
      <c r="W32" s="412" t="s">
        <v>133</v>
      </c>
      <c r="X32" s="43"/>
      <c r="Y32" s="43"/>
      <c r="Z32" s="416" t="s">
        <v>6</v>
      </c>
      <c r="AA32" s="416" t="s">
        <v>6</v>
      </c>
      <c r="AB32" s="413"/>
      <c r="AC32" s="415"/>
      <c r="AD32" s="415"/>
      <c r="AE32" s="412" t="s">
        <v>133</v>
      </c>
      <c r="AF32" s="43"/>
      <c r="AG32" s="43"/>
      <c r="AH32" s="416" t="s">
        <v>6</v>
      </c>
      <c r="AI32" s="416" t="s">
        <v>6</v>
      </c>
      <c r="AJ32" s="413"/>
      <c r="AK32" s="415"/>
      <c r="AL32" s="415"/>
      <c r="AM32" s="43"/>
      <c r="AN32" s="19"/>
      <c r="AO32" s="15"/>
      <c r="AP32" s="15"/>
      <c r="AQ32" s="15"/>
      <c r="AR32" s="15"/>
      <c r="AS32" s="15"/>
      <c r="AT32" s="15"/>
      <c r="AU32" s="15"/>
      <c r="AV32" s="13"/>
      <c r="AW32" s="18">
        <f t="shared" si="1"/>
        <v>25</v>
      </c>
    </row>
    <row r="33" spans="1:49" s="12" customFormat="1" ht="26.4">
      <c r="A33" s="40">
        <f t="shared" si="0"/>
        <v>27</v>
      </c>
      <c r="B33" s="19"/>
      <c r="C33" s="41"/>
      <c r="D33" s="19"/>
      <c r="E33" s="19"/>
      <c r="F33" s="19"/>
      <c r="G33" s="19"/>
      <c r="H33" s="13"/>
      <c r="I33" s="13"/>
      <c r="J33" s="412" t="s">
        <v>2493</v>
      </c>
      <c r="K33" s="412" t="s">
        <v>65</v>
      </c>
      <c r="L33" s="204" t="s">
        <v>2494</v>
      </c>
      <c r="M33" s="204"/>
      <c r="N33" s="40" t="s">
        <v>504</v>
      </c>
      <c r="O33" s="40"/>
      <c r="P33" s="40"/>
      <c r="Q33" s="416" t="s">
        <v>6</v>
      </c>
      <c r="R33" s="416" t="s">
        <v>6</v>
      </c>
      <c r="S33" s="416" t="s">
        <v>6</v>
      </c>
      <c r="T33" s="416" t="s">
        <v>6</v>
      </c>
      <c r="U33" s="202" t="s">
        <v>2495</v>
      </c>
      <c r="V33" s="259"/>
      <c r="W33" s="412" t="s">
        <v>65</v>
      </c>
      <c r="X33" s="43"/>
      <c r="Y33" s="43"/>
      <c r="Z33" s="416" t="s">
        <v>6</v>
      </c>
      <c r="AA33" s="416" t="s">
        <v>6</v>
      </c>
      <c r="AB33" s="415"/>
      <c r="AC33" s="415"/>
      <c r="AD33" s="415"/>
      <c r="AE33" s="412" t="s">
        <v>65</v>
      </c>
      <c r="AF33" s="43"/>
      <c r="AG33" s="43"/>
      <c r="AH33" s="416" t="s">
        <v>6</v>
      </c>
      <c r="AI33" s="416" t="s">
        <v>6</v>
      </c>
      <c r="AJ33" s="415"/>
      <c r="AK33" s="415"/>
      <c r="AL33" s="415"/>
      <c r="AM33" s="43"/>
      <c r="AN33" s="19"/>
      <c r="AO33" s="13"/>
      <c r="AP33" s="13"/>
      <c r="AQ33" s="13"/>
      <c r="AR33" s="13"/>
      <c r="AS33" s="13"/>
      <c r="AT33" s="13"/>
      <c r="AU33" s="15"/>
      <c r="AV33" s="15"/>
      <c r="AW33" s="18">
        <f t="shared" si="1"/>
        <v>13</v>
      </c>
    </row>
    <row r="34" spans="1:49" s="12" customFormat="1" ht="52.8">
      <c r="A34" s="40">
        <f t="shared" si="0"/>
        <v>28</v>
      </c>
      <c r="B34" s="38"/>
      <c r="C34" s="41"/>
      <c r="D34" s="19"/>
      <c r="E34" s="19"/>
      <c r="F34" s="19"/>
      <c r="G34" s="19"/>
      <c r="H34" s="13"/>
      <c r="I34" s="13"/>
      <c r="J34" s="412" t="s">
        <v>2496</v>
      </c>
      <c r="K34" s="412" t="s">
        <v>117</v>
      </c>
      <c r="L34" s="204" t="s">
        <v>2497</v>
      </c>
      <c r="M34" s="204"/>
      <c r="N34" s="40" t="s">
        <v>504</v>
      </c>
      <c r="O34" s="40"/>
      <c r="P34" s="40"/>
      <c r="Q34" s="416" t="s">
        <v>6</v>
      </c>
      <c r="R34" s="416" t="s">
        <v>6</v>
      </c>
      <c r="S34" s="416" t="s">
        <v>6</v>
      </c>
      <c r="T34" s="416" t="s">
        <v>6</v>
      </c>
      <c r="U34" s="202" t="s">
        <v>2465</v>
      </c>
      <c r="V34" s="259"/>
      <c r="W34" s="412" t="s">
        <v>133</v>
      </c>
      <c r="X34" s="43"/>
      <c r="Y34" s="43"/>
      <c r="Z34" s="416" t="s">
        <v>6</v>
      </c>
      <c r="AA34" s="416" t="s">
        <v>6</v>
      </c>
      <c r="AB34" s="413"/>
      <c r="AC34" s="415"/>
      <c r="AD34" s="415"/>
      <c r="AE34" s="412" t="s">
        <v>133</v>
      </c>
      <c r="AF34" s="43"/>
      <c r="AG34" s="43"/>
      <c r="AH34" s="416" t="s">
        <v>6</v>
      </c>
      <c r="AI34" s="416" t="s">
        <v>6</v>
      </c>
      <c r="AJ34" s="413"/>
      <c r="AK34" s="415"/>
      <c r="AL34" s="415"/>
      <c r="AM34" s="43"/>
      <c r="AN34" s="19"/>
      <c r="AO34" s="15"/>
      <c r="AP34" s="15"/>
      <c r="AQ34" s="15"/>
      <c r="AR34" s="15"/>
      <c r="AS34" s="15"/>
      <c r="AT34" s="15"/>
      <c r="AU34" s="15"/>
      <c r="AV34" s="13"/>
      <c r="AW34" s="18">
        <f t="shared" si="1"/>
        <v>39</v>
      </c>
    </row>
    <row r="35" spans="1:49" s="12" customFormat="1" ht="79.2">
      <c r="A35" s="40">
        <f t="shared" si="0"/>
        <v>29</v>
      </c>
      <c r="B35" s="38"/>
      <c r="C35" s="41"/>
      <c r="D35" s="19"/>
      <c r="E35" s="19"/>
      <c r="F35" s="19"/>
      <c r="G35" s="19"/>
      <c r="H35" s="13"/>
      <c r="I35" s="13"/>
      <c r="J35" s="412" t="s">
        <v>2498</v>
      </c>
      <c r="K35" s="412" t="s">
        <v>117</v>
      </c>
      <c r="L35" s="204" t="s">
        <v>2499</v>
      </c>
      <c r="M35" s="204"/>
      <c r="N35" s="40" t="s">
        <v>504</v>
      </c>
      <c r="O35" s="40"/>
      <c r="P35" s="40"/>
      <c r="Q35" s="416" t="s">
        <v>6</v>
      </c>
      <c r="R35" s="416" t="s">
        <v>6</v>
      </c>
      <c r="S35" s="416" t="s">
        <v>6</v>
      </c>
      <c r="T35" s="416" t="s">
        <v>6</v>
      </c>
      <c r="U35" s="202" t="s">
        <v>3487</v>
      </c>
      <c r="V35" s="204"/>
      <c r="W35" s="412" t="s">
        <v>133</v>
      </c>
      <c r="X35" s="43"/>
      <c r="Y35" s="43"/>
      <c r="Z35" s="416" t="s">
        <v>6</v>
      </c>
      <c r="AA35" s="416" t="s">
        <v>6</v>
      </c>
      <c r="AB35" s="413"/>
      <c r="AC35" s="415"/>
      <c r="AD35" s="415"/>
      <c r="AE35" s="412" t="s">
        <v>133</v>
      </c>
      <c r="AF35" s="43"/>
      <c r="AG35" s="43"/>
      <c r="AH35" s="416" t="s">
        <v>6</v>
      </c>
      <c r="AI35" s="416" t="s">
        <v>6</v>
      </c>
      <c r="AJ35" s="413"/>
      <c r="AK35" s="415"/>
      <c r="AL35" s="415"/>
      <c r="AM35" s="43"/>
      <c r="AN35" s="19"/>
      <c r="AO35" s="15"/>
      <c r="AP35" s="15"/>
      <c r="AQ35" s="15"/>
      <c r="AR35" s="15"/>
      <c r="AS35" s="15"/>
      <c r="AT35" s="15"/>
      <c r="AU35" s="15"/>
      <c r="AV35" s="13"/>
      <c r="AW35" s="18">
        <f t="shared" si="1"/>
        <v>36</v>
      </c>
    </row>
    <row r="36" spans="1:49" s="12" customFormat="1" ht="78" customHeight="1">
      <c r="A36" s="40">
        <f t="shared" si="0"/>
        <v>30</v>
      </c>
      <c r="B36" s="38"/>
      <c r="C36" s="41"/>
      <c r="D36" s="19"/>
      <c r="E36" s="19"/>
      <c r="F36" s="19"/>
      <c r="G36" s="19"/>
      <c r="H36" s="13"/>
      <c r="I36" s="13"/>
      <c r="J36" s="412" t="s">
        <v>2500</v>
      </c>
      <c r="K36" s="412" t="s">
        <v>117</v>
      </c>
      <c r="L36" s="204" t="s">
        <v>2501</v>
      </c>
      <c r="M36" s="204"/>
      <c r="N36" s="40" t="s">
        <v>504</v>
      </c>
      <c r="O36" s="40"/>
      <c r="P36" s="40"/>
      <c r="Q36" s="416" t="s">
        <v>6</v>
      </c>
      <c r="R36" s="416" t="s">
        <v>6</v>
      </c>
      <c r="S36" s="416" t="s">
        <v>6</v>
      </c>
      <c r="T36" s="416" t="s">
        <v>6</v>
      </c>
      <c r="U36" s="202" t="s">
        <v>3487</v>
      </c>
      <c r="V36" s="204"/>
      <c r="W36" s="412" t="s">
        <v>133</v>
      </c>
      <c r="X36" s="43"/>
      <c r="Y36" s="43"/>
      <c r="Z36" s="416" t="s">
        <v>6</v>
      </c>
      <c r="AA36" s="416" t="s">
        <v>6</v>
      </c>
      <c r="AB36" s="413"/>
      <c r="AC36" s="415"/>
      <c r="AD36" s="415"/>
      <c r="AE36" s="412" t="s">
        <v>133</v>
      </c>
      <c r="AF36" s="43"/>
      <c r="AG36" s="43"/>
      <c r="AH36" s="416" t="s">
        <v>6</v>
      </c>
      <c r="AI36" s="416" t="s">
        <v>6</v>
      </c>
      <c r="AJ36" s="413"/>
      <c r="AK36" s="415"/>
      <c r="AL36" s="415"/>
      <c r="AM36" s="43"/>
      <c r="AN36" s="19"/>
      <c r="AO36" s="15"/>
      <c r="AP36" s="15"/>
      <c r="AQ36" s="15"/>
      <c r="AR36" s="15"/>
      <c r="AS36" s="15"/>
      <c r="AT36" s="15"/>
      <c r="AU36" s="15"/>
      <c r="AV36" s="13"/>
      <c r="AW36" s="18">
        <f t="shared" ref="AW36:AW47" si="5">LEN(L36)</f>
        <v>36</v>
      </c>
    </row>
    <row r="37" spans="1:49" s="12" customFormat="1" ht="103.5" customHeight="1">
      <c r="A37" s="40">
        <f t="shared" si="0"/>
        <v>31</v>
      </c>
      <c r="B37" s="38"/>
      <c r="C37" s="41"/>
      <c r="D37" s="19"/>
      <c r="E37" s="19"/>
      <c r="F37" s="19"/>
      <c r="G37" s="19"/>
      <c r="H37" s="13"/>
      <c r="I37" s="13"/>
      <c r="J37" s="412" t="s">
        <v>3484</v>
      </c>
      <c r="K37" s="412" t="s">
        <v>117</v>
      </c>
      <c r="L37" s="204" t="s">
        <v>2502</v>
      </c>
      <c r="M37" s="204"/>
      <c r="N37" s="40" t="s">
        <v>504</v>
      </c>
      <c r="O37" s="40"/>
      <c r="P37" s="40"/>
      <c r="Q37" s="416" t="s">
        <v>6</v>
      </c>
      <c r="R37" s="416" t="s">
        <v>6</v>
      </c>
      <c r="S37" s="416" t="s">
        <v>6</v>
      </c>
      <c r="T37" s="416" t="s">
        <v>6</v>
      </c>
      <c r="U37" s="202" t="s">
        <v>3486</v>
      </c>
      <c r="V37" s="204"/>
      <c r="W37" s="412" t="s">
        <v>133</v>
      </c>
      <c r="X37" s="43"/>
      <c r="Y37" s="43"/>
      <c r="Z37" s="416" t="s">
        <v>6</v>
      </c>
      <c r="AA37" s="416" t="s">
        <v>6</v>
      </c>
      <c r="AB37" s="413"/>
      <c r="AC37" s="415"/>
      <c r="AD37" s="415"/>
      <c r="AE37" s="412" t="s">
        <v>133</v>
      </c>
      <c r="AF37" s="43"/>
      <c r="AG37" s="43"/>
      <c r="AH37" s="416" t="s">
        <v>6</v>
      </c>
      <c r="AI37" s="416" t="s">
        <v>6</v>
      </c>
      <c r="AJ37" s="413"/>
      <c r="AK37" s="415"/>
      <c r="AL37" s="415"/>
      <c r="AM37" s="43"/>
      <c r="AN37" s="19"/>
      <c r="AO37" s="15"/>
      <c r="AP37" s="15"/>
      <c r="AQ37" s="15"/>
      <c r="AR37" s="15"/>
      <c r="AS37" s="15"/>
      <c r="AT37" s="15"/>
      <c r="AU37" s="15"/>
      <c r="AV37" s="13"/>
      <c r="AW37" s="18">
        <f t="shared" ref="AW37" si="6">LEN(L37)</f>
        <v>26</v>
      </c>
    </row>
    <row r="38" spans="1:49" s="180" customFormat="1" ht="52.8">
      <c r="A38" s="164">
        <f t="shared" si="0"/>
        <v>32</v>
      </c>
      <c r="B38" s="186"/>
      <c r="C38" s="177"/>
      <c r="D38" s="176"/>
      <c r="E38" s="176"/>
      <c r="F38" s="176"/>
      <c r="G38" s="176"/>
      <c r="H38" s="173"/>
      <c r="I38" s="173"/>
      <c r="J38" s="306" t="s">
        <v>2503</v>
      </c>
      <c r="K38" s="306" t="s">
        <v>117</v>
      </c>
      <c r="L38" s="352" t="s">
        <v>2504</v>
      </c>
      <c r="M38" s="352"/>
      <c r="N38" s="164" t="s">
        <v>504</v>
      </c>
      <c r="O38" s="164"/>
      <c r="P38" s="164"/>
      <c r="Q38" s="169" t="s">
        <v>6</v>
      </c>
      <c r="R38" s="169" t="s">
        <v>6</v>
      </c>
      <c r="S38" s="169" t="s">
        <v>6</v>
      </c>
      <c r="T38" s="169" t="s">
        <v>6</v>
      </c>
      <c r="U38" s="563" t="s">
        <v>2465</v>
      </c>
      <c r="V38" s="174"/>
      <c r="W38" s="306" t="s">
        <v>133</v>
      </c>
      <c r="X38" s="172"/>
      <c r="Y38" s="172"/>
      <c r="Z38" s="169" t="s">
        <v>6</v>
      </c>
      <c r="AA38" s="169" t="s">
        <v>6</v>
      </c>
      <c r="AB38" s="181"/>
      <c r="AC38" s="170"/>
      <c r="AD38" s="170"/>
      <c r="AE38" s="306" t="s">
        <v>133</v>
      </c>
      <c r="AF38" s="172"/>
      <c r="AG38" s="172"/>
      <c r="AH38" s="169" t="s">
        <v>6</v>
      </c>
      <c r="AI38" s="169" t="s">
        <v>6</v>
      </c>
      <c r="AJ38" s="181"/>
      <c r="AK38" s="170"/>
      <c r="AL38" s="170"/>
      <c r="AM38" s="172"/>
      <c r="AN38" s="176"/>
      <c r="AO38" s="178"/>
      <c r="AP38" s="178"/>
      <c r="AQ38" s="178"/>
      <c r="AR38" s="178"/>
      <c r="AS38" s="178"/>
      <c r="AT38" s="178"/>
      <c r="AU38" s="178"/>
      <c r="AV38" s="173"/>
      <c r="AW38" s="179">
        <f t="shared" si="5"/>
        <v>37</v>
      </c>
    </row>
    <row r="39" spans="1:49" s="180" customFormat="1" ht="52.8">
      <c r="A39" s="164">
        <f t="shared" si="0"/>
        <v>33</v>
      </c>
      <c r="B39" s="186"/>
      <c r="C39" s="177"/>
      <c r="D39" s="176"/>
      <c r="E39" s="176"/>
      <c r="F39" s="176"/>
      <c r="G39" s="176"/>
      <c r="H39" s="173"/>
      <c r="I39" s="173"/>
      <c r="J39" s="306" t="s">
        <v>2505</v>
      </c>
      <c r="K39" s="306" t="s">
        <v>117</v>
      </c>
      <c r="L39" s="352" t="s">
        <v>2506</v>
      </c>
      <c r="M39" s="352"/>
      <c r="N39" s="164" t="s">
        <v>504</v>
      </c>
      <c r="O39" s="164"/>
      <c r="P39" s="164"/>
      <c r="Q39" s="169" t="s">
        <v>6</v>
      </c>
      <c r="R39" s="169" t="s">
        <v>6</v>
      </c>
      <c r="S39" s="169" t="s">
        <v>6</v>
      </c>
      <c r="T39" s="169" t="s">
        <v>6</v>
      </c>
      <c r="U39" s="563" t="s">
        <v>2465</v>
      </c>
      <c r="V39" s="174"/>
      <c r="W39" s="306" t="s">
        <v>133</v>
      </c>
      <c r="X39" s="172"/>
      <c r="Y39" s="172"/>
      <c r="Z39" s="169" t="s">
        <v>6</v>
      </c>
      <c r="AA39" s="169" t="s">
        <v>6</v>
      </c>
      <c r="AB39" s="181"/>
      <c r="AC39" s="170"/>
      <c r="AD39" s="170"/>
      <c r="AE39" s="306" t="s">
        <v>133</v>
      </c>
      <c r="AF39" s="172"/>
      <c r="AG39" s="172"/>
      <c r="AH39" s="169" t="s">
        <v>6</v>
      </c>
      <c r="AI39" s="169" t="s">
        <v>6</v>
      </c>
      <c r="AJ39" s="181"/>
      <c r="AK39" s="170"/>
      <c r="AL39" s="170"/>
      <c r="AM39" s="172"/>
      <c r="AN39" s="176"/>
      <c r="AO39" s="178"/>
      <c r="AP39" s="178"/>
      <c r="AQ39" s="178"/>
      <c r="AR39" s="178"/>
      <c r="AS39" s="178"/>
      <c r="AT39" s="178"/>
      <c r="AU39" s="178"/>
      <c r="AV39" s="173"/>
      <c r="AW39" s="179">
        <f t="shared" si="5"/>
        <v>35</v>
      </c>
    </row>
    <row r="40" spans="1:49" s="180" customFormat="1" ht="52.8">
      <c r="A40" s="164">
        <f t="shared" si="0"/>
        <v>34</v>
      </c>
      <c r="B40" s="186"/>
      <c r="C40" s="177"/>
      <c r="D40" s="176"/>
      <c r="E40" s="176"/>
      <c r="F40" s="176"/>
      <c r="G40" s="176"/>
      <c r="H40" s="173"/>
      <c r="I40" s="173"/>
      <c r="J40" s="306" t="s">
        <v>2507</v>
      </c>
      <c r="K40" s="306" t="s">
        <v>117</v>
      </c>
      <c r="L40" s="352" t="s">
        <v>2508</v>
      </c>
      <c r="M40" s="352"/>
      <c r="N40" s="164" t="s">
        <v>504</v>
      </c>
      <c r="O40" s="164"/>
      <c r="P40" s="164"/>
      <c r="Q40" s="169" t="s">
        <v>6</v>
      </c>
      <c r="R40" s="169" t="s">
        <v>6</v>
      </c>
      <c r="S40" s="169" t="s">
        <v>6</v>
      </c>
      <c r="T40" s="169" t="s">
        <v>6</v>
      </c>
      <c r="U40" s="563" t="s">
        <v>2465</v>
      </c>
      <c r="V40" s="174"/>
      <c r="W40" s="306" t="s">
        <v>133</v>
      </c>
      <c r="X40" s="172"/>
      <c r="Y40" s="172"/>
      <c r="Z40" s="169" t="s">
        <v>6</v>
      </c>
      <c r="AA40" s="169" t="s">
        <v>6</v>
      </c>
      <c r="AB40" s="181"/>
      <c r="AC40" s="170"/>
      <c r="AD40" s="170"/>
      <c r="AE40" s="306" t="s">
        <v>133</v>
      </c>
      <c r="AF40" s="172"/>
      <c r="AG40" s="172"/>
      <c r="AH40" s="169" t="s">
        <v>6</v>
      </c>
      <c r="AI40" s="169" t="s">
        <v>6</v>
      </c>
      <c r="AJ40" s="181"/>
      <c r="AK40" s="170"/>
      <c r="AL40" s="170"/>
      <c r="AM40" s="172"/>
      <c r="AN40" s="176"/>
      <c r="AO40" s="178"/>
      <c r="AP40" s="178"/>
      <c r="AQ40" s="178"/>
      <c r="AR40" s="178"/>
      <c r="AS40" s="178"/>
      <c r="AT40" s="178"/>
      <c r="AU40" s="178"/>
      <c r="AV40" s="173"/>
      <c r="AW40" s="179">
        <f t="shared" si="5"/>
        <v>39</v>
      </c>
    </row>
    <row r="41" spans="1:49" s="180" customFormat="1" ht="52.8">
      <c r="A41" s="164">
        <f t="shared" si="0"/>
        <v>35</v>
      </c>
      <c r="B41" s="186"/>
      <c r="C41" s="177"/>
      <c r="D41" s="176"/>
      <c r="E41" s="176"/>
      <c r="F41" s="176"/>
      <c r="G41" s="176"/>
      <c r="H41" s="173"/>
      <c r="I41" s="173"/>
      <c r="J41" s="306" t="s">
        <v>2509</v>
      </c>
      <c r="K41" s="306" t="s">
        <v>117</v>
      </c>
      <c r="L41" s="352" t="s">
        <v>2510</v>
      </c>
      <c r="M41" s="352"/>
      <c r="N41" s="164" t="s">
        <v>504</v>
      </c>
      <c r="O41" s="164"/>
      <c r="P41" s="164"/>
      <c r="Q41" s="169" t="s">
        <v>6</v>
      </c>
      <c r="R41" s="169" t="s">
        <v>6</v>
      </c>
      <c r="S41" s="169" t="s">
        <v>6</v>
      </c>
      <c r="T41" s="169" t="s">
        <v>6</v>
      </c>
      <c r="U41" s="563" t="s">
        <v>2465</v>
      </c>
      <c r="V41" s="174"/>
      <c r="W41" s="306" t="s">
        <v>133</v>
      </c>
      <c r="X41" s="172"/>
      <c r="Y41" s="172"/>
      <c r="Z41" s="169" t="s">
        <v>6</v>
      </c>
      <c r="AA41" s="169" t="s">
        <v>6</v>
      </c>
      <c r="AB41" s="181"/>
      <c r="AC41" s="170"/>
      <c r="AD41" s="170"/>
      <c r="AE41" s="306" t="s">
        <v>133</v>
      </c>
      <c r="AF41" s="172"/>
      <c r="AG41" s="172"/>
      <c r="AH41" s="169" t="s">
        <v>6</v>
      </c>
      <c r="AI41" s="169" t="s">
        <v>6</v>
      </c>
      <c r="AJ41" s="181"/>
      <c r="AK41" s="170"/>
      <c r="AL41" s="170"/>
      <c r="AM41" s="172"/>
      <c r="AN41" s="176"/>
      <c r="AO41" s="178"/>
      <c r="AP41" s="178"/>
      <c r="AQ41" s="178"/>
      <c r="AR41" s="178"/>
      <c r="AS41" s="178"/>
      <c r="AT41" s="178"/>
      <c r="AU41" s="178"/>
      <c r="AV41" s="173"/>
      <c r="AW41" s="179">
        <f>LEN(L41)</f>
        <v>17</v>
      </c>
    </row>
    <row r="42" spans="1:49" s="180" customFormat="1" ht="52.8">
      <c r="A42" s="40">
        <f t="shared" si="0"/>
        <v>36</v>
      </c>
      <c r="B42" s="186"/>
      <c r="C42" s="177"/>
      <c r="D42" s="176"/>
      <c r="E42" s="176"/>
      <c r="F42" s="176"/>
      <c r="G42" s="176"/>
      <c r="H42" s="173"/>
      <c r="I42" s="173"/>
      <c r="J42" s="306" t="s">
        <v>2511</v>
      </c>
      <c r="K42" s="306" t="s">
        <v>117</v>
      </c>
      <c r="L42" s="352" t="s">
        <v>2512</v>
      </c>
      <c r="M42" s="352"/>
      <c r="N42" s="164" t="s">
        <v>504</v>
      </c>
      <c r="O42" s="164"/>
      <c r="P42" s="164"/>
      <c r="Q42" s="169" t="s">
        <v>6</v>
      </c>
      <c r="R42" s="169" t="s">
        <v>6</v>
      </c>
      <c r="S42" s="169" t="s">
        <v>6</v>
      </c>
      <c r="T42" s="169" t="s">
        <v>6</v>
      </c>
      <c r="U42" s="563" t="s">
        <v>2465</v>
      </c>
      <c r="V42" s="174"/>
      <c r="W42" s="306" t="s">
        <v>133</v>
      </c>
      <c r="X42" s="172"/>
      <c r="Y42" s="172"/>
      <c r="Z42" s="169" t="s">
        <v>6</v>
      </c>
      <c r="AA42" s="169" t="s">
        <v>6</v>
      </c>
      <c r="AB42" s="181"/>
      <c r="AC42" s="170"/>
      <c r="AD42" s="170"/>
      <c r="AE42" s="306" t="s">
        <v>133</v>
      </c>
      <c r="AF42" s="172"/>
      <c r="AG42" s="172"/>
      <c r="AH42" s="169" t="s">
        <v>6</v>
      </c>
      <c r="AI42" s="169" t="s">
        <v>6</v>
      </c>
      <c r="AJ42" s="181"/>
      <c r="AK42" s="170"/>
      <c r="AL42" s="170"/>
      <c r="AM42" s="172"/>
      <c r="AN42" s="176"/>
      <c r="AO42" s="178"/>
      <c r="AP42" s="178"/>
      <c r="AQ42" s="178"/>
      <c r="AR42" s="178"/>
      <c r="AS42" s="178"/>
      <c r="AT42" s="178"/>
      <c r="AU42" s="178"/>
      <c r="AV42" s="173"/>
      <c r="AW42" s="179">
        <f>LEN(L42)</f>
        <v>33</v>
      </c>
    </row>
    <row r="43" spans="1:49" s="180" customFormat="1" ht="52.8">
      <c r="A43" s="164">
        <f t="shared" si="0"/>
        <v>37</v>
      </c>
      <c r="B43" s="186"/>
      <c r="C43" s="177"/>
      <c r="D43" s="176"/>
      <c r="E43" s="176"/>
      <c r="F43" s="176"/>
      <c r="G43" s="176"/>
      <c r="H43" s="173"/>
      <c r="I43" s="173"/>
      <c r="J43" s="306" t="s">
        <v>2513</v>
      </c>
      <c r="K43" s="306" t="s">
        <v>117</v>
      </c>
      <c r="L43" s="352" t="s">
        <v>2514</v>
      </c>
      <c r="M43" s="352"/>
      <c r="N43" s="164" t="s">
        <v>504</v>
      </c>
      <c r="O43" s="164"/>
      <c r="P43" s="164"/>
      <c r="Q43" s="169" t="s">
        <v>6</v>
      </c>
      <c r="R43" s="169" t="s">
        <v>6</v>
      </c>
      <c r="S43" s="169" t="s">
        <v>6</v>
      </c>
      <c r="T43" s="169" t="s">
        <v>6</v>
      </c>
      <c r="U43" s="564" t="s">
        <v>2515</v>
      </c>
      <c r="V43" s="174"/>
      <c r="W43" s="306" t="s">
        <v>133</v>
      </c>
      <c r="X43" s="172"/>
      <c r="Y43" s="172"/>
      <c r="Z43" s="169" t="s">
        <v>6</v>
      </c>
      <c r="AA43" s="169" t="s">
        <v>6</v>
      </c>
      <c r="AB43" s="181"/>
      <c r="AC43" s="170"/>
      <c r="AD43" s="170"/>
      <c r="AE43" s="306" t="s">
        <v>133</v>
      </c>
      <c r="AF43" s="172"/>
      <c r="AG43" s="172"/>
      <c r="AH43" s="169" t="s">
        <v>6</v>
      </c>
      <c r="AI43" s="169" t="s">
        <v>6</v>
      </c>
      <c r="AJ43" s="181"/>
      <c r="AK43" s="170"/>
      <c r="AL43" s="170"/>
      <c r="AM43" s="172"/>
      <c r="AN43" s="176"/>
      <c r="AO43" s="178"/>
      <c r="AP43" s="178"/>
      <c r="AQ43" s="178"/>
      <c r="AR43" s="178"/>
      <c r="AS43" s="178"/>
      <c r="AT43" s="178"/>
      <c r="AU43" s="178"/>
      <c r="AV43" s="173"/>
      <c r="AW43" s="179">
        <f>LEN(L43)</f>
        <v>23</v>
      </c>
    </row>
    <row r="44" spans="1:49" s="180" customFormat="1" ht="52.8">
      <c r="A44" s="164">
        <f t="shared" si="0"/>
        <v>38</v>
      </c>
      <c r="B44" s="186"/>
      <c r="C44" s="177"/>
      <c r="D44" s="176"/>
      <c r="E44" s="176"/>
      <c r="F44" s="176"/>
      <c r="G44" s="176"/>
      <c r="H44" s="173"/>
      <c r="I44" s="173"/>
      <c r="J44" s="306" t="s">
        <v>2516</v>
      </c>
      <c r="K44" s="306" t="s">
        <v>117</v>
      </c>
      <c r="L44" s="352" t="s">
        <v>2517</v>
      </c>
      <c r="M44" s="352"/>
      <c r="N44" s="164" t="s">
        <v>504</v>
      </c>
      <c r="O44" s="164"/>
      <c r="P44" s="164"/>
      <c r="Q44" s="169" t="s">
        <v>6</v>
      </c>
      <c r="R44" s="169" t="s">
        <v>6</v>
      </c>
      <c r="S44" s="169" t="s">
        <v>6</v>
      </c>
      <c r="T44" s="169" t="s">
        <v>6</v>
      </c>
      <c r="U44" s="564" t="s">
        <v>2515</v>
      </c>
      <c r="V44" s="174"/>
      <c r="W44" s="306" t="s">
        <v>133</v>
      </c>
      <c r="X44" s="172"/>
      <c r="Y44" s="172"/>
      <c r="Z44" s="169" t="s">
        <v>6</v>
      </c>
      <c r="AA44" s="169" t="s">
        <v>6</v>
      </c>
      <c r="AB44" s="181"/>
      <c r="AC44" s="170"/>
      <c r="AD44" s="170"/>
      <c r="AE44" s="306" t="s">
        <v>133</v>
      </c>
      <c r="AF44" s="172"/>
      <c r="AG44" s="172"/>
      <c r="AH44" s="169" t="s">
        <v>6</v>
      </c>
      <c r="AI44" s="169" t="s">
        <v>6</v>
      </c>
      <c r="AJ44" s="181"/>
      <c r="AK44" s="170"/>
      <c r="AL44" s="170"/>
      <c r="AM44" s="172"/>
      <c r="AN44" s="176"/>
      <c r="AO44" s="178"/>
      <c r="AP44" s="178"/>
      <c r="AQ44" s="178"/>
      <c r="AR44" s="178"/>
      <c r="AS44" s="178"/>
      <c r="AT44" s="178"/>
      <c r="AU44" s="178"/>
      <c r="AV44" s="173"/>
      <c r="AW44" s="179">
        <f>LEN(L44)</f>
        <v>25</v>
      </c>
    </row>
    <row r="45" spans="1:49" s="180" customFormat="1" ht="52.8">
      <c r="A45" s="164">
        <f t="shared" si="0"/>
        <v>39</v>
      </c>
      <c r="B45" s="186"/>
      <c r="C45" s="177"/>
      <c r="D45" s="176"/>
      <c r="E45" s="176"/>
      <c r="F45" s="176"/>
      <c r="G45" s="176"/>
      <c r="H45" s="173"/>
      <c r="I45" s="173"/>
      <c r="J45" s="306" t="s">
        <v>2518</v>
      </c>
      <c r="K45" s="306" t="s">
        <v>149</v>
      </c>
      <c r="L45" s="352" t="s">
        <v>792</v>
      </c>
      <c r="M45" s="352"/>
      <c r="N45" s="164" t="s">
        <v>504</v>
      </c>
      <c r="O45" s="164"/>
      <c r="P45" s="164"/>
      <c r="Q45" s="166" t="s">
        <v>6</v>
      </c>
      <c r="R45" s="166" t="s">
        <v>6</v>
      </c>
      <c r="S45" s="169" t="s">
        <v>6</v>
      </c>
      <c r="T45" s="169" t="s">
        <v>6</v>
      </c>
      <c r="U45" s="564" t="s">
        <v>2515</v>
      </c>
      <c r="V45" s="174"/>
      <c r="W45" s="306" t="s">
        <v>149</v>
      </c>
      <c r="X45" s="165"/>
      <c r="Y45" s="165"/>
      <c r="Z45" s="166" t="s">
        <v>6</v>
      </c>
      <c r="AA45" s="166" t="s">
        <v>6</v>
      </c>
      <c r="AB45" s="181"/>
      <c r="AC45" s="170"/>
      <c r="AD45" s="170"/>
      <c r="AE45" s="306" t="s">
        <v>149</v>
      </c>
      <c r="AF45" s="165"/>
      <c r="AG45" s="165"/>
      <c r="AH45" s="166" t="s">
        <v>6</v>
      </c>
      <c r="AI45" s="166" t="s">
        <v>6</v>
      </c>
      <c r="AJ45" s="181"/>
      <c r="AK45" s="170"/>
      <c r="AL45" s="170"/>
      <c r="AM45" s="172"/>
      <c r="AN45" s="176"/>
      <c r="AO45" s="178"/>
      <c r="AP45" s="178"/>
      <c r="AQ45" s="178"/>
      <c r="AR45" s="178"/>
      <c r="AS45" s="178"/>
      <c r="AT45" s="178"/>
      <c r="AU45" s="178"/>
      <c r="AV45" s="173"/>
      <c r="AW45" s="179">
        <f t="shared" si="5"/>
        <v>9</v>
      </c>
    </row>
    <row r="46" spans="1:49" s="189" customFormat="1" ht="26.4">
      <c r="A46" s="164">
        <f t="shared" si="0"/>
        <v>40</v>
      </c>
      <c r="B46" s="165"/>
      <c r="C46" s="165"/>
      <c r="D46" s="165"/>
      <c r="E46" s="165"/>
      <c r="F46" s="165"/>
      <c r="G46" s="165"/>
      <c r="H46" s="165"/>
      <c r="I46" s="165"/>
      <c r="J46" s="372" t="s">
        <v>2519</v>
      </c>
      <c r="K46" s="352" t="s">
        <v>117</v>
      </c>
      <c r="L46" s="352" t="s">
        <v>793</v>
      </c>
      <c r="M46" s="352"/>
      <c r="N46" s="166" t="s">
        <v>504</v>
      </c>
      <c r="O46" s="166"/>
      <c r="P46" s="166"/>
      <c r="Q46" s="164" t="s">
        <v>6</v>
      </c>
      <c r="R46" s="164" t="s">
        <v>6</v>
      </c>
      <c r="S46" s="164" t="s">
        <v>6</v>
      </c>
      <c r="T46" s="166" t="s">
        <v>6</v>
      </c>
      <c r="U46" s="352" t="s">
        <v>1891</v>
      </c>
      <c r="V46" s="352"/>
      <c r="W46" s="365" t="s">
        <v>125</v>
      </c>
      <c r="X46" s="165"/>
      <c r="Y46" s="165"/>
      <c r="Z46" s="164"/>
      <c r="AA46" s="164" t="s">
        <v>6</v>
      </c>
      <c r="AB46" s="372"/>
      <c r="AC46" s="165"/>
      <c r="AD46" s="165"/>
      <c r="AE46" s="365" t="s">
        <v>125</v>
      </c>
      <c r="AF46" s="165"/>
      <c r="AG46" s="165"/>
      <c r="AH46" s="164"/>
      <c r="AI46" s="164" t="s">
        <v>6</v>
      </c>
      <c r="AJ46" s="372"/>
      <c r="AK46" s="165"/>
      <c r="AL46" s="165"/>
      <c r="AM46" s="165"/>
      <c r="AN46" s="165"/>
      <c r="AO46" s="165"/>
      <c r="AP46" s="165"/>
      <c r="AQ46" s="165"/>
      <c r="AR46" s="165"/>
      <c r="AS46" s="165"/>
      <c r="AT46" s="165"/>
      <c r="AU46" s="165"/>
      <c r="AV46" s="165"/>
      <c r="AW46" s="185">
        <f t="shared" si="5"/>
        <v>15</v>
      </c>
    </row>
    <row r="47" spans="1:49" s="236" customFormat="1" ht="15">
      <c r="A47" s="40">
        <f t="shared" si="0"/>
        <v>41</v>
      </c>
      <c r="B47" s="199"/>
      <c r="C47" s="199"/>
      <c r="D47" s="199"/>
      <c r="E47" s="199"/>
      <c r="F47" s="199"/>
      <c r="G47" s="199"/>
      <c r="H47" s="199"/>
      <c r="I47" s="199"/>
      <c r="J47" s="412" t="s">
        <v>3482</v>
      </c>
      <c r="K47" s="412" t="s">
        <v>140</v>
      </c>
      <c r="L47" s="204" t="s">
        <v>3483</v>
      </c>
      <c r="M47" s="204"/>
      <c r="N47" s="40" t="s">
        <v>504</v>
      </c>
      <c r="O47" s="126"/>
      <c r="P47" s="126"/>
      <c r="Q47" s="40" t="s">
        <v>6</v>
      </c>
      <c r="R47" s="40" t="s">
        <v>6</v>
      </c>
      <c r="S47" s="40" t="s">
        <v>6</v>
      </c>
      <c r="T47" s="126" t="s">
        <v>6</v>
      </c>
      <c r="U47" s="204" t="s">
        <v>1303</v>
      </c>
      <c r="V47" s="204"/>
      <c r="W47" s="215"/>
      <c r="X47" s="199"/>
      <c r="Y47" s="199"/>
      <c r="Z47" s="40"/>
      <c r="AA47" s="40"/>
      <c r="AB47" s="218"/>
      <c r="AC47" s="199"/>
      <c r="AD47" s="199"/>
      <c r="AE47" s="215"/>
      <c r="AF47" s="199"/>
      <c r="AG47" s="199"/>
      <c r="AH47" s="40"/>
      <c r="AI47" s="40"/>
      <c r="AJ47" s="218"/>
      <c r="AK47" s="199"/>
      <c r="AL47" s="199"/>
      <c r="AM47" s="199"/>
      <c r="AN47" s="199"/>
      <c r="AO47" s="199"/>
      <c r="AP47" s="199"/>
      <c r="AQ47" s="199"/>
      <c r="AR47" s="199"/>
      <c r="AS47" s="199"/>
      <c r="AT47" s="199"/>
      <c r="AU47" s="199"/>
      <c r="AV47" s="199"/>
      <c r="AW47" s="155">
        <f t="shared" si="5"/>
        <v>28</v>
      </c>
    </row>
    <row r="48" spans="1:49" s="12" customFormat="1" ht="52.8">
      <c r="A48" s="40">
        <f t="shared" si="0"/>
        <v>42</v>
      </c>
      <c r="B48" s="19"/>
      <c r="C48" s="41"/>
      <c r="D48" s="19"/>
      <c r="E48" s="19"/>
      <c r="F48" s="19"/>
      <c r="G48" s="19"/>
      <c r="H48" s="13"/>
      <c r="I48" s="13"/>
      <c r="J48" s="412" t="s">
        <v>5433</v>
      </c>
      <c r="K48" s="412" t="s">
        <v>117</v>
      </c>
      <c r="L48" s="204" t="s">
        <v>5434</v>
      </c>
      <c r="M48" s="204"/>
      <c r="N48" s="40" t="s">
        <v>504</v>
      </c>
      <c r="O48" s="40"/>
      <c r="P48" s="40"/>
      <c r="Q48" s="416" t="s">
        <v>6</v>
      </c>
      <c r="R48" s="416" t="s">
        <v>6</v>
      </c>
      <c r="S48" s="416" t="s">
        <v>6</v>
      </c>
      <c r="T48" s="416"/>
      <c r="U48" s="202" t="s">
        <v>2465</v>
      </c>
      <c r="V48" s="259"/>
      <c r="W48" s="412" t="s">
        <v>133</v>
      </c>
      <c r="X48" s="13"/>
      <c r="Y48" s="13"/>
      <c r="Z48" s="416" t="s">
        <v>6</v>
      </c>
      <c r="AA48" s="416" t="s">
        <v>6</v>
      </c>
      <c r="AB48" s="413"/>
      <c r="AC48" s="415"/>
      <c r="AD48" s="415"/>
      <c r="AE48" s="412" t="s">
        <v>133</v>
      </c>
      <c r="AF48" s="13"/>
      <c r="AG48" s="13"/>
      <c r="AH48" s="416" t="s">
        <v>6</v>
      </c>
      <c r="AI48" s="416" t="s">
        <v>6</v>
      </c>
      <c r="AJ48" s="413"/>
      <c r="AK48" s="415"/>
      <c r="AL48" s="415"/>
      <c r="AM48" s="43"/>
      <c r="AN48" s="19"/>
      <c r="AO48" s="15"/>
      <c r="AP48" s="15"/>
      <c r="AQ48" s="15"/>
      <c r="AR48" s="15"/>
      <c r="AS48" s="15"/>
      <c r="AT48" s="15"/>
      <c r="AU48" s="13"/>
      <c r="AV48" s="15"/>
      <c r="AW48" s="18"/>
    </row>
    <row r="49" spans="1:51" s="12" customFormat="1" ht="52.8">
      <c r="A49" s="40">
        <f t="shared" si="0"/>
        <v>43</v>
      </c>
      <c r="B49" s="19"/>
      <c r="C49" s="41"/>
      <c r="D49" s="19"/>
      <c r="E49" s="19"/>
      <c r="F49" s="19"/>
      <c r="G49" s="19"/>
      <c r="H49" s="13"/>
      <c r="I49" s="13"/>
      <c r="J49" s="412" t="s">
        <v>5435</v>
      </c>
      <c r="K49" s="412" t="s">
        <v>117</v>
      </c>
      <c r="L49" s="204" t="s">
        <v>5436</v>
      </c>
      <c r="M49" s="204"/>
      <c r="N49" s="40" t="s">
        <v>504</v>
      </c>
      <c r="O49" s="40"/>
      <c r="P49" s="40"/>
      <c r="Q49" s="416" t="s">
        <v>6</v>
      </c>
      <c r="R49" s="416" t="s">
        <v>6</v>
      </c>
      <c r="S49" s="416" t="s">
        <v>6</v>
      </c>
      <c r="T49" s="416"/>
      <c r="U49" s="202" t="s">
        <v>2465</v>
      </c>
      <c r="V49" s="259"/>
      <c r="W49" s="412" t="s">
        <v>133</v>
      </c>
      <c r="X49" s="13"/>
      <c r="Y49" s="13"/>
      <c r="Z49" s="416" t="s">
        <v>6</v>
      </c>
      <c r="AA49" s="416" t="s">
        <v>6</v>
      </c>
      <c r="AB49" s="413"/>
      <c r="AC49" s="415"/>
      <c r="AD49" s="415"/>
      <c r="AE49" s="412" t="s">
        <v>133</v>
      </c>
      <c r="AF49" s="13"/>
      <c r="AG49" s="13"/>
      <c r="AH49" s="416" t="s">
        <v>6</v>
      </c>
      <c r="AI49" s="416" t="s">
        <v>6</v>
      </c>
      <c r="AJ49" s="413"/>
      <c r="AK49" s="415"/>
      <c r="AL49" s="415"/>
      <c r="AM49" s="43"/>
      <c r="AN49" s="13"/>
      <c r="AO49" s="13"/>
      <c r="AP49" s="13"/>
      <c r="AQ49" s="13"/>
      <c r="AR49" s="13"/>
      <c r="AS49" s="13"/>
      <c r="AT49" s="13"/>
      <c r="AU49" s="15"/>
      <c r="AV49" s="15"/>
      <c r="AW49" s="18"/>
    </row>
    <row r="50" spans="1:51" s="12" customFormat="1" ht="52.8">
      <c r="A50" s="40">
        <f t="shared" si="0"/>
        <v>44</v>
      </c>
      <c r="B50" s="38"/>
      <c r="C50" s="41"/>
      <c r="D50" s="19"/>
      <c r="E50" s="19"/>
      <c r="F50" s="19"/>
      <c r="G50" s="19"/>
      <c r="H50" s="13"/>
      <c r="I50" s="13"/>
      <c r="J50" s="412" t="s">
        <v>5437</v>
      </c>
      <c r="K50" s="412" t="s">
        <v>117</v>
      </c>
      <c r="L50" s="204" t="s">
        <v>5438</v>
      </c>
      <c r="M50" s="204"/>
      <c r="N50" s="40" t="s">
        <v>504</v>
      </c>
      <c r="O50" s="40"/>
      <c r="P50" s="40"/>
      <c r="Q50" s="416" t="s">
        <v>6</v>
      </c>
      <c r="R50" s="416" t="s">
        <v>6</v>
      </c>
      <c r="S50" s="416" t="s">
        <v>6</v>
      </c>
      <c r="T50" s="416"/>
      <c r="U50" s="202" t="s">
        <v>2465</v>
      </c>
      <c r="V50" s="259"/>
      <c r="W50" s="412" t="s">
        <v>133</v>
      </c>
      <c r="X50" s="43"/>
      <c r="Y50" s="43"/>
      <c r="Z50" s="416" t="s">
        <v>6</v>
      </c>
      <c r="AA50" s="416" t="s">
        <v>6</v>
      </c>
      <c r="AB50" s="413"/>
      <c r="AC50" s="415"/>
      <c r="AD50" s="415"/>
      <c r="AE50" s="412" t="s">
        <v>133</v>
      </c>
      <c r="AF50" s="43"/>
      <c r="AG50" s="43"/>
      <c r="AH50" s="416" t="s">
        <v>6</v>
      </c>
      <c r="AI50" s="416" t="s">
        <v>6</v>
      </c>
      <c r="AJ50" s="413"/>
      <c r="AK50" s="415"/>
      <c r="AL50" s="415"/>
      <c r="AM50" s="43"/>
      <c r="AN50" s="19"/>
      <c r="AO50" s="15"/>
      <c r="AP50" s="15"/>
      <c r="AQ50" s="15"/>
      <c r="AR50" s="15"/>
      <c r="AS50" s="15"/>
      <c r="AT50" s="15"/>
      <c r="AU50" s="15"/>
      <c r="AV50" s="13"/>
      <c r="AW50" s="18"/>
    </row>
    <row r="51" spans="1:51" ht="15">
      <c r="A51" s="451">
        <f t="shared" si="0"/>
        <v>45</v>
      </c>
      <c r="B51" s="62"/>
      <c r="C51" s="62"/>
      <c r="D51" s="62"/>
      <c r="E51" s="62"/>
      <c r="F51" s="62"/>
      <c r="G51" s="62"/>
      <c r="H51" s="62"/>
      <c r="I51" s="62"/>
      <c r="J51" s="465" t="s">
        <v>821</v>
      </c>
      <c r="K51" s="63"/>
      <c r="L51" s="63"/>
      <c r="M51" s="63"/>
      <c r="N51" s="139"/>
      <c r="O51" s="139"/>
      <c r="P51" s="139"/>
      <c r="Q51" s="139"/>
      <c r="R51" s="139"/>
      <c r="S51" s="139"/>
      <c r="T51" s="139"/>
      <c r="U51" s="354"/>
      <c r="V51" s="311"/>
      <c r="W51" s="63"/>
      <c r="X51" s="63"/>
      <c r="Y51" s="63"/>
      <c r="Z51" s="63"/>
      <c r="AA51" s="63"/>
      <c r="AB51" s="312"/>
      <c r="AC51" s="63"/>
      <c r="AD51" s="63"/>
      <c r="AE51" s="63"/>
      <c r="AF51" s="63"/>
      <c r="AG51" s="63"/>
      <c r="AH51" s="63"/>
      <c r="AI51" s="63"/>
      <c r="AJ51" s="312"/>
      <c r="AK51" s="63"/>
      <c r="AL51" s="63"/>
      <c r="AM51" s="63"/>
      <c r="AN51" s="63"/>
      <c r="AO51" s="63"/>
      <c r="AP51" s="63"/>
      <c r="AQ51" s="63"/>
      <c r="AR51" s="63"/>
      <c r="AS51" s="63"/>
      <c r="AT51" s="63"/>
      <c r="AU51" s="63"/>
      <c r="AV51" s="63"/>
      <c r="AW51" s="18">
        <f t="shared" si="1"/>
        <v>0</v>
      </c>
    </row>
    <row r="52" spans="1:51" s="20" customFormat="1" ht="52.8">
      <c r="A52" s="40">
        <f t="shared" si="0"/>
        <v>46</v>
      </c>
      <c r="B52" s="38"/>
      <c r="C52" s="41"/>
      <c r="D52" s="38"/>
      <c r="E52" s="46"/>
      <c r="F52" s="46"/>
      <c r="G52" s="46"/>
      <c r="H52" s="13"/>
      <c r="I52" s="40"/>
      <c r="J52" s="412" t="s">
        <v>2520</v>
      </c>
      <c r="K52" s="412" t="s">
        <v>163</v>
      </c>
      <c r="L52" s="412" t="s">
        <v>2521</v>
      </c>
      <c r="M52" s="412"/>
      <c r="N52" s="40"/>
      <c r="O52" s="40"/>
      <c r="P52" s="40"/>
      <c r="Q52" s="40"/>
      <c r="R52" s="40"/>
      <c r="S52" s="40"/>
      <c r="T52" s="416" t="s">
        <v>6</v>
      </c>
      <c r="U52" s="239" t="s">
        <v>2522</v>
      </c>
      <c r="V52" s="217"/>
      <c r="W52" s="19"/>
      <c r="X52" s="13"/>
      <c r="Y52" s="13"/>
      <c r="Z52" s="13"/>
      <c r="AA52" s="13"/>
      <c r="AB52" s="13"/>
      <c r="AC52" s="13"/>
      <c r="AD52" s="13"/>
      <c r="AE52" s="19"/>
      <c r="AF52" s="13"/>
      <c r="AG52" s="13"/>
      <c r="AH52" s="13"/>
      <c r="AI52" s="13"/>
      <c r="AJ52" s="13"/>
      <c r="AK52" s="13"/>
      <c r="AL52" s="13"/>
      <c r="AM52" s="43"/>
      <c r="AN52" s="19"/>
      <c r="AO52" s="13"/>
      <c r="AP52" s="13"/>
      <c r="AQ52" s="13"/>
      <c r="AR52" s="13"/>
      <c r="AS52" s="13"/>
      <c r="AT52" s="13"/>
      <c r="AU52" s="13"/>
      <c r="AV52" s="19"/>
      <c r="AW52" s="18">
        <f t="shared" si="1"/>
        <v>20</v>
      </c>
    </row>
    <row r="53" spans="1:51" s="20" customFormat="1" ht="52.8">
      <c r="A53" s="40">
        <f t="shared" si="0"/>
        <v>47</v>
      </c>
      <c r="B53" s="38"/>
      <c r="C53" s="41"/>
      <c r="D53" s="38"/>
      <c r="E53" s="46"/>
      <c r="F53" s="46"/>
      <c r="G53" s="46"/>
      <c r="H53" s="13"/>
      <c r="I53" s="40"/>
      <c r="J53" s="412" t="s">
        <v>2523</v>
      </c>
      <c r="K53" s="412" t="s">
        <v>163</v>
      </c>
      <c r="L53" s="412" t="s">
        <v>2524</v>
      </c>
      <c r="M53" s="412"/>
      <c r="N53" s="40"/>
      <c r="O53" s="40"/>
      <c r="P53" s="40"/>
      <c r="Q53" s="40"/>
      <c r="R53" s="40"/>
      <c r="S53" s="40"/>
      <c r="T53" s="416" t="s">
        <v>6</v>
      </c>
      <c r="U53" s="239" t="s">
        <v>2522</v>
      </c>
      <c r="V53" s="217"/>
      <c r="W53" s="19"/>
      <c r="X53" s="13"/>
      <c r="Y53" s="13"/>
      <c r="Z53" s="13"/>
      <c r="AA53" s="13"/>
      <c r="AB53" s="13"/>
      <c r="AC53" s="13"/>
      <c r="AD53" s="13"/>
      <c r="AE53" s="19"/>
      <c r="AF53" s="13"/>
      <c r="AG53" s="13"/>
      <c r="AH53" s="13"/>
      <c r="AI53" s="13"/>
      <c r="AJ53" s="13"/>
      <c r="AK53" s="13"/>
      <c r="AL53" s="13"/>
      <c r="AM53" s="43"/>
      <c r="AN53" s="19"/>
      <c r="AO53" s="13"/>
      <c r="AP53" s="13"/>
      <c r="AQ53" s="13"/>
      <c r="AR53" s="13"/>
      <c r="AS53" s="13"/>
      <c r="AT53" s="13"/>
      <c r="AU53" s="13"/>
      <c r="AV53" s="19"/>
      <c r="AW53" s="18">
        <f t="shared" si="1"/>
        <v>23</v>
      </c>
    </row>
    <row r="54" spans="1:51" s="20" customFormat="1" ht="52.8">
      <c r="A54" s="40">
        <f t="shared" si="0"/>
        <v>48</v>
      </c>
      <c r="B54" s="38"/>
      <c r="C54" s="41"/>
      <c r="D54" s="38"/>
      <c r="E54" s="46"/>
      <c r="F54" s="46"/>
      <c r="G54" s="46"/>
      <c r="H54" s="13"/>
      <c r="I54" s="40"/>
      <c r="J54" s="412" t="s">
        <v>2525</v>
      </c>
      <c r="K54" s="412" t="s">
        <v>163</v>
      </c>
      <c r="L54" s="412" t="s">
        <v>2526</v>
      </c>
      <c r="M54" s="412"/>
      <c r="N54" s="40"/>
      <c r="O54" s="40"/>
      <c r="P54" s="40"/>
      <c r="Q54" s="40"/>
      <c r="R54" s="40"/>
      <c r="S54" s="40"/>
      <c r="T54" s="416" t="s">
        <v>6</v>
      </c>
      <c r="U54" s="239" t="s">
        <v>2527</v>
      </c>
      <c r="V54" s="217"/>
      <c r="W54" s="19"/>
      <c r="X54" s="13"/>
      <c r="Y54" s="13"/>
      <c r="Z54" s="13"/>
      <c r="AA54" s="13"/>
      <c r="AB54" s="13"/>
      <c r="AC54" s="13"/>
      <c r="AD54" s="13"/>
      <c r="AE54" s="19"/>
      <c r="AF54" s="13"/>
      <c r="AG54" s="13"/>
      <c r="AH54" s="13"/>
      <c r="AI54" s="13"/>
      <c r="AJ54" s="13"/>
      <c r="AK54" s="13"/>
      <c r="AL54" s="13"/>
      <c r="AM54" s="43"/>
      <c r="AN54" s="19"/>
      <c r="AO54" s="13"/>
      <c r="AP54" s="13"/>
      <c r="AQ54" s="13"/>
      <c r="AR54" s="13"/>
      <c r="AS54" s="13"/>
      <c r="AT54" s="13"/>
      <c r="AU54" s="13"/>
      <c r="AV54" s="19"/>
      <c r="AW54" s="18">
        <f t="shared" si="1"/>
        <v>28</v>
      </c>
    </row>
    <row r="55" spans="1:51" s="20" customFormat="1" ht="129.75" customHeight="1">
      <c r="A55" s="40">
        <f t="shared" si="0"/>
        <v>49</v>
      </c>
      <c r="B55" s="59"/>
      <c r="C55" s="59"/>
      <c r="D55" s="59"/>
      <c r="E55" s="59"/>
      <c r="F55" s="59"/>
      <c r="G55" s="59"/>
      <c r="H55" s="59"/>
      <c r="I55" s="59"/>
      <c r="J55" s="215" t="s">
        <v>2528</v>
      </c>
      <c r="K55" s="204" t="s">
        <v>163</v>
      </c>
      <c r="L55" s="215" t="s">
        <v>2529</v>
      </c>
      <c r="M55" s="215"/>
      <c r="N55" s="126" t="s">
        <v>838</v>
      </c>
      <c r="O55" s="126"/>
      <c r="P55" s="126" t="s">
        <v>833</v>
      </c>
      <c r="Q55" s="126" t="s">
        <v>6</v>
      </c>
      <c r="R55" s="126"/>
      <c r="S55" s="126"/>
      <c r="T55" s="126" t="s">
        <v>6</v>
      </c>
      <c r="U55" s="215" t="s">
        <v>3489</v>
      </c>
      <c r="V55" s="412"/>
      <c r="W55" s="204" t="s">
        <v>163</v>
      </c>
      <c r="X55" s="59"/>
      <c r="Y55" s="61" t="s">
        <v>833</v>
      </c>
      <c r="Z55" s="59"/>
      <c r="AA55" s="13"/>
      <c r="AB55" s="217" t="s">
        <v>2530</v>
      </c>
      <c r="AC55" s="59"/>
      <c r="AD55" s="59"/>
      <c r="AE55" s="204" t="s">
        <v>163</v>
      </c>
      <c r="AF55" s="59"/>
      <c r="AG55" s="61" t="s">
        <v>2531</v>
      </c>
      <c r="AH55" s="59"/>
      <c r="AI55" s="13"/>
      <c r="AJ55" s="217" t="s">
        <v>2530</v>
      </c>
      <c r="AK55" s="59"/>
      <c r="AL55" s="59"/>
      <c r="AM55" s="59"/>
      <c r="AN55" s="59"/>
      <c r="AO55" s="59"/>
      <c r="AP55" s="59"/>
      <c r="AQ55" s="59"/>
      <c r="AR55" s="59"/>
      <c r="AS55" s="59"/>
      <c r="AT55" s="59"/>
      <c r="AU55" s="59"/>
      <c r="AV55" s="59"/>
      <c r="AW55" s="18">
        <f>LEN(L55)</f>
        <v>26</v>
      </c>
    </row>
    <row r="56" spans="1:51" s="20" customFormat="1" ht="79.2">
      <c r="A56" s="40">
        <f t="shared" si="0"/>
        <v>50</v>
      </c>
      <c r="B56" s="59"/>
      <c r="C56" s="59"/>
      <c r="D56" s="59"/>
      <c r="E56" s="59"/>
      <c r="F56" s="59"/>
      <c r="G56" s="59"/>
      <c r="H56" s="59"/>
      <c r="I56" s="59"/>
      <c r="J56" s="215" t="s">
        <v>2532</v>
      </c>
      <c r="K56" s="204" t="s">
        <v>163</v>
      </c>
      <c r="L56" s="215" t="s">
        <v>2533</v>
      </c>
      <c r="M56" s="215"/>
      <c r="N56" s="126" t="s">
        <v>838</v>
      </c>
      <c r="O56" s="126"/>
      <c r="P56" s="126" t="s">
        <v>833</v>
      </c>
      <c r="Q56" s="126" t="s">
        <v>6</v>
      </c>
      <c r="R56" s="126"/>
      <c r="S56" s="126"/>
      <c r="T56" s="126" t="s">
        <v>6</v>
      </c>
      <c r="U56" s="215" t="s">
        <v>3487</v>
      </c>
      <c r="V56" s="412"/>
      <c r="W56" s="204" t="s">
        <v>163</v>
      </c>
      <c r="X56" s="59"/>
      <c r="Y56" s="61" t="s">
        <v>833</v>
      </c>
      <c r="Z56" s="59"/>
      <c r="AA56" s="13"/>
      <c r="AB56" s="217" t="s">
        <v>2530</v>
      </c>
      <c r="AC56" s="59"/>
      <c r="AD56" s="59"/>
      <c r="AE56" s="204" t="s">
        <v>163</v>
      </c>
      <c r="AF56" s="59"/>
      <c r="AG56" s="61" t="s">
        <v>2531</v>
      </c>
      <c r="AH56" s="59"/>
      <c r="AI56" s="13"/>
      <c r="AJ56" s="217" t="s">
        <v>2530</v>
      </c>
      <c r="AK56" s="59"/>
      <c r="AL56" s="59"/>
      <c r="AM56" s="59"/>
      <c r="AN56" s="59"/>
      <c r="AO56" s="59"/>
      <c r="AP56" s="59"/>
      <c r="AQ56" s="59"/>
      <c r="AR56" s="59"/>
      <c r="AS56" s="59"/>
      <c r="AT56" s="59"/>
      <c r="AU56" s="59"/>
      <c r="AV56" s="59"/>
      <c r="AW56" s="18">
        <f>LEN(L56)</f>
        <v>38</v>
      </c>
    </row>
    <row r="57" spans="1:51" s="20" customFormat="1" ht="110.25" customHeight="1">
      <c r="A57" s="40">
        <f t="shared" si="0"/>
        <v>51</v>
      </c>
      <c r="B57" s="59"/>
      <c r="C57" s="59"/>
      <c r="D57" s="59"/>
      <c r="E57" s="59"/>
      <c r="F57" s="59"/>
      <c r="G57" s="59"/>
      <c r="H57" s="59"/>
      <c r="I57" s="59"/>
      <c r="J57" s="215" t="s">
        <v>2534</v>
      </c>
      <c r="K57" s="204" t="s">
        <v>163</v>
      </c>
      <c r="L57" s="215" t="s">
        <v>2535</v>
      </c>
      <c r="M57" s="215"/>
      <c r="N57" s="126" t="s">
        <v>838</v>
      </c>
      <c r="O57" s="126"/>
      <c r="P57" s="126" t="s">
        <v>833</v>
      </c>
      <c r="Q57" s="126" t="s">
        <v>6</v>
      </c>
      <c r="R57" s="126"/>
      <c r="S57" s="126"/>
      <c r="T57" s="126" t="s">
        <v>6</v>
      </c>
      <c r="U57" s="215" t="s">
        <v>3487</v>
      </c>
      <c r="V57" s="412"/>
      <c r="W57" s="204" t="s">
        <v>163</v>
      </c>
      <c r="X57" s="59"/>
      <c r="Y57" s="61" t="s">
        <v>833</v>
      </c>
      <c r="Z57" s="59"/>
      <c r="AA57" s="13"/>
      <c r="AB57" s="217" t="s">
        <v>2530</v>
      </c>
      <c r="AC57" s="59"/>
      <c r="AD57" s="59"/>
      <c r="AE57" s="204" t="s">
        <v>163</v>
      </c>
      <c r="AF57" s="59"/>
      <c r="AG57" s="61" t="s">
        <v>2531</v>
      </c>
      <c r="AH57" s="59"/>
      <c r="AI57" s="13"/>
      <c r="AJ57" s="217" t="s">
        <v>2530</v>
      </c>
      <c r="AK57" s="59"/>
      <c r="AL57" s="59"/>
      <c r="AM57" s="59"/>
      <c r="AN57" s="59"/>
      <c r="AO57" s="59"/>
      <c r="AP57" s="59"/>
      <c r="AQ57" s="59"/>
      <c r="AR57" s="59"/>
      <c r="AS57" s="59"/>
      <c r="AT57" s="59"/>
      <c r="AU57" s="59"/>
      <c r="AV57" s="59"/>
      <c r="AW57" s="18">
        <f>LEN(L57)</f>
        <v>38</v>
      </c>
    </row>
    <row r="58" spans="1:51" ht="15">
      <c r="A58" s="451">
        <f t="shared" si="0"/>
        <v>52</v>
      </c>
      <c r="B58" s="62"/>
      <c r="C58" s="62"/>
      <c r="D58" s="62"/>
      <c r="E58" s="62"/>
      <c r="F58" s="62"/>
      <c r="G58" s="62"/>
      <c r="H58" s="62"/>
      <c r="I58" s="62"/>
      <c r="J58" s="465" t="s">
        <v>858</v>
      </c>
      <c r="K58" s="63"/>
      <c r="L58" s="63"/>
      <c r="M58" s="63"/>
      <c r="N58" s="139"/>
      <c r="O58" s="139"/>
      <c r="P58" s="139"/>
      <c r="Q58" s="139"/>
      <c r="R58" s="139"/>
      <c r="S58" s="139"/>
      <c r="T58" s="139"/>
      <c r="U58" s="354"/>
      <c r="V58" s="311"/>
      <c r="W58" s="63"/>
      <c r="X58" s="63"/>
      <c r="Y58" s="63"/>
      <c r="Z58" s="63"/>
      <c r="AA58" s="63"/>
      <c r="AB58" s="312"/>
      <c r="AC58" s="63"/>
      <c r="AD58" s="63"/>
      <c r="AE58" s="63"/>
      <c r="AF58" s="63"/>
      <c r="AG58" s="63"/>
      <c r="AH58" s="63"/>
      <c r="AI58" s="63"/>
      <c r="AJ58" s="312"/>
      <c r="AK58" s="63"/>
      <c r="AL58" s="63"/>
      <c r="AM58" s="63"/>
      <c r="AN58" s="63"/>
      <c r="AO58" s="63"/>
      <c r="AP58" s="63"/>
      <c r="AQ58" s="63"/>
      <c r="AR58" s="63"/>
      <c r="AS58" s="63"/>
      <c r="AT58" s="63"/>
      <c r="AU58" s="63"/>
      <c r="AV58" s="63"/>
      <c r="AW58" s="18">
        <f t="shared" si="1"/>
        <v>0</v>
      </c>
    </row>
    <row r="59" spans="1:51" s="180" customFormat="1" ht="15">
      <c r="A59" s="164">
        <f t="shared" si="0"/>
        <v>53</v>
      </c>
      <c r="B59" s="186"/>
      <c r="C59" s="177"/>
      <c r="D59" s="176"/>
      <c r="E59" s="176"/>
      <c r="F59" s="176"/>
      <c r="G59" s="176"/>
      <c r="H59" s="173"/>
      <c r="I59" s="173"/>
      <c r="J59" s="306" t="s">
        <v>2536</v>
      </c>
      <c r="K59" s="176"/>
      <c r="L59" s="306" t="s">
        <v>2537</v>
      </c>
      <c r="M59" s="306"/>
      <c r="N59" s="164" t="s">
        <v>407</v>
      </c>
      <c r="O59" s="164" t="s">
        <v>861</v>
      </c>
      <c r="P59" s="164"/>
      <c r="Q59" s="164" t="s">
        <v>6</v>
      </c>
      <c r="R59" s="164"/>
      <c r="S59" s="164"/>
      <c r="T59" s="169" t="s">
        <v>6</v>
      </c>
      <c r="U59" s="175"/>
      <c r="V59" s="175"/>
      <c r="W59" s="176"/>
      <c r="X59" s="173" t="s">
        <v>861</v>
      </c>
      <c r="Y59" s="173"/>
      <c r="Z59" s="173"/>
      <c r="AA59" s="182"/>
      <c r="AB59" s="181"/>
      <c r="AC59" s="170"/>
      <c r="AD59" s="170"/>
      <c r="AE59" s="176"/>
      <c r="AF59" s="173" t="s">
        <v>861</v>
      </c>
      <c r="AG59" s="173"/>
      <c r="AH59" s="173"/>
      <c r="AI59" s="182"/>
      <c r="AJ59" s="181"/>
      <c r="AK59" s="170"/>
      <c r="AL59" s="170"/>
      <c r="AM59" s="172"/>
      <c r="AN59" s="173"/>
      <c r="AO59" s="178"/>
      <c r="AP59" s="178"/>
      <c r="AQ59" s="178"/>
      <c r="AR59" s="178"/>
      <c r="AS59" s="178"/>
      <c r="AT59" s="178"/>
      <c r="AU59" s="178"/>
      <c r="AV59" s="176"/>
      <c r="AW59" s="179">
        <f t="shared" si="1"/>
        <v>41</v>
      </c>
    </row>
    <row r="60" spans="1:51" s="193" customFormat="1" ht="15">
      <c r="A60" s="164">
        <f t="shared" si="0"/>
        <v>54</v>
      </c>
      <c r="B60" s="186"/>
      <c r="C60" s="177"/>
      <c r="D60" s="186"/>
      <c r="E60" s="188"/>
      <c r="F60" s="188"/>
      <c r="G60" s="188"/>
      <c r="H60" s="173"/>
      <c r="I60" s="164"/>
      <c r="J60" s="306" t="s">
        <v>2538</v>
      </c>
      <c r="K60" s="176"/>
      <c r="L60" s="306" t="s">
        <v>2539</v>
      </c>
      <c r="M60" s="306"/>
      <c r="N60" s="164" t="s">
        <v>407</v>
      </c>
      <c r="O60" s="164" t="s">
        <v>861</v>
      </c>
      <c r="P60" s="164"/>
      <c r="Q60" s="164" t="s">
        <v>6</v>
      </c>
      <c r="R60" s="164"/>
      <c r="S60" s="164"/>
      <c r="T60" s="169" t="s">
        <v>6</v>
      </c>
      <c r="U60" s="175"/>
      <c r="V60" s="175"/>
      <c r="W60" s="176"/>
      <c r="X60" s="173" t="s">
        <v>861</v>
      </c>
      <c r="Y60" s="173"/>
      <c r="Z60" s="173"/>
      <c r="AA60" s="182"/>
      <c r="AB60" s="181"/>
      <c r="AC60" s="181"/>
      <c r="AD60" s="181"/>
      <c r="AE60" s="176"/>
      <c r="AF60" s="173" t="s">
        <v>861</v>
      </c>
      <c r="AG60" s="173"/>
      <c r="AH60" s="173"/>
      <c r="AI60" s="182"/>
      <c r="AJ60" s="181"/>
      <c r="AK60" s="181"/>
      <c r="AL60" s="181"/>
      <c r="AM60" s="172"/>
      <c r="AN60" s="176"/>
      <c r="AO60" s="173"/>
      <c r="AP60" s="173"/>
      <c r="AQ60" s="173"/>
      <c r="AR60" s="173"/>
      <c r="AS60" s="173"/>
      <c r="AT60" s="173"/>
      <c r="AU60" s="173"/>
      <c r="AV60" s="176"/>
      <c r="AW60" s="179">
        <f t="shared" si="1"/>
        <v>32</v>
      </c>
    </row>
    <row r="61" spans="1:51" s="193" customFormat="1" ht="52.8">
      <c r="A61" s="164">
        <f t="shared" si="0"/>
        <v>55</v>
      </c>
      <c r="B61" s="186"/>
      <c r="C61" s="177"/>
      <c r="D61" s="186"/>
      <c r="E61" s="188"/>
      <c r="F61" s="188"/>
      <c r="G61" s="188"/>
      <c r="H61" s="173"/>
      <c r="I61" s="164"/>
      <c r="J61" s="306" t="s">
        <v>2463</v>
      </c>
      <c r="K61" s="176"/>
      <c r="L61" s="306" t="s">
        <v>2540</v>
      </c>
      <c r="M61" s="306"/>
      <c r="N61" s="164" t="s">
        <v>407</v>
      </c>
      <c r="O61" s="164" t="s">
        <v>861</v>
      </c>
      <c r="P61" s="164"/>
      <c r="Q61" s="164" t="s">
        <v>6</v>
      </c>
      <c r="R61" s="164"/>
      <c r="S61" s="164"/>
      <c r="T61" s="169" t="s">
        <v>6</v>
      </c>
      <c r="U61" s="563" t="s">
        <v>2465</v>
      </c>
      <c r="V61" s="174"/>
      <c r="W61" s="176"/>
      <c r="X61" s="173" t="s">
        <v>861</v>
      </c>
      <c r="Y61" s="173"/>
      <c r="Z61" s="173"/>
      <c r="AA61" s="182"/>
      <c r="AB61" s="181"/>
      <c r="AC61" s="181"/>
      <c r="AD61" s="181"/>
      <c r="AE61" s="176"/>
      <c r="AF61" s="173" t="s">
        <v>861</v>
      </c>
      <c r="AG61" s="173"/>
      <c r="AH61" s="173"/>
      <c r="AI61" s="182"/>
      <c r="AJ61" s="181"/>
      <c r="AK61" s="181"/>
      <c r="AL61" s="181"/>
      <c r="AM61" s="172"/>
      <c r="AN61" s="176"/>
      <c r="AO61" s="173"/>
      <c r="AP61" s="173"/>
      <c r="AQ61" s="173"/>
      <c r="AR61" s="173"/>
      <c r="AS61" s="173"/>
      <c r="AT61" s="173"/>
      <c r="AU61" s="173"/>
      <c r="AV61" s="176"/>
      <c r="AW61" s="179">
        <f t="shared" si="1"/>
        <v>28</v>
      </c>
    </row>
    <row r="62" spans="1:51" s="193" customFormat="1" ht="52.8">
      <c r="A62" s="40">
        <f t="shared" si="0"/>
        <v>56</v>
      </c>
      <c r="B62" s="186"/>
      <c r="C62" s="177"/>
      <c r="D62" s="186"/>
      <c r="E62" s="188"/>
      <c r="F62" s="188"/>
      <c r="G62" s="188"/>
      <c r="H62" s="173"/>
      <c r="I62" s="173"/>
      <c r="J62" s="306" t="s">
        <v>2466</v>
      </c>
      <c r="K62" s="176"/>
      <c r="L62" s="306" t="s">
        <v>2541</v>
      </c>
      <c r="M62" s="306"/>
      <c r="N62" s="164" t="s">
        <v>407</v>
      </c>
      <c r="O62" s="164" t="s">
        <v>861</v>
      </c>
      <c r="P62" s="164"/>
      <c r="Q62" s="164" t="s">
        <v>6</v>
      </c>
      <c r="R62" s="164"/>
      <c r="S62" s="164"/>
      <c r="T62" s="169" t="s">
        <v>6</v>
      </c>
      <c r="U62" s="563" t="s">
        <v>2465</v>
      </c>
      <c r="V62" s="174"/>
      <c r="W62" s="176"/>
      <c r="X62" s="173" t="s">
        <v>861</v>
      </c>
      <c r="Y62" s="173"/>
      <c r="Z62" s="173"/>
      <c r="AA62" s="182"/>
      <c r="AB62" s="181"/>
      <c r="AC62" s="181"/>
      <c r="AD62" s="181"/>
      <c r="AE62" s="176"/>
      <c r="AF62" s="173" t="s">
        <v>861</v>
      </c>
      <c r="AG62" s="173"/>
      <c r="AH62" s="173"/>
      <c r="AI62" s="182"/>
      <c r="AJ62" s="181"/>
      <c r="AK62" s="181"/>
      <c r="AL62" s="181"/>
      <c r="AM62" s="172"/>
      <c r="AN62" s="176"/>
      <c r="AO62" s="172"/>
      <c r="AP62" s="172"/>
      <c r="AQ62" s="172"/>
      <c r="AR62" s="172"/>
      <c r="AS62" s="172"/>
      <c r="AT62" s="172"/>
      <c r="AU62" s="172"/>
      <c r="AV62" s="176"/>
      <c r="AW62" s="179">
        <f t="shared" si="1"/>
        <v>40</v>
      </c>
    </row>
    <row r="63" spans="1:51" s="180" customFormat="1" ht="66">
      <c r="A63" s="164">
        <f t="shared" si="0"/>
        <v>57</v>
      </c>
      <c r="B63" s="186"/>
      <c r="C63" s="177"/>
      <c r="D63" s="176"/>
      <c r="E63" s="176"/>
      <c r="F63" s="176"/>
      <c r="G63" s="176"/>
      <c r="H63" s="173"/>
      <c r="I63" s="173"/>
      <c r="J63" s="306" t="s">
        <v>2542</v>
      </c>
      <c r="K63" s="176"/>
      <c r="L63" s="306" t="s">
        <v>2543</v>
      </c>
      <c r="M63" s="306"/>
      <c r="N63" s="164" t="s">
        <v>266</v>
      </c>
      <c r="O63" s="194" t="s">
        <v>1565</v>
      </c>
      <c r="P63" s="164"/>
      <c r="Q63" s="164" t="s">
        <v>6</v>
      </c>
      <c r="R63" s="166"/>
      <c r="S63" s="166"/>
      <c r="T63" s="169" t="s">
        <v>6</v>
      </c>
      <c r="U63" s="563" t="s">
        <v>2544</v>
      </c>
      <c r="V63" s="373"/>
      <c r="W63" s="176"/>
      <c r="X63" s="194" t="s">
        <v>1565</v>
      </c>
      <c r="Y63" s="173"/>
      <c r="Z63" s="173"/>
      <c r="AA63" s="182"/>
      <c r="AB63" s="173"/>
      <c r="AC63" s="164"/>
      <c r="AD63" s="164"/>
      <c r="AE63" s="176"/>
      <c r="AF63" s="194" t="s">
        <v>1565</v>
      </c>
      <c r="AG63" s="173"/>
      <c r="AH63" s="173"/>
      <c r="AI63" s="182"/>
      <c r="AJ63" s="173"/>
      <c r="AK63" s="164"/>
      <c r="AL63" s="164"/>
      <c r="AM63" s="172"/>
      <c r="AN63" s="173"/>
      <c r="AO63" s="178"/>
      <c r="AP63" s="178"/>
      <c r="AQ63" s="178"/>
      <c r="AR63" s="178"/>
      <c r="AS63" s="178"/>
      <c r="AT63" s="178"/>
      <c r="AU63" s="178"/>
      <c r="AV63" s="178"/>
      <c r="AW63" s="179">
        <f t="shared" si="1"/>
        <v>40</v>
      </c>
      <c r="AX63" s="191"/>
      <c r="AY63" s="192"/>
    </row>
    <row r="64" spans="1:51" s="180" customFormat="1" ht="26.4">
      <c r="A64" s="164">
        <f t="shared" si="0"/>
        <v>58</v>
      </c>
      <c r="B64" s="184"/>
      <c r="C64" s="177"/>
      <c r="D64" s="184"/>
      <c r="E64" s="184"/>
      <c r="F64" s="184"/>
      <c r="G64" s="184"/>
      <c r="H64" s="164"/>
      <c r="I64" s="164"/>
      <c r="J64" s="306" t="s">
        <v>2493</v>
      </c>
      <c r="K64" s="306"/>
      <c r="L64" s="352" t="s">
        <v>2545</v>
      </c>
      <c r="M64" s="352"/>
      <c r="N64" s="164" t="s">
        <v>407</v>
      </c>
      <c r="O64" s="164" t="s">
        <v>862</v>
      </c>
      <c r="P64" s="164"/>
      <c r="Q64" s="169" t="s">
        <v>6</v>
      </c>
      <c r="R64" s="169"/>
      <c r="S64" s="169"/>
      <c r="T64" s="169" t="s">
        <v>6</v>
      </c>
      <c r="U64" s="563" t="s">
        <v>2495</v>
      </c>
      <c r="V64" s="174"/>
      <c r="W64" s="306"/>
      <c r="X64" s="171" t="s">
        <v>862</v>
      </c>
      <c r="Y64" s="172"/>
      <c r="Z64" s="169"/>
      <c r="AA64" s="169"/>
      <c r="AB64" s="170"/>
      <c r="AC64" s="170"/>
      <c r="AD64" s="170"/>
      <c r="AE64" s="306"/>
      <c r="AF64" s="171" t="s">
        <v>862</v>
      </c>
      <c r="AG64" s="172"/>
      <c r="AH64" s="169"/>
      <c r="AI64" s="169"/>
      <c r="AJ64" s="170"/>
      <c r="AK64" s="170"/>
      <c r="AL64" s="170"/>
      <c r="AM64" s="172"/>
      <c r="AN64" s="176"/>
      <c r="AO64" s="173"/>
      <c r="AP64" s="173"/>
      <c r="AQ64" s="173"/>
      <c r="AR64" s="173"/>
      <c r="AS64" s="173"/>
      <c r="AT64" s="173"/>
      <c r="AU64" s="178"/>
      <c r="AV64" s="178"/>
      <c r="AW64" s="179">
        <f t="shared" si="1"/>
        <v>24</v>
      </c>
    </row>
    <row r="65" spans="1:49" s="180" customFormat="1" ht="66">
      <c r="A65" s="164">
        <f t="shared" si="0"/>
        <v>59</v>
      </c>
      <c r="B65" s="176"/>
      <c r="C65" s="177"/>
      <c r="D65" s="176"/>
      <c r="E65" s="176"/>
      <c r="F65" s="176"/>
      <c r="G65" s="176"/>
      <c r="H65" s="173"/>
      <c r="I65" s="173"/>
      <c r="J65" s="306" t="s">
        <v>2468</v>
      </c>
      <c r="K65" s="306"/>
      <c r="L65" s="352" t="s">
        <v>1564</v>
      </c>
      <c r="M65" s="352"/>
      <c r="N65" s="166" t="s">
        <v>433</v>
      </c>
      <c r="O65" s="194" t="s">
        <v>862</v>
      </c>
      <c r="P65" s="164"/>
      <c r="Q65" s="169" t="s">
        <v>6</v>
      </c>
      <c r="R65" s="169"/>
      <c r="S65" s="169"/>
      <c r="T65" s="169" t="s">
        <v>6</v>
      </c>
      <c r="U65" s="563" t="s">
        <v>2469</v>
      </c>
      <c r="V65" s="174"/>
      <c r="W65" s="306"/>
      <c r="X65" s="171" t="s">
        <v>862</v>
      </c>
      <c r="Y65" s="173"/>
      <c r="Z65" s="169"/>
      <c r="AA65" s="169"/>
      <c r="AB65" s="181"/>
      <c r="AC65" s="170"/>
      <c r="AD65" s="170"/>
      <c r="AE65" s="306"/>
      <c r="AF65" s="171" t="s">
        <v>862</v>
      </c>
      <c r="AG65" s="173"/>
      <c r="AH65" s="169"/>
      <c r="AI65" s="169"/>
      <c r="AJ65" s="181"/>
      <c r="AK65" s="170"/>
      <c r="AL65" s="170"/>
      <c r="AM65" s="172"/>
      <c r="AN65" s="173"/>
      <c r="AO65" s="173"/>
      <c r="AP65" s="173"/>
      <c r="AQ65" s="173"/>
      <c r="AR65" s="173"/>
      <c r="AS65" s="173"/>
      <c r="AT65" s="173"/>
      <c r="AU65" s="178"/>
      <c r="AV65" s="178"/>
      <c r="AW65" s="179">
        <f t="shared" si="1"/>
        <v>26</v>
      </c>
    </row>
    <row r="66" spans="1:49" s="180" customFormat="1" ht="52.8">
      <c r="A66" s="164">
        <f t="shared" si="0"/>
        <v>60</v>
      </c>
      <c r="B66" s="186"/>
      <c r="C66" s="177"/>
      <c r="D66" s="176"/>
      <c r="E66" s="176"/>
      <c r="F66" s="176"/>
      <c r="G66" s="176"/>
      <c r="H66" s="173"/>
      <c r="I66" s="173"/>
      <c r="J66" s="399" t="s">
        <v>2518</v>
      </c>
      <c r="K66" s="399"/>
      <c r="L66" s="204" t="s">
        <v>792</v>
      </c>
      <c r="M66" s="204"/>
      <c r="N66" s="40" t="s">
        <v>504</v>
      </c>
      <c r="O66" s="40"/>
      <c r="P66" s="40"/>
      <c r="Q66" s="126" t="s">
        <v>6</v>
      </c>
      <c r="R66" s="126"/>
      <c r="S66" s="404"/>
      <c r="T66" s="169" t="s">
        <v>6</v>
      </c>
      <c r="U66" s="564" t="s">
        <v>2515</v>
      </c>
      <c r="V66" s="174"/>
      <c r="W66" s="306"/>
      <c r="X66" s="166" t="s">
        <v>861</v>
      </c>
      <c r="Y66" s="165"/>
      <c r="Z66" s="166"/>
      <c r="AA66" s="166"/>
      <c r="AB66" s="173"/>
      <c r="AC66" s="164"/>
      <c r="AD66" s="164"/>
      <c r="AE66" s="306"/>
      <c r="AF66" s="166" t="s">
        <v>861</v>
      </c>
      <c r="AG66" s="165"/>
      <c r="AH66" s="166"/>
      <c r="AI66" s="166"/>
      <c r="AJ66" s="173"/>
      <c r="AK66" s="164"/>
      <c r="AL66" s="164"/>
      <c r="AM66" s="172"/>
      <c r="AN66" s="176"/>
      <c r="AO66" s="178"/>
      <c r="AP66" s="178"/>
      <c r="AQ66" s="178"/>
      <c r="AR66" s="178"/>
      <c r="AS66" s="178"/>
      <c r="AT66" s="178"/>
      <c r="AU66" s="178"/>
      <c r="AV66" s="173"/>
      <c r="AW66" s="179">
        <f t="shared" si="1"/>
        <v>9</v>
      </c>
    </row>
    <row r="67" spans="1:49" s="12" customFormat="1" ht="79.2">
      <c r="A67" s="40">
        <f t="shared" si="0"/>
        <v>61</v>
      </c>
      <c r="B67" s="38"/>
      <c r="C67" s="41"/>
      <c r="D67" s="19"/>
      <c r="E67" s="19"/>
      <c r="F67" s="19"/>
      <c r="G67" s="19"/>
      <c r="H67" s="13"/>
      <c r="I67" s="13"/>
      <c r="J67" s="412" t="s">
        <v>3482</v>
      </c>
      <c r="K67" s="412"/>
      <c r="L67" s="204" t="s">
        <v>3483</v>
      </c>
      <c r="M67" s="204"/>
      <c r="N67" s="40" t="s">
        <v>236</v>
      </c>
      <c r="O67" s="40"/>
      <c r="P67" s="40"/>
      <c r="Q67" s="126" t="s">
        <v>6</v>
      </c>
      <c r="R67" s="126"/>
      <c r="S67" s="416"/>
      <c r="T67" s="416" t="s">
        <v>6</v>
      </c>
      <c r="U67" s="202" t="s">
        <v>3487</v>
      </c>
      <c r="V67" s="259"/>
      <c r="W67" s="412"/>
      <c r="X67" s="126" t="s">
        <v>861</v>
      </c>
      <c r="Y67" s="199"/>
      <c r="Z67" s="126"/>
      <c r="AA67" s="126"/>
      <c r="AB67" s="13"/>
      <c r="AC67" s="40"/>
      <c r="AD67" s="40"/>
      <c r="AE67" s="412"/>
      <c r="AF67" s="126" t="s">
        <v>861</v>
      </c>
      <c r="AG67" s="199"/>
      <c r="AH67" s="126"/>
      <c r="AI67" s="126"/>
      <c r="AJ67" s="13"/>
      <c r="AK67" s="40"/>
      <c r="AL67" s="40"/>
      <c r="AM67" s="43"/>
      <c r="AN67" s="19"/>
      <c r="AO67" s="15"/>
      <c r="AP67" s="15"/>
      <c r="AQ67" s="15"/>
      <c r="AR67" s="15"/>
      <c r="AS67" s="15"/>
      <c r="AT67" s="15"/>
      <c r="AU67" s="15"/>
      <c r="AV67" s="13"/>
      <c r="AW67" s="18">
        <f t="shared" ref="AW67" si="7">LEN(L67)</f>
        <v>28</v>
      </c>
    </row>
    <row r="68" spans="1:49" ht="15">
      <c r="J68" s="314"/>
      <c r="K68" s="80"/>
      <c r="L68" s="314"/>
      <c r="M68" s="314"/>
      <c r="N68" s="140"/>
      <c r="O68" s="140"/>
      <c r="P68" s="140"/>
      <c r="Q68" s="140"/>
      <c r="R68" s="140"/>
      <c r="S68" s="140"/>
      <c r="T68" s="68"/>
      <c r="U68" s="161"/>
      <c r="V68" s="54"/>
      <c r="W68" s="54"/>
      <c r="X68" s="54"/>
      <c r="Y68" s="54"/>
      <c r="Z68" s="54"/>
      <c r="AA68" s="55"/>
      <c r="AB68" s="54"/>
      <c r="AE68" s="54"/>
      <c r="AF68" s="54"/>
      <c r="AG68" s="54"/>
      <c r="AH68" s="54"/>
      <c r="AI68" s="55"/>
      <c r="AJ68" s="54"/>
      <c r="AW68" s="18">
        <f t="shared" si="1"/>
        <v>0</v>
      </c>
    </row>
    <row r="69" spans="1:49" ht="15">
      <c r="J69" s="314"/>
      <c r="K69" s="80"/>
      <c r="L69" s="314"/>
      <c r="M69" s="314"/>
      <c r="N69" s="140"/>
      <c r="O69" s="140"/>
      <c r="P69" s="140"/>
      <c r="Q69" s="140"/>
      <c r="R69" s="140"/>
      <c r="S69" s="140"/>
      <c r="T69" s="68"/>
      <c r="U69" s="161"/>
      <c r="V69" s="54"/>
      <c r="W69" s="54"/>
      <c r="X69" s="54"/>
      <c r="Y69" s="54"/>
      <c r="Z69" s="54"/>
      <c r="AA69" s="55"/>
      <c r="AB69" s="54"/>
      <c r="AE69" s="54"/>
      <c r="AF69" s="54"/>
      <c r="AG69" s="54"/>
      <c r="AH69" s="54"/>
      <c r="AI69" s="55"/>
      <c r="AJ69" s="54"/>
      <c r="AW69" s="18">
        <f t="shared" si="1"/>
        <v>0</v>
      </c>
    </row>
    <row r="70" spans="1:49" ht="15">
      <c r="J70" s="314"/>
      <c r="K70" s="80"/>
      <c r="L70" s="314"/>
      <c r="M70" s="314"/>
      <c r="N70" s="140"/>
      <c r="O70" s="140"/>
      <c r="P70" s="140"/>
      <c r="Q70" s="140"/>
      <c r="R70" s="140"/>
      <c r="S70" s="140"/>
      <c r="T70" s="68"/>
      <c r="U70" s="161"/>
      <c r="V70" s="54"/>
      <c r="W70" s="54"/>
      <c r="X70" s="54"/>
      <c r="Y70" s="54"/>
      <c r="Z70" s="54"/>
      <c r="AA70" s="55"/>
      <c r="AB70" s="54"/>
      <c r="AE70" s="54"/>
      <c r="AF70" s="54"/>
      <c r="AG70" s="54"/>
      <c r="AH70" s="54"/>
      <c r="AI70" s="55"/>
      <c r="AJ70" s="54"/>
      <c r="AW70" s="18">
        <f t="shared" si="1"/>
        <v>0</v>
      </c>
    </row>
    <row r="71" spans="1:49" ht="15">
      <c r="J71" s="314"/>
      <c r="K71" s="80"/>
      <c r="L71" s="314"/>
      <c r="M71" s="314"/>
      <c r="N71" s="140"/>
      <c r="O71" s="140"/>
      <c r="P71" s="140"/>
      <c r="Q71" s="140"/>
      <c r="R71" s="140"/>
      <c r="S71" s="140"/>
      <c r="T71" s="68"/>
      <c r="U71" s="161"/>
      <c r="V71" s="54"/>
      <c r="W71" s="54"/>
      <c r="X71" s="54"/>
      <c r="Y71" s="54"/>
      <c r="Z71" s="54"/>
      <c r="AA71" s="55"/>
      <c r="AB71" s="54"/>
      <c r="AE71" s="54"/>
      <c r="AF71" s="54"/>
      <c r="AG71" s="54"/>
      <c r="AH71" s="54"/>
      <c r="AI71" s="55"/>
      <c r="AJ71" s="54"/>
      <c r="AW71" s="18">
        <f t="shared" si="1"/>
        <v>0</v>
      </c>
    </row>
    <row r="72" spans="1:49" ht="15">
      <c r="J72" s="314"/>
      <c r="K72" s="80"/>
      <c r="L72" s="314"/>
      <c r="M72" s="314"/>
      <c r="N72" s="140"/>
      <c r="O72" s="140"/>
      <c r="P72" s="140"/>
      <c r="Q72" s="140"/>
      <c r="R72" s="140"/>
      <c r="S72" s="140"/>
      <c r="T72" s="68"/>
      <c r="U72" s="161"/>
      <c r="V72" s="54"/>
      <c r="W72" s="54"/>
      <c r="X72" s="54"/>
      <c r="Y72" s="54"/>
      <c r="Z72" s="54"/>
      <c r="AA72" s="55"/>
      <c r="AB72" s="54"/>
      <c r="AE72" s="54"/>
      <c r="AF72" s="54"/>
      <c r="AG72" s="54"/>
      <c r="AH72" s="54"/>
      <c r="AI72" s="55"/>
      <c r="AJ72" s="54"/>
      <c r="AW72" s="18">
        <f t="shared" si="1"/>
        <v>0</v>
      </c>
    </row>
    <row r="73" spans="1:49" ht="15">
      <c r="J73" s="314"/>
      <c r="K73" s="80"/>
      <c r="L73" s="314"/>
      <c r="M73" s="314"/>
      <c r="N73" s="140"/>
      <c r="O73" s="140"/>
      <c r="P73" s="140"/>
      <c r="Q73" s="140"/>
      <c r="R73" s="140"/>
      <c r="S73" s="140"/>
      <c r="T73" s="68"/>
      <c r="U73" s="161"/>
      <c r="V73" s="54"/>
      <c r="W73" s="54"/>
      <c r="X73" s="54"/>
      <c r="Y73" s="54"/>
      <c r="Z73" s="54"/>
      <c r="AA73" s="55"/>
      <c r="AB73" s="54"/>
      <c r="AE73" s="54"/>
      <c r="AF73" s="54"/>
      <c r="AG73" s="54"/>
      <c r="AH73" s="54"/>
      <c r="AI73" s="55"/>
      <c r="AJ73" s="54"/>
      <c r="AW73" s="18">
        <f t="shared" si="1"/>
        <v>0</v>
      </c>
    </row>
    <row r="74" spans="1:49" ht="15">
      <c r="J74" s="314"/>
      <c r="K74" s="80"/>
      <c r="L74" s="314"/>
      <c r="M74" s="314"/>
      <c r="N74" s="140"/>
      <c r="O74" s="140"/>
      <c r="P74" s="140"/>
      <c r="Q74" s="140"/>
      <c r="R74" s="140"/>
      <c r="S74" s="140"/>
      <c r="T74" s="68"/>
      <c r="U74" s="161"/>
      <c r="V74" s="54"/>
      <c r="W74" s="54"/>
      <c r="X74" s="54"/>
      <c r="Y74" s="54"/>
      <c r="Z74" s="54"/>
      <c r="AA74" s="55"/>
      <c r="AB74" s="54"/>
      <c r="AE74" s="54"/>
      <c r="AF74" s="54"/>
      <c r="AG74" s="54"/>
      <c r="AH74" s="54"/>
      <c r="AI74" s="55"/>
      <c r="AJ74" s="54"/>
      <c r="AW74" s="18">
        <f t="shared" si="1"/>
        <v>0</v>
      </c>
    </row>
    <row r="75" spans="1:49" ht="15">
      <c r="J75" s="314"/>
      <c r="K75" s="80"/>
      <c r="L75" s="314"/>
      <c r="M75" s="314"/>
      <c r="N75" s="140"/>
      <c r="O75" s="140"/>
      <c r="P75" s="140"/>
      <c r="Q75" s="140"/>
      <c r="R75" s="140"/>
      <c r="S75" s="140"/>
      <c r="T75" s="68"/>
      <c r="U75" s="161"/>
      <c r="V75" s="54"/>
      <c r="W75" s="54"/>
      <c r="X75" s="54"/>
      <c r="Y75" s="54"/>
      <c r="Z75" s="54"/>
      <c r="AA75" s="55"/>
      <c r="AB75" s="54"/>
      <c r="AE75" s="54"/>
      <c r="AF75" s="54"/>
      <c r="AG75" s="54"/>
      <c r="AH75" s="54"/>
      <c r="AI75" s="55"/>
      <c r="AJ75" s="54"/>
      <c r="AW75" s="18">
        <f t="shared" si="1"/>
        <v>0</v>
      </c>
    </row>
    <row r="76" spans="1:49" ht="15">
      <c r="J76" s="314"/>
      <c r="K76" s="80"/>
      <c r="L76" s="314"/>
      <c r="M76" s="314"/>
      <c r="N76" s="140"/>
      <c r="O76" s="140"/>
      <c r="P76" s="140"/>
      <c r="Q76" s="140"/>
      <c r="R76" s="140"/>
      <c r="S76" s="140"/>
      <c r="T76" s="68"/>
      <c r="U76" s="161"/>
      <c r="V76" s="54"/>
      <c r="W76" s="54"/>
      <c r="X76" s="54"/>
      <c r="Y76" s="54"/>
      <c r="Z76" s="54"/>
      <c r="AA76" s="55"/>
      <c r="AB76" s="54"/>
      <c r="AE76" s="54"/>
      <c r="AF76" s="54"/>
      <c r="AG76" s="54"/>
      <c r="AH76" s="54"/>
      <c r="AI76" s="55"/>
      <c r="AJ76" s="54"/>
      <c r="AW76" s="18">
        <f t="shared" si="1"/>
        <v>0</v>
      </c>
    </row>
    <row r="77" spans="1:49" ht="15">
      <c r="J77" s="314"/>
      <c r="K77" s="80"/>
      <c r="L77" s="314"/>
      <c r="M77" s="314"/>
      <c r="N77" s="140"/>
      <c r="O77" s="140"/>
      <c r="P77" s="140"/>
      <c r="Q77" s="140"/>
      <c r="R77" s="140"/>
      <c r="S77" s="140"/>
      <c r="T77" s="68"/>
      <c r="U77" s="161"/>
      <c r="V77" s="54"/>
      <c r="W77" s="54"/>
      <c r="X77" s="54"/>
      <c r="Y77" s="54"/>
      <c r="Z77" s="54"/>
      <c r="AA77" s="55"/>
      <c r="AB77" s="54"/>
      <c r="AE77" s="54"/>
      <c r="AF77" s="54"/>
      <c r="AG77" s="54"/>
      <c r="AH77" s="54"/>
      <c r="AI77" s="55"/>
      <c r="AJ77" s="54"/>
      <c r="AW77" s="18">
        <f t="shared" si="1"/>
        <v>0</v>
      </c>
    </row>
    <row r="78" spans="1:49" ht="15">
      <c r="J78" s="314"/>
      <c r="K78" s="80"/>
      <c r="L78" s="314"/>
      <c r="M78" s="314"/>
      <c r="N78" s="140"/>
      <c r="O78" s="140"/>
      <c r="P78" s="140"/>
      <c r="Q78" s="140"/>
      <c r="R78" s="140"/>
      <c r="S78" s="140"/>
      <c r="T78" s="68"/>
      <c r="U78" s="161"/>
      <c r="V78" s="54"/>
      <c r="W78" s="54"/>
      <c r="X78" s="54"/>
      <c r="Y78" s="54"/>
      <c r="Z78" s="54"/>
      <c r="AA78" s="55"/>
      <c r="AB78" s="54"/>
      <c r="AE78" s="54"/>
      <c r="AF78" s="54"/>
      <c r="AG78" s="54"/>
      <c r="AH78" s="54"/>
      <c r="AI78" s="55"/>
      <c r="AJ78" s="54"/>
      <c r="AW78" s="18">
        <f t="shared" si="1"/>
        <v>0</v>
      </c>
    </row>
    <row r="79" spans="1:49" ht="15">
      <c r="J79" s="314"/>
      <c r="K79" s="80"/>
      <c r="L79" s="314"/>
      <c r="M79" s="314"/>
      <c r="N79" s="140"/>
      <c r="O79" s="140"/>
      <c r="P79" s="140"/>
      <c r="Q79" s="140"/>
      <c r="R79" s="140"/>
      <c r="S79" s="140"/>
      <c r="T79" s="68"/>
      <c r="U79" s="161"/>
      <c r="V79" s="54"/>
      <c r="W79" s="54"/>
      <c r="X79" s="54"/>
      <c r="Y79" s="54"/>
      <c r="Z79" s="54"/>
      <c r="AA79" s="55"/>
      <c r="AB79" s="54"/>
      <c r="AE79" s="54"/>
      <c r="AF79" s="54"/>
      <c r="AG79" s="54"/>
      <c r="AH79" s="54"/>
      <c r="AI79" s="55"/>
      <c r="AJ79" s="54"/>
      <c r="AW79" s="18">
        <f t="shared" si="1"/>
        <v>0</v>
      </c>
    </row>
    <row r="80" spans="1:49" ht="15">
      <c r="J80" s="314"/>
      <c r="K80" s="80"/>
      <c r="L80" s="314"/>
      <c r="M80" s="314"/>
      <c r="N80" s="140"/>
      <c r="O80" s="140"/>
      <c r="P80" s="140"/>
      <c r="Q80" s="140"/>
      <c r="R80" s="140"/>
      <c r="S80" s="140"/>
      <c r="T80" s="68"/>
      <c r="U80" s="161"/>
      <c r="V80" s="54"/>
      <c r="W80" s="54"/>
      <c r="X80" s="54"/>
      <c r="Y80" s="54"/>
      <c r="Z80" s="54"/>
      <c r="AA80" s="55"/>
      <c r="AB80" s="54"/>
      <c r="AE80" s="54"/>
      <c r="AF80" s="54"/>
      <c r="AG80" s="54"/>
      <c r="AH80" s="54"/>
      <c r="AI80" s="55"/>
      <c r="AJ80" s="54"/>
      <c r="AW80" s="18">
        <f t="shared" si="1"/>
        <v>0</v>
      </c>
    </row>
    <row r="81" spans="10:49" ht="15">
      <c r="J81" s="314"/>
      <c r="K81" s="80"/>
      <c r="L81" s="314"/>
      <c r="M81" s="314"/>
      <c r="N81" s="140"/>
      <c r="O81" s="140"/>
      <c r="P81" s="140"/>
      <c r="Q81" s="140"/>
      <c r="R81" s="140"/>
      <c r="S81" s="140"/>
      <c r="T81" s="68"/>
      <c r="U81" s="161"/>
      <c r="V81" s="54"/>
      <c r="W81" s="54"/>
      <c r="X81" s="54"/>
      <c r="Y81" s="54"/>
      <c r="Z81" s="54"/>
      <c r="AA81" s="55"/>
      <c r="AB81" s="54"/>
      <c r="AE81" s="54"/>
      <c r="AF81" s="54"/>
      <c r="AG81" s="54"/>
      <c r="AH81" s="54"/>
      <c r="AI81" s="55"/>
      <c r="AJ81" s="54"/>
      <c r="AW81" s="18">
        <f t="shared" si="1"/>
        <v>0</v>
      </c>
    </row>
    <row r="82" spans="10:49" ht="15">
      <c r="J82" s="314"/>
      <c r="K82" s="80"/>
      <c r="L82" s="314"/>
      <c r="M82" s="314"/>
      <c r="N82" s="140"/>
      <c r="O82" s="140"/>
      <c r="P82" s="140"/>
      <c r="Q82" s="140"/>
      <c r="R82" s="140"/>
      <c r="S82" s="140"/>
      <c r="T82" s="68"/>
      <c r="U82" s="161"/>
      <c r="V82" s="54"/>
      <c r="W82" s="54"/>
      <c r="X82" s="54"/>
      <c r="Y82" s="54"/>
      <c r="Z82" s="54"/>
      <c r="AA82" s="55"/>
      <c r="AB82" s="54"/>
      <c r="AE82" s="54"/>
      <c r="AF82" s="54"/>
      <c r="AG82" s="54"/>
      <c r="AH82" s="54"/>
      <c r="AI82" s="55"/>
      <c r="AJ82" s="54"/>
      <c r="AW82" s="18">
        <f t="shared" si="1"/>
        <v>0</v>
      </c>
    </row>
    <row r="83" spans="10:49" ht="15">
      <c r="J83" s="314"/>
      <c r="K83" s="80"/>
      <c r="L83" s="314"/>
      <c r="M83" s="314"/>
      <c r="N83" s="140"/>
      <c r="O83" s="140"/>
      <c r="P83" s="140"/>
      <c r="Q83" s="140"/>
      <c r="R83" s="140"/>
      <c r="S83" s="140"/>
      <c r="T83" s="68"/>
      <c r="U83" s="161"/>
      <c r="V83" s="54"/>
      <c r="W83" s="54"/>
      <c r="X83" s="54"/>
      <c r="Y83" s="54"/>
      <c r="Z83" s="54"/>
      <c r="AA83" s="55"/>
      <c r="AB83" s="54"/>
      <c r="AE83" s="54"/>
      <c r="AF83" s="54"/>
      <c r="AG83" s="54"/>
      <c r="AH83" s="54"/>
      <c r="AI83" s="55"/>
      <c r="AJ83" s="54"/>
      <c r="AW83" s="18">
        <f t="shared" si="1"/>
        <v>0</v>
      </c>
    </row>
    <row r="84" spans="10:49" ht="15">
      <c r="J84" s="314"/>
      <c r="K84" s="80"/>
      <c r="L84" s="314"/>
      <c r="M84" s="314"/>
      <c r="N84" s="140"/>
      <c r="O84" s="140"/>
      <c r="P84" s="140"/>
      <c r="Q84" s="140"/>
      <c r="R84" s="140"/>
      <c r="S84" s="140"/>
      <c r="T84" s="68"/>
      <c r="U84" s="161"/>
      <c r="V84" s="54"/>
      <c r="W84" s="54"/>
      <c r="X84" s="54"/>
      <c r="Y84" s="54"/>
      <c r="Z84" s="54"/>
      <c r="AA84" s="55"/>
      <c r="AB84" s="54"/>
      <c r="AE84" s="54"/>
      <c r="AF84" s="54"/>
      <c r="AG84" s="54"/>
      <c r="AH84" s="54"/>
      <c r="AI84" s="55"/>
      <c r="AJ84" s="54"/>
      <c r="AW84" s="18">
        <f t="shared" si="1"/>
        <v>0</v>
      </c>
    </row>
    <row r="85" spans="10:49" ht="15">
      <c r="J85" s="314"/>
      <c r="K85" s="80"/>
      <c r="L85" s="314"/>
      <c r="M85" s="314"/>
      <c r="N85" s="140"/>
      <c r="O85" s="140"/>
      <c r="P85" s="140"/>
      <c r="Q85" s="140"/>
      <c r="R85" s="140"/>
      <c r="S85" s="140"/>
      <c r="T85" s="68"/>
      <c r="U85" s="161"/>
      <c r="V85" s="54"/>
      <c r="W85" s="54"/>
      <c r="X85" s="54"/>
      <c r="Y85" s="54"/>
      <c r="Z85" s="54"/>
      <c r="AA85" s="55"/>
      <c r="AB85" s="54"/>
      <c r="AE85" s="54"/>
      <c r="AF85" s="54"/>
      <c r="AG85" s="54"/>
      <c r="AH85" s="54"/>
      <c r="AI85" s="55"/>
      <c r="AJ85" s="54"/>
      <c r="AW85" s="18">
        <f t="shared" si="1"/>
        <v>0</v>
      </c>
    </row>
    <row r="86" spans="10:49" ht="15">
      <c r="J86" s="314"/>
      <c r="K86" s="80"/>
      <c r="L86" s="314"/>
      <c r="M86" s="314"/>
      <c r="N86" s="140"/>
      <c r="O86" s="140"/>
      <c r="P86" s="140"/>
      <c r="Q86" s="140"/>
      <c r="R86" s="140"/>
      <c r="S86" s="140"/>
      <c r="T86" s="68"/>
      <c r="U86" s="161"/>
      <c r="V86" s="54"/>
      <c r="W86" s="54"/>
      <c r="X86" s="54"/>
      <c r="Y86" s="54"/>
      <c r="Z86" s="54"/>
      <c r="AA86" s="55"/>
      <c r="AB86" s="54"/>
      <c r="AE86" s="54"/>
      <c r="AF86" s="54"/>
      <c r="AG86" s="54"/>
      <c r="AH86" s="54"/>
      <c r="AI86" s="55"/>
      <c r="AJ86" s="54"/>
      <c r="AW86" s="18">
        <f t="shared" ref="AW86:AW149" si="8">LEN(L86)</f>
        <v>0</v>
      </c>
    </row>
    <row r="87" spans="10:49" ht="15">
      <c r="J87" s="314"/>
      <c r="K87" s="80"/>
      <c r="L87" s="314"/>
      <c r="M87" s="314"/>
      <c r="N87" s="140"/>
      <c r="O87" s="140"/>
      <c r="P87" s="140"/>
      <c r="Q87" s="140"/>
      <c r="R87" s="140"/>
      <c r="S87" s="140"/>
      <c r="T87" s="68"/>
      <c r="U87" s="161"/>
      <c r="V87" s="54"/>
      <c r="W87" s="54"/>
      <c r="X87" s="54"/>
      <c r="Y87" s="54"/>
      <c r="Z87" s="54"/>
      <c r="AA87" s="55"/>
      <c r="AB87" s="54"/>
      <c r="AE87" s="54"/>
      <c r="AF87" s="54"/>
      <c r="AG87" s="54"/>
      <c r="AH87" s="54"/>
      <c r="AI87" s="55"/>
      <c r="AJ87" s="54"/>
      <c r="AW87" s="18">
        <f t="shared" si="8"/>
        <v>0</v>
      </c>
    </row>
    <row r="88" spans="10:49" ht="15">
      <c r="J88" s="314"/>
      <c r="K88" s="80"/>
      <c r="L88" s="314"/>
      <c r="M88" s="314"/>
      <c r="N88" s="140"/>
      <c r="O88" s="140"/>
      <c r="P88" s="140"/>
      <c r="Q88" s="140"/>
      <c r="R88" s="140"/>
      <c r="S88" s="140"/>
      <c r="T88" s="68"/>
      <c r="U88" s="161"/>
      <c r="V88" s="54"/>
      <c r="W88" s="54"/>
      <c r="X88" s="54"/>
      <c r="Y88" s="54"/>
      <c r="Z88" s="54"/>
      <c r="AA88" s="55"/>
      <c r="AB88" s="54"/>
      <c r="AE88" s="54"/>
      <c r="AF88" s="54"/>
      <c r="AG88" s="54"/>
      <c r="AH88" s="54"/>
      <c r="AI88" s="55"/>
      <c r="AJ88" s="54"/>
      <c r="AW88" s="18">
        <f t="shared" si="8"/>
        <v>0</v>
      </c>
    </row>
    <row r="89" spans="10:49" ht="15">
      <c r="J89" s="314"/>
      <c r="K89" s="80"/>
      <c r="L89" s="314"/>
      <c r="M89" s="314"/>
      <c r="N89" s="140"/>
      <c r="O89" s="140"/>
      <c r="P89" s="140"/>
      <c r="Q89" s="140"/>
      <c r="R89" s="140"/>
      <c r="S89" s="140"/>
      <c r="T89" s="68"/>
      <c r="U89" s="161"/>
      <c r="V89" s="54"/>
      <c r="W89" s="54"/>
      <c r="X89" s="54"/>
      <c r="Y89" s="54"/>
      <c r="Z89" s="54"/>
      <c r="AA89" s="55"/>
      <c r="AB89" s="54"/>
      <c r="AE89" s="54"/>
      <c r="AF89" s="54"/>
      <c r="AG89" s="54"/>
      <c r="AH89" s="54"/>
      <c r="AI89" s="55"/>
      <c r="AJ89" s="54"/>
      <c r="AW89" s="18">
        <f t="shared" si="8"/>
        <v>0</v>
      </c>
    </row>
    <row r="90" spans="10:49" ht="15">
      <c r="J90" s="314"/>
      <c r="K90" s="80"/>
      <c r="L90" s="314"/>
      <c r="M90" s="314"/>
      <c r="N90" s="140"/>
      <c r="O90" s="140"/>
      <c r="P90" s="140"/>
      <c r="Q90" s="140"/>
      <c r="R90" s="140"/>
      <c r="S90" s="140"/>
      <c r="T90" s="68"/>
      <c r="U90" s="161"/>
      <c r="V90" s="54"/>
      <c r="W90" s="54"/>
      <c r="X90" s="54"/>
      <c r="Y90" s="54"/>
      <c r="Z90" s="54"/>
      <c r="AA90" s="55"/>
      <c r="AB90" s="54"/>
      <c r="AE90" s="54"/>
      <c r="AF90" s="54"/>
      <c r="AG90" s="54"/>
      <c r="AH90" s="54"/>
      <c r="AI90" s="55"/>
      <c r="AJ90" s="54"/>
      <c r="AW90" s="18">
        <f t="shared" si="8"/>
        <v>0</v>
      </c>
    </row>
    <row r="91" spans="10:49" ht="15">
      <c r="J91" s="314"/>
      <c r="K91" s="80"/>
      <c r="L91" s="314"/>
      <c r="M91" s="314"/>
      <c r="N91" s="140"/>
      <c r="O91" s="140"/>
      <c r="P91" s="140"/>
      <c r="Q91" s="140"/>
      <c r="R91" s="140"/>
      <c r="S91" s="140"/>
      <c r="T91" s="68"/>
      <c r="U91" s="161"/>
      <c r="V91" s="54"/>
      <c r="W91" s="54"/>
      <c r="X91" s="54"/>
      <c r="Y91" s="54"/>
      <c r="Z91" s="54"/>
      <c r="AA91" s="55"/>
      <c r="AB91" s="54"/>
      <c r="AE91" s="54"/>
      <c r="AF91" s="54"/>
      <c r="AG91" s="54"/>
      <c r="AH91" s="54"/>
      <c r="AI91" s="55"/>
      <c r="AJ91" s="54"/>
      <c r="AW91" s="18">
        <f t="shared" si="8"/>
        <v>0</v>
      </c>
    </row>
    <row r="92" spans="10:49" ht="15">
      <c r="J92" s="314"/>
      <c r="K92" s="80"/>
      <c r="L92" s="314"/>
      <c r="M92" s="314"/>
      <c r="N92" s="140"/>
      <c r="O92" s="140"/>
      <c r="P92" s="140"/>
      <c r="Q92" s="140"/>
      <c r="R92" s="140"/>
      <c r="S92" s="140"/>
      <c r="T92" s="68"/>
      <c r="U92" s="161"/>
      <c r="V92" s="54"/>
      <c r="W92" s="54"/>
      <c r="X92" s="54"/>
      <c r="Y92" s="54"/>
      <c r="Z92" s="54"/>
      <c r="AA92" s="55"/>
      <c r="AB92" s="54"/>
      <c r="AE92" s="54"/>
      <c r="AF92" s="54"/>
      <c r="AG92" s="54"/>
      <c r="AH92" s="54"/>
      <c r="AI92" s="55"/>
      <c r="AJ92" s="54"/>
      <c r="AW92" s="18">
        <f t="shared" si="8"/>
        <v>0</v>
      </c>
    </row>
    <row r="93" spans="10:49" ht="15">
      <c r="J93" s="314"/>
      <c r="K93" s="80"/>
      <c r="L93" s="314"/>
      <c r="M93" s="314"/>
      <c r="N93" s="140"/>
      <c r="O93" s="140"/>
      <c r="P93" s="140"/>
      <c r="Q93" s="140"/>
      <c r="R93" s="140"/>
      <c r="S93" s="140"/>
      <c r="T93" s="68"/>
      <c r="U93" s="161"/>
      <c r="V93" s="54"/>
      <c r="W93" s="54"/>
      <c r="X93" s="54"/>
      <c r="Y93" s="54"/>
      <c r="Z93" s="54"/>
      <c r="AA93" s="55"/>
      <c r="AB93" s="54"/>
      <c r="AE93" s="54"/>
      <c r="AF93" s="54"/>
      <c r="AG93" s="54"/>
      <c r="AH93" s="54"/>
      <c r="AI93" s="55"/>
      <c r="AJ93" s="54"/>
      <c r="AW93" s="18">
        <f t="shared" si="8"/>
        <v>0</v>
      </c>
    </row>
    <row r="94" spans="10:49" ht="15">
      <c r="J94" s="314"/>
      <c r="K94" s="80"/>
      <c r="L94" s="314"/>
      <c r="M94" s="314"/>
      <c r="N94" s="140"/>
      <c r="O94" s="140"/>
      <c r="P94" s="140"/>
      <c r="Q94" s="140"/>
      <c r="R94" s="140"/>
      <c r="S94" s="140"/>
      <c r="T94" s="68"/>
      <c r="U94" s="161"/>
      <c r="V94" s="54"/>
      <c r="W94" s="54"/>
      <c r="X94" s="54"/>
      <c r="Y94" s="54"/>
      <c r="Z94" s="54"/>
      <c r="AA94" s="55"/>
      <c r="AB94" s="54"/>
      <c r="AE94" s="54"/>
      <c r="AF94" s="54"/>
      <c r="AG94" s="54"/>
      <c r="AH94" s="54"/>
      <c r="AI94" s="55"/>
      <c r="AJ94" s="54"/>
      <c r="AW94" s="18">
        <f t="shared" si="8"/>
        <v>0</v>
      </c>
    </row>
    <row r="95" spans="10:49" ht="15">
      <c r="J95" s="314"/>
      <c r="K95" s="80"/>
      <c r="L95" s="314"/>
      <c r="M95" s="314"/>
      <c r="N95" s="140"/>
      <c r="O95" s="140"/>
      <c r="P95" s="140"/>
      <c r="Q95" s="140"/>
      <c r="R95" s="140"/>
      <c r="S95" s="140"/>
      <c r="T95" s="68"/>
      <c r="U95" s="161"/>
      <c r="V95" s="54"/>
      <c r="W95" s="54"/>
      <c r="X95" s="54"/>
      <c r="Y95" s="54"/>
      <c r="Z95" s="54"/>
      <c r="AA95" s="55"/>
      <c r="AB95" s="54"/>
      <c r="AE95" s="54"/>
      <c r="AF95" s="54"/>
      <c r="AG95" s="54"/>
      <c r="AH95" s="54"/>
      <c r="AI95" s="55"/>
      <c r="AJ95" s="54"/>
      <c r="AW95" s="18">
        <f t="shared" si="8"/>
        <v>0</v>
      </c>
    </row>
    <row r="96" spans="10:49" ht="15">
      <c r="J96" s="314"/>
      <c r="K96" s="80"/>
      <c r="L96" s="314"/>
      <c r="M96" s="314"/>
      <c r="N96" s="140"/>
      <c r="O96" s="140"/>
      <c r="P96" s="140"/>
      <c r="Q96" s="140"/>
      <c r="R96" s="140"/>
      <c r="S96" s="140"/>
      <c r="T96" s="68"/>
      <c r="U96" s="161"/>
      <c r="V96" s="54"/>
      <c r="W96" s="54"/>
      <c r="X96" s="54"/>
      <c r="Y96" s="54"/>
      <c r="Z96" s="54"/>
      <c r="AA96" s="55"/>
      <c r="AB96" s="54"/>
      <c r="AE96" s="54"/>
      <c r="AF96" s="54"/>
      <c r="AG96" s="54"/>
      <c r="AH96" s="54"/>
      <c r="AI96" s="55"/>
      <c r="AJ96" s="54"/>
      <c r="AW96" s="18">
        <f t="shared" si="8"/>
        <v>0</v>
      </c>
    </row>
    <row r="97" spans="10:49" ht="15">
      <c r="J97" s="314"/>
      <c r="K97" s="80"/>
      <c r="L97" s="314"/>
      <c r="M97" s="314"/>
      <c r="N97" s="140"/>
      <c r="O97" s="140"/>
      <c r="P97" s="140"/>
      <c r="Q97" s="140"/>
      <c r="R97" s="140"/>
      <c r="S97" s="140"/>
      <c r="T97" s="68"/>
      <c r="U97" s="161"/>
      <c r="V97" s="54"/>
      <c r="W97" s="54"/>
      <c r="X97" s="54"/>
      <c r="Y97" s="54"/>
      <c r="Z97" s="54"/>
      <c r="AA97" s="55"/>
      <c r="AB97" s="54"/>
      <c r="AE97" s="54"/>
      <c r="AF97" s="54"/>
      <c r="AG97" s="54"/>
      <c r="AH97" s="54"/>
      <c r="AI97" s="55"/>
      <c r="AJ97" s="54"/>
      <c r="AW97" s="18">
        <f t="shared" si="8"/>
        <v>0</v>
      </c>
    </row>
    <row r="98" spans="10:49" ht="15">
      <c r="J98" s="314"/>
      <c r="K98" s="80"/>
      <c r="L98" s="314"/>
      <c r="M98" s="314"/>
      <c r="N98" s="140"/>
      <c r="O98" s="140"/>
      <c r="P98" s="140"/>
      <c r="Q98" s="140"/>
      <c r="R98" s="140"/>
      <c r="S98" s="140"/>
      <c r="T98" s="68"/>
      <c r="U98" s="161"/>
      <c r="V98" s="54"/>
      <c r="W98" s="54"/>
      <c r="X98" s="54"/>
      <c r="Y98" s="54"/>
      <c r="Z98" s="54"/>
      <c r="AA98" s="55"/>
      <c r="AB98" s="54"/>
      <c r="AE98" s="54"/>
      <c r="AF98" s="54"/>
      <c r="AG98" s="54"/>
      <c r="AH98" s="54"/>
      <c r="AI98" s="55"/>
      <c r="AJ98" s="54"/>
      <c r="AW98" s="18">
        <f t="shared" si="8"/>
        <v>0</v>
      </c>
    </row>
    <row r="99" spans="10:49" ht="15">
      <c r="J99" s="314"/>
      <c r="K99" s="80"/>
      <c r="L99" s="222"/>
      <c r="M99" s="222"/>
      <c r="N99" s="140"/>
      <c r="O99" s="140"/>
      <c r="P99" s="140"/>
      <c r="Q99" s="140"/>
      <c r="R99" s="140"/>
      <c r="S99" s="140"/>
      <c r="T99" s="68"/>
      <c r="U99" s="161"/>
      <c r="V99" s="54"/>
      <c r="W99" s="54"/>
      <c r="X99" s="54"/>
      <c r="Y99" s="54"/>
      <c r="Z99" s="54"/>
      <c r="AA99" s="55"/>
      <c r="AB99" s="54"/>
      <c r="AE99" s="54"/>
      <c r="AF99" s="54"/>
      <c r="AG99" s="54"/>
      <c r="AH99" s="54"/>
      <c r="AI99" s="55"/>
      <c r="AJ99" s="54"/>
      <c r="AW99" s="18">
        <f t="shared" si="8"/>
        <v>0</v>
      </c>
    </row>
    <row r="100" spans="10:49" ht="15">
      <c r="J100" s="314"/>
      <c r="K100" s="80"/>
      <c r="L100" s="222"/>
      <c r="M100" s="222"/>
      <c r="N100" s="140"/>
      <c r="O100" s="140"/>
      <c r="P100" s="140"/>
      <c r="Q100" s="140"/>
      <c r="R100" s="140"/>
      <c r="S100" s="140"/>
      <c r="T100" s="68"/>
      <c r="U100" s="161"/>
      <c r="V100" s="54"/>
      <c r="W100" s="54"/>
      <c r="X100" s="54"/>
      <c r="Y100" s="54"/>
      <c r="Z100" s="54"/>
      <c r="AA100" s="55"/>
      <c r="AB100" s="54"/>
      <c r="AE100" s="54"/>
      <c r="AF100" s="54"/>
      <c r="AG100" s="54"/>
      <c r="AH100" s="54"/>
      <c r="AI100" s="55"/>
      <c r="AJ100" s="54"/>
      <c r="AW100" s="18">
        <f t="shared" si="8"/>
        <v>0</v>
      </c>
    </row>
    <row r="101" spans="10:49" ht="15">
      <c r="J101" s="314"/>
      <c r="K101" s="80"/>
      <c r="L101" s="314"/>
      <c r="M101" s="314"/>
      <c r="N101" s="140"/>
      <c r="O101" s="140"/>
      <c r="P101" s="140"/>
      <c r="Q101" s="140"/>
      <c r="R101" s="140"/>
      <c r="S101" s="140"/>
      <c r="T101" s="68"/>
      <c r="U101" s="161"/>
      <c r="V101" s="54"/>
      <c r="W101" s="54"/>
      <c r="X101" s="54"/>
      <c r="Y101" s="54"/>
      <c r="Z101" s="54"/>
      <c r="AA101" s="55"/>
      <c r="AB101" s="54"/>
      <c r="AE101" s="54"/>
      <c r="AF101" s="54"/>
      <c r="AG101" s="54"/>
      <c r="AH101" s="54"/>
      <c r="AI101" s="55"/>
      <c r="AJ101" s="54"/>
      <c r="AW101" s="18">
        <f t="shared" si="8"/>
        <v>0</v>
      </c>
    </row>
    <row r="102" spans="10:49" ht="15">
      <c r="J102" s="314"/>
      <c r="K102" s="80"/>
      <c r="L102" s="314"/>
      <c r="M102" s="314"/>
      <c r="N102" s="140"/>
      <c r="O102" s="140"/>
      <c r="P102" s="140"/>
      <c r="Q102" s="140"/>
      <c r="R102" s="140"/>
      <c r="S102" s="140"/>
      <c r="T102" s="68"/>
      <c r="U102" s="161"/>
      <c r="V102" s="54"/>
      <c r="W102" s="54"/>
      <c r="X102" s="54"/>
      <c r="Y102" s="54"/>
      <c r="Z102" s="54"/>
      <c r="AA102" s="55"/>
      <c r="AB102" s="54"/>
      <c r="AE102" s="54"/>
      <c r="AF102" s="54"/>
      <c r="AG102" s="54"/>
      <c r="AH102" s="54"/>
      <c r="AI102" s="55"/>
      <c r="AJ102" s="54"/>
      <c r="AW102" s="18">
        <f t="shared" si="8"/>
        <v>0</v>
      </c>
    </row>
    <row r="103" spans="10:49" ht="15">
      <c r="J103" s="314"/>
      <c r="K103" s="80"/>
      <c r="L103" s="314"/>
      <c r="M103" s="314"/>
      <c r="N103" s="140"/>
      <c r="O103" s="140"/>
      <c r="P103" s="140"/>
      <c r="Q103" s="140"/>
      <c r="R103" s="140"/>
      <c r="S103" s="140"/>
      <c r="T103" s="68"/>
      <c r="U103" s="161"/>
      <c r="V103" s="54"/>
      <c r="W103" s="54"/>
      <c r="X103" s="54"/>
      <c r="Y103" s="54"/>
      <c r="Z103" s="54"/>
      <c r="AA103" s="55"/>
      <c r="AB103" s="54"/>
      <c r="AE103" s="54"/>
      <c r="AF103" s="54"/>
      <c r="AG103" s="54"/>
      <c r="AH103" s="54"/>
      <c r="AI103" s="55"/>
      <c r="AJ103" s="54"/>
      <c r="AW103" s="18">
        <f t="shared" si="8"/>
        <v>0</v>
      </c>
    </row>
    <row r="104" spans="10:49" ht="15">
      <c r="J104" s="314"/>
      <c r="K104" s="80"/>
      <c r="L104" s="314"/>
      <c r="M104" s="314"/>
      <c r="N104" s="140"/>
      <c r="O104" s="140"/>
      <c r="P104" s="140"/>
      <c r="Q104" s="140"/>
      <c r="R104" s="140"/>
      <c r="S104" s="140"/>
      <c r="T104" s="68"/>
      <c r="U104" s="161"/>
      <c r="V104" s="54"/>
      <c r="W104" s="54"/>
      <c r="X104" s="54"/>
      <c r="Y104" s="54"/>
      <c r="Z104" s="54"/>
      <c r="AA104" s="55"/>
      <c r="AB104" s="54"/>
      <c r="AE104" s="54"/>
      <c r="AF104" s="54"/>
      <c r="AG104" s="54"/>
      <c r="AH104" s="54"/>
      <c r="AI104" s="55"/>
      <c r="AJ104" s="54"/>
      <c r="AW104" s="18">
        <f t="shared" si="8"/>
        <v>0</v>
      </c>
    </row>
    <row r="105" spans="10:49" ht="15">
      <c r="J105" s="314"/>
      <c r="K105" s="80"/>
      <c r="L105" s="314"/>
      <c r="M105" s="314"/>
      <c r="N105" s="140"/>
      <c r="O105" s="140"/>
      <c r="P105" s="140"/>
      <c r="Q105" s="140"/>
      <c r="R105" s="140"/>
      <c r="S105" s="140"/>
      <c r="T105" s="68"/>
      <c r="U105" s="161"/>
      <c r="V105" s="54"/>
      <c r="W105" s="54"/>
      <c r="X105" s="54"/>
      <c r="Y105" s="54"/>
      <c r="Z105" s="54"/>
      <c r="AA105" s="55"/>
      <c r="AB105" s="54"/>
      <c r="AE105" s="54"/>
      <c r="AF105" s="54"/>
      <c r="AG105" s="54"/>
      <c r="AH105" s="54"/>
      <c r="AI105" s="55"/>
      <c r="AJ105" s="54"/>
      <c r="AW105" s="18">
        <f t="shared" si="8"/>
        <v>0</v>
      </c>
    </row>
    <row r="106" spans="10:49" ht="15">
      <c r="J106" s="314"/>
      <c r="K106" s="80"/>
      <c r="L106" s="314"/>
      <c r="M106" s="314"/>
      <c r="N106" s="140"/>
      <c r="O106" s="140"/>
      <c r="P106" s="140"/>
      <c r="Q106" s="140"/>
      <c r="R106" s="140"/>
      <c r="S106" s="140"/>
      <c r="T106" s="68"/>
      <c r="U106" s="161"/>
      <c r="V106" s="54"/>
      <c r="W106" s="54"/>
      <c r="X106" s="54"/>
      <c r="Y106" s="54"/>
      <c r="Z106" s="54"/>
      <c r="AA106" s="55"/>
      <c r="AB106" s="54"/>
      <c r="AE106" s="54"/>
      <c r="AF106" s="54"/>
      <c r="AG106" s="54"/>
      <c r="AH106" s="54"/>
      <c r="AI106" s="55"/>
      <c r="AJ106" s="54"/>
      <c r="AW106" s="18">
        <f t="shared" si="8"/>
        <v>0</v>
      </c>
    </row>
    <row r="107" spans="10:49" ht="15">
      <c r="J107" s="314"/>
      <c r="K107" s="80"/>
      <c r="L107" s="314"/>
      <c r="M107" s="314"/>
      <c r="N107" s="140"/>
      <c r="O107" s="140"/>
      <c r="P107" s="140"/>
      <c r="Q107" s="140"/>
      <c r="R107" s="140"/>
      <c r="S107" s="140"/>
      <c r="T107" s="68"/>
      <c r="U107" s="161"/>
      <c r="V107" s="54"/>
      <c r="W107" s="54"/>
      <c r="X107" s="54"/>
      <c r="Y107" s="54"/>
      <c r="Z107" s="54"/>
      <c r="AA107" s="55"/>
      <c r="AB107" s="54"/>
      <c r="AE107" s="54"/>
      <c r="AF107" s="54"/>
      <c r="AG107" s="54"/>
      <c r="AH107" s="54"/>
      <c r="AI107" s="55"/>
      <c r="AJ107" s="54"/>
      <c r="AW107" s="18">
        <f t="shared" si="8"/>
        <v>0</v>
      </c>
    </row>
    <row r="108" spans="10:49" ht="15">
      <c r="J108" s="314"/>
      <c r="K108" s="80"/>
      <c r="L108" s="314"/>
      <c r="M108" s="314"/>
      <c r="N108" s="140"/>
      <c r="O108" s="140"/>
      <c r="P108" s="140"/>
      <c r="Q108" s="140"/>
      <c r="R108" s="140"/>
      <c r="S108" s="140"/>
      <c r="T108" s="68"/>
      <c r="U108" s="161"/>
      <c r="V108" s="54"/>
      <c r="W108" s="54"/>
      <c r="X108" s="54"/>
      <c r="Y108" s="54"/>
      <c r="Z108" s="54"/>
      <c r="AA108" s="55"/>
      <c r="AB108" s="54"/>
      <c r="AE108" s="54"/>
      <c r="AF108" s="54"/>
      <c r="AG108" s="54"/>
      <c r="AH108" s="54"/>
      <c r="AI108" s="55"/>
      <c r="AJ108" s="54"/>
      <c r="AW108" s="18">
        <f t="shared" si="8"/>
        <v>0</v>
      </c>
    </row>
    <row r="109" spans="10:49" ht="15">
      <c r="J109" s="314"/>
      <c r="K109" s="80"/>
      <c r="L109" s="314"/>
      <c r="M109" s="314"/>
      <c r="N109" s="140"/>
      <c r="O109" s="140"/>
      <c r="P109" s="140"/>
      <c r="Q109" s="140"/>
      <c r="R109" s="140"/>
      <c r="S109" s="140"/>
      <c r="T109" s="68"/>
      <c r="U109" s="161"/>
      <c r="V109" s="54"/>
      <c r="W109" s="54"/>
      <c r="X109" s="54"/>
      <c r="Y109" s="54"/>
      <c r="Z109" s="54"/>
      <c r="AA109" s="55"/>
      <c r="AB109" s="54"/>
      <c r="AE109" s="54"/>
      <c r="AF109" s="54"/>
      <c r="AG109" s="54"/>
      <c r="AH109" s="54"/>
      <c r="AI109" s="55"/>
      <c r="AJ109" s="54"/>
      <c r="AW109" s="18">
        <f t="shared" si="8"/>
        <v>0</v>
      </c>
    </row>
    <row r="110" spans="10:49" ht="15">
      <c r="J110" s="398"/>
      <c r="K110" s="54"/>
      <c r="L110" s="398"/>
      <c r="M110" s="554"/>
      <c r="N110" s="68"/>
      <c r="O110" s="68"/>
      <c r="P110" s="68"/>
      <c r="Q110" s="68"/>
      <c r="R110" s="68"/>
      <c r="S110" s="68"/>
      <c r="T110" s="68"/>
      <c r="U110" s="161"/>
      <c r="V110" s="54"/>
      <c r="W110" s="54"/>
      <c r="X110" s="54"/>
      <c r="Y110" s="54"/>
      <c r="Z110" s="54"/>
      <c r="AA110" s="55"/>
      <c r="AB110" s="54"/>
      <c r="AE110" s="54"/>
      <c r="AF110" s="54"/>
      <c r="AG110" s="54"/>
      <c r="AH110" s="54"/>
      <c r="AI110" s="55"/>
      <c r="AJ110" s="54"/>
      <c r="AW110" s="18">
        <f t="shared" si="8"/>
        <v>0</v>
      </c>
    </row>
    <row r="111" spans="10:49" ht="15">
      <c r="J111" s="398"/>
      <c r="K111" s="54"/>
      <c r="L111" s="398"/>
      <c r="M111" s="554"/>
      <c r="N111" s="68"/>
      <c r="O111" s="68"/>
      <c r="P111" s="68"/>
      <c r="Q111" s="68"/>
      <c r="R111" s="68"/>
      <c r="S111" s="68"/>
      <c r="T111" s="68"/>
      <c r="U111" s="161"/>
      <c r="V111" s="54"/>
      <c r="W111" s="54"/>
      <c r="X111" s="54"/>
      <c r="Y111" s="54"/>
      <c r="Z111" s="54"/>
      <c r="AA111" s="55"/>
      <c r="AB111" s="54"/>
      <c r="AE111" s="54"/>
      <c r="AF111" s="54"/>
      <c r="AG111" s="54"/>
      <c r="AH111" s="54"/>
      <c r="AI111" s="55"/>
      <c r="AJ111" s="54"/>
      <c r="AW111" s="18">
        <f t="shared" si="8"/>
        <v>0</v>
      </c>
    </row>
    <row r="112" spans="10:49" ht="15">
      <c r="J112" s="398"/>
      <c r="K112" s="54"/>
      <c r="L112" s="398"/>
      <c r="M112" s="554"/>
      <c r="N112" s="68"/>
      <c r="O112" s="68"/>
      <c r="P112" s="68"/>
      <c r="Q112" s="68"/>
      <c r="R112" s="68"/>
      <c r="S112" s="68"/>
      <c r="T112" s="68"/>
      <c r="U112" s="161"/>
      <c r="V112" s="54"/>
      <c r="W112" s="54"/>
      <c r="X112" s="54"/>
      <c r="Y112" s="54"/>
      <c r="Z112" s="54"/>
      <c r="AA112" s="55"/>
      <c r="AB112" s="54"/>
      <c r="AE112" s="54"/>
      <c r="AF112" s="54"/>
      <c r="AG112" s="54"/>
      <c r="AH112" s="54"/>
      <c r="AI112" s="55"/>
      <c r="AJ112" s="54"/>
      <c r="AW112" s="18">
        <f t="shared" si="8"/>
        <v>0</v>
      </c>
    </row>
    <row r="113" spans="10:49" ht="15">
      <c r="J113" s="398"/>
      <c r="K113" s="54"/>
      <c r="L113" s="398"/>
      <c r="M113" s="554"/>
      <c r="N113" s="68"/>
      <c r="O113" s="68"/>
      <c r="P113" s="68"/>
      <c r="Q113" s="68"/>
      <c r="R113" s="68"/>
      <c r="S113" s="68"/>
      <c r="T113" s="68"/>
      <c r="U113" s="161"/>
      <c r="V113" s="54"/>
      <c r="W113" s="54"/>
      <c r="X113" s="54"/>
      <c r="Y113" s="54"/>
      <c r="Z113" s="54"/>
      <c r="AA113" s="55"/>
      <c r="AB113" s="54"/>
      <c r="AE113" s="54"/>
      <c r="AF113" s="54"/>
      <c r="AG113" s="54"/>
      <c r="AH113" s="54"/>
      <c r="AI113" s="55"/>
      <c r="AJ113" s="54"/>
      <c r="AW113" s="18">
        <f t="shared" si="8"/>
        <v>0</v>
      </c>
    </row>
    <row r="114" spans="10:49" ht="15">
      <c r="J114" s="398"/>
      <c r="K114" s="54"/>
      <c r="L114" s="398"/>
      <c r="M114" s="554"/>
      <c r="N114" s="68"/>
      <c r="O114" s="68"/>
      <c r="P114" s="68"/>
      <c r="Q114" s="68"/>
      <c r="R114" s="68"/>
      <c r="S114" s="68"/>
      <c r="T114" s="68"/>
      <c r="U114" s="161"/>
      <c r="V114" s="54"/>
      <c r="W114" s="54"/>
      <c r="X114" s="54"/>
      <c r="Y114" s="54"/>
      <c r="Z114" s="54"/>
      <c r="AA114" s="55"/>
      <c r="AB114" s="54"/>
      <c r="AE114" s="54"/>
      <c r="AF114" s="54"/>
      <c r="AG114" s="54"/>
      <c r="AH114" s="54"/>
      <c r="AI114" s="55"/>
      <c r="AJ114" s="54"/>
      <c r="AW114" s="18">
        <f t="shared" si="8"/>
        <v>0</v>
      </c>
    </row>
    <row r="115" spans="10:49" ht="15">
      <c r="J115" s="398"/>
      <c r="K115" s="54"/>
      <c r="L115" s="398"/>
      <c r="M115" s="554"/>
      <c r="N115" s="68"/>
      <c r="O115" s="68"/>
      <c r="P115" s="68"/>
      <c r="Q115" s="68"/>
      <c r="R115" s="68"/>
      <c r="S115" s="68"/>
      <c r="T115" s="68"/>
      <c r="U115" s="161"/>
      <c r="V115" s="54"/>
      <c r="W115" s="54"/>
      <c r="X115" s="54"/>
      <c r="Y115" s="54"/>
      <c r="Z115" s="54"/>
      <c r="AA115" s="55"/>
      <c r="AB115" s="54"/>
      <c r="AE115" s="54"/>
      <c r="AF115" s="54"/>
      <c r="AG115" s="54"/>
      <c r="AH115" s="54"/>
      <c r="AI115" s="55"/>
      <c r="AJ115" s="54"/>
      <c r="AW115" s="18">
        <f t="shared" si="8"/>
        <v>0</v>
      </c>
    </row>
    <row r="116" spans="10:49" ht="15">
      <c r="J116" s="398"/>
      <c r="K116" s="54"/>
      <c r="L116" s="398"/>
      <c r="M116" s="554"/>
      <c r="N116" s="68"/>
      <c r="O116" s="68"/>
      <c r="P116" s="68"/>
      <c r="Q116" s="68"/>
      <c r="R116" s="68"/>
      <c r="S116" s="68"/>
      <c r="T116" s="68"/>
      <c r="U116" s="161"/>
      <c r="V116" s="54"/>
      <c r="W116" s="54"/>
      <c r="X116" s="54"/>
      <c r="Y116" s="54"/>
      <c r="Z116" s="54"/>
      <c r="AA116" s="55"/>
      <c r="AB116" s="54"/>
      <c r="AE116" s="54"/>
      <c r="AF116" s="54"/>
      <c r="AG116" s="54"/>
      <c r="AH116" s="54"/>
      <c r="AI116" s="55"/>
      <c r="AJ116" s="54"/>
      <c r="AW116" s="18">
        <f t="shared" si="8"/>
        <v>0</v>
      </c>
    </row>
    <row r="117" spans="10:49" ht="15">
      <c r="J117" s="398"/>
      <c r="K117" s="54"/>
      <c r="L117" s="398"/>
      <c r="M117" s="554"/>
      <c r="N117" s="68"/>
      <c r="O117" s="68"/>
      <c r="P117" s="68"/>
      <c r="Q117" s="68"/>
      <c r="R117" s="68"/>
      <c r="S117" s="68"/>
      <c r="T117" s="68"/>
      <c r="U117" s="161"/>
      <c r="V117" s="54"/>
      <c r="W117" s="54"/>
      <c r="X117" s="54"/>
      <c r="Y117" s="54"/>
      <c r="Z117" s="54"/>
      <c r="AA117" s="55"/>
      <c r="AB117" s="54"/>
      <c r="AE117" s="54"/>
      <c r="AF117" s="54"/>
      <c r="AG117" s="54"/>
      <c r="AH117" s="54"/>
      <c r="AI117" s="55"/>
      <c r="AJ117" s="54"/>
      <c r="AW117" s="18">
        <f t="shared" si="8"/>
        <v>0</v>
      </c>
    </row>
    <row r="118" spans="10:49" ht="15">
      <c r="J118" s="398"/>
      <c r="K118" s="54"/>
      <c r="L118" s="398"/>
      <c r="M118" s="554"/>
      <c r="N118" s="68"/>
      <c r="O118" s="68"/>
      <c r="P118" s="68"/>
      <c r="Q118" s="68"/>
      <c r="R118" s="68"/>
      <c r="S118" s="68"/>
      <c r="T118" s="68"/>
      <c r="U118" s="161"/>
      <c r="V118" s="54"/>
      <c r="W118" s="54"/>
      <c r="X118" s="54"/>
      <c r="Y118" s="54"/>
      <c r="Z118" s="54"/>
      <c r="AA118" s="55"/>
      <c r="AB118" s="54"/>
      <c r="AE118" s="54"/>
      <c r="AF118" s="54"/>
      <c r="AG118" s="54"/>
      <c r="AH118" s="54"/>
      <c r="AI118" s="55"/>
      <c r="AJ118" s="54"/>
      <c r="AW118" s="18">
        <f t="shared" si="8"/>
        <v>0</v>
      </c>
    </row>
    <row r="119" spans="10:49" ht="15">
      <c r="J119" s="398"/>
      <c r="K119" s="54"/>
      <c r="L119" s="398"/>
      <c r="M119" s="554"/>
      <c r="N119" s="68"/>
      <c r="O119" s="68"/>
      <c r="P119" s="68"/>
      <c r="Q119" s="68"/>
      <c r="R119" s="68"/>
      <c r="S119" s="68"/>
      <c r="T119" s="68"/>
      <c r="U119" s="161"/>
      <c r="V119" s="54"/>
      <c r="W119" s="54"/>
      <c r="X119" s="54"/>
      <c r="Y119" s="54"/>
      <c r="Z119" s="54"/>
      <c r="AA119" s="55"/>
      <c r="AB119" s="54"/>
      <c r="AE119" s="54"/>
      <c r="AF119" s="54"/>
      <c r="AG119" s="54"/>
      <c r="AH119" s="54"/>
      <c r="AI119" s="55"/>
      <c r="AJ119" s="54"/>
      <c r="AW119" s="18">
        <f t="shared" si="8"/>
        <v>0</v>
      </c>
    </row>
    <row r="120" spans="10:49" ht="15">
      <c r="J120" s="398"/>
      <c r="K120" s="54"/>
      <c r="L120" s="398"/>
      <c r="M120" s="554"/>
      <c r="N120" s="68"/>
      <c r="O120" s="68"/>
      <c r="P120" s="68"/>
      <c r="Q120" s="68"/>
      <c r="R120" s="68"/>
      <c r="S120" s="68"/>
      <c r="T120" s="68"/>
      <c r="U120" s="161"/>
      <c r="V120" s="54"/>
      <c r="W120" s="54"/>
      <c r="X120" s="54"/>
      <c r="Y120" s="54"/>
      <c r="Z120" s="54"/>
      <c r="AA120" s="55"/>
      <c r="AB120" s="54"/>
      <c r="AE120" s="54"/>
      <c r="AF120" s="54"/>
      <c r="AG120" s="54"/>
      <c r="AH120" s="54"/>
      <c r="AI120" s="55"/>
      <c r="AJ120" s="54"/>
      <c r="AW120" s="18">
        <f t="shared" si="8"/>
        <v>0</v>
      </c>
    </row>
    <row r="121" spans="10:49" ht="15">
      <c r="J121" s="398"/>
      <c r="K121" s="54"/>
      <c r="L121" s="398"/>
      <c r="M121" s="554"/>
      <c r="N121" s="68"/>
      <c r="O121" s="68"/>
      <c r="P121" s="68"/>
      <c r="Q121" s="68"/>
      <c r="R121" s="68"/>
      <c r="S121" s="68"/>
      <c r="T121" s="68"/>
      <c r="U121" s="161"/>
      <c r="V121" s="54"/>
      <c r="W121" s="54"/>
      <c r="X121" s="54"/>
      <c r="Y121" s="54"/>
      <c r="Z121" s="54"/>
      <c r="AA121" s="55"/>
      <c r="AB121" s="54"/>
      <c r="AE121" s="54"/>
      <c r="AF121" s="54"/>
      <c r="AG121" s="54"/>
      <c r="AH121" s="54"/>
      <c r="AI121" s="55"/>
      <c r="AJ121" s="54"/>
      <c r="AW121" s="18">
        <f t="shared" si="8"/>
        <v>0</v>
      </c>
    </row>
    <row r="122" spans="10:49" ht="15">
      <c r="J122" s="398"/>
      <c r="K122" s="54"/>
      <c r="L122" s="398"/>
      <c r="M122" s="554"/>
      <c r="N122" s="68"/>
      <c r="O122" s="68"/>
      <c r="P122" s="68"/>
      <c r="Q122" s="68"/>
      <c r="R122" s="68"/>
      <c r="S122" s="68"/>
      <c r="T122" s="68"/>
      <c r="U122" s="161"/>
      <c r="V122" s="54"/>
      <c r="W122" s="54"/>
      <c r="X122" s="54"/>
      <c r="Y122" s="54"/>
      <c r="Z122" s="54"/>
      <c r="AA122" s="55"/>
      <c r="AB122" s="54"/>
      <c r="AE122" s="54"/>
      <c r="AF122" s="54"/>
      <c r="AG122" s="54"/>
      <c r="AH122" s="54"/>
      <c r="AI122" s="55"/>
      <c r="AJ122" s="54"/>
      <c r="AW122" s="18">
        <f t="shared" si="8"/>
        <v>0</v>
      </c>
    </row>
    <row r="123" spans="10:49" ht="15">
      <c r="J123" s="398"/>
      <c r="K123" s="54"/>
      <c r="L123" s="56"/>
      <c r="M123" s="56"/>
      <c r="N123" s="68"/>
      <c r="O123" s="68"/>
      <c r="P123" s="68"/>
      <c r="Q123" s="68"/>
      <c r="R123" s="68"/>
      <c r="S123" s="68"/>
      <c r="T123" s="68"/>
      <c r="U123" s="161"/>
      <c r="V123" s="54"/>
      <c r="W123" s="54"/>
      <c r="X123" s="54"/>
      <c r="Y123" s="54"/>
      <c r="Z123" s="54"/>
      <c r="AA123" s="55"/>
      <c r="AB123" s="54"/>
      <c r="AE123" s="54"/>
      <c r="AF123" s="54"/>
      <c r="AG123" s="54"/>
      <c r="AH123" s="54"/>
      <c r="AI123" s="55"/>
      <c r="AJ123" s="54"/>
      <c r="AW123" s="18">
        <f t="shared" si="8"/>
        <v>0</v>
      </c>
    </row>
    <row r="124" spans="10:49" ht="15">
      <c r="J124" s="398"/>
      <c r="K124" s="54"/>
      <c r="L124" s="56"/>
      <c r="M124" s="56"/>
      <c r="N124" s="68"/>
      <c r="O124" s="68"/>
      <c r="P124" s="68"/>
      <c r="Q124" s="68"/>
      <c r="R124" s="68"/>
      <c r="S124" s="68"/>
      <c r="T124" s="68"/>
      <c r="U124" s="161"/>
      <c r="V124" s="54"/>
      <c r="W124" s="54"/>
      <c r="X124" s="54"/>
      <c r="Y124" s="54"/>
      <c r="Z124" s="54"/>
      <c r="AA124" s="55"/>
      <c r="AB124" s="54"/>
      <c r="AE124" s="54"/>
      <c r="AF124" s="54"/>
      <c r="AG124" s="54"/>
      <c r="AH124" s="54"/>
      <c r="AI124" s="55"/>
      <c r="AJ124" s="54"/>
      <c r="AW124" s="18">
        <f t="shared" si="8"/>
        <v>0</v>
      </c>
    </row>
    <row r="125" spans="10:49" ht="15">
      <c r="J125" s="398"/>
      <c r="K125" s="54"/>
      <c r="L125" s="398"/>
      <c r="M125" s="554"/>
      <c r="N125" s="68"/>
      <c r="O125" s="68"/>
      <c r="P125" s="68"/>
      <c r="Q125" s="68"/>
      <c r="R125" s="68"/>
      <c r="S125" s="68"/>
      <c r="T125" s="68"/>
      <c r="U125" s="161"/>
      <c r="V125" s="54"/>
      <c r="W125" s="54"/>
      <c r="X125" s="54"/>
      <c r="Y125" s="54"/>
      <c r="Z125" s="54"/>
      <c r="AA125" s="55"/>
      <c r="AB125" s="54"/>
      <c r="AE125" s="54"/>
      <c r="AF125" s="54"/>
      <c r="AG125" s="54"/>
      <c r="AH125" s="54"/>
      <c r="AI125" s="55"/>
      <c r="AJ125" s="54"/>
      <c r="AW125" s="18">
        <f t="shared" si="8"/>
        <v>0</v>
      </c>
    </row>
    <row r="126" spans="10:49" ht="15">
      <c r="J126" s="687"/>
      <c r="K126" s="54"/>
      <c r="L126" s="687"/>
      <c r="M126" s="554"/>
      <c r="N126" s="68"/>
      <c r="O126" s="68"/>
      <c r="P126" s="68"/>
      <c r="Q126" s="68"/>
      <c r="R126" s="68"/>
      <c r="S126" s="68"/>
      <c r="T126" s="68"/>
      <c r="U126" s="161"/>
      <c r="V126" s="54"/>
      <c r="W126" s="54"/>
      <c r="X126" s="54"/>
      <c r="Y126" s="54"/>
      <c r="Z126" s="54"/>
      <c r="AA126" s="54"/>
      <c r="AB126" s="54"/>
      <c r="AE126" s="54"/>
      <c r="AF126" s="54"/>
      <c r="AG126" s="54"/>
      <c r="AH126" s="54"/>
      <c r="AI126" s="54"/>
      <c r="AJ126" s="54"/>
      <c r="AW126" s="18">
        <f t="shared" si="8"/>
        <v>0</v>
      </c>
    </row>
    <row r="127" spans="10:49" ht="15">
      <c r="J127" s="687"/>
      <c r="K127" s="54"/>
      <c r="L127" s="687"/>
      <c r="M127" s="554"/>
      <c r="N127" s="68"/>
      <c r="O127" s="68"/>
      <c r="P127" s="68"/>
      <c r="Q127" s="68"/>
      <c r="R127" s="68"/>
      <c r="S127" s="68"/>
      <c r="T127" s="68"/>
      <c r="U127" s="161"/>
      <c r="V127" s="54"/>
      <c r="W127" s="54"/>
      <c r="X127" s="54"/>
      <c r="Y127" s="54"/>
      <c r="Z127" s="54"/>
      <c r="AA127" s="54"/>
      <c r="AB127" s="54"/>
      <c r="AE127" s="54"/>
      <c r="AF127" s="54"/>
      <c r="AG127" s="54"/>
      <c r="AH127" s="54"/>
      <c r="AI127" s="54"/>
      <c r="AJ127" s="54"/>
      <c r="AW127" s="18">
        <f t="shared" si="8"/>
        <v>0</v>
      </c>
    </row>
    <row r="128" spans="10:49" ht="15">
      <c r="J128" s="687"/>
      <c r="K128" s="54"/>
      <c r="L128" s="687"/>
      <c r="M128" s="554"/>
      <c r="N128" s="68"/>
      <c r="O128" s="68"/>
      <c r="P128" s="68"/>
      <c r="Q128" s="68"/>
      <c r="R128" s="68"/>
      <c r="S128" s="68"/>
      <c r="T128" s="68"/>
      <c r="U128" s="161"/>
      <c r="V128" s="54"/>
      <c r="W128" s="54"/>
      <c r="X128" s="54"/>
      <c r="Y128" s="54"/>
      <c r="Z128" s="54"/>
      <c r="AA128" s="54"/>
      <c r="AB128" s="54"/>
      <c r="AE128" s="54"/>
      <c r="AF128" s="54"/>
      <c r="AG128" s="54"/>
      <c r="AH128" s="54"/>
      <c r="AI128" s="54"/>
      <c r="AJ128" s="54"/>
      <c r="AW128" s="18">
        <f t="shared" si="8"/>
        <v>0</v>
      </c>
    </row>
    <row r="129" spans="10:49" ht="15">
      <c r="J129" s="687"/>
      <c r="K129" s="54"/>
      <c r="L129" s="687"/>
      <c r="M129" s="554"/>
      <c r="N129" s="68"/>
      <c r="O129" s="68"/>
      <c r="P129" s="68"/>
      <c r="Q129" s="68"/>
      <c r="R129" s="68"/>
      <c r="S129" s="68"/>
      <c r="T129" s="68"/>
      <c r="U129" s="161"/>
      <c r="V129" s="54"/>
      <c r="W129" s="54"/>
      <c r="X129" s="54"/>
      <c r="Y129" s="54"/>
      <c r="Z129" s="54"/>
      <c r="AA129" s="54"/>
      <c r="AB129" s="54"/>
      <c r="AE129" s="54"/>
      <c r="AF129" s="54"/>
      <c r="AG129" s="54"/>
      <c r="AH129" s="54"/>
      <c r="AI129" s="54"/>
      <c r="AJ129" s="54"/>
      <c r="AW129" s="18">
        <f t="shared" si="8"/>
        <v>0</v>
      </c>
    </row>
    <row r="130" spans="10:49" ht="15">
      <c r="J130" s="687"/>
      <c r="K130" s="54"/>
      <c r="L130" s="687"/>
      <c r="M130" s="554"/>
      <c r="N130" s="68"/>
      <c r="O130" s="68"/>
      <c r="P130" s="68"/>
      <c r="Q130" s="68"/>
      <c r="R130" s="68"/>
      <c r="S130" s="68"/>
      <c r="T130" s="68"/>
      <c r="U130" s="161"/>
      <c r="V130" s="54"/>
      <c r="W130" s="54"/>
      <c r="X130" s="54"/>
      <c r="Y130" s="54"/>
      <c r="Z130" s="54"/>
      <c r="AA130" s="54"/>
      <c r="AB130" s="54"/>
      <c r="AE130" s="54"/>
      <c r="AF130" s="54"/>
      <c r="AG130" s="54"/>
      <c r="AH130" s="54"/>
      <c r="AI130" s="54"/>
      <c r="AJ130" s="54"/>
      <c r="AW130" s="18">
        <f t="shared" si="8"/>
        <v>0</v>
      </c>
    </row>
    <row r="131" spans="10:49" ht="15">
      <c r="J131" s="687"/>
      <c r="K131" s="54"/>
      <c r="L131" s="687"/>
      <c r="M131" s="554"/>
      <c r="N131" s="68"/>
      <c r="O131" s="68"/>
      <c r="P131" s="68"/>
      <c r="Q131" s="68"/>
      <c r="R131" s="68"/>
      <c r="S131" s="68"/>
      <c r="T131" s="68"/>
      <c r="U131" s="161"/>
      <c r="V131" s="54"/>
      <c r="W131" s="54"/>
      <c r="X131" s="54"/>
      <c r="Y131" s="54"/>
      <c r="Z131" s="54"/>
      <c r="AA131" s="54"/>
      <c r="AB131" s="54"/>
      <c r="AE131" s="54"/>
      <c r="AF131" s="54"/>
      <c r="AG131" s="54"/>
      <c r="AH131" s="54"/>
      <c r="AI131" s="54"/>
      <c r="AJ131" s="54"/>
      <c r="AW131" s="18">
        <f t="shared" si="8"/>
        <v>0</v>
      </c>
    </row>
    <row r="132" spans="10:49" ht="15">
      <c r="J132" s="687"/>
      <c r="K132" s="54"/>
      <c r="L132" s="687"/>
      <c r="M132" s="554"/>
      <c r="N132" s="68"/>
      <c r="O132" s="68"/>
      <c r="P132" s="68"/>
      <c r="Q132" s="68"/>
      <c r="R132" s="68"/>
      <c r="S132" s="68"/>
      <c r="T132" s="68"/>
      <c r="U132" s="161"/>
      <c r="V132" s="54"/>
      <c r="W132" s="54"/>
      <c r="X132" s="54"/>
      <c r="Y132" s="54"/>
      <c r="Z132" s="54"/>
      <c r="AA132" s="54"/>
      <c r="AB132" s="54"/>
      <c r="AE132" s="54"/>
      <c r="AF132" s="54"/>
      <c r="AG132" s="54"/>
      <c r="AH132" s="54"/>
      <c r="AI132" s="54"/>
      <c r="AJ132" s="54"/>
      <c r="AW132" s="18">
        <f t="shared" si="8"/>
        <v>0</v>
      </c>
    </row>
    <row r="133" spans="10:49" ht="15">
      <c r="J133" s="687"/>
      <c r="K133" s="54"/>
      <c r="L133" s="687"/>
      <c r="M133" s="554"/>
      <c r="N133" s="68"/>
      <c r="O133" s="68"/>
      <c r="P133" s="68"/>
      <c r="Q133" s="68"/>
      <c r="R133" s="68"/>
      <c r="S133" s="68"/>
      <c r="T133" s="68"/>
      <c r="U133" s="161"/>
      <c r="V133" s="54"/>
      <c r="W133" s="54"/>
      <c r="X133" s="54"/>
      <c r="Y133" s="54"/>
      <c r="Z133" s="54"/>
      <c r="AA133" s="54"/>
      <c r="AB133" s="54"/>
      <c r="AE133" s="54"/>
      <c r="AF133" s="54"/>
      <c r="AG133" s="54"/>
      <c r="AH133" s="54"/>
      <c r="AI133" s="54"/>
      <c r="AJ133" s="54"/>
      <c r="AW133" s="18">
        <f t="shared" si="8"/>
        <v>0</v>
      </c>
    </row>
    <row r="134" spans="10:49" ht="15">
      <c r="J134" s="687"/>
      <c r="K134" s="54"/>
      <c r="L134" s="687"/>
      <c r="M134" s="554"/>
      <c r="N134" s="68"/>
      <c r="O134" s="68"/>
      <c r="P134" s="68"/>
      <c r="Q134" s="68"/>
      <c r="R134" s="68"/>
      <c r="S134" s="68"/>
      <c r="T134" s="68"/>
      <c r="U134" s="161"/>
      <c r="V134" s="54"/>
      <c r="W134" s="54"/>
      <c r="X134" s="54"/>
      <c r="Y134" s="54"/>
      <c r="Z134" s="54"/>
      <c r="AA134" s="54"/>
      <c r="AB134" s="54"/>
      <c r="AE134" s="54"/>
      <c r="AF134" s="54"/>
      <c r="AG134" s="54"/>
      <c r="AH134" s="54"/>
      <c r="AI134" s="54"/>
      <c r="AJ134" s="54"/>
      <c r="AW134" s="18">
        <f t="shared" si="8"/>
        <v>0</v>
      </c>
    </row>
    <row r="135" spans="10:49" ht="15">
      <c r="J135" s="687"/>
      <c r="K135" s="54"/>
      <c r="L135" s="687"/>
      <c r="M135" s="554"/>
      <c r="N135" s="68"/>
      <c r="O135" s="68"/>
      <c r="P135" s="68"/>
      <c r="Q135" s="68"/>
      <c r="R135" s="68"/>
      <c r="S135" s="68"/>
      <c r="T135" s="68"/>
      <c r="U135" s="161"/>
      <c r="V135" s="54"/>
      <c r="W135" s="54"/>
      <c r="X135" s="54"/>
      <c r="Y135" s="54"/>
      <c r="Z135" s="54"/>
      <c r="AA135" s="54"/>
      <c r="AB135" s="54"/>
      <c r="AE135" s="54"/>
      <c r="AF135" s="54"/>
      <c r="AG135" s="54"/>
      <c r="AH135" s="54"/>
      <c r="AI135" s="54"/>
      <c r="AJ135" s="54"/>
      <c r="AW135" s="18">
        <f t="shared" si="8"/>
        <v>0</v>
      </c>
    </row>
    <row r="136" spans="10:49" ht="15">
      <c r="J136" s="687"/>
      <c r="K136" s="54"/>
      <c r="L136" s="687"/>
      <c r="M136" s="554"/>
      <c r="N136" s="68"/>
      <c r="O136" s="68"/>
      <c r="P136" s="68"/>
      <c r="Q136" s="68"/>
      <c r="R136" s="68"/>
      <c r="S136" s="68"/>
      <c r="T136" s="68"/>
      <c r="U136" s="161"/>
      <c r="V136" s="54"/>
      <c r="W136" s="54"/>
      <c r="X136" s="54"/>
      <c r="Y136" s="54"/>
      <c r="Z136" s="54"/>
      <c r="AA136" s="54"/>
      <c r="AB136" s="54"/>
      <c r="AE136" s="54"/>
      <c r="AF136" s="54"/>
      <c r="AG136" s="54"/>
      <c r="AH136" s="54"/>
      <c r="AI136" s="54"/>
      <c r="AJ136" s="54"/>
      <c r="AW136" s="18">
        <f t="shared" si="8"/>
        <v>0</v>
      </c>
    </row>
    <row r="137" spans="10:49" ht="15">
      <c r="J137" s="687"/>
      <c r="K137" s="54"/>
      <c r="L137" s="687"/>
      <c r="M137" s="554"/>
      <c r="N137" s="68"/>
      <c r="O137" s="68"/>
      <c r="P137" s="68"/>
      <c r="Q137" s="68"/>
      <c r="R137" s="68"/>
      <c r="S137" s="68"/>
      <c r="T137" s="68"/>
      <c r="U137" s="161"/>
      <c r="V137" s="54"/>
      <c r="W137" s="54"/>
      <c r="X137" s="54"/>
      <c r="Y137" s="54"/>
      <c r="Z137" s="54"/>
      <c r="AA137" s="54"/>
      <c r="AB137" s="54"/>
      <c r="AE137" s="54"/>
      <c r="AF137" s="54"/>
      <c r="AG137" s="54"/>
      <c r="AH137" s="54"/>
      <c r="AI137" s="54"/>
      <c r="AJ137" s="54"/>
      <c r="AW137" s="18">
        <f t="shared" si="8"/>
        <v>0</v>
      </c>
    </row>
    <row r="138" spans="10:49" ht="15">
      <c r="J138" s="687"/>
      <c r="K138" s="54"/>
      <c r="L138" s="687"/>
      <c r="M138" s="554"/>
      <c r="N138" s="68"/>
      <c r="O138" s="68"/>
      <c r="P138" s="68"/>
      <c r="Q138" s="68"/>
      <c r="R138" s="68"/>
      <c r="S138" s="68"/>
      <c r="T138" s="68"/>
      <c r="U138" s="161"/>
      <c r="V138" s="54"/>
      <c r="W138" s="54"/>
      <c r="X138" s="54"/>
      <c r="Y138" s="54"/>
      <c r="Z138" s="54"/>
      <c r="AA138" s="54"/>
      <c r="AB138" s="54"/>
      <c r="AE138" s="54"/>
      <c r="AF138" s="54"/>
      <c r="AG138" s="54"/>
      <c r="AH138" s="54"/>
      <c r="AI138" s="54"/>
      <c r="AJ138" s="54"/>
      <c r="AW138" s="18">
        <f t="shared" si="8"/>
        <v>0</v>
      </c>
    </row>
    <row r="139" spans="10:49" ht="15">
      <c r="J139" s="687"/>
      <c r="K139" s="54"/>
      <c r="L139" s="687"/>
      <c r="M139" s="554"/>
      <c r="N139" s="68"/>
      <c r="O139" s="68"/>
      <c r="P139" s="68"/>
      <c r="Q139" s="68"/>
      <c r="R139" s="68"/>
      <c r="S139" s="68"/>
      <c r="T139" s="68"/>
      <c r="U139" s="161"/>
      <c r="V139" s="54"/>
      <c r="W139" s="54"/>
      <c r="X139" s="54"/>
      <c r="Y139" s="54"/>
      <c r="Z139" s="54"/>
      <c r="AA139" s="54"/>
      <c r="AB139" s="54"/>
      <c r="AE139" s="54"/>
      <c r="AF139" s="54"/>
      <c r="AG139" s="54"/>
      <c r="AH139" s="54"/>
      <c r="AI139" s="54"/>
      <c r="AJ139" s="54"/>
      <c r="AW139" s="18">
        <f t="shared" si="8"/>
        <v>0</v>
      </c>
    </row>
    <row r="140" spans="10:49" ht="15">
      <c r="J140" s="687"/>
      <c r="K140" s="54"/>
      <c r="L140" s="687"/>
      <c r="M140" s="554"/>
      <c r="N140" s="68"/>
      <c r="O140" s="68"/>
      <c r="P140" s="68"/>
      <c r="Q140" s="68"/>
      <c r="R140" s="68"/>
      <c r="S140" s="68"/>
      <c r="T140" s="68"/>
      <c r="U140" s="161"/>
      <c r="V140" s="54"/>
      <c r="W140" s="54"/>
      <c r="X140" s="54"/>
      <c r="Y140" s="54"/>
      <c r="Z140" s="54"/>
      <c r="AA140" s="54"/>
      <c r="AB140" s="54"/>
      <c r="AE140" s="54"/>
      <c r="AF140" s="54"/>
      <c r="AG140" s="54"/>
      <c r="AH140" s="54"/>
      <c r="AI140" s="54"/>
      <c r="AJ140" s="54"/>
      <c r="AW140" s="18">
        <f t="shared" si="8"/>
        <v>0</v>
      </c>
    </row>
    <row r="141" spans="10:49" ht="15">
      <c r="J141" s="687"/>
      <c r="K141" s="54"/>
      <c r="L141" s="687"/>
      <c r="M141" s="554"/>
      <c r="N141" s="68"/>
      <c r="O141" s="68"/>
      <c r="P141" s="68"/>
      <c r="Q141" s="68"/>
      <c r="R141" s="68"/>
      <c r="S141" s="68"/>
      <c r="T141" s="68"/>
      <c r="U141" s="161"/>
      <c r="V141" s="54"/>
      <c r="W141" s="54"/>
      <c r="X141" s="54"/>
      <c r="Y141" s="54"/>
      <c r="Z141" s="54"/>
      <c r="AA141" s="54"/>
      <c r="AB141" s="54"/>
      <c r="AE141" s="54"/>
      <c r="AF141" s="54"/>
      <c r="AG141" s="54"/>
      <c r="AH141" s="54"/>
      <c r="AI141" s="54"/>
      <c r="AJ141" s="54"/>
      <c r="AW141" s="18">
        <f t="shared" si="8"/>
        <v>0</v>
      </c>
    </row>
    <row r="142" spans="10:49" ht="15">
      <c r="J142" s="687"/>
      <c r="K142" s="54"/>
      <c r="L142" s="687"/>
      <c r="M142" s="554"/>
      <c r="N142" s="68"/>
      <c r="O142" s="68"/>
      <c r="P142" s="68"/>
      <c r="Q142" s="68"/>
      <c r="R142" s="68"/>
      <c r="S142" s="68"/>
      <c r="T142" s="68"/>
      <c r="U142" s="161"/>
      <c r="V142" s="54"/>
      <c r="W142" s="54"/>
      <c r="X142" s="54"/>
      <c r="Y142" s="54"/>
      <c r="Z142" s="54"/>
      <c r="AA142" s="54"/>
      <c r="AB142" s="54"/>
      <c r="AE142" s="54"/>
      <c r="AF142" s="54"/>
      <c r="AG142" s="54"/>
      <c r="AH142" s="54"/>
      <c r="AI142" s="54"/>
      <c r="AJ142" s="54"/>
      <c r="AW142" s="18">
        <f t="shared" si="8"/>
        <v>0</v>
      </c>
    </row>
    <row r="143" spans="10:49" ht="15">
      <c r="J143" s="687"/>
      <c r="K143" s="54"/>
      <c r="L143" s="687"/>
      <c r="M143" s="554"/>
      <c r="N143" s="68"/>
      <c r="O143" s="68"/>
      <c r="P143" s="68"/>
      <c r="Q143" s="68"/>
      <c r="R143" s="68"/>
      <c r="S143" s="68"/>
      <c r="T143" s="68"/>
      <c r="U143" s="161"/>
      <c r="V143" s="54"/>
      <c r="W143" s="54"/>
      <c r="X143" s="54"/>
      <c r="Y143" s="54"/>
      <c r="Z143" s="54"/>
      <c r="AA143" s="54"/>
      <c r="AB143" s="54"/>
      <c r="AE143" s="54"/>
      <c r="AF143" s="54"/>
      <c r="AG143" s="54"/>
      <c r="AH143" s="54"/>
      <c r="AI143" s="54"/>
      <c r="AJ143" s="54"/>
      <c r="AW143" s="18">
        <f t="shared" si="8"/>
        <v>0</v>
      </c>
    </row>
    <row r="144" spans="10:49" ht="15">
      <c r="J144" s="687"/>
      <c r="K144" s="54"/>
      <c r="L144" s="687"/>
      <c r="M144" s="554"/>
      <c r="N144" s="68"/>
      <c r="O144" s="68"/>
      <c r="P144" s="68"/>
      <c r="Q144" s="68"/>
      <c r="R144" s="68"/>
      <c r="S144" s="68"/>
      <c r="T144" s="68"/>
      <c r="U144" s="161"/>
      <c r="V144" s="54"/>
      <c r="W144" s="54"/>
      <c r="X144" s="54"/>
      <c r="Y144" s="54"/>
      <c r="Z144" s="54"/>
      <c r="AA144" s="54"/>
      <c r="AB144" s="54"/>
      <c r="AE144" s="54"/>
      <c r="AF144" s="54"/>
      <c r="AG144" s="54"/>
      <c r="AH144" s="54"/>
      <c r="AI144" s="54"/>
      <c r="AJ144" s="54"/>
      <c r="AW144" s="18">
        <f t="shared" si="8"/>
        <v>0</v>
      </c>
    </row>
    <row r="145" spans="10:49" ht="15">
      <c r="J145" s="687"/>
      <c r="K145" s="54"/>
      <c r="L145" s="687"/>
      <c r="M145" s="554"/>
      <c r="N145" s="68"/>
      <c r="O145" s="68"/>
      <c r="P145" s="68"/>
      <c r="Q145" s="68"/>
      <c r="R145" s="68"/>
      <c r="S145" s="68"/>
      <c r="T145" s="68"/>
      <c r="U145" s="161"/>
      <c r="V145" s="54"/>
      <c r="W145" s="54"/>
      <c r="X145" s="54"/>
      <c r="Y145" s="54"/>
      <c r="Z145" s="54"/>
      <c r="AA145" s="54"/>
      <c r="AB145" s="54"/>
      <c r="AE145" s="54"/>
      <c r="AF145" s="54"/>
      <c r="AG145" s="54"/>
      <c r="AH145" s="54"/>
      <c r="AI145" s="54"/>
      <c r="AJ145" s="54"/>
      <c r="AW145" s="18">
        <f t="shared" si="8"/>
        <v>0</v>
      </c>
    </row>
    <row r="146" spans="10:49" ht="15">
      <c r="J146" s="687"/>
      <c r="K146" s="54"/>
      <c r="L146" s="687"/>
      <c r="M146" s="554"/>
      <c r="N146" s="68"/>
      <c r="O146" s="68"/>
      <c r="P146" s="68"/>
      <c r="Q146" s="68"/>
      <c r="R146" s="68"/>
      <c r="S146" s="68"/>
      <c r="T146" s="68"/>
      <c r="U146" s="161"/>
      <c r="V146" s="54"/>
      <c r="W146" s="54"/>
      <c r="X146" s="54"/>
      <c r="Y146" s="54"/>
      <c r="Z146" s="54"/>
      <c r="AA146" s="54"/>
      <c r="AB146" s="54"/>
      <c r="AE146" s="54"/>
      <c r="AF146" s="54"/>
      <c r="AG146" s="54"/>
      <c r="AH146" s="54"/>
      <c r="AI146" s="54"/>
      <c r="AJ146" s="54"/>
      <c r="AW146" s="18">
        <f t="shared" si="8"/>
        <v>0</v>
      </c>
    </row>
    <row r="147" spans="10:49" ht="15">
      <c r="J147" s="687"/>
      <c r="K147" s="54"/>
      <c r="L147" s="687"/>
      <c r="M147" s="554"/>
      <c r="N147" s="68"/>
      <c r="O147" s="68"/>
      <c r="P147" s="68"/>
      <c r="Q147" s="68"/>
      <c r="R147" s="68"/>
      <c r="S147" s="68"/>
      <c r="T147" s="68"/>
      <c r="U147" s="161"/>
      <c r="V147" s="54"/>
      <c r="W147" s="54"/>
      <c r="X147" s="54"/>
      <c r="Y147" s="54"/>
      <c r="Z147" s="54"/>
      <c r="AA147" s="54"/>
      <c r="AB147" s="54"/>
      <c r="AE147" s="54"/>
      <c r="AF147" s="54"/>
      <c r="AG147" s="54"/>
      <c r="AH147" s="54"/>
      <c r="AI147" s="54"/>
      <c r="AJ147" s="54"/>
      <c r="AW147" s="18">
        <f t="shared" si="8"/>
        <v>0</v>
      </c>
    </row>
    <row r="148" spans="10:49" ht="15">
      <c r="J148" s="687"/>
      <c r="K148" s="54"/>
      <c r="L148" s="687"/>
      <c r="M148" s="554"/>
      <c r="N148" s="68"/>
      <c r="O148" s="68"/>
      <c r="P148" s="68"/>
      <c r="Q148" s="68"/>
      <c r="R148" s="68"/>
      <c r="S148" s="68"/>
      <c r="T148" s="68"/>
      <c r="U148" s="161"/>
      <c r="V148" s="54"/>
      <c r="W148" s="54"/>
      <c r="X148" s="54"/>
      <c r="Y148" s="54"/>
      <c r="Z148" s="54"/>
      <c r="AA148" s="54"/>
      <c r="AB148" s="54"/>
      <c r="AE148" s="54"/>
      <c r="AF148" s="54"/>
      <c r="AG148" s="54"/>
      <c r="AH148" s="54"/>
      <c r="AI148" s="54"/>
      <c r="AJ148" s="54"/>
      <c r="AW148" s="18">
        <f t="shared" si="8"/>
        <v>0</v>
      </c>
    </row>
    <row r="149" spans="10:49" ht="15">
      <c r="J149" s="687"/>
      <c r="K149" s="54"/>
      <c r="L149" s="687"/>
      <c r="M149" s="554"/>
      <c r="N149" s="68"/>
      <c r="O149" s="68"/>
      <c r="P149" s="68"/>
      <c r="Q149" s="68"/>
      <c r="R149" s="68"/>
      <c r="S149" s="68"/>
      <c r="T149" s="68"/>
      <c r="U149" s="161"/>
      <c r="V149" s="54"/>
      <c r="W149" s="54"/>
      <c r="X149" s="54"/>
      <c r="Y149" s="54"/>
      <c r="Z149" s="54"/>
      <c r="AA149" s="54"/>
      <c r="AB149" s="54"/>
      <c r="AE149" s="54"/>
      <c r="AF149" s="54"/>
      <c r="AG149" s="54"/>
      <c r="AH149" s="54"/>
      <c r="AI149" s="54"/>
      <c r="AJ149" s="54"/>
      <c r="AW149" s="18">
        <f t="shared" si="8"/>
        <v>0</v>
      </c>
    </row>
    <row r="150" spans="10:49" ht="15">
      <c r="J150" s="687"/>
      <c r="K150" s="54"/>
      <c r="L150" s="687"/>
      <c r="M150" s="554"/>
      <c r="N150" s="68"/>
      <c r="O150" s="68"/>
      <c r="P150" s="68"/>
      <c r="Q150" s="68"/>
      <c r="R150" s="68"/>
      <c r="S150" s="68"/>
      <c r="T150" s="68"/>
      <c r="U150" s="161"/>
      <c r="V150" s="54"/>
      <c r="W150" s="54"/>
      <c r="X150" s="54"/>
      <c r="Y150" s="54"/>
      <c r="Z150" s="54"/>
      <c r="AA150" s="54"/>
      <c r="AB150" s="54"/>
      <c r="AE150" s="54"/>
      <c r="AF150" s="54"/>
      <c r="AG150" s="54"/>
      <c r="AH150" s="54"/>
      <c r="AI150" s="54"/>
      <c r="AJ150" s="54"/>
      <c r="AW150" s="18">
        <f t="shared" ref="AW150:AW213" si="9">LEN(L150)</f>
        <v>0</v>
      </c>
    </row>
    <row r="151" spans="10:49" ht="15">
      <c r="J151" s="687"/>
      <c r="K151" s="54"/>
      <c r="L151" s="687"/>
      <c r="M151" s="554"/>
      <c r="N151" s="68"/>
      <c r="O151" s="68"/>
      <c r="P151" s="68"/>
      <c r="Q151" s="68"/>
      <c r="R151" s="68"/>
      <c r="S151" s="68"/>
      <c r="T151" s="68"/>
      <c r="U151" s="161"/>
      <c r="V151" s="54"/>
      <c r="W151" s="54"/>
      <c r="X151" s="54"/>
      <c r="Y151" s="54"/>
      <c r="Z151" s="54"/>
      <c r="AA151" s="54"/>
      <c r="AB151" s="54"/>
      <c r="AE151" s="54"/>
      <c r="AF151" s="54"/>
      <c r="AG151" s="54"/>
      <c r="AH151" s="54"/>
      <c r="AI151" s="54"/>
      <c r="AJ151" s="54"/>
      <c r="AW151" s="18">
        <f t="shared" si="9"/>
        <v>0</v>
      </c>
    </row>
    <row r="152" spans="10:49" ht="15">
      <c r="J152" s="687"/>
      <c r="K152" s="54"/>
      <c r="L152" s="687"/>
      <c r="M152" s="554"/>
      <c r="N152" s="68"/>
      <c r="O152" s="68"/>
      <c r="P152" s="68"/>
      <c r="Q152" s="68"/>
      <c r="R152" s="68"/>
      <c r="S152" s="68"/>
      <c r="T152" s="68"/>
      <c r="U152" s="161"/>
      <c r="V152" s="54"/>
      <c r="W152" s="54"/>
      <c r="X152" s="54"/>
      <c r="Y152" s="54"/>
      <c r="Z152" s="54"/>
      <c r="AA152" s="54"/>
      <c r="AB152" s="54"/>
      <c r="AE152" s="54"/>
      <c r="AF152" s="54"/>
      <c r="AG152" s="54"/>
      <c r="AH152" s="54"/>
      <c r="AI152" s="54"/>
      <c r="AJ152" s="54"/>
      <c r="AW152" s="18">
        <f t="shared" si="9"/>
        <v>0</v>
      </c>
    </row>
    <row r="153" spans="10:49" ht="15">
      <c r="J153" s="687"/>
      <c r="K153" s="54"/>
      <c r="L153" s="687"/>
      <c r="M153" s="554"/>
      <c r="N153" s="68"/>
      <c r="O153" s="68"/>
      <c r="P153" s="68"/>
      <c r="Q153" s="68"/>
      <c r="R153" s="68"/>
      <c r="S153" s="68"/>
      <c r="T153" s="68"/>
      <c r="U153" s="161"/>
      <c r="V153" s="54"/>
      <c r="W153" s="54"/>
      <c r="X153" s="54"/>
      <c r="Y153" s="54"/>
      <c r="Z153" s="54"/>
      <c r="AA153" s="54"/>
      <c r="AB153" s="54"/>
      <c r="AE153" s="54"/>
      <c r="AF153" s="54"/>
      <c r="AG153" s="54"/>
      <c r="AH153" s="54"/>
      <c r="AI153" s="54"/>
      <c r="AJ153" s="54"/>
      <c r="AW153" s="18">
        <f t="shared" si="9"/>
        <v>0</v>
      </c>
    </row>
    <row r="154" spans="10:49" ht="15">
      <c r="J154" s="687"/>
      <c r="K154" s="54"/>
      <c r="L154" s="687"/>
      <c r="M154" s="554"/>
      <c r="N154" s="68"/>
      <c r="O154" s="68"/>
      <c r="P154" s="68"/>
      <c r="Q154" s="68"/>
      <c r="R154" s="68"/>
      <c r="S154" s="68"/>
      <c r="T154" s="68"/>
      <c r="U154" s="161"/>
      <c r="V154" s="54"/>
      <c r="W154" s="54"/>
      <c r="X154" s="54"/>
      <c r="Y154" s="54"/>
      <c r="Z154" s="54"/>
      <c r="AA154" s="54"/>
      <c r="AB154" s="54"/>
      <c r="AE154" s="54"/>
      <c r="AF154" s="54"/>
      <c r="AG154" s="54"/>
      <c r="AH154" s="54"/>
      <c r="AI154" s="54"/>
      <c r="AJ154" s="54"/>
      <c r="AW154" s="18">
        <f t="shared" si="9"/>
        <v>0</v>
      </c>
    </row>
    <row r="155" spans="10:49" ht="15">
      <c r="J155" s="687"/>
      <c r="K155" s="54"/>
      <c r="L155" s="687"/>
      <c r="M155" s="554"/>
      <c r="N155" s="68"/>
      <c r="O155" s="68"/>
      <c r="P155" s="68"/>
      <c r="Q155" s="68"/>
      <c r="R155" s="68"/>
      <c r="S155" s="68"/>
      <c r="T155" s="68"/>
      <c r="U155" s="161"/>
      <c r="V155" s="54"/>
      <c r="W155" s="54"/>
      <c r="X155" s="54"/>
      <c r="Y155" s="54"/>
      <c r="Z155" s="54"/>
      <c r="AA155" s="54"/>
      <c r="AB155" s="54"/>
      <c r="AE155" s="54"/>
      <c r="AF155" s="54"/>
      <c r="AG155" s="54"/>
      <c r="AH155" s="54"/>
      <c r="AI155" s="54"/>
      <c r="AJ155" s="54"/>
      <c r="AW155" s="18">
        <f t="shared" si="9"/>
        <v>0</v>
      </c>
    </row>
    <row r="156" spans="10:49" ht="15">
      <c r="J156" s="687"/>
      <c r="K156" s="54"/>
      <c r="L156" s="687"/>
      <c r="M156" s="554"/>
      <c r="N156" s="68"/>
      <c r="O156" s="68"/>
      <c r="P156" s="68"/>
      <c r="Q156" s="68"/>
      <c r="R156" s="68"/>
      <c r="S156" s="68"/>
      <c r="T156" s="68"/>
      <c r="U156" s="161"/>
      <c r="V156" s="54"/>
      <c r="W156" s="54"/>
      <c r="X156" s="54"/>
      <c r="Y156" s="54"/>
      <c r="Z156" s="54"/>
      <c r="AA156" s="54"/>
      <c r="AB156" s="54"/>
      <c r="AE156" s="54"/>
      <c r="AF156" s="54"/>
      <c r="AG156" s="54"/>
      <c r="AH156" s="54"/>
      <c r="AI156" s="54"/>
      <c r="AJ156" s="54"/>
      <c r="AW156" s="18">
        <f t="shared" si="9"/>
        <v>0</v>
      </c>
    </row>
    <row r="157" spans="10:49" ht="15">
      <c r="J157" s="687"/>
      <c r="K157" s="54"/>
      <c r="L157" s="687"/>
      <c r="M157" s="554"/>
      <c r="N157" s="68"/>
      <c r="O157" s="68"/>
      <c r="P157" s="68"/>
      <c r="Q157" s="68"/>
      <c r="R157" s="68"/>
      <c r="S157" s="68"/>
      <c r="T157" s="68"/>
      <c r="U157" s="161"/>
      <c r="V157" s="54"/>
      <c r="W157" s="54"/>
      <c r="X157" s="54"/>
      <c r="Y157" s="54"/>
      <c r="Z157" s="54"/>
      <c r="AA157" s="54"/>
      <c r="AB157" s="54"/>
      <c r="AE157" s="54"/>
      <c r="AF157" s="54"/>
      <c r="AG157" s="54"/>
      <c r="AH157" s="54"/>
      <c r="AI157" s="54"/>
      <c r="AJ157" s="54"/>
      <c r="AW157" s="18">
        <f t="shared" si="9"/>
        <v>0</v>
      </c>
    </row>
    <row r="158" spans="10:49" ht="15">
      <c r="J158" s="687"/>
      <c r="K158" s="54"/>
      <c r="L158" s="687"/>
      <c r="M158" s="554"/>
      <c r="N158" s="68"/>
      <c r="O158" s="68"/>
      <c r="P158" s="68"/>
      <c r="Q158" s="68"/>
      <c r="R158" s="68"/>
      <c r="S158" s="68"/>
      <c r="T158" s="68"/>
      <c r="U158" s="161"/>
      <c r="V158" s="54"/>
      <c r="W158" s="54"/>
      <c r="X158" s="54"/>
      <c r="Y158" s="54"/>
      <c r="Z158" s="54"/>
      <c r="AA158" s="54"/>
      <c r="AB158" s="54"/>
      <c r="AE158" s="54"/>
      <c r="AF158" s="54"/>
      <c r="AG158" s="54"/>
      <c r="AH158" s="54"/>
      <c r="AI158" s="54"/>
      <c r="AJ158" s="54"/>
      <c r="AW158" s="18">
        <f t="shared" si="9"/>
        <v>0</v>
      </c>
    </row>
    <row r="159" spans="10:49" ht="15">
      <c r="J159" s="687"/>
      <c r="K159" s="54"/>
      <c r="L159" s="687"/>
      <c r="M159" s="554"/>
      <c r="N159" s="68"/>
      <c r="O159" s="68"/>
      <c r="P159" s="68"/>
      <c r="Q159" s="68"/>
      <c r="R159" s="68"/>
      <c r="S159" s="68"/>
      <c r="T159" s="68"/>
      <c r="U159" s="161"/>
      <c r="V159" s="54"/>
      <c r="W159" s="54"/>
      <c r="X159" s="54"/>
      <c r="Y159" s="54"/>
      <c r="Z159" s="54"/>
      <c r="AA159" s="54"/>
      <c r="AB159" s="54"/>
      <c r="AE159" s="54"/>
      <c r="AF159" s="54"/>
      <c r="AG159" s="54"/>
      <c r="AH159" s="54"/>
      <c r="AI159" s="54"/>
      <c r="AJ159" s="54"/>
      <c r="AW159" s="18">
        <f t="shared" si="9"/>
        <v>0</v>
      </c>
    </row>
    <row r="160" spans="10:49" ht="15">
      <c r="J160" s="687"/>
      <c r="K160" s="54"/>
      <c r="L160" s="687"/>
      <c r="M160" s="554"/>
      <c r="N160" s="68"/>
      <c r="O160" s="68"/>
      <c r="P160" s="68"/>
      <c r="Q160" s="68"/>
      <c r="R160" s="68"/>
      <c r="S160" s="68"/>
      <c r="T160" s="68"/>
      <c r="U160" s="161"/>
      <c r="V160" s="54"/>
      <c r="W160" s="54"/>
      <c r="X160" s="54"/>
      <c r="Y160" s="54"/>
      <c r="Z160" s="54"/>
      <c r="AA160" s="54"/>
      <c r="AB160" s="54"/>
      <c r="AE160" s="54"/>
      <c r="AF160" s="54"/>
      <c r="AG160" s="54"/>
      <c r="AH160" s="54"/>
      <c r="AI160" s="54"/>
      <c r="AJ160" s="54"/>
      <c r="AW160" s="18">
        <f t="shared" si="9"/>
        <v>0</v>
      </c>
    </row>
    <row r="161" spans="10:49" ht="15">
      <c r="J161" s="687"/>
      <c r="K161" s="54"/>
      <c r="L161" s="687"/>
      <c r="M161" s="554"/>
      <c r="N161" s="68"/>
      <c r="O161" s="68"/>
      <c r="P161" s="68"/>
      <c r="Q161" s="68"/>
      <c r="R161" s="68"/>
      <c r="S161" s="68"/>
      <c r="T161" s="68"/>
      <c r="U161" s="161"/>
      <c r="V161" s="54"/>
      <c r="W161" s="54"/>
      <c r="X161" s="54"/>
      <c r="Y161" s="54"/>
      <c r="Z161" s="54"/>
      <c r="AA161" s="54"/>
      <c r="AB161" s="54"/>
      <c r="AE161" s="54"/>
      <c r="AF161" s="54"/>
      <c r="AG161" s="54"/>
      <c r="AH161" s="54"/>
      <c r="AI161" s="54"/>
      <c r="AJ161" s="54"/>
      <c r="AW161" s="18">
        <f t="shared" si="9"/>
        <v>0</v>
      </c>
    </row>
    <row r="162" spans="10:49" ht="15">
      <c r="J162" s="687"/>
      <c r="K162" s="54"/>
      <c r="L162" s="687"/>
      <c r="M162" s="554"/>
      <c r="N162" s="68"/>
      <c r="O162" s="68"/>
      <c r="P162" s="68"/>
      <c r="Q162" s="68"/>
      <c r="R162" s="68"/>
      <c r="S162" s="68"/>
      <c r="T162" s="68"/>
      <c r="U162" s="161"/>
      <c r="V162" s="54"/>
      <c r="W162" s="54"/>
      <c r="X162" s="54"/>
      <c r="Y162" s="54"/>
      <c r="Z162" s="54"/>
      <c r="AA162" s="54"/>
      <c r="AB162" s="54"/>
      <c r="AE162" s="54"/>
      <c r="AF162" s="54"/>
      <c r="AG162" s="54"/>
      <c r="AH162" s="54"/>
      <c r="AI162" s="54"/>
      <c r="AJ162" s="54"/>
      <c r="AW162" s="18">
        <f t="shared" si="9"/>
        <v>0</v>
      </c>
    </row>
    <row r="163" spans="10:49" ht="15">
      <c r="J163" s="687"/>
      <c r="K163" s="54"/>
      <c r="L163" s="687"/>
      <c r="M163" s="554"/>
      <c r="N163" s="68"/>
      <c r="O163" s="68"/>
      <c r="P163" s="68"/>
      <c r="Q163" s="68"/>
      <c r="R163" s="68"/>
      <c r="S163" s="68"/>
      <c r="T163" s="68"/>
      <c r="U163" s="161"/>
      <c r="V163" s="54"/>
      <c r="W163" s="54"/>
      <c r="X163" s="54"/>
      <c r="Y163" s="54"/>
      <c r="Z163" s="54"/>
      <c r="AA163" s="54"/>
      <c r="AB163" s="54"/>
      <c r="AE163" s="54"/>
      <c r="AF163" s="54"/>
      <c r="AG163" s="54"/>
      <c r="AH163" s="54"/>
      <c r="AI163" s="54"/>
      <c r="AJ163" s="54"/>
      <c r="AW163" s="18">
        <f t="shared" si="9"/>
        <v>0</v>
      </c>
    </row>
    <row r="164" spans="10:49" ht="15">
      <c r="J164" s="687"/>
      <c r="K164" s="54"/>
      <c r="L164" s="687"/>
      <c r="M164" s="554"/>
      <c r="N164" s="68"/>
      <c r="O164" s="68"/>
      <c r="P164" s="68"/>
      <c r="Q164" s="68"/>
      <c r="R164" s="68"/>
      <c r="S164" s="68"/>
      <c r="T164" s="68"/>
      <c r="U164" s="161"/>
      <c r="V164" s="54"/>
      <c r="W164" s="54"/>
      <c r="X164" s="54"/>
      <c r="Y164" s="54"/>
      <c r="Z164" s="54"/>
      <c r="AA164" s="54"/>
      <c r="AB164" s="54"/>
      <c r="AE164" s="54"/>
      <c r="AF164" s="54"/>
      <c r="AG164" s="54"/>
      <c r="AH164" s="54"/>
      <c r="AI164" s="54"/>
      <c r="AJ164" s="54"/>
      <c r="AW164" s="18">
        <f t="shared" si="9"/>
        <v>0</v>
      </c>
    </row>
    <row r="165" spans="10:49" ht="15">
      <c r="J165" s="687"/>
      <c r="K165" s="54"/>
      <c r="L165" s="687"/>
      <c r="M165" s="554"/>
      <c r="N165" s="68"/>
      <c r="O165" s="68"/>
      <c r="P165" s="68"/>
      <c r="Q165" s="68"/>
      <c r="R165" s="68"/>
      <c r="S165" s="68"/>
      <c r="T165" s="68"/>
      <c r="U165" s="161"/>
      <c r="V165" s="54"/>
      <c r="W165" s="54"/>
      <c r="X165" s="54"/>
      <c r="Y165" s="54"/>
      <c r="Z165" s="54"/>
      <c r="AA165" s="54"/>
      <c r="AB165" s="54"/>
      <c r="AE165" s="54"/>
      <c r="AF165" s="54"/>
      <c r="AG165" s="54"/>
      <c r="AH165" s="54"/>
      <c r="AI165" s="54"/>
      <c r="AJ165" s="54"/>
      <c r="AW165" s="18">
        <f t="shared" si="9"/>
        <v>0</v>
      </c>
    </row>
    <row r="166" spans="10:49" ht="15">
      <c r="J166" s="687"/>
      <c r="K166" s="54"/>
      <c r="L166" s="687"/>
      <c r="M166" s="554"/>
      <c r="N166" s="68"/>
      <c r="O166" s="68"/>
      <c r="P166" s="68"/>
      <c r="Q166" s="68"/>
      <c r="R166" s="68"/>
      <c r="S166" s="68"/>
      <c r="T166" s="68"/>
      <c r="U166" s="161"/>
      <c r="V166" s="54"/>
      <c r="W166" s="54"/>
      <c r="X166" s="54"/>
      <c r="Y166" s="54"/>
      <c r="Z166" s="54"/>
      <c r="AA166" s="54"/>
      <c r="AB166" s="54"/>
      <c r="AE166" s="54"/>
      <c r="AF166" s="54"/>
      <c r="AG166" s="54"/>
      <c r="AH166" s="54"/>
      <c r="AI166" s="54"/>
      <c r="AJ166" s="54"/>
      <c r="AW166" s="18">
        <f t="shared" si="9"/>
        <v>0</v>
      </c>
    </row>
    <row r="167" spans="10:49" ht="15">
      <c r="J167" s="687"/>
      <c r="K167" s="54"/>
      <c r="L167" s="687"/>
      <c r="M167" s="554"/>
      <c r="N167" s="68"/>
      <c r="O167" s="68"/>
      <c r="P167" s="68"/>
      <c r="Q167" s="68"/>
      <c r="R167" s="68"/>
      <c r="S167" s="68"/>
      <c r="T167" s="68"/>
      <c r="U167" s="161"/>
      <c r="V167" s="54"/>
      <c r="W167" s="54"/>
      <c r="X167" s="54"/>
      <c r="Y167" s="54"/>
      <c r="Z167" s="54"/>
      <c r="AA167" s="54"/>
      <c r="AB167" s="54"/>
      <c r="AE167" s="54"/>
      <c r="AF167" s="54"/>
      <c r="AG167" s="54"/>
      <c r="AH167" s="54"/>
      <c r="AI167" s="54"/>
      <c r="AJ167" s="54"/>
      <c r="AW167" s="18">
        <f t="shared" si="9"/>
        <v>0</v>
      </c>
    </row>
    <row r="168" spans="10:49" ht="15">
      <c r="J168" s="687"/>
      <c r="K168" s="54"/>
      <c r="L168" s="687"/>
      <c r="M168" s="554"/>
      <c r="N168" s="68"/>
      <c r="O168" s="68"/>
      <c r="P168" s="68"/>
      <c r="Q168" s="68"/>
      <c r="R168" s="68"/>
      <c r="S168" s="68"/>
      <c r="T168" s="68"/>
      <c r="U168" s="161"/>
      <c r="V168" s="54"/>
      <c r="W168" s="54"/>
      <c r="X168" s="54"/>
      <c r="Y168" s="54"/>
      <c r="Z168" s="54"/>
      <c r="AA168" s="54"/>
      <c r="AB168" s="54"/>
      <c r="AE168" s="54"/>
      <c r="AF168" s="54"/>
      <c r="AG168" s="54"/>
      <c r="AH168" s="54"/>
      <c r="AI168" s="54"/>
      <c r="AJ168" s="54"/>
      <c r="AW168" s="18">
        <f t="shared" si="9"/>
        <v>0</v>
      </c>
    </row>
    <row r="169" spans="10:49" ht="15">
      <c r="J169" s="687"/>
      <c r="K169" s="54"/>
      <c r="L169" s="687"/>
      <c r="M169" s="554"/>
      <c r="N169" s="68"/>
      <c r="O169" s="68"/>
      <c r="P169" s="68"/>
      <c r="Q169" s="68"/>
      <c r="R169" s="68"/>
      <c r="S169" s="68"/>
      <c r="T169" s="68"/>
      <c r="U169" s="161"/>
      <c r="V169" s="54"/>
      <c r="W169" s="54"/>
      <c r="X169" s="54"/>
      <c r="Y169" s="54"/>
      <c r="Z169" s="54"/>
      <c r="AA169" s="54"/>
      <c r="AB169" s="54"/>
      <c r="AE169" s="54"/>
      <c r="AF169" s="54"/>
      <c r="AG169" s="54"/>
      <c r="AH169" s="54"/>
      <c r="AI169" s="54"/>
      <c r="AJ169" s="54"/>
      <c r="AW169" s="18">
        <f t="shared" si="9"/>
        <v>0</v>
      </c>
    </row>
    <row r="170" spans="10:49" ht="15">
      <c r="J170" s="687"/>
      <c r="K170" s="54"/>
      <c r="L170" s="687"/>
      <c r="M170" s="554"/>
      <c r="N170" s="68"/>
      <c r="O170" s="68"/>
      <c r="P170" s="68"/>
      <c r="Q170" s="68"/>
      <c r="R170" s="68"/>
      <c r="S170" s="68"/>
      <c r="T170" s="68"/>
      <c r="U170" s="161"/>
      <c r="V170" s="54"/>
      <c r="W170" s="54"/>
      <c r="X170" s="54"/>
      <c r="Y170" s="54"/>
      <c r="Z170" s="54"/>
      <c r="AA170" s="54"/>
      <c r="AB170" s="54"/>
      <c r="AE170" s="54"/>
      <c r="AF170" s="54"/>
      <c r="AG170" s="54"/>
      <c r="AH170" s="54"/>
      <c r="AI170" s="54"/>
      <c r="AJ170" s="54"/>
      <c r="AW170" s="18">
        <f t="shared" si="9"/>
        <v>0</v>
      </c>
    </row>
    <row r="171" spans="10:49" ht="15">
      <c r="J171" s="687"/>
      <c r="K171" s="54"/>
      <c r="L171" s="687"/>
      <c r="M171" s="554"/>
      <c r="N171" s="68"/>
      <c r="O171" s="68"/>
      <c r="P171" s="68"/>
      <c r="Q171" s="68"/>
      <c r="R171" s="68"/>
      <c r="S171" s="68"/>
      <c r="T171" s="68"/>
      <c r="U171" s="161"/>
      <c r="V171" s="54"/>
      <c r="W171" s="54"/>
      <c r="X171" s="54"/>
      <c r="Y171" s="54"/>
      <c r="Z171" s="54"/>
      <c r="AA171" s="54"/>
      <c r="AB171" s="54"/>
      <c r="AE171" s="54"/>
      <c r="AF171" s="54"/>
      <c r="AG171" s="54"/>
      <c r="AH171" s="54"/>
      <c r="AI171" s="54"/>
      <c r="AJ171" s="54"/>
      <c r="AW171" s="18">
        <f t="shared" si="9"/>
        <v>0</v>
      </c>
    </row>
    <row r="172" spans="10:49" ht="15">
      <c r="J172" s="687"/>
      <c r="K172" s="54"/>
      <c r="L172" s="687"/>
      <c r="M172" s="554"/>
      <c r="N172" s="68"/>
      <c r="O172" s="68"/>
      <c r="P172" s="68"/>
      <c r="Q172" s="68"/>
      <c r="R172" s="68"/>
      <c r="S172" s="68"/>
      <c r="T172" s="68"/>
      <c r="U172" s="161"/>
      <c r="V172" s="54"/>
      <c r="W172" s="54"/>
      <c r="X172" s="54"/>
      <c r="Y172" s="54"/>
      <c r="Z172" s="54"/>
      <c r="AA172" s="54"/>
      <c r="AB172" s="54"/>
      <c r="AE172" s="54"/>
      <c r="AF172" s="54"/>
      <c r="AG172" s="54"/>
      <c r="AH172" s="54"/>
      <c r="AI172" s="54"/>
      <c r="AJ172" s="54"/>
      <c r="AW172" s="18">
        <f t="shared" si="9"/>
        <v>0</v>
      </c>
    </row>
    <row r="173" spans="10:49" ht="15">
      <c r="J173" s="687"/>
      <c r="K173" s="54"/>
      <c r="L173" s="687"/>
      <c r="M173" s="554"/>
      <c r="N173" s="68"/>
      <c r="O173" s="68"/>
      <c r="P173" s="68"/>
      <c r="Q173" s="68"/>
      <c r="R173" s="68"/>
      <c r="S173" s="68"/>
      <c r="T173" s="68"/>
      <c r="U173" s="161"/>
      <c r="V173" s="54"/>
      <c r="W173" s="54"/>
      <c r="X173" s="54"/>
      <c r="Y173" s="54"/>
      <c r="Z173" s="54"/>
      <c r="AA173" s="54"/>
      <c r="AB173" s="54"/>
      <c r="AE173" s="54"/>
      <c r="AF173" s="54"/>
      <c r="AG173" s="54"/>
      <c r="AH173" s="54"/>
      <c r="AI173" s="54"/>
      <c r="AJ173" s="54"/>
      <c r="AW173" s="18">
        <f t="shared" si="9"/>
        <v>0</v>
      </c>
    </row>
    <row r="174" spans="10:49" ht="15">
      <c r="J174" s="687"/>
      <c r="K174" s="54"/>
      <c r="L174" s="687"/>
      <c r="M174" s="554"/>
      <c r="N174" s="68"/>
      <c r="O174" s="68"/>
      <c r="P174" s="68"/>
      <c r="Q174" s="68"/>
      <c r="R174" s="68"/>
      <c r="S174" s="68"/>
      <c r="T174" s="68"/>
      <c r="U174" s="161"/>
      <c r="V174" s="54"/>
      <c r="W174" s="54"/>
      <c r="X174" s="54"/>
      <c r="Y174" s="54"/>
      <c r="Z174" s="54"/>
      <c r="AA174" s="54"/>
      <c r="AB174" s="54"/>
      <c r="AE174" s="54"/>
      <c r="AF174" s="54"/>
      <c r="AG174" s="54"/>
      <c r="AH174" s="54"/>
      <c r="AI174" s="54"/>
      <c r="AJ174" s="54"/>
      <c r="AW174" s="18">
        <f t="shared" si="9"/>
        <v>0</v>
      </c>
    </row>
    <row r="175" spans="10:49" ht="15">
      <c r="J175" s="687"/>
      <c r="K175" s="54"/>
      <c r="L175" s="687"/>
      <c r="M175" s="554"/>
      <c r="N175" s="68"/>
      <c r="O175" s="68"/>
      <c r="P175" s="68"/>
      <c r="Q175" s="68"/>
      <c r="R175" s="68"/>
      <c r="S175" s="68"/>
      <c r="T175" s="68"/>
      <c r="U175" s="161"/>
      <c r="V175" s="54"/>
      <c r="W175" s="54"/>
      <c r="X175" s="54"/>
      <c r="Y175" s="54"/>
      <c r="Z175" s="54"/>
      <c r="AA175" s="54"/>
      <c r="AB175" s="54"/>
      <c r="AE175" s="54"/>
      <c r="AF175" s="54"/>
      <c r="AG175" s="54"/>
      <c r="AH175" s="54"/>
      <c r="AI175" s="54"/>
      <c r="AJ175" s="54"/>
      <c r="AW175" s="18">
        <f t="shared" si="9"/>
        <v>0</v>
      </c>
    </row>
    <row r="176" spans="10:49" ht="15">
      <c r="J176" s="687"/>
      <c r="K176" s="54"/>
      <c r="L176" s="687"/>
      <c r="M176" s="554"/>
      <c r="N176" s="68"/>
      <c r="O176" s="68"/>
      <c r="P176" s="68"/>
      <c r="Q176" s="68"/>
      <c r="R176" s="68"/>
      <c r="S176" s="68"/>
      <c r="T176" s="68"/>
      <c r="U176" s="161"/>
      <c r="V176" s="54"/>
      <c r="W176" s="54"/>
      <c r="X176" s="54"/>
      <c r="Y176" s="54"/>
      <c r="Z176" s="54"/>
      <c r="AA176" s="54"/>
      <c r="AB176" s="54"/>
      <c r="AE176" s="54"/>
      <c r="AF176" s="54"/>
      <c r="AG176" s="54"/>
      <c r="AH176" s="54"/>
      <c r="AI176" s="54"/>
      <c r="AJ176" s="54"/>
      <c r="AW176" s="18">
        <f t="shared" si="9"/>
        <v>0</v>
      </c>
    </row>
    <row r="177" spans="10:49" ht="15">
      <c r="J177" s="687"/>
      <c r="K177" s="54"/>
      <c r="L177" s="687"/>
      <c r="M177" s="554"/>
      <c r="N177" s="68"/>
      <c r="O177" s="68"/>
      <c r="P177" s="68"/>
      <c r="Q177" s="68"/>
      <c r="R177" s="68"/>
      <c r="S177" s="68"/>
      <c r="T177" s="68"/>
      <c r="U177" s="161"/>
      <c r="V177" s="54"/>
      <c r="W177" s="54"/>
      <c r="X177" s="54"/>
      <c r="Y177" s="54"/>
      <c r="Z177" s="54"/>
      <c r="AA177" s="54"/>
      <c r="AB177" s="54"/>
      <c r="AE177" s="54"/>
      <c r="AF177" s="54"/>
      <c r="AG177" s="54"/>
      <c r="AH177" s="54"/>
      <c r="AI177" s="54"/>
      <c r="AJ177" s="54"/>
      <c r="AW177" s="18">
        <f t="shared" si="9"/>
        <v>0</v>
      </c>
    </row>
    <row r="178" spans="10:49" ht="15">
      <c r="J178" s="687"/>
      <c r="K178" s="54"/>
      <c r="L178" s="687"/>
      <c r="M178" s="554"/>
      <c r="N178" s="68"/>
      <c r="O178" s="68"/>
      <c r="P178" s="68"/>
      <c r="Q178" s="68"/>
      <c r="R178" s="68"/>
      <c r="S178" s="68"/>
      <c r="T178" s="68"/>
      <c r="U178" s="161"/>
      <c r="V178" s="54"/>
      <c r="W178" s="54"/>
      <c r="X178" s="54"/>
      <c r="Y178" s="54"/>
      <c r="Z178" s="54"/>
      <c r="AA178" s="54"/>
      <c r="AB178" s="54"/>
      <c r="AE178" s="54"/>
      <c r="AF178" s="54"/>
      <c r="AG178" s="54"/>
      <c r="AH178" s="54"/>
      <c r="AI178" s="54"/>
      <c r="AJ178" s="54"/>
      <c r="AW178" s="18">
        <f t="shared" si="9"/>
        <v>0</v>
      </c>
    </row>
    <row r="179" spans="10:49" ht="15">
      <c r="J179" s="687"/>
      <c r="K179" s="54"/>
      <c r="L179" s="687"/>
      <c r="M179" s="554"/>
      <c r="N179" s="68"/>
      <c r="O179" s="68"/>
      <c r="P179" s="68"/>
      <c r="Q179" s="68"/>
      <c r="R179" s="68"/>
      <c r="S179" s="68"/>
      <c r="T179" s="68"/>
      <c r="U179" s="161"/>
      <c r="V179" s="54"/>
      <c r="W179" s="54"/>
      <c r="X179" s="54"/>
      <c r="Y179" s="54"/>
      <c r="Z179" s="54"/>
      <c r="AA179" s="54"/>
      <c r="AB179" s="54"/>
      <c r="AE179" s="54"/>
      <c r="AF179" s="54"/>
      <c r="AG179" s="54"/>
      <c r="AH179" s="54"/>
      <c r="AI179" s="54"/>
      <c r="AJ179" s="54"/>
      <c r="AW179" s="18">
        <f t="shared" si="9"/>
        <v>0</v>
      </c>
    </row>
    <row r="180" spans="10:49" ht="15">
      <c r="J180" s="687"/>
      <c r="K180" s="54"/>
      <c r="L180" s="687"/>
      <c r="M180" s="554"/>
      <c r="N180" s="68"/>
      <c r="O180" s="68"/>
      <c r="P180" s="68"/>
      <c r="Q180" s="68"/>
      <c r="R180" s="68"/>
      <c r="S180" s="68"/>
      <c r="T180" s="68"/>
      <c r="U180" s="161"/>
      <c r="V180" s="54"/>
      <c r="W180" s="54"/>
      <c r="X180" s="54"/>
      <c r="Y180" s="54"/>
      <c r="Z180" s="54"/>
      <c r="AA180" s="54"/>
      <c r="AB180" s="54"/>
      <c r="AE180" s="54"/>
      <c r="AF180" s="54"/>
      <c r="AG180" s="54"/>
      <c r="AH180" s="54"/>
      <c r="AI180" s="54"/>
      <c r="AJ180" s="54"/>
      <c r="AW180" s="18">
        <f t="shared" si="9"/>
        <v>0</v>
      </c>
    </row>
    <row r="181" spans="10:49" ht="15">
      <c r="J181" s="687"/>
      <c r="K181" s="54"/>
      <c r="L181" s="687"/>
      <c r="M181" s="554"/>
      <c r="N181" s="68"/>
      <c r="O181" s="68"/>
      <c r="P181" s="68"/>
      <c r="Q181" s="68"/>
      <c r="R181" s="68"/>
      <c r="S181" s="68"/>
      <c r="T181" s="68"/>
      <c r="U181" s="161"/>
      <c r="V181" s="54"/>
      <c r="W181" s="54"/>
      <c r="X181" s="54"/>
      <c r="Y181" s="54"/>
      <c r="Z181" s="54"/>
      <c r="AA181" s="54"/>
      <c r="AB181" s="54"/>
      <c r="AE181" s="54"/>
      <c r="AF181" s="54"/>
      <c r="AG181" s="54"/>
      <c r="AH181" s="54"/>
      <c r="AI181" s="54"/>
      <c r="AJ181" s="54"/>
      <c r="AW181" s="18">
        <f t="shared" si="9"/>
        <v>0</v>
      </c>
    </row>
    <row r="182" spans="10:49" ht="15">
      <c r="J182" s="687"/>
      <c r="K182" s="54"/>
      <c r="L182" s="687"/>
      <c r="M182" s="554"/>
      <c r="N182" s="68"/>
      <c r="O182" s="68"/>
      <c r="P182" s="68"/>
      <c r="Q182" s="68"/>
      <c r="R182" s="68"/>
      <c r="S182" s="68"/>
      <c r="T182" s="68"/>
      <c r="U182" s="161"/>
      <c r="V182" s="54"/>
      <c r="W182" s="54"/>
      <c r="X182" s="54"/>
      <c r="Y182" s="54"/>
      <c r="Z182" s="54"/>
      <c r="AA182" s="54"/>
      <c r="AB182" s="54"/>
      <c r="AE182" s="54"/>
      <c r="AF182" s="54"/>
      <c r="AG182" s="54"/>
      <c r="AH182" s="54"/>
      <c r="AI182" s="54"/>
      <c r="AJ182" s="54"/>
      <c r="AW182" s="18">
        <f t="shared" si="9"/>
        <v>0</v>
      </c>
    </row>
    <row r="183" spans="10:49" ht="15">
      <c r="J183" s="687"/>
      <c r="K183" s="54"/>
      <c r="L183" s="687"/>
      <c r="M183" s="554"/>
      <c r="N183" s="68"/>
      <c r="O183" s="68"/>
      <c r="P183" s="68"/>
      <c r="Q183" s="68"/>
      <c r="R183" s="68"/>
      <c r="S183" s="68"/>
      <c r="T183" s="68"/>
      <c r="U183" s="161"/>
      <c r="V183" s="54"/>
      <c r="W183" s="54"/>
      <c r="X183" s="54"/>
      <c r="Y183" s="54"/>
      <c r="Z183" s="54"/>
      <c r="AA183" s="54"/>
      <c r="AB183" s="54"/>
      <c r="AE183" s="54"/>
      <c r="AF183" s="54"/>
      <c r="AG183" s="54"/>
      <c r="AH183" s="54"/>
      <c r="AI183" s="54"/>
      <c r="AJ183" s="54"/>
      <c r="AW183" s="18">
        <f t="shared" si="9"/>
        <v>0</v>
      </c>
    </row>
    <row r="184" spans="10:49" ht="15">
      <c r="J184" s="687"/>
      <c r="K184" s="54"/>
      <c r="L184" s="687"/>
      <c r="M184" s="554"/>
      <c r="N184" s="68"/>
      <c r="O184" s="68"/>
      <c r="P184" s="68"/>
      <c r="Q184" s="68"/>
      <c r="R184" s="68"/>
      <c r="S184" s="68"/>
      <c r="T184" s="68"/>
      <c r="U184" s="161"/>
      <c r="V184" s="54"/>
      <c r="W184" s="54"/>
      <c r="X184" s="54"/>
      <c r="Y184" s="54"/>
      <c r="Z184" s="54"/>
      <c r="AA184" s="54"/>
      <c r="AB184" s="54"/>
      <c r="AE184" s="54"/>
      <c r="AF184" s="54"/>
      <c r="AG184" s="54"/>
      <c r="AH184" s="54"/>
      <c r="AI184" s="54"/>
      <c r="AJ184" s="54"/>
      <c r="AW184" s="18">
        <f t="shared" si="9"/>
        <v>0</v>
      </c>
    </row>
    <row r="185" spans="10:49" ht="15">
      <c r="J185" s="687"/>
      <c r="K185" s="54"/>
      <c r="L185" s="687"/>
      <c r="M185" s="554"/>
      <c r="N185" s="68"/>
      <c r="O185" s="68"/>
      <c r="P185" s="68"/>
      <c r="Q185" s="68"/>
      <c r="R185" s="68"/>
      <c r="S185" s="68"/>
      <c r="T185" s="68"/>
      <c r="U185" s="161"/>
      <c r="V185" s="54"/>
      <c r="W185" s="54"/>
      <c r="X185" s="54"/>
      <c r="Y185" s="54"/>
      <c r="Z185" s="54"/>
      <c r="AA185" s="54"/>
      <c r="AB185" s="54"/>
      <c r="AE185" s="54"/>
      <c r="AF185" s="54"/>
      <c r="AG185" s="54"/>
      <c r="AH185" s="54"/>
      <c r="AI185" s="54"/>
      <c r="AJ185" s="54"/>
      <c r="AW185" s="18">
        <f t="shared" si="9"/>
        <v>0</v>
      </c>
    </row>
    <row r="186" spans="10:49" ht="15">
      <c r="J186" s="687"/>
      <c r="K186" s="54"/>
      <c r="L186" s="687"/>
      <c r="M186" s="554"/>
      <c r="N186" s="68"/>
      <c r="O186" s="68"/>
      <c r="P186" s="68"/>
      <c r="Q186" s="68"/>
      <c r="R186" s="68"/>
      <c r="S186" s="68"/>
      <c r="T186" s="68"/>
      <c r="U186" s="161"/>
      <c r="V186" s="54"/>
      <c r="W186" s="54"/>
      <c r="X186" s="54"/>
      <c r="Y186" s="54"/>
      <c r="Z186" s="54"/>
      <c r="AA186" s="54"/>
      <c r="AB186" s="54"/>
      <c r="AE186" s="54"/>
      <c r="AF186" s="54"/>
      <c r="AG186" s="54"/>
      <c r="AH186" s="54"/>
      <c r="AI186" s="54"/>
      <c r="AJ186" s="54"/>
      <c r="AW186" s="18">
        <f t="shared" si="9"/>
        <v>0</v>
      </c>
    </row>
    <row r="187" spans="10:49" ht="15">
      <c r="J187" s="687"/>
      <c r="K187" s="54"/>
      <c r="L187" s="687"/>
      <c r="M187" s="554"/>
      <c r="N187" s="68"/>
      <c r="O187" s="68"/>
      <c r="P187" s="68"/>
      <c r="Q187" s="68"/>
      <c r="R187" s="68"/>
      <c r="S187" s="68"/>
      <c r="T187" s="68"/>
      <c r="U187" s="161"/>
      <c r="V187" s="54"/>
      <c r="W187" s="54"/>
      <c r="X187" s="54"/>
      <c r="Y187" s="54"/>
      <c r="Z187" s="54"/>
      <c r="AA187" s="54"/>
      <c r="AB187" s="54"/>
      <c r="AE187" s="54"/>
      <c r="AF187" s="54"/>
      <c r="AG187" s="54"/>
      <c r="AH187" s="54"/>
      <c r="AI187" s="54"/>
      <c r="AJ187" s="54"/>
      <c r="AW187" s="18">
        <f t="shared" si="9"/>
        <v>0</v>
      </c>
    </row>
    <row r="188" spans="10:49" ht="15">
      <c r="J188" s="687"/>
      <c r="K188" s="54"/>
      <c r="L188" s="687"/>
      <c r="M188" s="554"/>
      <c r="N188" s="68"/>
      <c r="O188" s="68"/>
      <c r="P188" s="68"/>
      <c r="Q188" s="68"/>
      <c r="R188" s="68"/>
      <c r="S188" s="68"/>
      <c r="T188" s="68"/>
      <c r="U188" s="161"/>
      <c r="V188" s="54"/>
      <c r="W188" s="54"/>
      <c r="X188" s="54"/>
      <c r="Y188" s="54"/>
      <c r="Z188" s="54"/>
      <c r="AA188" s="54"/>
      <c r="AB188" s="54"/>
      <c r="AE188" s="54"/>
      <c r="AF188" s="54"/>
      <c r="AG188" s="54"/>
      <c r="AH188" s="54"/>
      <c r="AI188" s="54"/>
      <c r="AJ188" s="54"/>
      <c r="AW188" s="18">
        <f t="shared" si="9"/>
        <v>0</v>
      </c>
    </row>
    <row r="189" spans="10:49" ht="15">
      <c r="J189" s="687"/>
      <c r="K189" s="54"/>
      <c r="L189" s="687"/>
      <c r="M189" s="554"/>
      <c r="N189" s="68"/>
      <c r="O189" s="68"/>
      <c r="P189" s="68"/>
      <c r="Q189" s="68"/>
      <c r="R189" s="68"/>
      <c r="S189" s="68"/>
      <c r="T189" s="68"/>
      <c r="U189" s="161"/>
      <c r="V189" s="54"/>
      <c r="W189" s="54"/>
      <c r="X189" s="54"/>
      <c r="Y189" s="54"/>
      <c r="Z189" s="54"/>
      <c r="AA189" s="54"/>
      <c r="AB189" s="54"/>
      <c r="AE189" s="54"/>
      <c r="AF189" s="54"/>
      <c r="AG189" s="54"/>
      <c r="AH189" s="54"/>
      <c r="AI189" s="54"/>
      <c r="AJ189" s="54"/>
      <c r="AW189" s="18">
        <f t="shared" si="9"/>
        <v>0</v>
      </c>
    </row>
    <row r="190" spans="10:49" ht="15">
      <c r="J190" s="687"/>
      <c r="K190" s="54"/>
      <c r="L190" s="687"/>
      <c r="M190" s="554"/>
      <c r="N190" s="68"/>
      <c r="O190" s="68"/>
      <c r="P190" s="68"/>
      <c r="Q190" s="68"/>
      <c r="R190" s="68"/>
      <c r="S190" s="68"/>
      <c r="T190" s="68"/>
      <c r="U190" s="161"/>
      <c r="V190" s="54"/>
      <c r="W190" s="54"/>
      <c r="X190" s="54"/>
      <c r="Y190" s="54"/>
      <c r="Z190" s="54"/>
      <c r="AA190" s="54"/>
      <c r="AB190" s="54"/>
      <c r="AE190" s="54"/>
      <c r="AF190" s="54"/>
      <c r="AG190" s="54"/>
      <c r="AH190" s="54"/>
      <c r="AI190" s="54"/>
      <c r="AJ190" s="54"/>
      <c r="AW190" s="18">
        <f t="shared" si="9"/>
        <v>0</v>
      </c>
    </row>
    <row r="191" spans="10:49" ht="15">
      <c r="J191" s="685"/>
      <c r="L191" s="685"/>
      <c r="M191" s="554"/>
      <c r="AW191" s="18">
        <f t="shared" si="9"/>
        <v>0</v>
      </c>
    </row>
    <row r="192" spans="10:49" ht="15">
      <c r="J192" s="686"/>
      <c r="L192" s="686"/>
      <c r="M192" s="554"/>
      <c r="AW192" s="18">
        <f t="shared" si="9"/>
        <v>0</v>
      </c>
    </row>
    <row r="193" spans="10:49" ht="15">
      <c r="J193" s="686"/>
      <c r="L193" s="686"/>
      <c r="M193" s="554"/>
      <c r="AW193" s="18">
        <f t="shared" si="9"/>
        <v>0</v>
      </c>
    </row>
    <row r="194" spans="10:49" ht="15">
      <c r="J194" s="686"/>
      <c r="L194" s="686"/>
      <c r="M194" s="554"/>
      <c r="AW194" s="18">
        <f t="shared" si="9"/>
        <v>0</v>
      </c>
    </row>
    <row r="195" spans="10:49" ht="15">
      <c r="J195" s="686"/>
      <c r="L195" s="686"/>
      <c r="M195" s="554"/>
      <c r="AW195" s="18">
        <f t="shared" si="9"/>
        <v>0</v>
      </c>
    </row>
    <row r="196" spans="10:49" ht="15">
      <c r="J196" s="686"/>
      <c r="L196" s="686"/>
      <c r="M196" s="554"/>
      <c r="AW196" s="18">
        <f t="shared" si="9"/>
        <v>0</v>
      </c>
    </row>
    <row r="197" spans="10:49" ht="15">
      <c r="J197" s="686"/>
      <c r="L197" s="686"/>
      <c r="M197" s="554"/>
      <c r="AW197" s="18">
        <f t="shared" si="9"/>
        <v>0</v>
      </c>
    </row>
    <row r="198" spans="10:49" ht="15">
      <c r="J198" s="686"/>
      <c r="L198" s="686"/>
      <c r="M198" s="554"/>
      <c r="AW198" s="18">
        <f t="shared" si="9"/>
        <v>0</v>
      </c>
    </row>
    <row r="199" spans="10:49" ht="15">
      <c r="J199" s="686"/>
      <c r="L199" s="686"/>
      <c r="M199" s="554"/>
      <c r="AW199" s="18">
        <f t="shared" si="9"/>
        <v>0</v>
      </c>
    </row>
    <row r="200" spans="10:49" ht="15">
      <c r="J200" s="686"/>
      <c r="L200" s="686"/>
      <c r="M200" s="554"/>
      <c r="AW200" s="18">
        <f t="shared" si="9"/>
        <v>0</v>
      </c>
    </row>
    <row r="201" spans="10:49" ht="15">
      <c r="J201" s="686"/>
      <c r="L201" s="686"/>
      <c r="M201" s="554"/>
      <c r="AW201" s="18">
        <f t="shared" si="9"/>
        <v>0</v>
      </c>
    </row>
    <row r="202" spans="10:49" ht="15">
      <c r="J202" s="686"/>
      <c r="L202" s="686"/>
      <c r="M202" s="554"/>
      <c r="AW202" s="18">
        <f t="shared" si="9"/>
        <v>0</v>
      </c>
    </row>
    <row r="203" spans="10:49" ht="15">
      <c r="J203" s="686"/>
      <c r="L203" s="686"/>
      <c r="M203" s="554"/>
      <c r="AW203" s="18">
        <f t="shared" si="9"/>
        <v>0</v>
      </c>
    </row>
    <row r="204" spans="10:49" ht="15">
      <c r="J204" s="397"/>
      <c r="L204" s="397"/>
      <c r="M204" s="554"/>
      <c r="AW204" s="18">
        <f t="shared" si="9"/>
        <v>0</v>
      </c>
    </row>
    <row r="205" spans="10:49" ht="15">
      <c r="AW205" s="18">
        <f t="shared" si="9"/>
        <v>0</v>
      </c>
    </row>
    <row r="206" spans="10:49" ht="15">
      <c r="AW206" s="18">
        <f t="shared" si="9"/>
        <v>0</v>
      </c>
    </row>
    <row r="207" spans="10:49" ht="15">
      <c r="AW207" s="18">
        <f t="shared" si="9"/>
        <v>0</v>
      </c>
    </row>
    <row r="208" spans="10:49" ht="15">
      <c r="AW208" s="18">
        <f t="shared" si="9"/>
        <v>0</v>
      </c>
    </row>
    <row r="209" spans="49:49" ht="15">
      <c r="AW209" s="18">
        <f t="shared" si="9"/>
        <v>0</v>
      </c>
    </row>
    <row r="210" spans="49:49" ht="15">
      <c r="AW210" s="18">
        <f t="shared" si="9"/>
        <v>0</v>
      </c>
    </row>
    <row r="211" spans="49:49" ht="15">
      <c r="AW211" s="18">
        <f t="shared" si="9"/>
        <v>0</v>
      </c>
    </row>
    <row r="212" spans="49:49" ht="15">
      <c r="AW212" s="18">
        <f t="shared" si="9"/>
        <v>0</v>
      </c>
    </row>
    <row r="213" spans="49:49" ht="15">
      <c r="AW213" s="18">
        <f t="shared" si="9"/>
        <v>0</v>
      </c>
    </row>
    <row r="214" spans="49:49" ht="15">
      <c r="AW214" s="18">
        <f t="shared" ref="AW214:AW277" si="10">LEN(L214)</f>
        <v>0</v>
      </c>
    </row>
    <row r="215" spans="49:49" ht="15">
      <c r="AW215" s="18">
        <f t="shared" si="10"/>
        <v>0</v>
      </c>
    </row>
    <row r="216" spans="49:49" ht="15">
      <c r="AW216" s="18">
        <f t="shared" si="10"/>
        <v>0</v>
      </c>
    </row>
    <row r="217" spans="49:49" ht="15">
      <c r="AW217" s="18">
        <f t="shared" si="10"/>
        <v>0</v>
      </c>
    </row>
    <row r="218" spans="49:49" ht="15">
      <c r="AW218" s="18">
        <f t="shared" si="10"/>
        <v>0</v>
      </c>
    </row>
    <row r="219" spans="49:49" ht="15">
      <c r="AW219" s="18">
        <f t="shared" si="10"/>
        <v>0</v>
      </c>
    </row>
    <row r="220" spans="49:49" ht="15">
      <c r="AW220" s="18">
        <f t="shared" si="10"/>
        <v>0</v>
      </c>
    </row>
    <row r="221" spans="49:49" ht="15">
      <c r="AW221" s="18">
        <f t="shared" si="10"/>
        <v>0</v>
      </c>
    </row>
    <row r="222" spans="49:49" ht="15">
      <c r="AW222" s="18">
        <f t="shared" si="10"/>
        <v>0</v>
      </c>
    </row>
    <row r="223" spans="49:49" ht="15">
      <c r="AW223" s="18">
        <f t="shared" si="10"/>
        <v>0</v>
      </c>
    </row>
    <row r="224" spans="49:49" ht="15">
      <c r="AW224" s="18">
        <f t="shared" si="10"/>
        <v>0</v>
      </c>
    </row>
    <row r="225" spans="49:49" ht="15">
      <c r="AW225" s="18">
        <f t="shared" si="10"/>
        <v>0</v>
      </c>
    </row>
    <row r="226" spans="49:49" ht="15">
      <c r="AW226" s="18">
        <f t="shared" si="10"/>
        <v>0</v>
      </c>
    </row>
    <row r="227" spans="49:49" ht="15">
      <c r="AW227" s="18">
        <f t="shared" si="10"/>
        <v>0</v>
      </c>
    </row>
    <row r="228" spans="49:49" ht="15">
      <c r="AW228" s="18">
        <f t="shared" si="10"/>
        <v>0</v>
      </c>
    </row>
    <row r="229" spans="49:49" ht="15">
      <c r="AW229" s="18">
        <f t="shared" si="10"/>
        <v>0</v>
      </c>
    </row>
    <row r="230" spans="49:49" ht="15">
      <c r="AW230" s="18">
        <f t="shared" si="10"/>
        <v>0</v>
      </c>
    </row>
    <row r="231" spans="49:49" ht="15">
      <c r="AW231" s="18">
        <f t="shared" si="10"/>
        <v>0</v>
      </c>
    </row>
    <row r="232" spans="49:49" ht="15">
      <c r="AW232" s="18">
        <f t="shared" si="10"/>
        <v>0</v>
      </c>
    </row>
    <row r="233" spans="49:49" ht="15">
      <c r="AW233" s="18">
        <f t="shared" si="10"/>
        <v>0</v>
      </c>
    </row>
    <row r="234" spans="49:49" ht="15">
      <c r="AW234" s="18">
        <f t="shared" si="10"/>
        <v>0</v>
      </c>
    </row>
    <row r="235" spans="49:49" ht="15">
      <c r="AW235" s="18">
        <f t="shared" si="10"/>
        <v>0</v>
      </c>
    </row>
    <row r="236" spans="49:49" ht="15">
      <c r="AW236" s="18">
        <f t="shared" si="10"/>
        <v>0</v>
      </c>
    </row>
    <row r="237" spans="49:49" ht="15">
      <c r="AW237" s="18">
        <f t="shared" si="10"/>
        <v>0</v>
      </c>
    </row>
    <row r="238" spans="49:49" ht="15">
      <c r="AW238" s="18">
        <f t="shared" si="10"/>
        <v>0</v>
      </c>
    </row>
    <row r="239" spans="49:49" ht="15">
      <c r="AW239" s="18">
        <f t="shared" si="10"/>
        <v>0</v>
      </c>
    </row>
    <row r="240" spans="49:49" ht="15">
      <c r="AW240" s="18">
        <f t="shared" si="10"/>
        <v>0</v>
      </c>
    </row>
    <row r="241" spans="49:49" ht="15">
      <c r="AW241" s="18">
        <f t="shared" si="10"/>
        <v>0</v>
      </c>
    </row>
    <row r="242" spans="49:49" ht="15">
      <c r="AW242" s="18">
        <f t="shared" si="10"/>
        <v>0</v>
      </c>
    </row>
    <row r="243" spans="49:49" ht="15">
      <c r="AW243" s="18">
        <f t="shared" si="10"/>
        <v>0</v>
      </c>
    </row>
    <row r="244" spans="49:49" ht="15">
      <c r="AW244" s="18">
        <f t="shared" si="10"/>
        <v>0</v>
      </c>
    </row>
    <row r="245" spans="49:49" ht="15">
      <c r="AW245" s="18">
        <f t="shared" si="10"/>
        <v>0</v>
      </c>
    </row>
    <row r="246" spans="49:49" ht="15">
      <c r="AW246" s="18">
        <f t="shared" si="10"/>
        <v>0</v>
      </c>
    </row>
    <row r="247" spans="49:49" ht="15">
      <c r="AW247" s="18">
        <f t="shared" si="10"/>
        <v>0</v>
      </c>
    </row>
    <row r="248" spans="49:49" ht="15">
      <c r="AW248" s="18">
        <f t="shared" si="10"/>
        <v>0</v>
      </c>
    </row>
    <row r="249" spans="49:49" ht="15">
      <c r="AW249" s="18">
        <f t="shared" si="10"/>
        <v>0</v>
      </c>
    </row>
    <row r="250" spans="49:49" ht="15">
      <c r="AW250" s="18">
        <f t="shared" si="10"/>
        <v>0</v>
      </c>
    </row>
    <row r="251" spans="49:49" ht="15">
      <c r="AW251" s="18">
        <f t="shared" si="10"/>
        <v>0</v>
      </c>
    </row>
    <row r="252" spans="49:49" ht="15">
      <c r="AW252" s="18">
        <f t="shared" si="10"/>
        <v>0</v>
      </c>
    </row>
    <row r="253" spans="49:49" ht="15">
      <c r="AW253" s="18">
        <f t="shared" si="10"/>
        <v>0</v>
      </c>
    </row>
    <row r="254" spans="49:49" ht="15">
      <c r="AW254" s="18">
        <f t="shared" si="10"/>
        <v>0</v>
      </c>
    </row>
    <row r="255" spans="49:49" ht="15">
      <c r="AW255" s="18">
        <f t="shared" si="10"/>
        <v>0</v>
      </c>
    </row>
    <row r="256" spans="49:49" ht="15">
      <c r="AW256" s="18">
        <f t="shared" si="10"/>
        <v>0</v>
      </c>
    </row>
    <row r="257" spans="49:49" ht="15">
      <c r="AW257" s="18">
        <f t="shared" si="10"/>
        <v>0</v>
      </c>
    </row>
    <row r="258" spans="49:49" ht="15">
      <c r="AW258" s="18">
        <f t="shared" si="10"/>
        <v>0</v>
      </c>
    </row>
    <row r="259" spans="49:49" ht="15">
      <c r="AW259" s="18">
        <f t="shared" si="10"/>
        <v>0</v>
      </c>
    </row>
    <row r="260" spans="49:49" ht="15">
      <c r="AW260" s="18">
        <f t="shared" si="10"/>
        <v>0</v>
      </c>
    </row>
    <row r="261" spans="49:49" ht="15">
      <c r="AW261" s="18">
        <f t="shared" si="10"/>
        <v>0</v>
      </c>
    </row>
    <row r="262" spans="49:49" ht="15">
      <c r="AW262" s="18">
        <f t="shared" si="10"/>
        <v>0</v>
      </c>
    </row>
    <row r="263" spans="49:49" ht="15">
      <c r="AW263" s="18">
        <f t="shared" si="10"/>
        <v>0</v>
      </c>
    </row>
    <row r="264" spans="49:49" ht="15">
      <c r="AW264" s="18">
        <f t="shared" si="10"/>
        <v>0</v>
      </c>
    </row>
    <row r="265" spans="49:49" ht="15">
      <c r="AW265" s="18">
        <f t="shared" si="10"/>
        <v>0</v>
      </c>
    </row>
    <row r="266" spans="49:49" ht="15">
      <c r="AW266" s="18">
        <f t="shared" si="10"/>
        <v>0</v>
      </c>
    </row>
    <row r="267" spans="49:49" ht="15">
      <c r="AW267" s="18">
        <f t="shared" si="10"/>
        <v>0</v>
      </c>
    </row>
    <row r="268" spans="49:49" ht="15">
      <c r="AW268" s="18">
        <f t="shared" si="10"/>
        <v>0</v>
      </c>
    </row>
    <row r="269" spans="49:49" ht="15">
      <c r="AW269" s="18">
        <f t="shared" si="10"/>
        <v>0</v>
      </c>
    </row>
    <row r="270" spans="49:49" ht="15">
      <c r="AW270" s="18">
        <f t="shared" si="10"/>
        <v>0</v>
      </c>
    </row>
    <row r="271" spans="49:49" ht="15">
      <c r="AW271" s="18">
        <f t="shared" si="10"/>
        <v>0</v>
      </c>
    </row>
    <row r="272" spans="49:49" ht="15">
      <c r="AW272" s="18">
        <f t="shared" si="10"/>
        <v>0</v>
      </c>
    </row>
    <row r="273" spans="49:49" ht="15">
      <c r="AW273" s="18">
        <f t="shared" si="10"/>
        <v>0</v>
      </c>
    </row>
    <row r="274" spans="49:49" ht="15">
      <c r="AW274" s="18">
        <f t="shared" si="10"/>
        <v>0</v>
      </c>
    </row>
    <row r="275" spans="49:49" ht="15">
      <c r="AW275" s="18">
        <f t="shared" si="10"/>
        <v>0</v>
      </c>
    </row>
    <row r="276" spans="49:49" ht="15">
      <c r="AW276" s="18">
        <f t="shared" si="10"/>
        <v>0</v>
      </c>
    </row>
    <row r="277" spans="49:49" ht="15">
      <c r="AW277" s="18">
        <f t="shared" si="10"/>
        <v>0</v>
      </c>
    </row>
    <row r="278" spans="49:49" ht="15">
      <c r="AW278" s="18">
        <f t="shared" ref="AW278:AW341" si="11">LEN(L278)</f>
        <v>0</v>
      </c>
    </row>
    <row r="279" spans="49:49" ht="15">
      <c r="AW279" s="18">
        <f t="shared" si="11"/>
        <v>0</v>
      </c>
    </row>
    <row r="280" spans="49:49" ht="15">
      <c r="AW280" s="18">
        <f t="shared" si="11"/>
        <v>0</v>
      </c>
    </row>
    <row r="281" spans="49:49" ht="15">
      <c r="AW281" s="18">
        <f t="shared" si="11"/>
        <v>0</v>
      </c>
    </row>
    <row r="282" spans="49:49" ht="15">
      <c r="AW282" s="18">
        <f t="shared" si="11"/>
        <v>0</v>
      </c>
    </row>
    <row r="283" spans="49:49" ht="15">
      <c r="AW283" s="18">
        <f t="shared" si="11"/>
        <v>0</v>
      </c>
    </row>
    <row r="284" spans="49:49" ht="15">
      <c r="AW284" s="18">
        <f t="shared" si="11"/>
        <v>0</v>
      </c>
    </row>
    <row r="285" spans="49:49" ht="15">
      <c r="AW285" s="18">
        <f t="shared" si="11"/>
        <v>0</v>
      </c>
    </row>
    <row r="286" spans="49:49" ht="15">
      <c r="AW286" s="18">
        <f t="shared" si="11"/>
        <v>0</v>
      </c>
    </row>
    <row r="287" spans="49:49" ht="15">
      <c r="AW287" s="18">
        <f t="shared" si="11"/>
        <v>0</v>
      </c>
    </row>
    <row r="288" spans="49:49" ht="15">
      <c r="AW288" s="18">
        <f t="shared" si="11"/>
        <v>0</v>
      </c>
    </row>
    <row r="289" spans="49:49" ht="15">
      <c r="AW289" s="18">
        <f t="shared" si="11"/>
        <v>0</v>
      </c>
    </row>
    <row r="290" spans="49:49" ht="15">
      <c r="AW290" s="18">
        <f t="shared" si="11"/>
        <v>0</v>
      </c>
    </row>
    <row r="291" spans="49:49" ht="15">
      <c r="AW291" s="18">
        <f t="shared" si="11"/>
        <v>0</v>
      </c>
    </row>
    <row r="292" spans="49:49" ht="15">
      <c r="AW292" s="18">
        <f t="shared" si="11"/>
        <v>0</v>
      </c>
    </row>
    <row r="293" spans="49:49" ht="15">
      <c r="AW293" s="18">
        <f t="shared" si="11"/>
        <v>0</v>
      </c>
    </row>
    <row r="294" spans="49:49" ht="15">
      <c r="AW294" s="18">
        <f t="shared" si="11"/>
        <v>0</v>
      </c>
    </row>
    <row r="295" spans="49:49" ht="15">
      <c r="AW295" s="18">
        <f t="shared" si="11"/>
        <v>0</v>
      </c>
    </row>
    <row r="296" spans="49:49" ht="15">
      <c r="AW296" s="18">
        <f t="shared" si="11"/>
        <v>0</v>
      </c>
    </row>
    <row r="297" spans="49:49" ht="15">
      <c r="AW297" s="18">
        <f t="shared" si="11"/>
        <v>0</v>
      </c>
    </row>
    <row r="298" spans="49:49" ht="15">
      <c r="AW298" s="18">
        <f t="shared" si="11"/>
        <v>0</v>
      </c>
    </row>
    <row r="299" spans="49:49" ht="15">
      <c r="AW299" s="18">
        <f t="shared" si="11"/>
        <v>0</v>
      </c>
    </row>
    <row r="300" spans="49:49" ht="15">
      <c r="AW300" s="18">
        <f t="shared" si="11"/>
        <v>0</v>
      </c>
    </row>
    <row r="301" spans="49:49" ht="15">
      <c r="AW301" s="18">
        <f t="shared" si="11"/>
        <v>0</v>
      </c>
    </row>
    <row r="302" spans="49:49" ht="15">
      <c r="AW302" s="18">
        <f t="shared" si="11"/>
        <v>0</v>
      </c>
    </row>
    <row r="303" spans="49:49" ht="15">
      <c r="AW303" s="18">
        <f t="shared" si="11"/>
        <v>0</v>
      </c>
    </row>
    <row r="304" spans="49:49" ht="15">
      <c r="AW304" s="18">
        <f t="shared" si="11"/>
        <v>0</v>
      </c>
    </row>
    <row r="305" spans="49:49" ht="15">
      <c r="AW305" s="18">
        <f t="shared" si="11"/>
        <v>0</v>
      </c>
    </row>
    <row r="306" spans="49:49" ht="15">
      <c r="AW306" s="18">
        <f t="shared" si="11"/>
        <v>0</v>
      </c>
    </row>
    <row r="307" spans="49:49" ht="15">
      <c r="AW307" s="18">
        <f t="shared" si="11"/>
        <v>0</v>
      </c>
    </row>
    <row r="308" spans="49:49" ht="15">
      <c r="AW308" s="18">
        <f t="shared" si="11"/>
        <v>0</v>
      </c>
    </row>
    <row r="309" spans="49:49" ht="15">
      <c r="AW309" s="18">
        <f t="shared" si="11"/>
        <v>0</v>
      </c>
    </row>
    <row r="310" spans="49:49" ht="15">
      <c r="AW310" s="18">
        <f t="shared" si="11"/>
        <v>0</v>
      </c>
    </row>
    <row r="311" spans="49:49" ht="15">
      <c r="AW311" s="18">
        <f t="shared" si="11"/>
        <v>0</v>
      </c>
    </row>
    <row r="312" spans="49:49" ht="15">
      <c r="AW312" s="18">
        <f t="shared" si="11"/>
        <v>0</v>
      </c>
    </row>
    <row r="313" spans="49:49" ht="15">
      <c r="AW313" s="18">
        <f t="shared" si="11"/>
        <v>0</v>
      </c>
    </row>
    <row r="314" spans="49:49" ht="15">
      <c r="AW314" s="18">
        <f t="shared" si="11"/>
        <v>0</v>
      </c>
    </row>
    <row r="315" spans="49:49" ht="15">
      <c r="AW315" s="18">
        <f t="shared" si="11"/>
        <v>0</v>
      </c>
    </row>
    <row r="316" spans="49:49" ht="15">
      <c r="AW316" s="18">
        <f t="shared" si="11"/>
        <v>0</v>
      </c>
    </row>
    <row r="317" spans="49:49" ht="15">
      <c r="AW317" s="18">
        <f t="shared" si="11"/>
        <v>0</v>
      </c>
    </row>
    <row r="318" spans="49:49" ht="15">
      <c r="AW318" s="18">
        <f t="shared" si="11"/>
        <v>0</v>
      </c>
    </row>
    <row r="319" spans="49:49" ht="15">
      <c r="AW319" s="18">
        <f t="shared" si="11"/>
        <v>0</v>
      </c>
    </row>
    <row r="320" spans="49:49" ht="15">
      <c r="AW320" s="18">
        <f t="shared" si="11"/>
        <v>0</v>
      </c>
    </row>
    <row r="321" spans="49:49" ht="15">
      <c r="AW321" s="18">
        <f t="shared" si="11"/>
        <v>0</v>
      </c>
    </row>
    <row r="322" spans="49:49" ht="15">
      <c r="AW322" s="18">
        <f t="shared" si="11"/>
        <v>0</v>
      </c>
    </row>
    <row r="323" spans="49:49" ht="15">
      <c r="AW323" s="18">
        <f t="shared" si="11"/>
        <v>0</v>
      </c>
    </row>
    <row r="324" spans="49:49" ht="15">
      <c r="AW324" s="18">
        <f t="shared" si="11"/>
        <v>0</v>
      </c>
    </row>
    <row r="325" spans="49:49" ht="15">
      <c r="AW325" s="18">
        <f t="shared" si="11"/>
        <v>0</v>
      </c>
    </row>
    <row r="326" spans="49:49" ht="15">
      <c r="AW326" s="18">
        <f t="shared" si="11"/>
        <v>0</v>
      </c>
    </row>
    <row r="327" spans="49:49" ht="15">
      <c r="AW327" s="18">
        <f t="shared" si="11"/>
        <v>0</v>
      </c>
    </row>
    <row r="328" spans="49:49" ht="15">
      <c r="AW328" s="18">
        <f t="shared" si="11"/>
        <v>0</v>
      </c>
    </row>
    <row r="329" spans="49:49" ht="15">
      <c r="AW329" s="18">
        <f t="shared" si="11"/>
        <v>0</v>
      </c>
    </row>
    <row r="330" spans="49:49" ht="15">
      <c r="AW330" s="18">
        <f t="shared" si="11"/>
        <v>0</v>
      </c>
    </row>
    <row r="331" spans="49:49" ht="15">
      <c r="AW331" s="18">
        <f t="shared" si="11"/>
        <v>0</v>
      </c>
    </row>
    <row r="332" spans="49:49" ht="15">
      <c r="AW332" s="18">
        <f t="shared" si="11"/>
        <v>0</v>
      </c>
    </row>
    <row r="333" spans="49:49" ht="15">
      <c r="AW333" s="18">
        <f t="shared" si="11"/>
        <v>0</v>
      </c>
    </row>
    <row r="334" spans="49:49" ht="15">
      <c r="AW334" s="18">
        <f t="shared" si="11"/>
        <v>0</v>
      </c>
    </row>
    <row r="335" spans="49:49" ht="15">
      <c r="AW335" s="18">
        <f t="shared" si="11"/>
        <v>0</v>
      </c>
    </row>
    <row r="336" spans="49:49" ht="15">
      <c r="AW336" s="18">
        <f t="shared" si="11"/>
        <v>0</v>
      </c>
    </row>
    <row r="337" spans="49:49" ht="15">
      <c r="AW337" s="18">
        <f t="shared" si="11"/>
        <v>0</v>
      </c>
    </row>
    <row r="338" spans="49:49" ht="15">
      <c r="AW338" s="18">
        <f t="shared" si="11"/>
        <v>0</v>
      </c>
    </row>
    <row r="339" spans="49:49" ht="15">
      <c r="AW339" s="18">
        <f t="shared" si="11"/>
        <v>0</v>
      </c>
    </row>
    <row r="340" spans="49:49" ht="15">
      <c r="AW340" s="18">
        <f t="shared" si="11"/>
        <v>0</v>
      </c>
    </row>
    <row r="341" spans="49:49" ht="15">
      <c r="AW341" s="18">
        <f t="shared" si="11"/>
        <v>0</v>
      </c>
    </row>
    <row r="342" spans="49:49" ht="15">
      <c r="AW342" s="18">
        <f t="shared" ref="AW342:AW405" si="12">LEN(L342)</f>
        <v>0</v>
      </c>
    </row>
    <row r="343" spans="49:49" ht="15">
      <c r="AW343" s="18">
        <f t="shared" si="12"/>
        <v>0</v>
      </c>
    </row>
    <row r="344" spans="49:49" ht="15">
      <c r="AW344" s="18">
        <f t="shared" si="12"/>
        <v>0</v>
      </c>
    </row>
    <row r="345" spans="49:49" ht="15">
      <c r="AW345" s="18">
        <f t="shared" si="12"/>
        <v>0</v>
      </c>
    </row>
    <row r="346" spans="49:49" ht="15">
      <c r="AW346" s="18">
        <f t="shared" si="12"/>
        <v>0</v>
      </c>
    </row>
    <row r="347" spans="49:49" ht="15">
      <c r="AW347" s="18">
        <f t="shared" si="12"/>
        <v>0</v>
      </c>
    </row>
    <row r="348" spans="49:49" ht="15">
      <c r="AW348" s="18">
        <f t="shared" si="12"/>
        <v>0</v>
      </c>
    </row>
    <row r="349" spans="49:49" ht="15">
      <c r="AW349" s="18">
        <f t="shared" si="12"/>
        <v>0</v>
      </c>
    </row>
    <row r="350" spans="49:49" ht="15">
      <c r="AW350" s="18">
        <f t="shared" si="12"/>
        <v>0</v>
      </c>
    </row>
    <row r="351" spans="49:49" ht="15">
      <c r="AW351" s="18">
        <f t="shared" si="12"/>
        <v>0</v>
      </c>
    </row>
    <row r="352" spans="49:49" ht="15">
      <c r="AW352" s="18">
        <f t="shared" si="12"/>
        <v>0</v>
      </c>
    </row>
    <row r="353" spans="49:49" ht="15">
      <c r="AW353" s="18">
        <f t="shared" si="12"/>
        <v>0</v>
      </c>
    </row>
    <row r="354" spans="49:49" ht="15">
      <c r="AW354" s="18">
        <f t="shared" si="12"/>
        <v>0</v>
      </c>
    </row>
    <row r="355" spans="49:49" ht="15">
      <c r="AW355" s="18">
        <f t="shared" si="12"/>
        <v>0</v>
      </c>
    </row>
    <row r="356" spans="49:49" ht="15">
      <c r="AW356" s="18">
        <f t="shared" si="12"/>
        <v>0</v>
      </c>
    </row>
    <row r="357" spans="49:49" ht="15">
      <c r="AW357" s="18">
        <f t="shared" si="12"/>
        <v>0</v>
      </c>
    </row>
    <row r="358" spans="49:49" ht="15">
      <c r="AW358" s="18">
        <f t="shared" si="12"/>
        <v>0</v>
      </c>
    </row>
    <row r="359" spans="49:49" ht="15">
      <c r="AW359" s="18">
        <f t="shared" si="12"/>
        <v>0</v>
      </c>
    </row>
    <row r="360" spans="49:49" ht="15">
      <c r="AW360" s="18">
        <f t="shared" si="12"/>
        <v>0</v>
      </c>
    </row>
    <row r="361" spans="49:49" ht="15">
      <c r="AW361" s="18">
        <f t="shared" si="12"/>
        <v>0</v>
      </c>
    </row>
    <row r="362" spans="49:49" ht="15">
      <c r="AW362" s="18">
        <f t="shared" si="12"/>
        <v>0</v>
      </c>
    </row>
    <row r="363" spans="49:49" ht="15">
      <c r="AW363" s="18">
        <f t="shared" si="12"/>
        <v>0</v>
      </c>
    </row>
    <row r="364" spans="49:49" ht="15">
      <c r="AW364" s="18">
        <f t="shared" si="12"/>
        <v>0</v>
      </c>
    </row>
    <row r="365" spans="49:49" ht="15">
      <c r="AW365" s="18">
        <f t="shared" si="12"/>
        <v>0</v>
      </c>
    </row>
    <row r="366" spans="49:49" ht="15">
      <c r="AW366" s="18">
        <f t="shared" si="12"/>
        <v>0</v>
      </c>
    </row>
    <row r="367" spans="49:49" ht="15">
      <c r="AW367" s="18">
        <f t="shared" si="12"/>
        <v>0</v>
      </c>
    </row>
    <row r="368" spans="49:49" ht="15">
      <c r="AW368" s="18">
        <f t="shared" si="12"/>
        <v>0</v>
      </c>
    </row>
    <row r="369" spans="49:49" ht="15">
      <c r="AW369" s="18">
        <f t="shared" si="12"/>
        <v>0</v>
      </c>
    </row>
    <row r="370" spans="49:49" ht="15">
      <c r="AW370" s="18">
        <f t="shared" si="12"/>
        <v>0</v>
      </c>
    </row>
    <row r="371" spans="49:49" ht="15">
      <c r="AW371" s="18">
        <f t="shared" si="12"/>
        <v>0</v>
      </c>
    </row>
    <row r="372" spans="49:49" ht="15">
      <c r="AW372" s="18">
        <f t="shared" si="12"/>
        <v>0</v>
      </c>
    </row>
    <row r="373" spans="49:49" ht="15">
      <c r="AW373" s="18">
        <f t="shared" si="12"/>
        <v>0</v>
      </c>
    </row>
    <row r="374" spans="49:49" ht="15">
      <c r="AW374" s="18">
        <f t="shared" si="12"/>
        <v>0</v>
      </c>
    </row>
    <row r="375" spans="49:49" ht="15">
      <c r="AW375" s="18">
        <f t="shared" si="12"/>
        <v>0</v>
      </c>
    </row>
    <row r="376" spans="49:49" ht="15">
      <c r="AW376" s="18">
        <f t="shared" si="12"/>
        <v>0</v>
      </c>
    </row>
    <row r="377" spans="49:49" ht="15">
      <c r="AW377" s="18">
        <f t="shared" si="12"/>
        <v>0</v>
      </c>
    </row>
    <row r="378" spans="49:49" ht="15">
      <c r="AW378" s="18">
        <f t="shared" si="12"/>
        <v>0</v>
      </c>
    </row>
    <row r="379" spans="49:49" ht="15">
      <c r="AW379" s="18">
        <f t="shared" si="12"/>
        <v>0</v>
      </c>
    </row>
    <row r="380" spans="49:49" ht="15">
      <c r="AW380" s="18">
        <f t="shared" si="12"/>
        <v>0</v>
      </c>
    </row>
    <row r="381" spans="49:49" ht="15">
      <c r="AW381" s="18">
        <f t="shared" si="12"/>
        <v>0</v>
      </c>
    </row>
    <row r="382" spans="49:49" ht="15">
      <c r="AW382" s="18">
        <f t="shared" si="12"/>
        <v>0</v>
      </c>
    </row>
    <row r="383" spans="49:49" ht="15">
      <c r="AW383" s="18">
        <f t="shared" si="12"/>
        <v>0</v>
      </c>
    </row>
    <row r="384" spans="49:49" ht="15">
      <c r="AW384" s="18">
        <f t="shared" si="12"/>
        <v>0</v>
      </c>
    </row>
    <row r="385" spans="49:49" ht="15">
      <c r="AW385" s="18">
        <f t="shared" si="12"/>
        <v>0</v>
      </c>
    </row>
    <row r="386" spans="49:49" ht="15">
      <c r="AW386" s="18">
        <f t="shared" si="12"/>
        <v>0</v>
      </c>
    </row>
    <row r="387" spans="49:49" ht="15">
      <c r="AW387" s="18">
        <f t="shared" si="12"/>
        <v>0</v>
      </c>
    </row>
    <row r="388" spans="49:49" ht="15">
      <c r="AW388" s="18">
        <f t="shared" si="12"/>
        <v>0</v>
      </c>
    </row>
    <row r="389" spans="49:49" ht="15">
      <c r="AW389" s="18">
        <f t="shared" si="12"/>
        <v>0</v>
      </c>
    </row>
    <row r="390" spans="49:49" ht="15">
      <c r="AW390" s="18">
        <f t="shared" si="12"/>
        <v>0</v>
      </c>
    </row>
    <row r="391" spans="49:49" ht="15">
      <c r="AW391" s="18">
        <f t="shared" si="12"/>
        <v>0</v>
      </c>
    </row>
    <row r="392" spans="49:49" ht="15">
      <c r="AW392" s="18">
        <f t="shared" si="12"/>
        <v>0</v>
      </c>
    </row>
    <row r="393" spans="49:49" ht="15">
      <c r="AW393" s="18">
        <f t="shared" si="12"/>
        <v>0</v>
      </c>
    </row>
    <row r="394" spans="49:49" ht="15">
      <c r="AW394" s="18">
        <f t="shared" si="12"/>
        <v>0</v>
      </c>
    </row>
    <row r="395" spans="49:49" ht="15">
      <c r="AW395" s="18">
        <f t="shared" si="12"/>
        <v>0</v>
      </c>
    </row>
    <row r="396" spans="49:49" ht="15">
      <c r="AW396" s="18">
        <f t="shared" si="12"/>
        <v>0</v>
      </c>
    </row>
    <row r="397" spans="49:49" ht="15">
      <c r="AW397" s="18">
        <f t="shared" si="12"/>
        <v>0</v>
      </c>
    </row>
    <row r="398" spans="49:49" ht="15">
      <c r="AW398" s="18">
        <f t="shared" si="12"/>
        <v>0</v>
      </c>
    </row>
    <row r="399" spans="49:49" ht="15">
      <c r="AW399" s="18">
        <f t="shared" si="12"/>
        <v>0</v>
      </c>
    </row>
    <row r="400" spans="49:49" ht="15">
      <c r="AW400" s="18">
        <f t="shared" si="12"/>
        <v>0</v>
      </c>
    </row>
    <row r="401" spans="49:49" ht="15">
      <c r="AW401" s="18">
        <f t="shared" si="12"/>
        <v>0</v>
      </c>
    </row>
    <row r="402" spans="49:49" ht="15">
      <c r="AW402" s="18">
        <f t="shared" si="12"/>
        <v>0</v>
      </c>
    </row>
    <row r="403" spans="49:49" ht="15">
      <c r="AW403" s="18">
        <f t="shared" si="12"/>
        <v>0</v>
      </c>
    </row>
    <row r="404" spans="49:49" ht="15">
      <c r="AW404" s="18">
        <f t="shared" si="12"/>
        <v>0</v>
      </c>
    </row>
    <row r="405" spans="49:49" ht="15">
      <c r="AW405" s="18">
        <f t="shared" si="12"/>
        <v>0</v>
      </c>
    </row>
    <row r="406" spans="49:49" ht="15">
      <c r="AW406" s="18">
        <f t="shared" ref="AW406:AW460" si="13">LEN(L406)</f>
        <v>0</v>
      </c>
    </row>
    <row r="407" spans="49:49" ht="15">
      <c r="AW407" s="18">
        <f t="shared" si="13"/>
        <v>0</v>
      </c>
    </row>
    <row r="408" spans="49:49" ht="15">
      <c r="AW408" s="18">
        <f t="shared" si="13"/>
        <v>0</v>
      </c>
    </row>
    <row r="409" spans="49:49" ht="15">
      <c r="AW409" s="18">
        <f t="shared" si="13"/>
        <v>0</v>
      </c>
    </row>
    <row r="410" spans="49:49" ht="15">
      <c r="AW410" s="18">
        <f t="shared" si="13"/>
        <v>0</v>
      </c>
    </row>
    <row r="411" spans="49:49" ht="15">
      <c r="AW411" s="18">
        <f t="shared" si="13"/>
        <v>0</v>
      </c>
    </row>
    <row r="412" spans="49:49" ht="15">
      <c r="AW412" s="18">
        <f t="shared" si="13"/>
        <v>0</v>
      </c>
    </row>
    <row r="413" spans="49:49" ht="15">
      <c r="AW413" s="18">
        <f t="shared" si="13"/>
        <v>0</v>
      </c>
    </row>
    <row r="414" spans="49:49" ht="15">
      <c r="AW414" s="18">
        <f t="shared" si="13"/>
        <v>0</v>
      </c>
    </row>
    <row r="415" spans="49:49" ht="15">
      <c r="AW415" s="18">
        <f t="shared" si="13"/>
        <v>0</v>
      </c>
    </row>
    <row r="416" spans="49:49" ht="15">
      <c r="AW416" s="18">
        <f t="shared" si="13"/>
        <v>0</v>
      </c>
    </row>
    <row r="417" spans="49:49" ht="15">
      <c r="AW417" s="18">
        <f t="shared" si="13"/>
        <v>0</v>
      </c>
    </row>
    <row r="418" spans="49:49" ht="15">
      <c r="AW418" s="18">
        <f t="shared" si="13"/>
        <v>0</v>
      </c>
    </row>
    <row r="419" spans="49:49" ht="15">
      <c r="AW419" s="18">
        <f t="shared" si="13"/>
        <v>0</v>
      </c>
    </row>
    <row r="420" spans="49:49" ht="15">
      <c r="AW420" s="18">
        <f t="shared" si="13"/>
        <v>0</v>
      </c>
    </row>
    <row r="421" spans="49:49" ht="15">
      <c r="AW421" s="18">
        <f t="shared" si="13"/>
        <v>0</v>
      </c>
    </row>
    <row r="422" spans="49:49" ht="15">
      <c r="AW422" s="18">
        <f t="shared" si="13"/>
        <v>0</v>
      </c>
    </row>
    <row r="423" spans="49:49" ht="15">
      <c r="AW423" s="18">
        <f t="shared" si="13"/>
        <v>0</v>
      </c>
    </row>
    <row r="424" spans="49:49" ht="15">
      <c r="AW424" s="18">
        <f t="shared" si="13"/>
        <v>0</v>
      </c>
    </row>
    <row r="425" spans="49:49" ht="15">
      <c r="AW425" s="18">
        <f t="shared" si="13"/>
        <v>0</v>
      </c>
    </row>
    <row r="426" spans="49:49" ht="15">
      <c r="AW426" s="18">
        <f t="shared" si="13"/>
        <v>0</v>
      </c>
    </row>
    <row r="427" spans="49:49" ht="15">
      <c r="AW427" s="18">
        <f t="shared" si="13"/>
        <v>0</v>
      </c>
    </row>
    <row r="428" spans="49:49" ht="15">
      <c r="AW428" s="18">
        <f t="shared" si="13"/>
        <v>0</v>
      </c>
    </row>
    <row r="429" spans="49:49" ht="15">
      <c r="AW429" s="18">
        <f t="shared" si="13"/>
        <v>0</v>
      </c>
    </row>
    <row r="430" spans="49:49" ht="15">
      <c r="AW430" s="18">
        <f t="shared" si="13"/>
        <v>0</v>
      </c>
    </row>
    <row r="431" spans="49:49" ht="15">
      <c r="AW431" s="18">
        <f t="shared" si="13"/>
        <v>0</v>
      </c>
    </row>
    <row r="432" spans="49:49" ht="15">
      <c r="AW432" s="18">
        <f t="shared" si="13"/>
        <v>0</v>
      </c>
    </row>
    <row r="433" spans="49:49" ht="15">
      <c r="AW433" s="18">
        <f t="shared" si="13"/>
        <v>0</v>
      </c>
    </row>
    <row r="434" spans="49:49" ht="15">
      <c r="AW434" s="18">
        <f t="shared" si="13"/>
        <v>0</v>
      </c>
    </row>
    <row r="435" spans="49:49" ht="15">
      <c r="AW435" s="18">
        <f t="shared" si="13"/>
        <v>0</v>
      </c>
    </row>
    <row r="436" spans="49:49" ht="15">
      <c r="AW436" s="18">
        <f t="shared" si="13"/>
        <v>0</v>
      </c>
    </row>
    <row r="437" spans="49:49" ht="15">
      <c r="AW437" s="18">
        <f t="shared" si="13"/>
        <v>0</v>
      </c>
    </row>
    <row r="438" spans="49:49" ht="15">
      <c r="AW438" s="18">
        <f t="shared" si="13"/>
        <v>0</v>
      </c>
    </row>
    <row r="439" spans="49:49" ht="15">
      <c r="AW439" s="18">
        <f t="shared" si="13"/>
        <v>0</v>
      </c>
    </row>
    <row r="440" spans="49:49" ht="15">
      <c r="AW440" s="18">
        <f t="shared" si="13"/>
        <v>0</v>
      </c>
    </row>
    <row r="441" spans="49:49" ht="15">
      <c r="AW441" s="18">
        <f t="shared" si="13"/>
        <v>0</v>
      </c>
    </row>
    <row r="442" spans="49:49" ht="15">
      <c r="AW442" s="18">
        <f t="shared" si="13"/>
        <v>0</v>
      </c>
    </row>
    <row r="443" spans="49:49" ht="15">
      <c r="AW443" s="18">
        <f t="shared" si="13"/>
        <v>0</v>
      </c>
    </row>
    <row r="444" spans="49:49" ht="15">
      <c r="AW444" s="18">
        <f t="shared" si="13"/>
        <v>0</v>
      </c>
    </row>
    <row r="445" spans="49:49" ht="15">
      <c r="AW445" s="18">
        <f t="shared" si="13"/>
        <v>0</v>
      </c>
    </row>
    <row r="446" spans="49:49" ht="15">
      <c r="AW446" s="18">
        <f t="shared" si="13"/>
        <v>0</v>
      </c>
    </row>
    <row r="447" spans="49:49" ht="15">
      <c r="AW447" s="18">
        <f t="shared" si="13"/>
        <v>0</v>
      </c>
    </row>
    <row r="448" spans="49:49" ht="15">
      <c r="AW448" s="18">
        <f t="shared" si="13"/>
        <v>0</v>
      </c>
    </row>
    <row r="449" spans="49:49" ht="15">
      <c r="AW449" s="18">
        <f t="shared" si="13"/>
        <v>0</v>
      </c>
    </row>
    <row r="450" spans="49:49" ht="15">
      <c r="AW450" s="18">
        <f t="shared" si="13"/>
        <v>0</v>
      </c>
    </row>
    <row r="451" spans="49:49" ht="15">
      <c r="AW451" s="18">
        <f t="shared" si="13"/>
        <v>0</v>
      </c>
    </row>
    <row r="452" spans="49:49" ht="15">
      <c r="AW452" s="18">
        <f t="shared" si="13"/>
        <v>0</v>
      </c>
    </row>
    <row r="453" spans="49:49" ht="15">
      <c r="AW453" s="18">
        <f t="shared" si="13"/>
        <v>0</v>
      </c>
    </row>
    <row r="454" spans="49:49" ht="15">
      <c r="AW454" s="18">
        <f t="shared" si="13"/>
        <v>0</v>
      </c>
    </row>
    <row r="455" spans="49:49" ht="15">
      <c r="AW455" s="18">
        <f t="shared" si="13"/>
        <v>0</v>
      </c>
    </row>
    <row r="456" spans="49:49" ht="15">
      <c r="AW456" s="18">
        <f t="shared" si="13"/>
        <v>0</v>
      </c>
    </row>
    <row r="457" spans="49:49" ht="15">
      <c r="AW457" s="18">
        <f t="shared" si="13"/>
        <v>0</v>
      </c>
    </row>
    <row r="458" spans="49:49" ht="15">
      <c r="AW458" s="18">
        <f t="shared" si="13"/>
        <v>0</v>
      </c>
    </row>
    <row r="459" spans="49:49" ht="15">
      <c r="AW459" s="18">
        <f t="shared" si="13"/>
        <v>0</v>
      </c>
    </row>
    <row r="460" spans="49:49" ht="15">
      <c r="AW460" s="18">
        <f t="shared" si="13"/>
        <v>0</v>
      </c>
    </row>
  </sheetData>
  <mergeCells count="60">
    <mergeCell ref="J201:J203"/>
    <mergeCell ref="L126:L190"/>
    <mergeCell ref="L191:L200"/>
    <mergeCell ref="L201:L203"/>
    <mergeCell ref="J191:J200"/>
    <mergeCell ref="J126:J190"/>
    <mergeCell ref="B4:C4"/>
    <mergeCell ref="L5:L6"/>
    <mergeCell ref="AE5:AE6"/>
    <mergeCell ref="U5:U6"/>
    <mergeCell ref="P5:P6"/>
    <mergeCell ref="Q5:Q6"/>
    <mergeCell ref="V5:V6"/>
    <mergeCell ref="AE4:AL4"/>
    <mergeCell ref="AI5:AI6"/>
    <mergeCell ref="J5:J6"/>
    <mergeCell ref="K5:K6"/>
    <mergeCell ref="B5:B6"/>
    <mergeCell ref="D5:D6"/>
    <mergeCell ref="E5:E6"/>
    <mergeCell ref="H5:H6"/>
    <mergeCell ref="I5:I6"/>
    <mergeCell ref="C5:C6"/>
    <mergeCell ref="N5:N6"/>
    <mergeCell ref="O5:O6"/>
    <mergeCell ref="R5:R6"/>
    <mergeCell ref="S5:S6"/>
    <mergeCell ref="CC5:CD5"/>
    <mergeCell ref="BF5:BS5"/>
    <mergeCell ref="BT5:BW5"/>
    <mergeCell ref="AJ5:AJ6"/>
    <mergeCell ref="BX5:BY5"/>
    <mergeCell ref="AL5:AL6"/>
    <mergeCell ref="BZ5:CB5"/>
    <mergeCell ref="AQ5:AQ6"/>
    <mergeCell ref="AT5:AT6"/>
    <mergeCell ref="AK5:AK6"/>
    <mergeCell ref="AZ5:AZ6"/>
    <mergeCell ref="BA5:BE5"/>
    <mergeCell ref="AX5:AX6"/>
    <mergeCell ref="AR5:AR6"/>
    <mergeCell ref="AV5:AV6"/>
    <mergeCell ref="AU5:AU6"/>
    <mergeCell ref="AS5:AS6"/>
    <mergeCell ref="AO4:AU4"/>
    <mergeCell ref="AO5:AO6"/>
    <mergeCell ref="AP5:AP6"/>
    <mergeCell ref="AH5:AH6"/>
    <mergeCell ref="W4:AD4"/>
    <mergeCell ref="AG5:AG6"/>
    <mergeCell ref="T5:T6"/>
    <mergeCell ref="AB5:AB6"/>
    <mergeCell ref="AC5:AC6"/>
    <mergeCell ref="AD5:AD6"/>
    <mergeCell ref="AF5:AF6"/>
    <mergeCell ref="W5:W6"/>
    <mergeCell ref="X5:X6"/>
    <mergeCell ref="Y5:Y6"/>
    <mergeCell ref="Z5:Z6"/>
    <mergeCell ref="AA5:AA6"/>
  </mergeCells>
  <phoneticPr fontId="13" type="noConversion"/>
  <conditionalFormatting sqref="AW58:AW1048576 AW1:AW54">
    <cfRule type="cellIs" dxfId="72" priority="16" stopIfTrue="1" operator="greaterThan">
      <formula>42</formula>
    </cfRule>
  </conditionalFormatting>
  <conditionalFormatting sqref="AW55">
    <cfRule type="cellIs" dxfId="71" priority="9" stopIfTrue="1" operator="greaterThan">
      <formula>42</formula>
    </cfRule>
  </conditionalFormatting>
  <conditionalFormatting sqref="AW56">
    <cfRule type="cellIs" dxfId="70" priority="8" stopIfTrue="1" operator="greaterThan">
      <formula>42</formula>
    </cfRule>
  </conditionalFormatting>
  <conditionalFormatting sqref="AW57">
    <cfRule type="cellIs" dxfId="69" priority="7" stopIfTrue="1" operator="greaterThan">
      <formula>42</formula>
    </cfRule>
  </conditionalFormatting>
  <dataValidations count="2">
    <dataValidation type="textLength" allowBlank="1" showInputMessage="1" showErrorMessage="1" sqref="AO48:AT50" xr:uid="{00000000-0002-0000-0E00-000000000000}">
      <formula1>0</formula1>
      <formula2>4</formula2>
    </dataValidation>
    <dataValidation type="textLength" operator="lessThan" allowBlank="1" showInputMessage="1" showErrorMessage="1" error="text length exceeded" prompt="max. 64 charcters" sqref="B48:C49 B50" xr:uid="{00000000-0002-0000-0E00-000001000000}">
      <formula1>65</formula1>
    </dataValidation>
  </dataValidations>
  <pageMargins left="0.78740157480314965" right="0.78740157480314965" top="0.47244094488188981" bottom="0.51181102362204722" header="0.51181102362204722" footer="0.51181102362204722"/>
  <pageSetup scale="75" orientation="landscape" r:id="rId1"/>
  <rowBreaks count="1" manualBreakCount="1">
    <brk id="57"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7"/>
  <dimension ref="A1:CI454"/>
  <sheetViews>
    <sheetView showGridLines="0" showRuler="0" topLeftCell="A4" zoomScale="60" zoomScaleNormal="60" zoomScalePageLayoutView="70" workbookViewId="0">
      <pane ySplit="3" topLeftCell="A7" activePane="bottomLeft" state="frozenSplit"/>
      <selection activeCell="A4" sqref="A4"/>
      <selection pane="bottomLeft" activeCell="M19" sqref="M19"/>
    </sheetView>
  </sheetViews>
  <sheetFormatPr defaultColWidth="11.44140625" defaultRowHeight="13.2"/>
  <cols>
    <col min="1" max="1" width="5.6640625" style="144" customWidth="1"/>
    <col min="2" max="2" width="46.44140625" style="144" hidden="1" customWidth="1"/>
    <col min="3" max="3" width="8.6640625" style="144" hidden="1" customWidth="1"/>
    <col min="4" max="4" width="11.44140625" style="144" hidden="1" customWidth="1"/>
    <col min="5" max="7" width="10" style="144" hidden="1" customWidth="1"/>
    <col min="8" max="9" width="11.44140625" style="144" hidden="1" customWidth="1"/>
    <col min="10" max="10" width="36.6640625" style="144" customWidth="1"/>
    <col min="11" max="11" width="18.33203125" style="144" customWidth="1"/>
    <col min="12" max="12" width="38.109375" style="144" bestFit="1" customWidth="1"/>
    <col min="13" max="13" width="38.109375" style="144" customWidth="1"/>
    <col min="14" max="14" width="9.6640625" style="138" bestFit="1" customWidth="1"/>
    <col min="15" max="16" width="5.6640625" style="138" customWidth="1"/>
    <col min="17" max="19" width="4.6640625" style="138" customWidth="1"/>
    <col min="20" max="20" width="10" style="138" customWidth="1"/>
    <col min="21" max="21" width="70.88671875" style="138" customWidth="1"/>
    <col min="22" max="22" width="32.6640625" style="144" customWidth="1"/>
    <col min="23" max="23" width="18.33203125" style="144" customWidth="1"/>
    <col min="24" max="24" width="5.44140625" style="144" customWidth="1"/>
    <col min="25" max="25" width="5.6640625" style="144" customWidth="1"/>
    <col min="26" max="27" width="4.6640625" style="144" customWidth="1"/>
    <col min="28" max="28" width="29.88671875" style="144" customWidth="1"/>
    <col min="29" max="29" width="16.109375" style="144" customWidth="1"/>
    <col min="30" max="30" width="22.109375" style="144" customWidth="1"/>
    <col min="31" max="31" width="18.33203125" style="144" customWidth="1"/>
    <col min="32" max="32" width="5.44140625" style="144" customWidth="1"/>
    <col min="33" max="33" width="5.6640625" style="144" customWidth="1"/>
    <col min="34" max="35" width="4.6640625" style="144" customWidth="1"/>
    <col min="36" max="36" width="33.6640625" style="144" customWidth="1"/>
    <col min="37" max="37" width="11.44140625" style="144" customWidth="1"/>
    <col min="38" max="38" width="24.44140625" style="144" customWidth="1"/>
    <col min="39" max="39" width="11.44140625" style="144" customWidth="1"/>
    <col min="40" max="40" width="30.6640625" style="144" customWidth="1"/>
    <col min="41" max="47" width="11.44140625" style="144" customWidth="1"/>
    <col min="48" max="48" width="30.6640625" style="144" customWidth="1"/>
    <col min="49" max="49" width="0" style="144" hidden="1" customWidth="1"/>
    <col min="50" max="16384" width="11.44140625" style="144"/>
  </cols>
  <sheetData>
    <row r="1" spans="1:86" hidden="1"/>
    <row r="2" spans="1:86" hidden="1"/>
    <row r="3" spans="1:86" s="146" customFormat="1" ht="13.8" hidden="1" thickBot="1">
      <c r="C3" s="147"/>
      <c r="E3" s="136"/>
      <c r="F3" s="136"/>
      <c r="G3" s="136"/>
      <c r="H3" s="136"/>
      <c r="I3" s="136"/>
      <c r="J3" s="136"/>
      <c r="K3" s="136"/>
      <c r="L3" s="136"/>
      <c r="M3" s="136"/>
      <c r="N3" s="136"/>
      <c r="O3" s="136"/>
      <c r="P3" s="136"/>
      <c r="Q3" s="136"/>
      <c r="R3" s="136"/>
      <c r="S3" s="136"/>
      <c r="T3" s="136"/>
      <c r="U3" s="136"/>
      <c r="V3" s="136"/>
      <c r="W3" s="136"/>
      <c r="X3" s="148"/>
      <c r="AA3" s="136"/>
      <c r="AB3" s="136"/>
      <c r="AC3" s="136"/>
      <c r="AD3" s="136"/>
      <c r="AE3" s="136"/>
      <c r="AF3" s="148"/>
      <c r="AI3" s="136"/>
      <c r="AJ3" s="136"/>
      <c r="AK3" s="147"/>
      <c r="AL3" s="147"/>
      <c r="AM3" s="147"/>
      <c r="AN3" s="147"/>
      <c r="AO3" s="147"/>
      <c r="AP3" s="147"/>
      <c r="AQ3" s="147"/>
    </row>
    <row r="4" spans="1:86" s="146" customFormat="1" ht="16.5" customHeight="1" thickBot="1">
      <c r="A4" s="149"/>
      <c r="B4" s="688" t="s">
        <v>462</v>
      </c>
      <c r="C4" s="689"/>
      <c r="D4" s="150" t="s">
        <v>463</v>
      </c>
      <c r="E4" s="151"/>
      <c r="F4" s="151"/>
      <c r="G4" s="151"/>
      <c r="H4" s="151"/>
      <c r="I4" s="151"/>
      <c r="J4" s="83" t="s">
        <v>464</v>
      </c>
      <c r="K4" s="84"/>
      <c r="L4" s="84"/>
      <c r="M4" s="84"/>
      <c r="N4" s="135"/>
      <c r="O4" s="135"/>
      <c r="P4" s="135"/>
      <c r="Q4" s="135"/>
      <c r="R4" s="135"/>
      <c r="S4" s="135"/>
      <c r="T4" s="135"/>
      <c r="U4" s="135"/>
      <c r="V4" s="84"/>
      <c r="W4" s="666" t="s">
        <v>465</v>
      </c>
      <c r="X4" s="667"/>
      <c r="Y4" s="667"/>
      <c r="Z4" s="667"/>
      <c r="AA4" s="667"/>
      <c r="AB4" s="667"/>
      <c r="AC4" s="667"/>
      <c r="AD4" s="668"/>
      <c r="AE4" s="669" t="s">
        <v>466</v>
      </c>
      <c r="AF4" s="639"/>
      <c r="AG4" s="639"/>
      <c r="AH4" s="639"/>
      <c r="AI4" s="639"/>
      <c r="AJ4" s="639"/>
      <c r="AK4" s="639"/>
      <c r="AL4" s="639"/>
      <c r="AM4" s="24" t="s">
        <v>467</v>
      </c>
      <c r="AN4" s="157"/>
      <c r="AO4" s="688" t="s">
        <v>468</v>
      </c>
      <c r="AP4" s="690"/>
      <c r="AQ4" s="690"/>
      <c r="AR4" s="690"/>
      <c r="AS4" s="690"/>
      <c r="AT4" s="690"/>
      <c r="AU4" s="689"/>
      <c r="AV4" s="152"/>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row>
    <row r="5" spans="1:86" s="146" customFormat="1" ht="24" customHeight="1" thickBot="1">
      <c r="A5" s="149"/>
      <c r="B5" s="654" t="s">
        <v>469</v>
      </c>
      <c r="C5" s="654" t="s">
        <v>470</v>
      </c>
      <c r="D5" s="637" t="s">
        <v>471</v>
      </c>
      <c r="E5" s="637" t="s">
        <v>472</v>
      </c>
      <c r="F5" s="390"/>
      <c r="G5" s="390"/>
      <c r="H5" s="637" t="s">
        <v>475</v>
      </c>
      <c r="I5" s="646" t="s">
        <v>476</v>
      </c>
      <c r="J5" s="648" t="s">
        <v>477</v>
      </c>
      <c r="K5" s="648" t="s">
        <v>478</v>
      </c>
      <c r="L5" s="648" t="s">
        <v>479</v>
      </c>
      <c r="M5" s="552"/>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6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153"/>
      <c r="CF5" s="153"/>
      <c r="CG5" s="153"/>
      <c r="CH5" s="153"/>
    </row>
    <row r="6" spans="1:86" s="154" customFormat="1" ht="143.25" customHeight="1" thickBot="1">
      <c r="A6" s="58" t="s">
        <v>501</v>
      </c>
      <c r="B6" s="655"/>
      <c r="C6" s="655"/>
      <c r="D6" s="638"/>
      <c r="E6" s="638"/>
      <c r="F6" s="396" t="s">
        <v>473</v>
      </c>
      <c r="G6" s="396" t="s">
        <v>474</v>
      </c>
      <c r="H6" s="638"/>
      <c r="I6" s="647"/>
      <c r="J6" s="649"/>
      <c r="K6" s="649"/>
      <c r="L6" s="649"/>
      <c r="M6" s="553" t="s">
        <v>3506</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153"/>
      <c r="CF6" s="153"/>
      <c r="CG6" s="153"/>
      <c r="CH6" s="153"/>
    </row>
    <row r="7" spans="1:86" ht="15">
      <c r="A7" s="570">
        <f>ROW() - 6</f>
        <v>1</v>
      </c>
      <c r="B7" s="142"/>
      <c r="C7" s="142"/>
      <c r="D7" s="142"/>
      <c r="E7" s="142"/>
      <c r="F7" s="142"/>
      <c r="G7" s="142"/>
      <c r="H7" s="142"/>
      <c r="I7" s="142"/>
      <c r="J7" s="537" t="s">
        <v>503</v>
      </c>
      <c r="K7" s="142"/>
      <c r="L7" s="142"/>
      <c r="M7" s="142"/>
      <c r="N7" s="137"/>
      <c r="O7" s="137"/>
      <c r="P7" s="137"/>
      <c r="Q7" s="137"/>
      <c r="R7" s="137"/>
      <c r="S7" s="137"/>
      <c r="T7" s="137"/>
      <c r="U7" s="571"/>
      <c r="V7" s="145"/>
      <c r="W7" s="142"/>
      <c r="X7" s="142"/>
      <c r="Y7" s="142"/>
      <c r="Z7" s="142"/>
      <c r="AA7" s="142"/>
      <c r="AB7" s="142"/>
      <c r="AC7" s="142"/>
      <c r="AD7" s="142"/>
      <c r="AE7" s="142"/>
      <c r="AF7" s="142"/>
      <c r="AG7" s="142"/>
      <c r="AH7" s="142"/>
      <c r="AI7" s="142"/>
      <c r="AJ7" s="145"/>
      <c r="AK7" s="142"/>
      <c r="AL7" s="142"/>
      <c r="AM7" s="142"/>
      <c r="AN7" s="142"/>
      <c r="AO7" s="142"/>
      <c r="AP7" s="142"/>
      <c r="AQ7" s="142"/>
      <c r="AR7" s="142"/>
      <c r="AS7" s="142"/>
      <c r="AT7" s="142"/>
      <c r="AU7" s="142"/>
      <c r="AV7" s="142"/>
      <c r="AW7" s="155">
        <f>LEN(L7)</f>
        <v>0</v>
      </c>
    </row>
    <row r="8" spans="1:86" s="236" customFormat="1" ht="15">
      <c r="A8" s="40">
        <f t="shared" ref="A8:A42" si="0">ROW() - 6</f>
        <v>2</v>
      </c>
      <c r="B8" s="199"/>
      <c r="C8" s="199"/>
      <c r="D8" s="199"/>
      <c r="E8" s="199"/>
      <c r="F8" s="199"/>
      <c r="G8" s="199"/>
      <c r="H8" s="199"/>
      <c r="I8" s="199"/>
      <c r="J8" s="217" t="s">
        <v>2546</v>
      </c>
      <c r="K8" s="215" t="s">
        <v>85</v>
      </c>
      <c r="L8" s="204" t="s">
        <v>2547</v>
      </c>
      <c r="M8" s="204"/>
      <c r="N8" s="271" t="s">
        <v>1675</v>
      </c>
      <c r="O8" s="369"/>
      <c r="P8" s="126"/>
      <c r="Q8" s="126"/>
      <c r="R8" s="126" t="s">
        <v>6</v>
      </c>
      <c r="S8" s="126" t="s">
        <v>6</v>
      </c>
      <c r="T8" s="126" t="s">
        <v>6</v>
      </c>
      <c r="U8" s="203" t="s">
        <v>2548</v>
      </c>
      <c r="V8" s="201"/>
      <c r="W8" s="215" t="s">
        <v>95</v>
      </c>
      <c r="X8" s="199"/>
      <c r="Y8" s="199"/>
      <c r="Z8" s="126" t="s">
        <v>6</v>
      </c>
      <c r="AA8" s="126" t="s">
        <v>6</v>
      </c>
      <c r="AB8" s="199" t="s">
        <v>1100</v>
      </c>
      <c r="AC8" s="199"/>
      <c r="AD8" s="199"/>
      <c r="AE8" s="215"/>
      <c r="AF8" s="199"/>
      <c r="AG8" s="199"/>
      <c r="AH8" s="126"/>
      <c r="AI8" s="126"/>
      <c r="AJ8" s="199"/>
      <c r="AK8" s="199"/>
      <c r="AL8" s="199"/>
      <c r="AM8" s="199"/>
      <c r="AN8" s="199"/>
      <c r="AO8" s="199"/>
      <c r="AP8" s="199"/>
      <c r="AQ8" s="199"/>
      <c r="AR8" s="199"/>
      <c r="AS8" s="199"/>
      <c r="AT8" s="199"/>
      <c r="AU8" s="199"/>
      <c r="AV8" s="199"/>
      <c r="AW8" s="155">
        <f t="shared" ref="AW8:AW62" si="1">LEN(L8)</f>
        <v>15</v>
      </c>
    </row>
    <row r="9" spans="1:86" s="236" customFormat="1" ht="15">
      <c r="A9" s="40">
        <f t="shared" si="0"/>
        <v>3</v>
      </c>
      <c r="B9" s="199"/>
      <c r="C9" s="199"/>
      <c r="D9" s="199"/>
      <c r="E9" s="199"/>
      <c r="F9" s="199"/>
      <c r="G9" s="199"/>
      <c r="H9" s="199"/>
      <c r="I9" s="199"/>
      <c r="J9" s="412" t="s">
        <v>2549</v>
      </c>
      <c r="K9" s="199" t="s">
        <v>117</v>
      </c>
      <c r="L9" s="204" t="s">
        <v>2550</v>
      </c>
      <c r="M9" s="204"/>
      <c r="N9" s="271" t="s">
        <v>504</v>
      </c>
      <c r="O9" s="369"/>
      <c r="P9" s="126"/>
      <c r="Q9" s="126" t="s">
        <v>6</v>
      </c>
      <c r="R9" s="126" t="s">
        <v>6</v>
      </c>
      <c r="S9" s="126" t="s">
        <v>6</v>
      </c>
      <c r="T9" s="126" t="s">
        <v>6</v>
      </c>
      <c r="U9" s="202"/>
      <c r="V9" s="201"/>
      <c r="W9" s="199" t="s">
        <v>133</v>
      </c>
      <c r="X9" s="199"/>
      <c r="Y9" s="199"/>
      <c r="Z9" s="126" t="s">
        <v>6</v>
      </c>
      <c r="AA9" s="126" t="s">
        <v>6</v>
      </c>
      <c r="AB9" s="199" t="s">
        <v>1100</v>
      </c>
      <c r="AC9" s="199"/>
      <c r="AD9" s="199"/>
      <c r="AE9" s="199"/>
      <c r="AF9" s="199"/>
      <c r="AG9" s="199"/>
      <c r="AH9" s="126"/>
      <c r="AI9" s="126"/>
      <c r="AJ9" s="199"/>
      <c r="AK9" s="199"/>
      <c r="AL9" s="199"/>
      <c r="AM9" s="199"/>
      <c r="AN9" s="199"/>
      <c r="AO9" s="199"/>
      <c r="AP9" s="199"/>
      <c r="AQ9" s="199"/>
      <c r="AR9" s="199"/>
      <c r="AS9" s="199"/>
      <c r="AT9" s="199"/>
      <c r="AU9" s="199"/>
      <c r="AV9" s="199"/>
      <c r="AW9" s="155">
        <f t="shared" ref="AW9" si="2">LEN(L9)</f>
        <v>18</v>
      </c>
    </row>
    <row r="10" spans="1:86" s="236" customFormat="1" ht="15">
      <c r="A10" s="40">
        <f t="shared" si="0"/>
        <v>4</v>
      </c>
      <c r="B10" s="199"/>
      <c r="C10" s="199"/>
      <c r="D10" s="199"/>
      <c r="E10" s="199"/>
      <c r="F10" s="199"/>
      <c r="G10" s="199"/>
      <c r="H10" s="199"/>
      <c r="I10" s="199"/>
      <c r="J10" s="217" t="s">
        <v>2551</v>
      </c>
      <c r="K10" s="217" t="s">
        <v>117</v>
      </c>
      <c r="L10" s="367" t="s">
        <v>1679</v>
      </c>
      <c r="M10" s="367"/>
      <c r="N10" s="271" t="s">
        <v>504</v>
      </c>
      <c r="O10" s="369"/>
      <c r="P10" s="126"/>
      <c r="Q10" s="126"/>
      <c r="R10" s="126" t="s">
        <v>6</v>
      </c>
      <c r="S10" s="126" t="s">
        <v>6</v>
      </c>
      <c r="T10" s="126" t="s">
        <v>6</v>
      </c>
      <c r="U10" s="203"/>
      <c r="V10" s="201"/>
      <c r="W10" s="217" t="s">
        <v>133</v>
      </c>
      <c r="X10" s="199"/>
      <c r="Y10" s="199"/>
      <c r="Z10" s="126" t="s">
        <v>6</v>
      </c>
      <c r="AA10" s="126" t="s">
        <v>6</v>
      </c>
      <c r="AB10" s="199" t="s">
        <v>1100</v>
      </c>
      <c r="AC10" s="199"/>
      <c r="AD10" s="199"/>
      <c r="AE10" s="217"/>
      <c r="AF10" s="199"/>
      <c r="AG10" s="199"/>
      <c r="AH10" s="126"/>
      <c r="AI10" s="126"/>
      <c r="AJ10" s="199"/>
      <c r="AK10" s="199"/>
      <c r="AL10" s="199"/>
      <c r="AM10" s="199"/>
      <c r="AN10" s="199"/>
      <c r="AO10" s="199"/>
      <c r="AP10" s="199"/>
      <c r="AQ10" s="199"/>
      <c r="AR10" s="199"/>
      <c r="AS10" s="199"/>
      <c r="AT10" s="199"/>
      <c r="AU10" s="199"/>
      <c r="AV10" s="199"/>
      <c r="AW10" s="155">
        <f t="shared" si="1"/>
        <v>17</v>
      </c>
    </row>
    <row r="11" spans="1:86" s="236" customFormat="1" ht="42" customHeight="1">
      <c r="A11" s="40">
        <f t="shared" si="0"/>
        <v>5</v>
      </c>
      <c r="B11" s="199"/>
      <c r="C11" s="199"/>
      <c r="D11" s="199"/>
      <c r="E11" s="199"/>
      <c r="F11" s="199"/>
      <c r="G11" s="199"/>
      <c r="H11" s="199"/>
      <c r="I11" s="199"/>
      <c r="J11" s="412" t="s">
        <v>2552</v>
      </c>
      <c r="K11" s="198" t="s">
        <v>128</v>
      </c>
      <c r="L11" s="204" t="s">
        <v>1699</v>
      </c>
      <c r="M11" s="204"/>
      <c r="N11" s="271" t="s">
        <v>504</v>
      </c>
      <c r="O11" s="369"/>
      <c r="P11" s="126"/>
      <c r="Q11" s="416" t="s">
        <v>6</v>
      </c>
      <c r="R11" s="226" t="s">
        <v>6</v>
      </c>
      <c r="S11" s="226" t="s">
        <v>6</v>
      </c>
      <c r="T11" s="126" t="s">
        <v>6</v>
      </c>
      <c r="U11" s="202" t="s">
        <v>2553</v>
      </c>
      <c r="V11" s="204"/>
      <c r="W11" s="199" t="s">
        <v>125</v>
      </c>
      <c r="X11" s="199"/>
      <c r="Y11" s="199"/>
      <c r="Z11" s="199"/>
      <c r="AA11" s="226" t="s">
        <v>6</v>
      </c>
      <c r="AB11" s="207" t="s">
        <v>1100</v>
      </c>
      <c r="AC11" s="199"/>
      <c r="AD11" s="199"/>
      <c r="AE11" s="199"/>
      <c r="AF11" s="199"/>
      <c r="AG11" s="199"/>
      <c r="AH11" s="199"/>
      <c r="AI11" s="226"/>
      <c r="AJ11" s="207"/>
      <c r="AK11" s="199"/>
      <c r="AL11" s="199"/>
      <c r="AM11" s="199"/>
      <c r="AN11" s="199"/>
      <c r="AO11" s="199"/>
      <c r="AP11" s="199"/>
      <c r="AQ11" s="199"/>
      <c r="AR11" s="199"/>
      <c r="AS11" s="199"/>
      <c r="AT11" s="199"/>
      <c r="AU11" s="199"/>
      <c r="AV11" s="199"/>
      <c r="AW11" s="155">
        <f t="shared" si="1"/>
        <v>23</v>
      </c>
    </row>
    <row r="12" spans="1:86" s="20" customFormat="1" ht="15">
      <c r="A12" s="13">
        <f t="shared" si="0"/>
        <v>6</v>
      </c>
      <c r="B12" s="59"/>
      <c r="C12" s="59"/>
      <c r="D12" s="59"/>
      <c r="E12" s="59"/>
      <c r="F12" s="59"/>
      <c r="G12" s="59"/>
      <c r="H12" s="59"/>
      <c r="I12" s="59"/>
      <c r="J12" s="247" t="s">
        <v>2554</v>
      </c>
      <c r="K12" s="412" t="s">
        <v>117</v>
      </c>
      <c r="L12" s="215" t="s">
        <v>1748</v>
      </c>
      <c r="M12" s="215"/>
      <c r="N12" s="40" t="s">
        <v>504</v>
      </c>
      <c r="O12" s="126"/>
      <c r="P12" s="126"/>
      <c r="Q12" s="126" t="s">
        <v>6</v>
      </c>
      <c r="R12" s="126" t="s">
        <v>6</v>
      </c>
      <c r="S12" s="126" t="s">
        <v>6</v>
      </c>
      <c r="T12" s="40" t="s">
        <v>6</v>
      </c>
      <c r="U12" s="202" t="s">
        <v>1749</v>
      </c>
      <c r="V12" s="204"/>
      <c r="W12" s="215" t="s">
        <v>125</v>
      </c>
      <c r="X12" s="59"/>
      <c r="Y12" s="59"/>
      <c r="Z12" s="61"/>
      <c r="AA12" s="61" t="s">
        <v>6</v>
      </c>
      <c r="AB12" s="59"/>
      <c r="AC12" s="59"/>
      <c r="AD12" s="59"/>
      <c r="AE12" s="215" t="s">
        <v>125</v>
      </c>
      <c r="AF12" s="59"/>
      <c r="AG12" s="59"/>
      <c r="AH12" s="61"/>
      <c r="AI12" s="61" t="s">
        <v>6</v>
      </c>
      <c r="AJ12" s="59"/>
      <c r="AK12" s="59"/>
      <c r="AL12" s="59"/>
      <c r="AM12" s="59"/>
      <c r="AN12" s="59"/>
      <c r="AO12" s="59"/>
      <c r="AP12" s="59"/>
      <c r="AQ12" s="59"/>
      <c r="AR12" s="59"/>
      <c r="AS12" s="59"/>
      <c r="AT12" s="59"/>
      <c r="AU12" s="59"/>
      <c r="AV12" s="59"/>
      <c r="AW12" s="18">
        <f t="shared" si="1"/>
        <v>16</v>
      </c>
    </row>
    <row r="13" spans="1:86" s="236" customFormat="1" ht="15">
      <c r="A13" s="40">
        <f t="shared" si="0"/>
        <v>7</v>
      </c>
      <c r="B13" s="199"/>
      <c r="C13" s="199"/>
      <c r="D13" s="199"/>
      <c r="E13" s="199"/>
      <c r="F13" s="199"/>
      <c r="G13" s="199"/>
      <c r="H13" s="199"/>
      <c r="I13" s="199"/>
      <c r="J13" s="217" t="s">
        <v>2555</v>
      </c>
      <c r="K13" s="199" t="s">
        <v>117</v>
      </c>
      <c r="L13" s="204" t="s">
        <v>2556</v>
      </c>
      <c r="M13" s="204"/>
      <c r="N13" s="271" t="s">
        <v>504</v>
      </c>
      <c r="O13" s="369"/>
      <c r="P13" s="126"/>
      <c r="Q13" s="226" t="s">
        <v>6</v>
      </c>
      <c r="R13" s="226" t="s">
        <v>6</v>
      </c>
      <c r="S13" s="226" t="s">
        <v>6</v>
      </c>
      <c r="T13" s="126" t="s">
        <v>6</v>
      </c>
      <c r="U13" s="203"/>
      <c r="V13" s="201"/>
      <c r="W13" s="199" t="s">
        <v>133</v>
      </c>
      <c r="X13" s="199"/>
      <c r="Y13" s="199"/>
      <c r="Z13" s="226" t="s">
        <v>6</v>
      </c>
      <c r="AA13" s="226" t="s">
        <v>6</v>
      </c>
      <c r="AB13" s="207" t="s">
        <v>1100</v>
      </c>
      <c r="AC13" s="199"/>
      <c r="AD13" s="199"/>
      <c r="AE13" s="199"/>
      <c r="AF13" s="199"/>
      <c r="AG13" s="199"/>
      <c r="AH13" s="226"/>
      <c r="AI13" s="226"/>
      <c r="AJ13" s="207"/>
      <c r="AK13" s="199"/>
      <c r="AL13" s="199"/>
      <c r="AM13" s="199"/>
      <c r="AN13" s="199"/>
      <c r="AO13" s="199"/>
      <c r="AP13" s="199"/>
      <c r="AQ13" s="199"/>
      <c r="AR13" s="199"/>
      <c r="AS13" s="199"/>
      <c r="AT13" s="199"/>
      <c r="AU13" s="199"/>
      <c r="AV13" s="199"/>
      <c r="AW13" s="155">
        <f t="shared" si="1"/>
        <v>17</v>
      </c>
    </row>
    <row r="14" spans="1:86" s="236" customFormat="1" ht="15">
      <c r="A14" s="40">
        <f t="shared" si="0"/>
        <v>8</v>
      </c>
      <c r="B14" s="199"/>
      <c r="C14" s="199"/>
      <c r="D14" s="199"/>
      <c r="E14" s="199"/>
      <c r="F14" s="199"/>
      <c r="G14" s="199"/>
      <c r="H14" s="199"/>
      <c r="I14" s="199"/>
      <c r="J14" s="217" t="s">
        <v>2557</v>
      </c>
      <c r="K14" s="199" t="s">
        <v>132</v>
      </c>
      <c r="L14" s="204" t="s">
        <v>2558</v>
      </c>
      <c r="M14" s="204"/>
      <c r="N14" s="271" t="s">
        <v>504</v>
      </c>
      <c r="O14" s="369"/>
      <c r="P14" s="126"/>
      <c r="Q14" s="226" t="s">
        <v>6</v>
      </c>
      <c r="R14" s="226" t="s">
        <v>6</v>
      </c>
      <c r="S14" s="226" t="s">
        <v>6</v>
      </c>
      <c r="T14" s="126" t="s">
        <v>6</v>
      </c>
      <c r="U14" s="202"/>
      <c r="V14" s="201"/>
      <c r="W14" s="199" t="s">
        <v>133</v>
      </c>
      <c r="X14" s="199"/>
      <c r="Y14" s="199"/>
      <c r="Z14" s="226" t="s">
        <v>6</v>
      </c>
      <c r="AA14" s="226" t="s">
        <v>6</v>
      </c>
      <c r="AB14" s="207" t="s">
        <v>1100</v>
      </c>
      <c r="AC14" s="199"/>
      <c r="AD14" s="199"/>
      <c r="AE14" s="199"/>
      <c r="AF14" s="199"/>
      <c r="AG14" s="199"/>
      <c r="AH14" s="226"/>
      <c r="AI14" s="226"/>
      <c r="AJ14" s="207"/>
      <c r="AK14" s="199"/>
      <c r="AL14" s="199"/>
      <c r="AM14" s="199"/>
      <c r="AN14" s="199"/>
      <c r="AO14" s="199"/>
      <c r="AP14" s="199"/>
      <c r="AQ14" s="199"/>
      <c r="AR14" s="199"/>
      <c r="AS14" s="199"/>
      <c r="AT14" s="199"/>
      <c r="AU14" s="199"/>
      <c r="AV14" s="199"/>
      <c r="AW14" s="155">
        <f t="shared" si="1"/>
        <v>18</v>
      </c>
    </row>
    <row r="15" spans="1:86" s="236" customFormat="1" ht="15">
      <c r="A15" s="40">
        <f t="shared" si="0"/>
        <v>9</v>
      </c>
      <c r="B15" s="199"/>
      <c r="C15" s="199"/>
      <c r="D15" s="199"/>
      <c r="E15" s="199"/>
      <c r="F15" s="199"/>
      <c r="G15" s="199"/>
      <c r="H15" s="199"/>
      <c r="I15" s="199"/>
      <c r="J15" s="217" t="s">
        <v>2559</v>
      </c>
      <c r="K15" s="215" t="s">
        <v>85</v>
      </c>
      <c r="L15" s="204" t="s">
        <v>2560</v>
      </c>
      <c r="M15" s="204"/>
      <c r="N15" s="271" t="s">
        <v>1675</v>
      </c>
      <c r="O15" s="369"/>
      <c r="P15" s="126"/>
      <c r="Q15" s="126"/>
      <c r="R15" s="226" t="s">
        <v>6</v>
      </c>
      <c r="S15" s="226" t="s">
        <v>6</v>
      </c>
      <c r="T15" s="126" t="s">
        <v>6</v>
      </c>
      <c r="U15" s="203" t="s">
        <v>2561</v>
      </c>
      <c r="V15" s="201"/>
      <c r="W15" s="215" t="s">
        <v>95</v>
      </c>
      <c r="X15" s="199"/>
      <c r="Y15" s="199"/>
      <c r="Z15" s="226" t="s">
        <v>6</v>
      </c>
      <c r="AA15" s="226" t="s">
        <v>6</v>
      </c>
      <c r="AB15" s="207" t="s">
        <v>1100</v>
      </c>
      <c r="AC15" s="199"/>
      <c r="AD15" s="199"/>
      <c r="AE15" s="215"/>
      <c r="AF15" s="199"/>
      <c r="AG15" s="199"/>
      <c r="AH15" s="226"/>
      <c r="AI15" s="226"/>
      <c r="AJ15" s="207"/>
      <c r="AK15" s="199"/>
      <c r="AL15" s="199"/>
      <c r="AM15" s="199"/>
      <c r="AN15" s="199"/>
      <c r="AO15" s="199"/>
      <c r="AP15" s="199"/>
      <c r="AQ15" s="199"/>
      <c r="AR15" s="199"/>
      <c r="AS15" s="199"/>
      <c r="AT15" s="199"/>
      <c r="AU15" s="199"/>
      <c r="AV15" s="199"/>
      <c r="AW15" s="155">
        <f t="shared" si="1"/>
        <v>16</v>
      </c>
    </row>
    <row r="16" spans="1:86" s="236" customFormat="1" ht="15">
      <c r="A16" s="40">
        <f t="shared" si="0"/>
        <v>10</v>
      </c>
      <c r="B16" s="199"/>
      <c r="C16" s="199"/>
      <c r="D16" s="199"/>
      <c r="E16" s="199"/>
      <c r="F16" s="199"/>
      <c r="G16" s="199"/>
      <c r="H16" s="199"/>
      <c r="I16" s="199"/>
      <c r="J16" s="217" t="s">
        <v>2562</v>
      </c>
      <c r="K16" s="217" t="s">
        <v>117</v>
      </c>
      <c r="L16" s="367" t="s">
        <v>1679</v>
      </c>
      <c r="M16" s="367"/>
      <c r="N16" s="271" t="s">
        <v>504</v>
      </c>
      <c r="O16" s="369"/>
      <c r="P16" s="126"/>
      <c r="Q16" s="126"/>
      <c r="R16" s="226" t="s">
        <v>6</v>
      </c>
      <c r="S16" s="226" t="s">
        <v>6</v>
      </c>
      <c r="T16" s="126" t="s">
        <v>6</v>
      </c>
      <c r="U16" s="203"/>
      <c r="V16" s="201"/>
      <c r="W16" s="199" t="s">
        <v>125</v>
      </c>
      <c r="X16" s="199"/>
      <c r="Y16" s="199"/>
      <c r="Z16" s="199"/>
      <c r="AA16" s="226" t="s">
        <v>6</v>
      </c>
      <c r="AB16" s="207" t="s">
        <v>1100</v>
      </c>
      <c r="AC16" s="199"/>
      <c r="AD16" s="199"/>
      <c r="AE16" s="199"/>
      <c r="AF16" s="199"/>
      <c r="AG16" s="199"/>
      <c r="AH16" s="199"/>
      <c r="AI16" s="226"/>
      <c r="AJ16" s="207"/>
      <c r="AK16" s="199"/>
      <c r="AL16" s="199"/>
      <c r="AM16" s="199"/>
      <c r="AN16" s="199"/>
      <c r="AO16" s="199"/>
      <c r="AP16" s="199"/>
      <c r="AQ16" s="199"/>
      <c r="AR16" s="199"/>
      <c r="AS16" s="199"/>
      <c r="AT16" s="199"/>
      <c r="AU16" s="199"/>
      <c r="AV16" s="199"/>
      <c r="AW16" s="155">
        <f t="shared" si="1"/>
        <v>17</v>
      </c>
    </row>
    <row r="17" spans="1:49" s="236" customFormat="1" ht="15">
      <c r="A17" s="40">
        <f t="shared" si="0"/>
        <v>11</v>
      </c>
      <c r="B17" s="199"/>
      <c r="C17" s="199"/>
      <c r="D17" s="199"/>
      <c r="E17" s="199"/>
      <c r="F17" s="199"/>
      <c r="G17" s="199"/>
      <c r="H17" s="199"/>
      <c r="I17" s="199"/>
      <c r="J17" s="217" t="s">
        <v>2563</v>
      </c>
      <c r="K17" s="199" t="s">
        <v>132</v>
      </c>
      <c r="L17" s="204" t="s">
        <v>2558</v>
      </c>
      <c r="M17" s="204"/>
      <c r="N17" s="271" t="s">
        <v>504</v>
      </c>
      <c r="O17" s="369"/>
      <c r="P17" s="126"/>
      <c r="Q17" s="226" t="s">
        <v>6</v>
      </c>
      <c r="R17" s="226" t="s">
        <v>6</v>
      </c>
      <c r="S17" s="226" t="s">
        <v>6</v>
      </c>
      <c r="T17" s="126" t="s">
        <v>6</v>
      </c>
      <c r="U17" s="202"/>
      <c r="V17" s="201"/>
      <c r="W17" s="199" t="s">
        <v>133</v>
      </c>
      <c r="X17" s="199"/>
      <c r="Y17" s="199"/>
      <c r="Z17" s="226" t="s">
        <v>6</v>
      </c>
      <c r="AA17" s="226" t="s">
        <v>6</v>
      </c>
      <c r="AB17" s="207" t="s">
        <v>1100</v>
      </c>
      <c r="AC17" s="199"/>
      <c r="AD17" s="199"/>
      <c r="AE17" s="199"/>
      <c r="AF17" s="199"/>
      <c r="AG17" s="199"/>
      <c r="AH17" s="226"/>
      <c r="AI17" s="226"/>
      <c r="AJ17" s="207"/>
      <c r="AK17" s="199"/>
      <c r="AL17" s="199"/>
      <c r="AM17" s="199"/>
      <c r="AN17" s="199"/>
      <c r="AO17" s="199"/>
      <c r="AP17" s="199"/>
      <c r="AQ17" s="199"/>
      <c r="AR17" s="199"/>
      <c r="AS17" s="199"/>
      <c r="AT17" s="199"/>
      <c r="AU17" s="199"/>
      <c r="AV17" s="199"/>
      <c r="AW17" s="155">
        <f t="shared" si="1"/>
        <v>18</v>
      </c>
    </row>
    <row r="18" spans="1:49" s="236" customFormat="1" ht="15">
      <c r="A18" s="40">
        <f t="shared" si="0"/>
        <v>12</v>
      </c>
      <c r="B18" s="199"/>
      <c r="C18" s="199"/>
      <c r="D18" s="199"/>
      <c r="E18" s="199"/>
      <c r="F18" s="199"/>
      <c r="G18" s="199"/>
      <c r="H18" s="199"/>
      <c r="I18" s="199"/>
      <c r="J18" s="217" t="s">
        <v>2564</v>
      </c>
      <c r="K18" s="199" t="s">
        <v>128</v>
      </c>
      <c r="L18" s="204" t="s">
        <v>1755</v>
      </c>
      <c r="M18" s="204"/>
      <c r="N18" s="271" t="s">
        <v>504</v>
      </c>
      <c r="O18" s="369"/>
      <c r="P18" s="126"/>
      <c r="Q18" s="226"/>
      <c r="R18" s="226" t="s">
        <v>6</v>
      </c>
      <c r="S18" s="226" t="s">
        <v>6</v>
      </c>
      <c r="T18" s="126" t="s">
        <v>6</v>
      </c>
      <c r="U18" s="202"/>
      <c r="V18" s="204"/>
      <c r="W18" s="199" t="s">
        <v>125</v>
      </c>
      <c r="X18" s="199"/>
      <c r="Y18" s="199"/>
      <c r="Z18" s="199"/>
      <c r="AA18" s="226" t="s">
        <v>6</v>
      </c>
      <c r="AB18" s="207" t="s">
        <v>1100</v>
      </c>
      <c r="AC18" s="199"/>
      <c r="AD18" s="199"/>
      <c r="AE18" s="199"/>
      <c r="AF18" s="199"/>
      <c r="AG18" s="199"/>
      <c r="AH18" s="199"/>
      <c r="AI18" s="226"/>
      <c r="AJ18" s="207"/>
      <c r="AK18" s="199"/>
      <c r="AL18" s="199"/>
      <c r="AM18" s="199"/>
      <c r="AN18" s="199"/>
      <c r="AO18" s="199"/>
      <c r="AP18" s="199"/>
      <c r="AQ18" s="199"/>
      <c r="AR18" s="199"/>
      <c r="AS18" s="199"/>
      <c r="AT18" s="199"/>
      <c r="AU18" s="199"/>
      <c r="AV18" s="199"/>
      <c r="AW18" s="155">
        <f t="shared" si="1"/>
        <v>37</v>
      </c>
    </row>
    <row r="19" spans="1:49" s="236" customFormat="1" ht="15">
      <c r="A19" s="40">
        <f t="shared" si="0"/>
        <v>13</v>
      </c>
      <c r="B19" s="199"/>
      <c r="C19" s="199"/>
      <c r="D19" s="199"/>
      <c r="E19" s="199"/>
      <c r="F19" s="199"/>
      <c r="G19" s="199"/>
      <c r="H19" s="199"/>
      <c r="I19" s="199"/>
      <c r="J19" s="217" t="s">
        <v>2565</v>
      </c>
      <c r="K19" s="199" t="s">
        <v>117</v>
      </c>
      <c r="L19" s="204" t="s">
        <v>2556</v>
      </c>
      <c r="M19" s="204"/>
      <c r="N19" s="271" t="s">
        <v>504</v>
      </c>
      <c r="O19" s="369"/>
      <c r="P19" s="126"/>
      <c r="Q19" s="226" t="s">
        <v>6</v>
      </c>
      <c r="R19" s="226" t="s">
        <v>6</v>
      </c>
      <c r="S19" s="226" t="s">
        <v>6</v>
      </c>
      <c r="T19" s="126" t="s">
        <v>6</v>
      </c>
      <c r="U19" s="203"/>
      <c r="V19" s="201"/>
      <c r="W19" s="199" t="s">
        <v>133</v>
      </c>
      <c r="X19" s="199"/>
      <c r="Y19" s="199"/>
      <c r="Z19" s="226" t="s">
        <v>6</v>
      </c>
      <c r="AA19" s="226" t="s">
        <v>6</v>
      </c>
      <c r="AB19" s="207" t="s">
        <v>1100</v>
      </c>
      <c r="AC19" s="199"/>
      <c r="AD19" s="199"/>
      <c r="AE19" s="199"/>
      <c r="AF19" s="199"/>
      <c r="AG19" s="199"/>
      <c r="AH19" s="226"/>
      <c r="AI19" s="226"/>
      <c r="AJ19" s="207"/>
      <c r="AK19" s="199"/>
      <c r="AL19" s="199"/>
      <c r="AM19" s="199"/>
      <c r="AN19" s="199"/>
      <c r="AO19" s="199"/>
      <c r="AP19" s="199"/>
      <c r="AQ19" s="199"/>
      <c r="AR19" s="199"/>
      <c r="AS19" s="199"/>
      <c r="AT19" s="199"/>
      <c r="AU19" s="199"/>
      <c r="AV19" s="199"/>
      <c r="AW19" s="155">
        <f t="shared" si="1"/>
        <v>17</v>
      </c>
    </row>
    <row r="20" spans="1:49" s="236" customFormat="1" ht="15">
      <c r="A20" s="40">
        <f t="shared" si="0"/>
        <v>14</v>
      </c>
      <c r="B20" s="199"/>
      <c r="C20" s="199"/>
      <c r="D20" s="199"/>
      <c r="E20" s="199"/>
      <c r="F20" s="199"/>
      <c r="G20" s="199"/>
      <c r="H20" s="199"/>
      <c r="I20" s="199"/>
      <c r="J20" s="217" t="s">
        <v>2566</v>
      </c>
      <c r="K20" s="199" t="s">
        <v>117</v>
      </c>
      <c r="L20" s="204" t="s">
        <v>2567</v>
      </c>
      <c r="M20" s="204"/>
      <c r="N20" s="271" t="s">
        <v>504</v>
      </c>
      <c r="O20" s="369"/>
      <c r="P20" s="126"/>
      <c r="Q20" s="226" t="s">
        <v>6</v>
      </c>
      <c r="R20" s="226" t="s">
        <v>6</v>
      </c>
      <c r="S20" s="226" t="s">
        <v>6</v>
      </c>
      <c r="T20" s="126" t="s">
        <v>6</v>
      </c>
      <c r="U20" s="203"/>
      <c r="V20" s="201"/>
      <c r="W20" s="199" t="s">
        <v>133</v>
      </c>
      <c r="X20" s="199"/>
      <c r="Y20" s="199"/>
      <c r="Z20" s="226" t="s">
        <v>6</v>
      </c>
      <c r="AA20" s="226" t="s">
        <v>6</v>
      </c>
      <c r="AB20" s="207" t="s">
        <v>1100</v>
      </c>
      <c r="AC20" s="199"/>
      <c r="AD20" s="199"/>
      <c r="AE20" s="199"/>
      <c r="AF20" s="199"/>
      <c r="AG20" s="199"/>
      <c r="AH20" s="226"/>
      <c r="AI20" s="226"/>
      <c r="AJ20" s="207"/>
      <c r="AK20" s="199"/>
      <c r="AL20" s="199"/>
      <c r="AM20" s="199"/>
      <c r="AN20" s="199"/>
      <c r="AO20" s="199"/>
      <c r="AP20" s="199"/>
      <c r="AQ20" s="199"/>
      <c r="AR20" s="199"/>
      <c r="AS20" s="199"/>
      <c r="AT20" s="199"/>
      <c r="AU20" s="199"/>
      <c r="AV20" s="199"/>
      <c r="AW20" s="155">
        <f t="shared" si="1"/>
        <v>40</v>
      </c>
    </row>
    <row r="21" spans="1:49" s="236" customFormat="1" ht="15">
      <c r="A21" s="40">
        <f t="shared" si="0"/>
        <v>15</v>
      </c>
      <c r="B21" s="199"/>
      <c r="C21" s="199"/>
      <c r="D21" s="199"/>
      <c r="E21" s="199"/>
      <c r="F21" s="199"/>
      <c r="G21" s="199"/>
      <c r="H21" s="199"/>
      <c r="I21" s="199"/>
      <c r="J21" s="217" t="s">
        <v>2568</v>
      </c>
      <c r="K21" s="199" t="s">
        <v>117</v>
      </c>
      <c r="L21" s="204" t="s">
        <v>2569</v>
      </c>
      <c r="M21" s="204"/>
      <c r="N21" s="271" t="s">
        <v>504</v>
      </c>
      <c r="O21" s="369"/>
      <c r="P21" s="126"/>
      <c r="Q21" s="226" t="s">
        <v>6</v>
      </c>
      <c r="R21" s="226" t="s">
        <v>6</v>
      </c>
      <c r="S21" s="226" t="s">
        <v>6</v>
      </c>
      <c r="T21" s="126" t="s">
        <v>6</v>
      </c>
      <c r="U21" s="203"/>
      <c r="V21" s="201"/>
      <c r="W21" s="199" t="s">
        <v>133</v>
      </c>
      <c r="X21" s="199"/>
      <c r="Y21" s="199"/>
      <c r="Z21" s="226" t="s">
        <v>6</v>
      </c>
      <c r="AA21" s="226" t="s">
        <v>6</v>
      </c>
      <c r="AB21" s="207" t="s">
        <v>1100</v>
      </c>
      <c r="AC21" s="199"/>
      <c r="AD21" s="199"/>
      <c r="AE21" s="199"/>
      <c r="AF21" s="199"/>
      <c r="AG21" s="199"/>
      <c r="AH21" s="226"/>
      <c r="AI21" s="226"/>
      <c r="AJ21" s="207"/>
      <c r="AK21" s="199"/>
      <c r="AL21" s="199"/>
      <c r="AM21" s="199"/>
      <c r="AN21" s="199"/>
      <c r="AO21" s="199"/>
      <c r="AP21" s="199"/>
      <c r="AQ21" s="199"/>
      <c r="AR21" s="199"/>
      <c r="AS21" s="199"/>
      <c r="AT21" s="199"/>
      <c r="AU21" s="199"/>
      <c r="AV21" s="199"/>
      <c r="AW21" s="155">
        <f t="shared" si="1"/>
        <v>21</v>
      </c>
    </row>
    <row r="22" spans="1:49" s="236" customFormat="1" ht="15">
      <c r="A22" s="40">
        <f t="shared" si="0"/>
        <v>16</v>
      </c>
      <c r="B22" s="199"/>
      <c r="C22" s="199"/>
      <c r="D22" s="199"/>
      <c r="E22" s="199"/>
      <c r="F22" s="199"/>
      <c r="G22" s="199"/>
      <c r="H22" s="199"/>
      <c r="I22" s="199"/>
      <c r="J22" s="217" t="s">
        <v>2570</v>
      </c>
      <c r="K22" s="199" t="s">
        <v>117</v>
      </c>
      <c r="L22" s="204" t="s">
        <v>2571</v>
      </c>
      <c r="M22" s="204"/>
      <c r="N22" s="271" t="s">
        <v>504</v>
      </c>
      <c r="O22" s="369"/>
      <c r="P22" s="126"/>
      <c r="Q22" s="226" t="s">
        <v>6</v>
      </c>
      <c r="R22" s="226" t="s">
        <v>6</v>
      </c>
      <c r="S22" s="226" t="s">
        <v>6</v>
      </c>
      <c r="T22" s="126" t="s">
        <v>6</v>
      </c>
      <c r="U22" s="203"/>
      <c r="V22" s="201"/>
      <c r="W22" s="199" t="s">
        <v>133</v>
      </c>
      <c r="X22" s="199"/>
      <c r="Y22" s="199"/>
      <c r="Z22" s="226" t="s">
        <v>6</v>
      </c>
      <c r="AA22" s="226" t="s">
        <v>6</v>
      </c>
      <c r="AB22" s="207" t="s">
        <v>1100</v>
      </c>
      <c r="AC22" s="199"/>
      <c r="AD22" s="199"/>
      <c r="AE22" s="199"/>
      <c r="AF22" s="199"/>
      <c r="AG22" s="199"/>
      <c r="AH22" s="226"/>
      <c r="AI22" s="226"/>
      <c r="AJ22" s="207"/>
      <c r="AK22" s="199"/>
      <c r="AL22" s="199"/>
      <c r="AM22" s="199"/>
      <c r="AN22" s="199"/>
      <c r="AO22" s="199"/>
      <c r="AP22" s="199"/>
      <c r="AQ22" s="199"/>
      <c r="AR22" s="199"/>
      <c r="AS22" s="199"/>
      <c r="AT22" s="199"/>
      <c r="AU22" s="199"/>
      <c r="AV22" s="199"/>
      <c r="AW22" s="155">
        <f t="shared" si="1"/>
        <v>25</v>
      </c>
    </row>
    <row r="23" spans="1:49" s="236" customFormat="1" ht="15">
      <c r="A23" s="40">
        <f t="shared" si="0"/>
        <v>17</v>
      </c>
      <c r="B23" s="199"/>
      <c r="C23" s="199"/>
      <c r="D23" s="199"/>
      <c r="E23" s="199"/>
      <c r="F23" s="199"/>
      <c r="G23" s="199"/>
      <c r="H23" s="199"/>
      <c r="I23" s="199"/>
      <c r="J23" s="217" t="s">
        <v>2572</v>
      </c>
      <c r="K23" s="199" t="s">
        <v>117</v>
      </c>
      <c r="L23" s="204" t="s">
        <v>2573</v>
      </c>
      <c r="M23" s="204"/>
      <c r="N23" s="271" t="s">
        <v>504</v>
      </c>
      <c r="O23" s="369"/>
      <c r="P23" s="126"/>
      <c r="Q23" s="226" t="s">
        <v>6</v>
      </c>
      <c r="R23" s="226" t="s">
        <v>6</v>
      </c>
      <c r="S23" s="226" t="s">
        <v>6</v>
      </c>
      <c r="T23" s="126" t="s">
        <v>6</v>
      </c>
      <c r="U23" s="203"/>
      <c r="V23" s="201"/>
      <c r="W23" s="199" t="s">
        <v>133</v>
      </c>
      <c r="X23" s="199"/>
      <c r="Y23" s="199"/>
      <c r="Z23" s="226" t="s">
        <v>6</v>
      </c>
      <c r="AA23" s="226" t="s">
        <v>6</v>
      </c>
      <c r="AB23" s="207" t="s">
        <v>1100</v>
      </c>
      <c r="AC23" s="199"/>
      <c r="AD23" s="199"/>
      <c r="AE23" s="199"/>
      <c r="AF23" s="199"/>
      <c r="AG23" s="199"/>
      <c r="AH23" s="226"/>
      <c r="AI23" s="226"/>
      <c r="AJ23" s="207"/>
      <c r="AK23" s="199"/>
      <c r="AL23" s="199"/>
      <c r="AM23" s="199"/>
      <c r="AN23" s="199"/>
      <c r="AO23" s="199"/>
      <c r="AP23" s="199"/>
      <c r="AQ23" s="199"/>
      <c r="AR23" s="199"/>
      <c r="AS23" s="199"/>
      <c r="AT23" s="199"/>
      <c r="AU23" s="199"/>
      <c r="AV23" s="199"/>
      <c r="AW23" s="155">
        <f t="shared" si="1"/>
        <v>25</v>
      </c>
    </row>
    <row r="24" spans="1:49" s="236" customFormat="1" ht="15">
      <c r="A24" s="40">
        <f t="shared" si="0"/>
        <v>18</v>
      </c>
      <c r="B24" s="199"/>
      <c r="C24" s="199"/>
      <c r="D24" s="199"/>
      <c r="E24" s="199"/>
      <c r="F24" s="199"/>
      <c r="G24" s="199"/>
      <c r="H24" s="199"/>
      <c r="I24" s="199"/>
      <c r="J24" s="217" t="s">
        <v>2574</v>
      </c>
      <c r="K24" s="199" t="s">
        <v>117</v>
      </c>
      <c r="L24" s="204" t="s">
        <v>2575</v>
      </c>
      <c r="M24" s="204"/>
      <c r="N24" s="271" t="s">
        <v>504</v>
      </c>
      <c r="O24" s="369"/>
      <c r="P24" s="126"/>
      <c r="Q24" s="226" t="s">
        <v>6</v>
      </c>
      <c r="R24" s="226" t="s">
        <v>6</v>
      </c>
      <c r="S24" s="226" t="s">
        <v>6</v>
      </c>
      <c r="T24" s="126" t="s">
        <v>6</v>
      </c>
      <c r="U24" s="203"/>
      <c r="V24" s="201"/>
      <c r="W24" s="215" t="s">
        <v>95</v>
      </c>
      <c r="X24" s="199"/>
      <c r="Y24" s="199"/>
      <c r="Z24" s="226" t="s">
        <v>6</v>
      </c>
      <c r="AA24" s="226" t="s">
        <v>6</v>
      </c>
      <c r="AB24" s="207" t="s">
        <v>1100</v>
      </c>
      <c r="AC24" s="199"/>
      <c r="AD24" s="199"/>
      <c r="AE24" s="215"/>
      <c r="AF24" s="199"/>
      <c r="AG24" s="199"/>
      <c r="AH24" s="226"/>
      <c r="AI24" s="226"/>
      <c r="AJ24" s="207"/>
      <c r="AK24" s="199"/>
      <c r="AL24" s="199"/>
      <c r="AM24" s="199"/>
      <c r="AN24" s="199"/>
      <c r="AO24" s="199"/>
      <c r="AP24" s="199"/>
      <c r="AQ24" s="199"/>
      <c r="AR24" s="199"/>
      <c r="AS24" s="199"/>
      <c r="AT24" s="199"/>
      <c r="AU24" s="199"/>
      <c r="AV24" s="199"/>
      <c r="AW24" s="155">
        <f t="shared" si="1"/>
        <v>29</v>
      </c>
    </row>
    <row r="25" spans="1:49" s="14" customFormat="1" ht="15">
      <c r="A25" s="40">
        <f t="shared" si="0"/>
        <v>19</v>
      </c>
      <c r="B25" s="38"/>
      <c r="C25" s="41"/>
      <c r="D25" s="38"/>
      <c r="E25" s="38"/>
      <c r="F25" s="38"/>
      <c r="G25" s="38"/>
      <c r="H25" s="40"/>
      <c r="I25" s="40"/>
      <c r="J25" s="217" t="s">
        <v>2576</v>
      </c>
      <c r="K25" s="412" t="s">
        <v>103</v>
      </c>
      <c r="L25" s="225" t="s">
        <v>2577</v>
      </c>
      <c r="M25" s="225"/>
      <c r="N25" s="271" t="s">
        <v>504</v>
      </c>
      <c r="O25" s="40"/>
      <c r="P25" s="40"/>
      <c r="Q25" s="40"/>
      <c r="R25" s="226" t="s">
        <v>6</v>
      </c>
      <c r="S25" s="226" t="s">
        <v>6</v>
      </c>
      <c r="T25" s="126" t="s">
        <v>6</v>
      </c>
      <c r="U25" s="203"/>
      <c r="V25" s="201"/>
      <c r="W25" s="412" t="s">
        <v>103</v>
      </c>
      <c r="X25" s="40"/>
      <c r="Y25" s="40"/>
      <c r="Z25" s="226" t="s">
        <v>6</v>
      </c>
      <c r="AA25" s="226" t="s">
        <v>6</v>
      </c>
      <c r="AB25" s="207" t="s">
        <v>1100</v>
      </c>
      <c r="AC25" s="40"/>
      <c r="AD25" s="40"/>
      <c r="AE25" s="412"/>
      <c r="AF25" s="40"/>
      <c r="AG25" s="40"/>
      <c r="AH25" s="226"/>
      <c r="AI25" s="226"/>
      <c r="AJ25" s="207"/>
      <c r="AK25" s="40"/>
      <c r="AL25" s="40"/>
      <c r="AM25" s="198"/>
      <c r="AN25" s="232"/>
      <c r="AO25" s="245"/>
      <c r="AP25" s="245"/>
      <c r="AQ25" s="245"/>
      <c r="AR25" s="245"/>
      <c r="AS25" s="245"/>
      <c r="AT25" s="245"/>
      <c r="AU25" s="40"/>
      <c r="AV25" s="40"/>
      <c r="AW25" s="155">
        <f t="shared" si="1"/>
        <v>13</v>
      </c>
    </row>
    <row r="26" spans="1:49" s="236" customFormat="1" ht="15">
      <c r="A26" s="40">
        <f t="shared" si="0"/>
        <v>20</v>
      </c>
      <c r="B26" s="199"/>
      <c r="C26" s="199"/>
      <c r="D26" s="199"/>
      <c r="E26" s="199"/>
      <c r="F26" s="199"/>
      <c r="G26" s="199"/>
      <c r="H26" s="199"/>
      <c r="I26" s="199"/>
      <c r="J26" s="412" t="s">
        <v>2578</v>
      </c>
      <c r="K26" s="199" t="s">
        <v>128</v>
      </c>
      <c r="L26" s="204" t="s">
        <v>2579</v>
      </c>
      <c r="M26" s="204"/>
      <c r="N26" s="271" t="s">
        <v>504</v>
      </c>
      <c r="O26" s="369"/>
      <c r="P26" s="40"/>
      <c r="Q26" s="226" t="s">
        <v>6</v>
      </c>
      <c r="R26" s="226" t="s">
        <v>6</v>
      </c>
      <c r="S26" s="226" t="s">
        <v>6</v>
      </c>
      <c r="T26" s="40" t="s">
        <v>6</v>
      </c>
      <c r="U26" s="202"/>
      <c r="V26" s="204"/>
      <c r="W26" s="199" t="s">
        <v>128</v>
      </c>
      <c r="X26" s="199"/>
      <c r="Y26" s="199"/>
      <c r="Z26" s="226" t="s">
        <v>6</v>
      </c>
      <c r="AA26" s="226" t="s">
        <v>6</v>
      </c>
      <c r="AB26" s="207" t="s">
        <v>1100</v>
      </c>
      <c r="AC26" s="199"/>
      <c r="AD26" s="199"/>
      <c r="AE26" s="199"/>
      <c r="AF26" s="199"/>
      <c r="AG26" s="199"/>
      <c r="AH26" s="226"/>
      <c r="AI26" s="226"/>
      <c r="AJ26" s="207"/>
      <c r="AK26" s="199"/>
      <c r="AL26" s="199"/>
      <c r="AM26" s="199"/>
      <c r="AN26" s="199"/>
      <c r="AO26" s="199"/>
      <c r="AP26" s="199"/>
      <c r="AQ26" s="199"/>
      <c r="AR26" s="199"/>
      <c r="AS26" s="199"/>
      <c r="AT26" s="199"/>
      <c r="AU26" s="199"/>
      <c r="AV26" s="199"/>
      <c r="AW26" s="155">
        <f>LEN(L26)</f>
        <v>21</v>
      </c>
    </row>
    <row r="27" spans="1:49" s="236" customFormat="1" ht="15">
      <c r="A27" s="40">
        <f t="shared" si="0"/>
        <v>21</v>
      </c>
      <c r="B27" s="199"/>
      <c r="C27" s="199"/>
      <c r="D27" s="199"/>
      <c r="E27" s="199"/>
      <c r="F27" s="199"/>
      <c r="G27" s="199"/>
      <c r="H27" s="199"/>
      <c r="I27" s="199"/>
      <c r="J27" s="217" t="s">
        <v>2580</v>
      </c>
      <c r="K27" s="412" t="s">
        <v>75</v>
      </c>
      <c r="L27" s="204" t="s">
        <v>2581</v>
      </c>
      <c r="M27" s="204"/>
      <c r="N27" s="271" t="s">
        <v>504</v>
      </c>
      <c r="O27" s="369"/>
      <c r="P27" s="40"/>
      <c r="Q27" s="226" t="s">
        <v>6</v>
      </c>
      <c r="R27" s="226" t="s">
        <v>6</v>
      </c>
      <c r="S27" s="226" t="s">
        <v>6</v>
      </c>
      <c r="T27" s="126" t="s">
        <v>6</v>
      </c>
      <c r="U27" s="202"/>
      <c r="V27" s="204"/>
      <c r="W27" s="412" t="s">
        <v>75</v>
      </c>
      <c r="X27" s="199"/>
      <c r="Y27" s="199"/>
      <c r="Z27" s="226" t="s">
        <v>6</v>
      </c>
      <c r="AA27" s="226" t="s">
        <v>6</v>
      </c>
      <c r="AB27" s="207" t="s">
        <v>1100</v>
      </c>
      <c r="AC27" s="199"/>
      <c r="AD27" s="199"/>
      <c r="AE27" s="412"/>
      <c r="AF27" s="199"/>
      <c r="AG27" s="199"/>
      <c r="AH27" s="226"/>
      <c r="AI27" s="226"/>
      <c r="AJ27" s="207"/>
      <c r="AK27" s="199"/>
      <c r="AL27" s="199"/>
      <c r="AM27" s="199"/>
      <c r="AN27" s="199"/>
      <c r="AO27" s="199"/>
      <c r="AP27" s="199"/>
      <c r="AQ27" s="199"/>
      <c r="AR27" s="199"/>
      <c r="AS27" s="199"/>
      <c r="AT27" s="199"/>
      <c r="AU27" s="199"/>
      <c r="AV27" s="199"/>
      <c r="AW27" s="155">
        <f t="shared" si="1"/>
        <v>35</v>
      </c>
    </row>
    <row r="28" spans="1:49" s="236" customFormat="1" ht="15">
      <c r="A28" s="40">
        <f t="shared" si="0"/>
        <v>22</v>
      </c>
      <c r="B28" s="199"/>
      <c r="C28" s="199"/>
      <c r="D28" s="199"/>
      <c r="E28" s="199"/>
      <c r="F28" s="199"/>
      <c r="G28" s="199"/>
      <c r="H28" s="199"/>
      <c r="I28" s="199"/>
      <c r="J28" s="217" t="s">
        <v>2582</v>
      </c>
      <c r="K28" s="199" t="s">
        <v>128</v>
      </c>
      <c r="L28" s="374" t="s">
        <v>2583</v>
      </c>
      <c r="M28" s="374"/>
      <c r="N28" s="271" t="s">
        <v>504</v>
      </c>
      <c r="O28" s="369"/>
      <c r="P28" s="40"/>
      <c r="Q28" s="226"/>
      <c r="R28" s="226" t="s">
        <v>6</v>
      </c>
      <c r="S28" s="226" t="s">
        <v>6</v>
      </c>
      <c r="T28" s="126" t="s">
        <v>6</v>
      </c>
      <c r="U28" s="202"/>
      <c r="V28" s="204"/>
      <c r="W28" s="199" t="s">
        <v>125</v>
      </c>
      <c r="X28" s="199"/>
      <c r="Y28" s="199"/>
      <c r="Z28" s="199"/>
      <c r="AA28" s="226" t="s">
        <v>6</v>
      </c>
      <c r="AB28" s="207" t="s">
        <v>1100</v>
      </c>
      <c r="AC28" s="199"/>
      <c r="AD28" s="199"/>
      <c r="AE28" s="199"/>
      <c r="AF28" s="199"/>
      <c r="AG28" s="199"/>
      <c r="AH28" s="199"/>
      <c r="AI28" s="226"/>
      <c r="AJ28" s="207"/>
      <c r="AK28" s="199"/>
      <c r="AL28" s="199"/>
      <c r="AM28" s="199"/>
      <c r="AN28" s="199"/>
      <c r="AO28" s="199"/>
      <c r="AP28" s="199"/>
      <c r="AQ28" s="199"/>
      <c r="AR28" s="199"/>
      <c r="AS28" s="199"/>
      <c r="AT28" s="199"/>
      <c r="AU28" s="199"/>
      <c r="AV28" s="199"/>
      <c r="AW28" s="155">
        <f t="shared" si="1"/>
        <v>28</v>
      </c>
    </row>
    <row r="29" spans="1:49" s="236" customFormat="1" ht="15">
      <c r="A29" s="40">
        <f t="shared" si="0"/>
        <v>23</v>
      </c>
      <c r="B29" s="199"/>
      <c r="C29" s="199"/>
      <c r="D29" s="199"/>
      <c r="E29" s="199"/>
      <c r="F29" s="199"/>
      <c r="G29" s="199"/>
      <c r="H29" s="199"/>
      <c r="I29" s="199"/>
      <c r="J29" s="217" t="s">
        <v>2584</v>
      </c>
      <c r="K29" s="199" t="s">
        <v>117</v>
      </c>
      <c r="L29" s="204" t="s">
        <v>2585</v>
      </c>
      <c r="M29" s="204"/>
      <c r="N29" s="271" t="s">
        <v>504</v>
      </c>
      <c r="O29" s="369"/>
      <c r="P29" s="40"/>
      <c r="Q29" s="226" t="s">
        <v>6</v>
      </c>
      <c r="R29" s="226" t="s">
        <v>6</v>
      </c>
      <c r="S29" s="226" t="s">
        <v>6</v>
      </c>
      <c r="T29" s="226" t="s">
        <v>6</v>
      </c>
      <c r="U29" s="202"/>
      <c r="V29" s="199" t="s">
        <v>2586</v>
      </c>
      <c r="W29" s="199" t="s">
        <v>133</v>
      </c>
      <c r="X29" s="199"/>
      <c r="Y29" s="199"/>
      <c r="Z29" s="226" t="s">
        <v>6</v>
      </c>
      <c r="AA29" s="226" t="s">
        <v>6</v>
      </c>
      <c r="AB29" s="207" t="s">
        <v>1100</v>
      </c>
      <c r="AC29" s="199"/>
      <c r="AD29" s="199"/>
      <c r="AE29" s="199"/>
      <c r="AF29" s="199"/>
      <c r="AG29" s="199"/>
      <c r="AH29" s="226"/>
      <c r="AI29" s="226"/>
      <c r="AJ29" s="207"/>
      <c r="AK29" s="199"/>
      <c r="AL29" s="199"/>
      <c r="AM29" s="199"/>
      <c r="AN29" s="199"/>
      <c r="AO29" s="199"/>
      <c r="AP29" s="199"/>
      <c r="AQ29" s="199"/>
      <c r="AR29" s="199"/>
      <c r="AS29" s="199"/>
      <c r="AT29" s="199"/>
      <c r="AU29" s="199"/>
      <c r="AV29" s="199"/>
      <c r="AW29" s="155">
        <f t="shared" si="1"/>
        <v>25</v>
      </c>
    </row>
    <row r="30" spans="1:49" s="14" customFormat="1" ht="15">
      <c r="A30" s="40">
        <f t="shared" ref="A30:A78" si="3">ROW() - 6</f>
        <v>24</v>
      </c>
      <c r="B30" s="38"/>
      <c r="C30" s="42"/>
      <c r="D30" s="232"/>
      <c r="E30" s="232"/>
      <c r="F30" s="232"/>
      <c r="G30" s="232"/>
      <c r="H30" s="40"/>
      <c r="I30" s="40"/>
      <c r="J30" s="217" t="s">
        <v>2587</v>
      </c>
      <c r="K30" s="199" t="s">
        <v>117</v>
      </c>
      <c r="L30" s="204" t="s">
        <v>2588</v>
      </c>
      <c r="M30" s="204"/>
      <c r="N30" s="271" t="s">
        <v>504</v>
      </c>
      <c r="O30" s="40"/>
      <c r="P30" s="40"/>
      <c r="Q30" s="226" t="s">
        <v>6</v>
      </c>
      <c r="R30" s="226" t="s">
        <v>6</v>
      </c>
      <c r="S30" s="226" t="s">
        <v>6</v>
      </c>
      <c r="T30" s="226" t="s">
        <v>6</v>
      </c>
      <c r="U30" s="202"/>
      <c r="V30" s="199" t="s">
        <v>2586</v>
      </c>
      <c r="W30" s="199" t="s">
        <v>133</v>
      </c>
      <c r="X30" s="199"/>
      <c r="Y30" s="199"/>
      <c r="Z30" s="226" t="s">
        <v>6</v>
      </c>
      <c r="AA30" s="226" t="s">
        <v>6</v>
      </c>
      <c r="AB30" s="207" t="s">
        <v>1100</v>
      </c>
      <c r="AC30" s="40"/>
      <c r="AD30" s="40"/>
      <c r="AE30" s="199"/>
      <c r="AF30" s="199"/>
      <c r="AG30" s="199"/>
      <c r="AH30" s="226"/>
      <c r="AI30" s="226"/>
      <c r="AJ30" s="207"/>
      <c r="AK30" s="40"/>
      <c r="AL30" s="40"/>
      <c r="AM30" s="198"/>
      <c r="AN30" s="40"/>
      <c r="AO30" s="40"/>
      <c r="AP30" s="40"/>
      <c r="AQ30" s="40"/>
      <c r="AR30" s="40"/>
      <c r="AS30" s="40"/>
      <c r="AT30" s="40"/>
      <c r="AU30" s="40"/>
      <c r="AV30" s="40"/>
      <c r="AW30" s="155">
        <f t="shared" si="1"/>
        <v>27</v>
      </c>
    </row>
    <row r="31" spans="1:49" s="236" customFormat="1" ht="15">
      <c r="A31" s="40">
        <f t="shared" si="3"/>
        <v>25</v>
      </c>
      <c r="B31" s="199"/>
      <c r="C31" s="199"/>
      <c r="D31" s="199"/>
      <c r="E31" s="199"/>
      <c r="F31" s="199"/>
      <c r="G31" s="199"/>
      <c r="H31" s="199"/>
      <c r="I31" s="199"/>
      <c r="J31" s="217" t="s">
        <v>2589</v>
      </c>
      <c r="K31" s="199" t="s">
        <v>117</v>
      </c>
      <c r="L31" s="204" t="s">
        <v>2556</v>
      </c>
      <c r="M31" s="204"/>
      <c r="N31" s="271" t="s">
        <v>504</v>
      </c>
      <c r="O31" s="369"/>
      <c r="P31" s="40"/>
      <c r="Q31" s="226" t="s">
        <v>6</v>
      </c>
      <c r="R31" s="226" t="s">
        <v>6</v>
      </c>
      <c r="S31" s="226" t="s">
        <v>6</v>
      </c>
      <c r="T31" s="226" t="s">
        <v>6</v>
      </c>
      <c r="U31" s="202"/>
      <c r="V31" s="199" t="s">
        <v>2586</v>
      </c>
      <c r="W31" s="199" t="s">
        <v>133</v>
      </c>
      <c r="X31" s="199"/>
      <c r="Y31" s="199"/>
      <c r="Z31" s="226" t="s">
        <v>6</v>
      </c>
      <c r="AA31" s="226" t="s">
        <v>6</v>
      </c>
      <c r="AB31" s="207" t="s">
        <v>1100</v>
      </c>
      <c r="AC31" s="199"/>
      <c r="AD31" s="199"/>
      <c r="AE31" s="199"/>
      <c r="AF31" s="199"/>
      <c r="AG31" s="199"/>
      <c r="AH31" s="226"/>
      <c r="AI31" s="226"/>
      <c r="AJ31" s="207"/>
      <c r="AK31" s="199"/>
      <c r="AL31" s="199"/>
      <c r="AM31" s="199"/>
      <c r="AN31" s="199"/>
      <c r="AO31" s="199"/>
      <c r="AP31" s="199"/>
      <c r="AQ31" s="199"/>
      <c r="AR31" s="199"/>
      <c r="AS31" s="199"/>
      <c r="AT31" s="199"/>
      <c r="AU31" s="199"/>
      <c r="AV31" s="199"/>
      <c r="AW31" s="155">
        <f t="shared" si="1"/>
        <v>17</v>
      </c>
    </row>
    <row r="32" spans="1:49" s="236" customFormat="1" ht="15">
      <c r="A32" s="40">
        <f t="shared" si="3"/>
        <v>26</v>
      </c>
      <c r="B32" s="199"/>
      <c r="C32" s="199"/>
      <c r="D32" s="199"/>
      <c r="E32" s="199"/>
      <c r="F32" s="199"/>
      <c r="G32" s="199"/>
      <c r="H32" s="199"/>
      <c r="I32" s="199"/>
      <c r="J32" s="217" t="s">
        <v>2590</v>
      </c>
      <c r="K32" s="199" t="s">
        <v>117</v>
      </c>
      <c r="L32" s="204" t="s">
        <v>2591</v>
      </c>
      <c r="M32" s="204"/>
      <c r="N32" s="271" t="s">
        <v>504</v>
      </c>
      <c r="O32" s="369"/>
      <c r="P32" s="40"/>
      <c r="Q32" s="226" t="s">
        <v>6</v>
      </c>
      <c r="R32" s="226" t="s">
        <v>6</v>
      </c>
      <c r="S32" s="226" t="s">
        <v>6</v>
      </c>
      <c r="T32" s="226" t="s">
        <v>6</v>
      </c>
      <c r="U32" s="202"/>
      <c r="V32" s="199" t="s">
        <v>2586</v>
      </c>
      <c r="W32" s="199" t="s">
        <v>133</v>
      </c>
      <c r="X32" s="199"/>
      <c r="Y32" s="199"/>
      <c r="Z32" s="226" t="s">
        <v>6</v>
      </c>
      <c r="AA32" s="226" t="s">
        <v>6</v>
      </c>
      <c r="AB32" s="207" t="s">
        <v>1100</v>
      </c>
      <c r="AC32" s="199"/>
      <c r="AD32" s="199"/>
      <c r="AE32" s="199"/>
      <c r="AF32" s="199"/>
      <c r="AG32" s="199"/>
      <c r="AH32" s="226"/>
      <c r="AI32" s="226"/>
      <c r="AJ32" s="207"/>
      <c r="AK32" s="199"/>
      <c r="AL32" s="199"/>
      <c r="AM32" s="199"/>
      <c r="AN32" s="199"/>
      <c r="AO32" s="199"/>
      <c r="AP32" s="199"/>
      <c r="AQ32" s="199"/>
      <c r="AR32" s="199"/>
      <c r="AS32" s="199"/>
      <c r="AT32" s="199"/>
      <c r="AU32" s="199"/>
      <c r="AV32" s="199"/>
      <c r="AW32" s="155">
        <f t="shared" si="1"/>
        <v>21</v>
      </c>
    </row>
    <row r="33" spans="1:49" s="236" customFormat="1" ht="15">
      <c r="A33" s="40">
        <f t="shared" si="3"/>
        <v>27</v>
      </c>
      <c r="B33" s="199"/>
      <c r="C33" s="199"/>
      <c r="D33" s="199"/>
      <c r="E33" s="199"/>
      <c r="F33" s="199"/>
      <c r="G33" s="199"/>
      <c r="H33" s="199"/>
      <c r="I33" s="199"/>
      <c r="J33" s="217" t="s">
        <v>2592</v>
      </c>
      <c r="K33" s="199" t="s">
        <v>117</v>
      </c>
      <c r="L33" s="204" t="s">
        <v>2593</v>
      </c>
      <c r="M33" s="204"/>
      <c r="N33" s="271" t="s">
        <v>504</v>
      </c>
      <c r="O33" s="369"/>
      <c r="P33" s="40"/>
      <c r="Q33" s="226" t="s">
        <v>6</v>
      </c>
      <c r="R33" s="226" t="s">
        <v>6</v>
      </c>
      <c r="S33" s="226" t="s">
        <v>6</v>
      </c>
      <c r="T33" s="226" t="s">
        <v>6</v>
      </c>
      <c r="U33" s="202"/>
      <c r="V33" s="199" t="s">
        <v>2586</v>
      </c>
      <c r="W33" s="199" t="s">
        <v>133</v>
      </c>
      <c r="X33" s="199"/>
      <c r="Y33" s="199"/>
      <c r="Z33" s="226" t="s">
        <v>6</v>
      </c>
      <c r="AA33" s="226" t="s">
        <v>6</v>
      </c>
      <c r="AB33" s="207" t="s">
        <v>1100</v>
      </c>
      <c r="AC33" s="199"/>
      <c r="AD33" s="199"/>
      <c r="AE33" s="199"/>
      <c r="AF33" s="199"/>
      <c r="AG33" s="199"/>
      <c r="AH33" s="226"/>
      <c r="AI33" s="226"/>
      <c r="AJ33" s="207"/>
      <c r="AK33" s="199"/>
      <c r="AL33" s="199"/>
      <c r="AM33" s="199"/>
      <c r="AN33" s="199"/>
      <c r="AO33" s="199"/>
      <c r="AP33" s="199"/>
      <c r="AQ33" s="199"/>
      <c r="AR33" s="199"/>
      <c r="AS33" s="199"/>
      <c r="AT33" s="199"/>
      <c r="AU33" s="199"/>
      <c r="AV33" s="199"/>
      <c r="AW33" s="155">
        <f t="shared" si="1"/>
        <v>18</v>
      </c>
    </row>
    <row r="34" spans="1:49" s="236" customFormat="1" ht="15">
      <c r="A34" s="40">
        <f t="shared" si="0"/>
        <v>28</v>
      </c>
      <c r="B34" s="199"/>
      <c r="C34" s="199"/>
      <c r="D34" s="199"/>
      <c r="E34" s="199"/>
      <c r="F34" s="199"/>
      <c r="G34" s="199"/>
      <c r="H34" s="199"/>
      <c r="I34" s="199"/>
      <c r="J34" s="217" t="s">
        <v>2594</v>
      </c>
      <c r="K34" s="199" t="s">
        <v>117</v>
      </c>
      <c r="L34" s="204" t="s">
        <v>2595</v>
      </c>
      <c r="M34" s="204"/>
      <c r="N34" s="271" t="s">
        <v>504</v>
      </c>
      <c r="O34" s="369"/>
      <c r="P34" s="40"/>
      <c r="Q34" s="226" t="s">
        <v>6</v>
      </c>
      <c r="R34" s="226" t="s">
        <v>6</v>
      </c>
      <c r="S34" s="226" t="s">
        <v>6</v>
      </c>
      <c r="T34" s="226" t="s">
        <v>6</v>
      </c>
      <c r="U34" s="202"/>
      <c r="V34" s="199" t="s">
        <v>2586</v>
      </c>
      <c r="W34" s="199" t="s">
        <v>133</v>
      </c>
      <c r="X34" s="199"/>
      <c r="Y34" s="199"/>
      <c r="Z34" s="226" t="s">
        <v>6</v>
      </c>
      <c r="AA34" s="226" t="s">
        <v>6</v>
      </c>
      <c r="AB34" s="207" t="s">
        <v>1100</v>
      </c>
      <c r="AC34" s="199"/>
      <c r="AD34" s="199"/>
      <c r="AE34" s="199"/>
      <c r="AF34" s="199"/>
      <c r="AG34" s="199"/>
      <c r="AH34" s="226"/>
      <c r="AI34" s="226"/>
      <c r="AJ34" s="207"/>
      <c r="AK34" s="199"/>
      <c r="AL34" s="199"/>
      <c r="AM34" s="199"/>
      <c r="AN34" s="199"/>
      <c r="AO34" s="199"/>
      <c r="AP34" s="199"/>
      <c r="AQ34" s="199"/>
      <c r="AR34" s="199"/>
      <c r="AS34" s="199"/>
      <c r="AT34" s="199"/>
      <c r="AU34" s="199"/>
      <c r="AV34" s="199"/>
      <c r="AW34" s="155">
        <f t="shared" si="1"/>
        <v>36</v>
      </c>
    </row>
    <row r="35" spans="1:49" s="236" customFormat="1" ht="15">
      <c r="A35" s="40">
        <f t="shared" si="0"/>
        <v>29</v>
      </c>
      <c r="B35" s="199"/>
      <c r="C35" s="199"/>
      <c r="D35" s="199"/>
      <c r="E35" s="199"/>
      <c r="F35" s="199"/>
      <c r="G35" s="199"/>
      <c r="H35" s="199"/>
      <c r="I35" s="199"/>
      <c r="J35" s="217" t="s">
        <v>2596</v>
      </c>
      <c r="K35" s="199" t="s">
        <v>117</v>
      </c>
      <c r="L35" s="204" t="s">
        <v>2597</v>
      </c>
      <c r="M35" s="204"/>
      <c r="N35" s="271" t="s">
        <v>504</v>
      </c>
      <c r="O35" s="369"/>
      <c r="P35" s="40"/>
      <c r="Q35" s="226" t="s">
        <v>6</v>
      </c>
      <c r="R35" s="226" t="s">
        <v>6</v>
      </c>
      <c r="S35" s="226" t="s">
        <v>6</v>
      </c>
      <c r="T35" s="226" t="s">
        <v>6</v>
      </c>
      <c r="U35" s="202"/>
      <c r="V35" s="199" t="s">
        <v>2586</v>
      </c>
      <c r="W35" s="199" t="s">
        <v>133</v>
      </c>
      <c r="X35" s="199"/>
      <c r="Y35" s="199"/>
      <c r="Z35" s="226" t="s">
        <v>6</v>
      </c>
      <c r="AA35" s="226" t="s">
        <v>6</v>
      </c>
      <c r="AB35" s="207" t="s">
        <v>1100</v>
      </c>
      <c r="AC35" s="199"/>
      <c r="AD35" s="199"/>
      <c r="AE35" s="199"/>
      <c r="AF35" s="199"/>
      <c r="AG35" s="199"/>
      <c r="AH35" s="226"/>
      <c r="AI35" s="226"/>
      <c r="AJ35" s="207"/>
      <c r="AK35" s="199"/>
      <c r="AL35" s="199"/>
      <c r="AM35" s="199"/>
      <c r="AN35" s="199"/>
      <c r="AO35" s="199"/>
      <c r="AP35" s="199"/>
      <c r="AQ35" s="199"/>
      <c r="AR35" s="199"/>
      <c r="AS35" s="199"/>
      <c r="AT35" s="199"/>
      <c r="AU35" s="199"/>
      <c r="AV35" s="199"/>
      <c r="AW35" s="155">
        <f t="shared" si="1"/>
        <v>23</v>
      </c>
    </row>
    <row r="36" spans="1:49" s="236" customFormat="1" ht="15">
      <c r="A36" s="40">
        <f t="shared" si="0"/>
        <v>30</v>
      </c>
      <c r="B36" s="199"/>
      <c r="C36" s="199"/>
      <c r="D36" s="199"/>
      <c r="E36" s="199"/>
      <c r="F36" s="199"/>
      <c r="G36" s="199"/>
      <c r="H36" s="199"/>
      <c r="I36" s="199"/>
      <c r="J36" s="217" t="s">
        <v>2598</v>
      </c>
      <c r="K36" s="199" t="s">
        <v>117</v>
      </c>
      <c r="L36" s="204" t="s">
        <v>2599</v>
      </c>
      <c r="M36" s="204"/>
      <c r="N36" s="271" t="s">
        <v>504</v>
      </c>
      <c r="O36" s="369"/>
      <c r="P36" s="40"/>
      <c r="Q36" s="226" t="s">
        <v>6</v>
      </c>
      <c r="R36" s="226" t="s">
        <v>6</v>
      </c>
      <c r="S36" s="226" t="s">
        <v>6</v>
      </c>
      <c r="T36" s="226" t="s">
        <v>6</v>
      </c>
      <c r="U36" s="202"/>
      <c r="V36" s="199" t="s">
        <v>2586</v>
      </c>
      <c r="W36" s="199" t="s">
        <v>133</v>
      </c>
      <c r="X36" s="199"/>
      <c r="Y36" s="199"/>
      <c r="Z36" s="226" t="s">
        <v>6</v>
      </c>
      <c r="AA36" s="226" t="s">
        <v>6</v>
      </c>
      <c r="AB36" s="207" t="s">
        <v>1100</v>
      </c>
      <c r="AC36" s="199"/>
      <c r="AD36" s="199"/>
      <c r="AE36" s="199"/>
      <c r="AF36" s="199"/>
      <c r="AG36" s="199"/>
      <c r="AH36" s="226"/>
      <c r="AI36" s="226"/>
      <c r="AJ36" s="207"/>
      <c r="AK36" s="199"/>
      <c r="AL36" s="199"/>
      <c r="AM36" s="199"/>
      <c r="AN36" s="199"/>
      <c r="AO36" s="199"/>
      <c r="AP36" s="199"/>
      <c r="AQ36" s="199"/>
      <c r="AR36" s="199"/>
      <c r="AS36" s="199"/>
      <c r="AT36" s="199"/>
      <c r="AU36" s="199"/>
      <c r="AV36" s="199"/>
      <c r="AW36" s="155">
        <f t="shared" si="1"/>
        <v>17</v>
      </c>
    </row>
    <row r="37" spans="1:49" s="236" customFormat="1" ht="15">
      <c r="A37" s="40">
        <f t="shared" si="0"/>
        <v>31</v>
      </c>
      <c r="B37" s="199"/>
      <c r="C37" s="199"/>
      <c r="D37" s="199"/>
      <c r="E37" s="199"/>
      <c r="F37" s="199"/>
      <c r="G37" s="199"/>
      <c r="H37" s="199"/>
      <c r="I37" s="199"/>
      <c r="J37" s="217" t="s">
        <v>2600</v>
      </c>
      <c r="K37" s="199" t="s">
        <v>117</v>
      </c>
      <c r="L37" s="204" t="s">
        <v>2601</v>
      </c>
      <c r="M37" s="204"/>
      <c r="N37" s="271" t="s">
        <v>504</v>
      </c>
      <c r="O37" s="369"/>
      <c r="P37" s="40"/>
      <c r="Q37" s="226" t="s">
        <v>6</v>
      </c>
      <c r="R37" s="226" t="s">
        <v>6</v>
      </c>
      <c r="S37" s="226" t="s">
        <v>6</v>
      </c>
      <c r="T37" s="226" t="s">
        <v>6</v>
      </c>
      <c r="U37" s="202"/>
      <c r="V37" s="199" t="s">
        <v>2586</v>
      </c>
      <c r="W37" s="199" t="s">
        <v>133</v>
      </c>
      <c r="X37" s="199"/>
      <c r="Y37" s="199"/>
      <c r="Z37" s="226" t="s">
        <v>6</v>
      </c>
      <c r="AA37" s="226" t="s">
        <v>6</v>
      </c>
      <c r="AB37" s="207" t="s">
        <v>1100</v>
      </c>
      <c r="AC37" s="199"/>
      <c r="AD37" s="199"/>
      <c r="AE37" s="199"/>
      <c r="AF37" s="199"/>
      <c r="AG37" s="199"/>
      <c r="AH37" s="226"/>
      <c r="AI37" s="226"/>
      <c r="AJ37" s="207"/>
      <c r="AK37" s="199"/>
      <c r="AL37" s="199"/>
      <c r="AM37" s="199"/>
      <c r="AN37" s="199"/>
      <c r="AO37" s="199"/>
      <c r="AP37" s="199"/>
      <c r="AQ37" s="199"/>
      <c r="AR37" s="199"/>
      <c r="AS37" s="199"/>
      <c r="AT37" s="199"/>
      <c r="AU37" s="199"/>
      <c r="AV37" s="199"/>
      <c r="AW37" s="155">
        <f t="shared" si="1"/>
        <v>18</v>
      </c>
    </row>
    <row r="38" spans="1:49" s="236" customFormat="1" ht="15">
      <c r="A38" s="40">
        <f t="shared" si="0"/>
        <v>32</v>
      </c>
      <c r="B38" s="199"/>
      <c r="C38" s="199"/>
      <c r="D38" s="199"/>
      <c r="E38" s="199"/>
      <c r="F38" s="199"/>
      <c r="G38" s="199"/>
      <c r="H38" s="199"/>
      <c r="I38" s="199"/>
      <c r="J38" s="217" t="s">
        <v>2602</v>
      </c>
      <c r="K38" s="199" t="s">
        <v>117</v>
      </c>
      <c r="L38" s="204" t="s">
        <v>2603</v>
      </c>
      <c r="M38" s="204"/>
      <c r="N38" s="271" t="s">
        <v>504</v>
      </c>
      <c r="O38" s="369"/>
      <c r="P38" s="40"/>
      <c r="Q38" s="226" t="s">
        <v>6</v>
      </c>
      <c r="R38" s="226" t="s">
        <v>6</v>
      </c>
      <c r="S38" s="226" t="s">
        <v>6</v>
      </c>
      <c r="T38" s="226" t="s">
        <v>6</v>
      </c>
      <c r="U38" s="202"/>
      <c r="V38" s="199" t="s">
        <v>2586</v>
      </c>
      <c r="W38" s="199" t="s">
        <v>133</v>
      </c>
      <c r="X38" s="199"/>
      <c r="Y38" s="199"/>
      <c r="Z38" s="226" t="s">
        <v>6</v>
      </c>
      <c r="AA38" s="226" t="s">
        <v>6</v>
      </c>
      <c r="AB38" s="207" t="s">
        <v>1100</v>
      </c>
      <c r="AC38" s="199"/>
      <c r="AD38" s="199"/>
      <c r="AE38" s="199"/>
      <c r="AF38" s="199"/>
      <c r="AG38" s="199"/>
      <c r="AH38" s="226"/>
      <c r="AI38" s="226"/>
      <c r="AJ38" s="207"/>
      <c r="AK38" s="199"/>
      <c r="AL38" s="199"/>
      <c r="AM38" s="199"/>
      <c r="AN38" s="199"/>
      <c r="AO38" s="199"/>
      <c r="AP38" s="199"/>
      <c r="AQ38" s="199"/>
      <c r="AR38" s="199"/>
      <c r="AS38" s="199"/>
      <c r="AT38" s="199"/>
      <c r="AU38" s="199"/>
      <c r="AV38" s="199"/>
      <c r="AW38" s="155">
        <f t="shared" si="1"/>
        <v>19</v>
      </c>
    </row>
    <row r="39" spans="1:49" s="236" customFormat="1" ht="15">
      <c r="A39" s="40">
        <f t="shared" si="0"/>
        <v>33</v>
      </c>
      <c r="B39" s="199"/>
      <c r="C39" s="199"/>
      <c r="D39" s="199"/>
      <c r="E39" s="199"/>
      <c r="F39" s="199"/>
      <c r="G39" s="199"/>
      <c r="H39" s="199"/>
      <c r="I39" s="199"/>
      <c r="J39" s="217" t="s">
        <v>2604</v>
      </c>
      <c r="K39" s="199" t="s">
        <v>117</v>
      </c>
      <c r="L39" s="204" t="s">
        <v>2605</v>
      </c>
      <c r="M39" s="204"/>
      <c r="N39" s="271" t="s">
        <v>504</v>
      </c>
      <c r="O39" s="369"/>
      <c r="P39" s="40"/>
      <c r="Q39" s="226" t="s">
        <v>6</v>
      </c>
      <c r="R39" s="226" t="s">
        <v>6</v>
      </c>
      <c r="S39" s="226" t="s">
        <v>6</v>
      </c>
      <c r="T39" s="226" t="s">
        <v>6</v>
      </c>
      <c r="U39" s="202"/>
      <c r="V39" s="199" t="s">
        <v>2586</v>
      </c>
      <c r="W39" s="199" t="s">
        <v>133</v>
      </c>
      <c r="X39" s="199"/>
      <c r="Y39" s="199"/>
      <c r="Z39" s="226" t="s">
        <v>6</v>
      </c>
      <c r="AA39" s="226" t="s">
        <v>6</v>
      </c>
      <c r="AB39" s="207" t="s">
        <v>1100</v>
      </c>
      <c r="AC39" s="199"/>
      <c r="AD39" s="199"/>
      <c r="AE39" s="199"/>
      <c r="AF39" s="199"/>
      <c r="AG39" s="199"/>
      <c r="AH39" s="226"/>
      <c r="AI39" s="226"/>
      <c r="AJ39" s="207"/>
      <c r="AK39" s="199"/>
      <c r="AL39" s="199"/>
      <c r="AM39" s="199"/>
      <c r="AN39" s="199"/>
      <c r="AO39" s="199"/>
      <c r="AP39" s="199"/>
      <c r="AQ39" s="199"/>
      <c r="AR39" s="199"/>
      <c r="AS39" s="199"/>
      <c r="AT39" s="199"/>
      <c r="AU39" s="199"/>
      <c r="AV39" s="199"/>
      <c r="AW39" s="155">
        <f t="shared" si="1"/>
        <v>26</v>
      </c>
    </row>
    <row r="40" spans="1:49" s="236" customFormat="1" ht="15">
      <c r="A40" s="40">
        <f t="shared" si="0"/>
        <v>34</v>
      </c>
      <c r="B40" s="199"/>
      <c r="C40" s="199"/>
      <c r="D40" s="199"/>
      <c r="E40" s="199"/>
      <c r="F40" s="199"/>
      <c r="G40" s="199"/>
      <c r="H40" s="199"/>
      <c r="I40" s="199"/>
      <c r="J40" s="217" t="s">
        <v>2606</v>
      </c>
      <c r="K40" s="199" t="s">
        <v>117</v>
      </c>
      <c r="L40" s="204" t="s">
        <v>2607</v>
      </c>
      <c r="M40" s="204"/>
      <c r="N40" s="271" t="s">
        <v>504</v>
      </c>
      <c r="O40" s="369"/>
      <c r="P40" s="40"/>
      <c r="Q40" s="226" t="s">
        <v>6</v>
      </c>
      <c r="R40" s="226" t="s">
        <v>6</v>
      </c>
      <c r="S40" s="226" t="s">
        <v>6</v>
      </c>
      <c r="T40" s="226" t="s">
        <v>6</v>
      </c>
      <c r="U40" s="202"/>
      <c r="V40" s="199" t="s">
        <v>2586</v>
      </c>
      <c r="W40" s="199" t="s">
        <v>133</v>
      </c>
      <c r="X40" s="199"/>
      <c r="Y40" s="199"/>
      <c r="Z40" s="226" t="s">
        <v>6</v>
      </c>
      <c r="AA40" s="226" t="s">
        <v>6</v>
      </c>
      <c r="AB40" s="207" t="s">
        <v>1100</v>
      </c>
      <c r="AC40" s="199"/>
      <c r="AD40" s="199"/>
      <c r="AE40" s="199"/>
      <c r="AF40" s="199"/>
      <c r="AG40" s="199"/>
      <c r="AH40" s="226"/>
      <c r="AI40" s="226"/>
      <c r="AJ40" s="207"/>
      <c r="AK40" s="199"/>
      <c r="AL40" s="199"/>
      <c r="AM40" s="199"/>
      <c r="AN40" s="199"/>
      <c r="AO40" s="199"/>
      <c r="AP40" s="199"/>
      <c r="AQ40" s="199"/>
      <c r="AR40" s="199"/>
      <c r="AS40" s="199"/>
      <c r="AT40" s="199"/>
      <c r="AU40" s="199"/>
      <c r="AV40" s="199"/>
      <c r="AW40" s="155">
        <f t="shared" si="1"/>
        <v>33</v>
      </c>
    </row>
    <row r="41" spans="1:49" s="236" customFormat="1" ht="15">
      <c r="A41" s="40">
        <f t="shared" si="0"/>
        <v>35</v>
      </c>
      <c r="B41" s="199"/>
      <c r="C41" s="199"/>
      <c r="D41" s="199"/>
      <c r="E41" s="199"/>
      <c r="F41" s="199"/>
      <c r="G41" s="199"/>
      <c r="H41" s="199"/>
      <c r="I41" s="199"/>
      <c r="J41" s="217" t="s">
        <v>2608</v>
      </c>
      <c r="K41" s="199" t="s">
        <v>117</v>
      </c>
      <c r="L41" s="204" t="s">
        <v>2609</v>
      </c>
      <c r="M41" s="204"/>
      <c r="N41" s="271" t="s">
        <v>504</v>
      </c>
      <c r="O41" s="369"/>
      <c r="P41" s="40"/>
      <c r="Q41" s="226" t="s">
        <v>6</v>
      </c>
      <c r="R41" s="226" t="s">
        <v>6</v>
      </c>
      <c r="S41" s="226" t="s">
        <v>6</v>
      </c>
      <c r="T41" s="226" t="s">
        <v>6</v>
      </c>
      <c r="U41" s="202"/>
      <c r="V41" s="199" t="s">
        <v>2586</v>
      </c>
      <c r="W41" s="199" t="s">
        <v>133</v>
      </c>
      <c r="X41" s="199"/>
      <c r="Y41" s="199"/>
      <c r="Z41" s="226" t="s">
        <v>6</v>
      </c>
      <c r="AA41" s="226" t="s">
        <v>6</v>
      </c>
      <c r="AB41" s="207" t="s">
        <v>1100</v>
      </c>
      <c r="AC41" s="199"/>
      <c r="AD41" s="199"/>
      <c r="AE41" s="199"/>
      <c r="AF41" s="199"/>
      <c r="AG41" s="199"/>
      <c r="AH41" s="226"/>
      <c r="AI41" s="226"/>
      <c r="AJ41" s="207"/>
      <c r="AK41" s="199"/>
      <c r="AL41" s="199"/>
      <c r="AM41" s="199"/>
      <c r="AN41" s="199"/>
      <c r="AO41" s="199"/>
      <c r="AP41" s="199"/>
      <c r="AQ41" s="199"/>
      <c r="AR41" s="199"/>
      <c r="AS41" s="199"/>
      <c r="AT41" s="199"/>
      <c r="AU41" s="199"/>
      <c r="AV41" s="199"/>
      <c r="AW41" s="155">
        <f>LEN(L41)</f>
        <v>18</v>
      </c>
    </row>
    <row r="42" spans="1:49" s="236" customFormat="1" ht="15">
      <c r="A42" s="40">
        <f t="shared" si="0"/>
        <v>36</v>
      </c>
      <c r="B42" s="199"/>
      <c r="C42" s="199"/>
      <c r="D42" s="199"/>
      <c r="E42" s="199"/>
      <c r="F42" s="199"/>
      <c r="G42" s="199"/>
      <c r="H42" s="199"/>
      <c r="I42" s="199"/>
      <c r="J42" s="217" t="s">
        <v>2610</v>
      </c>
      <c r="K42" s="199" t="s">
        <v>117</v>
      </c>
      <c r="L42" s="204" t="s">
        <v>2611</v>
      </c>
      <c r="M42" s="204"/>
      <c r="N42" s="271" t="s">
        <v>504</v>
      </c>
      <c r="O42" s="369"/>
      <c r="P42" s="40"/>
      <c r="Q42" s="226" t="s">
        <v>6</v>
      </c>
      <c r="R42" s="226" t="s">
        <v>6</v>
      </c>
      <c r="S42" s="226" t="s">
        <v>6</v>
      </c>
      <c r="T42" s="226" t="s">
        <v>6</v>
      </c>
      <c r="U42" s="202"/>
      <c r="V42" s="199" t="s">
        <v>2586</v>
      </c>
      <c r="W42" s="199" t="s">
        <v>133</v>
      </c>
      <c r="X42" s="199"/>
      <c r="Y42" s="199"/>
      <c r="Z42" s="226" t="s">
        <v>6</v>
      </c>
      <c r="AA42" s="226" t="s">
        <v>6</v>
      </c>
      <c r="AB42" s="207" t="s">
        <v>1100</v>
      </c>
      <c r="AC42" s="199"/>
      <c r="AD42" s="199"/>
      <c r="AE42" s="199"/>
      <c r="AF42" s="199"/>
      <c r="AG42" s="199"/>
      <c r="AH42" s="226"/>
      <c r="AI42" s="226"/>
      <c r="AJ42" s="207"/>
      <c r="AK42" s="199"/>
      <c r="AL42" s="199"/>
      <c r="AM42" s="199"/>
      <c r="AN42" s="199"/>
      <c r="AO42" s="199"/>
      <c r="AP42" s="199"/>
      <c r="AQ42" s="199"/>
      <c r="AR42" s="199"/>
      <c r="AS42" s="199"/>
      <c r="AT42" s="199"/>
      <c r="AU42" s="199"/>
      <c r="AV42" s="199"/>
      <c r="AW42" s="155">
        <f t="shared" si="1"/>
        <v>10</v>
      </c>
    </row>
    <row r="43" spans="1:49" s="14" customFormat="1" ht="15">
      <c r="A43" s="40">
        <f t="shared" si="3"/>
        <v>37</v>
      </c>
      <c r="B43" s="38"/>
      <c r="C43" s="41"/>
      <c r="D43" s="38"/>
      <c r="E43" s="46"/>
      <c r="F43" s="46"/>
      <c r="G43" s="46"/>
      <c r="H43" s="40"/>
      <c r="I43" s="40"/>
      <c r="J43" s="199" t="s">
        <v>2586</v>
      </c>
      <c r="K43" s="199" t="s">
        <v>117</v>
      </c>
      <c r="L43" s="201" t="s">
        <v>2612</v>
      </c>
      <c r="M43" s="201"/>
      <c r="N43" s="271" t="s">
        <v>504</v>
      </c>
      <c r="O43" s="40"/>
      <c r="P43" s="40"/>
      <c r="Q43" s="226"/>
      <c r="R43" s="226" t="s">
        <v>6</v>
      </c>
      <c r="S43" s="226" t="s">
        <v>6</v>
      </c>
      <c r="T43" s="226" t="s">
        <v>6</v>
      </c>
      <c r="U43" s="202" t="str">
        <f>"Agrupamento dos itens "&amp;A29&amp;" a "&amp;A42</f>
        <v>Agrupamento dos itens 23 a 36</v>
      </c>
      <c r="V43" s="204"/>
      <c r="W43" s="199" t="s">
        <v>133</v>
      </c>
      <c r="X43" s="199"/>
      <c r="Y43" s="199"/>
      <c r="Z43" s="226" t="s">
        <v>6</v>
      </c>
      <c r="AA43" s="226" t="s">
        <v>6</v>
      </c>
      <c r="AB43" s="207" t="s">
        <v>1100</v>
      </c>
      <c r="AC43" s="40"/>
      <c r="AD43" s="40"/>
      <c r="AE43" s="199"/>
      <c r="AF43" s="199"/>
      <c r="AG43" s="199"/>
      <c r="AH43" s="226"/>
      <c r="AI43" s="226"/>
      <c r="AJ43" s="207"/>
      <c r="AK43" s="40"/>
      <c r="AL43" s="40"/>
      <c r="AM43" s="198"/>
      <c r="AN43" s="232"/>
      <c r="AO43" s="245"/>
      <c r="AP43" s="245"/>
      <c r="AQ43" s="245"/>
      <c r="AR43" s="245"/>
      <c r="AS43" s="245"/>
      <c r="AT43" s="245"/>
      <c r="AU43" s="40"/>
      <c r="AV43" s="40"/>
      <c r="AW43" s="155">
        <f t="shared" si="1"/>
        <v>26</v>
      </c>
    </row>
    <row r="44" spans="1:49" s="236" customFormat="1" ht="15">
      <c r="A44" s="40">
        <f t="shared" si="3"/>
        <v>38</v>
      </c>
      <c r="B44" s="199"/>
      <c r="C44" s="199"/>
      <c r="D44" s="199"/>
      <c r="E44" s="199"/>
      <c r="F44" s="199"/>
      <c r="G44" s="199"/>
      <c r="H44" s="199"/>
      <c r="I44" s="199"/>
      <c r="J44" s="217" t="s">
        <v>2613</v>
      </c>
      <c r="K44" s="199" t="s">
        <v>132</v>
      </c>
      <c r="L44" s="204" t="s">
        <v>2614</v>
      </c>
      <c r="M44" s="204"/>
      <c r="N44" s="271" t="s">
        <v>504</v>
      </c>
      <c r="O44" s="369"/>
      <c r="P44" s="40"/>
      <c r="Q44" s="226" t="s">
        <v>6</v>
      </c>
      <c r="R44" s="226" t="s">
        <v>6</v>
      </c>
      <c r="S44" s="226" t="s">
        <v>6</v>
      </c>
      <c r="T44" s="226" t="s">
        <v>6</v>
      </c>
      <c r="U44" s="202"/>
      <c r="V44" s="199" t="s">
        <v>2615</v>
      </c>
      <c r="W44" s="199" t="s">
        <v>133</v>
      </c>
      <c r="X44" s="40"/>
      <c r="Y44" s="40"/>
      <c r="Z44" s="226" t="s">
        <v>6</v>
      </c>
      <c r="AA44" s="226" t="s">
        <v>6</v>
      </c>
      <c r="AB44" s="207" t="s">
        <v>1100</v>
      </c>
      <c r="AC44" s="199"/>
      <c r="AD44" s="199"/>
      <c r="AE44" s="199"/>
      <c r="AF44" s="40"/>
      <c r="AG44" s="40"/>
      <c r="AH44" s="226"/>
      <c r="AI44" s="226"/>
      <c r="AJ44" s="207"/>
      <c r="AK44" s="199"/>
      <c r="AL44" s="199"/>
      <c r="AM44" s="199"/>
      <c r="AN44" s="199"/>
      <c r="AO44" s="199"/>
      <c r="AP44" s="199"/>
      <c r="AQ44" s="199"/>
      <c r="AR44" s="199"/>
      <c r="AS44" s="199"/>
      <c r="AT44" s="199"/>
      <c r="AU44" s="199"/>
      <c r="AV44" s="199"/>
      <c r="AW44" s="155">
        <f t="shared" si="1"/>
        <v>15</v>
      </c>
    </row>
    <row r="45" spans="1:49" s="236" customFormat="1" ht="15">
      <c r="A45" s="40">
        <f t="shared" si="3"/>
        <v>39</v>
      </c>
      <c r="B45" s="199"/>
      <c r="C45" s="199"/>
      <c r="D45" s="199"/>
      <c r="E45" s="199"/>
      <c r="F45" s="199"/>
      <c r="G45" s="199"/>
      <c r="H45" s="199"/>
      <c r="I45" s="199"/>
      <c r="J45" s="217" t="s">
        <v>2616</v>
      </c>
      <c r="K45" s="199" t="s">
        <v>132</v>
      </c>
      <c r="L45" s="204" t="s">
        <v>2617</v>
      </c>
      <c r="M45" s="204"/>
      <c r="N45" s="271" t="s">
        <v>504</v>
      </c>
      <c r="O45" s="369"/>
      <c r="P45" s="40"/>
      <c r="Q45" s="226" t="s">
        <v>6</v>
      </c>
      <c r="R45" s="226" t="s">
        <v>6</v>
      </c>
      <c r="S45" s="226" t="s">
        <v>6</v>
      </c>
      <c r="T45" s="226" t="s">
        <v>6</v>
      </c>
      <c r="U45" s="202"/>
      <c r="V45" s="199" t="s">
        <v>2615</v>
      </c>
      <c r="W45" s="199" t="s">
        <v>133</v>
      </c>
      <c r="X45" s="40"/>
      <c r="Y45" s="40"/>
      <c r="Z45" s="226" t="s">
        <v>6</v>
      </c>
      <c r="AA45" s="226" t="s">
        <v>6</v>
      </c>
      <c r="AB45" s="207" t="s">
        <v>1100</v>
      </c>
      <c r="AC45" s="199"/>
      <c r="AD45" s="199"/>
      <c r="AE45" s="199"/>
      <c r="AF45" s="40"/>
      <c r="AG45" s="40"/>
      <c r="AH45" s="226"/>
      <c r="AI45" s="226"/>
      <c r="AJ45" s="207"/>
      <c r="AK45" s="199"/>
      <c r="AL45" s="199"/>
      <c r="AM45" s="199"/>
      <c r="AN45" s="199"/>
      <c r="AO45" s="199"/>
      <c r="AP45" s="199"/>
      <c r="AQ45" s="199"/>
      <c r="AR45" s="199"/>
      <c r="AS45" s="199"/>
      <c r="AT45" s="199"/>
      <c r="AU45" s="199"/>
      <c r="AV45" s="199"/>
      <c r="AW45" s="155">
        <f t="shared" si="1"/>
        <v>18</v>
      </c>
    </row>
    <row r="46" spans="1:49" s="236" customFormat="1" ht="15">
      <c r="A46" s="40">
        <f t="shared" si="3"/>
        <v>40</v>
      </c>
      <c r="B46" s="199"/>
      <c r="C46" s="199"/>
      <c r="D46" s="199"/>
      <c r="E46" s="199"/>
      <c r="F46" s="199"/>
      <c r="G46" s="199"/>
      <c r="H46" s="199"/>
      <c r="I46" s="199"/>
      <c r="J46" s="217" t="s">
        <v>2618</v>
      </c>
      <c r="K46" s="199" t="s">
        <v>132</v>
      </c>
      <c r="L46" s="204" t="s">
        <v>2619</v>
      </c>
      <c r="M46" s="204"/>
      <c r="N46" s="271" t="s">
        <v>504</v>
      </c>
      <c r="O46" s="369"/>
      <c r="P46" s="40"/>
      <c r="Q46" s="226" t="s">
        <v>6</v>
      </c>
      <c r="R46" s="226" t="s">
        <v>6</v>
      </c>
      <c r="S46" s="226" t="s">
        <v>6</v>
      </c>
      <c r="T46" s="226" t="s">
        <v>6</v>
      </c>
      <c r="U46" s="202"/>
      <c r="V46" s="199" t="s">
        <v>2615</v>
      </c>
      <c r="W46" s="199" t="s">
        <v>133</v>
      </c>
      <c r="X46" s="40"/>
      <c r="Y46" s="40"/>
      <c r="Z46" s="226" t="s">
        <v>6</v>
      </c>
      <c r="AA46" s="226" t="s">
        <v>6</v>
      </c>
      <c r="AB46" s="207" t="s">
        <v>1100</v>
      </c>
      <c r="AC46" s="199"/>
      <c r="AD46" s="199"/>
      <c r="AE46" s="199"/>
      <c r="AF46" s="40"/>
      <c r="AG46" s="40"/>
      <c r="AH46" s="226"/>
      <c r="AI46" s="226"/>
      <c r="AJ46" s="207"/>
      <c r="AK46" s="199"/>
      <c r="AL46" s="199"/>
      <c r="AM46" s="199"/>
      <c r="AN46" s="199"/>
      <c r="AO46" s="199"/>
      <c r="AP46" s="199"/>
      <c r="AQ46" s="199"/>
      <c r="AR46" s="199"/>
      <c r="AS46" s="199"/>
      <c r="AT46" s="199"/>
      <c r="AU46" s="199"/>
      <c r="AV46" s="199"/>
      <c r="AW46" s="155">
        <f t="shared" si="1"/>
        <v>20</v>
      </c>
    </row>
    <row r="47" spans="1:49" s="236" customFormat="1" ht="15">
      <c r="A47" s="40">
        <f t="shared" si="3"/>
        <v>41</v>
      </c>
      <c r="B47" s="199"/>
      <c r="C47" s="199"/>
      <c r="D47" s="199"/>
      <c r="E47" s="199"/>
      <c r="F47" s="199"/>
      <c r="G47" s="199"/>
      <c r="H47" s="199"/>
      <c r="I47" s="199"/>
      <c r="J47" s="217" t="s">
        <v>2620</v>
      </c>
      <c r="K47" s="199" t="s">
        <v>132</v>
      </c>
      <c r="L47" s="204" t="s">
        <v>2621</v>
      </c>
      <c r="M47" s="204"/>
      <c r="N47" s="271" t="s">
        <v>504</v>
      </c>
      <c r="O47" s="369"/>
      <c r="P47" s="40"/>
      <c r="Q47" s="226" t="s">
        <v>6</v>
      </c>
      <c r="R47" s="226" t="s">
        <v>6</v>
      </c>
      <c r="S47" s="226" t="s">
        <v>6</v>
      </c>
      <c r="T47" s="226" t="s">
        <v>6</v>
      </c>
      <c r="U47" s="202"/>
      <c r="V47" s="199" t="s">
        <v>2615</v>
      </c>
      <c r="W47" s="199" t="s">
        <v>133</v>
      </c>
      <c r="X47" s="40"/>
      <c r="Y47" s="40"/>
      <c r="Z47" s="226" t="s">
        <v>6</v>
      </c>
      <c r="AA47" s="226" t="s">
        <v>6</v>
      </c>
      <c r="AB47" s="207" t="s">
        <v>1100</v>
      </c>
      <c r="AC47" s="199"/>
      <c r="AD47" s="199"/>
      <c r="AE47" s="199"/>
      <c r="AF47" s="40"/>
      <c r="AG47" s="40"/>
      <c r="AH47" s="226"/>
      <c r="AI47" s="226"/>
      <c r="AJ47" s="207"/>
      <c r="AK47" s="199"/>
      <c r="AL47" s="199"/>
      <c r="AM47" s="199"/>
      <c r="AN47" s="199"/>
      <c r="AO47" s="199"/>
      <c r="AP47" s="199"/>
      <c r="AQ47" s="199"/>
      <c r="AR47" s="199"/>
      <c r="AS47" s="199"/>
      <c r="AT47" s="199"/>
      <c r="AU47" s="199"/>
      <c r="AV47" s="199"/>
      <c r="AW47" s="155">
        <f t="shared" si="1"/>
        <v>18</v>
      </c>
    </row>
    <row r="48" spans="1:49" s="236" customFormat="1" ht="15">
      <c r="A48" s="40">
        <f t="shared" si="3"/>
        <v>42</v>
      </c>
      <c r="B48" s="199"/>
      <c r="C48" s="199"/>
      <c r="D48" s="199"/>
      <c r="E48" s="199"/>
      <c r="F48" s="199"/>
      <c r="G48" s="199"/>
      <c r="H48" s="199"/>
      <c r="I48" s="199"/>
      <c r="J48" s="217" t="s">
        <v>2622</v>
      </c>
      <c r="K48" s="199" t="s">
        <v>132</v>
      </c>
      <c r="L48" s="412" t="s">
        <v>1042</v>
      </c>
      <c r="M48" s="412"/>
      <c r="N48" s="271" t="s">
        <v>504</v>
      </c>
      <c r="O48" s="369"/>
      <c r="P48" s="40"/>
      <c r="Q48" s="226" t="s">
        <v>6</v>
      </c>
      <c r="R48" s="226" t="s">
        <v>6</v>
      </c>
      <c r="S48" s="226" t="s">
        <v>6</v>
      </c>
      <c r="T48" s="226" t="s">
        <v>6</v>
      </c>
      <c r="U48" s="202"/>
      <c r="V48" s="199" t="s">
        <v>2615</v>
      </c>
      <c r="W48" s="199" t="s">
        <v>133</v>
      </c>
      <c r="X48" s="40"/>
      <c r="Y48" s="40"/>
      <c r="Z48" s="226" t="s">
        <v>6</v>
      </c>
      <c r="AA48" s="226" t="s">
        <v>6</v>
      </c>
      <c r="AB48" s="207" t="s">
        <v>1100</v>
      </c>
      <c r="AC48" s="199"/>
      <c r="AD48" s="199"/>
      <c r="AE48" s="199"/>
      <c r="AF48" s="40"/>
      <c r="AG48" s="40"/>
      <c r="AH48" s="226"/>
      <c r="AI48" s="226"/>
      <c r="AJ48" s="207"/>
      <c r="AK48" s="199"/>
      <c r="AL48" s="199"/>
      <c r="AM48" s="199"/>
      <c r="AN48" s="199"/>
      <c r="AO48" s="199"/>
      <c r="AP48" s="199"/>
      <c r="AQ48" s="199"/>
      <c r="AR48" s="199"/>
      <c r="AS48" s="199"/>
      <c r="AT48" s="199"/>
      <c r="AU48" s="199"/>
      <c r="AV48" s="199"/>
      <c r="AW48" s="155">
        <f>LEN(L48)</f>
        <v>19</v>
      </c>
    </row>
    <row r="49" spans="1:49" s="236" customFormat="1" ht="15">
      <c r="A49" s="40">
        <f t="shared" si="3"/>
        <v>43</v>
      </c>
      <c r="B49" s="199"/>
      <c r="C49" s="199"/>
      <c r="D49" s="199"/>
      <c r="E49" s="199"/>
      <c r="F49" s="199"/>
      <c r="G49" s="199"/>
      <c r="H49" s="199"/>
      <c r="I49" s="199"/>
      <c r="J49" s="217" t="s">
        <v>2623</v>
      </c>
      <c r="K49" s="199" t="s">
        <v>132</v>
      </c>
      <c r="L49" s="412" t="s">
        <v>1631</v>
      </c>
      <c r="M49" s="412"/>
      <c r="N49" s="271" t="s">
        <v>504</v>
      </c>
      <c r="O49" s="369"/>
      <c r="P49" s="40"/>
      <c r="Q49" s="226" t="s">
        <v>6</v>
      </c>
      <c r="R49" s="226" t="s">
        <v>6</v>
      </c>
      <c r="S49" s="226" t="s">
        <v>6</v>
      </c>
      <c r="T49" s="226" t="s">
        <v>6</v>
      </c>
      <c r="U49" s="202"/>
      <c r="V49" s="199" t="s">
        <v>2615</v>
      </c>
      <c r="W49" s="199" t="s">
        <v>133</v>
      </c>
      <c r="X49" s="40"/>
      <c r="Y49" s="40"/>
      <c r="Z49" s="226" t="s">
        <v>6</v>
      </c>
      <c r="AA49" s="226" t="s">
        <v>6</v>
      </c>
      <c r="AB49" s="207" t="s">
        <v>1100</v>
      </c>
      <c r="AC49" s="199"/>
      <c r="AD49" s="199"/>
      <c r="AE49" s="199"/>
      <c r="AF49" s="40"/>
      <c r="AG49" s="40"/>
      <c r="AH49" s="226"/>
      <c r="AI49" s="226"/>
      <c r="AJ49" s="207"/>
      <c r="AK49" s="199"/>
      <c r="AL49" s="199"/>
      <c r="AM49" s="199"/>
      <c r="AN49" s="199"/>
      <c r="AO49" s="199"/>
      <c r="AP49" s="199"/>
      <c r="AQ49" s="199"/>
      <c r="AR49" s="199"/>
      <c r="AS49" s="199"/>
      <c r="AT49" s="199"/>
      <c r="AU49" s="199"/>
      <c r="AV49" s="199"/>
      <c r="AW49" s="155">
        <f t="shared" si="1"/>
        <v>21</v>
      </c>
    </row>
    <row r="50" spans="1:49" s="236" customFormat="1" ht="15">
      <c r="A50" s="40">
        <f t="shared" si="3"/>
        <v>44</v>
      </c>
      <c r="B50" s="199"/>
      <c r="C50" s="199"/>
      <c r="D50" s="199"/>
      <c r="E50" s="199"/>
      <c r="F50" s="199"/>
      <c r="G50" s="199"/>
      <c r="H50" s="199"/>
      <c r="I50" s="199"/>
      <c r="J50" s="217" t="s">
        <v>2624</v>
      </c>
      <c r="K50" s="199" t="s">
        <v>132</v>
      </c>
      <c r="L50" s="204" t="s">
        <v>2625</v>
      </c>
      <c r="M50" s="204"/>
      <c r="N50" s="271" t="s">
        <v>504</v>
      </c>
      <c r="O50" s="369"/>
      <c r="P50" s="40"/>
      <c r="Q50" s="226" t="s">
        <v>6</v>
      </c>
      <c r="R50" s="226" t="s">
        <v>6</v>
      </c>
      <c r="S50" s="226" t="s">
        <v>6</v>
      </c>
      <c r="T50" s="226" t="s">
        <v>6</v>
      </c>
      <c r="U50" s="202"/>
      <c r="V50" s="199" t="s">
        <v>2615</v>
      </c>
      <c r="W50" s="199" t="s">
        <v>133</v>
      </c>
      <c r="X50" s="40"/>
      <c r="Y50" s="40"/>
      <c r="Z50" s="226" t="s">
        <v>6</v>
      </c>
      <c r="AA50" s="226" t="s">
        <v>6</v>
      </c>
      <c r="AB50" s="207" t="s">
        <v>1100</v>
      </c>
      <c r="AC50" s="199"/>
      <c r="AD50" s="199"/>
      <c r="AE50" s="199"/>
      <c r="AF50" s="40"/>
      <c r="AG50" s="40"/>
      <c r="AH50" s="226"/>
      <c r="AI50" s="226"/>
      <c r="AJ50" s="207"/>
      <c r="AK50" s="199"/>
      <c r="AL50" s="199"/>
      <c r="AM50" s="199"/>
      <c r="AN50" s="199"/>
      <c r="AO50" s="199"/>
      <c r="AP50" s="199"/>
      <c r="AQ50" s="199"/>
      <c r="AR50" s="199"/>
      <c r="AS50" s="199"/>
      <c r="AT50" s="199"/>
      <c r="AU50" s="199"/>
      <c r="AV50" s="199"/>
      <c r="AW50" s="155">
        <f t="shared" si="1"/>
        <v>29</v>
      </c>
    </row>
    <row r="51" spans="1:49" s="236" customFormat="1" ht="15">
      <c r="A51" s="40">
        <f t="shared" si="3"/>
        <v>45</v>
      </c>
      <c r="B51" s="199"/>
      <c r="C51" s="199"/>
      <c r="D51" s="199"/>
      <c r="E51" s="199"/>
      <c r="F51" s="199"/>
      <c r="G51" s="199"/>
      <c r="H51" s="199"/>
      <c r="I51" s="199"/>
      <c r="J51" s="217" t="s">
        <v>2626</v>
      </c>
      <c r="K51" s="199" t="s">
        <v>132</v>
      </c>
      <c r="L51" s="204" t="s">
        <v>2627</v>
      </c>
      <c r="M51" s="204"/>
      <c r="N51" s="271" t="s">
        <v>504</v>
      </c>
      <c r="O51" s="369"/>
      <c r="P51" s="40"/>
      <c r="Q51" s="226" t="s">
        <v>6</v>
      </c>
      <c r="R51" s="226" t="s">
        <v>6</v>
      </c>
      <c r="S51" s="226" t="s">
        <v>6</v>
      </c>
      <c r="T51" s="226" t="s">
        <v>6</v>
      </c>
      <c r="U51" s="202"/>
      <c r="V51" s="199" t="s">
        <v>2615</v>
      </c>
      <c r="W51" s="199" t="s">
        <v>133</v>
      </c>
      <c r="X51" s="40"/>
      <c r="Y51" s="40"/>
      <c r="Z51" s="226" t="s">
        <v>6</v>
      </c>
      <c r="AA51" s="226" t="s">
        <v>6</v>
      </c>
      <c r="AB51" s="207" t="s">
        <v>1100</v>
      </c>
      <c r="AC51" s="199"/>
      <c r="AD51" s="199"/>
      <c r="AE51" s="199"/>
      <c r="AF51" s="40"/>
      <c r="AG51" s="40"/>
      <c r="AH51" s="226"/>
      <c r="AI51" s="226"/>
      <c r="AJ51" s="207"/>
      <c r="AK51" s="199"/>
      <c r="AL51" s="199"/>
      <c r="AM51" s="199"/>
      <c r="AN51" s="199"/>
      <c r="AO51" s="199"/>
      <c r="AP51" s="199"/>
      <c r="AQ51" s="199"/>
      <c r="AR51" s="199"/>
      <c r="AS51" s="199"/>
      <c r="AT51" s="199"/>
      <c r="AU51" s="199"/>
      <c r="AV51" s="199"/>
      <c r="AW51" s="155">
        <f t="shared" si="1"/>
        <v>26</v>
      </c>
    </row>
    <row r="52" spans="1:49" s="236" customFormat="1" ht="15">
      <c r="A52" s="40">
        <f t="shared" si="3"/>
        <v>46</v>
      </c>
      <c r="B52" s="199"/>
      <c r="C52" s="199"/>
      <c r="D52" s="199"/>
      <c r="E52" s="199"/>
      <c r="F52" s="199"/>
      <c r="G52" s="199"/>
      <c r="H52" s="199"/>
      <c r="I52" s="199"/>
      <c r="J52" s="217" t="s">
        <v>2628</v>
      </c>
      <c r="K52" s="199" t="s">
        <v>132</v>
      </c>
      <c r="L52" s="204" t="s">
        <v>2629</v>
      </c>
      <c r="M52" s="204"/>
      <c r="N52" s="271" t="s">
        <v>504</v>
      </c>
      <c r="O52" s="369"/>
      <c r="P52" s="40"/>
      <c r="Q52" s="226" t="s">
        <v>6</v>
      </c>
      <c r="R52" s="226" t="s">
        <v>6</v>
      </c>
      <c r="S52" s="226" t="s">
        <v>6</v>
      </c>
      <c r="T52" s="226" t="s">
        <v>6</v>
      </c>
      <c r="U52" s="202"/>
      <c r="V52" s="199" t="s">
        <v>2615</v>
      </c>
      <c r="W52" s="199" t="s">
        <v>133</v>
      </c>
      <c r="X52" s="40"/>
      <c r="Y52" s="40"/>
      <c r="Z52" s="226" t="s">
        <v>6</v>
      </c>
      <c r="AA52" s="226" t="s">
        <v>6</v>
      </c>
      <c r="AB52" s="207" t="s">
        <v>1100</v>
      </c>
      <c r="AC52" s="199"/>
      <c r="AD52" s="199"/>
      <c r="AE52" s="199"/>
      <c r="AF52" s="40"/>
      <c r="AG52" s="40"/>
      <c r="AH52" s="226"/>
      <c r="AI52" s="226"/>
      <c r="AJ52" s="207"/>
      <c r="AK52" s="199"/>
      <c r="AL52" s="199"/>
      <c r="AM52" s="199"/>
      <c r="AN52" s="199"/>
      <c r="AO52" s="199"/>
      <c r="AP52" s="199"/>
      <c r="AQ52" s="199"/>
      <c r="AR52" s="199"/>
      <c r="AS52" s="199"/>
      <c r="AT52" s="199"/>
      <c r="AU52" s="199"/>
      <c r="AV52" s="199"/>
      <c r="AW52" s="155">
        <f t="shared" si="1"/>
        <v>26</v>
      </c>
    </row>
    <row r="53" spans="1:49" s="14" customFormat="1" ht="25.5" customHeight="1">
      <c r="A53" s="40">
        <f t="shared" si="3"/>
        <v>47</v>
      </c>
      <c r="B53" s="38"/>
      <c r="C53" s="41"/>
      <c r="D53" s="38"/>
      <c r="E53" s="46"/>
      <c r="F53" s="46"/>
      <c r="G53" s="46"/>
      <c r="H53" s="40"/>
      <c r="I53" s="40"/>
      <c r="J53" s="199" t="s">
        <v>2615</v>
      </c>
      <c r="K53" s="199" t="s">
        <v>132</v>
      </c>
      <c r="L53" s="249" t="s">
        <v>2630</v>
      </c>
      <c r="M53" s="249"/>
      <c r="N53" s="271" t="s">
        <v>504</v>
      </c>
      <c r="O53" s="40"/>
      <c r="P53" s="40"/>
      <c r="Q53" s="226" t="s">
        <v>6</v>
      </c>
      <c r="R53" s="226" t="s">
        <v>6</v>
      </c>
      <c r="S53" s="226" t="s">
        <v>6</v>
      </c>
      <c r="T53" s="226" t="s">
        <v>6</v>
      </c>
      <c r="U53" s="202" t="str">
        <f>"Pode ser o Agrupamento dos itens "&amp;A44&amp;" a "&amp;A52</f>
        <v>Pode ser o Agrupamento dos itens 38 a 46</v>
      </c>
      <c r="V53" s="204"/>
      <c r="W53" s="199" t="s">
        <v>133</v>
      </c>
      <c r="X53" s="40"/>
      <c r="Y53" s="40"/>
      <c r="Z53" s="226" t="s">
        <v>6</v>
      </c>
      <c r="AA53" s="226" t="s">
        <v>6</v>
      </c>
      <c r="AB53" s="207" t="s">
        <v>1100</v>
      </c>
      <c r="AC53" s="40"/>
      <c r="AD53" s="40"/>
      <c r="AE53" s="199"/>
      <c r="AF53" s="40"/>
      <c r="AG53" s="40"/>
      <c r="AH53" s="226"/>
      <c r="AI53" s="226"/>
      <c r="AJ53" s="207"/>
      <c r="AK53" s="40"/>
      <c r="AL53" s="40"/>
      <c r="AM53" s="198"/>
      <c r="AN53" s="232"/>
      <c r="AO53" s="245"/>
      <c r="AP53" s="245"/>
      <c r="AQ53" s="245"/>
      <c r="AR53" s="245"/>
      <c r="AS53" s="245"/>
      <c r="AT53" s="245"/>
      <c r="AU53" s="40"/>
      <c r="AV53" s="40"/>
      <c r="AW53" s="155">
        <f t="shared" si="1"/>
        <v>18</v>
      </c>
    </row>
    <row r="54" spans="1:49" s="236" customFormat="1" ht="15">
      <c r="A54" s="40">
        <f>ROW() - 6</f>
        <v>48</v>
      </c>
      <c r="B54" s="199"/>
      <c r="C54" s="199"/>
      <c r="D54" s="199"/>
      <c r="E54" s="199"/>
      <c r="F54" s="199"/>
      <c r="G54" s="199"/>
      <c r="H54" s="199"/>
      <c r="I54" s="199"/>
      <c r="J54" s="217" t="s">
        <v>2631</v>
      </c>
      <c r="K54" s="199" t="s">
        <v>117</v>
      </c>
      <c r="L54" s="204" t="s">
        <v>2632</v>
      </c>
      <c r="M54" s="204"/>
      <c r="N54" s="271" t="s">
        <v>504</v>
      </c>
      <c r="O54" s="202"/>
      <c r="P54" s="126"/>
      <c r="Q54" s="226" t="s">
        <v>6</v>
      </c>
      <c r="R54" s="226" t="s">
        <v>6</v>
      </c>
      <c r="S54" s="226" t="s">
        <v>6</v>
      </c>
      <c r="T54" s="226" t="s">
        <v>6</v>
      </c>
      <c r="U54" s="203"/>
      <c r="V54" s="201"/>
      <c r="W54" s="199" t="s">
        <v>133</v>
      </c>
      <c r="X54" s="40"/>
      <c r="Y54" s="40"/>
      <c r="Z54" s="226" t="s">
        <v>6</v>
      </c>
      <c r="AA54" s="226" t="s">
        <v>6</v>
      </c>
      <c r="AB54" s="207" t="s">
        <v>1100</v>
      </c>
      <c r="AC54" s="199"/>
      <c r="AD54" s="199"/>
      <c r="AE54" s="199"/>
      <c r="AF54" s="40"/>
      <c r="AG54" s="40"/>
      <c r="AH54" s="226"/>
      <c r="AI54" s="226"/>
      <c r="AJ54" s="207"/>
      <c r="AK54" s="199"/>
      <c r="AL54" s="199"/>
      <c r="AM54" s="199"/>
      <c r="AN54" s="199"/>
      <c r="AO54" s="199"/>
      <c r="AP54" s="199"/>
      <c r="AQ54" s="199"/>
      <c r="AR54" s="199"/>
      <c r="AS54" s="199"/>
      <c r="AT54" s="199"/>
      <c r="AU54" s="199"/>
      <c r="AV54" s="199"/>
      <c r="AW54" s="155">
        <f t="shared" si="1"/>
        <v>28</v>
      </c>
    </row>
    <row r="55" spans="1:49" s="236" customFormat="1" ht="15">
      <c r="A55" s="40">
        <f t="shared" si="3"/>
        <v>49</v>
      </c>
      <c r="B55" s="199"/>
      <c r="C55" s="199"/>
      <c r="D55" s="199"/>
      <c r="E55" s="199"/>
      <c r="F55" s="199"/>
      <c r="G55" s="199"/>
      <c r="H55" s="199"/>
      <c r="I55" s="199"/>
      <c r="J55" s="215" t="s">
        <v>2633</v>
      </c>
      <c r="K55" s="412" t="s">
        <v>103</v>
      </c>
      <c r="L55" s="204" t="s">
        <v>2634</v>
      </c>
      <c r="M55" s="204"/>
      <c r="N55" s="271" t="s">
        <v>504</v>
      </c>
      <c r="O55" s="369"/>
      <c r="P55" s="126"/>
      <c r="Q55" s="126"/>
      <c r="R55" s="226" t="s">
        <v>6</v>
      </c>
      <c r="S55" s="226" t="s">
        <v>6</v>
      </c>
      <c r="T55" s="226" t="s">
        <v>6</v>
      </c>
      <c r="U55" s="203"/>
      <c r="V55" s="201"/>
      <c r="W55" s="412" t="s">
        <v>103</v>
      </c>
      <c r="X55" s="199"/>
      <c r="Y55" s="199"/>
      <c r="Z55" s="226" t="s">
        <v>6</v>
      </c>
      <c r="AA55" s="226" t="s">
        <v>6</v>
      </c>
      <c r="AB55" s="207" t="s">
        <v>1100</v>
      </c>
      <c r="AC55" s="199"/>
      <c r="AD55" s="199"/>
      <c r="AE55" s="412"/>
      <c r="AF55" s="199"/>
      <c r="AG55" s="199"/>
      <c r="AH55" s="226"/>
      <c r="AI55" s="226"/>
      <c r="AJ55" s="207"/>
      <c r="AK55" s="199"/>
      <c r="AL55" s="199"/>
      <c r="AM55" s="199"/>
      <c r="AN55" s="199"/>
      <c r="AO55" s="199"/>
      <c r="AP55" s="199"/>
      <c r="AQ55" s="199"/>
      <c r="AR55" s="199"/>
      <c r="AS55" s="199"/>
      <c r="AT55" s="199"/>
      <c r="AU55" s="199"/>
      <c r="AV55" s="199"/>
      <c r="AW55" s="155">
        <f t="shared" si="1"/>
        <v>17</v>
      </c>
    </row>
    <row r="56" spans="1:49" s="236" customFormat="1" ht="15">
      <c r="A56" s="40">
        <f t="shared" si="3"/>
        <v>50</v>
      </c>
      <c r="B56" s="199"/>
      <c r="C56" s="199"/>
      <c r="D56" s="199"/>
      <c r="E56" s="199"/>
      <c r="F56" s="199"/>
      <c r="G56" s="199"/>
      <c r="H56" s="199"/>
      <c r="I56" s="199"/>
      <c r="J56" s="215" t="s">
        <v>2635</v>
      </c>
      <c r="K56" s="199" t="s">
        <v>117</v>
      </c>
      <c r="L56" s="204" t="s">
        <v>2636</v>
      </c>
      <c r="M56" s="204"/>
      <c r="N56" s="271" t="s">
        <v>504</v>
      </c>
      <c r="O56" s="369"/>
      <c r="P56" s="126"/>
      <c r="Q56" s="226" t="s">
        <v>6</v>
      </c>
      <c r="R56" s="226" t="s">
        <v>6</v>
      </c>
      <c r="S56" s="226" t="s">
        <v>6</v>
      </c>
      <c r="T56" s="226" t="s">
        <v>6</v>
      </c>
      <c r="U56" s="203"/>
      <c r="V56" s="215" t="s">
        <v>2637</v>
      </c>
      <c r="W56" s="199" t="s">
        <v>133</v>
      </c>
      <c r="X56" s="40"/>
      <c r="Y56" s="40"/>
      <c r="Z56" s="226" t="s">
        <v>6</v>
      </c>
      <c r="AA56" s="226" t="s">
        <v>6</v>
      </c>
      <c r="AB56" s="207" t="s">
        <v>1100</v>
      </c>
      <c r="AC56" s="199"/>
      <c r="AD56" s="199"/>
      <c r="AE56" s="199"/>
      <c r="AF56" s="40"/>
      <c r="AG56" s="40"/>
      <c r="AH56" s="226"/>
      <c r="AI56" s="226"/>
      <c r="AJ56" s="207"/>
      <c r="AK56" s="199"/>
      <c r="AL56" s="199"/>
      <c r="AM56" s="199"/>
      <c r="AN56" s="199"/>
      <c r="AO56" s="199"/>
      <c r="AP56" s="199"/>
      <c r="AQ56" s="199"/>
      <c r="AR56" s="199"/>
      <c r="AS56" s="199"/>
      <c r="AT56" s="199"/>
      <c r="AU56" s="199"/>
      <c r="AV56" s="199"/>
      <c r="AW56" s="155">
        <f t="shared" si="1"/>
        <v>19</v>
      </c>
    </row>
    <row r="57" spans="1:49" s="236" customFormat="1" ht="15">
      <c r="A57" s="40">
        <f t="shared" si="3"/>
        <v>51</v>
      </c>
      <c r="B57" s="199"/>
      <c r="C57" s="199"/>
      <c r="D57" s="199"/>
      <c r="E57" s="199"/>
      <c r="F57" s="199"/>
      <c r="G57" s="199"/>
      <c r="H57" s="199"/>
      <c r="I57" s="199"/>
      <c r="J57" s="215" t="s">
        <v>2638</v>
      </c>
      <c r="K57" s="199" t="s">
        <v>117</v>
      </c>
      <c r="L57" s="204" t="s">
        <v>2639</v>
      </c>
      <c r="M57" s="204"/>
      <c r="N57" s="271" t="s">
        <v>504</v>
      </c>
      <c r="O57" s="369"/>
      <c r="P57" s="126"/>
      <c r="Q57" s="226" t="s">
        <v>6</v>
      </c>
      <c r="R57" s="226" t="s">
        <v>6</v>
      </c>
      <c r="S57" s="226" t="s">
        <v>6</v>
      </c>
      <c r="T57" s="226" t="s">
        <v>6</v>
      </c>
      <c r="U57" s="203"/>
      <c r="V57" s="215" t="s">
        <v>2637</v>
      </c>
      <c r="W57" s="199" t="s">
        <v>133</v>
      </c>
      <c r="X57" s="40"/>
      <c r="Y57" s="40"/>
      <c r="Z57" s="226" t="s">
        <v>6</v>
      </c>
      <c r="AA57" s="226" t="s">
        <v>6</v>
      </c>
      <c r="AB57" s="207" t="s">
        <v>1100</v>
      </c>
      <c r="AC57" s="199"/>
      <c r="AD57" s="199"/>
      <c r="AE57" s="199"/>
      <c r="AF57" s="40"/>
      <c r="AG57" s="40"/>
      <c r="AH57" s="226"/>
      <c r="AI57" s="226"/>
      <c r="AJ57" s="207"/>
      <c r="AK57" s="199"/>
      <c r="AL57" s="199"/>
      <c r="AM57" s="199"/>
      <c r="AN57" s="199"/>
      <c r="AO57" s="199"/>
      <c r="AP57" s="199"/>
      <c r="AQ57" s="199"/>
      <c r="AR57" s="199"/>
      <c r="AS57" s="199"/>
      <c r="AT57" s="199"/>
      <c r="AU57" s="199"/>
      <c r="AV57" s="199"/>
      <c r="AW57" s="155">
        <f t="shared" si="1"/>
        <v>11</v>
      </c>
    </row>
    <row r="58" spans="1:49" s="236" customFormat="1" ht="15">
      <c r="A58" s="40">
        <f t="shared" si="3"/>
        <v>52</v>
      </c>
      <c r="B58" s="199"/>
      <c r="C58" s="199"/>
      <c r="D58" s="199"/>
      <c r="E58" s="199"/>
      <c r="F58" s="199"/>
      <c r="G58" s="199"/>
      <c r="H58" s="199"/>
      <c r="I58" s="199"/>
      <c r="J58" s="215" t="s">
        <v>2640</v>
      </c>
      <c r="K58" s="199" t="s">
        <v>117</v>
      </c>
      <c r="L58" s="204" t="s">
        <v>2641</v>
      </c>
      <c r="M58" s="204"/>
      <c r="N58" s="271" t="s">
        <v>504</v>
      </c>
      <c r="O58" s="369"/>
      <c r="P58" s="126"/>
      <c r="Q58" s="226" t="s">
        <v>6</v>
      </c>
      <c r="R58" s="226" t="s">
        <v>6</v>
      </c>
      <c r="S58" s="226" t="s">
        <v>6</v>
      </c>
      <c r="T58" s="226" t="s">
        <v>6</v>
      </c>
      <c r="U58" s="203"/>
      <c r="V58" s="215" t="s">
        <v>2637</v>
      </c>
      <c r="W58" s="199" t="s">
        <v>133</v>
      </c>
      <c r="X58" s="40"/>
      <c r="Y58" s="40"/>
      <c r="Z58" s="226" t="s">
        <v>6</v>
      </c>
      <c r="AA58" s="226" t="s">
        <v>6</v>
      </c>
      <c r="AB58" s="207" t="s">
        <v>1100</v>
      </c>
      <c r="AC58" s="199"/>
      <c r="AD58" s="199"/>
      <c r="AE58" s="199"/>
      <c r="AF58" s="40"/>
      <c r="AG58" s="40"/>
      <c r="AH58" s="226"/>
      <c r="AI58" s="226"/>
      <c r="AJ58" s="207"/>
      <c r="AK58" s="199"/>
      <c r="AL58" s="199"/>
      <c r="AM58" s="199"/>
      <c r="AN58" s="199"/>
      <c r="AO58" s="199"/>
      <c r="AP58" s="199"/>
      <c r="AQ58" s="199"/>
      <c r="AR58" s="199"/>
      <c r="AS58" s="199"/>
      <c r="AT58" s="199"/>
      <c r="AU58" s="199"/>
      <c r="AV58" s="199"/>
      <c r="AW58" s="155">
        <f t="shared" si="1"/>
        <v>11</v>
      </c>
    </row>
    <row r="59" spans="1:49" s="236" customFormat="1" ht="15">
      <c r="A59" s="40">
        <f t="shared" si="3"/>
        <v>53</v>
      </c>
      <c r="B59" s="199"/>
      <c r="C59" s="199"/>
      <c r="D59" s="199"/>
      <c r="E59" s="199"/>
      <c r="F59" s="199"/>
      <c r="G59" s="199"/>
      <c r="H59" s="199"/>
      <c r="I59" s="199"/>
      <c r="J59" s="215" t="s">
        <v>2642</v>
      </c>
      <c r="K59" s="199" t="s">
        <v>117</v>
      </c>
      <c r="L59" s="204" t="s">
        <v>2643</v>
      </c>
      <c r="M59" s="204"/>
      <c r="N59" s="271" t="s">
        <v>504</v>
      </c>
      <c r="O59" s="369"/>
      <c r="P59" s="126"/>
      <c r="Q59" s="226" t="s">
        <v>6</v>
      </c>
      <c r="R59" s="226" t="s">
        <v>6</v>
      </c>
      <c r="S59" s="226" t="s">
        <v>6</v>
      </c>
      <c r="T59" s="226" t="s">
        <v>6</v>
      </c>
      <c r="U59" s="203"/>
      <c r="V59" s="215" t="s">
        <v>2637</v>
      </c>
      <c r="W59" s="199" t="s">
        <v>133</v>
      </c>
      <c r="X59" s="40"/>
      <c r="Y59" s="40"/>
      <c r="Z59" s="226" t="s">
        <v>6</v>
      </c>
      <c r="AA59" s="226" t="s">
        <v>6</v>
      </c>
      <c r="AB59" s="207" t="s">
        <v>1100</v>
      </c>
      <c r="AC59" s="199"/>
      <c r="AD59" s="199"/>
      <c r="AE59" s="199"/>
      <c r="AF59" s="40"/>
      <c r="AG59" s="40"/>
      <c r="AH59" s="226"/>
      <c r="AI59" s="226"/>
      <c r="AJ59" s="207"/>
      <c r="AK59" s="199"/>
      <c r="AL59" s="199"/>
      <c r="AM59" s="199"/>
      <c r="AN59" s="199"/>
      <c r="AO59" s="199"/>
      <c r="AP59" s="199"/>
      <c r="AQ59" s="199"/>
      <c r="AR59" s="199"/>
      <c r="AS59" s="199"/>
      <c r="AT59" s="199"/>
      <c r="AU59" s="199"/>
      <c r="AV59" s="199"/>
      <c r="AW59" s="155">
        <f t="shared" si="1"/>
        <v>15</v>
      </c>
    </row>
    <row r="60" spans="1:49" s="236" customFormat="1" ht="15">
      <c r="A60" s="40">
        <f t="shared" si="3"/>
        <v>54</v>
      </c>
      <c r="B60" s="199"/>
      <c r="C60" s="199"/>
      <c r="D60" s="199"/>
      <c r="E60" s="199"/>
      <c r="F60" s="199"/>
      <c r="G60" s="199"/>
      <c r="H60" s="199"/>
      <c r="I60" s="199"/>
      <c r="J60" s="215" t="s">
        <v>2644</v>
      </c>
      <c r="K60" s="199" t="s">
        <v>117</v>
      </c>
      <c r="L60" s="204" t="s">
        <v>2645</v>
      </c>
      <c r="M60" s="204"/>
      <c r="N60" s="271" t="s">
        <v>504</v>
      </c>
      <c r="O60" s="369"/>
      <c r="P60" s="126"/>
      <c r="Q60" s="226" t="s">
        <v>6</v>
      </c>
      <c r="R60" s="226" t="s">
        <v>6</v>
      </c>
      <c r="S60" s="226" t="s">
        <v>6</v>
      </c>
      <c r="T60" s="226" t="s">
        <v>6</v>
      </c>
      <c r="U60" s="203"/>
      <c r="V60" s="215" t="s">
        <v>2637</v>
      </c>
      <c r="W60" s="199" t="s">
        <v>133</v>
      </c>
      <c r="X60" s="40"/>
      <c r="Y60" s="40"/>
      <c r="Z60" s="226" t="s">
        <v>6</v>
      </c>
      <c r="AA60" s="226" t="s">
        <v>6</v>
      </c>
      <c r="AB60" s="207" t="s">
        <v>1100</v>
      </c>
      <c r="AC60" s="199"/>
      <c r="AD60" s="199"/>
      <c r="AE60" s="199"/>
      <c r="AF60" s="40"/>
      <c r="AG60" s="40"/>
      <c r="AH60" s="226"/>
      <c r="AI60" s="226"/>
      <c r="AJ60" s="207"/>
      <c r="AK60" s="199"/>
      <c r="AL60" s="199"/>
      <c r="AM60" s="199"/>
      <c r="AN60" s="199"/>
      <c r="AO60" s="199"/>
      <c r="AP60" s="199"/>
      <c r="AQ60" s="199"/>
      <c r="AR60" s="199"/>
      <c r="AS60" s="199"/>
      <c r="AT60" s="199"/>
      <c r="AU60" s="199"/>
      <c r="AV60" s="199"/>
      <c r="AW60" s="155">
        <f t="shared" si="1"/>
        <v>20</v>
      </c>
    </row>
    <row r="61" spans="1:49" s="236" customFormat="1" ht="15">
      <c r="A61" s="40">
        <f t="shared" si="3"/>
        <v>55</v>
      </c>
      <c r="B61" s="232"/>
      <c r="C61" s="41"/>
      <c r="D61" s="232"/>
      <c r="E61" s="232"/>
      <c r="F61" s="232"/>
      <c r="G61" s="232"/>
      <c r="H61" s="40"/>
      <c r="I61" s="40"/>
      <c r="J61" s="215" t="s">
        <v>2637</v>
      </c>
      <c r="K61" s="199" t="s">
        <v>117</v>
      </c>
      <c r="L61" s="215" t="s">
        <v>2646</v>
      </c>
      <c r="M61" s="215"/>
      <c r="N61" s="271" t="s">
        <v>504</v>
      </c>
      <c r="O61" s="40"/>
      <c r="P61" s="40"/>
      <c r="Q61" s="226"/>
      <c r="R61" s="226" t="s">
        <v>6</v>
      </c>
      <c r="S61" s="226" t="s">
        <v>6</v>
      </c>
      <c r="T61" s="226" t="s">
        <v>6</v>
      </c>
      <c r="U61" s="202" t="str">
        <f>"Agrupamento dos itens "&amp;A56&amp;" a "&amp;A60</f>
        <v>Agrupamento dos itens 50 a 54</v>
      </c>
      <c r="V61" s="204"/>
      <c r="W61" s="199" t="s">
        <v>133</v>
      </c>
      <c r="X61" s="40"/>
      <c r="Y61" s="40"/>
      <c r="Z61" s="226" t="s">
        <v>6</v>
      </c>
      <c r="AA61" s="226" t="s">
        <v>6</v>
      </c>
      <c r="AB61" s="207" t="s">
        <v>1100</v>
      </c>
      <c r="AC61" s="40"/>
      <c r="AD61" s="40"/>
      <c r="AE61" s="199"/>
      <c r="AF61" s="40"/>
      <c r="AG61" s="40"/>
      <c r="AH61" s="226"/>
      <c r="AI61" s="226"/>
      <c r="AJ61" s="207"/>
      <c r="AK61" s="40"/>
      <c r="AL61" s="40"/>
      <c r="AM61" s="198"/>
      <c r="AN61" s="232"/>
      <c r="AO61" s="40"/>
      <c r="AP61" s="40"/>
      <c r="AQ61" s="40"/>
      <c r="AR61" s="40"/>
      <c r="AS61" s="40"/>
      <c r="AT61" s="40"/>
      <c r="AU61" s="198"/>
      <c r="AV61" s="198"/>
      <c r="AW61" s="155">
        <f t="shared" si="1"/>
        <v>24</v>
      </c>
    </row>
    <row r="62" spans="1:49" s="236" customFormat="1" ht="15">
      <c r="A62" s="40">
        <f t="shared" si="3"/>
        <v>56</v>
      </c>
      <c r="B62" s="199"/>
      <c r="C62" s="199"/>
      <c r="D62" s="199"/>
      <c r="E62" s="199"/>
      <c r="F62" s="199"/>
      <c r="G62" s="199"/>
      <c r="H62" s="199"/>
      <c r="I62" s="199"/>
      <c r="J62" s="215" t="s">
        <v>2647</v>
      </c>
      <c r="K62" s="199" t="s">
        <v>117</v>
      </c>
      <c r="L62" s="204" t="s">
        <v>2648</v>
      </c>
      <c r="M62" s="204"/>
      <c r="N62" s="271" t="s">
        <v>504</v>
      </c>
      <c r="O62" s="369"/>
      <c r="P62" s="126"/>
      <c r="Q62" s="226" t="s">
        <v>6</v>
      </c>
      <c r="R62" s="226" t="s">
        <v>6</v>
      </c>
      <c r="S62" s="226" t="s">
        <v>6</v>
      </c>
      <c r="T62" s="226" t="s">
        <v>6</v>
      </c>
      <c r="U62" s="203"/>
      <c r="V62" s="201"/>
      <c r="W62" s="199" t="s">
        <v>133</v>
      </c>
      <c r="X62" s="40"/>
      <c r="Y62" s="40"/>
      <c r="Z62" s="226" t="s">
        <v>6</v>
      </c>
      <c r="AA62" s="226" t="s">
        <v>6</v>
      </c>
      <c r="AB62" s="207" t="s">
        <v>1100</v>
      </c>
      <c r="AC62" s="199"/>
      <c r="AD62" s="199"/>
      <c r="AE62" s="199"/>
      <c r="AF62" s="40"/>
      <c r="AG62" s="40"/>
      <c r="AH62" s="226"/>
      <c r="AI62" s="226"/>
      <c r="AJ62" s="207"/>
      <c r="AK62" s="199"/>
      <c r="AL62" s="199"/>
      <c r="AM62" s="199"/>
      <c r="AN62" s="199"/>
      <c r="AO62" s="199"/>
      <c r="AP62" s="199"/>
      <c r="AQ62" s="199"/>
      <c r="AR62" s="199"/>
      <c r="AS62" s="199"/>
      <c r="AT62" s="199"/>
      <c r="AU62" s="199"/>
      <c r="AV62" s="199"/>
      <c r="AW62" s="155">
        <f t="shared" si="1"/>
        <v>19</v>
      </c>
    </row>
    <row r="63" spans="1:49" s="236" customFormat="1" ht="15">
      <c r="A63" s="40">
        <f t="shared" si="3"/>
        <v>57</v>
      </c>
      <c r="B63" s="199"/>
      <c r="C63" s="199"/>
      <c r="D63" s="199"/>
      <c r="E63" s="199"/>
      <c r="F63" s="199"/>
      <c r="G63" s="199"/>
      <c r="H63" s="199"/>
      <c r="I63" s="199"/>
      <c r="J63" s="215" t="s">
        <v>2649</v>
      </c>
      <c r="K63" s="412" t="s">
        <v>103</v>
      </c>
      <c r="L63" s="204" t="s">
        <v>2650</v>
      </c>
      <c r="M63" s="204"/>
      <c r="N63" s="271" t="s">
        <v>504</v>
      </c>
      <c r="O63" s="369"/>
      <c r="P63" s="126"/>
      <c r="Q63" s="126"/>
      <c r="R63" s="226" t="s">
        <v>6</v>
      </c>
      <c r="S63" s="226" t="s">
        <v>6</v>
      </c>
      <c r="T63" s="226" t="s">
        <v>6</v>
      </c>
      <c r="U63" s="203"/>
      <c r="V63" s="201"/>
      <c r="W63" s="412" t="s">
        <v>103</v>
      </c>
      <c r="X63" s="199"/>
      <c r="Y63" s="199"/>
      <c r="Z63" s="226" t="s">
        <v>6</v>
      </c>
      <c r="AA63" s="226" t="s">
        <v>6</v>
      </c>
      <c r="AB63" s="207" t="s">
        <v>1100</v>
      </c>
      <c r="AC63" s="199"/>
      <c r="AD63" s="199"/>
      <c r="AE63" s="412"/>
      <c r="AF63" s="199"/>
      <c r="AG63" s="199"/>
      <c r="AH63" s="226"/>
      <c r="AI63" s="226"/>
      <c r="AJ63" s="207"/>
      <c r="AK63" s="199"/>
      <c r="AL63" s="199"/>
      <c r="AM63" s="199"/>
      <c r="AN63" s="199"/>
      <c r="AO63" s="199"/>
      <c r="AP63" s="199"/>
      <c r="AQ63" s="199"/>
      <c r="AR63" s="199"/>
      <c r="AS63" s="199"/>
      <c r="AT63" s="199"/>
      <c r="AU63" s="199"/>
      <c r="AV63" s="199"/>
      <c r="AW63" s="155">
        <f>LEN(L63)</f>
        <v>30</v>
      </c>
    </row>
    <row r="64" spans="1:49" s="236" customFormat="1" ht="26.4">
      <c r="A64" s="40">
        <f t="shared" si="3"/>
        <v>58</v>
      </c>
      <c r="B64" s="199"/>
      <c r="C64" s="199"/>
      <c r="D64" s="199"/>
      <c r="E64" s="199"/>
      <c r="F64" s="199"/>
      <c r="G64" s="199"/>
      <c r="H64" s="199"/>
      <c r="I64" s="199"/>
      <c r="J64" s="215" t="s">
        <v>2651</v>
      </c>
      <c r="K64" s="199" t="s">
        <v>75</v>
      </c>
      <c r="L64" s="204" t="s">
        <v>2652</v>
      </c>
      <c r="M64" s="204"/>
      <c r="N64" s="271" t="s">
        <v>504</v>
      </c>
      <c r="O64" s="369"/>
      <c r="P64" s="126"/>
      <c r="Q64" s="226" t="s">
        <v>6</v>
      </c>
      <c r="R64" s="226" t="s">
        <v>6</v>
      </c>
      <c r="S64" s="226" t="s">
        <v>6</v>
      </c>
      <c r="T64" s="226" t="s">
        <v>6</v>
      </c>
      <c r="U64" s="202" t="s">
        <v>2653</v>
      </c>
      <c r="V64" s="201"/>
      <c r="W64" s="412" t="s">
        <v>75</v>
      </c>
      <c r="X64" s="199"/>
      <c r="Y64" s="199"/>
      <c r="Z64" s="226" t="s">
        <v>6</v>
      </c>
      <c r="AA64" s="226" t="s">
        <v>6</v>
      </c>
      <c r="AB64" s="207" t="s">
        <v>1100</v>
      </c>
      <c r="AC64" s="199"/>
      <c r="AD64" s="199"/>
      <c r="AE64" s="412"/>
      <c r="AF64" s="199"/>
      <c r="AG64" s="199"/>
      <c r="AH64" s="226"/>
      <c r="AI64" s="226"/>
      <c r="AJ64" s="207"/>
      <c r="AK64" s="199"/>
      <c r="AL64" s="199"/>
      <c r="AM64" s="199"/>
      <c r="AN64" s="199"/>
      <c r="AO64" s="199"/>
      <c r="AP64" s="199"/>
      <c r="AQ64" s="199"/>
      <c r="AR64" s="199"/>
      <c r="AS64" s="199"/>
      <c r="AT64" s="199"/>
      <c r="AU64" s="199"/>
      <c r="AV64" s="199"/>
      <c r="AW64" s="155">
        <f>LEN(L64)</f>
        <v>33</v>
      </c>
    </row>
    <row r="65" spans="1:49" s="236" customFormat="1" ht="26.4">
      <c r="A65" s="40">
        <f t="shared" si="3"/>
        <v>59</v>
      </c>
      <c r="B65" s="199"/>
      <c r="C65" s="199"/>
      <c r="D65" s="199"/>
      <c r="E65" s="199"/>
      <c r="F65" s="199"/>
      <c r="G65" s="199"/>
      <c r="H65" s="199"/>
      <c r="I65" s="199"/>
      <c r="J65" s="215" t="s">
        <v>2654</v>
      </c>
      <c r="K65" s="199" t="s">
        <v>140</v>
      </c>
      <c r="L65" s="204" t="s">
        <v>2655</v>
      </c>
      <c r="M65" s="204"/>
      <c r="N65" s="271" t="s">
        <v>504</v>
      </c>
      <c r="O65" s="369"/>
      <c r="P65" s="126"/>
      <c r="Q65" s="226" t="s">
        <v>6</v>
      </c>
      <c r="R65" s="226" t="s">
        <v>6</v>
      </c>
      <c r="S65" s="226" t="s">
        <v>6</v>
      </c>
      <c r="T65" s="416" t="s">
        <v>6</v>
      </c>
      <c r="U65" s="202" t="s">
        <v>2653</v>
      </c>
      <c r="V65" s="201"/>
      <c r="W65" s="412" t="s">
        <v>140</v>
      </c>
      <c r="X65" s="199"/>
      <c r="Y65" s="199"/>
      <c r="Z65" s="226" t="s">
        <v>6</v>
      </c>
      <c r="AA65" s="226" t="s">
        <v>6</v>
      </c>
      <c r="AB65" s="207" t="s">
        <v>1100</v>
      </c>
      <c r="AC65" s="199"/>
      <c r="AD65" s="199"/>
      <c r="AE65" s="412"/>
      <c r="AF65" s="199"/>
      <c r="AG65" s="199"/>
      <c r="AH65" s="226"/>
      <c r="AI65" s="226"/>
      <c r="AJ65" s="207"/>
      <c r="AK65" s="199"/>
      <c r="AL65" s="199"/>
      <c r="AM65" s="199"/>
      <c r="AN65" s="199"/>
      <c r="AO65" s="199"/>
      <c r="AP65" s="199"/>
      <c r="AQ65" s="199"/>
      <c r="AR65" s="199"/>
      <c r="AS65" s="199"/>
      <c r="AT65" s="199"/>
      <c r="AU65" s="199"/>
      <c r="AV65" s="199"/>
      <c r="AW65" s="155">
        <f t="shared" ref="AW65:AW67" si="4">LEN(L65)</f>
        <v>29</v>
      </c>
    </row>
    <row r="66" spans="1:49" s="236" customFormat="1" ht="26.4">
      <c r="A66" s="40">
        <f t="shared" si="3"/>
        <v>60</v>
      </c>
      <c r="B66" s="199"/>
      <c r="C66" s="199"/>
      <c r="D66" s="199"/>
      <c r="E66" s="199"/>
      <c r="F66" s="199"/>
      <c r="G66" s="199"/>
      <c r="H66" s="199"/>
      <c r="I66" s="199"/>
      <c r="J66" s="215" t="s">
        <v>2656</v>
      </c>
      <c r="K66" s="199" t="s">
        <v>140</v>
      </c>
      <c r="L66" s="204" t="s">
        <v>2657</v>
      </c>
      <c r="M66" s="204"/>
      <c r="N66" s="271" t="s">
        <v>504</v>
      </c>
      <c r="O66" s="369"/>
      <c r="P66" s="126"/>
      <c r="Q66" s="226" t="s">
        <v>6</v>
      </c>
      <c r="R66" s="226" t="s">
        <v>6</v>
      </c>
      <c r="S66" s="226" t="s">
        <v>6</v>
      </c>
      <c r="T66" s="416" t="s">
        <v>6</v>
      </c>
      <c r="U66" s="202" t="s">
        <v>2653</v>
      </c>
      <c r="V66" s="201"/>
      <c r="W66" s="412" t="s">
        <v>140</v>
      </c>
      <c r="X66" s="199"/>
      <c r="Y66" s="199"/>
      <c r="Z66" s="226" t="s">
        <v>6</v>
      </c>
      <c r="AA66" s="226" t="s">
        <v>6</v>
      </c>
      <c r="AB66" s="207" t="s">
        <v>1100</v>
      </c>
      <c r="AC66" s="199"/>
      <c r="AD66" s="199"/>
      <c r="AE66" s="412"/>
      <c r="AF66" s="199"/>
      <c r="AG66" s="199"/>
      <c r="AH66" s="226"/>
      <c r="AI66" s="226"/>
      <c r="AJ66" s="207"/>
      <c r="AK66" s="199"/>
      <c r="AL66" s="199"/>
      <c r="AM66" s="199"/>
      <c r="AN66" s="199"/>
      <c r="AO66" s="199"/>
      <c r="AP66" s="199"/>
      <c r="AQ66" s="199"/>
      <c r="AR66" s="199"/>
      <c r="AS66" s="199"/>
      <c r="AT66" s="199"/>
      <c r="AU66" s="199"/>
      <c r="AV66" s="199"/>
      <c r="AW66" s="155">
        <f t="shared" si="4"/>
        <v>30</v>
      </c>
    </row>
    <row r="67" spans="1:49" s="236" customFormat="1" ht="26.4">
      <c r="A67" s="40">
        <f t="shared" si="3"/>
        <v>61</v>
      </c>
      <c r="B67" s="199"/>
      <c r="C67" s="199"/>
      <c r="D67" s="199"/>
      <c r="E67" s="199"/>
      <c r="F67" s="199"/>
      <c r="G67" s="199"/>
      <c r="H67" s="199"/>
      <c r="I67" s="199"/>
      <c r="J67" s="215" t="s">
        <v>2658</v>
      </c>
      <c r="K67" s="412" t="s">
        <v>113</v>
      </c>
      <c r="L67" s="204" t="s">
        <v>2659</v>
      </c>
      <c r="M67" s="204"/>
      <c r="N67" s="271" t="s">
        <v>504</v>
      </c>
      <c r="O67" s="369"/>
      <c r="P67" s="126"/>
      <c r="Q67" s="226" t="s">
        <v>6</v>
      </c>
      <c r="R67" s="226" t="s">
        <v>6</v>
      </c>
      <c r="S67" s="226" t="s">
        <v>6</v>
      </c>
      <c r="T67" s="226" t="s">
        <v>6</v>
      </c>
      <c r="U67" s="202" t="s">
        <v>2653</v>
      </c>
      <c r="V67" s="201"/>
      <c r="W67" s="412" t="s">
        <v>113</v>
      </c>
      <c r="X67" s="199"/>
      <c r="Y67" s="199"/>
      <c r="Z67" s="226" t="s">
        <v>6</v>
      </c>
      <c r="AA67" s="226" t="s">
        <v>6</v>
      </c>
      <c r="AB67" s="207" t="s">
        <v>1100</v>
      </c>
      <c r="AC67" s="199"/>
      <c r="AD67" s="199"/>
      <c r="AE67" s="412"/>
      <c r="AF67" s="199"/>
      <c r="AG67" s="199"/>
      <c r="AH67" s="226"/>
      <c r="AI67" s="226"/>
      <c r="AJ67" s="207"/>
      <c r="AK67" s="199"/>
      <c r="AL67" s="199"/>
      <c r="AM67" s="199"/>
      <c r="AN67" s="199"/>
      <c r="AO67" s="199"/>
      <c r="AP67" s="199"/>
      <c r="AQ67" s="199"/>
      <c r="AR67" s="199"/>
      <c r="AS67" s="199"/>
      <c r="AT67" s="199"/>
      <c r="AU67" s="199"/>
      <c r="AV67" s="199"/>
      <c r="AW67" s="155">
        <f t="shared" si="4"/>
        <v>35</v>
      </c>
    </row>
    <row r="68" spans="1:49" s="236" customFormat="1" ht="26.4">
      <c r="A68" s="40">
        <f t="shared" si="3"/>
        <v>62</v>
      </c>
      <c r="B68" s="199"/>
      <c r="C68" s="199"/>
      <c r="D68" s="199"/>
      <c r="E68" s="199"/>
      <c r="F68" s="199"/>
      <c r="G68" s="199"/>
      <c r="H68" s="199"/>
      <c r="I68" s="199"/>
      <c r="J68" s="215" t="s">
        <v>2660</v>
      </c>
      <c r="K68" s="199" t="s">
        <v>128</v>
      </c>
      <c r="L68" s="374" t="s">
        <v>2661</v>
      </c>
      <c r="M68" s="374"/>
      <c r="N68" s="271" t="s">
        <v>504</v>
      </c>
      <c r="O68" s="369"/>
      <c r="P68" s="126"/>
      <c r="Q68" s="226" t="s">
        <v>6</v>
      </c>
      <c r="R68" s="226" t="s">
        <v>6</v>
      </c>
      <c r="S68" s="226" t="s">
        <v>6</v>
      </c>
      <c r="T68" s="226" t="s">
        <v>6</v>
      </c>
      <c r="U68" s="202" t="s">
        <v>2653</v>
      </c>
      <c r="V68" s="204"/>
      <c r="W68" s="199" t="s">
        <v>128</v>
      </c>
      <c r="X68" s="199"/>
      <c r="Y68" s="199"/>
      <c r="Z68" s="226" t="s">
        <v>6</v>
      </c>
      <c r="AA68" s="226" t="s">
        <v>6</v>
      </c>
      <c r="AB68" s="207" t="s">
        <v>1100</v>
      </c>
      <c r="AC68" s="199"/>
      <c r="AD68" s="199"/>
      <c r="AE68" s="199"/>
      <c r="AF68" s="199"/>
      <c r="AG68" s="199"/>
      <c r="AH68" s="226"/>
      <c r="AI68" s="226"/>
      <c r="AJ68" s="207"/>
      <c r="AK68" s="199"/>
      <c r="AL68" s="199"/>
      <c r="AM68" s="199"/>
      <c r="AN68" s="199"/>
      <c r="AO68" s="199"/>
      <c r="AP68" s="199"/>
      <c r="AQ68" s="199"/>
      <c r="AR68" s="199"/>
      <c r="AS68" s="199"/>
      <c r="AT68" s="199"/>
      <c r="AU68" s="199"/>
      <c r="AV68" s="199"/>
      <c r="AW68" s="155">
        <f t="shared" ref="AW68:AW145" si="5">LEN(L68)</f>
        <v>34</v>
      </c>
    </row>
    <row r="69" spans="1:49" s="236" customFormat="1" ht="26.4">
      <c r="A69" s="40">
        <f t="shared" si="3"/>
        <v>63</v>
      </c>
      <c r="B69" s="199"/>
      <c r="C69" s="199"/>
      <c r="D69" s="199"/>
      <c r="E69" s="199"/>
      <c r="F69" s="199"/>
      <c r="G69" s="199"/>
      <c r="H69" s="199"/>
      <c r="I69" s="199"/>
      <c r="J69" s="215" t="s">
        <v>2662</v>
      </c>
      <c r="K69" s="199" t="s">
        <v>128</v>
      </c>
      <c r="L69" s="374" t="s">
        <v>2663</v>
      </c>
      <c r="M69" s="374"/>
      <c r="N69" s="271" t="s">
        <v>504</v>
      </c>
      <c r="O69" s="369"/>
      <c r="P69" s="126"/>
      <c r="Q69" s="226" t="s">
        <v>6</v>
      </c>
      <c r="R69" s="226" t="s">
        <v>6</v>
      </c>
      <c r="S69" s="226" t="s">
        <v>6</v>
      </c>
      <c r="T69" s="226" t="s">
        <v>6</v>
      </c>
      <c r="U69" s="202" t="s">
        <v>2653</v>
      </c>
      <c r="V69" s="204"/>
      <c r="W69" s="199" t="s">
        <v>128</v>
      </c>
      <c r="X69" s="199"/>
      <c r="Y69" s="199"/>
      <c r="Z69" s="226" t="s">
        <v>6</v>
      </c>
      <c r="AA69" s="226" t="s">
        <v>6</v>
      </c>
      <c r="AB69" s="207" t="s">
        <v>1100</v>
      </c>
      <c r="AC69" s="199"/>
      <c r="AD69" s="199"/>
      <c r="AE69" s="199"/>
      <c r="AF69" s="199"/>
      <c r="AG69" s="199"/>
      <c r="AH69" s="226"/>
      <c r="AI69" s="226"/>
      <c r="AJ69" s="207"/>
      <c r="AK69" s="199"/>
      <c r="AL69" s="199"/>
      <c r="AM69" s="199"/>
      <c r="AN69" s="199"/>
      <c r="AO69" s="199"/>
      <c r="AP69" s="199"/>
      <c r="AQ69" s="199"/>
      <c r="AR69" s="199"/>
      <c r="AS69" s="199"/>
      <c r="AT69" s="199"/>
      <c r="AU69" s="199"/>
      <c r="AV69" s="199"/>
      <c r="AW69" s="155">
        <f t="shared" ref="AW69:AW79" si="6">LEN(L69)</f>
        <v>31</v>
      </c>
    </row>
    <row r="70" spans="1:49" s="236" customFormat="1" ht="26.4">
      <c r="A70" s="40">
        <f t="shared" si="3"/>
        <v>64</v>
      </c>
      <c r="B70" s="199"/>
      <c r="C70" s="199"/>
      <c r="D70" s="199"/>
      <c r="E70" s="199"/>
      <c r="F70" s="199"/>
      <c r="G70" s="199"/>
      <c r="H70" s="199"/>
      <c r="I70" s="199"/>
      <c r="J70" s="215" t="s">
        <v>2664</v>
      </c>
      <c r="K70" s="199" t="s">
        <v>128</v>
      </c>
      <c r="L70" s="204" t="s">
        <v>703</v>
      </c>
      <c r="M70" s="204"/>
      <c r="N70" s="271" t="s">
        <v>504</v>
      </c>
      <c r="O70" s="369"/>
      <c r="P70" s="126"/>
      <c r="Q70" s="226" t="s">
        <v>6</v>
      </c>
      <c r="R70" s="226" t="s">
        <v>6</v>
      </c>
      <c r="S70" s="226" t="s">
        <v>6</v>
      </c>
      <c r="T70" s="226" t="s">
        <v>6</v>
      </c>
      <c r="U70" s="202" t="s">
        <v>2653</v>
      </c>
      <c r="V70" s="201"/>
      <c r="W70" s="199" t="s">
        <v>128</v>
      </c>
      <c r="X70" s="199"/>
      <c r="Y70" s="199"/>
      <c r="Z70" s="226" t="s">
        <v>6</v>
      </c>
      <c r="AA70" s="226" t="s">
        <v>6</v>
      </c>
      <c r="AB70" s="207" t="s">
        <v>1100</v>
      </c>
      <c r="AC70" s="199"/>
      <c r="AD70" s="199"/>
      <c r="AE70" s="199"/>
      <c r="AF70" s="199"/>
      <c r="AG70" s="199"/>
      <c r="AH70" s="226"/>
      <c r="AI70" s="226"/>
      <c r="AJ70" s="207"/>
      <c r="AK70" s="199"/>
      <c r="AL70" s="199"/>
      <c r="AM70" s="199"/>
      <c r="AN70" s="199"/>
      <c r="AO70" s="199"/>
      <c r="AP70" s="199"/>
      <c r="AQ70" s="199"/>
      <c r="AR70" s="199"/>
      <c r="AS70" s="199"/>
      <c r="AT70" s="199"/>
      <c r="AU70" s="199"/>
      <c r="AV70" s="199"/>
      <c r="AW70" s="155">
        <f t="shared" si="6"/>
        <v>19</v>
      </c>
    </row>
    <row r="71" spans="1:49" s="236" customFormat="1" ht="15">
      <c r="A71" s="40">
        <f t="shared" si="3"/>
        <v>65</v>
      </c>
      <c r="B71" s="199"/>
      <c r="C71" s="199"/>
      <c r="D71" s="199"/>
      <c r="E71" s="199"/>
      <c r="F71" s="199"/>
      <c r="G71" s="199"/>
      <c r="H71" s="199"/>
      <c r="I71" s="199" t="s">
        <v>868</v>
      </c>
      <c r="J71" s="218" t="s">
        <v>2665</v>
      </c>
      <c r="K71" s="232" t="s">
        <v>117</v>
      </c>
      <c r="L71" s="204" t="s">
        <v>763</v>
      </c>
      <c r="M71" s="204"/>
      <c r="N71" s="40" t="s">
        <v>504</v>
      </c>
      <c r="O71" s="126"/>
      <c r="P71" s="126"/>
      <c r="Q71" s="40" t="s">
        <v>6</v>
      </c>
      <c r="R71" s="40" t="s">
        <v>6</v>
      </c>
      <c r="S71" s="126" t="s">
        <v>6</v>
      </c>
      <c r="T71" s="40" t="s">
        <v>6</v>
      </c>
      <c r="U71" s="202"/>
      <c r="V71" s="204"/>
      <c r="W71" s="232" t="s">
        <v>125</v>
      </c>
      <c r="X71" s="211"/>
      <c r="Y71" s="211"/>
      <c r="Z71" s="211"/>
      <c r="AA71" s="126" t="s">
        <v>6</v>
      </c>
      <c r="AB71" s="198"/>
      <c r="AC71" s="199"/>
      <c r="AD71" s="199"/>
      <c r="AE71" s="232"/>
      <c r="AF71" s="211"/>
      <c r="AG71" s="211"/>
      <c r="AH71" s="211"/>
      <c r="AI71" s="126" t="s">
        <v>6</v>
      </c>
      <c r="AJ71" s="198"/>
      <c r="AK71" s="199"/>
      <c r="AL71" s="199"/>
      <c r="AM71" s="199"/>
      <c r="AN71" s="199"/>
      <c r="AO71" s="199"/>
      <c r="AP71" s="199"/>
      <c r="AQ71" s="199"/>
      <c r="AR71" s="199"/>
      <c r="AS71" s="199"/>
      <c r="AT71" s="199"/>
      <c r="AU71" s="199"/>
      <c r="AV71" s="199"/>
      <c r="AW71" s="155">
        <f t="shared" si="6"/>
        <v>24</v>
      </c>
    </row>
    <row r="72" spans="1:49" s="236" customFormat="1" ht="15">
      <c r="A72" s="40">
        <f t="shared" si="3"/>
        <v>66</v>
      </c>
      <c r="B72" s="199"/>
      <c r="C72" s="199"/>
      <c r="D72" s="199"/>
      <c r="E72" s="199"/>
      <c r="F72" s="199"/>
      <c r="G72" s="199"/>
      <c r="H72" s="199"/>
      <c r="I72" s="199" t="s">
        <v>868</v>
      </c>
      <c r="J72" s="234" t="s">
        <v>2666</v>
      </c>
      <c r="K72" s="232" t="s">
        <v>117</v>
      </c>
      <c r="L72" s="204" t="s">
        <v>763</v>
      </c>
      <c r="M72" s="204"/>
      <c r="N72" s="40" t="s">
        <v>504</v>
      </c>
      <c r="O72" s="126"/>
      <c r="P72" s="126"/>
      <c r="Q72" s="40" t="s">
        <v>6</v>
      </c>
      <c r="R72" s="40" t="s">
        <v>6</v>
      </c>
      <c r="S72" s="126" t="s">
        <v>6</v>
      </c>
      <c r="T72" s="40" t="s">
        <v>6</v>
      </c>
      <c r="U72" s="202"/>
      <c r="V72" s="204"/>
      <c r="W72" s="232" t="s">
        <v>125</v>
      </c>
      <c r="X72" s="211"/>
      <c r="Y72" s="211"/>
      <c r="Z72" s="211"/>
      <c r="AA72" s="126" t="s">
        <v>6</v>
      </c>
      <c r="AB72" s="198"/>
      <c r="AC72" s="199"/>
      <c r="AD72" s="199"/>
      <c r="AE72" s="232"/>
      <c r="AF72" s="211"/>
      <c r="AG72" s="211"/>
      <c r="AH72" s="211"/>
      <c r="AI72" s="126" t="s">
        <v>6</v>
      </c>
      <c r="AJ72" s="198"/>
      <c r="AK72" s="199"/>
      <c r="AL72" s="199"/>
      <c r="AM72" s="199"/>
      <c r="AN72" s="199"/>
      <c r="AO72" s="199"/>
      <c r="AP72" s="199"/>
      <c r="AQ72" s="199"/>
      <c r="AR72" s="199"/>
      <c r="AS72" s="199"/>
      <c r="AT72" s="199"/>
      <c r="AU72" s="199"/>
      <c r="AV72" s="199"/>
      <c r="AW72" s="155">
        <f t="shared" si="6"/>
        <v>24</v>
      </c>
    </row>
    <row r="73" spans="1:49" s="236" customFormat="1" ht="15">
      <c r="A73" s="40">
        <f t="shared" si="3"/>
        <v>67</v>
      </c>
      <c r="B73" s="199"/>
      <c r="C73" s="199"/>
      <c r="D73" s="199"/>
      <c r="E73" s="199"/>
      <c r="F73" s="199"/>
      <c r="G73" s="199"/>
      <c r="H73" s="199"/>
      <c r="I73" s="199" t="s">
        <v>868</v>
      </c>
      <c r="J73" s="218" t="s">
        <v>2667</v>
      </c>
      <c r="K73" s="232" t="s">
        <v>117</v>
      </c>
      <c r="L73" s="204" t="s">
        <v>765</v>
      </c>
      <c r="M73" s="204"/>
      <c r="N73" s="40" t="s">
        <v>504</v>
      </c>
      <c r="O73" s="126"/>
      <c r="P73" s="126"/>
      <c r="Q73" s="40" t="s">
        <v>6</v>
      </c>
      <c r="R73" s="40" t="s">
        <v>6</v>
      </c>
      <c r="S73" s="126" t="s">
        <v>6</v>
      </c>
      <c r="T73" s="40" t="s">
        <v>6</v>
      </c>
      <c r="U73" s="203"/>
      <c r="V73" s="204"/>
      <c r="W73" s="232" t="s">
        <v>125</v>
      </c>
      <c r="X73" s="199"/>
      <c r="Y73" s="199"/>
      <c r="Z73" s="199"/>
      <c r="AA73" s="126" t="s">
        <v>6</v>
      </c>
      <c r="AB73" s="198"/>
      <c r="AC73" s="199"/>
      <c r="AD73" s="199"/>
      <c r="AE73" s="232"/>
      <c r="AF73" s="199"/>
      <c r="AG73" s="199"/>
      <c r="AH73" s="199"/>
      <c r="AI73" s="126" t="s">
        <v>6</v>
      </c>
      <c r="AJ73" s="198"/>
      <c r="AK73" s="199"/>
      <c r="AL73" s="199"/>
      <c r="AM73" s="199"/>
      <c r="AN73" s="199"/>
      <c r="AO73" s="199"/>
      <c r="AP73" s="199"/>
      <c r="AQ73" s="199"/>
      <c r="AR73" s="199"/>
      <c r="AS73" s="199"/>
      <c r="AT73" s="199"/>
      <c r="AU73" s="199"/>
      <c r="AV73" s="199"/>
      <c r="AW73" s="155">
        <f t="shared" si="6"/>
        <v>25</v>
      </c>
    </row>
    <row r="74" spans="1:49" s="236" customFormat="1" ht="15">
      <c r="A74" s="40">
        <f t="shared" si="3"/>
        <v>68</v>
      </c>
      <c r="B74" s="199"/>
      <c r="C74" s="199"/>
      <c r="D74" s="199"/>
      <c r="E74" s="199"/>
      <c r="F74" s="199"/>
      <c r="G74" s="199"/>
      <c r="H74" s="199"/>
      <c r="I74" s="199" t="s">
        <v>868</v>
      </c>
      <c r="J74" s="218" t="s">
        <v>2668</v>
      </c>
      <c r="K74" s="232" t="s">
        <v>117</v>
      </c>
      <c r="L74" s="204" t="s">
        <v>767</v>
      </c>
      <c r="M74" s="204"/>
      <c r="N74" s="40" t="s">
        <v>504</v>
      </c>
      <c r="O74" s="126"/>
      <c r="P74" s="126"/>
      <c r="Q74" s="40" t="s">
        <v>6</v>
      </c>
      <c r="R74" s="40" t="s">
        <v>6</v>
      </c>
      <c r="S74" s="126" t="s">
        <v>6</v>
      </c>
      <c r="T74" s="40" t="s">
        <v>6</v>
      </c>
      <c r="U74" s="203"/>
      <c r="V74" s="204"/>
      <c r="W74" s="232" t="s">
        <v>125</v>
      </c>
      <c r="X74" s="199"/>
      <c r="Y74" s="199"/>
      <c r="Z74" s="199"/>
      <c r="AA74" s="126" t="s">
        <v>6</v>
      </c>
      <c r="AB74" s="198"/>
      <c r="AC74" s="199"/>
      <c r="AD74" s="199"/>
      <c r="AE74" s="232"/>
      <c r="AF74" s="199"/>
      <c r="AG74" s="199"/>
      <c r="AH74" s="199"/>
      <c r="AI74" s="126" t="s">
        <v>6</v>
      </c>
      <c r="AJ74" s="198"/>
      <c r="AK74" s="199"/>
      <c r="AL74" s="199"/>
      <c r="AM74" s="199"/>
      <c r="AN74" s="199"/>
      <c r="AO74" s="199"/>
      <c r="AP74" s="199"/>
      <c r="AQ74" s="199"/>
      <c r="AR74" s="199"/>
      <c r="AS74" s="199"/>
      <c r="AT74" s="199"/>
      <c r="AU74" s="199"/>
      <c r="AV74" s="199"/>
      <c r="AW74" s="155">
        <f t="shared" si="6"/>
        <v>25</v>
      </c>
    </row>
    <row r="75" spans="1:49" s="236" customFormat="1" ht="15">
      <c r="A75" s="40">
        <f t="shared" si="3"/>
        <v>69</v>
      </c>
      <c r="B75" s="199"/>
      <c r="C75" s="199"/>
      <c r="D75" s="199"/>
      <c r="E75" s="199"/>
      <c r="F75" s="199"/>
      <c r="G75" s="199"/>
      <c r="H75" s="199"/>
      <c r="I75" s="199"/>
      <c r="J75" s="218" t="s">
        <v>3356</v>
      </c>
      <c r="K75" s="232" t="s">
        <v>117</v>
      </c>
      <c r="L75" s="204" t="s">
        <v>3333</v>
      </c>
      <c r="M75" s="204"/>
      <c r="N75" s="40" t="s">
        <v>504</v>
      </c>
      <c r="O75" s="126"/>
      <c r="P75" s="126"/>
      <c r="Q75" s="40"/>
      <c r="R75" s="40" t="s">
        <v>6</v>
      </c>
      <c r="S75" s="126" t="s">
        <v>6</v>
      </c>
      <c r="T75" s="40" t="s">
        <v>6</v>
      </c>
      <c r="U75" s="203"/>
      <c r="V75" s="204"/>
      <c r="W75" s="204" t="s">
        <v>133</v>
      </c>
      <c r="X75" s="199"/>
      <c r="Y75" s="199"/>
      <c r="Z75" s="40" t="s">
        <v>6</v>
      </c>
      <c r="AA75" s="126" t="s">
        <v>6</v>
      </c>
      <c r="AB75" s="198"/>
      <c r="AC75" s="199"/>
      <c r="AD75" s="199"/>
      <c r="AE75" s="232" t="s">
        <v>125</v>
      </c>
      <c r="AF75" s="199"/>
      <c r="AG75" s="199"/>
      <c r="AH75" s="199"/>
      <c r="AI75" s="126" t="s">
        <v>6</v>
      </c>
      <c r="AJ75" s="198"/>
      <c r="AK75" s="199"/>
      <c r="AL75" s="199"/>
      <c r="AM75" s="199"/>
      <c r="AN75" s="199"/>
      <c r="AO75" s="199"/>
      <c r="AP75" s="199"/>
      <c r="AQ75" s="199"/>
      <c r="AR75" s="199"/>
      <c r="AS75" s="199"/>
      <c r="AT75" s="199"/>
      <c r="AU75" s="199"/>
      <c r="AV75" s="199"/>
      <c r="AW75" s="155">
        <f t="shared" si="6"/>
        <v>32</v>
      </c>
    </row>
    <row r="76" spans="1:49" s="236" customFormat="1" ht="15">
      <c r="A76" s="40">
        <f t="shared" si="3"/>
        <v>70</v>
      </c>
      <c r="B76" s="199"/>
      <c r="C76" s="199"/>
      <c r="D76" s="199"/>
      <c r="E76" s="199"/>
      <c r="F76" s="199"/>
      <c r="G76" s="199"/>
      <c r="H76" s="199"/>
      <c r="I76" s="199"/>
      <c r="J76" s="218" t="s">
        <v>3357</v>
      </c>
      <c r="K76" s="232" t="s">
        <v>117</v>
      </c>
      <c r="L76" s="204" t="s">
        <v>3335</v>
      </c>
      <c r="M76" s="204"/>
      <c r="N76" s="40" t="s">
        <v>504</v>
      </c>
      <c r="O76" s="126"/>
      <c r="P76" s="126"/>
      <c r="Q76" s="40"/>
      <c r="R76" s="40" t="s">
        <v>6</v>
      </c>
      <c r="S76" s="126" t="s">
        <v>6</v>
      </c>
      <c r="T76" s="40" t="s">
        <v>6</v>
      </c>
      <c r="U76" s="203"/>
      <c r="V76" s="204"/>
      <c r="W76" s="204" t="s">
        <v>133</v>
      </c>
      <c r="X76" s="199"/>
      <c r="Y76" s="199"/>
      <c r="Z76" s="40" t="s">
        <v>6</v>
      </c>
      <c r="AA76" s="126" t="s">
        <v>6</v>
      </c>
      <c r="AB76" s="198"/>
      <c r="AC76" s="199"/>
      <c r="AD76" s="199"/>
      <c r="AE76" s="232" t="s">
        <v>125</v>
      </c>
      <c r="AF76" s="199"/>
      <c r="AG76" s="199"/>
      <c r="AH76" s="199"/>
      <c r="AI76" s="126" t="s">
        <v>6</v>
      </c>
      <c r="AJ76" s="198"/>
      <c r="AK76" s="199"/>
      <c r="AL76" s="199"/>
      <c r="AM76" s="199"/>
      <c r="AN76" s="199"/>
      <c r="AO76" s="199"/>
      <c r="AP76" s="199"/>
      <c r="AQ76" s="199"/>
      <c r="AR76" s="199"/>
      <c r="AS76" s="199"/>
      <c r="AT76" s="199"/>
      <c r="AU76" s="199"/>
      <c r="AV76" s="199"/>
      <c r="AW76" s="155">
        <f t="shared" si="6"/>
        <v>32</v>
      </c>
    </row>
    <row r="77" spans="1:49" s="236" customFormat="1" ht="15">
      <c r="A77" s="40">
        <f t="shared" si="3"/>
        <v>71</v>
      </c>
      <c r="B77" s="199"/>
      <c r="C77" s="199"/>
      <c r="D77" s="199"/>
      <c r="E77" s="199"/>
      <c r="F77" s="199"/>
      <c r="G77" s="199"/>
      <c r="H77" s="199"/>
      <c r="I77" s="199"/>
      <c r="J77" s="218" t="s">
        <v>3358</v>
      </c>
      <c r="K77" s="232" t="s">
        <v>117</v>
      </c>
      <c r="L77" s="204" t="s">
        <v>3337</v>
      </c>
      <c r="M77" s="204"/>
      <c r="N77" s="40" t="s">
        <v>504</v>
      </c>
      <c r="O77" s="126"/>
      <c r="P77" s="126"/>
      <c r="Q77" s="40"/>
      <c r="R77" s="40" t="s">
        <v>6</v>
      </c>
      <c r="S77" s="126" t="s">
        <v>6</v>
      </c>
      <c r="T77" s="40" t="s">
        <v>6</v>
      </c>
      <c r="U77" s="203"/>
      <c r="V77" s="204"/>
      <c r="W77" s="204" t="s">
        <v>133</v>
      </c>
      <c r="X77" s="199"/>
      <c r="Y77" s="199"/>
      <c r="Z77" s="40" t="s">
        <v>6</v>
      </c>
      <c r="AA77" s="126" t="s">
        <v>6</v>
      </c>
      <c r="AB77" s="198"/>
      <c r="AC77" s="199"/>
      <c r="AD77" s="199"/>
      <c r="AE77" s="232" t="s">
        <v>125</v>
      </c>
      <c r="AF77" s="199"/>
      <c r="AG77" s="199"/>
      <c r="AH77" s="199"/>
      <c r="AI77" s="126" t="s">
        <v>6</v>
      </c>
      <c r="AJ77" s="198"/>
      <c r="AK77" s="199"/>
      <c r="AL77" s="199"/>
      <c r="AM77" s="199"/>
      <c r="AN77" s="199"/>
      <c r="AO77" s="199"/>
      <c r="AP77" s="199"/>
      <c r="AQ77" s="199"/>
      <c r="AR77" s="199"/>
      <c r="AS77" s="199"/>
      <c r="AT77" s="199"/>
      <c r="AU77" s="199"/>
      <c r="AV77" s="199"/>
      <c r="AW77" s="155">
        <f t="shared" si="6"/>
        <v>32</v>
      </c>
    </row>
    <row r="78" spans="1:49" s="236" customFormat="1" ht="26.4">
      <c r="A78" s="40">
        <f t="shared" si="3"/>
        <v>72</v>
      </c>
      <c r="B78" s="199"/>
      <c r="C78" s="199"/>
      <c r="D78" s="199"/>
      <c r="E78" s="199"/>
      <c r="F78" s="199"/>
      <c r="G78" s="199"/>
      <c r="H78" s="199"/>
      <c r="I78" s="199"/>
      <c r="J78" s="215" t="s">
        <v>2669</v>
      </c>
      <c r="K78" s="199" t="s">
        <v>117</v>
      </c>
      <c r="L78" s="204" t="s">
        <v>1990</v>
      </c>
      <c r="M78" s="204"/>
      <c r="N78" s="271" t="s">
        <v>504</v>
      </c>
      <c r="O78" s="369"/>
      <c r="P78" s="126"/>
      <c r="Q78" s="226" t="s">
        <v>6</v>
      </c>
      <c r="R78" s="226" t="s">
        <v>6</v>
      </c>
      <c r="S78" s="226" t="s">
        <v>6</v>
      </c>
      <c r="T78" s="40" t="s">
        <v>6</v>
      </c>
      <c r="U78" s="202" t="s">
        <v>2670</v>
      </c>
      <c r="V78" s="204"/>
      <c r="W78" s="199" t="s">
        <v>133</v>
      </c>
      <c r="X78" s="199"/>
      <c r="Y78" s="199"/>
      <c r="Z78" s="226" t="s">
        <v>6</v>
      </c>
      <c r="AA78" s="226" t="s">
        <v>6</v>
      </c>
      <c r="AB78" s="199" t="s">
        <v>1100</v>
      </c>
      <c r="AC78" s="199"/>
      <c r="AD78" s="199"/>
      <c r="AE78" s="199"/>
      <c r="AF78" s="199"/>
      <c r="AG78" s="199"/>
      <c r="AH78" s="226"/>
      <c r="AI78" s="226"/>
      <c r="AJ78" s="199"/>
      <c r="AK78" s="199"/>
      <c r="AL78" s="199"/>
      <c r="AM78" s="199"/>
      <c r="AN78" s="199"/>
      <c r="AO78" s="199"/>
      <c r="AP78" s="199"/>
      <c r="AQ78" s="199"/>
      <c r="AR78" s="199"/>
      <c r="AS78" s="199"/>
      <c r="AT78" s="199"/>
      <c r="AU78" s="199"/>
      <c r="AV78" s="199"/>
      <c r="AW78" s="155">
        <f t="shared" si="6"/>
        <v>15</v>
      </c>
    </row>
    <row r="79" spans="1:49" s="20" customFormat="1" ht="25.5" customHeight="1">
      <c r="A79" s="13">
        <f t="shared" ref="A79:A86" si="7">ROW() - 6</f>
        <v>73</v>
      </c>
      <c r="B79" s="59"/>
      <c r="C79" s="59"/>
      <c r="D79" s="59"/>
      <c r="E79" s="59"/>
      <c r="F79" s="59"/>
      <c r="G79" s="59"/>
      <c r="H79" s="59"/>
      <c r="I79" s="59"/>
      <c r="J79" s="218" t="s">
        <v>2671</v>
      </c>
      <c r="K79" s="232" t="s">
        <v>117</v>
      </c>
      <c r="L79" s="204" t="s">
        <v>759</v>
      </c>
      <c r="M79" s="204"/>
      <c r="N79" s="271" t="s">
        <v>504</v>
      </c>
      <c r="O79" s="126"/>
      <c r="P79" s="126"/>
      <c r="Q79" s="40" t="s">
        <v>6</v>
      </c>
      <c r="R79" s="40" t="s">
        <v>6</v>
      </c>
      <c r="S79" s="126" t="s">
        <v>6</v>
      </c>
      <c r="T79" s="40" t="s">
        <v>6</v>
      </c>
      <c r="U79" s="202"/>
      <c r="V79" s="206"/>
      <c r="W79" s="232" t="s">
        <v>125</v>
      </c>
      <c r="X79" s="126"/>
      <c r="Y79" s="126"/>
      <c r="Z79" s="126"/>
      <c r="AA79" s="126" t="s">
        <v>6</v>
      </c>
      <c r="AB79" s="15"/>
      <c r="AC79" s="59"/>
      <c r="AD79" s="59"/>
      <c r="AE79" s="232"/>
      <c r="AF79" s="126"/>
      <c r="AG79" s="126"/>
      <c r="AH79" s="126"/>
      <c r="AI79" s="126" t="s">
        <v>6</v>
      </c>
      <c r="AJ79" s="15"/>
      <c r="AK79" s="59"/>
      <c r="AL79" s="59"/>
      <c r="AM79" s="59"/>
      <c r="AN79" s="59"/>
      <c r="AO79" s="59"/>
      <c r="AP79" s="59"/>
      <c r="AQ79" s="59"/>
      <c r="AR79" s="59"/>
      <c r="AS79" s="59"/>
      <c r="AT79" s="59"/>
      <c r="AU79" s="59"/>
      <c r="AV79" s="59"/>
      <c r="AW79" s="18">
        <f t="shared" si="6"/>
        <v>33</v>
      </c>
    </row>
    <row r="80" spans="1:49" s="236" customFormat="1" ht="15">
      <c r="A80" s="40">
        <f t="shared" si="7"/>
        <v>74</v>
      </c>
      <c r="B80" s="199"/>
      <c r="C80" s="199"/>
      <c r="D80" s="199"/>
      <c r="E80" s="199"/>
      <c r="F80" s="199"/>
      <c r="G80" s="199"/>
      <c r="H80" s="199"/>
      <c r="I80" s="199"/>
      <c r="J80" s="215" t="s">
        <v>2672</v>
      </c>
      <c r="K80" s="199" t="s">
        <v>117</v>
      </c>
      <c r="L80" s="215" t="s">
        <v>2673</v>
      </c>
      <c r="M80" s="215"/>
      <c r="N80" s="271" t="s">
        <v>504</v>
      </c>
      <c r="O80" s="126"/>
      <c r="P80" s="126"/>
      <c r="Q80" s="226"/>
      <c r="R80" s="226" t="s">
        <v>6</v>
      </c>
      <c r="S80" s="226" t="s">
        <v>6</v>
      </c>
      <c r="T80" s="226" t="s">
        <v>6</v>
      </c>
      <c r="U80" s="203" t="s">
        <v>2674</v>
      </c>
      <c r="V80" s="201"/>
      <c r="W80" s="199" t="s">
        <v>133</v>
      </c>
      <c r="X80" s="199"/>
      <c r="Y80" s="199"/>
      <c r="Z80" s="226" t="s">
        <v>6</v>
      </c>
      <c r="AA80" s="226" t="s">
        <v>6</v>
      </c>
      <c r="AB80" s="207" t="s">
        <v>887</v>
      </c>
      <c r="AC80" s="199"/>
      <c r="AD80" s="199"/>
      <c r="AE80" s="199"/>
      <c r="AF80" s="199"/>
      <c r="AG80" s="199"/>
      <c r="AH80" s="226"/>
      <c r="AI80" s="226"/>
      <c r="AJ80" s="207"/>
      <c r="AK80" s="199"/>
      <c r="AL80" s="199"/>
      <c r="AM80" s="199"/>
      <c r="AN80" s="199"/>
      <c r="AO80" s="199"/>
      <c r="AP80" s="199"/>
      <c r="AQ80" s="199"/>
      <c r="AR80" s="199"/>
      <c r="AS80" s="199"/>
      <c r="AT80" s="199"/>
      <c r="AU80" s="199"/>
      <c r="AV80" s="199"/>
      <c r="AW80" s="155">
        <f t="shared" ref="AW80:AW85" si="8">LEN(L80)</f>
        <v>31</v>
      </c>
    </row>
    <row r="81" spans="1:87" s="236" customFormat="1" ht="15">
      <c r="A81" s="40">
        <f t="shared" si="7"/>
        <v>75</v>
      </c>
      <c r="B81" s="199"/>
      <c r="C81" s="199"/>
      <c r="D81" s="199"/>
      <c r="E81" s="199"/>
      <c r="F81" s="199"/>
      <c r="G81" s="199"/>
      <c r="H81" s="199"/>
      <c r="I81" s="199"/>
      <c r="J81" s="215" t="s">
        <v>2675</v>
      </c>
      <c r="K81" s="199" t="s">
        <v>117</v>
      </c>
      <c r="L81" s="204" t="s">
        <v>2676</v>
      </c>
      <c r="M81" s="204"/>
      <c r="N81" s="271" t="s">
        <v>504</v>
      </c>
      <c r="O81" s="369"/>
      <c r="P81" s="126"/>
      <c r="Q81" s="226" t="s">
        <v>6</v>
      </c>
      <c r="R81" s="226" t="s">
        <v>6</v>
      </c>
      <c r="S81" s="226" t="s">
        <v>6</v>
      </c>
      <c r="T81" s="226" t="s">
        <v>6</v>
      </c>
      <c r="U81" s="203" t="s">
        <v>2677</v>
      </c>
      <c r="V81" s="201"/>
      <c r="W81" s="199" t="s">
        <v>133</v>
      </c>
      <c r="X81" s="199"/>
      <c r="Y81" s="199"/>
      <c r="Z81" s="226" t="s">
        <v>6</v>
      </c>
      <c r="AA81" s="226" t="s">
        <v>6</v>
      </c>
      <c r="AB81" s="207" t="s">
        <v>1100</v>
      </c>
      <c r="AC81" s="199"/>
      <c r="AD81" s="199"/>
      <c r="AE81" s="199"/>
      <c r="AF81" s="199"/>
      <c r="AG81" s="199"/>
      <c r="AH81" s="226"/>
      <c r="AI81" s="226"/>
      <c r="AJ81" s="207"/>
      <c r="AK81" s="199"/>
      <c r="AL81" s="199"/>
      <c r="AM81" s="199"/>
      <c r="AN81" s="199"/>
      <c r="AO81" s="199"/>
      <c r="AP81" s="199"/>
      <c r="AQ81" s="199"/>
      <c r="AR81" s="199"/>
      <c r="AS81" s="199"/>
      <c r="AT81" s="199"/>
      <c r="AU81" s="199"/>
      <c r="AV81" s="199"/>
      <c r="AW81" s="155">
        <f t="shared" si="8"/>
        <v>20</v>
      </c>
    </row>
    <row r="82" spans="1:87" s="18" customFormat="1" ht="15">
      <c r="A82" s="13">
        <f t="shared" si="7"/>
        <v>76</v>
      </c>
      <c r="B82" s="19"/>
      <c r="C82" s="41"/>
      <c r="D82" s="19"/>
      <c r="E82" s="19"/>
      <c r="F82" s="19"/>
      <c r="G82" s="19"/>
      <c r="H82" s="13"/>
      <c r="I82" s="13"/>
      <c r="J82" s="218" t="s">
        <v>3326</v>
      </c>
      <c r="K82" s="412" t="s">
        <v>117</v>
      </c>
      <c r="L82" s="204" t="s">
        <v>740</v>
      </c>
      <c r="M82" s="204"/>
      <c r="N82" s="40" t="s">
        <v>504</v>
      </c>
      <c r="O82" s="126"/>
      <c r="P82" s="40"/>
      <c r="Q82" s="126" t="s">
        <v>6</v>
      </c>
      <c r="R82" s="126" t="s">
        <v>6</v>
      </c>
      <c r="S82" s="126" t="s">
        <v>6</v>
      </c>
      <c r="T82" s="40" t="s">
        <v>6</v>
      </c>
      <c r="U82" s="202" t="s">
        <v>3383</v>
      </c>
      <c r="V82" s="206"/>
      <c r="W82" s="412" t="s">
        <v>125</v>
      </c>
      <c r="X82" s="59"/>
      <c r="Y82" s="59"/>
      <c r="Z82" s="59"/>
      <c r="AA82" s="61" t="s">
        <v>6</v>
      </c>
      <c r="AB82" s="79"/>
      <c r="AC82" s="59"/>
      <c r="AD82" s="218" t="s">
        <v>809</v>
      </c>
      <c r="AE82" s="412"/>
      <c r="AF82" s="59"/>
      <c r="AG82" s="59"/>
      <c r="AH82" s="59"/>
      <c r="AI82" s="61" t="s">
        <v>6</v>
      </c>
      <c r="AJ82" s="79"/>
      <c r="AK82" s="59"/>
      <c r="AL82" s="218" t="s">
        <v>809</v>
      </c>
      <c r="AM82" s="43"/>
      <c r="AN82" s="19"/>
      <c r="AO82" s="15"/>
      <c r="AP82" s="15"/>
      <c r="AQ82" s="15"/>
      <c r="AR82" s="15"/>
      <c r="AS82" s="15"/>
      <c r="AT82" s="15"/>
      <c r="AU82" s="13"/>
      <c r="AV82" s="15"/>
      <c r="AW82" s="18">
        <f t="shared" si="8"/>
        <v>26</v>
      </c>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row>
    <row r="83" spans="1:87" s="236" customFormat="1" ht="26.4">
      <c r="A83" s="40">
        <f t="shared" si="7"/>
        <v>77</v>
      </c>
      <c r="B83" s="199"/>
      <c r="C83" s="199"/>
      <c r="D83" s="199"/>
      <c r="E83" s="199"/>
      <c r="F83" s="199"/>
      <c r="G83" s="199"/>
      <c r="H83" s="199"/>
      <c r="I83" s="199"/>
      <c r="J83" s="218" t="s">
        <v>2678</v>
      </c>
      <c r="K83" s="204" t="s">
        <v>117</v>
      </c>
      <c r="L83" s="204" t="s">
        <v>735</v>
      </c>
      <c r="M83" s="204"/>
      <c r="N83" s="40" t="s">
        <v>504</v>
      </c>
      <c r="O83" s="199"/>
      <c r="P83" s="199"/>
      <c r="Q83" s="40" t="s">
        <v>6</v>
      </c>
      <c r="R83" s="40" t="s">
        <v>6</v>
      </c>
      <c r="S83" s="40" t="s">
        <v>6</v>
      </c>
      <c r="T83" s="126" t="s">
        <v>6</v>
      </c>
      <c r="U83" s="202"/>
      <c r="V83" s="204"/>
      <c r="W83" s="204" t="s">
        <v>125</v>
      </c>
      <c r="X83" s="199"/>
      <c r="Y83" s="199"/>
      <c r="Z83" s="40" t="s">
        <v>6</v>
      </c>
      <c r="AA83" s="40" t="s">
        <v>6</v>
      </c>
      <c r="AB83" s="218"/>
      <c r="AC83" s="199"/>
      <c r="AD83" s="218" t="s">
        <v>709</v>
      </c>
      <c r="AE83" s="204"/>
      <c r="AF83" s="199"/>
      <c r="AG83" s="199"/>
      <c r="AH83" s="199"/>
      <c r="AI83" s="40" t="s">
        <v>6</v>
      </c>
      <c r="AJ83" s="218"/>
      <c r="AK83" s="199"/>
      <c r="AL83" s="218" t="s">
        <v>709</v>
      </c>
      <c r="AM83" s="199"/>
      <c r="AN83" s="199"/>
      <c r="AO83" s="199"/>
      <c r="AP83" s="199"/>
      <c r="AQ83" s="199"/>
      <c r="AR83" s="199"/>
      <c r="AS83" s="199"/>
      <c r="AT83" s="199"/>
      <c r="AU83" s="199"/>
      <c r="AV83" s="199"/>
      <c r="AW83" s="155">
        <f t="shared" si="8"/>
        <v>14</v>
      </c>
    </row>
    <row r="84" spans="1:87" s="236" customFormat="1" ht="26.4">
      <c r="A84" s="40">
        <f t="shared" si="7"/>
        <v>78</v>
      </c>
      <c r="B84" s="199"/>
      <c r="C84" s="199"/>
      <c r="D84" s="199"/>
      <c r="E84" s="199"/>
      <c r="F84" s="199"/>
      <c r="G84" s="199"/>
      <c r="H84" s="199"/>
      <c r="I84" s="199"/>
      <c r="J84" s="218" t="s">
        <v>2679</v>
      </c>
      <c r="K84" s="204" t="s">
        <v>117</v>
      </c>
      <c r="L84" s="204" t="s">
        <v>737</v>
      </c>
      <c r="M84" s="204"/>
      <c r="N84" s="40" t="s">
        <v>504</v>
      </c>
      <c r="O84" s="199"/>
      <c r="P84" s="199"/>
      <c r="Q84" s="40" t="s">
        <v>6</v>
      </c>
      <c r="R84" s="40" t="s">
        <v>6</v>
      </c>
      <c r="S84" s="40" t="s">
        <v>6</v>
      </c>
      <c r="T84" s="126" t="s">
        <v>6</v>
      </c>
      <c r="U84" s="202"/>
      <c r="V84" s="204"/>
      <c r="W84" s="204" t="s">
        <v>125</v>
      </c>
      <c r="X84" s="199"/>
      <c r="Y84" s="199"/>
      <c r="Z84" s="40" t="s">
        <v>6</v>
      </c>
      <c r="AA84" s="40" t="s">
        <v>6</v>
      </c>
      <c r="AB84" s="218"/>
      <c r="AC84" s="199"/>
      <c r="AD84" s="218" t="s">
        <v>709</v>
      </c>
      <c r="AE84" s="204"/>
      <c r="AF84" s="199"/>
      <c r="AG84" s="199"/>
      <c r="AH84" s="199"/>
      <c r="AI84" s="40" t="s">
        <v>6</v>
      </c>
      <c r="AJ84" s="218"/>
      <c r="AK84" s="199"/>
      <c r="AL84" s="218" t="s">
        <v>709</v>
      </c>
      <c r="AM84" s="199"/>
      <c r="AN84" s="199"/>
      <c r="AO84" s="199"/>
      <c r="AP84" s="199"/>
      <c r="AQ84" s="199"/>
      <c r="AR84" s="199"/>
      <c r="AS84" s="199"/>
      <c r="AT84" s="199"/>
      <c r="AU84" s="199"/>
      <c r="AV84" s="199"/>
      <c r="AW84" s="155">
        <f t="shared" si="8"/>
        <v>28</v>
      </c>
    </row>
    <row r="85" spans="1:87" s="236" customFormat="1" ht="26.4">
      <c r="A85" s="40">
        <f t="shared" si="7"/>
        <v>79</v>
      </c>
      <c r="B85" s="199"/>
      <c r="C85" s="199"/>
      <c r="D85" s="199"/>
      <c r="E85" s="199"/>
      <c r="F85" s="199"/>
      <c r="G85" s="199"/>
      <c r="H85" s="199"/>
      <c r="I85" s="199"/>
      <c r="J85" s="218" t="s">
        <v>2680</v>
      </c>
      <c r="K85" s="204" t="s">
        <v>140</v>
      </c>
      <c r="L85" s="204" t="s">
        <v>749</v>
      </c>
      <c r="M85" s="204"/>
      <c r="N85" s="40" t="s">
        <v>504</v>
      </c>
      <c r="O85" s="199"/>
      <c r="P85" s="199"/>
      <c r="Q85" s="40" t="s">
        <v>6</v>
      </c>
      <c r="R85" s="40" t="s">
        <v>6</v>
      </c>
      <c r="S85" s="40" t="s">
        <v>6</v>
      </c>
      <c r="T85" s="126" t="s">
        <v>6</v>
      </c>
      <c r="U85" s="202"/>
      <c r="V85" s="204"/>
      <c r="W85" s="204" t="s">
        <v>133</v>
      </c>
      <c r="X85" s="199"/>
      <c r="Y85" s="199"/>
      <c r="Z85" s="40" t="s">
        <v>6</v>
      </c>
      <c r="AA85" s="40" t="s">
        <v>6</v>
      </c>
      <c r="AB85" s="218"/>
      <c r="AC85" s="199"/>
      <c r="AD85" s="218" t="s">
        <v>709</v>
      </c>
      <c r="AE85" s="204"/>
      <c r="AF85" s="199"/>
      <c r="AG85" s="199"/>
      <c r="AH85" s="199"/>
      <c r="AI85" s="40" t="s">
        <v>6</v>
      </c>
      <c r="AJ85" s="218"/>
      <c r="AK85" s="199"/>
      <c r="AL85" s="218" t="s">
        <v>709</v>
      </c>
      <c r="AM85" s="199"/>
      <c r="AN85" s="199"/>
      <c r="AO85" s="199"/>
      <c r="AP85" s="199"/>
      <c r="AQ85" s="199"/>
      <c r="AR85" s="199"/>
      <c r="AS85" s="199"/>
      <c r="AT85" s="199"/>
      <c r="AU85" s="199"/>
      <c r="AV85" s="199"/>
      <c r="AW85" s="155">
        <f t="shared" si="8"/>
        <v>28</v>
      </c>
    </row>
    <row r="86" spans="1:87" s="236" customFormat="1" ht="26.4">
      <c r="A86" s="40">
        <f t="shared" si="7"/>
        <v>80</v>
      </c>
      <c r="B86" s="199"/>
      <c r="C86" s="199"/>
      <c r="D86" s="199"/>
      <c r="E86" s="199"/>
      <c r="F86" s="199"/>
      <c r="G86" s="199"/>
      <c r="H86" s="199"/>
      <c r="I86" s="199"/>
      <c r="J86" s="576" t="s">
        <v>2681</v>
      </c>
      <c r="K86" s="361" t="s">
        <v>140</v>
      </c>
      <c r="L86" s="361" t="s">
        <v>749</v>
      </c>
      <c r="M86" s="361"/>
      <c r="N86" s="415" t="s">
        <v>504</v>
      </c>
      <c r="O86" s="211"/>
      <c r="P86" s="211"/>
      <c r="Q86" s="415"/>
      <c r="R86" s="415"/>
      <c r="S86" s="415" t="s">
        <v>6</v>
      </c>
      <c r="T86" s="213" t="s">
        <v>6</v>
      </c>
      <c r="U86" s="577" t="s">
        <v>752</v>
      </c>
      <c r="V86" s="361"/>
      <c r="W86" s="361" t="s">
        <v>140</v>
      </c>
      <c r="X86" s="211"/>
      <c r="Y86" s="211"/>
      <c r="Z86" s="415" t="s">
        <v>6</v>
      </c>
      <c r="AA86" s="415" t="s">
        <v>6</v>
      </c>
      <c r="AB86" s="310"/>
      <c r="AC86" s="211"/>
      <c r="AD86" s="310" t="s">
        <v>709</v>
      </c>
      <c r="AE86" s="361" t="s">
        <v>137</v>
      </c>
      <c r="AF86" s="211"/>
      <c r="AG86" s="211"/>
      <c r="AH86" s="211"/>
      <c r="AI86" s="415" t="s">
        <v>6</v>
      </c>
      <c r="AJ86" s="310"/>
      <c r="AK86" s="211"/>
      <c r="AL86" s="310" t="s">
        <v>709</v>
      </c>
      <c r="AM86" s="211"/>
      <c r="AN86" s="211"/>
      <c r="AO86" s="211"/>
      <c r="AP86" s="211"/>
      <c r="AQ86" s="211"/>
      <c r="AR86" s="211"/>
      <c r="AS86" s="211"/>
      <c r="AT86" s="211"/>
      <c r="AU86" s="211"/>
      <c r="AV86" s="211"/>
      <c r="AW86" s="155">
        <f>LEN(L86)</f>
        <v>28</v>
      </c>
    </row>
    <row r="87" spans="1:87" ht="15">
      <c r="A87" s="452">
        <f t="shared" ref="A87:A147" si="9">ROW() - 6</f>
        <v>81</v>
      </c>
      <c r="B87" s="125"/>
      <c r="C87" s="125"/>
      <c r="D87" s="125"/>
      <c r="E87" s="125"/>
      <c r="F87" s="125"/>
      <c r="G87" s="125"/>
      <c r="H87" s="125"/>
      <c r="I87" s="575"/>
      <c r="J87" s="580" t="s">
        <v>821</v>
      </c>
      <c r="K87" s="581"/>
      <c r="L87" s="581"/>
      <c r="M87" s="581"/>
      <c r="N87" s="582"/>
      <c r="O87" s="583"/>
      <c r="P87" s="583"/>
      <c r="Q87" s="583"/>
      <c r="R87" s="583"/>
      <c r="S87" s="583"/>
      <c r="T87" s="583"/>
      <c r="U87" s="584"/>
      <c r="V87" s="585"/>
      <c r="W87" s="581"/>
      <c r="X87" s="581"/>
      <c r="Y87" s="581"/>
      <c r="Z87" s="581"/>
      <c r="AA87" s="581"/>
      <c r="AB87" s="586"/>
      <c r="AC87" s="581"/>
      <c r="AD87" s="581"/>
      <c r="AE87" s="581"/>
      <c r="AF87" s="581"/>
      <c r="AG87" s="581"/>
      <c r="AH87" s="581"/>
      <c r="AI87" s="581"/>
      <c r="AJ87" s="586"/>
      <c r="AK87" s="581"/>
      <c r="AL87" s="581"/>
      <c r="AM87" s="581"/>
      <c r="AN87" s="581"/>
      <c r="AO87" s="581"/>
      <c r="AP87" s="581"/>
      <c r="AQ87" s="581"/>
      <c r="AR87" s="581"/>
      <c r="AS87" s="581"/>
      <c r="AT87" s="581"/>
      <c r="AU87" s="581"/>
      <c r="AV87" s="587"/>
      <c r="AW87" s="155">
        <f t="shared" si="5"/>
        <v>0</v>
      </c>
    </row>
    <row r="88" spans="1:87" s="236" customFormat="1" ht="15">
      <c r="A88" s="40">
        <f t="shared" si="9"/>
        <v>82</v>
      </c>
      <c r="B88" s="199"/>
      <c r="C88" s="199"/>
      <c r="D88" s="199"/>
      <c r="E88" s="199"/>
      <c r="F88" s="199"/>
      <c r="G88" s="199"/>
      <c r="H88" s="199"/>
      <c r="I88" s="199"/>
      <c r="J88" s="509" t="s">
        <v>2682</v>
      </c>
      <c r="K88" s="367" t="s">
        <v>163</v>
      </c>
      <c r="L88" s="578" t="s">
        <v>2683</v>
      </c>
      <c r="M88" s="578"/>
      <c r="N88" s="579" t="s">
        <v>838</v>
      </c>
      <c r="O88" s="565"/>
      <c r="P88" s="226" t="s">
        <v>2109</v>
      </c>
      <c r="Q88" s="226"/>
      <c r="R88" s="226"/>
      <c r="S88" s="226"/>
      <c r="T88" s="226" t="s">
        <v>6</v>
      </c>
      <c r="U88" s="573"/>
      <c r="V88" s="566"/>
      <c r="W88" s="367" t="s">
        <v>163</v>
      </c>
      <c r="X88" s="207"/>
      <c r="Y88" s="226" t="s">
        <v>2109</v>
      </c>
      <c r="Z88" s="207"/>
      <c r="AA88" s="416"/>
      <c r="AB88" s="207" t="s">
        <v>1100</v>
      </c>
      <c r="AC88" s="207"/>
      <c r="AD88" s="207"/>
      <c r="AE88" s="367"/>
      <c r="AF88" s="207"/>
      <c r="AG88" s="226"/>
      <c r="AH88" s="207"/>
      <c r="AI88" s="416"/>
      <c r="AJ88" s="207"/>
      <c r="AK88" s="207"/>
      <c r="AL88" s="207"/>
      <c r="AM88" s="207"/>
      <c r="AN88" s="207"/>
      <c r="AO88" s="207"/>
      <c r="AP88" s="207"/>
      <c r="AQ88" s="207"/>
      <c r="AR88" s="207"/>
      <c r="AS88" s="207"/>
      <c r="AT88" s="207"/>
      <c r="AU88" s="207"/>
      <c r="AV88" s="207"/>
      <c r="AW88" s="155">
        <f t="shared" si="5"/>
        <v>26</v>
      </c>
    </row>
    <row r="89" spans="1:87" s="236" customFormat="1" ht="15">
      <c r="A89" s="40">
        <f t="shared" si="9"/>
        <v>83</v>
      </c>
      <c r="B89" s="199"/>
      <c r="C89" s="199"/>
      <c r="D89" s="199"/>
      <c r="E89" s="199"/>
      <c r="F89" s="199"/>
      <c r="G89" s="199"/>
      <c r="H89" s="199"/>
      <c r="I89" s="199"/>
      <c r="J89" s="215" t="s">
        <v>2684</v>
      </c>
      <c r="K89" s="204" t="s">
        <v>163</v>
      </c>
      <c r="L89" s="374" t="s">
        <v>2685</v>
      </c>
      <c r="M89" s="374"/>
      <c r="N89" s="271" t="s">
        <v>849</v>
      </c>
      <c r="O89" s="369"/>
      <c r="P89" s="126" t="s">
        <v>846</v>
      </c>
      <c r="Q89" s="126"/>
      <c r="R89" s="126"/>
      <c r="S89" s="126"/>
      <c r="T89" s="226" t="s">
        <v>6</v>
      </c>
      <c r="U89" s="203"/>
      <c r="V89" s="201"/>
      <c r="W89" s="204" t="s">
        <v>163</v>
      </c>
      <c r="X89" s="199"/>
      <c r="Y89" s="126" t="s">
        <v>846</v>
      </c>
      <c r="Z89" s="199"/>
      <c r="AA89" s="40"/>
      <c r="AB89" s="207" t="s">
        <v>1100</v>
      </c>
      <c r="AC89" s="199"/>
      <c r="AD89" s="199"/>
      <c r="AE89" s="204"/>
      <c r="AF89" s="199"/>
      <c r="AG89" s="126"/>
      <c r="AH89" s="199"/>
      <c r="AI89" s="40"/>
      <c r="AJ89" s="207"/>
      <c r="AK89" s="199"/>
      <c r="AL89" s="199"/>
      <c r="AM89" s="199"/>
      <c r="AN89" s="199"/>
      <c r="AO89" s="199"/>
      <c r="AP89" s="199"/>
      <c r="AQ89" s="199"/>
      <c r="AR89" s="199"/>
      <c r="AS89" s="199"/>
      <c r="AT89" s="199"/>
      <c r="AU89" s="199"/>
      <c r="AV89" s="199"/>
      <c r="AW89" s="155">
        <f t="shared" si="5"/>
        <v>28</v>
      </c>
    </row>
    <row r="90" spans="1:87" s="236" customFormat="1" ht="15">
      <c r="A90" s="40">
        <f t="shared" si="9"/>
        <v>84</v>
      </c>
      <c r="B90" s="199"/>
      <c r="C90" s="199"/>
      <c r="D90" s="199"/>
      <c r="E90" s="199"/>
      <c r="F90" s="199"/>
      <c r="G90" s="199"/>
      <c r="H90" s="199"/>
      <c r="I90" s="199"/>
      <c r="J90" s="215" t="s">
        <v>2686</v>
      </c>
      <c r="K90" s="204" t="s">
        <v>163</v>
      </c>
      <c r="L90" s="374" t="s">
        <v>2687</v>
      </c>
      <c r="M90" s="374"/>
      <c r="N90" s="271" t="s">
        <v>2101</v>
      </c>
      <c r="O90" s="375"/>
      <c r="P90" s="126" t="s">
        <v>2531</v>
      </c>
      <c r="Q90" s="126"/>
      <c r="R90" s="226"/>
      <c r="S90" s="126"/>
      <c r="T90" s="226" t="s">
        <v>6</v>
      </c>
      <c r="U90" s="203"/>
      <c r="V90" s="201"/>
      <c r="W90" s="204" t="s">
        <v>163</v>
      </c>
      <c r="X90" s="199"/>
      <c r="Y90" s="126" t="s">
        <v>2531</v>
      </c>
      <c r="Z90" s="199"/>
      <c r="AA90" s="40"/>
      <c r="AB90" s="207" t="s">
        <v>1100</v>
      </c>
      <c r="AC90" s="199"/>
      <c r="AD90" s="199"/>
      <c r="AE90" s="204"/>
      <c r="AF90" s="199"/>
      <c r="AG90" s="126"/>
      <c r="AH90" s="199"/>
      <c r="AI90" s="40"/>
      <c r="AJ90" s="207"/>
      <c r="AK90" s="199"/>
      <c r="AL90" s="199"/>
      <c r="AM90" s="199"/>
      <c r="AN90" s="199"/>
      <c r="AO90" s="199"/>
      <c r="AP90" s="199"/>
      <c r="AQ90" s="199"/>
      <c r="AR90" s="199"/>
      <c r="AS90" s="199"/>
      <c r="AT90" s="199"/>
      <c r="AU90" s="199"/>
      <c r="AV90" s="199"/>
      <c r="AW90" s="155">
        <f t="shared" si="5"/>
        <v>30</v>
      </c>
    </row>
    <row r="91" spans="1:87" s="236" customFormat="1" ht="15">
      <c r="A91" s="40">
        <f t="shared" si="9"/>
        <v>85</v>
      </c>
      <c r="B91" s="199"/>
      <c r="C91" s="199"/>
      <c r="D91" s="199"/>
      <c r="E91" s="199"/>
      <c r="F91" s="199"/>
      <c r="G91" s="199"/>
      <c r="H91" s="199"/>
      <c r="I91" s="199"/>
      <c r="J91" s="217" t="s">
        <v>2688</v>
      </c>
      <c r="K91" s="204" t="s">
        <v>163</v>
      </c>
      <c r="L91" s="374" t="s">
        <v>2689</v>
      </c>
      <c r="M91" s="374"/>
      <c r="N91" s="271" t="s">
        <v>824</v>
      </c>
      <c r="O91" s="369"/>
      <c r="P91" s="126" t="s">
        <v>2690</v>
      </c>
      <c r="Q91" s="126"/>
      <c r="R91" s="126"/>
      <c r="S91" s="126"/>
      <c r="T91" s="226" t="s">
        <v>6</v>
      </c>
      <c r="U91" s="203"/>
      <c r="V91" s="201"/>
      <c r="W91" s="204" t="s">
        <v>163</v>
      </c>
      <c r="X91" s="199"/>
      <c r="Y91" s="199"/>
      <c r="Z91" s="199"/>
      <c r="AA91" s="40"/>
      <c r="AB91" s="199"/>
      <c r="AC91" s="199"/>
      <c r="AD91" s="199"/>
      <c r="AE91" s="204"/>
      <c r="AF91" s="199"/>
      <c r="AG91" s="199"/>
      <c r="AH91" s="199"/>
      <c r="AI91" s="40"/>
      <c r="AJ91" s="199"/>
      <c r="AK91" s="199"/>
      <c r="AL91" s="199"/>
      <c r="AM91" s="199"/>
      <c r="AN91" s="199"/>
      <c r="AO91" s="199"/>
      <c r="AP91" s="199"/>
      <c r="AQ91" s="199"/>
      <c r="AR91" s="199"/>
      <c r="AS91" s="199"/>
      <c r="AT91" s="199"/>
      <c r="AU91" s="199"/>
      <c r="AV91" s="199"/>
      <c r="AW91" s="155">
        <f t="shared" si="5"/>
        <v>32</v>
      </c>
    </row>
    <row r="92" spans="1:87" s="236" customFormat="1" ht="15">
      <c r="A92" s="40">
        <f t="shared" si="9"/>
        <v>86</v>
      </c>
      <c r="B92" s="199"/>
      <c r="C92" s="199"/>
      <c r="D92" s="199"/>
      <c r="E92" s="199"/>
      <c r="F92" s="199"/>
      <c r="G92" s="199"/>
      <c r="H92" s="199"/>
      <c r="I92" s="199"/>
      <c r="J92" s="217" t="s">
        <v>2691</v>
      </c>
      <c r="K92" s="204" t="s">
        <v>163</v>
      </c>
      <c r="L92" s="374" t="s">
        <v>2692</v>
      </c>
      <c r="M92" s="374"/>
      <c r="N92" s="271" t="s">
        <v>824</v>
      </c>
      <c r="O92" s="369"/>
      <c r="P92" s="126" t="s">
        <v>2690</v>
      </c>
      <c r="Q92" s="126"/>
      <c r="R92" s="126"/>
      <c r="S92" s="126"/>
      <c r="T92" s="226" t="s">
        <v>6</v>
      </c>
      <c r="U92" s="203"/>
      <c r="V92" s="201"/>
      <c r="W92" s="204" t="s">
        <v>163</v>
      </c>
      <c r="X92" s="199"/>
      <c r="Y92" s="199"/>
      <c r="Z92" s="199"/>
      <c r="AA92" s="40"/>
      <c r="AB92" s="199"/>
      <c r="AC92" s="199"/>
      <c r="AD92" s="199"/>
      <c r="AE92" s="204"/>
      <c r="AF92" s="199"/>
      <c r="AG92" s="199"/>
      <c r="AH92" s="199"/>
      <c r="AI92" s="40"/>
      <c r="AJ92" s="199"/>
      <c r="AK92" s="199"/>
      <c r="AL92" s="199"/>
      <c r="AM92" s="199"/>
      <c r="AN92" s="199"/>
      <c r="AO92" s="199"/>
      <c r="AP92" s="199"/>
      <c r="AQ92" s="199"/>
      <c r="AR92" s="199"/>
      <c r="AS92" s="199"/>
      <c r="AT92" s="199"/>
      <c r="AU92" s="199"/>
      <c r="AV92" s="199"/>
      <c r="AW92" s="155">
        <f t="shared" si="5"/>
        <v>32</v>
      </c>
    </row>
    <row r="93" spans="1:87" s="236" customFormat="1" ht="15">
      <c r="A93" s="40">
        <f t="shared" si="9"/>
        <v>87</v>
      </c>
      <c r="B93" s="199"/>
      <c r="C93" s="199"/>
      <c r="D93" s="199"/>
      <c r="E93" s="199"/>
      <c r="F93" s="199"/>
      <c r="G93" s="199"/>
      <c r="H93" s="199"/>
      <c r="I93" s="199"/>
      <c r="J93" s="217" t="s">
        <v>2693</v>
      </c>
      <c r="K93" s="204" t="s">
        <v>163</v>
      </c>
      <c r="L93" s="374" t="s">
        <v>2694</v>
      </c>
      <c r="M93" s="374"/>
      <c r="N93" s="271" t="s">
        <v>838</v>
      </c>
      <c r="O93" s="369"/>
      <c r="P93" s="126" t="s">
        <v>2109</v>
      </c>
      <c r="Q93" s="126"/>
      <c r="R93" s="126"/>
      <c r="S93" s="126"/>
      <c r="T93" s="226" t="s">
        <v>6</v>
      </c>
      <c r="U93" s="203"/>
      <c r="V93" s="201"/>
      <c r="W93" s="204" t="s">
        <v>163</v>
      </c>
      <c r="X93" s="199"/>
      <c r="Y93" s="199"/>
      <c r="Z93" s="199"/>
      <c r="AA93" s="40"/>
      <c r="AB93" s="199"/>
      <c r="AC93" s="199"/>
      <c r="AD93" s="199"/>
      <c r="AE93" s="204"/>
      <c r="AF93" s="199"/>
      <c r="AG93" s="199"/>
      <c r="AH93" s="199"/>
      <c r="AI93" s="40"/>
      <c r="AJ93" s="199"/>
      <c r="AK93" s="199"/>
      <c r="AL93" s="199"/>
      <c r="AM93" s="199"/>
      <c r="AN93" s="199"/>
      <c r="AO93" s="199"/>
      <c r="AP93" s="199"/>
      <c r="AQ93" s="199"/>
      <c r="AR93" s="199"/>
      <c r="AS93" s="199"/>
      <c r="AT93" s="199"/>
      <c r="AU93" s="199"/>
      <c r="AV93" s="199"/>
      <c r="AW93" s="155">
        <f t="shared" si="5"/>
        <v>33</v>
      </c>
    </row>
    <row r="94" spans="1:87" s="236" customFormat="1" ht="15">
      <c r="A94" s="40">
        <f t="shared" si="9"/>
        <v>88</v>
      </c>
      <c r="B94" s="199"/>
      <c r="C94" s="199"/>
      <c r="D94" s="199"/>
      <c r="E94" s="199"/>
      <c r="F94" s="199"/>
      <c r="G94" s="199"/>
      <c r="H94" s="199"/>
      <c r="I94" s="199"/>
      <c r="J94" s="217" t="s">
        <v>2695</v>
      </c>
      <c r="K94" s="204" t="s">
        <v>163</v>
      </c>
      <c r="L94" s="374" t="s">
        <v>2696</v>
      </c>
      <c r="M94" s="374"/>
      <c r="N94" s="271" t="s">
        <v>838</v>
      </c>
      <c r="O94" s="369"/>
      <c r="P94" s="126" t="s">
        <v>2109</v>
      </c>
      <c r="Q94" s="126"/>
      <c r="R94" s="126"/>
      <c r="S94" s="126"/>
      <c r="T94" s="226" t="s">
        <v>6</v>
      </c>
      <c r="U94" s="203"/>
      <c r="V94" s="201"/>
      <c r="W94" s="204" t="s">
        <v>163</v>
      </c>
      <c r="X94" s="199"/>
      <c r="Y94" s="199"/>
      <c r="Z94" s="199"/>
      <c r="AA94" s="40"/>
      <c r="AB94" s="199"/>
      <c r="AC94" s="199"/>
      <c r="AD94" s="199"/>
      <c r="AE94" s="204"/>
      <c r="AF94" s="199"/>
      <c r="AG94" s="199"/>
      <c r="AH94" s="199"/>
      <c r="AI94" s="40"/>
      <c r="AJ94" s="199"/>
      <c r="AK94" s="199"/>
      <c r="AL94" s="199"/>
      <c r="AM94" s="199"/>
      <c r="AN94" s="199"/>
      <c r="AO94" s="199"/>
      <c r="AP94" s="199"/>
      <c r="AQ94" s="199"/>
      <c r="AR94" s="199"/>
      <c r="AS94" s="199"/>
      <c r="AT94" s="199"/>
      <c r="AU94" s="199"/>
      <c r="AV94" s="199"/>
      <c r="AW94" s="155">
        <f t="shared" si="5"/>
        <v>33</v>
      </c>
    </row>
    <row r="95" spans="1:87" s="236" customFormat="1" ht="15">
      <c r="A95" s="40">
        <f t="shared" si="9"/>
        <v>89</v>
      </c>
      <c r="B95" s="199"/>
      <c r="C95" s="199"/>
      <c r="D95" s="199"/>
      <c r="E95" s="199"/>
      <c r="F95" s="199"/>
      <c r="G95" s="199"/>
      <c r="H95" s="199"/>
      <c r="I95" s="199"/>
      <c r="J95" s="217" t="s">
        <v>2697</v>
      </c>
      <c r="K95" s="204" t="s">
        <v>163</v>
      </c>
      <c r="L95" s="374" t="s">
        <v>2698</v>
      </c>
      <c r="M95" s="374"/>
      <c r="N95" s="271" t="s">
        <v>838</v>
      </c>
      <c r="O95" s="369"/>
      <c r="P95" s="126" t="s">
        <v>2109</v>
      </c>
      <c r="Q95" s="126"/>
      <c r="R95" s="126"/>
      <c r="S95" s="126"/>
      <c r="T95" s="226" t="s">
        <v>6</v>
      </c>
      <c r="U95" s="203"/>
      <c r="V95" s="201"/>
      <c r="W95" s="204" t="s">
        <v>163</v>
      </c>
      <c r="X95" s="199"/>
      <c r="Y95" s="126" t="s">
        <v>2109</v>
      </c>
      <c r="Z95" s="199"/>
      <c r="AA95" s="40"/>
      <c r="AB95" s="207" t="s">
        <v>1100</v>
      </c>
      <c r="AC95" s="199"/>
      <c r="AD95" s="199"/>
      <c r="AE95" s="204"/>
      <c r="AF95" s="199"/>
      <c r="AG95" s="126"/>
      <c r="AH95" s="199"/>
      <c r="AI95" s="40"/>
      <c r="AJ95" s="207"/>
      <c r="AK95" s="199"/>
      <c r="AL95" s="199"/>
      <c r="AM95" s="199"/>
      <c r="AN95" s="199"/>
      <c r="AO95" s="199"/>
      <c r="AP95" s="199"/>
      <c r="AQ95" s="199"/>
      <c r="AR95" s="199"/>
      <c r="AS95" s="199"/>
      <c r="AT95" s="199"/>
      <c r="AU95" s="199"/>
      <c r="AV95" s="199"/>
      <c r="AW95" s="155">
        <f t="shared" si="5"/>
        <v>23</v>
      </c>
    </row>
    <row r="96" spans="1:87" s="236" customFormat="1" ht="15">
      <c r="A96" s="40">
        <f t="shared" si="9"/>
        <v>90</v>
      </c>
      <c r="B96" s="199"/>
      <c r="C96" s="199"/>
      <c r="D96" s="199"/>
      <c r="E96" s="199"/>
      <c r="F96" s="199"/>
      <c r="G96" s="199"/>
      <c r="H96" s="199"/>
      <c r="I96" s="199"/>
      <c r="J96" s="217" t="s">
        <v>2699</v>
      </c>
      <c r="K96" s="204" t="s">
        <v>163</v>
      </c>
      <c r="L96" s="374" t="s">
        <v>2700</v>
      </c>
      <c r="M96" s="374"/>
      <c r="N96" s="271" t="s">
        <v>1502</v>
      </c>
      <c r="O96" s="369"/>
      <c r="P96" s="126" t="s">
        <v>2109</v>
      </c>
      <c r="Q96" s="126"/>
      <c r="R96" s="126"/>
      <c r="S96" s="126"/>
      <c r="T96" s="226" t="s">
        <v>6</v>
      </c>
      <c r="U96" s="203"/>
      <c r="V96" s="201"/>
      <c r="W96" s="204" t="s">
        <v>163</v>
      </c>
      <c r="X96" s="199"/>
      <c r="Y96" s="199"/>
      <c r="Z96" s="199"/>
      <c r="AA96" s="40"/>
      <c r="AB96" s="199"/>
      <c r="AC96" s="199"/>
      <c r="AD96" s="199"/>
      <c r="AE96" s="204"/>
      <c r="AF96" s="199"/>
      <c r="AG96" s="199"/>
      <c r="AH96" s="199"/>
      <c r="AI96" s="40"/>
      <c r="AJ96" s="199"/>
      <c r="AK96" s="199"/>
      <c r="AL96" s="199"/>
      <c r="AM96" s="199"/>
      <c r="AN96" s="199"/>
      <c r="AO96" s="199"/>
      <c r="AP96" s="199"/>
      <c r="AQ96" s="199"/>
      <c r="AR96" s="199"/>
      <c r="AS96" s="199"/>
      <c r="AT96" s="199"/>
      <c r="AU96" s="199"/>
      <c r="AV96" s="199"/>
      <c r="AW96" s="155">
        <f t="shared" si="5"/>
        <v>33</v>
      </c>
    </row>
    <row r="97" spans="1:49" s="236" customFormat="1" ht="15">
      <c r="A97" s="40">
        <f t="shared" si="9"/>
        <v>91</v>
      </c>
      <c r="B97" s="199"/>
      <c r="C97" s="199"/>
      <c r="D97" s="199"/>
      <c r="E97" s="199"/>
      <c r="F97" s="199"/>
      <c r="G97" s="199"/>
      <c r="H97" s="199"/>
      <c r="I97" s="199"/>
      <c r="J97" s="217" t="s">
        <v>2701</v>
      </c>
      <c r="K97" s="204" t="s">
        <v>163</v>
      </c>
      <c r="L97" s="374" t="s">
        <v>2702</v>
      </c>
      <c r="M97" s="374"/>
      <c r="N97" s="271" t="s">
        <v>1502</v>
      </c>
      <c r="O97" s="369"/>
      <c r="P97" s="126" t="s">
        <v>2109</v>
      </c>
      <c r="Q97" s="126"/>
      <c r="R97" s="126"/>
      <c r="S97" s="126"/>
      <c r="T97" s="226" t="s">
        <v>6</v>
      </c>
      <c r="U97" s="203"/>
      <c r="V97" s="201"/>
      <c r="W97" s="204" t="s">
        <v>163</v>
      </c>
      <c r="X97" s="199"/>
      <c r="Y97" s="199"/>
      <c r="Z97" s="199"/>
      <c r="AA97" s="40"/>
      <c r="AB97" s="199"/>
      <c r="AC97" s="199"/>
      <c r="AD97" s="199"/>
      <c r="AE97" s="204"/>
      <c r="AF97" s="199"/>
      <c r="AG97" s="199"/>
      <c r="AH97" s="199"/>
      <c r="AI97" s="40"/>
      <c r="AJ97" s="199"/>
      <c r="AK97" s="199"/>
      <c r="AL97" s="199"/>
      <c r="AM97" s="199"/>
      <c r="AN97" s="199"/>
      <c r="AO97" s="199"/>
      <c r="AP97" s="199"/>
      <c r="AQ97" s="199"/>
      <c r="AR97" s="199"/>
      <c r="AS97" s="199"/>
      <c r="AT97" s="199"/>
      <c r="AU97" s="199"/>
      <c r="AV97" s="199"/>
      <c r="AW97" s="155">
        <f t="shared" si="5"/>
        <v>33</v>
      </c>
    </row>
    <row r="98" spans="1:49" s="236" customFormat="1" ht="15">
      <c r="A98" s="40">
        <f t="shared" si="9"/>
        <v>92</v>
      </c>
      <c r="B98" s="199"/>
      <c r="C98" s="199"/>
      <c r="D98" s="199"/>
      <c r="E98" s="199"/>
      <c r="F98" s="199"/>
      <c r="G98" s="199"/>
      <c r="H98" s="199"/>
      <c r="I98" s="199"/>
      <c r="J98" s="217" t="s">
        <v>2703</v>
      </c>
      <c r="K98" s="204" t="s">
        <v>163</v>
      </c>
      <c r="L98" s="374" t="s">
        <v>2704</v>
      </c>
      <c r="M98" s="374"/>
      <c r="N98" s="271" t="s">
        <v>1502</v>
      </c>
      <c r="O98" s="369"/>
      <c r="P98" s="126" t="s">
        <v>2109</v>
      </c>
      <c r="Q98" s="126"/>
      <c r="R98" s="126"/>
      <c r="S98" s="126"/>
      <c r="T98" s="226" t="s">
        <v>6</v>
      </c>
      <c r="U98" s="203"/>
      <c r="V98" s="201"/>
      <c r="W98" s="204" t="s">
        <v>163</v>
      </c>
      <c r="X98" s="199"/>
      <c r="Y98" s="126" t="s">
        <v>2109</v>
      </c>
      <c r="Z98" s="199"/>
      <c r="AA98" s="40"/>
      <c r="AB98" s="207" t="s">
        <v>1100</v>
      </c>
      <c r="AC98" s="199"/>
      <c r="AD98" s="199"/>
      <c r="AE98" s="204"/>
      <c r="AF98" s="199"/>
      <c r="AG98" s="126"/>
      <c r="AH98" s="199"/>
      <c r="AI98" s="40"/>
      <c r="AJ98" s="207"/>
      <c r="AK98" s="199"/>
      <c r="AL98" s="199"/>
      <c r="AM98" s="199"/>
      <c r="AN98" s="199"/>
      <c r="AO98" s="199"/>
      <c r="AP98" s="199"/>
      <c r="AQ98" s="199"/>
      <c r="AR98" s="199"/>
      <c r="AS98" s="199"/>
      <c r="AT98" s="199"/>
      <c r="AU98" s="199"/>
      <c r="AV98" s="199"/>
      <c r="AW98" s="155">
        <f t="shared" si="5"/>
        <v>23</v>
      </c>
    </row>
    <row r="99" spans="1:49" s="236" customFormat="1" ht="15">
      <c r="A99" s="40">
        <f t="shared" si="9"/>
        <v>93</v>
      </c>
      <c r="B99" s="199"/>
      <c r="C99" s="199"/>
      <c r="D99" s="199"/>
      <c r="E99" s="199"/>
      <c r="F99" s="199"/>
      <c r="G99" s="199"/>
      <c r="H99" s="199"/>
      <c r="I99" s="199"/>
      <c r="J99" s="217" t="s">
        <v>2705</v>
      </c>
      <c r="K99" s="204" t="s">
        <v>163</v>
      </c>
      <c r="L99" s="374" t="s">
        <v>2706</v>
      </c>
      <c r="M99" s="374"/>
      <c r="N99" s="271" t="s">
        <v>849</v>
      </c>
      <c r="O99" s="369"/>
      <c r="P99" s="126" t="s">
        <v>846</v>
      </c>
      <c r="Q99" s="126"/>
      <c r="R99" s="126"/>
      <c r="S99" s="126"/>
      <c r="T99" s="226" t="s">
        <v>6</v>
      </c>
      <c r="U99" s="203"/>
      <c r="V99" s="201"/>
      <c r="W99" s="204" t="s">
        <v>163</v>
      </c>
      <c r="X99" s="199"/>
      <c r="Y99" s="199"/>
      <c r="Z99" s="199"/>
      <c r="AA99" s="40"/>
      <c r="AB99" s="199"/>
      <c r="AC99" s="199"/>
      <c r="AD99" s="199"/>
      <c r="AE99" s="204"/>
      <c r="AF99" s="199"/>
      <c r="AG99" s="199"/>
      <c r="AH99" s="199"/>
      <c r="AI99" s="40"/>
      <c r="AJ99" s="199"/>
      <c r="AK99" s="199"/>
      <c r="AL99" s="199"/>
      <c r="AM99" s="199"/>
      <c r="AN99" s="199"/>
      <c r="AO99" s="199"/>
      <c r="AP99" s="199"/>
      <c r="AQ99" s="199"/>
      <c r="AR99" s="199"/>
      <c r="AS99" s="199"/>
      <c r="AT99" s="199"/>
      <c r="AU99" s="199"/>
      <c r="AV99" s="199"/>
      <c r="AW99" s="155">
        <f t="shared" si="5"/>
        <v>35</v>
      </c>
    </row>
    <row r="100" spans="1:49" s="236" customFormat="1" ht="15">
      <c r="A100" s="40">
        <f t="shared" si="9"/>
        <v>94</v>
      </c>
      <c r="B100" s="199"/>
      <c r="C100" s="199"/>
      <c r="D100" s="199"/>
      <c r="E100" s="199"/>
      <c r="F100" s="199"/>
      <c r="G100" s="199"/>
      <c r="H100" s="199"/>
      <c r="I100" s="199"/>
      <c r="J100" s="217" t="s">
        <v>2707</v>
      </c>
      <c r="K100" s="204" t="s">
        <v>163</v>
      </c>
      <c r="L100" s="374" t="s">
        <v>2708</v>
      </c>
      <c r="M100" s="374"/>
      <c r="N100" s="271" t="s">
        <v>849</v>
      </c>
      <c r="O100" s="369"/>
      <c r="P100" s="126" t="s">
        <v>846</v>
      </c>
      <c r="Q100" s="126"/>
      <c r="R100" s="126"/>
      <c r="S100" s="126"/>
      <c r="T100" s="226" t="s">
        <v>6</v>
      </c>
      <c r="U100" s="203"/>
      <c r="V100" s="201"/>
      <c r="W100" s="204" t="s">
        <v>163</v>
      </c>
      <c r="X100" s="199"/>
      <c r="Y100" s="199"/>
      <c r="Z100" s="199"/>
      <c r="AA100" s="40"/>
      <c r="AB100" s="199"/>
      <c r="AC100" s="199"/>
      <c r="AD100" s="199"/>
      <c r="AE100" s="204"/>
      <c r="AF100" s="199"/>
      <c r="AG100" s="199"/>
      <c r="AH100" s="199"/>
      <c r="AI100" s="40"/>
      <c r="AJ100" s="199"/>
      <c r="AK100" s="199"/>
      <c r="AL100" s="199"/>
      <c r="AM100" s="199"/>
      <c r="AN100" s="199"/>
      <c r="AO100" s="199"/>
      <c r="AP100" s="199"/>
      <c r="AQ100" s="199"/>
      <c r="AR100" s="199"/>
      <c r="AS100" s="199"/>
      <c r="AT100" s="199"/>
      <c r="AU100" s="199"/>
      <c r="AV100" s="199"/>
      <c r="AW100" s="155">
        <f t="shared" si="5"/>
        <v>35</v>
      </c>
    </row>
    <row r="101" spans="1:49" s="236" customFormat="1" ht="15">
      <c r="A101" s="40">
        <f t="shared" si="9"/>
        <v>95</v>
      </c>
      <c r="B101" s="199"/>
      <c r="C101" s="199"/>
      <c r="D101" s="199"/>
      <c r="E101" s="199"/>
      <c r="F101" s="199"/>
      <c r="G101" s="199"/>
      <c r="H101" s="199"/>
      <c r="I101" s="199"/>
      <c r="J101" s="217" t="s">
        <v>2709</v>
      </c>
      <c r="K101" s="204" t="s">
        <v>163</v>
      </c>
      <c r="L101" s="374" t="s">
        <v>2710</v>
      </c>
      <c r="M101" s="374"/>
      <c r="N101" s="271" t="s">
        <v>2095</v>
      </c>
      <c r="O101" s="369"/>
      <c r="P101" s="126" t="s">
        <v>846</v>
      </c>
      <c r="Q101" s="126"/>
      <c r="R101" s="126"/>
      <c r="S101" s="126"/>
      <c r="T101" s="226" t="s">
        <v>6</v>
      </c>
      <c r="U101" s="203"/>
      <c r="V101" s="201"/>
      <c r="W101" s="204" t="s">
        <v>163</v>
      </c>
      <c r="X101" s="199"/>
      <c r="Y101" s="199"/>
      <c r="Z101" s="199"/>
      <c r="AA101" s="40"/>
      <c r="AB101" s="199"/>
      <c r="AC101" s="199"/>
      <c r="AD101" s="199"/>
      <c r="AE101" s="204"/>
      <c r="AF101" s="199"/>
      <c r="AG101" s="199"/>
      <c r="AH101" s="199"/>
      <c r="AI101" s="40"/>
      <c r="AJ101" s="199"/>
      <c r="AK101" s="199"/>
      <c r="AL101" s="199"/>
      <c r="AM101" s="199"/>
      <c r="AN101" s="199"/>
      <c r="AO101" s="199"/>
      <c r="AP101" s="199"/>
      <c r="AQ101" s="199"/>
      <c r="AR101" s="199"/>
      <c r="AS101" s="199"/>
      <c r="AT101" s="199"/>
      <c r="AU101" s="199"/>
      <c r="AV101" s="199"/>
      <c r="AW101" s="155">
        <f t="shared" si="5"/>
        <v>35</v>
      </c>
    </row>
    <row r="102" spans="1:49" s="236" customFormat="1" ht="15">
      <c r="A102" s="40">
        <f t="shared" si="9"/>
        <v>96</v>
      </c>
      <c r="B102" s="199"/>
      <c r="C102" s="199"/>
      <c r="D102" s="199"/>
      <c r="E102" s="199"/>
      <c r="F102" s="199"/>
      <c r="G102" s="199"/>
      <c r="H102" s="199"/>
      <c r="I102" s="199"/>
      <c r="J102" s="217" t="s">
        <v>2711</v>
      </c>
      <c r="K102" s="204" t="s">
        <v>163</v>
      </c>
      <c r="L102" s="374" t="s">
        <v>2712</v>
      </c>
      <c r="M102" s="374"/>
      <c r="N102" s="271" t="s">
        <v>2095</v>
      </c>
      <c r="O102" s="369"/>
      <c r="P102" s="126" t="s">
        <v>846</v>
      </c>
      <c r="Q102" s="126"/>
      <c r="R102" s="126"/>
      <c r="S102" s="126"/>
      <c r="T102" s="226" t="s">
        <v>6</v>
      </c>
      <c r="U102" s="203"/>
      <c r="V102" s="201"/>
      <c r="W102" s="204" t="s">
        <v>163</v>
      </c>
      <c r="X102" s="199"/>
      <c r="Y102" s="199"/>
      <c r="Z102" s="199"/>
      <c r="AA102" s="40"/>
      <c r="AB102" s="199"/>
      <c r="AC102" s="199"/>
      <c r="AD102" s="199"/>
      <c r="AE102" s="204"/>
      <c r="AF102" s="199"/>
      <c r="AG102" s="199"/>
      <c r="AH102" s="199"/>
      <c r="AI102" s="40"/>
      <c r="AJ102" s="199"/>
      <c r="AK102" s="199"/>
      <c r="AL102" s="199"/>
      <c r="AM102" s="199"/>
      <c r="AN102" s="199"/>
      <c r="AO102" s="199"/>
      <c r="AP102" s="199"/>
      <c r="AQ102" s="199"/>
      <c r="AR102" s="199"/>
      <c r="AS102" s="199"/>
      <c r="AT102" s="199"/>
      <c r="AU102" s="199"/>
      <c r="AV102" s="199"/>
      <c r="AW102" s="155">
        <f t="shared" si="5"/>
        <v>35</v>
      </c>
    </row>
    <row r="103" spans="1:49" s="236" customFormat="1" ht="15">
      <c r="A103" s="40">
        <f t="shared" si="9"/>
        <v>97</v>
      </c>
      <c r="B103" s="199"/>
      <c r="C103" s="199"/>
      <c r="D103" s="199"/>
      <c r="E103" s="199"/>
      <c r="F103" s="199"/>
      <c r="G103" s="199"/>
      <c r="H103" s="199"/>
      <c r="I103" s="199"/>
      <c r="J103" s="217" t="s">
        <v>2713</v>
      </c>
      <c r="K103" s="204" t="s">
        <v>163</v>
      </c>
      <c r="L103" s="374" t="s">
        <v>2714</v>
      </c>
      <c r="M103" s="374"/>
      <c r="N103" s="271" t="s">
        <v>838</v>
      </c>
      <c r="O103" s="369"/>
      <c r="P103" s="126" t="s">
        <v>2109</v>
      </c>
      <c r="Q103" s="126"/>
      <c r="R103" s="126"/>
      <c r="S103" s="126"/>
      <c r="T103" s="226" t="s">
        <v>6</v>
      </c>
      <c r="U103" s="203"/>
      <c r="V103" s="201"/>
      <c r="W103" s="204" t="s">
        <v>163</v>
      </c>
      <c r="X103" s="199"/>
      <c r="Y103" s="199"/>
      <c r="Z103" s="199"/>
      <c r="AA103" s="40"/>
      <c r="AB103" s="199"/>
      <c r="AC103" s="199"/>
      <c r="AD103" s="199"/>
      <c r="AE103" s="204"/>
      <c r="AF103" s="199"/>
      <c r="AG103" s="199"/>
      <c r="AH103" s="199"/>
      <c r="AI103" s="40"/>
      <c r="AJ103" s="199"/>
      <c r="AK103" s="199"/>
      <c r="AL103" s="199"/>
      <c r="AM103" s="199"/>
      <c r="AN103" s="199"/>
      <c r="AO103" s="199"/>
      <c r="AP103" s="199"/>
      <c r="AQ103" s="199"/>
      <c r="AR103" s="199"/>
      <c r="AS103" s="199"/>
      <c r="AT103" s="199"/>
      <c r="AU103" s="199"/>
      <c r="AV103" s="199"/>
      <c r="AW103" s="155">
        <f t="shared" si="5"/>
        <v>17</v>
      </c>
    </row>
    <row r="104" spans="1:49" s="236" customFormat="1" ht="15">
      <c r="A104" s="40">
        <f t="shared" si="9"/>
        <v>98</v>
      </c>
      <c r="B104" s="199"/>
      <c r="C104" s="199"/>
      <c r="D104" s="199"/>
      <c r="E104" s="199"/>
      <c r="F104" s="199"/>
      <c r="G104" s="199"/>
      <c r="H104" s="199"/>
      <c r="I104" s="199"/>
      <c r="J104" s="217" t="s">
        <v>2715</v>
      </c>
      <c r="K104" s="204" t="s">
        <v>163</v>
      </c>
      <c r="L104" s="374" t="s">
        <v>2716</v>
      </c>
      <c r="M104" s="374"/>
      <c r="N104" s="271" t="s">
        <v>849</v>
      </c>
      <c r="O104" s="369"/>
      <c r="P104" s="126" t="s">
        <v>846</v>
      </c>
      <c r="Q104" s="126"/>
      <c r="R104" s="126"/>
      <c r="S104" s="126"/>
      <c r="T104" s="226" t="s">
        <v>6</v>
      </c>
      <c r="U104" s="203"/>
      <c r="V104" s="201"/>
      <c r="W104" s="204" t="s">
        <v>163</v>
      </c>
      <c r="X104" s="199"/>
      <c r="Y104" s="199"/>
      <c r="Z104" s="199"/>
      <c r="AA104" s="40"/>
      <c r="AB104" s="199"/>
      <c r="AC104" s="199"/>
      <c r="AD104" s="199"/>
      <c r="AE104" s="204"/>
      <c r="AF104" s="199"/>
      <c r="AG104" s="199"/>
      <c r="AH104" s="199"/>
      <c r="AI104" s="40"/>
      <c r="AJ104" s="199"/>
      <c r="AK104" s="199"/>
      <c r="AL104" s="199"/>
      <c r="AM104" s="199"/>
      <c r="AN104" s="199"/>
      <c r="AO104" s="199"/>
      <c r="AP104" s="199"/>
      <c r="AQ104" s="199"/>
      <c r="AR104" s="199"/>
      <c r="AS104" s="199"/>
      <c r="AT104" s="199"/>
      <c r="AU104" s="199"/>
      <c r="AV104" s="199"/>
      <c r="AW104" s="155">
        <f t="shared" si="5"/>
        <v>19</v>
      </c>
    </row>
    <row r="105" spans="1:49" s="236" customFormat="1" ht="15">
      <c r="A105" s="40">
        <f t="shared" si="9"/>
        <v>99</v>
      </c>
      <c r="B105" s="199"/>
      <c r="C105" s="199"/>
      <c r="D105" s="199"/>
      <c r="E105" s="199"/>
      <c r="F105" s="199"/>
      <c r="G105" s="199"/>
      <c r="H105" s="199"/>
      <c r="I105" s="199"/>
      <c r="J105" s="217" t="s">
        <v>2717</v>
      </c>
      <c r="K105" s="204" t="s">
        <v>163</v>
      </c>
      <c r="L105" s="374" t="s">
        <v>2718</v>
      </c>
      <c r="M105" s="374"/>
      <c r="N105" s="271" t="s">
        <v>1502</v>
      </c>
      <c r="O105" s="369"/>
      <c r="P105" s="126" t="s">
        <v>2109</v>
      </c>
      <c r="Q105" s="126"/>
      <c r="R105" s="126"/>
      <c r="S105" s="126"/>
      <c r="T105" s="226" t="s">
        <v>6</v>
      </c>
      <c r="U105" s="203"/>
      <c r="V105" s="201"/>
      <c r="W105" s="204" t="s">
        <v>163</v>
      </c>
      <c r="X105" s="199"/>
      <c r="Y105" s="199"/>
      <c r="Z105" s="199"/>
      <c r="AA105" s="40"/>
      <c r="AB105" s="199"/>
      <c r="AC105" s="199"/>
      <c r="AD105" s="199"/>
      <c r="AE105" s="204"/>
      <c r="AF105" s="199"/>
      <c r="AG105" s="199"/>
      <c r="AH105" s="199"/>
      <c r="AI105" s="40"/>
      <c r="AJ105" s="199"/>
      <c r="AK105" s="199"/>
      <c r="AL105" s="199"/>
      <c r="AM105" s="199"/>
      <c r="AN105" s="199"/>
      <c r="AO105" s="199"/>
      <c r="AP105" s="199"/>
      <c r="AQ105" s="199"/>
      <c r="AR105" s="199"/>
      <c r="AS105" s="199"/>
      <c r="AT105" s="199"/>
      <c r="AU105" s="199"/>
      <c r="AV105" s="199"/>
      <c r="AW105" s="155">
        <f t="shared" si="5"/>
        <v>17</v>
      </c>
    </row>
    <row r="106" spans="1:49" s="236" customFormat="1" ht="15">
      <c r="A106" s="40">
        <f t="shared" si="9"/>
        <v>100</v>
      </c>
      <c r="B106" s="199"/>
      <c r="C106" s="199"/>
      <c r="D106" s="199"/>
      <c r="E106" s="199"/>
      <c r="F106" s="199"/>
      <c r="G106" s="199"/>
      <c r="H106" s="199"/>
      <c r="I106" s="199"/>
      <c r="J106" s="217" t="s">
        <v>2719</v>
      </c>
      <c r="K106" s="204" t="s">
        <v>163</v>
      </c>
      <c r="L106" s="374" t="s">
        <v>2720</v>
      </c>
      <c r="M106" s="374"/>
      <c r="N106" s="271" t="s">
        <v>2095</v>
      </c>
      <c r="O106" s="369"/>
      <c r="P106" s="126" t="s">
        <v>846</v>
      </c>
      <c r="Q106" s="126"/>
      <c r="R106" s="126"/>
      <c r="S106" s="126"/>
      <c r="T106" s="226" t="s">
        <v>6</v>
      </c>
      <c r="U106" s="203"/>
      <c r="V106" s="201"/>
      <c r="W106" s="204" t="s">
        <v>163</v>
      </c>
      <c r="X106" s="199"/>
      <c r="Y106" s="199"/>
      <c r="Z106" s="199"/>
      <c r="AA106" s="40"/>
      <c r="AB106" s="199"/>
      <c r="AC106" s="199"/>
      <c r="AD106" s="199"/>
      <c r="AE106" s="204"/>
      <c r="AF106" s="199"/>
      <c r="AG106" s="199"/>
      <c r="AH106" s="199"/>
      <c r="AI106" s="40"/>
      <c r="AJ106" s="199"/>
      <c r="AK106" s="199"/>
      <c r="AL106" s="199"/>
      <c r="AM106" s="199"/>
      <c r="AN106" s="199"/>
      <c r="AO106" s="199"/>
      <c r="AP106" s="199"/>
      <c r="AQ106" s="199"/>
      <c r="AR106" s="199"/>
      <c r="AS106" s="199"/>
      <c r="AT106" s="199"/>
      <c r="AU106" s="199"/>
      <c r="AV106" s="199"/>
      <c r="AW106" s="155">
        <f t="shared" si="5"/>
        <v>19</v>
      </c>
    </row>
    <row r="107" spans="1:49" s="236" customFormat="1" ht="15">
      <c r="A107" s="40">
        <f t="shared" si="9"/>
        <v>101</v>
      </c>
      <c r="B107" s="199"/>
      <c r="C107" s="199"/>
      <c r="D107" s="199"/>
      <c r="E107" s="199"/>
      <c r="F107" s="199"/>
      <c r="G107" s="199"/>
      <c r="H107" s="199"/>
      <c r="I107" s="199"/>
      <c r="J107" s="215" t="s">
        <v>2721</v>
      </c>
      <c r="K107" s="204" t="s">
        <v>163</v>
      </c>
      <c r="L107" s="374" t="s">
        <v>2722</v>
      </c>
      <c r="M107" s="374"/>
      <c r="N107" s="271" t="s">
        <v>832</v>
      </c>
      <c r="O107" s="369"/>
      <c r="P107" s="126" t="s">
        <v>833</v>
      </c>
      <c r="Q107" s="126"/>
      <c r="R107" s="126"/>
      <c r="S107" s="126"/>
      <c r="T107" s="226" t="s">
        <v>6</v>
      </c>
      <c r="U107" s="203"/>
      <c r="V107" s="201"/>
      <c r="W107" s="204" t="s">
        <v>163</v>
      </c>
      <c r="X107" s="199"/>
      <c r="Y107" s="126"/>
      <c r="Z107" s="199"/>
      <c r="AA107" s="40"/>
      <c r="AB107" s="207"/>
      <c r="AC107" s="199"/>
      <c r="AD107" s="199"/>
      <c r="AE107" s="204"/>
      <c r="AF107" s="199"/>
      <c r="AG107" s="126"/>
      <c r="AH107" s="199"/>
      <c r="AI107" s="40"/>
      <c r="AJ107" s="207"/>
      <c r="AK107" s="199"/>
      <c r="AL107" s="199"/>
      <c r="AM107" s="199"/>
      <c r="AN107" s="199"/>
      <c r="AO107" s="199"/>
      <c r="AP107" s="199"/>
      <c r="AQ107" s="199"/>
      <c r="AR107" s="199"/>
      <c r="AS107" s="199"/>
      <c r="AT107" s="199"/>
      <c r="AU107" s="199"/>
      <c r="AV107" s="199"/>
      <c r="AW107" s="155">
        <f t="shared" si="5"/>
        <v>39</v>
      </c>
    </row>
    <row r="108" spans="1:49" s="236" customFormat="1" ht="15">
      <c r="A108" s="415">
        <f t="shared" si="9"/>
        <v>102</v>
      </c>
      <c r="B108" s="199"/>
      <c r="C108" s="199"/>
      <c r="D108" s="199"/>
      <c r="E108" s="199"/>
      <c r="F108" s="199"/>
      <c r="G108" s="199"/>
      <c r="H108" s="199"/>
      <c r="I108" s="199"/>
      <c r="J108" s="217" t="s">
        <v>5439</v>
      </c>
      <c r="K108" s="217" t="s">
        <v>79</v>
      </c>
      <c r="L108" s="204" t="s">
        <v>5440</v>
      </c>
      <c r="M108" s="204"/>
      <c r="N108" s="271" t="s">
        <v>1785</v>
      </c>
      <c r="O108" s="369"/>
      <c r="P108" s="126"/>
      <c r="Q108" s="126"/>
      <c r="R108" s="126" t="s">
        <v>6</v>
      </c>
      <c r="S108" s="126" t="s">
        <v>6</v>
      </c>
      <c r="T108" s="126"/>
      <c r="U108" s="203"/>
      <c r="V108" s="201"/>
      <c r="W108" s="217" t="s">
        <v>79</v>
      </c>
      <c r="X108" s="199"/>
      <c r="Y108" s="199"/>
      <c r="Z108" s="126" t="s">
        <v>6</v>
      </c>
      <c r="AA108" s="126" t="s">
        <v>6</v>
      </c>
      <c r="AB108" s="199" t="s">
        <v>1100</v>
      </c>
      <c r="AC108" s="199"/>
      <c r="AD108" s="199"/>
      <c r="AE108" s="217"/>
      <c r="AF108" s="199"/>
      <c r="AG108" s="199"/>
      <c r="AH108" s="126"/>
      <c r="AI108" s="126"/>
      <c r="AJ108" s="199"/>
      <c r="AK108" s="199"/>
      <c r="AL108" s="199"/>
      <c r="AM108" s="199"/>
      <c r="AN108" s="199"/>
      <c r="AO108" s="199"/>
      <c r="AP108" s="199"/>
      <c r="AQ108" s="199"/>
      <c r="AR108" s="199"/>
      <c r="AS108" s="199"/>
      <c r="AT108" s="199"/>
      <c r="AU108" s="199"/>
      <c r="AV108" s="199"/>
      <c r="AW108" s="155"/>
    </row>
    <row r="109" spans="1:49" s="236" customFormat="1" ht="15">
      <c r="A109" s="415">
        <f t="shared" si="9"/>
        <v>103</v>
      </c>
      <c r="B109" s="207"/>
      <c r="C109" s="207"/>
      <c r="D109" s="207"/>
      <c r="E109" s="207"/>
      <c r="F109" s="207"/>
      <c r="G109" s="207"/>
      <c r="H109" s="207"/>
      <c r="I109" s="207"/>
      <c r="J109" s="217" t="s">
        <v>5441</v>
      </c>
      <c r="K109" s="217" t="s">
        <v>117</v>
      </c>
      <c r="L109" s="367" t="s">
        <v>1679</v>
      </c>
      <c r="M109" s="367"/>
      <c r="N109" s="271" t="s">
        <v>504</v>
      </c>
      <c r="O109" s="565"/>
      <c r="P109" s="226"/>
      <c r="Q109" s="226"/>
      <c r="R109" s="226" t="s">
        <v>6</v>
      </c>
      <c r="S109" s="226" t="s">
        <v>6</v>
      </c>
      <c r="T109" s="126"/>
      <c r="U109" s="573"/>
      <c r="V109" s="566"/>
      <c r="W109" s="217" t="s">
        <v>133</v>
      </c>
      <c r="X109" s="207"/>
      <c r="Y109" s="207"/>
      <c r="Z109" s="226" t="s">
        <v>6</v>
      </c>
      <c r="AA109" s="226" t="s">
        <v>6</v>
      </c>
      <c r="AB109" s="207" t="s">
        <v>1100</v>
      </c>
      <c r="AC109" s="207"/>
      <c r="AD109" s="207"/>
      <c r="AE109" s="217"/>
      <c r="AF109" s="207"/>
      <c r="AG109" s="207"/>
      <c r="AH109" s="226"/>
      <c r="AI109" s="226"/>
      <c r="AJ109" s="207"/>
      <c r="AK109" s="207"/>
      <c r="AL109" s="207"/>
      <c r="AM109" s="207"/>
      <c r="AN109" s="207"/>
      <c r="AO109" s="207"/>
      <c r="AP109" s="207"/>
      <c r="AQ109" s="207"/>
      <c r="AR109" s="207"/>
      <c r="AS109" s="207"/>
      <c r="AT109" s="207"/>
      <c r="AU109" s="207"/>
      <c r="AV109" s="207"/>
      <c r="AW109" s="155"/>
    </row>
    <row r="110" spans="1:49" s="236" customFormat="1" ht="15">
      <c r="A110" s="415">
        <f t="shared" si="9"/>
        <v>104</v>
      </c>
      <c r="B110" s="199"/>
      <c r="C110" s="199"/>
      <c r="D110" s="199"/>
      <c r="E110" s="199"/>
      <c r="F110" s="199"/>
      <c r="G110" s="199"/>
      <c r="H110" s="199"/>
      <c r="I110" s="199"/>
      <c r="J110" s="217" t="s">
        <v>5442</v>
      </c>
      <c r="K110" s="199" t="s">
        <v>128</v>
      </c>
      <c r="L110" s="204" t="s">
        <v>1699</v>
      </c>
      <c r="M110" s="204"/>
      <c r="N110" s="271" t="s">
        <v>504</v>
      </c>
      <c r="O110" s="369"/>
      <c r="P110" s="126"/>
      <c r="Q110" s="226"/>
      <c r="R110" s="226" t="s">
        <v>6</v>
      </c>
      <c r="S110" s="226" t="s">
        <v>6</v>
      </c>
      <c r="T110" s="126"/>
      <c r="U110" s="202"/>
      <c r="V110" s="204"/>
      <c r="W110" s="199" t="s">
        <v>125</v>
      </c>
      <c r="X110" s="199"/>
      <c r="Y110" s="199"/>
      <c r="Z110" s="199"/>
      <c r="AA110" s="226" t="s">
        <v>6</v>
      </c>
      <c r="AB110" s="207" t="s">
        <v>1100</v>
      </c>
      <c r="AC110" s="199"/>
      <c r="AD110" s="199"/>
      <c r="AE110" s="199"/>
      <c r="AF110" s="199"/>
      <c r="AG110" s="199"/>
      <c r="AH110" s="199"/>
      <c r="AI110" s="226"/>
      <c r="AJ110" s="207"/>
      <c r="AK110" s="199"/>
      <c r="AL110" s="199"/>
      <c r="AM110" s="199"/>
      <c r="AN110" s="199"/>
      <c r="AO110" s="199"/>
      <c r="AP110" s="199"/>
      <c r="AQ110" s="199"/>
      <c r="AR110" s="199"/>
      <c r="AS110" s="199"/>
      <c r="AT110" s="199"/>
      <c r="AU110" s="199"/>
      <c r="AV110" s="199"/>
      <c r="AW110" s="155"/>
    </row>
    <row r="111" spans="1:49" s="236" customFormat="1" ht="15">
      <c r="A111" s="415">
        <f t="shared" si="9"/>
        <v>105</v>
      </c>
      <c r="B111" s="199"/>
      <c r="C111" s="199"/>
      <c r="D111" s="199"/>
      <c r="E111" s="199"/>
      <c r="F111" s="199"/>
      <c r="G111" s="199"/>
      <c r="H111" s="199"/>
      <c r="I111" s="199"/>
      <c r="J111" s="217" t="s">
        <v>5443</v>
      </c>
      <c r="K111" s="199" t="s">
        <v>117</v>
      </c>
      <c r="L111" s="204" t="s">
        <v>5444</v>
      </c>
      <c r="M111" s="204"/>
      <c r="N111" s="271" t="s">
        <v>504</v>
      </c>
      <c r="O111" s="369"/>
      <c r="P111" s="126"/>
      <c r="Q111" s="226" t="s">
        <v>6</v>
      </c>
      <c r="R111" s="226" t="s">
        <v>6</v>
      </c>
      <c r="S111" s="226" t="s">
        <v>6</v>
      </c>
      <c r="T111" s="126"/>
      <c r="U111" s="203"/>
      <c r="V111" s="201"/>
      <c r="W111" s="199" t="s">
        <v>133</v>
      </c>
      <c r="X111" s="199"/>
      <c r="Y111" s="199"/>
      <c r="Z111" s="226" t="s">
        <v>6</v>
      </c>
      <c r="AA111" s="226" t="s">
        <v>6</v>
      </c>
      <c r="AB111" s="207" t="s">
        <v>1100</v>
      </c>
      <c r="AC111" s="199"/>
      <c r="AD111" s="199"/>
      <c r="AE111" s="199"/>
      <c r="AF111" s="199"/>
      <c r="AG111" s="199"/>
      <c r="AH111" s="226"/>
      <c r="AI111" s="226"/>
      <c r="AJ111" s="207"/>
      <c r="AK111" s="199"/>
      <c r="AL111" s="199"/>
      <c r="AM111" s="199"/>
      <c r="AN111" s="199"/>
      <c r="AO111" s="199"/>
      <c r="AP111" s="199"/>
      <c r="AQ111" s="199"/>
      <c r="AR111" s="199"/>
      <c r="AS111" s="199"/>
      <c r="AT111" s="199"/>
      <c r="AU111" s="199"/>
      <c r="AV111" s="199"/>
      <c r="AW111" s="155"/>
    </row>
    <row r="112" spans="1:49" s="14" customFormat="1" ht="15">
      <c r="A112" s="415">
        <f t="shared" si="9"/>
        <v>106</v>
      </c>
      <c r="B112" s="38"/>
      <c r="C112" s="41"/>
      <c r="D112" s="38"/>
      <c r="E112" s="38"/>
      <c r="F112" s="38"/>
      <c r="G112" s="38"/>
      <c r="H112" s="40"/>
      <c r="I112" s="40"/>
      <c r="J112" s="217" t="s">
        <v>5445</v>
      </c>
      <c r="K112" s="412" t="s">
        <v>140</v>
      </c>
      <c r="L112" s="225" t="s">
        <v>5446</v>
      </c>
      <c r="M112" s="225"/>
      <c r="N112" s="271" t="s">
        <v>504</v>
      </c>
      <c r="O112" s="40"/>
      <c r="P112" s="40"/>
      <c r="Q112" s="40"/>
      <c r="R112" s="226" t="s">
        <v>6</v>
      </c>
      <c r="S112" s="226" t="s">
        <v>6</v>
      </c>
      <c r="T112" s="126"/>
      <c r="U112" s="203"/>
      <c r="V112" s="201"/>
      <c r="W112" s="412" t="s">
        <v>103</v>
      </c>
      <c r="X112" s="40"/>
      <c r="Y112" s="40"/>
      <c r="Z112" s="226" t="s">
        <v>6</v>
      </c>
      <c r="AA112" s="226" t="s">
        <v>6</v>
      </c>
      <c r="AB112" s="207" t="s">
        <v>1100</v>
      </c>
      <c r="AC112" s="40"/>
      <c r="AD112" s="40"/>
      <c r="AE112" s="412"/>
      <c r="AF112" s="40"/>
      <c r="AG112" s="40"/>
      <c r="AH112" s="226"/>
      <c r="AI112" s="226"/>
      <c r="AJ112" s="207"/>
      <c r="AK112" s="40"/>
      <c r="AL112" s="40"/>
      <c r="AM112" s="198"/>
      <c r="AN112" s="232"/>
      <c r="AO112" s="245"/>
      <c r="AP112" s="245"/>
      <c r="AQ112" s="245"/>
      <c r="AR112" s="245"/>
      <c r="AS112" s="245"/>
      <c r="AT112" s="245"/>
      <c r="AU112" s="40"/>
      <c r="AV112" s="40"/>
      <c r="AW112" s="155"/>
    </row>
    <row r="113" spans="1:49" s="14" customFormat="1" ht="15">
      <c r="A113" s="415">
        <f t="shared" si="9"/>
        <v>107</v>
      </c>
      <c r="B113" s="38"/>
      <c r="C113" s="41"/>
      <c r="D113" s="38"/>
      <c r="E113" s="38"/>
      <c r="F113" s="38"/>
      <c r="G113" s="38"/>
      <c r="H113" s="40"/>
      <c r="I113" s="40"/>
      <c r="J113" s="217" t="s">
        <v>5447</v>
      </c>
      <c r="K113" s="412" t="s">
        <v>140</v>
      </c>
      <c r="L113" s="225" t="s">
        <v>5448</v>
      </c>
      <c r="M113" s="225"/>
      <c r="N113" s="271" t="s">
        <v>504</v>
      </c>
      <c r="O113" s="40"/>
      <c r="P113" s="40"/>
      <c r="Q113" s="40"/>
      <c r="R113" s="226" t="s">
        <v>6</v>
      </c>
      <c r="S113" s="226" t="s">
        <v>6</v>
      </c>
      <c r="T113" s="126"/>
      <c r="U113" s="203"/>
      <c r="V113" s="201"/>
      <c r="W113" s="412" t="s">
        <v>103</v>
      </c>
      <c r="X113" s="40"/>
      <c r="Y113" s="40"/>
      <c r="Z113" s="226" t="s">
        <v>6</v>
      </c>
      <c r="AA113" s="226" t="s">
        <v>6</v>
      </c>
      <c r="AB113" s="207" t="s">
        <v>1100</v>
      </c>
      <c r="AC113" s="40"/>
      <c r="AD113" s="40"/>
      <c r="AE113" s="412"/>
      <c r="AF113" s="40"/>
      <c r="AG113" s="40"/>
      <c r="AH113" s="226"/>
      <c r="AI113" s="226"/>
      <c r="AJ113" s="207"/>
      <c r="AK113" s="40"/>
      <c r="AL113" s="40"/>
      <c r="AM113" s="198"/>
      <c r="AN113" s="232"/>
      <c r="AO113" s="245"/>
      <c r="AP113" s="245"/>
      <c r="AQ113" s="245"/>
      <c r="AR113" s="245"/>
      <c r="AS113" s="245"/>
      <c r="AT113" s="245"/>
      <c r="AU113" s="40"/>
      <c r="AV113" s="40"/>
      <c r="AW113" s="155"/>
    </row>
    <row r="114" spans="1:49" s="236" customFormat="1" ht="15">
      <c r="A114" s="415">
        <f t="shared" si="9"/>
        <v>108</v>
      </c>
      <c r="B114" s="199"/>
      <c r="C114" s="199"/>
      <c r="D114" s="199"/>
      <c r="E114" s="199"/>
      <c r="F114" s="199"/>
      <c r="G114" s="199"/>
      <c r="H114" s="199"/>
      <c r="I114" s="199"/>
      <c r="J114" s="217" t="s">
        <v>5449</v>
      </c>
      <c r="K114" s="199" t="s">
        <v>128</v>
      </c>
      <c r="L114" s="204" t="s">
        <v>5450</v>
      </c>
      <c r="M114" s="204"/>
      <c r="N114" s="271" t="s">
        <v>504</v>
      </c>
      <c r="O114" s="369"/>
      <c r="P114" s="40"/>
      <c r="Q114" s="226" t="s">
        <v>6</v>
      </c>
      <c r="R114" s="226" t="s">
        <v>6</v>
      </c>
      <c r="S114" s="226" t="s">
        <v>6</v>
      </c>
      <c r="T114" s="126"/>
      <c r="U114" s="202"/>
      <c r="V114" s="204"/>
      <c r="W114" s="199" t="s">
        <v>128</v>
      </c>
      <c r="X114" s="199"/>
      <c r="Y114" s="199"/>
      <c r="Z114" s="226" t="s">
        <v>6</v>
      </c>
      <c r="AA114" s="226" t="s">
        <v>6</v>
      </c>
      <c r="AB114" s="207" t="s">
        <v>1100</v>
      </c>
      <c r="AC114" s="199"/>
      <c r="AD114" s="199"/>
      <c r="AE114" s="199"/>
      <c r="AF114" s="199"/>
      <c r="AG114" s="199"/>
      <c r="AH114" s="226"/>
      <c r="AI114" s="226"/>
      <c r="AJ114" s="207"/>
      <c r="AK114" s="199"/>
      <c r="AL114" s="199"/>
      <c r="AM114" s="199"/>
      <c r="AN114" s="199"/>
      <c r="AO114" s="199"/>
      <c r="AP114" s="199"/>
      <c r="AQ114" s="199"/>
      <c r="AR114" s="199"/>
      <c r="AS114" s="199"/>
      <c r="AT114" s="199"/>
      <c r="AU114" s="199"/>
      <c r="AV114" s="199"/>
      <c r="AW114" s="155"/>
    </row>
    <row r="115" spans="1:49" s="236" customFormat="1" ht="15">
      <c r="A115" s="415">
        <f t="shared" si="9"/>
        <v>109</v>
      </c>
      <c r="B115" s="199"/>
      <c r="C115" s="199"/>
      <c r="D115" s="199"/>
      <c r="E115" s="199"/>
      <c r="F115" s="199"/>
      <c r="G115" s="199"/>
      <c r="H115" s="199"/>
      <c r="I115" s="199"/>
      <c r="J115" s="217" t="s">
        <v>5451</v>
      </c>
      <c r="K115" s="199" t="s">
        <v>128</v>
      </c>
      <c r="L115" s="374" t="s">
        <v>5452</v>
      </c>
      <c r="M115" s="374"/>
      <c r="N115" s="271" t="s">
        <v>504</v>
      </c>
      <c r="O115" s="369"/>
      <c r="P115" s="40"/>
      <c r="Q115" s="226"/>
      <c r="R115" s="226" t="s">
        <v>6</v>
      </c>
      <c r="S115" s="226" t="s">
        <v>6</v>
      </c>
      <c r="T115" s="126"/>
      <c r="U115" s="202"/>
      <c r="V115" s="204"/>
      <c r="W115" s="199" t="s">
        <v>125</v>
      </c>
      <c r="X115" s="199"/>
      <c r="Y115" s="199"/>
      <c r="Z115" s="199"/>
      <c r="AA115" s="226" t="s">
        <v>6</v>
      </c>
      <c r="AB115" s="207" t="s">
        <v>1100</v>
      </c>
      <c r="AC115" s="199"/>
      <c r="AD115" s="199"/>
      <c r="AE115" s="199"/>
      <c r="AF115" s="199"/>
      <c r="AG115" s="199"/>
      <c r="AH115" s="199"/>
      <c r="AI115" s="226"/>
      <c r="AJ115" s="207"/>
      <c r="AK115" s="199"/>
      <c r="AL115" s="199"/>
      <c r="AM115" s="199"/>
      <c r="AN115" s="199"/>
      <c r="AO115" s="199"/>
      <c r="AP115" s="199"/>
      <c r="AQ115" s="199"/>
      <c r="AR115" s="199"/>
      <c r="AS115" s="199"/>
      <c r="AT115" s="199"/>
      <c r="AU115" s="199"/>
      <c r="AV115" s="199"/>
      <c r="AW115" s="155"/>
    </row>
    <row r="116" spans="1:49" s="236" customFormat="1" ht="15">
      <c r="A116" s="415">
        <f t="shared" si="9"/>
        <v>110</v>
      </c>
      <c r="B116" s="199"/>
      <c r="C116" s="199"/>
      <c r="D116" s="199"/>
      <c r="E116" s="199"/>
      <c r="F116" s="199"/>
      <c r="G116" s="199"/>
      <c r="H116" s="199"/>
      <c r="I116" s="199"/>
      <c r="J116" s="217" t="s">
        <v>5453</v>
      </c>
      <c r="K116" s="199" t="s">
        <v>117</v>
      </c>
      <c r="L116" s="204" t="s">
        <v>5454</v>
      </c>
      <c r="M116" s="204"/>
      <c r="N116" s="271" t="s">
        <v>504</v>
      </c>
      <c r="O116" s="369"/>
      <c r="P116" s="40"/>
      <c r="Q116" s="226" t="s">
        <v>6</v>
      </c>
      <c r="R116" s="226" t="s">
        <v>6</v>
      </c>
      <c r="S116" s="226" t="s">
        <v>6</v>
      </c>
      <c r="T116" s="226"/>
      <c r="U116" s="202"/>
      <c r="V116" s="199" t="s">
        <v>2586</v>
      </c>
      <c r="W116" s="199" t="s">
        <v>133</v>
      </c>
      <c r="X116" s="199"/>
      <c r="Y116" s="199"/>
      <c r="Z116" s="226" t="s">
        <v>6</v>
      </c>
      <c r="AA116" s="226" t="s">
        <v>6</v>
      </c>
      <c r="AB116" s="207" t="s">
        <v>1100</v>
      </c>
      <c r="AC116" s="199"/>
      <c r="AD116" s="199"/>
      <c r="AE116" s="199"/>
      <c r="AF116" s="199"/>
      <c r="AG116" s="199"/>
      <c r="AH116" s="226"/>
      <c r="AI116" s="226"/>
      <c r="AJ116" s="207"/>
      <c r="AK116" s="199"/>
      <c r="AL116" s="199"/>
      <c r="AM116" s="199"/>
      <c r="AN116" s="199"/>
      <c r="AO116" s="199"/>
      <c r="AP116" s="199"/>
      <c r="AQ116" s="199"/>
      <c r="AR116" s="199"/>
      <c r="AS116" s="199"/>
      <c r="AT116" s="199"/>
      <c r="AU116" s="199"/>
      <c r="AV116" s="199"/>
      <c r="AW116" s="155"/>
    </row>
    <row r="117" spans="1:49" s="236" customFormat="1" ht="15">
      <c r="A117" s="415">
        <f t="shared" si="9"/>
        <v>111</v>
      </c>
      <c r="B117" s="199"/>
      <c r="C117" s="199"/>
      <c r="D117" s="199"/>
      <c r="E117" s="199"/>
      <c r="F117" s="199"/>
      <c r="G117" s="199"/>
      <c r="H117" s="199"/>
      <c r="I117" s="199"/>
      <c r="J117" s="217" t="s">
        <v>5455</v>
      </c>
      <c r="K117" s="199" t="s">
        <v>117</v>
      </c>
      <c r="L117" s="204" t="s">
        <v>5456</v>
      </c>
      <c r="M117" s="204"/>
      <c r="N117" s="271" t="s">
        <v>504</v>
      </c>
      <c r="O117" s="369"/>
      <c r="P117" s="40"/>
      <c r="Q117" s="226" t="s">
        <v>6</v>
      </c>
      <c r="R117" s="226" t="s">
        <v>6</v>
      </c>
      <c r="S117" s="226" t="s">
        <v>6</v>
      </c>
      <c r="T117" s="226"/>
      <c r="U117" s="202"/>
      <c r="V117" s="199" t="s">
        <v>2586</v>
      </c>
      <c r="W117" s="199" t="s">
        <v>133</v>
      </c>
      <c r="X117" s="199"/>
      <c r="Y117" s="199"/>
      <c r="Z117" s="226" t="s">
        <v>6</v>
      </c>
      <c r="AA117" s="226" t="s">
        <v>6</v>
      </c>
      <c r="AB117" s="207" t="s">
        <v>1100</v>
      </c>
      <c r="AC117" s="199"/>
      <c r="AD117" s="199"/>
      <c r="AE117" s="199"/>
      <c r="AF117" s="199"/>
      <c r="AG117" s="199"/>
      <c r="AH117" s="226"/>
      <c r="AI117" s="226"/>
      <c r="AJ117" s="207"/>
      <c r="AK117" s="199"/>
      <c r="AL117" s="199"/>
      <c r="AM117" s="199"/>
      <c r="AN117" s="199"/>
      <c r="AO117" s="199"/>
      <c r="AP117" s="199"/>
      <c r="AQ117" s="199"/>
      <c r="AR117" s="199"/>
      <c r="AS117" s="199"/>
      <c r="AT117" s="199"/>
      <c r="AU117" s="199"/>
      <c r="AV117" s="199"/>
      <c r="AW117" s="155"/>
    </row>
    <row r="118" spans="1:49" s="236" customFormat="1" ht="26.4">
      <c r="A118" s="415">
        <f t="shared" si="9"/>
        <v>112</v>
      </c>
      <c r="B118" s="199"/>
      <c r="C118" s="199"/>
      <c r="D118" s="199"/>
      <c r="E118" s="199"/>
      <c r="F118" s="199"/>
      <c r="G118" s="199"/>
      <c r="H118" s="199"/>
      <c r="I118" s="199"/>
      <c r="J118" s="215" t="s">
        <v>5457</v>
      </c>
      <c r="K118" s="199" t="s">
        <v>75</v>
      </c>
      <c r="L118" s="204" t="s">
        <v>2652</v>
      </c>
      <c r="M118" s="204"/>
      <c r="N118" s="271" t="s">
        <v>504</v>
      </c>
      <c r="O118" s="369"/>
      <c r="P118" s="126"/>
      <c r="Q118" s="226" t="s">
        <v>6</v>
      </c>
      <c r="R118" s="226" t="s">
        <v>6</v>
      </c>
      <c r="S118" s="226" t="s">
        <v>6</v>
      </c>
      <c r="T118" s="226"/>
      <c r="U118" s="202" t="s">
        <v>2653</v>
      </c>
      <c r="V118" s="201"/>
      <c r="W118" s="412" t="s">
        <v>75</v>
      </c>
      <c r="X118" s="199"/>
      <c r="Y118" s="199"/>
      <c r="Z118" s="226" t="s">
        <v>6</v>
      </c>
      <c r="AA118" s="226" t="s">
        <v>6</v>
      </c>
      <c r="AB118" s="207" t="s">
        <v>1100</v>
      </c>
      <c r="AC118" s="199"/>
      <c r="AD118" s="199"/>
      <c r="AE118" s="412"/>
      <c r="AF118" s="199"/>
      <c r="AG118" s="199"/>
      <c r="AH118" s="226"/>
      <c r="AI118" s="226"/>
      <c r="AJ118" s="207"/>
      <c r="AK118" s="199"/>
      <c r="AL118" s="199"/>
      <c r="AM118" s="199"/>
      <c r="AN118" s="199"/>
      <c r="AO118" s="199"/>
      <c r="AP118" s="199"/>
      <c r="AQ118" s="199"/>
      <c r="AR118" s="199"/>
      <c r="AS118" s="199"/>
      <c r="AT118" s="199"/>
      <c r="AU118" s="199"/>
      <c r="AV118" s="199"/>
      <c r="AW118" s="155"/>
    </row>
    <row r="119" spans="1:49" s="236" customFormat="1" ht="26.4">
      <c r="A119" s="415">
        <f t="shared" si="9"/>
        <v>113</v>
      </c>
      <c r="B119" s="199"/>
      <c r="C119" s="199"/>
      <c r="D119" s="199"/>
      <c r="E119" s="199"/>
      <c r="F119" s="199"/>
      <c r="G119" s="199"/>
      <c r="H119" s="199"/>
      <c r="I119" s="199"/>
      <c r="J119" s="215" t="s">
        <v>5458</v>
      </c>
      <c r="K119" s="199" t="s">
        <v>140</v>
      </c>
      <c r="L119" s="204" t="s">
        <v>5459</v>
      </c>
      <c r="M119" s="204"/>
      <c r="N119" s="271" t="s">
        <v>504</v>
      </c>
      <c r="O119" s="369"/>
      <c r="P119" s="126"/>
      <c r="Q119" s="226" t="s">
        <v>6</v>
      </c>
      <c r="R119" s="226" t="s">
        <v>6</v>
      </c>
      <c r="S119" s="226" t="s">
        <v>6</v>
      </c>
      <c r="T119" s="226"/>
      <c r="U119" s="202" t="s">
        <v>2653</v>
      </c>
      <c r="V119" s="201"/>
      <c r="W119" s="412" t="s">
        <v>140</v>
      </c>
      <c r="X119" s="199"/>
      <c r="Y119" s="199"/>
      <c r="Z119" s="226" t="s">
        <v>6</v>
      </c>
      <c r="AA119" s="226" t="s">
        <v>6</v>
      </c>
      <c r="AB119" s="207" t="s">
        <v>1100</v>
      </c>
      <c r="AC119" s="199"/>
      <c r="AD119" s="199"/>
      <c r="AE119" s="412"/>
      <c r="AF119" s="199"/>
      <c r="AG119" s="199"/>
      <c r="AH119" s="226"/>
      <c r="AI119" s="226"/>
      <c r="AJ119" s="207"/>
      <c r="AK119" s="199"/>
      <c r="AL119" s="199"/>
      <c r="AM119" s="199"/>
      <c r="AN119" s="199"/>
      <c r="AO119" s="199"/>
      <c r="AP119" s="199"/>
      <c r="AQ119" s="199"/>
      <c r="AR119" s="199"/>
      <c r="AS119" s="199"/>
      <c r="AT119" s="199"/>
      <c r="AU119" s="199"/>
      <c r="AV119" s="199"/>
      <c r="AW119" s="155"/>
    </row>
    <row r="120" spans="1:49" s="236" customFormat="1" ht="26.4">
      <c r="A120" s="415">
        <f t="shared" si="9"/>
        <v>114</v>
      </c>
      <c r="B120" s="199"/>
      <c r="C120" s="199"/>
      <c r="D120" s="199"/>
      <c r="E120" s="199"/>
      <c r="F120" s="199"/>
      <c r="G120" s="199"/>
      <c r="H120" s="199"/>
      <c r="I120" s="199"/>
      <c r="J120" s="215" t="s">
        <v>5460</v>
      </c>
      <c r="K120" s="199" t="s">
        <v>140</v>
      </c>
      <c r="L120" s="204" t="s">
        <v>5459</v>
      </c>
      <c r="M120" s="204"/>
      <c r="N120" s="271" t="s">
        <v>504</v>
      </c>
      <c r="O120" s="369"/>
      <c r="P120" s="126"/>
      <c r="Q120" s="226" t="s">
        <v>6</v>
      </c>
      <c r="R120" s="226" t="s">
        <v>6</v>
      </c>
      <c r="S120" s="226" t="s">
        <v>6</v>
      </c>
      <c r="T120" s="226"/>
      <c r="U120" s="202" t="s">
        <v>2653</v>
      </c>
      <c r="V120" s="201"/>
      <c r="W120" s="412" t="s">
        <v>140</v>
      </c>
      <c r="X120" s="199"/>
      <c r="Y120" s="199"/>
      <c r="Z120" s="226" t="s">
        <v>6</v>
      </c>
      <c r="AA120" s="226" t="s">
        <v>6</v>
      </c>
      <c r="AB120" s="207" t="s">
        <v>1100</v>
      </c>
      <c r="AC120" s="199"/>
      <c r="AD120" s="199"/>
      <c r="AE120" s="412"/>
      <c r="AF120" s="199"/>
      <c r="AG120" s="199"/>
      <c r="AH120" s="226"/>
      <c r="AI120" s="226"/>
      <c r="AJ120" s="207"/>
      <c r="AK120" s="199"/>
      <c r="AL120" s="199"/>
      <c r="AM120" s="199"/>
      <c r="AN120" s="199"/>
      <c r="AO120" s="199"/>
      <c r="AP120" s="199"/>
      <c r="AQ120" s="199"/>
      <c r="AR120" s="199"/>
      <c r="AS120" s="199"/>
      <c r="AT120" s="199"/>
      <c r="AU120" s="199"/>
      <c r="AV120" s="199"/>
      <c r="AW120" s="155"/>
    </row>
    <row r="121" spans="1:49" s="236" customFormat="1" ht="26.4">
      <c r="A121" s="415">
        <f t="shared" si="9"/>
        <v>115</v>
      </c>
      <c r="B121" s="199"/>
      <c r="C121" s="199"/>
      <c r="D121" s="199"/>
      <c r="E121" s="199"/>
      <c r="F121" s="199"/>
      <c r="G121" s="199"/>
      <c r="H121" s="199"/>
      <c r="I121" s="199"/>
      <c r="J121" s="215" t="s">
        <v>5461</v>
      </c>
      <c r="K121" s="199" t="s">
        <v>140</v>
      </c>
      <c r="L121" s="204" t="s">
        <v>5462</v>
      </c>
      <c r="M121" s="204"/>
      <c r="N121" s="271" t="s">
        <v>504</v>
      </c>
      <c r="O121" s="369"/>
      <c r="P121" s="126"/>
      <c r="Q121" s="226" t="s">
        <v>6</v>
      </c>
      <c r="R121" s="226" t="s">
        <v>6</v>
      </c>
      <c r="S121" s="226" t="s">
        <v>6</v>
      </c>
      <c r="T121" s="226"/>
      <c r="U121" s="202" t="s">
        <v>2653</v>
      </c>
      <c r="V121" s="201"/>
      <c r="W121" s="412" t="s">
        <v>140</v>
      </c>
      <c r="X121" s="199"/>
      <c r="Y121" s="199"/>
      <c r="Z121" s="226" t="s">
        <v>6</v>
      </c>
      <c r="AA121" s="226" t="s">
        <v>6</v>
      </c>
      <c r="AB121" s="207" t="s">
        <v>1100</v>
      </c>
      <c r="AC121" s="199"/>
      <c r="AD121" s="199"/>
      <c r="AE121" s="412"/>
      <c r="AF121" s="199"/>
      <c r="AG121" s="199"/>
      <c r="AH121" s="226"/>
      <c r="AI121" s="226"/>
      <c r="AJ121" s="207"/>
      <c r="AK121" s="199"/>
      <c r="AL121" s="199"/>
      <c r="AM121" s="199"/>
      <c r="AN121" s="199"/>
      <c r="AO121" s="199"/>
      <c r="AP121" s="199"/>
      <c r="AQ121" s="199"/>
      <c r="AR121" s="199"/>
      <c r="AS121" s="199"/>
      <c r="AT121" s="199"/>
      <c r="AU121" s="199"/>
      <c r="AV121" s="199"/>
      <c r="AW121" s="155"/>
    </row>
    <row r="122" spans="1:49" s="236" customFormat="1" ht="26.4">
      <c r="A122" s="415">
        <f t="shared" si="9"/>
        <v>116</v>
      </c>
      <c r="B122" s="199"/>
      <c r="C122" s="199"/>
      <c r="D122" s="199"/>
      <c r="E122" s="199"/>
      <c r="F122" s="199"/>
      <c r="G122" s="199"/>
      <c r="H122" s="199"/>
      <c r="I122" s="199"/>
      <c r="J122" s="215" t="s">
        <v>5463</v>
      </c>
      <c r="K122" s="199" t="s">
        <v>140</v>
      </c>
      <c r="L122" s="204" t="s">
        <v>5462</v>
      </c>
      <c r="M122" s="204"/>
      <c r="N122" s="271" t="s">
        <v>504</v>
      </c>
      <c r="O122" s="369"/>
      <c r="P122" s="126"/>
      <c r="Q122" s="226" t="s">
        <v>6</v>
      </c>
      <c r="R122" s="226" t="s">
        <v>6</v>
      </c>
      <c r="S122" s="226" t="s">
        <v>6</v>
      </c>
      <c r="T122" s="226"/>
      <c r="U122" s="202" t="s">
        <v>2653</v>
      </c>
      <c r="V122" s="201"/>
      <c r="W122" s="412" t="s">
        <v>140</v>
      </c>
      <c r="X122" s="199"/>
      <c r="Y122" s="199"/>
      <c r="Z122" s="226" t="s">
        <v>6</v>
      </c>
      <c r="AA122" s="226" t="s">
        <v>6</v>
      </c>
      <c r="AB122" s="207" t="s">
        <v>1100</v>
      </c>
      <c r="AC122" s="199"/>
      <c r="AD122" s="199"/>
      <c r="AE122" s="412"/>
      <c r="AF122" s="199"/>
      <c r="AG122" s="199"/>
      <c r="AH122" s="226"/>
      <c r="AI122" s="226"/>
      <c r="AJ122" s="207"/>
      <c r="AK122" s="199"/>
      <c r="AL122" s="199"/>
      <c r="AM122" s="199"/>
      <c r="AN122" s="199"/>
      <c r="AO122" s="199"/>
      <c r="AP122" s="199"/>
      <c r="AQ122" s="199"/>
      <c r="AR122" s="199"/>
      <c r="AS122" s="199"/>
      <c r="AT122" s="199"/>
      <c r="AU122" s="199"/>
      <c r="AV122" s="199"/>
      <c r="AW122" s="155"/>
    </row>
    <row r="123" spans="1:49" s="236" customFormat="1" ht="26.4">
      <c r="A123" s="415">
        <f t="shared" si="9"/>
        <v>117</v>
      </c>
      <c r="B123" s="199"/>
      <c r="C123" s="199"/>
      <c r="D123" s="199"/>
      <c r="E123" s="199"/>
      <c r="F123" s="199"/>
      <c r="G123" s="199"/>
      <c r="H123" s="199"/>
      <c r="I123" s="199"/>
      <c r="J123" s="215" t="s">
        <v>5464</v>
      </c>
      <c r="K123" s="412" t="s">
        <v>113</v>
      </c>
      <c r="L123" s="204" t="s">
        <v>2659</v>
      </c>
      <c r="M123" s="204"/>
      <c r="N123" s="271" t="s">
        <v>504</v>
      </c>
      <c r="O123" s="369"/>
      <c r="P123" s="126"/>
      <c r="Q123" s="226" t="s">
        <v>6</v>
      </c>
      <c r="R123" s="226" t="s">
        <v>6</v>
      </c>
      <c r="S123" s="226" t="s">
        <v>6</v>
      </c>
      <c r="T123" s="226"/>
      <c r="U123" s="202" t="s">
        <v>2653</v>
      </c>
      <c r="V123" s="201"/>
      <c r="W123" s="412" t="s">
        <v>113</v>
      </c>
      <c r="X123" s="199"/>
      <c r="Y123" s="199"/>
      <c r="Z123" s="226" t="s">
        <v>6</v>
      </c>
      <c r="AA123" s="226" t="s">
        <v>6</v>
      </c>
      <c r="AB123" s="207" t="s">
        <v>1100</v>
      </c>
      <c r="AC123" s="199"/>
      <c r="AD123" s="199"/>
      <c r="AE123" s="412"/>
      <c r="AF123" s="199"/>
      <c r="AG123" s="199"/>
      <c r="AH123" s="226"/>
      <c r="AI123" s="226"/>
      <c r="AJ123" s="207"/>
      <c r="AK123" s="199"/>
      <c r="AL123" s="199"/>
      <c r="AM123" s="199"/>
      <c r="AN123" s="199"/>
      <c r="AO123" s="199"/>
      <c r="AP123" s="199"/>
      <c r="AQ123" s="199"/>
      <c r="AR123" s="199"/>
      <c r="AS123" s="199"/>
      <c r="AT123" s="199"/>
      <c r="AU123" s="199"/>
      <c r="AV123" s="199"/>
      <c r="AW123" s="155"/>
    </row>
    <row r="124" spans="1:49" s="236" customFormat="1" ht="26.4">
      <c r="A124" s="415">
        <f t="shared" si="9"/>
        <v>118</v>
      </c>
      <c r="B124" s="199"/>
      <c r="C124" s="199"/>
      <c r="D124" s="199"/>
      <c r="E124" s="199"/>
      <c r="F124" s="199"/>
      <c r="G124" s="199"/>
      <c r="H124" s="199"/>
      <c r="I124" s="199"/>
      <c r="J124" s="215" t="s">
        <v>5465</v>
      </c>
      <c r="K124" s="199" t="s">
        <v>128</v>
      </c>
      <c r="L124" s="374" t="s">
        <v>2661</v>
      </c>
      <c r="M124" s="374"/>
      <c r="N124" s="271" t="s">
        <v>504</v>
      </c>
      <c r="O124" s="369"/>
      <c r="P124" s="126"/>
      <c r="Q124" s="226" t="s">
        <v>6</v>
      </c>
      <c r="R124" s="226" t="s">
        <v>6</v>
      </c>
      <c r="S124" s="226" t="s">
        <v>6</v>
      </c>
      <c r="T124" s="226"/>
      <c r="U124" s="202" t="s">
        <v>2653</v>
      </c>
      <c r="V124" s="204"/>
      <c r="W124" s="199" t="s">
        <v>128</v>
      </c>
      <c r="X124" s="199"/>
      <c r="Y124" s="199"/>
      <c r="Z124" s="226" t="s">
        <v>6</v>
      </c>
      <c r="AA124" s="226" t="s">
        <v>6</v>
      </c>
      <c r="AB124" s="207" t="s">
        <v>1100</v>
      </c>
      <c r="AC124" s="199"/>
      <c r="AD124" s="199"/>
      <c r="AE124" s="199"/>
      <c r="AF124" s="199"/>
      <c r="AG124" s="199"/>
      <c r="AH124" s="226"/>
      <c r="AI124" s="226"/>
      <c r="AJ124" s="207"/>
      <c r="AK124" s="199"/>
      <c r="AL124" s="199"/>
      <c r="AM124" s="199"/>
      <c r="AN124" s="199"/>
      <c r="AO124" s="199"/>
      <c r="AP124" s="199"/>
      <c r="AQ124" s="199"/>
      <c r="AR124" s="199"/>
      <c r="AS124" s="199"/>
      <c r="AT124" s="199"/>
      <c r="AU124" s="199"/>
      <c r="AV124" s="199"/>
      <c r="AW124" s="155"/>
    </row>
    <row r="125" spans="1:49" s="236" customFormat="1" ht="26.4">
      <c r="A125" s="415">
        <f t="shared" si="9"/>
        <v>119</v>
      </c>
      <c r="B125" s="199"/>
      <c r="C125" s="199"/>
      <c r="D125" s="199"/>
      <c r="E125" s="199"/>
      <c r="F125" s="199"/>
      <c r="G125" s="199"/>
      <c r="H125" s="199"/>
      <c r="I125" s="199"/>
      <c r="J125" s="215" t="s">
        <v>5466</v>
      </c>
      <c r="K125" s="199" t="s">
        <v>128</v>
      </c>
      <c r="L125" s="374" t="s">
        <v>2663</v>
      </c>
      <c r="M125" s="374"/>
      <c r="N125" s="271" t="s">
        <v>504</v>
      </c>
      <c r="O125" s="369"/>
      <c r="P125" s="126"/>
      <c r="Q125" s="226" t="s">
        <v>6</v>
      </c>
      <c r="R125" s="226" t="s">
        <v>6</v>
      </c>
      <c r="S125" s="226" t="s">
        <v>6</v>
      </c>
      <c r="T125" s="226"/>
      <c r="U125" s="202" t="s">
        <v>2653</v>
      </c>
      <c r="V125" s="204"/>
      <c r="W125" s="199" t="s">
        <v>128</v>
      </c>
      <c r="X125" s="199"/>
      <c r="Y125" s="199"/>
      <c r="Z125" s="226" t="s">
        <v>6</v>
      </c>
      <c r="AA125" s="226" t="s">
        <v>6</v>
      </c>
      <c r="AB125" s="207" t="s">
        <v>1100</v>
      </c>
      <c r="AC125" s="199"/>
      <c r="AD125" s="199"/>
      <c r="AE125" s="199"/>
      <c r="AF125" s="199"/>
      <c r="AG125" s="199"/>
      <c r="AH125" s="226"/>
      <c r="AI125" s="226"/>
      <c r="AJ125" s="207"/>
      <c r="AK125" s="199"/>
      <c r="AL125" s="199"/>
      <c r="AM125" s="199"/>
      <c r="AN125" s="199"/>
      <c r="AO125" s="199"/>
      <c r="AP125" s="199"/>
      <c r="AQ125" s="199"/>
      <c r="AR125" s="199"/>
      <c r="AS125" s="199"/>
      <c r="AT125" s="199"/>
      <c r="AU125" s="199"/>
      <c r="AV125" s="199"/>
      <c r="AW125" s="155"/>
    </row>
    <row r="126" spans="1:49" s="236" customFormat="1" ht="26.4">
      <c r="A126" s="415">
        <f t="shared" si="9"/>
        <v>120</v>
      </c>
      <c r="B126" s="199"/>
      <c r="C126" s="199"/>
      <c r="D126" s="199"/>
      <c r="E126" s="199"/>
      <c r="F126" s="199"/>
      <c r="G126" s="199"/>
      <c r="H126" s="199"/>
      <c r="I126" s="199"/>
      <c r="J126" s="215" t="s">
        <v>5467</v>
      </c>
      <c r="K126" s="199" t="s">
        <v>128</v>
      </c>
      <c r="L126" s="204" t="s">
        <v>703</v>
      </c>
      <c r="M126" s="204"/>
      <c r="N126" s="271" t="s">
        <v>504</v>
      </c>
      <c r="O126" s="369"/>
      <c r="P126" s="126"/>
      <c r="Q126" s="226" t="s">
        <v>6</v>
      </c>
      <c r="R126" s="226" t="s">
        <v>6</v>
      </c>
      <c r="S126" s="226" t="s">
        <v>6</v>
      </c>
      <c r="T126" s="226"/>
      <c r="U126" s="202" t="s">
        <v>2653</v>
      </c>
      <c r="V126" s="201"/>
      <c r="W126" s="199" t="s">
        <v>128</v>
      </c>
      <c r="X126" s="199"/>
      <c r="Y126" s="199"/>
      <c r="Z126" s="226" t="s">
        <v>6</v>
      </c>
      <c r="AA126" s="226" t="s">
        <v>6</v>
      </c>
      <c r="AB126" s="207" t="s">
        <v>1100</v>
      </c>
      <c r="AC126" s="199"/>
      <c r="AD126" s="199"/>
      <c r="AE126" s="199"/>
      <c r="AF126" s="199"/>
      <c r="AG126" s="199"/>
      <c r="AH126" s="226"/>
      <c r="AI126" s="226"/>
      <c r="AJ126" s="207"/>
      <c r="AK126" s="199"/>
      <c r="AL126" s="199"/>
      <c r="AM126" s="199"/>
      <c r="AN126" s="199"/>
      <c r="AO126" s="199"/>
      <c r="AP126" s="199"/>
      <c r="AQ126" s="199"/>
      <c r="AR126" s="199"/>
      <c r="AS126" s="199"/>
      <c r="AT126" s="199"/>
      <c r="AU126" s="199"/>
      <c r="AV126" s="199"/>
      <c r="AW126" s="155"/>
    </row>
    <row r="127" spans="1:49" s="236" customFormat="1" ht="26.4">
      <c r="A127" s="415">
        <f t="shared" si="9"/>
        <v>121</v>
      </c>
      <c r="B127" s="199"/>
      <c r="C127" s="199"/>
      <c r="D127" s="199"/>
      <c r="E127" s="199"/>
      <c r="F127" s="199"/>
      <c r="G127" s="199"/>
      <c r="H127" s="199"/>
      <c r="I127" s="199"/>
      <c r="J127" s="215" t="s">
        <v>5468</v>
      </c>
      <c r="K127" s="199" t="s">
        <v>117</v>
      </c>
      <c r="L127" s="204" t="s">
        <v>3983</v>
      </c>
      <c r="M127" s="204"/>
      <c r="N127" s="271" t="s">
        <v>504</v>
      </c>
      <c r="O127" s="369"/>
      <c r="P127" s="126"/>
      <c r="Q127" s="226" t="s">
        <v>6</v>
      </c>
      <c r="R127" s="226" t="s">
        <v>6</v>
      </c>
      <c r="S127" s="226" t="s">
        <v>6</v>
      </c>
      <c r="T127" s="226"/>
      <c r="U127" s="202" t="s">
        <v>2653</v>
      </c>
      <c r="V127" s="201"/>
      <c r="W127" s="199" t="s">
        <v>133</v>
      </c>
      <c r="X127" s="199"/>
      <c r="Y127" s="199"/>
      <c r="Z127" s="226" t="s">
        <v>6</v>
      </c>
      <c r="AA127" s="226" t="s">
        <v>6</v>
      </c>
      <c r="AB127" s="199" t="s">
        <v>1100</v>
      </c>
      <c r="AC127" s="199"/>
      <c r="AD127" s="199"/>
      <c r="AE127" s="199"/>
      <c r="AF127" s="199"/>
      <c r="AG127" s="199"/>
      <c r="AH127" s="226"/>
      <c r="AI127" s="226"/>
      <c r="AJ127" s="199"/>
      <c r="AK127" s="199"/>
      <c r="AL127" s="199"/>
      <c r="AM127" s="199"/>
      <c r="AN127" s="199"/>
      <c r="AO127" s="199"/>
      <c r="AP127" s="199"/>
      <c r="AQ127" s="199"/>
      <c r="AR127" s="199"/>
      <c r="AS127" s="199"/>
      <c r="AT127" s="199"/>
      <c r="AU127" s="199"/>
      <c r="AV127" s="199"/>
      <c r="AW127" s="155"/>
    </row>
    <row r="128" spans="1:49" s="236" customFormat="1" ht="26.4">
      <c r="A128" s="415">
        <f t="shared" si="9"/>
        <v>122</v>
      </c>
      <c r="B128" s="199"/>
      <c r="C128" s="199"/>
      <c r="D128" s="199"/>
      <c r="E128" s="199"/>
      <c r="F128" s="199"/>
      <c r="G128" s="199"/>
      <c r="H128" s="199"/>
      <c r="I128" s="199"/>
      <c r="J128" s="215" t="s">
        <v>5469</v>
      </c>
      <c r="K128" s="199" t="s">
        <v>117</v>
      </c>
      <c r="L128" s="204" t="s">
        <v>765</v>
      </c>
      <c r="M128" s="204"/>
      <c r="N128" s="271" t="s">
        <v>504</v>
      </c>
      <c r="O128" s="369"/>
      <c r="P128" s="126"/>
      <c r="Q128" s="226" t="s">
        <v>6</v>
      </c>
      <c r="R128" s="226" t="s">
        <v>6</v>
      </c>
      <c r="S128" s="226" t="s">
        <v>6</v>
      </c>
      <c r="T128" s="226"/>
      <c r="U128" s="202" t="s">
        <v>2653</v>
      </c>
      <c r="V128" s="201"/>
      <c r="W128" s="199" t="s">
        <v>133</v>
      </c>
      <c r="X128" s="199"/>
      <c r="Y128" s="199"/>
      <c r="Z128" s="226" t="s">
        <v>6</v>
      </c>
      <c r="AA128" s="226" t="s">
        <v>6</v>
      </c>
      <c r="AB128" s="199" t="s">
        <v>1100</v>
      </c>
      <c r="AC128" s="199"/>
      <c r="AD128" s="199"/>
      <c r="AE128" s="199"/>
      <c r="AF128" s="199"/>
      <c r="AG128" s="199"/>
      <c r="AH128" s="226"/>
      <c r="AI128" s="226"/>
      <c r="AJ128" s="199"/>
      <c r="AK128" s="199"/>
      <c r="AL128" s="199"/>
      <c r="AM128" s="199"/>
      <c r="AN128" s="199"/>
      <c r="AO128" s="199"/>
      <c r="AP128" s="199"/>
      <c r="AQ128" s="199"/>
      <c r="AR128" s="199"/>
      <c r="AS128" s="199"/>
      <c r="AT128" s="199"/>
      <c r="AU128" s="199"/>
      <c r="AV128" s="199"/>
      <c r="AW128" s="155"/>
    </row>
    <row r="129" spans="1:87" s="236" customFormat="1" ht="26.4">
      <c r="A129" s="415">
        <f t="shared" si="9"/>
        <v>123</v>
      </c>
      <c r="B129" s="199"/>
      <c r="C129" s="199"/>
      <c r="D129" s="199"/>
      <c r="E129" s="199"/>
      <c r="F129" s="199"/>
      <c r="G129" s="199"/>
      <c r="H129" s="199"/>
      <c r="I129" s="199"/>
      <c r="J129" s="215" t="s">
        <v>5470</v>
      </c>
      <c r="K129" s="199" t="s">
        <v>117</v>
      </c>
      <c r="L129" s="204" t="s">
        <v>767</v>
      </c>
      <c r="M129" s="204"/>
      <c r="N129" s="271" t="s">
        <v>504</v>
      </c>
      <c r="O129" s="369"/>
      <c r="P129" s="126"/>
      <c r="Q129" s="226" t="s">
        <v>6</v>
      </c>
      <c r="R129" s="226" t="s">
        <v>6</v>
      </c>
      <c r="S129" s="226" t="s">
        <v>6</v>
      </c>
      <c r="T129" s="226"/>
      <c r="U129" s="202" t="s">
        <v>2653</v>
      </c>
      <c r="V129" s="201"/>
      <c r="W129" s="199" t="s">
        <v>133</v>
      </c>
      <c r="X129" s="199"/>
      <c r="Y129" s="199"/>
      <c r="Z129" s="226" t="s">
        <v>6</v>
      </c>
      <c r="AA129" s="226" t="s">
        <v>6</v>
      </c>
      <c r="AB129" s="199" t="s">
        <v>1100</v>
      </c>
      <c r="AC129" s="199"/>
      <c r="AD129" s="199"/>
      <c r="AE129" s="199"/>
      <c r="AF129" s="199"/>
      <c r="AG129" s="199"/>
      <c r="AH129" s="226"/>
      <c r="AI129" s="226"/>
      <c r="AJ129" s="199"/>
      <c r="AK129" s="199"/>
      <c r="AL129" s="199"/>
      <c r="AM129" s="199"/>
      <c r="AN129" s="199"/>
      <c r="AO129" s="199"/>
      <c r="AP129" s="199"/>
      <c r="AQ129" s="199"/>
      <c r="AR129" s="199"/>
      <c r="AS129" s="199"/>
      <c r="AT129" s="199"/>
      <c r="AU129" s="199"/>
      <c r="AV129" s="199"/>
      <c r="AW129" s="155"/>
    </row>
    <row r="130" spans="1:87" s="236" customFormat="1" ht="26.4">
      <c r="A130" s="415">
        <f t="shared" si="9"/>
        <v>124</v>
      </c>
      <c r="B130" s="199"/>
      <c r="C130" s="199"/>
      <c r="D130" s="199"/>
      <c r="E130" s="199"/>
      <c r="F130" s="199"/>
      <c r="G130" s="199"/>
      <c r="H130" s="199"/>
      <c r="I130" s="199"/>
      <c r="J130" s="215" t="s">
        <v>5471</v>
      </c>
      <c r="K130" s="199" t="s">
        <v>117</v>
      </c>
      <c r="L130" s="204" t="s">
        <v>5472</v>
      </c>
      <c r="M130" s="204"/>
      <c r="N130" s="271" t="s">
        <v>504</v>
      </c>
      <c r="O130" s="369"/>
      <c r="P130" s="126"/>
      <c r="Q130" s="226" t="s">
        <v>6</v>
      </c>
      <c r="R130" s="226" t="s">
        <v>6</v>
      </c>
      <c r="S130" s="226" t="s">
        <v>6</v>
      </c>
      <c r="T130" s="226"/>
      <c r="U130" s="202" t="s">
        <v>2653</v>
      </c>
      <c r="V130" s="201"/>
      <c r="W130" s="199" t="s">
        <v>133</v>
      </c>
      <c r="X130" s="199"/>
      <c r="Y130" s="199"/>
      <c r="Z130" s="226" t="s">
        <v>6</v>
      </c>
      <c r="AA130" s="226" t="s">
        <v>6</v>
      </c>
      <c r="AB130" s="199" t="s">
        <v>1100</v>
      </c>
      <c r="AC130" s="199"/>
      <c r="AD130" s="199"/>
      <c r="AE130" s="199"/>
      <c r="AF130" s="199"/>
      <c r="AG130" s="199"/>
      <c r="AH130" s="226"/>
      <c r="AI130" s="226"/>
      <c r="AJ130" s="199"/>
      <c r="AK130" s="199"/>
      <c r="AL130" s="199"/>
      <c r="AM130" s="199"/>
      <c r="AN130" s="199"/>
      <c r="AO130" s="199"/>
      <c r="AP130" s="199"/>
      <c r="AQ130" s="199"/>
      <c r="AR130" s="199"/>
      <c r="AS130" s="199"/>
      <c r="AT130" s="199"/>
      <c r="AU130" s="199"/>
      <c r="AV130" s="199"/>
      <c r="AW130" s="155"/>
    </row>
    <row r="131" spans="1:87" s="236" customFormat="1" ht="26.4">
      <c r="A131" s="415">
        <f t="shared" si="9"/>
        <v>125</v>
      </c>
      <c r="B131" s="199"/>
      <c r="C131" s="199"/>
      <c r="D131" s="199"/>
      <c r="E131" s="199"/>
      <c r="F131" s="199"/>
      <c r="G131" s="199"/>
      <c r="H131" s="199"/>
      <c r="I131" s="199"/>
      <c r="J131" s="215" t="s">
        <v>5473</v>
      </c>
      <c r="K131" s="199" t="s">
        <v>117</v>
      </c>
      <c r="L131" s="204" t="s">
        <v>1990</v>
      </c>
      <c r="M131" s="204"/>
      <c r="N131" s="271" t="s">
        <v>504</v>
      </c>
      <c r="O131" s="369"/>
      <c r="P131" s="126"/>
      <c r="Q131" s="226" t="s">
        <v>6</v>
      </c>
      <c r="R131" s="226" t="s">
        <v>6</v>
      </c>
      <c r="S131" s="226" t="s">
        <v>6</v>
      </c>
      <c r="T131" s="226"/>
      <c r="U131" s="202" t="s">
        <v>2670</v>
      </c>
      <c r="V131" s="204"/>
      <c r="W131" s="199" t="s">
        <v>133</v>
      </c>
      <c r="X131" s="199"/>
      <c r="Y131" s="199"/>
      <c r="Z131" s="226" t="s">
        <v>6</v>
      </c>
      <c r="AA131" s="226" t="s">
        <v>6</v>
      </c>
      <c r="AB131" s="199" t="s">
        <v>1100</v>
      </c>
      <c r="AC131" s="199"/>
      <c r="AD131" s="199"/>
      <c r="AE131" s="199"/>
      <c r="AF131" s="199"/>
      <c r="AG131" s="199"/>
      <c r="AH131" s="226"/>
      <c r="AI131" s="226"/>
      <c r="AJ131" s="199"/>
      <c r="AK131" s="199"/>
      <c r="AL131" s="199"/>
      <c r="AM131" s="199"/>
      <c r="AN131" s="199"/>
      <c r="AO131" s="199"/>
      <c r="AP131" s="199"/>
      <c r="AQ131" s="199"/>
      <c r="AR131" s="199"/>
      <c r="AS131" s="199"/>
      <c r="AT131" s="199"/>
      <c r="AU131" s="199"/>
      <c r="AV131" s="199"/>
      <c r="AW131" s="155"/>
    </row>
    <row r="132" spans="1:87" s="236" customFormat="1" ht="26.4">
      <c r="A132" s="415">
        <f t="shared" si="9"/>
        <v>126</v>
      </c>
      <c r="B132" s="199"/>
      <c r="C132" s="199"/>
      <c r="D132" s="199"/>
      <c r="E132" s="199"/>
      <c r="F132" s="199"/>
      <c r="G132" s="199"/>
      <c r="H132" s="199"/>
      <c r="I132" s="199"/>
      <c r="J132" s="215" t="s">
        <v>5474</v>
      </c>
      <c r="K132" s="199" t="s">
        <v>117</v>
      </c>
      <c r="L132" s="204" t="s">
        <v>2645</v>
      </c>
      <c r="M132" s="204"/>
      <c r="N132" s="271" t="s">
        <v>504</v>
      </c>
      <c r="O132" s="369"/>
      <c r="P132" s="126"/>
      <c r="Q132" s="226" t="s">
        <v>6</v>
      </c>
      <c r="R132" s="226" t="s">
        <v>6</v>
      </c>
      <c r="S132" s="226" t="s">
        <v>6</v>
      </c>
      <c r="T132" s="226"/>
      <c r="U132" s="202" t="s">
        <v>2653</v>
      </c>
      <c r="V132" s="201"/>
      <c r="W132" s="199" t="s">
        <v>133</v>
      </c>
      <c r="X132" s="199"/>
      <c r="Y132" s="199"/>
      <c r="Z132" s="226" t="s">
        <v>6</v>
      </c>
      <c r="AA132" s="226" t="s">
        <v>6</v>
      </c>
      <c r="AB132" s="199" t="s">
        <v>1100</v>
      </c>
      <c r="AC132" s="199"/>
      <c r="AD132" s="199"/>
      <c r="AE132" s="199"/>
      <c r="AF132" s="199"/>
      <c r="AG132" s="199"/>
      <c r="AH132" s="226"/>
      <c r="AI132" s="226"/>
      <c r="AJ132" s="199"/>
      <c r="AK132" s="199"/>
      <c r="AL132" s="199"/>
      <c r="AM132" s="199"/>
      <c r="AN132" s="199"/>
      <c r="AO132" s="199"/>
      <c r="AP132" s="199"/>
      <c r="AQ132" s="199"/>
      <c r="AR132" s="199"/>
      <c r="AS132" s="199"/>
      <c r="AT132" s="199"/>
      <c r="AU132" s="199"/>
      <c r="AV132" s="199"/>
      <c r="AW132" s="155"/>
    </row>
    <row r="133" spans="1:87" s="236" customFormat="1" ht="26.4">
      <c r="A133" s="40">
        <f t="shared" si="9"/>
        <v>127</v>
      </c>
      <c r="B133" s="199"/>
      <c r="C133" s="199"/>
      <c r="D133" s="199"/>
      <c r="E133" s="199"/>
      <c r="F133" s="199"/>
      <c r="G133" s="199"/>
      <c r="H133" s="199"/>
      <c r="I133" s="199"/>
      <c r="J133" s="215" t="s">
        <v>5475</v>
      </c>
      <c r="K133" s="199" t="s">
        <v>117</v>
      </c>
      <c r="L133" s="204" t="s">
        <v>5476</v>
      </c>
      <c r="M133" s="204"/>
      <c r="N133" s="271" t="s">
        <v>504</v>
      </c>
      <c r="O133" s="369"/>
      <c r="P133" s="126"/>
      <c r="Q133" s="226" t="s">
        <v>6</v>
      </c>
      <c r="R133" s="226" t="s">
        <v>6</v>
      </c>
      <c r="S133" s="226" t="s">
        <v>6</v>
      </c>
      <c r="T133" s="226"/>
      <c r="U133" s="202" t="s">
        <v>2653</v>
      </c>
      <c r="V133" s="201"/>
      <c r="W133" s="199" t="s">
        <v>133</v>
      </c>
      <c r="X133" s="199"/>
      <c r="Y133" s="199"/>
      <c r="Z133" s="226" t="s">
        <v>6</v>
      </c>
      <c r="AA133" s="226" t="s">
        <v>6</v>
      </c>
      <c r="AB133" s="199" t="s">
        <v>1100</v>
      </c>
      <c r="AC133" s="199"/>
      <c r="AD133" s="199"/>
      <c r="AE133" s="199"/>
      <c r="AF133" s="199"/>
      <c r="AG133" s="199"/>
      <c r="AH133" s="226"/>
      <c r="AI133" s="226"/>
      <c r="AJ133" s="199"/>
      <c r="AK133" s="199"/>
      <c r="AL133" s="199"/>
      <c r="AM133" s="199"/>
      <c r="AN133" s="199"/>
      <c r="AO133" s="199"/>
      <c r="AP133" s="199"/>
      <c r="AQ133" s="199"/>
      <c r="AR133" s="199"/>
      <c r="AS133" s="199"/>
      <c r="AT133" s="199"/>
      <c r="AU133" s="199"/>
      <c r="AV133" s="199"/>
      <c r="AW133" s="155"/>
    </row>
    <row r="134" spans="1:87" s="236" customFormat="1" ht="15">
      <c r="A134" s="40">
        <f t="shared" si="9"/>
        <v>128</v>
      </c>
      <c r="B134" s="199"/>
      <c r="C134" s="199"/>
      <c r="D134" s="199"/>
      <c r="E134" s="199"/>
      <c r="F134" s="199"/>
      <c r="G134" s="199"/>
      <c r="H134" s="199"/>
      <c r="I134" s="199"/>
      <c r="J134" s="215" t="s">
        <v>5477</v>
      </c>
      <c r="K134" s="199" t="s">
        <v>117</v>
      </c>
      <c r="L134" s="204" t="s">
        <v>3970</v>
      </c>
      <c r="M134" s="204"/>
      <c r="N134" s="271" t="s">
        <v>504</v>
      </c>
      <c r="O134" s="369"/>
      <c r="P134" s="126"/>
      <c r="Q134" s="226" t="s">
        <v>6</v>
      </c>
      <c r="R134" s="226" t="s">
        <v>6</v>
      </c>
      <c r="S134" s="226" t="s">
        <v>6</v>
      </c>
      <c r="T134" s="226"/>
      <c r="U134" s="202" t="s">
        <v>3963</v>
      </c>
      <c r="V134" s="204"/>
      <c r="W134" s="199" t="s">
        <v>133</v>
      </c>
      <c r="X134" s="199"/>
      <c r="Y134" s="199"/>
      <c r="Z134" s="226" t="s">
        <v>6</v>
      </c>
      <c r="AA134" s="226" t="s">
        <v>6</v>
      </c>
      <c r="AB134" s="199" t="s">
        <v>1100</v>
      </c>
      <c r="AC134" s="199"/>
      <c r="AD134" s="199"/>
      <c r="AE134" s="199"/>
      <c r="AF134" s="199"/>
      <c r="AG134" s="199"/>
      <c r="AH134" s="226"/>
      <c r="AI134" s="226"/>
      <c r="AJ134" s="199"/>
      <c r="AK134" s="199"/>
      <c r="AL134" s="199"/>
      <c r="AM134" s="199"/>
      <c r="AN134" s="199"/>
      <c r="AO134" s="199"/>
      <c r="AP134" s="199"/>
      <c r="AQ134" s="199"/>
      <c r="AR134" s="199"/>
      <c r="AS134" s="199"/>
      <c r="AT134" s="199"/>
      <c r="AU134" s="199"/>
      <c r="AV134" s="199"/>
      <c r="AW134" s="155"/>
    </row>
    <row r="135" spans="1:87" s="236" customFormat="1" ht="15">
      <c r="A135" s="40">
        <f t="shared" si="9"/>
        <v>129</v>
      </c>
      <c r="B135" s="199"/>
      <c r="C135" s="199"/>
      <c r="D135" s="199"/>
      <c r="E135" s="199"/>
      <c r="F135" s="199"/>
      <c r="G135" s="199"/>
      <c r="H135" s="199"/>
      <c r="I135" s="199"/>
      <c r="J135" s="215" t="s">
        <v>5478</v>
      </c>
      <c r="K135" s="199" t="s">
        <v>117</v>
      </c>
      <c r="L135" s="204" t="s">
        <v>3979</v>
      </c>
      <c r="M135" s="204"/>
      <c r="N135" s="271" t="s">
        <v>504</v>
      </c>
      <c r="O135" s="369"/>
      <c r="P135" s="126"/>
      <c r="Q135" s="226" t="s">
        <v>6</v>
      </c>
      <c r="R135" s="226" t="s">
        <v>6</v>
      </c>
      <c r="S135" s="226" t="s">
        <v>6</v>
      </c>
      <c r="T135" s="226"/>
      <c r="U135" s="202" t="s">
        <v>3963</v>
      </c>
      <c r="V135" s="204"/>
      <c r="W135" s="199" t="s">
        <v>133</v>
      </c>
      <c r="X135" s="199"/>
      <c r="Y135" s="199"/>
      <c r="Z135" s="226" t="s">
        <v>6</v>
      </c>
      <c r="AA135" s="226" t="s">
        <v>6</v>
      </c>
      <c r="AB135" s="199" t="s">
        <v>1100</v>
      </c>
      <c r="AC135" s="199"/>
      <c r="AD135" s="199"/>
      <c r="AE135" s="199"/>
      <c r="AF135" s="199"/>
      <c r="AG135" s="199"/>
      <c r="AH135" s="226"/>
      <c r="AI135" s="226"/>
      <c r="AJ135" s="199"/>
      <c r="AK135" s="199"/>
      <c r="AL135" s="199"/>
      <c r="AM135" s="199"/>
      <c r="AN135" s="199"/>
      <c r="AO135" s="199"/>
      <c r="AP135" s="199"/>
      <c r="AQ135" s="199"/>
      <c r="AR135" s="199"/>
      <c r="AS135" s="199"/>
      <c r="AT135" s="199"/>
      <c r="AU135" s="199"/>
      <c r="AV135" s="199"/>
      <c r="AW135" s="155"/>
    </row>
    <row r="136" spans="1:87" s="155" customFormat="1" ht="26.4">
      <c r="A136" s="40">
        <f t="shared" si="9"/>
        <v>130</v>
      </c>
      <c r="B136" s="38"/>
      <c r="C136" s="42"/>
      <c r="D136" s="38"/>
      <c r="E136" s="46"/>
      <c r="F136" s="46"/>
      <c r="G136" s="46"/>
      <c r="H136" s="40"/>
      <c r="I136" s="40"/>
      <c r="J136" s="218" t="s">
        <v>5479</v>
      </c>
      <c r="K136" s="412" t="s">
        <v>117</v>
      </c>
      <c r="L136" s="204" t="s">
        <v>794</v>
      </c>
      <c r="M136" s="367"/>
      <c r="N136" s="416" t="s">
        <v>504</v>
      </c>
      <c r="O136" s="126"/>
      <c r="P136" s="126"/>
      <c r="Q136" s="416" t="s">
        <v>6</v>
      </c>
      <c r="R136" s="416" t="s">
        <v>6</v>
      </c>
      <c r="S136" s="40" t="s">
        <v>6</v>
      </c>
      <c r="T136" s="40"/>
      <c r="U136" s="202" t="s">
        <v>795</v>
      </c>
      <c r="V136" s="204"/>
      <c r="W136" s="199" t="s">
        <v>133</v>
      </c>
      <c r="X136" s="199"/>
      <c r="Y136" s="199"/>
      <c r="Z136" s="226" t="s">
        <v>6</v>
      </c>
      <c r="AA136" s="226" t="s">
        <v>6</v>
      </c>
      <c r="AB136" s="199" t="s">
        <v>1100</v>
      </c>
      <c r="AC136" s="415"/>
      <c r="AD136" s="415"/>
      <c r="AE136" s="199"/>
      <c r="AF136" s="199"/>
      <c r="AG136" s="199"/>
      <c r="AH136" s="226"/>
      <c r="AI136" s="226"/>
      <c r="AJ136" s="199"/>
      <c r="AK136" s="415"/>
      <c r="AL136" s="415"/>
      <c r="AM136" s="198"/>
      <c r="AN136" s="232"/>
      <c r="AO136" s="198"/>
      <c r="AP136" s="198"/>
      <c r="AQ136" s="198"/>
      <c r="AR136" s="198"/>
      <c r="AS136" s="198"/>
      <c r="AT136" s="198"/>
      <c r="AU136" s="198"/>
      <c r="AV136" s="40"/>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c r="BW136" s="14"/>
      <c r="BX136" s="14"/>
      <c r="BY136" s="14"/>
      <c r="BZ136" s="14"/>
      <c r="CA136" s="14"/>
      <c r="CB136" s="14"/>
      <c r="CC136" s="14"/>
      <c r="CD136" s="14"/>
      <c r="CE136" s="14"/>
      <c r="CF136" s="14"/>
      <c r="CG136" s="14"/>
      <c r="CH136" s="14"/>
      <c r="CI136" s="14"/>
    </row>
    <row r="137" spans="1:87" s="236" customFormat="1" ht="26.4">
      <c r="A137" s="40">
        <f t="shared" si="9"/>
        <v>131</v>
      </c>
      <c r="B137" s="199"/>
      <c r="C137" s="199"/>
      <c r="D137" s="199"/>
      <c r="E137" s="199"/>
      <c r="F137" s="199"/>
      <c r="G137" s="199"/>
      <c r="H137" s="199"/>
      <c r="I137" s="199"/>
      <c r="J137" s="218" t="s">
        <v>5480</v>
      </c>
      <c r="K137" s="204" t="s">
        <v>117</v>
      </c>
      <c r="L137" s="204" t="s">
        <v>793</v>
      </c>
      <c r="M137" s="204"/>
      <c r="N137" s="40" t="s">
        <v>504</v>
      </c>
      <c r="O137" s="126"/>
      <c r="P137" s="126"/>
      <c r="Q137" s="40" t="s">
        <v>6</v>
      </c>
      <c r="R137" s="40" t="s">
        <v>6</v>
      </c>
      <c r="S137" s="40" t="s">
        <v>6</v>
      </c>
      <c r="T137" s="126"/>
      <c r="U137" s="202" t="s">
        <v>1891</v>
      </c>
      <c r="V137" s="204"/>
      <c r="W137" s="215" t="s">
        <v>125</v>
      </c>
      <c r="X137" s="199"/>
      <c r="Y137" s="199"/>
      <c r="Z137" s="40"/>
      <c r="AA137" s="40" t="s">
        <v>6</v>
      </c>
      <c r="AB137" s="218"/>
      <c r="AC137" s="199"/>
      <c r="AD137" s="199"/>
      <c r="AE137" s="215"/>
      <c r="AF137" s="199"/>
      <c r="AG137" s="199"/>
      <c r="AH137" s="40"/>
      <c r="AI137" s="40" t="s">
        <v>6</v>
      </c>
      <c r="AJ137" s="218"/>
      <c r="AK137" s="199"/>
      <c r="AL137" s="199"/>
      <c r="AM137" s="199"/>
      <c r="AN137" s="199"/>
      <c r="AO137" s="199"/>
      <c r="AP137" s="199"/>
      <c r="AQ137" s="199"/>
      <c r="AR137" s="199"/>
      <c r="AS137" s="199"/>
      <c r="AT137" s="199"/>
      <c r="AU137" s="199"/>
      <c r="AV137" s="199"/>
      <c r="AW137" s="155"/>
    </row>
    <row r="138" spans="1:87" ht="15">
      <c r="A138" s="451">
        <f t="shared" si="9"/>
        <v>132</v>
      </c>
      <c r="B138" s="125"/>
      <c r="C138" s="125"/>
      <c r="D138" s="125"/>
      <c r="E138" s="125"/>
      <c r="F138" s="125"/>
      <c r="G138" s="125"/>
      <c r="H138" s="125"/>
      <c r="I138" s="125"/>
      <c r="J138" s="465" t="s">
        <v>858</v>
      </c>
      <c r="K138" s="143"/>
      <c r="L138" s="143"/>
      <c r="M138" s="143"/>
      <c r="N138" s="539"/>
      <c r="O138" s="139"/>
      <c r="P138" s="139"/>
      <c r="Q138" s="139"/>
      <c r="R138" s="139"/>
      <c r="S138" s="139"/>
      <c r="T138" s="139"/>
      <c r="U138" s="572"/>
      <c r="V138" s="354"/>
      <c r="W138" s="143"/>
      <c r="X138" s="143"/>
      <c r="Y138" s="143"/>
      <c r="Z138" s="143"/>
      <c r="AA138" s="143"/>
      <c r="AB138" s="355"/>
      <c r="AC138" s="143"/>
      <c r="AD138" s="143"/>
      <c r="AE138" s="143"/>
      <c r="AF138" s="143"/>
      <c r="AG138" s="143"/>
      <c r="AH138" s="143"/>
      <c r="AI138" s="143"/>
      <c r="AJ138" s="355"/>
      <c r="AK138" s="143"/>
      <c r="AL138" s="143"/>
      <c r="AM138" s="143"/>
      <c r="AN138" s="143"/>
      <c r="AO138" s="143"/>
      <c r="AP138" s="143"/>
      <c r="AQ138" s="143"/>
      <c r="AR138" s="143"/>
      <c r="AS138" s="143"/>
      <c r="AT138" s="143"/>
      <c r="AU138" s="143"/>
      <c r="AV138" s="143"/>
      <c r="AW138" s="155">
        <f t="shared" si="5"/>
        <v>0</v>
      </c>
    </row>
    <row r="139" spans="1:87" s="236" customFormat="1" ht="15">
      <c r="A139" s="40">
        <f t="shared" si="9"/>
        <v>133</v>
      </c>
      <c r="B139" s="199"/>
      <c r="C139" s="199"/>
      <c r="D139" s="199"/>
      <c r="E139" s="199"/>
      <c r="F139" s="199"/>
      <c r="G139" s="199"/>
      <c r="H139" s="199"/>
      <c r="I139" s="199"/>
      <c r="J139" s="217" t="s">
        <v>2546</v>
      </c>
      <c r="K139" s="199"/>
      <c r="L139" s="204" t="s">
        <v>2547</v>
      </c>
      <c r="M139" s="204"/>
      <c r="N139" s="40" t="s">
        <v>221</v>
      </c>
      <c r="O139" s="202" t="s">
        <v>861</v>
      </c>
      <c r="P139" s="202"/>
      <c r="Q139" s="202" t="s">
        <v>6</v>
      </c>
      <c r="R139" s="202"/>
      <c r="S139" s="202"/>
      <c r="T139" s="226" t="s">
        <v>6</v>
      </c>
      <c r="U139" s="203" t="s">
        <v>2548</v>
      </c>
      <c r="V139" s="201"/>
      <c r="W139" s="199"/>
      <c r="X139" s="202" t="s">
        <v>861</v>
      </c>
      <c r="Y139" s="199"/>
      <c r="Z139" s="199"/>
      <c r="AA139" s="40"/>
      <c r="AB139" s="207" t="s">
        <v>1100</v>
      </c>
      <c r="AC139" s="199"/>
      <c r="AD139" s="199"/>
      <c r="AE139" s="199"/>
      <c r="AF139" s="202"/>
      <c r="AG139" s="199"/>
      <c r="AH139" s="199"/>
      <c r="AI139" s="40"/>
      <c r="AJ139" s="207"/>
      <c r="AK139" s="199"/>
      <c r="AL139" s="199"/>
      <c r="AM139" s="199"/>
      <c r="AN139" s="199"/>
      <c r="AO139" s="199"/>
      <c r="AP139" s="199"/>
      <c r="AQ139" s="199"/>
      <c r="AR139" s="199"/>
      <c r="AS139" s="199"/>
      <c r="AT139" s="199"/>
      <c r="AU139" s="199"/>
      <c r="AV139" s="199"/>
      <c r="AW139" s="155">
        <f t="shared" si="5"/>
        <v>15</v>
      </c>
    </row>
    <row r="140" spans="1:87" s="236" customFormat="1" ht="15">
      <c r="A140" s="40">
        <f t="shared" si="9"/>
        <v>134</v>
      </c>
      <c r="B140" s="199"/>
      <c r="C140" s="199"/>
      <c r="D140" s="199"/>
      <c r="E140" s="199"/>
      <c r="F140" s="199"/>
      <c r="G140" s="199"/>
      <c r="H140" s="199"/>
      <c r="I140" s="199"/>
      <c r="J140" s="217" t="s">
        <v>2723</v>
      </c>
      <c r="K140" s="199"/>
      <c r="L140" s="204" t="s">
        <v>2724</v>
      </c>
      <c r="M140" s="204"/>
      <c r="N140" s="40" t="s">
        <v>221</v>
      </c>
      <c r="O140" s="202" t="s">
        <v>861</v>
      </c>
      <c r="P140" s="202"/>
      <c r="Q140" s="202" t="s">
        <v>6</v>
      </c>
      <c r="R140" s="202"/>
      <c r="S140" s="202"/>
      <c r="T140" s="226" t="s">
        <v>6</v>
      </c>
      <c r="U140" s="203" t="s">
        <v>2725</v>
      </c>
      <c r="V140" s="201"/>
      <c r="W140" s="199"/>
      <c r="X140" s="202" t="s">
        <v>861</v>
      </c>
      <c r="Y140" s="199"/>
      <c r="Z140" s="199"/>
      <c r="AA140" s="40"/>
      <c r="AB140" s="207" t="s">
        <v>1100</v>
      </c>
      <c r="AC140" s="199"/>
      <c r="AD140" s="199"/>
      <c r="AE140" s="199"/>
      <c r="AF140" s="202"/>
      <c r="AG140" s="199"/>
      <c r="AH140" s="199"/>
      <c r="AI140" s="40"/>
      <c r="AJ140" s="207"/>
      <c r="AK140" s="199"/>
      <c r="AL140" s="199"/>
      <c r="AM140" s="199"/>
      <c r="AN140" s="199"/>
      <c r="AO140" s="199"/>
      <c r="AP140" s="199"/>
      <c r="AQ140" s="199"/>
      <c r="AR140" s="199"/>
      <c r="AS140" s="199"/>
      <c r="AT140" s="199"/>
      <c r="AU140" s="199"/>
      <c r="AV140" s="199"/>
      <c r="AW140" s="155">
        <f t="shared" si="5"/>
        <v>15</v>
      </c>
    </row>
    <row r="141" spans="1:87" s="236" customFormat="1" ht="15">
      <c r="A141" s="40">
        <f t="shared" si="9"/>
        <v>135</v>
      </c>
      <c r="B141" s="199"/>
      <c r="C141" s="199"/>
      <c r="D141" s="199"/>
      <c r="E141" s="199"/>
      <c r="F141" s="199"/>
      <c r="G141" s="199"/>
      <c r="H141" s="199"/>
      <c r="I141" s="199"/>
      <c r="J141" s="215" t="s">
        <v>2651</v>
      </c>
      <c r="K141" s="199"/>
      <c r="L141" s="204" t="s">
        <v>2652</v>
      </c>
      <c r="M141" s="204"/>
      <c r="N141" s="40" t="s">
        <v>242</v>
      </c>
      <c r="O141" s="202" t="s">
        <v>861</v>
      </c>
      <c r="P141" s="126"/>
      <c r="Q141" s="40" t="s">
        <v>6</v>
      </c>
      <c r="R141" s="126"/>
      <c r="S141" s="126"/>
      <c r="T141" s="226" t="s">
        <v>6</v>
      </c>
      <c r="U141" s="203"/>
      <c r="V141" s="201"/>
      <c r="W141" s="199"/>
      <c r="X141" s="202" t="s">
        <v>861</v>
      </c>
      <c r="Y141" s="199"/>
      <c r="Z141" s="199"/>
      <c r="AA141" s="40"/>
      <c r="AB141" s="207" t="s">
        <v>1100</v>
      </c>
      <c r="AC141" s="199"/>
      <c r="AD141" s="199"/>
      <c r="AE141" s="199"/>
      <c r="AF141" s="202"/>
      <c r="AG141" s="199"/>
      <c r="AH141" s="199"/>
      <c r="AI141" s="40"/>
      <c r="AJ141" s="207"/>
      <c r="AK141" s="199"/>
      <c r="AL141" s="199"/>
      <c r="AM141" s="199"/>
      <c r="AN141" s="199"/>
      <c r="AO141" s="199"/>
      <c r="AP141" s="199"/>
      <c r="AQ141" s="199"/>
      <c r="AR141" s="199"/>
      <c r="AS141" s="199"/>
      <c r="AT141" s="199"/>
      <c r="AU141" s="199"/>
      <c r="AV141" s="199"/>
      <c r="AW141" s="155">
        <f>LEN(L141)</f>
        <v>33</v>
      </c>
    </row>
    <row r="142" spans="1:87" s="236" customFormat="1" ht="15">
      <c r="A142" s="40">
        <f t="shared" si="9"/>
        <v>136</v>
      </c>
      <c r="B142" s="199"/>
      <c r="C142" s="199"/>
      <c r="D142" s="199"/>
      <c r="E142" s="199"/>
      <c r="F142" s="199"/>
      <c r="G142" s="199"/>
      <c r="H142" s="199"/>
      <c r="I142" s="199"/>
      <c r="J142" s="215" t="s">
        <v>2654</v>
      </c>
      <c r="K142" s="199"/>
      <c r="L142" s="204" t="s">
        <v>2655</v>
      </c>
      <c r="M142" s="204"/>
      <c r="N142" s="40" t="s">
        <v>242</v>
      </c>
      <c r="O142" s="202" t="s">
        <v>861</v>
      </c>
      <c r="P142" s="126"/>
      <c r="Q142" s="40" t="s">
        <v>6</v>
      </c>
      <c r="R142" s="126"/>
      <c r="S142" s="126"/>
      <c r="T142" s="226" t="s">
        <v>6</v>
      </c>
      <c r="U142" s="203"/>
      <c r="V142" s="201"/>
      <c r="W142" s="199"/>
      <c r="X142" s="202" t="s">
        <v>861</v>
      </c>
      <c r="Y142" s="199"/>
      <c r="Z142" s="199"/>
      <c r="AA142" s="40"/>
      <c r="AB142" s="207" t="s">
        <v>1100</v>
      </c>
      <c r="AC142" s="199"/>
      <c r="AD142" s="199"/>
      <c r="AE142" s="199"/>
      <c r="AF142" s="202"/>
      <c r="AG142" s="199"/>
      <c r="AH142" s="199"/>
      <c r="AI142" s="40"/>
      <c r="AJ142" s="207"/>
      <c r="AK142" s="199"/>
      <c r="AL142" s="199"/>
      <c r="AM142" s="199"/>
      <c r="AN142" s="199"/>
      <c r="AO142" s="199"/>
      <c r="AP142" s="199"/>
      <c r="AQ142" s="199"/>
      <c r="AR142" s="199"/>
      <c r="AS142" s="199"/>
      <c r="AT142" s="199"/>
      <c r="AU142" s="199"/>
      <c r="AV142" s="199"/>
      <c r="AW142" s="155">
        <f>LEN(L142)</f>
        <v>29</v>
      </c>
    </row>
    <row r="143" spans="1:87" s="236" customFormat="1" ht="15">
      <c r="A143" s="40">
        <f t="shared" si="9"/>
        <v>137</v>
      </c>
      <c r="B143" s="199"/>
      <c r="C143" s="199"/>
      <c r="D143" s="199"/>
      <c r="E143" s="199"/>
      <c r="F143" s="199"/>
      <c r="G143" s="199"/>
      <c r="H143" s="199"/>
      <c r="I143" s="199"/>
      <c r="J143" s="215" t="s">
        <v>2656</v>
      </c>
      <c r="K143" s="199"/>
      <c r="L143" s="204" t="s">
        <v>2657</v>
      </c>
      <c r="M143" s="204"/>
      <c r="N143" s="40" t="s">
        <v>242</v>
      </c>
      <c r="O143" s="202" t="s">
        <v>861</v>
      </c>
      <c r="P143" s="126"/>
      <c r="Q143" s="40" t="s">
        <v>6</v>
      </c>
      <c r="R143" s="126"/>
      <c r="S143" s="126"/>
      <c r="T143" s="226" t="s">
        <v>6</v>
      </c>
      <c r="U143" s="203"/>
      <c r="V143" s="201"/>
      <c r="W143" s="199"/>
      <c r="X143" s="202" t="s">
        <v>861</v>
      </c>
      <c r="Y143" s="199"/>
      <c r="Z143" s="199"/>
      <c r="AA143" s="40"/>
      <c r="AB143" s="207" t="s">
        <v>1100</v>
      </c>
      <c r="AC143" s="199"/>
      <c r="AD143" s="199"/>
      <c r="AE143" s="199"/>
      <c r="AF143" s="202"/>
      <c r="AG143" s="199"/>
      <c r="AH143" s="199"/>
      <c r="AI143" s="40"/>
      <c r="AJ143" s="207"/>
      <c r="AK143" s="199"/>
      <c r="AL143" s="199"/>
      <c r="AM143" s="199"/>
      <c r="AN143" s="199"/>
      <c r="AO143" s="199"/>
      <c r="AP143" s="199"/>
      <c r="AQ143" s="199"/>
      <c r="AR143" s="199"/>
      <c r="AS143" s="199"/>
      <c r="AT143" s="199"/>
      <c r="AU143" s="199"/>
      <c r="AV143" s="199"/>
      <c r="AW143" s="155">
        <f>LEN(L143)</f>
        <v>30</v>
      </c>
    </row>
    <row r="144" spans="1:87" s="236" customFormat="1" ht="15">
      <c r="A144" s="40">
        <f t="shared" si="9"/>
        <v>138</v>
      </c>
      <c r="B144" s="199"/>
      <c r="C144" s="199"/>
      <c r="D144" s="199"/>
      <c r="E144" s="199"/>
      <c r="F144" s="199"/>
      <c r="G144" s="199"/>
      <c r="H144" s="199"/>
      <c r="I144" s="199"/>
      <c r="J144" s="215" t="s">
        <v>2658</v>
      </c>
      <c r="K144" s="199"/>
      <c r="L144" s="204" t="s">
        <v>2659</v>
      </c>
      <c r="M144" s="204"/>
      <c r="N144" s="40" t="s">
        <v>234</v>
      </c>
      <c r="O144" s="202" t="s">
        <v>861</v>
      </c>
      <c r="P144" s="126"/>
      <c r="Q144" s="40" t="s">
        <v>6</v>
      </c>
      <c r="R144" s="126"/>
      <c r="S144" s="126"/>
      <c r="T144" s="226" t="s">
        <v>6</v>
      </c>
      <c r="U144" s="203"/>
      <c r="V144" s="201"/>
      <c r="W144" s="199"/>
      <c r="X144" s="202" t="s">
        <v>861</v>
      </c>
      <c r="Y144" s="199"/>
      <c r="Z144" s="199"/>
      <c r="AA144" s="40"/>
      <c r="AB144" s="207" t="s">
        <v>1100</v>
      </c>
      <c r="AC144" s="199"/>
      <c r="AD144" s="199"/>
      <c r="AE144" s="199"/>
      <c r="AF144" s="202"/>
      <c r="AG144" s="199"/>
      <c r="AH144" s="199"/>
      <c r="AI144" s="40"/>
      <c r="AJ144" s="207"/>
      <c r="AK144" s="199"/>
      <c r="AL144" s="199"/>
      <c r="AM144" s="199"/>
      <c r="AN144" s="199"/>
      <c r="AO144" s="199"/>
      <c r="AP144" s="199"/>
      <c r="AQ144" s="199"/>
      <c r="AR144" s="199"/>
      <c r="AS144" s="199"/>
      <c r="AT144" s="199"/>
      <c r="AU144" s="199"/>
      <c r="AV144" s="199"/>
      <c r="AW144" s="155">
        <f>LEN(L144)</f>
        <v>35</v>
      </c>
    </row>
    <row r="145" spans="1:49" s="236" customFormat="1" ht="15">
      <c r="A145" s="40">
        <f t="shared" si="9"/>
        <v>139</v>
      </c>
      <c r="B145" s="199"/>
      <c r="C145" s="199"/>
      <c r="D145" s="199"/>
      <c r="E145" s="199"/>
      <c r="F145" s="199"/>
      <c r="G145" s="199"/>
      <c r="H145" s="199"/>
      <c r="I145" s="199"/>
      <c r="J145" s="217" t="s">
        <v>2580</v>
      </c>
      <c r="K145" s="199"/>
      <c r="L145" s="204" t="s">
        <v>2581</v>
      </c>
      <c r="M145" s="204"/>
      <c r="N145" s="40" t="s">
        <v>242</v>
      </c>
      <c r="O145" s="202" t="s">
        <v>861</v>
      </c>
      <c r="P145" s="126"/>
      <c r="Q145" s="40" t="s">
        <v>6</v>
      </c>
      <c r="R145" s="126"/>
      <c r="S145" s="126"/>
      <c r="T145" s="226" t="s">
        <v>6</v>
      </c>
      <c r="U145" s="203"/>
      <c r="V145" s="201"/>
      <c r="W145" s="199"/>
      <c r="X145" s="202" t="s">
        <v>861</v>
      </c>
      <c r="Y145" s="199"/>
      <c r="Z145" s="199"/>
      <c r="AA145" s="40"/>
      <c r="AB145" s="207" t="s">
        <v>1100</v>
      </c>
      <c r="AC145" s="199"/>
      <c r="AD145" s="199"/>
      <c r="AE145" s="199"/>
      <c r="AF145" s="202"/>
      <c r="AG145" s="199"/>
      <c r="AH145" s="199"/>
      <c r="AI145" s="40"/>
      <c r="AJ145" s="207"/>
      <c r="AK145" s="199"/>
      <c r="AL145" s="199"/>
      <c r="AM145" s="199"/>
      <c r="AN145" s="199"/>
      <c r="AO145" s="199"/>
      <c r="AP145" s="199"/>
      <c r="AQ145" s="199"/>
      <c r="AR145" s="199"/>
      <c r="AS145" s="199"/>
      <c r="AT145" s="199"/>
      <c r="AU145" s="199"/>
      <c r="AV145" s="199"/>
      <c r="AW145" s="155">
        <f t="shared" si="5"/>
        <v>35</v>
      </c>
    </row>
    <row r="146" spans="1:49" s="20" customFormat="1">
      <c r="A146" s="13">
        <f t="shared" si="9"/>
        <v>140</v>
      </c>
      <c r="B146" s="59"/>
      <c r="C146" s="59"/>
      <c r="D146" s="59"/>
      <c r="E146" s="59"/>
      <c r="F146" s="59"/>
      <c r="G146" s="59"/>
      <c r="H146" s="59"/>
      <c r="I146" s="59"/>
      <c r="J146" s="217" t="s">
        <v>2576</v>
      </c>
      <c r="K146" s="59"/>
      <c r="L146" s="220" t="s">
        <v>2726</v>
      </c>
      <c r="M146" s="220"/>
      <c r="N146" s="40" t="s">
        <v>441</v>
      </c>
      <c r="O146" s="202" t="s">
        <v>861</v>
      </c>
      <c r="P146" s="126"/>
      <c r="Q146" s="40" t="s">
        <v>6</v>
      </c>
      <c r="R146" s="126"/>
      <c r="S146" s="126"/>
      <c r="T146" s="226" t="s">
        <v>6</v>
      </c>
      <c r="U146" s="203"/>
      <c r="V146" s="219"/>
      <c r="W146" s="59"/>
      <c r="X146" s="259" t="s">
        <v>861</v>
      </c>
      <c r="Y146" s="59"/>
      <c r="Z146" s="59"/>
      <c r="AA146" s="59"/>
      <c r="AB146" s="258" t="s">
        <v>1100</v>
      </c>
      <c r="AC146" s="59"/>
      <c r="AD146" s="59"/>
      <c r="AE146" s="59"/>
      <c r="AF146" s="259"/>
      <c r="AG146" s="59"/>
      <c r="AH146" s="59"/>
      <c r="AI146" s="59"/>
      <c r="AJ146" s="258"/>
      <c r="AK146" s="59"/>
      <c r="AL146" s="59"/>
      <c r="AM146" s="59"/>
      <c r="AN146" s="59"/>
      <c r="AO146" s="59"/>
      <c r="AP146" s="59"/>
      <c r="AQ146" s="59"/>
      <c r="AR146" s="59"/>
      <c r="AS146" s="59"/>
      <c r="AT146" s="59"/>
      <c r="AU146" s="59"/>
      <c r="AV146" s="59"/>
    </row>
    <row r="147" spans="1:49" s="236" customFormat="1" ht="15">
      <c r="A147" s="40">
        <f t="shared" si="9"/>
        <v>141</v>
      </c>
      <c r="B147" s="199"/>
      <c r="C147" s="199"/>
      <c r="D147" s="199"/>
      <c r="E147" s="199"/>
      <c r="F147" s="199"/>
      <c r="G147" s="199"/>
      <c r="H147" s="199"/>
      <c r="I147" s="199"/>
      <c r="J147" s="217" t="s">
        <v>2631</v>
      </c>
      <c r="K147" s="199"/>
      <c r="L147" s="204" t="s">
        <v>2632</v>
      </c>
      <c r="M147" s="204"/>
      <c r="N147" s="40" t="s">
        <v>256</v>
      </c>
      <c r="O147" s="202" t="s">
        <v>862</v>
      </c>
      <c r="P147" s="126"/>
      <c r="Q147" s="40" t="s">
        <v>6</v>
      </c>
      <c r="R147" s="126"/>
      <c r="S147" s="126"/>
      <c r="T147" s="226" t="s">
        <v>6</v>
      </c>
      <c r="U147" s="203"/>
      <c r="V147" s="201"/>
      <c r="W147" s="199"/>
      <c r="X147" s="202" t="s">
        <v>862</v>
      </c>
      <c r="Y147" s="199"/>
      <c r="Z147" s="199"/>
      <c r="AA147" s="199"/>
      <c r="AB147" s="207" t="s">
        <v>1100</v>
      </c>
      <c r="AC147" s="199"/>
      <c r="AD147" s="199"/>
      <c r="AE147" s="199"/>
      <c r="AF147" s="202"/>
      <c r="AG147" s="199"/>
      <c r="AH147" s="199"/>
      <c r="AI147" s="199"/>
      <c r="AJ147" s="207"/>
      <c r="AK147" s="199"/>
      <c r="AL147" s="199"/>
      <c r="AM147" s="199"/>
      <c r="AN147" s="199"/>
      <c r="AO147" s="199"/>
      <c r="AP147" s="199"/>
      <c r="AQ147" s="199"/>
      <c r="AR147" s="199"/>
      <c r="AS147" s="199"/>
      <c r="AT147" s="199"/>
      <c r="AU147" s="199"/>
      <c r="AV147" s="199"/>
      <c r="AW147" s="155">
        <f t="shared" ref="AW147:AW207" si="10">LEN(L147)</f>
        <v>28</v>
      </c>
    </row>
    <row r="148" spans="1:49" s="236" customFormat="1" ht="15">
      <c r="A148" s="415">
        <f t="shared" ref="A148:A152" si="11">ROW() - 6</f>
        <v>142</v>
      </c>
      <c r="B148" s="199"/>
      <c r="C148" s="199"/>
      <c r="D148" s="199"/>
      <c r="E148" s="199"/>
      <c r="F148" s="199"/>
      <c r="G148" s="199"/>
      <c r="H148" s="199"/>
      <c r="I148" s="199"/>
      <c r="J148" s="217" t="s">
        <v>5439</v>
      </c>
      <c r="K148" s="217"/>
      <c r="L148" s="367" t="s">
        <v>5440</v>
      </c>
      <c r="M148" s="367"/>
      <c r="N148" s="126" t="s">
        <v>221</v>
      </c>
      <c r="O148" s="202" t="s">
        <v>861</v>
      </c>
      <c r="P148" s="202"/>
      <c r="Q148" s="202"/>
      <c r="R148" s="202"/>
      <c r="S148" s="202"/>
      <c r="T148" s="226"/>
      <c r="U148" s="203"/>
      <c r="V148" s="201"/>
      <c r="W148" s="217"/>
      <c r="X148" s="202" t="s">
        <v>861</v>
      </c>
      <c r="Y148" s="199"/>
      <c r="Z148" s="199"/>
      <c r="AA148" s="40"/>
      <c r="AB148" s="207" t="s">
        <v>1100</v>
      </c>
      <c r="AC148" s="199"/>
      <c r="AD148" s="199"/>
      <c r="AE148" s="217"/>
      <c r="AF148" s="202"/>
      <c r="AG148" s="199"/>
      <c r="AH148" s="199"/>
      <c r="AI148" s="40"/>
      <c r="AJ148" s="207"/>
      <c r="AK148" s="199"/>
      <c r="AL148" s="199"/>
      <c r="AM148" s="199"/>
      <c r="AN148" s="199"/>
      <c r="AO148" s="199"/>
      <c r="AP148" s="199"/>
      <c r="AQ148" s="199"/>
      <c r="AR148" s="199"/>
      <c r="AS148" s="199"/>
      <c r="AT148" s="199"/>
      <c r="AU148" s="199"/>
      <c r="AV148" s="199"/>
      <c r="AW148" s="155"/>
    </row>
    <row r="149" spans="1:49" s="236" customFormat="1" ht="15">
      <c r="A149" s="415">
        <f t="shared" si="11"/>
        <v>143</v>
      </c>
      <c r="B149" s="199"/>
      <c r="C149" s="199"/>
      <c r="D149" s="199"/>
      <c r="E149" s="199"/>
      <c r="F149" s="199"/>
      <c r="G149" s="199"/>
      <c r="H149" s="199"/>
      <c r="I149" s="199"/>
      <c r="J149" s="215" t="s">
        <v>5457</v>
      </c>
      <c r="K149" s="199"/>
      <c r="L149" s="204" t="s">
        <v>2652</v>
      </c>
      <c r="M149" s="204"/>
      <c r="N149" s="126" t="s">
        <v>242</v>
      </c>
      <c r="O149" s="202" t="s">
        <v>861</v>
      </c>
      <c r="P149" s="126"/>
      <c r="Q149" s="126"/>
      <c r="R149" s="126"/>
      <c r="S149" s="126"/>
      <c r="T149" s="126"/>
      <c r="U149" s="203"/>
      <c r="V149" s="201"/>
      <c r="W149" s="199"/>
      <c r="X149" s="202" t="s">
        <v>861</v>
      </c>
      <c r="Y149" s="199"/>
      <c r="Z149" s="199"/>
      <c r="AA149" s="40"/>
      <c r="AB149" s="207" t="s">
        <v>1100</v>
      </c>
      <c r="AC149" s="199"/>
      <c r="AD149" s="199"/>
      <c r="AE149" s="199"/>
      <c r="AF149" s="202"/>
      <c r="AG149" s="199"/>
      <c r="AH149" s="199"/>
      <c r="AI149" s="40"/>
      <c r="AJ149" s="207"/>
      <c r="AK149" s="199"/>
      <c r="AL149" s="199"/>
      <c r="AM149" s="199"/>
      <c r="AN149" s="199"/>
      <c r="AO149" s="199"/>
      <c r="AP149" s="199"/>
      <c r="AQ149" s="199"/>
      <c r="AR149" s="199"/>
      <c r="AS149" s="199"/>
      <c r="AT149" s="199"/>
      <c r="AU149" s="199"/>
      <c r="AV149" s="199"/>
      <c r="AW149" s="155"/>
    </row>
    <row r="150" spans="1:49" s="236" customFormat="1" ht="15">
      <c r="A150" s="415">
        <f t="shared" si="11"/>
        <v>144</v>
      </c>
      <c r="B150" s="199"/>
      <c r="C150" s="199"/>
      <c r="D150" s="199"/>
      <c r="E150" s="199"/>
      <c r="F150" s="199"/>
      <c r="G150" s="199"/>
      <c r="H150" s="199"/>
      <c r="I150" s="199"/>
      <c r="J150" s="215" t="s">
        <v>5464</v>
      </c>
      <c r="K150" s="199"/>
      <c r="L150" s="204" t="s">
        <v>2659</v>
      </c>
      <c r="M150" s="204"/>
      <c r="N150" s="126" t="s">
        <v>234</v>
      </c>
      <c r="O150" s="202" t="s">
        <v>861</v>
      </c>
      <c r="P150" s="126"/>
      <c r="Q150" s="126"/>
      <c r="R150" s="126"/>
      <c r="S150" s="126"/>
      <c r="T150" s="126"/>
      <c r="U150" s="203"/>
      <c r="V150" s="201"/>
      <c r="W150" s="199"/>
      <c r="X150" s="202" t="s">
        <v>861</v>
      </c>
      <c r="Y150" s="199"/>
      <c r="Z150" s="199"/>
      <c r="AA150" s="40"/>
      <c r="AB150" s="207" t="s">
        <v>1100</v>
      </c>
      <c r="AC150" s="199"/>
      <c r="AD150" s="199"/>
      <c r="AE150" s="199"/>
      <c r="AF150" s="202"/>
      <c r="AG150" s="199"/>
      <c r="AH150" s="199"/>
      <c r="AI150" s="40"/>
      <c r="AJ150" s="207"/>
      <c r="AK150" s="199"/>
      <c r="AL150" s="199"/>
      <c r="AM150" s="199"/>
      <c r="AN150" s="199"/>
      <c r="AO150" s="199"/>
      <c r="AP150" s="199"/>
      <c r="AQ150" s="199"/>
      <c r="AR150" s="199"/>
      <c r="AS150" s="199"/>
      <c r="AT150" s="199"/>
      <c r="AU150" s="199"/>
      <c r="AV150" s="199"/>
      <c r="AW150" s="155"/>
    </row>
    <row r="151" spans="1:49" s="20" customFormat="1">
      <c r="A151" s="415">
        <f t="shared" si="11"/>
        <v>145</v>
      </c>
      <c r="B151" s="260"/>
      <c r="C151" s="260"/>
      <c r="D151" s="260"/>
      <c r="E151" s="260"/>
      <c r="F151" s="260"/>
      <c r="G151" s="260"/>
      <c r="H151" s="260"/>
      <c r="I151" s="260"/>
      <c r="J151" s="567" t="s">
        <v>5445</v>
      </c>
      <c r="K151" s="260"/>
      <c r="L151" s="506" t="s">
        <v>5446</v>
      </c>
      <c r="M151" s="506"/>
      <c r="N151" s="213" t="s">
        <v>256</v>
      </c>
      <c r="O151" s="274" t="s">
        <v>862</v>
      </c>
      <c r="P151" s="213"/>
      <c r="Q151" s="213"/>
      <c r="R151" s="213"/>
      <c r="S151" s="213"/>
      <c r="T151" s="482"/>
      <c r="U151" s="574"/>
      <c r="V151" s="568"/>
      <c r="W151" s="260"/>
      <c r="X151" s="273" t="s">
        <v>861</v>
      </c>
      <c r="Y151" s="260"/>
      <c r="Z151" s="260"/>
      <c r="AA151" s="260"/>
      <c r="AB151" s="569" t="s">
        <v>1100</v>
      </c>
      <c r="AC151" s="260"/>
      <c r="AD151" s="260"/>
      <c r="AE151" s="260"/>
      <c r="AF151" s="273"/>
      <c r="AG151" s="260"/>
      <c r="AH151" s="260"/>
      <c r="AI151" s="260"/>
      <c r="AJ151" s="569"/>
      <c r="AK151" s="260"/>
      <c r="AL151" s="260"/>
      <c r="AM151" s="260"/>
      <c r="AN151" s="260"/>
      <c r="AO151" s="260"/>
      <c r="AP151" s="260"/>
      <c r="AQ151" s="260"/>
      <c r="AR151" s="260"/>
      <c r="AS151" s="260"/>
      <c r="AT151" s="260"/>
      <c r="AU151" s="260"/>
      <c r="AV151" s="260"/>
    </row>
    <row r="152" spans="1:49" s="59" customFormat="1">
      <c r="A152" s="40">
        <f t="shared" si="11"/>
        <v>146</v>
      </c>
      <c r="J152" s="217" t="s">
        <v>5447</v>
      </c>
      <c r="L152" s="220" t="s">
        <v>5448</v>
      </c>
      <c r="M152" s="220"/>
      <c r="N152" s="126" t="s">
        <v>256</v>
      </c>
      <c r="O152" s="202" t="s">
        <v>862</v>
      </c>
      <c r="P152" s="126"/>
      <c r="Q152" s="126"/>
      <c r="R152" s="126"/>
      <c r="S152" s="126"/>
      <c r="T152" s="126"/>
      <c r="U152" s="203"/>
      <c r="V152" s="219"/>
      <c r="X152" s="259" t="s">
        <v>861</v>
      </c>
      <c r="AB152" s="59" t="s">
        <v>1100</v>
      </c>
      <c r="AF152" s="259"/>
    </row>
    <row r="153" spans="1:49" ht="15">
      <c r="AW153" s="155">
        <f t="shared" si="10"/>
        <v>0</v>
      </c>
    </row>
    <row r="154" spans="1:49" ht="15">
      <c r="AW154" s="155">
        <f t="shared" si="10"/>
        <v>0</v>
      </c>
    </row>
    <row r="155" spans="1:49" ht="15">
      <c r="AW155" s="155">
        <f t="shared" si="10"/>
        <v>0</v>
      </c>
    </row>
    <row r="156" spans="1:49" ht="15">
      <c r="AW156" s="155">
        <f t="shared" si="10"/>
        <v>0</v>
      </c>
    </row>
    <row r="157" spans="1:49" ht="15">
      <c r="AW157" s="155">
        <f t="shared" si="10"/>
        <v>0</v>
      </c>
    </row>
    <row r="158" spans="1:49" ht="15">
      <c r="AW158" s="155">
        <f t="shared" si="10"/>
        <v>0</v>
      </c>
    </row>
    <row r="159" spans="1:49" ht="15">
      <c r="AW159" s="155">
        <f t="shared" si="10"/>
        <v>0</v>
      </c>
    </row>
    <row r="160" spans="1:49" ht="15">
      <c r="AW160" s="155">
        <f t="shared" si="10"/>
        <v>0</v>
      </c>
    </row>
    <row r="161" spans="49:49" ht="15">
      <c r="AW161" s="155">
        <f t="shared" si="10"/>
        <v>0</v>
      </c>
    </row>
    <row r="162" spans="49:49" ht="15">
      <c r="AW162" s="155">
        <f t="shared" si="10"/>
        <v>0</v>
      </c>
    </row>
    <row r="163" spans="49:49" ht="15">
      <c r="AW163" s="155">
        <f t="shared" si="10"/>
        <v>0</v>
      </c>
    </row>
    <row r="164" spans="49:49" ht="15">
      <c r="AW164" s="155">
        <f t="shared" si="10"/>
        <v>0</v>
      </c>
    </row>
    <row r="165" spans="49:49" ht="15">
      <c r="AW165" s="155">
        <f t="shared" si="10"/>
        <v>0</v>
      </c>
    </row>
    <row r="166" spans="49:49" ht="15">
      <c r="AW166" s="155">
        <f t="shared" si="10"/>
        <v>0</v>
      </c>
    </row>
    <row r="167" spans="49:49" ht="15">
      <c r="AW167" s="155">
        <f t="shared" si="10"/>
        <v>0</v>
      </c>
    </row>
    <row r="168" spans="49:49" ht="15">
      <c r="AW168" s="155">
        <f t="shared" si="10"/>
        <v>0</v>
      </c>
    </row>
    <row r="169" spans="49:49" ht="15">
      <c r="AW169" s="155">
        <f t="shared" si="10"/>
        <v>0</v>
      </c>
    </row>
    <row r="170" spans="49:49" ht="15">
      <c r="AW170" s="155">
        <f t="shared" si="10"/>
        <v>0</v>
      </c>
    </row>
    <row r="171" spans="49:49" ht="15">
      <c r="AW171" s="155">
        <f t="shared" si="10"/>
        <v>0</v>
      </c>
    </row>
    <row r="172" spans="49:49" ht="15">
      <c r="AW172" s="155">
        <f t="shared" si="10"/>
        <v>0</v>
      </c>
    </row>
    <row r="173" spans="49:49" ht="15">
      <c r="AW173" s="155">
        <f t="shared" si="10"/>
        <v>0</v>
      </c>
    </row>
    <row r="174" spans="49:49" ht="15">
      <c r="AW174" s="155">
        <f t="shared" si="10"/>
        <v>0</v>
      </c>
    </row>
    <row r="175" spans="49:49" ht="15">
      <c r="AW175" s="155">
        <f t="shared" si="10"/>
        <v>0</v>
      </c>
    </row>
    <row r="176" spans="49:49" ht="15">
      <c r="AW176" s="155">
        <f t="shared" si="10"/>
        <v>0</v>
      </c>
    </row>
    <row r="177" spans="49:49" ht="15">
      <c r="AW177" s="155">
        <f t="shared" si="10"/>
        <v>0</v>
      </c>
    </row>
    <row r="178" spans="49:49" ht="15">
      <c r="AW178" s="155">
        <f t="shared" si="10"/>
        <v>0</v>
      </c>
    </row>
    <row r="179" spans="49:49" ht="15">
      <c r="AW179" s="155">
        <f t="shared" si="10"/>
        <v>0</v>
      </c>
    </row>
    <row r="180" spans="49:49" ht="15">
      <c r="AW180" s="155">
        <f t="shared" si="10"/>
        <v>0</v>
      </c>
    </row>
    <row r="181" spans="49:49" ht="15">
      <c r="AW181" s="155">
        <f t="shared" si="10"/>
        <v>0</v>
      </c>
    </row>
    <row r="182" spans="49:49" ht="15">
      <c r="AW182" s="155">
        <f t="shared" si="10"/>
        <v>0</v>
      </c>
    </row>
    <row r="183" spans="49:49" ht="15">
      <c r="AW183" s="155">
        <f t="shared" si="10"/>
        <v>0</v>
      </c>
    </row>
    <row r="184" spans="49:49" ht="15">
      <c r="AW184" s="155">
        <f t="shared" si="10"/>
        <v>0</v>
      </c>
    </row>
    <row r="185" spans="49:49" ht="15">
      <c r="AW185" s="155">
        <f t="shared" si="10"/>
        <v>0</v>
      </c>
    </row>
    <row r="186" spans="49:49" ht="15">
      <c r="AW186" s="155">
        <f t="shared" si="10"/>
        <v>0</v>
      </c>
    </row>
    <row r="187" spans="49:49" ht="15">
      <c r="AW187" s="155">
        <f t="shared" si="10"/>
        <v>0</v>
      </c>
    </row>
    <row r="188" spans="49:49" ht="15">
      <c r="AW188" s="155">
        <f t="shared" si="10"/>
        <v>0</v>
      </c>
    </row>
    <row r="189" spans="49:49" ht="15">
      <c r="AW189" s="155">
        <f t="shared" si="10"/>
        <v>0</v>
      </c>
    </row>
    <row r="190" spans="49:49" ht="15">
      <c r="AW190" s="155">
        <f t="shared" si="10"/>
        <v>0</v>
      </c>
    </row>
    <row r="191" spans="49:49" ht="15">
      <c r="AW191" s="155">
        <f t="shared" si="10"/>
        <v>0</v>
      </c>
    </row>
    <row r="192" spans="49:49" ht="15">
      <c r="AW192" s="155">
        <f t="shared" si="10"/>
        <v>0</v>
      </c>
    </row>
    <row r="193" spans="49:49" ht="15">
      <c r="AW193" s="155">
        <f t="shared" si="10"/>
        <v>0</v>
      </c>
    </row>
    <row r="194" spans="49:49" ht="15">
      <c r="AW194" s="155">
        <f t="shared" si="10"/>
        <v>0</v>
      </c>
    </row>
    <row r="195" spans="49:49" ht="15">
      <c r="AW195" s="155">
        <f t="shared" si="10"/>
        <v>0</v>
      </c>
    </row>
    <row r="196" spans="49:49" ht="15">
      <c r="AW196" s="155">
        <f t="shared" si="10"/>
        <v>0</v>
      </c>
    </row>
    <row r="197" spans="49:49" ht="15">
      <c r="AW197" s="155">
        <f t="shared" si="10"/>
        <v>0</v>
      </c>
    </row>
    <row r="198" spans="49:49" ht="15">
      <c r="AW198" s="155">
        <f t="shared" si="10"/>
        <v>0</v>
      </c>
    </row>
    <row r="199" spans="49:49" ht="15">
      <c r="AW199" s="155">
        <f t="shared" si="10"/>
        <v>0</v>
      </c>
    </row>
    <row r="200" spans="49:49" ht="15">
      <c r="AW200" s="155">
        <f t="shared" si="10"/>
        <v>0</v>
      </c>
    </row>
    <row r="201" spans="49:49" ht="15">
      <c r="AW201" s="155">
        <f t="shared" si="10"/>
        <v>0</v>
      </c>
    </row>
    <row r="202" spans="49:49" ht="15">
      <c r="AW202" s="155">
        <f t="shared" si="10"/>
        <v>0</v>
      </c>
    </row>
    <row r="203" spans="49:49" ht="15">
      <c r="AW203" s="155">
        <f t="shared" si="10"/>
        <v>0</v>
      </c>
    </row>
    <row r="204" spans="49:49" ht="15">
      <c r="AW204" s="155">
        <f t="shared" si="10"/>
        <v>0</v>
      </c>
    </row>
    <row r="205" spans="49:49" ht="15">
      <c r="AW205" s="155">
        <f t="shared" si="10"/>
        <v>0</v>
      </c>
    </row>
    <row r="206" spans="49:49" ht="15">
      <c r="AW206" s="155">
        <f t="shared" si="10"/>
        <v>0</v>
      </c>
    </row>
    <row r="207" spans="49:49" ht="15">
      <c r="AW207" s="155">
        <f t="shared" si="10"/>
        <v>0</v>
      </c>
    </row>
    <row r="208" spans="49:49" ht="15">
      <c r="AW208" s="155">
        <f t="shared" ref="AW208:AW271" si="12">LEN(L208)</f>
        <v>0</v>
      </c>
    </row>
    <row r="209" spans="49:49" ht="15">
      <c r="AW209" s="155">
        <f t="shared" si="12"/>
        <v>0</v>
      </c>
    </row>
    <row r="210" spans="49:49" ht="15">
      <c r="AW210" s="155">
        <f t="shared" si="12"/>
        <v>0</v>
      </c>
    </row>
    <row r="211" spans="49:49" ht="15">
      <c r="AW211" s="155">
        <f t="shared" si="12"/>
        <v>0</v>
      </c>
    </row>
    <row r="212" spans="49:49" ht="15">
      <c r="AW212" s="155">
        <f t="shared" si="12"/>
        <v>0</v>
      </c>
    </row>
    <row r="213" spans="49:49" ht="15">
      <c r="AW213" s="155">
        <f t="shared" si="12"/>
        <v>0</v>
      </c>
    </row>
    <row r="214" spans="49:49" ht="15">
      <c r="AW214" s="155">
        <f t="shared" si="12"/>
        <v>0</v>
      </c>
    </row>
    <row r="215" spans="49:49" ht="15">
      <c r="AW215" s="155">
        <f t="shared" si="12"/>
        <v>0</v>
      </c>
    </row>
    <row r="216" spans="49:49" ht="15">
      <c r="AW216" s="155">
        <f t="shared" si="12"/>
        <v>0</v>
      </c>
    </row>
    <row r="217" spans="49:49" ht="15">
      <c r="AW217" s="155">
        <f t="shared" si="12"/>
        <v>0</v>
      </c>
    </row>
    <row r="218" spans="49:49" ht="15">
      <c r="AW218" s="155">
        <f t="shared" si="12"/>
        <v>0</v>
      </c>
    </row>
    <row r="219" spans="49:49" ht="15">
      <c r="AW219" s="155">
        <f t="shared" si="12"/>
        <v>0</v>
      </c>
    </row>
    <row r="220" spans="49:49" ht="15">
      <c r="AW220" s="155">
        <f t="shared" si="12"/>
        <v>0</v>
      </c>
    </row>
    <row r="221" spans="49:49" ht="15">
      <c r="AW221" s="155">
        <f t="shared" si="12"/>
        <v>0</v>
      </c>
    </row>
    <row r="222" spans="49:49" ht="15">
      <c r="AW222" s="155">
        <f t="shared" si="12"/>
        <v>0</v>
      </c>
    </row>
    <row r="223" spans="49:49" ht="15">
      <c r="AW223" s="155">
        <f t="shared" si="12"/>
        <v>0</v>
      </c>
    </row>
    <row r="224" spans="49:49" ht="15">
      <c r="AW224" s="155">
        <f t="shared" si="12"/>
        <v>0</v>
      </c>
    </row>
    <row r="225" spans="49:49" ht="15">
      <c r="AW225" s="155">
        <f t="shared" si="12"/>
        <v>0</v>
      </c>
    </row>
    <row r="226" spans="49:49" ht="15">
      <c r="AW226" s="155">
        <f t="shared" si="12"/>
        <v>0</v>
      </c>
    </row>
    <row r="227" spans="49:49" ht="15">
      <c r="AW227" s="155">
        <f t="shared" si="12"/>
        <v>0</v>
      </c>
    </row>
    <row r="228" spans="49:49" ht="15">
      <c r="AW228" s="155">
        <f t="shared" si="12"/>
        <v>0</v>
      </c>
    </row>
    <row r="229" spans="49:49" ht="15">
      <c r="AW229" s="155">
        <f t="shared" si="12"/>
        <v>0</v>
      </c>
    </row>
    <row r="230" spans="49:49" ht="15">
      <c r="AW230" s="155">
        <f t="shared" si="12"/>
        <v>0</v>
      </c>
    </row>
    <row r="231" spans="49:49" ht="15">
      <c r="AW231" s="155">
        <f t="shared" si="12"/>
        <v>0</v>
      </c>
    </row>
    <row r="232" spans="49:49" ht="15">
      <c r="AW232" s="155">
        <f t="shared" si="12"/>
        <v>0</v>
      </c>
    </row>
    <row r="233" spans="49:49" ht="15">
      <c r="AW233" s="155">
        <f t="shared" si="12"/>
        <v>0</v>
      </c>
    </row>
    <row r="234" spans="49:49" ht="15">
      <c r="AW234" s="155">
        <f t="shared" si="12"/>
        <v>0</v>
      </c>
    </row>
    <row r="235" spans="49:49" ht="15">
      <c r="AW235" s="155">
        <f t="shared" si="12"/>
        <v>0</v>
      </c>
    </row>
    <row r="236" spans="49:49" ht="15">
      <c r="AW236" s="155">
        <f t="shared" si="12"/>
        <v>0</v>
      </c>
    </row>
    <row r="237" spans="49:49" ht="15">
      <c r="AW237" s="155">
        <f t="shared" si="12"/>
        <v>0</v>
      </c>
    </row>
    <row r="238" spans="49:49" ht="15">
      <c r="AW238" s="155">
        <f t="shared" si="12"/>
        <v>0</v>
      </c>
    </row>
    <row r="239" spans="49:49" ht="15">
      <c r="AW239" s="155">
        <f t="shared" si="12"/>
        <v>0</v>
      </c>
    </row>
    <row r="240" spans="49:49" ht="15">
      <c r="AW240" s="155">
        <f t="shared" si="12"/>
        <v>0</v>
      </c>
    </row>
    <row r="241" spans="49:49" ht="15">
      <c r="AW241" s="155">
        <f t="shared" si="12"/>
        <v>0</v>
      </c>
    </row>
    <row r="242" spans="49:49" ht="15">
      <c r="AW242" s="155">
        <f t="shared" si="12"/>
        <v>0</v>
      </c>
    </row>
    <row r="243" spans="49:49" ht="15">
      <c r="AW243" s="155">
        <f t="shared" si="12"/>
        <v>0</v>
      </c>
    </row>
    <row r="244" spans="49:49" ht="15">
      <c r="AW244" s="155">
        <f t="shared" si="12"/>
        <v>0</v>
      </c>
    </row>
    <row r="245" spans="49:49" ht="15">
      <c r="AW245" s="155">
        <f t="shared" si="12"/>
        <v>0</v>
      </c>
    </row>
    <row r="246" spans="49:49" ht="15">
      <c r="AW246" s="155">
        <f t="shared" si="12"/>
        <v>0</v>
      </c>
    </row>
    <row r="247" spans="49:49" ht="15">
      <c r="AW247" s="155">
        <f t="shared" si="12"/>
        <v>0</v>
      </c>
    </row>
    <row r="248" spans="49:49" ht="15">
      <c r="AW248" s="155">
        <f t="shared" si="12"/>
        <v>0</v>
      </c>
    </row>
    <row r="249" spans="49:49" ht="15">
      <c r="AW249" s="155">
        <f t="shared" si="12"/>
        <v>0</v>
      </c>
    </row>
    <row r="250" spans="49:49" ht="15">
      <c r="AW250" s="155">
        <f t="shared" si="12"/>
        <v>0</v>
      </c>
    </row>
    <row r="251" spans="49:49" ht="15">
      <c r="AW251" s="155">
        <f t="shared" si="12"/>
        <v>0</v>
      </c>
    </row>
    <row r="252" spans="49:49" ht="15">
      <c r="AW252" s="155">
        <f t="shared" si="12"/>
        <v>0</v>
      </c>
    </row>
    <row r="253" spans="49:49" ht="15">
      <c r="AW253" s="155">
        <f t="shared" si="12"/>
        <v>0</v>
      </c>
    </row>
    <row r="254" spans="49:49" ht="15">
      <c r="AW254" s="155">
        <f t="shared" si="12"/>
        <v>0</v>
      </c>
    </row>
    <row r="255" spans="49:49" ht="15">
      <c r="AW255" s="155">
        <f t="shared" si="12"/>
        <v>0</v>
      </c>
    </row>
    <row r="256" spans="49:49" ht="15">
      <c r="AW256" s="155">
        <f t="shared" si="12"/>
        <v>0</v>
      </c>
    </row>
    <row r="257" spans="49:49" ht="15">
      <c r="AW257" s="155">
        <f t="shared" si="12"/>
        <v>0</v>
      </c>
    </row>
    <row r="258" spans="49:49" ht="15">
      <c r="AW258" s="155">
        <f t="shared" si="12"/>
        <v>0</v>
      </c>
    </row>
    <row r="259" spans="49:49" ht="15">
      <c r="AW259" s="155">
        <f t="shared" si="12"/>
        <v>0</v>
      </c>
    </row>
    <row r="260" spans="49:49" ht="15">
      <c r="AW260" s="155">
        <f t="shared" si="12"/>
        <v>0</v>
      </c>
    </row>
    <row r="261" spans="49:49" ht="15">
      <c r="AW261" s="155">
        <f t="shared" si="12"/>
        <v>0</v>
      </c>
    </row>
    <row r="262" spans="49:49" ht="15">
      <c r="AW262" s="155">
        <f t="shared" si="12"/>
        <v>0</v>
      </c>
    </row>
    <row r="263" spans="49:49" ht="15">
      <c r="AW263" s="155">
        <f t="shared" si="12"/>
        <v>0</v>
      </c>
    </row>
    <row r="264" spans="49:49" ht="15">
      <c r="AW264" s="155">
        <f t="shared" si="12"/>
        <v>0</v>
      </c>
    </row>
    <row r="265" spans="49:49" ht="15">
      <c r="AW265" s="155">
        <f t="shared" si="12"/>
        <v>0</v>
      </c>
    </row>
    <row r="266" spans="49:49" ht="15">
      <c r="AW266" s="155">
        <f t="shared" si="12"/>
        <v>0</v>
      </c>
    </row>
    <row r="267" spans="49:49" ht="15">
      <c r="AW267" s="155">
        <f t="shared" si="12"/>
        <v>0</v>
      </c>
    </row>
    <row r="268" spans="49:49" ht="15">
      <c r="AW268" s="155">
        <f t="shared" si="12"/>
        <v>0</v>
      </c>
    </row>
    <row r="269" spans="49:49" ht="15">
      <c r="AW269" s="155">
        <f t="shared" si="12"/>
        <v>0</v>
      </c>
    </row>
    <row r="270" spans="49:49" ht="15">
      <c r="AW270" s="155">
        <f t="shared" si="12"/>
        <v>0</v>
      </c>
    </row>
    <row r="271" spans="49:49" ht="15">
      <c r="AW271" s="155">
        <f t="shared" si="12"/>
        <v>0</v>
      </c>
    </row>
    <row r="272" spans="49:49" ht="15">
      <c r="AW272" s="155">
        <f t="shared" ref="AW272:AW335" si="13">LEN(L272)</f>
        <v>0</v>
      </c>
    </row>
    <row r="273" spans="49:49" ht="15">
      <c r="AW273" s="155">
        <f t="shared" si="13"/>
        <v>0</v>
      </c>
    </row>
    <row r="274" spans="49:49" ht="15">
      <c r="AW274" s="155">
        <f t="shared" si="13"/>
        <v>0</v>
      </c>
    </row>
    <row r="275" spans="49:49" ht="15">
      <c r="AW275" s="155">
        <f t="shared" si="13"/>
        <v>0</v>
      </c>
    </row>
    <row r="276" spans="49:49" ht="15">
      <c r="AW276" s="155">
        <f t="shared" si="13"/>
        <v>0</v>
      </c>
    </row>
    <row r="277" spans="49:49" ht="15">
      <c r="AW277" s="155">
        <f t="shared" si="13"/>
        <v>0</v>
      </c>
    </row>
    <row r="278" spans="49:49" ht="15">
      <c r="AW278" s="155">
        <f t="shared" si="13"/>
        <v>0</v>
      </c>
    </row>
    <row r="279" spans="49:49" ht="15">
      <c r="AW279" s="155">
        <f t="shared" si="13"/>
        <v>0</v>
      </c>
    </row>
    <row r="280" spans="49:49" ht="15">
      <c r="AW280" s="155">
        <f t="shared" si="13"/>
        <v>0</v>
      </c>
    </row>
    <row r="281" spans="49:49" ht="15">
      <c r="AW281" s="155">
        <f t="shared" si="13"/>
        <v>0</v>
      </c>
    </row>
    <row r="282" spans="49:49" ht="15">
      <c r="AW282" s="155">
        <f t="shared" si="13"/>
        <v>0</v>
      </c>
    </row>
    <row r="283" spans="49:49" ht="15">
      <c r="AW283" s="155">
        <f t="shared" si="13"/>
        <v>0</v>
      </c>
    </row>
    <row r="284" spans="49:49" ht="15">
      <c r="AW284" s="155">
        <f t="shared" si="13"/>
        <v>0</v>
      </c>
    </row>
    <row r="285" spans="49:49" ht="15">
      <c r="AW285" s="155">
        <f t="shared" si="13"/>
        <v>0</v>
      </c>
    </row>
    <row r="286" spans="49:49" ht="15">
      <c r="AW286" s="155">
        <f t="shared" si="13"/>
        <v>0</v>
      </c>
    </row>
    <row r="287" spans="49:49" ht="15">
      <c r="AW287" s="155">
        <f t="shared" si="13"/>
        <v>0</v>
      </c>
    </row>
    <row r="288" spans="49:49" ht="15">
      <c r="AW288" s="155">
        <f t="shared" si="13"/>
        <v>0</v>
      </c>
    </row>
    <row r="289" spans="49:49" ht="15">
      <c r="AW289" s="155">
        <f t="shared" si="13"/>
        <v>0</v>
      </c>
    </row>
    <row r="290" spans="49:49" ht="15">
      <c r="AW290" s="155">
        <f t="shared" si="13"/>
        <v>0</v>
      </c>
    </row>
    <row r="291" spans="49:49" ht="15">
      <c r="AW291" s="155">
        <f t="shared" si="13"/>
        <v>0</v>
      </c>
    </row>
    <row r="292" spans="49:49" ht="15">
      <c r="AW292" s="155">
        <f t="shared" si="13"/>
        <v>0</v>
      </c>
    </row>
    <row r="293" spans="49:49" ht="15">
      <c r="AW293" s="155">
        <f t="shared" si="13"/>
        <v>0</v>
      </c>
    </row>
    <row r="294" spans="49:49" ht="15">
      <c r="AW294" s="155">
        <f t="shared" si="13"/>
        <v>0</v>
      </c>
    </row>
    <row r="295" spans="49:49" ht="15">
      <c r="AW295" s="155">
        <f t="shared" si="13"/>
        <v>0</v>
      </c>
    </row>
    <row r="296" spans="49:49" ht="15">
      <c r="AW296" s="155">
        <f t="shared" si="13"/>
        <v>0</v>
      </c>
    </row>
    <row r="297" spans="49:49" ht="15">
      <c r="AW297" s="155">
        <f t="shared" si="13"/>
        <v>0</v>
      </c>
    </row>
    <row r="298" spans="49:49" ht="15">
      <c r="AW298" s="155">
        <f t="shared" si="13"/>
        <v>0</v>
      </c>
    </row>
    <row r="299" spans="49:49" ht="15">
      <c r="AW299" s="155">
        <f t="shared" si="13"/>
        <v>0</v>
      </c>
    </row>
    <row r="300" spans="49:49" ht="15">
      <c r="AW300" s="155">
        <f t="shared" si="13"/>
        <v>0</v>
      </c>
    </row>
    <row r="301" spans="49:49" ht="15">
      <c r="AW301" s="155">
        <f t="shared" si="13"/>
        <v>0</v>
      </c>
    </row>
    <row r="302" spans="49:49" ht="15">
      <c r="AW302" s="155">
        <f t="shared" si="13"/>
        <v>0</v>
      </c>
    </row>
    <row r="303" spans="49:49" ht="15">
      <c r="AW303" s="155">
        <f t="shared" si="13"/>
        <v>0</v>
      </c>
    </row>
    <row r="304" spans="49:49" ht="15">
      <c r="AW304" s="155">
        <f t="shared" si="13"/>
        <v>0</v>
      </c>
    </row>
    <row r="305" spans="49:49" ht="15">
      <c r="AW305" s="155">
        <f t="shared" si="13"/>
        <v>0</v>
      </c>
    </row>
    <row r="306" spans="49:49" ht="15">
      <c r="AW306" s="155">
        <f t="shared" si="13"/>
        <v>0</v>
      </c>
    </row>
    <row r="307" spans="49:49" ht="15">
      <c r="AW307" s="155">
        <f t="shared" si="13"/>
        <v>0</v>
      </c>
    </row>
    <row r="308" spans="49:49" ht="15">
      <c r="AW308" s="155">
        <f t="shared" si="13"/>
        <v>0</v>
      </c>
    </row>
    <row r="309" spans="49:49" ht="15">
      <c r="AW309" s="155">
        <f t="shared" si="13"/>
        <v>0</v>
      </c>
    </row>
    <row r="310" spans="49:49" ht="15">
      <c r="AW310" s="155">
        <f t="shared" si="13"/>
        <v>0</v>
      </c>
    </row>
    <row r="311" spans="49:49" ht="15">
      <c r="AW311" s="155">
        <f t="shared" si="13"/>
        <v>0</v>
      </c>
    </row>
    <row r="312" spans="49:49" ht="15">
      <c r="AW312" s="155">
        <f t="shared" si="13"/>
        <v>0</v>
      </c>
    </row>
    <row r="313" spans="49:49" ht="15">
      <c r="AW313" s="155">
        <f t="shared" si="13"/>
        <v>0</v>
      </c>
    </row>
    <row r="314" spans="49:49" ht="15">
      <c r="AW314" s="155">
        <f t="shared" si="13"/>
        <v>0</v>
      </c>
    </row>
    <row r="315" spans="49:49" ht="15">
      <c r="AW315" s="155">
        <f t="shared" si="13"/>
        <v>0</v>
      </c>
    </row>
    <row r="316" spans="49:49" ht="15">
      <c r="AW316" s="155">
        <f t="shared" si="13"/>
        <v>0</v>
      </c>
    </row>
    <row r="317" spans="49:49" ht="15">
      <c r="AW317" s="155">
        <f t="shared" si="13"/>
        <v>0</v>
      </c>
    </row>
    <row r="318" spans="49:49" ht="15">
      <c r="AW318" s="155">
        <f t="shared" si="13"/>
        <v>0</v>
      </c>
    </row>
    <row r="319" spans="49:49" ht="15">
      <c r="AW319" s="155">
        <f t="shared" si="13"/>
        <v>0</v>
      </c>
    </row>
    <row r="320" spans="49:49" ht="15">
      <c r="AW320" s="155">
        <f t="shared" si="13"/>
        <v>0</v>
      </c>
    </row>
    <row r="321" spans="49:49" ht="15">
      <c r="AW321" s="155">
        <f t="shared" si="13"/>
        <v>0</v>
      </c>
    </row>
    <row r="322" spans="49:49" ht="15">
      <c r="AW322" s="155">
        <f t="shared" si="13"/>
        <v>0</v>
      </c>
    </row>
    <row r="323" spans="49:49" ht="15">
      <c r="AW323" s="155">
        <f t="shared" si="13"/>
        <v>0</v>
      </c>
    </row>
    <row r="324" spans="49:49" ht="15">
      <c r="AW324" s="155">
        <f t="shared" si="13"/>
        <v>0</v>
      </c>
    </row>
    <row r="325" spans="49:49" ht="15">
      <c r="AW325" s="155">
        <f t="shared" si="13"/>
        <v>0</v>
      </c>
    </row>
    <row r="326" spans="49:49" ht="15">
      <c r="AW326" s="155">
        <f t="shared" si="13"/>
        <v>0</v>
      </c>
    </row>
    <row r="327" spans="49:49" ht="15">
      <c r="AW327" s="155">
        <f t="shared" si="13"/>
        <v>0</v>
      </c>
    </row>
    <row r="328" spans="49:49" ht="15">
      <c r="AW328" s="155">
        <f t="shared" si="13"/>
        <v>0</v>
      </c>
    </row>
    <row r="329" spans="49:49" ht="15">
      <c r="AW329" s="155">
        <f t="shared" si="13"/>
        <v>0</v>
      </c>
    </row>
    <row r="330" spans="49:49" ht="15">
      <c r="AW330" s="155">
        <f t="shared" si="13"/>
        <v>0</v>
      </c>
    </row>
    <row r="331" spans="49:49" ht="15">
      <c r="AW331" s="155">
        <f t="shared" si="13"/>
        <v>0</v>
      </c>
    </row>
    <row r="332" spans="49:49" ht="15">
      <c r="AW332" s="155">
        <f t="shared" si="13"/>
        <v>0</v>
      </c>
    </row>
    <row r="333" spans="49:49" ht="15">
      <c r="AW333" s="155">
        <f t="shared" si="13"/>
        <v>0</v>
      </c>
    </row>
    <row r="334" spans="49:49" ht="15">
      <c r="AW334" s="155">
        <f t="shared" si="13"/>
        <v>0</v>
      </c>
    </row>
    <row r="335" spans="49:49" ht="15">
      <c r="AW335" s="155">
        <f t="shared" si="13"/>
        <v>0</v>
      </c>
    </row>
    <row r="336" spans="49:49" ht="15">
      <c r="AW336" s="155">
        <f t="shared" ref="AW336:AW399" si="14">LEN(L336)</f>
        <v>0</v>
      </c>
    </row>
    <row r="337" spans="49:49" ht="15">
      <c r="AW337" s="155">
        <f t="shared" si="14"/>
        <v>0</v>
      </c>
    </row>
    <row r="338" spans="49:49" ht="15">
      <c r="AW338" s="155">
        <f t="shared" si="14"/>
        <v>0</v>
      </c>
    </row>
    <row r="339" spans="49:49" ht="15">
      <c r="AW339" s="155">
        <f t="shared" si="14"/>
        <v>0</v>
      </c>
    </row>
    <row r="340" spans="49:49" ht="15">
      <c r="AW340" s="155">
        <f t="shared" si="14"/>
        <v>0</v>
      </c>
    </row>
    <row r="341" spans="49:49" ht="15">
      <c r="AW341" s="155">
        <f t="shared" si="14"/>
        <v>0</v>
      </c>
    </row>
    <row r="342" spans="49:49" ht="15">
      <c r="AW342" s="155">
        <f t="shared" si="14"/>
        <v>0</v>
      </c>
    </row>
    <row r="343" spans="49:49" ht="15">
      <c r="AW343" s="155">
        <f t="shared" si="14"/>
        <v>0</v>
      </c>
    </row>
    <row r="344" spans="49:49" ht="15">
      <c r="AW344" s="155">
        <f t="shared" si="14"/>
        <v>0</v>
      </c>
    </row>
    <row r="345" spans="49:49" ht="15">
      <c r="AW345" s="155">
        <f t="shared" si="14"/>
        <v>0</v>
      </c>
    </row>
    <row r="346" spans="49:49" ht="15">
      <c r="AW346" s="155">
        <f t="shared" si="14"/>
        <v>0</v>
      </c>
    </row>
    <row r="347" spans="49:49" ht="15">
      <c r="AW347" s="155">
        <f t="shared" si="14"/>
        <v>0</v>
      </c>
    </row>
    <row r="348" spans="49:49" ht="15">
      <c r="AW348" s="155">
        <f t="shared" si="14"/>
        <v>0</v>
      </c>
    </row>
    <row r="349" spans="49:49" ht="15">
      <c r="AW349" s="155">
        <f t="shared" si="14"/>
        <v>0</v>
      </c>
    </row>
    <row r="350" spans="49:49" ht="15">
      <c r="AW350" s="155">
        <f t="shared" si="14"/>
        <v>0</v>
      </c>
    </row>
    <row r="351" spans="49:49" ht="15">
      <c r="AW351" s="155">
        <f t="shared" si="14"/>
        <v>0</v>
      </c>
    </row>
    <row r="352" spans="49:49" ht="15">
      <c r="AW352" s="155">
        <f t="shared" si="14"/>
        <v>0</v>
      </c>
    </row>
    <row r="353" spans="49:49" ht="15">
      <c r="AW353" s="155">
        <f t="shared" si="14"/>
        <v>0</v>
      </c>
    </row>
    <row r="354" spans="49:49" ht="15">
      <c r="AW354" s="155">
        <f t="shared" si="14"/>
        <v>0</v>
      </c>
    </row>
    <row r="355" spans="49:49" ht="15">
      <c r="AW355" s="155">
        <f t="shared" si="14"/>
        <v>0</v>
      </c>
    </row>
    <row r="356" spans="49:49" ht="15">
      <c r="AW356" s="155">
        <f t="shared" si="14"/>
        <v>0</v>
      </c>
    </row>
    <row r="357" spans="49:49" ht="15">
      <c r="AW357" s="155">
        <f t="shared" si="14"/>
        <v>0</v>
      </c>
    </row>
    <row r="358" spans="49:49" ht="15">
      <c r="AW358" s="155">
        <f t="shared" si="14"/>
        <v>0</v>
      </c>
    </row>
    <row r="359" spans="49:49" ht="15">
      <c r="AW359" s="155">
        <f t="shared" si="14"/>
        <v>0</v>
      </c>
    </row>
    <row r="360" spans="49:49" ht="15">
      <c r="AW360" s="155">
        <f t="shared" si="14"/>
        <v>0</v>
      </c>
    </row>
    <row r="361" spans="49:49" ht="15">
      <c r="AW361" s="155">
        <f t="shared" si="14"/>
        <v>0</v>
      </c>
    </row>
    <row r="362" spans="49:49" ht="15">
      <c r="AW362" s="155">
        <f t="shared" si="14"/>
        <v>0</v>
      </c>
    </row>
    <row r="363" spans="49:49" ht="15">
      <c r="AW363" s="155">
        <f t="shared" si="14"/>
        <v>0</v>
      </c>
    </row>
    <row r="364" spans="49:49" ht="15">
      <c r="AW364" s="155">
        <f t="shared" si="14"/>
        <v>0</v>
      </c>
    </row>
    <row r="365" spans="49:49" ht="15">
      <c r="AW365" s="155">
        <f t="shared" si="14"/>
        <v>0</v>
      </c>
    </row>
    <row r="366" spans="49:49" ht="15">
      <c r="AW366" s="155">
        <f t="shared" si="14"/>
        <v>0</v>
      </c>
    </row>
    <row r="367" spans="49:49" ht="15">
      <c r="AW367" s="155">
        <f t="shared" si="14"/>
        <v>0</v>
      </c>
    </row>
    <row r="368" spans="49:49" ht="15">
      <c r="AW368" s="155">
        <f t="shared" si="14"/>
        <v>0</v>
      </c>
    </row>
    <row r="369" spans="49:49" ht="15">
      <c r="AW369" s="155">
        <f t="shared" si="14"/>
        <v>0</v>
      </c>
    </row>
    <row r="370" spans="49:49" ht="15">
      <c r="AW370" s="155">
        <f t="shared" si="14"/>
        <v>0</v>
      </c>
    </row>
    <row r="371" spans="49:49" ht="15">
      <c r="AW371" s="155">
        <f t="shared" si="14"/>
        <v>0</v>
      </c>
    </row>
    <row r="372" spans="49:49" ht="15">
      <c r="AW372" s="155">
        <f t="shared" si="14"/>
        <v>0</v>
      </c>
    </row>
    <row r="373" spans="49:49" ht="15">
      <c r="AW373" s="155">
        <f t="shared" si="14"/>
        <v>0</v>
      </c>
    </row>
    <row r="374" spans="49:49" ht="15">
      <c r="AW374" s="155">
        <f t="shared" si="14"/>
        <v>0</v>
      </c>
    </row>
    <row r="375" spans="49:49" ht="15">
      <c r="AW375" s="155">
        <f t="shared" si="14"/>
        <v>0</v>
      </c>
    </row>
    <row r="376" spans="49:49" ht="15">
      <c r="AW376" s="155">
        <f t="shared" si="14"/>
        <v>0</v>
      </c>
    </row>
    <row r="377" spans="49:49" ht="15">
      <c r="AW377" s="155">
        <f t="shared" si="14"/>
        <v>0</v>
      </c>
    </row>
    <row r="378" spans="49:49" ht="15">
      <c r="AW378" s="155">
        <f t="shared" si="14"/>
        <v>0</v>
      </c>
    </row>
    <row r="379" spans="49:49" ht="15">
      <c r="AW379" s="155">
        <f t="shared" si="14"/>
        <v>0</v>
      </c>
    </row>
    <row r="380" spans="49:49" ht="15">
      <c r="AW380" s="155">
        <f t="shared" si="14"/>
        <v>0</v>
      </c>
    </row>
    <row r="381" spans="49:49" ht="15">
      <c r="AW381" s="155">
        <f t="shared" si="14"/>
        <v>0</v>
      </c>
    </row>
    <row r="382" spans="49:49" ht="15">
      <c r="AW382" s="155">
        <f t="shared" si="14"/>
        <v>0</v>
      </c>
    </row>
    <row r="383" spans="49:49" ht="15">
      <c r="AW383" s="155">
        <f t="shared" si="14"/>
        <v>0</v>
      </c>
    </row>
    <row r="384" spans="49:49" ht="15">
      <c r="AW384" s="155">
        <f t="shared" si="14"/>
        <v>0</v>
      </c>
    </row>
    <row r="385" spans="49:49" ht="15">
      <c r="AW385" s="155">
        <f t="shared" si="14"/>
        <v>0</v>
      </c>
    </row>
    <row r="386" spans="49:49" ht="15">
      <c r="AW386" s="155">
        <f t="shared" si="14"/>
        <v>0</v>
      </c>
    </row>
    <row r="387" spans="49:49" ht="15">
      <c r="AW387" s="155">
        <f t="shared" si="14"/>
        <v>0</v>
      </c>
    </row>
    <row r="388" spans="49:49" ht="15">
      <c r="AW388" s="155">
        <f t="shared" si="14"/>
        <v>0</v>
      </c>
    </row>
    <row r="389" spans="49:49" ht="15">
      <c r="AW389" s="155">
        <f t="shared" si="14"/>
        <v>0</v>
      </c>
    </row>
    <row r="390" spans="49:49" ht="15">
      <c r="AW390" s="155">
        <f t="shared" si="14"/>
        <v>0</v>
      </c>
    </row>
    <row r="391" spans="49:49" ht="15">
      <c r="AW391" s="155">
        <f t="shared" si="14"/>
        <v>0</v>
      </c>
    </row>
    <row r="392" spans="49:49" ht="15">
      <c r="AW392" s="155">
        <f t="shared" si="14"/>
        <v>0</v>
      </c>
    </row>
    <row r="393" spans="49:49" ht="15">
      <c r="AW393" s="155">
        <f t="shared" si="14"/>
        <v>0</v>
      </c>
    </row>
    <row r="394" spans="49:49" ht="15">
      <c r="AW394" s="155">
        <f t="shared" si="14"/>
        <v>0</v>
      </c>
    </row>
    <row r="395" spans="49:49" ht="15">
      <c r="AW395" s="155">
        <f t="shared" si="14"/>
        <v>0</v>
      </c>
    </row>
    <row r="396" spans="49:49" ht="15">
      <c r="AW396" s="155">
        <f t="shared" si="14"/>
        <v>0</v>
      </c>
    </row>
    <row r="397" spans="49:49" ht="15">
      <c r="AW397" s="155">
        <f t="shared" si="14"/>
        <v>0</v>
      </c>
    </row>
    <row r="398" spans="49:49" ht="15">
      <c r="AW398" s="155">
        <f t="shared" si="14"/>
        <v>0</v>
      </c>
    </row>
    <row r="399" spans="49:49" ht="15">
      <c r="AW399" s="155">
        <f t="shared" si="14"/>
        <v>0</v>
      </c>
    </row>
    <row r="400" spans="49:49" ht="15">
      <c r="AW400" s="155">
        <f t="shared" ref="AW400:AW454" si="15">LEN(L400)</f>
        <v>0</v>
      </c>
    </row>
    <row r="401" spans="49:49" ht="15">
      <c r="AW401" s="155">
        <f t="shared" si="15"/>
        <v>0</v>
      </c>
    </row>
    <row r="402" spans="49:49" ht="15">
      <c r="AW402" s="155">
        <f t="shared" si="15"/>
        <v>0</v>
      </c>
    </row>
    <row r="403" spans="49:49" ht="15">
      <c r="AW403" s="155">
        <f t="shared" si="15"/>
        <v>0</v>
      </c>
    </row>
    <row r="404" spans="49:49" ht="15">
      <c r="AW404" s="155">
        <f t="shared" si="15"/>
        <v>0</v>
      </c>
    </row>
    <row r="405" spans="49:49" ht="15">
      <c r="AW405" s="155">
        <f t="shared" si="15"/>
        <v>0</v>
      </c>
    </row>
    <row r="406" spans="49:49" ht="15">
      <c r="AW406" s="155">
        <f t="shared" si="15"/>
        <v>0</v>
      </c>
    </row>
    <row r="407" spans="49:49" ht="15">
      <c r="AW407" s="155">
        <f t="shared" si="15"/>
        <v>0</v>
      </c>
    </row>
    <row r="408" spans="49:49" ht="15">
      <c r="AW408" s="155">
        <f t="shared" si="15"/>
        <v>0</v>
      </c>
    </row>
    <row r="409" spans="49:49" ht="15">
      <c r="AW409" s="155">
        <f t="shared" si="15"/>
        <v>0</v>
      </c>
    </row>
    <row r="410" spans="49:49" ht="15">
      <c r="AW410" s="155">
        <f t="shared" si="15"/>
        <v>0</v>
      </c>
    </row>
    <row r="411" spans="49:49" ht="15">
      <c r="AW411" s="155">
        <f t="shared" si="15"/>
        <v>0</v>
      </c>
    </row>
    <row r="412" spans="49:49" ht="15">
      <c r="AW412" s="155">
        <f t="shared" si="15"/>
        <v>0</v>
      </c>
    </row>
    <row r="413" spans="49:49" ht="15">
      <c r="AW413" s="155">
        <f t="shared" si="15"/>
        <v>0</v>
      </c>
    </row>
    <row r="414" spans="49:49" ht="15">
      <c r="AW414" s="155">
        <f t="shared" si="15"/>
        <v>0</v>
      </c>
    </row>
    <row r="415" spans="49:49" ht="15">
      <c r="AW415" s="155">
        <f t="shared" si="15"/>
        <v>0</v>
      </c>
    </row>
    <row r="416" spans="49:49" ht="15">
      <c r="AW416" s="155">
        <f t="shared" si="15"/>
        <v>0</v>
      </c>
    </row>
    <row r="417" spans="49:49" ht="15">
      <c r="AW417" s="155">
        <f t="shared" si="15"/>
        <v>0</v>
      </c>
    </row>
    <row r="418" spans="49:49" ht="15">
      <c r="AW418" s="155">
        <f t="shared" si="15"/>
        <v>0</v>
      </c>
    </row>
    <row r="419" spans="49:49" ht="15">
      <c r="AW419" s="155">
        <f t="shared" si="15"/>
        <v>0</v>
      </c>
    </row>
    <row r="420" spans="49:49" ht="15">
      <c r="AW420" s="155">
        <f t="shared" si="15"/>
        <v>0</v>
      </c>
    </row>
    <row r="421" spans="49:49" ht="15">
      <c r="AW421" s="155">
        <f t="shared" si="15"/>
        <v>0</v>
      </c>
    </row>
    <row r="422" spans="49:49" ht="15">
      <c r="AW422" s="155">
        <f t="shared" si="15"/>
        <v>0</v>
      </c>
    </row>
    <row r="423" spans="49:49" ht="15">
      <c r="AW423" s="155">
        <f t="shared" si="15"/>
        <v>0</v>
      </c>
    </row>
    <row r="424" spans="49:49" ht="15">
      <c r="AW424" s="155">
        <f t="shared" si="15"/>
        <v>0</v>
      </c>
    </row>
    <row r="425" spans="49:49" ht="15">
      <c r="AW425" s="155">
        <f t="shared" si="15"/>
        <v>0</v>
      </c>
    </row>
    <row r="426" spans="49:49" ht="15">
      <c r="AW426" s="155">
        <f t="shared" si="15"/>
        <v>0</v>
      </c>
    </row>
    <row r="427" spans="49:49" ht="15">
      <c r="AW427" s="155">
        <f t="shared" si="15"/>
        <v>0</v>
      </c>
    </row>
    <row r="428" spans="49:49" ht="15">
      <c r="AW428" s="155">
        <f t="shared" si="15"/>
        <v>0</v>
      </c>
    </row>
    <row r="429" spans="49:49" ht="15">
      <c r="AW429" s="155">
        <f t="shared" si="15"/>
        <v>0</v>
      </c>
    </row>
    <row r="430" spans="49:49" ht="15">
      <c r="AW430" s="155">
        <f t="shared" si="15"/>
        <v>0</v>
      </c>
    </row>
    <row r="431" spans="49:49" ht="15">
      <c r="AW431" s="155">
        <f t="shared" si="15"/>
        <v>0</v>
      </c>
    </row>
    <row r="432" spans="49:49" ht="15">
      <c r="AW432" s="155">
        <f t="shared" si="15"/>
        <v>0</v>
      </c>
    </row>
    <row r="433" spans="49:49" ht="15">
      <c r="AW433" s="155">
        <f t="shared" si="15"/>
        <v>0</v>
      </c>
    </row>
    <row r="434" spans="49:49" ht="15">
      <c r="AW434" s="155">
        <f t="shared" si="15"/>
        <v>0</v>
      </c>
    </row>
    <row r="435" spans="49:49" ht="15">
      <c r="AW435" s="155">
        <f t="shared" si="15"/>
        <v>0</v>
      </c>
    </row>
    <row r="436" spans="49:49" ht="15">
      <c r="AW436" s="155">
        <f t="shared" si="15"/>
        <v>0</v>
      </c>
    </row>
    <row r="437" spans="49:49" ht="15">
      <c r="AW437" s="155">
        <f t="shared" si="15"/>
        <v>0</v>
      </c>
    </row>
    <row r="438" spans="49:49" ht="15">
      <c r="AW438" s="155">
        <f t="shared" si="15"/>
        <v>0</v>
      </c>
    </row>
    <row r="439" spans="49:49" ht="15">
      <c r="AW439" s="155">
        <f t="shared" si="15"/>
        <v>0</v>
      </c>
    </row>
    <row r="440" spans="49:49" ht="15">
      <c r="AW440" s="155">
        <f t="shared" si="15"/>
        <v>0</v>
      </c>
    </row>
    <row r="441" spans="49:49" ht="15">
      <c r="AW441" s="155">
        <f t="shared" si="15"/>
        <v>0</v>
      </c>
    </row>
    <row r="442" spans="49:49" ht="15">
      <c r="AW442" s="155">
        <f t="shared" si="15"/>
        <v>0</v>
      </c>
    </row>
    <row r="443" spans="49:49" ht="15">
      <c r="AW443" s="155">
        <f t="shared" si="15"/>
        <v>0</v>
      </c>
    </row>
    <row r="444" spans="49:49" ht="15">
      <c r="AW444" s="155">
        <f t="shared" si="15"/>
        <v>0</v>
      </c>
    </row>
    <row r="445" spans="49:49" ht="15">
      <c r="AW445" s="155">
        <f t="shared" si="15"/>
        <v>0</v>
      </c>
    </row>
    <row r="446" spans="49:49" ht="15">
      <c r="AW446" s="155">
        <f t="shared" si="15"/>
        <v>0</v>
      </c>
    </row>
    <row r="447" spans="49:49" ht="15">
      <c r="AW447" s="155">
        <f t="shared" si="15"/>
        <v>0</v>
      </c>
    </row>
    <row r="448" spans="49:49" ht="15">
      <c r="AW448" s="155">
        <f t="shared" si="15"/>
        <v>0</v>
      </c>
    </row>
    <row r="449" spans="49:49" ht="15">
      <c r="AW449" s="155">
        <f t="shared" si="15"/>
        <v>0</v>
      </c>
    </row>
    <row r="450" spans="49:49" ht="15">
      <c r="AW450" s="155">
        <f t="shared" si="15"/>
        <v>0</v>
      </c>
    </row>
    <row r="451" spans="49:49" ht="15">
      <c r="AW451" s="155">
        <f t="shared" si="15"/>
        <v>0</v>
      </c>
    </row>
    <row r="452" spans="49:49" ht="15">
      <c r="AW452" s="155">
        <f t="shared" si="15"/>
        <v>0</v>
      </c>
    </row>
    <row r="453" spans="49:49" ht="15">
      <c r="AW453" s="155">
        <f t="shared" si="15"/>
        <v>0</v>
      </c>
    </row>
    <row r="454" spans="49:49" ht="15">
      <c r="AW454" s="155">
        <f t="shared" si="15"/>
        <v>0</v>
      </c>
    </row>
  </sheetData>
  <mergeCells count="54">
    <mergeCell ref="BX5:BY5"/>
    <mergeCell ref="BZ5:CB5"/>
    <mergeCell ref="CC5:CD5"/>
    <mergeCell ref="AO4:AU4"/>
    <mergeCell ref="AO5:AO6"/>
    <mergeCell ref="AZ5:AZ6"/>
    <mergeCell ref="BA5:BE5"/>
    <mergeCell ref="BF5:BS5"/>
    <mergeCell ref="BT5:BW5"/>
    <mergeCell ref="AX5:AX6"/>
    <mergeCell ref="AP5:AP6"/>
    <mergeCell ref="AQ5:AQ6"/>
    <mergeCell ref="AR5:AR6"/>
    <mergeCell ref="AS5:AS6"/>
    <mergeCell ref="AU5:AU6"/>
    <mergeCell ref="AT5:AT6"/>
    <mergeCell ref="B4:C4"/>
    <mergeCell ref="L5:L6"/>
    <mergeCell ref="K5:K6"/>
    <mergeCell ref="AJ5:AJ6"/>
    <mergeCell ref="AF5:AF6"/>
    <mergeCell ref="AG5:AG6"/>
    <mergeCell ref="AH5:AH6"/>
    <mergeCell ref="AI5:AI6"/>
    <mergeCell ref="O5:O6"/>
    <mergeCell ref="AE5:AE6"/>
    <mergeCell ref="AE4:AL4"/>
    <mergeCell ref="AK5:AK6"/>
    <mergeCell ref="W5:W6"/>
    <mergeCell ref="X5:X6"/>
    <mergeCell ref="T5:T6"/>
    <mergeCell ref="J5:J6"/>
    <mergeCell ref="AV5:AV6"/>
    <mergeCell ref="AL5:AL6"/>
    <mergeCell ref="V5:V6"/>
    <mergeCell ref="P5:P6"/>
    <mergeCell ref="Q5:Q6"/>
    <mergeCell ref="R5:R6"/>
    <mergeCell ref="S5:S6"/>
    <mergeCell ref="U5:U6"/>
    <mergeCell ref="N5:N6"/>
    <mergeCell ref="B5:B6"/>
    <mergeCell ref="D5:D6"/>
    <mergeCell ref="E5:E6"/>
    <mergeCell ref="H5:H6"/>
    <mergeCell ref="C5:C6"/>
    <mergeCell ref="I5:I6"/>
    <mergeCell ref="W4:AD4"/>
    <mergeCell ref="AB5:AB6"/>
    <mergeCell ref="AC5:AC6"/>
    <mergeCell ref="AD5:AD6"/>
    <mergeCell ref="Y5:Y6"/>
    <mergeCell ref="Z5:Z6"/>
    <mergeCell ref="AA5:AA6"/>
  </mergeCells>
  <phoneticPr fontId="13" type="noConversion"/>
  <conditionalFormatting sqref="AW144:AW1048576 AW1:AW141">
    <cfRule type="cellIs" dxfId="68" priority="37" stopIfTrue="1" operator="greaterThan">
      <formula>42</formula>
    </cfRule>
  </conditionalFormatting>
  <conditionalFormatting sqref="AW142">
    <cfRule type="cellIs" dxfId="67" priority="14" stopIfTrue="1" operator="greaterThan">
      <formula>42</formula>
    </cfRule>
  </conditionalFormatting>
  <conditionalFormatting sqref="AW143">
    <cfRule type="cellIs" dxfId="66" priority="13" stopIfTrue="1" operator="greaterThan">
      <formula>42</formula>
    </cfRule>
  </conditionalFormatting>
  <conditionalFormatting sqref="AW137">
    <cfRule type="cellIs" dxfId="65" priority="5" stopIfTrue="1" operator="greaterThan">
      <formula>42</formula>
    </cfRule>
  </conditionalFormatting>
  <conditionalFormatting sqref="AW137">
    <cfRule type="cellIs" dxfId="64" priority="4" stopIfTrue="1" operator="greaterThan">
      <formula>42</formula>
    </cfRule>
  </conditionalFormatting>
  <conditionalFormatting sqref="AW137">
    <cfRule type="cellIs" dxfId="63" priority="3" stopIfTrue="1" operator="greaterThan">
      <formula>42</formula>
    </cfRule>
  </conditionalFormatting>
  <conditionalFormatting sqref="AW148:AW152">
    <cfRule type="cellIs" dxfId="62" priority="2" stopIfTrue="1" operator="greaterThan">
      <formula>42</formula>
    </cfRule>
  </conditionalFormatting>
  <conditionalFormatting sqref="AW148:AW152">
    <cfRule type="cellIs" dxfId="61" priority="1" stopIfTrue="1" operator="greaterThan">
      <formula>42</formula>
    </cfRule>
  </conditionalFormatting>
  <dataValidations count="3">
    <dataValidation type="textLength" operator="lessThan" allowBlank="1" showInputMessage="1" showErrorMessage="1" error="text length exceeded" prompt="max. 64 charcters" sqref="O124 O126 B136:C136 O148:O152 X148:X152 AF148:AF152 L148:M152 N149:N152 U116:U117 B112:D113 U114:V114 L114:M133 O111 L108:M111" xr:uid="{00000000-0002-0000-0F00-000000000000}">
      <formula1>65</formula1>
    </dataValidation>
    <dataValidation type="textLength" allowBlank="1" showInputMessage="1" showErrorMessage="1" sqref="AO136:AT136" xr:uid="{00000000-0002-0000-0F00-000001000000}">
      <formula1>0</formula1>
      <formula2>4</formula2>
    </dataValidation>
    <dataValidation type="textLength" operator="lessThanOrEqual" allowBlank="1" showInputMessage="1" showErrorMessage="1" sqref="AO112:AT113" xr:uid="{00000000-0002-0000-0F00-000002000000}">
      <formula1>4</formula1>
    </dataValidation>
  </dataValidations>
  <pageMargins left="0.78740157499999996" right="0.78740157499999996" top="0.984251969" bottom="0.984251969" header="0.49212598499999999" footer="0.49212598499999999"/>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1"/>
  <dimension ref="A1:CI501"/>
  <sheetViews>
    <sheetView showGridLines="0" showRuler="0" topLeftCell="A4" zoomScale="60" zoomScaleNormal="60" zoomScalePageLayoutView="90" workbookViewId="0">
      <pane ySplit="3" topLeftCell="A7" activePane="bottomLeft" state="frozenSplit"/>
      <selection activeCell="A4" sqref="A4"/>
      <selection pane="bottomLeft" activeCell="J35" sqref="J35"/>
    </sheetView>
  </sheetViews>
  <sheetFormatPr defaultColWidth="8.88671875" defaultRowHeight="13.2"/>
  <cols>
    <col min="1" max="1" width="5.6640625" style="144" customWidth="1"/>
    <col min="2" max="2" width="46.44140625" hidden="1" customWidth="1"/>
    <col min="3" max="3" width="8.6640625" hidden="1" customWidth="1"/>
    <col min="4" max="4" width="0" hidden="1" customWidth="1"/>
    <col min="5" max="7" width="10" hidden="1" customWidth="1"/>
    <col min="8" max="9" width="0" hidden="1" customWidth="1"/>
    <col min="10" max="10" width="36.6640625" customWidth="1"/>
    <col min="11" max="11" width="27.33203125" customWidth="1"/>
    <col min="12" max="12" width="45.109375" style="144" customWidth="1"/>
    <col min="13" max="13" width="46.5546875" customWidth="1"/>
    <col min="14" max="14" width="9" style="138" bestFit="1" customWidth="1"/>
    <col min="15" max="16" width="5.6640625" style="138" customWidth="1"/>
    <col min="17" max="19" width="4.6640625" style="138" customWidth="1"/>
    <col min="20" max="20" width="8.33203125" style="138" customWidth="1"/>
    <col min="21" max="21" width="68.44140625" style="144" customWidth="1"/>
    <col min="22" max="22" width="32.6640625" customWidth="1"/>
    <col min="23" max="23" width="18.33203125" customWidth="1"/>
    <col min="24" max="25" width="5.6640625" customWidth="1"/>
    <col min="26" max="27" width="4.6640625" customWidth="1"/>
    <col min="28" max="28" width="31" customWidth="1"/>
    <col min="29" max="29" width="16.109375" customWidth="1"/>
    <col min="30" max="30" width="22.109375" customWidth="1"/>
    <col min="31" max="31" width="18.33203125" customWidth="1"/>
    <col min="32" max="33" width="5.6640625" customWidth="1"/>
    <col min="34" max="35" width="4.6640625" customWidth="1"/>
    <col min="36" max="36" width="33.6640625" customWidth="1"/>
    <col min="37" max="37" width="8.88671875" customWidth="1"/>
    <col min="38" max="38" width="24.44140625" customWidth="1"/>
    <col min="39" max="39" width="11.44140625" customWidth="1"/>
    <col min="40" max="40" width="30.6640625" customWidth="1"/>
    <col min="48" max="48" width="30.6640625" customWidth="1"/>
    <col min="49" max="49" width="0" hidden="1" customWidth="1"/>
  </cols>
  <sheetData>
    <row r="1" spans="1:87" ht="13.8" hidden="1" thickBot="1"/>
    <row r="2" spans="1:87" ht="13.8" hidden="1" thickBot="1"/>
    <row r="3" spans="1:87" s="1" customFormat="1" ht="13.8" hidden="1" thickBot="1">
      <c r="A3" s="146"/>
      <c r="C3" s="2"/>
      <c r="E3" s="3"/>
      <c r="F3" s="3"/>
      <c r="G3" s="3"/>
      <c r="H3" s="3"/>
      <c r="I3" s="3"/>
      <c r="J3" s="3"/>
      <c r="K3" s="3"/>
      <c r="L3" s="136"/>
      <c r="M3" s="3"/>
      <c r="N3" s="136"/>
      <c r="O3" s="136"/>
      <c r="P3" s="136"/>
      <c r="Q3" s="136"/>
      <c r="R3" s="136"/>
      <c r="S3" s="136"/>
      <c r="T3" s="136"/>
      <c r="U3" s="136"/>
      <c r="V3" s="3"/>
      <c r="W3" s="3"/>
      <c r="X3" s="4"/>
      <c r="Y3" s="5"/>
      <c r="Z3" s="5"/>
      <c r="AA3" s="3"/>
      <c r="AB3" s="3"/>
      <c r="AC3" s="3"/>
      <c r="AD3" s="3"/>
      <c r="AE3" s="3"/>
      <c r="AF3" s="4"/>
      <c r="AG3" s="5"/>
      <c r="AH3" s="5"/>
      <c r="AI3" s="3"/>
      <c r="AJ3" s="3"/>
      <c r="AK3" s="2"/>
      <c r="AL3" s="2"/>
      <c r="AM3" s="2"/>
      <c r="AN3" s="2"/>
      <c r="AO3" s="2"/>
      <c r="AP3" s="2"/>
      <c r="AQ3" s="2"/>
    </row>
    <row r="4" spans="1:87"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7" s="1" customFormat="1" ht="24" customHeight="1" thickBot="1">
      <c r="A5" s="159"/>
      <c r="B5" s="654" t="s">
        <v>469</v>
      </c>
      <c r="C5" s="654" t="s">
        <v>470</v>
      </c>
      <c r="D5" s="637" t="s">
        <v>471</v>
      </c>
      <c r="E5" s="637" t="s">
        <v>472</v>
      </c>
      <c r="F5" s="557"/>
      <c r="G5" s="557"/>
      <c r="H5" s="637" t="s">
        <v>475</v>
      </c>
      <c r="I5" s="646" t="s">
        <v>476</v>
      </c>
      <c r="J5" s="648" t="s">
        <v>477</v>
      </c>
      <c r="K5" s="648" t="s">
        <v>478</v>
      </c>
      <c r="L5" s="648" t="s">
        <v>479</v>
      </c>
      <c r="M5" s="559"/>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7" s="7" customFormat="1" ht="162" customHeight="1" thickBot="1">
      <c r="A6" s="58" t="s">
        <v>501</v>
      </c>
      <c r="B6" s="655"/>
      <c r="C6" s="655"/>
      <c r="D6" s="638"/>
      <c r="E6" s="638"/>
      <c r="F6" s="558" t="s">
        <v>473</v>
      </c>
      <c r="G6" s="558" t="s">
        <v>474</v>
      </c>
      <c r="H6" s="638"/>
      <c r="I6" s="647"/>
      <c r="J6" s="649"/>
      <c r="K6" s="649"/>
      <c r="L6" s="649"/>
      <c r="M6" s="560" t="s">
        <v>3506</v>
      </c>
      <c r="N6" s="649"/>
      <c r="O6" s="649"/>
      <c r="P6" s="649"/>
      <c r="Q6" s="649"/>
      <c r="R6" s="649"/>
      <c r="S6" s="649"/>
      <c r="T6" s="649"/>
      <c r="U6" s="649"/>
      <c r="V6" s="649"/>
      <c r="W6" s="636"/>
      <c r="X6" s="636"/>
      <c r="Y6" s="636"/>
      <c r="Z6" s="641"/>
      <c r="AA6" s="636"/>
      <c r="AB6" s="636"/>
      <c r="AC6" s="636"/>
      <c r="AD6" s="636"/>
      <c r="AE6" s="676"/>
      <c r="AF6" s="676"/>
      <c r="AG6" s="676"/>
      <c r="AH6" s="638"/>
      <c r="AI6" s="678"/>
      <c r="AJ6" s="638"/>
      <c r="AK6" s="638"/>
      <c r="AL6" s="638"/>
      <c r="AM6" s="32" t="s">
        <v>502</v>
      </c>
      <c r="AN6" s="32" t="s">
        <v>487</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7" ht="15">
      <c r="A7" s="525">
        <f t="shared" ref="A7:A25" si="0">ROW() - 6</f>
        <v>1</v>
      </c>
      <c r="B7" s="65"/>
      <c r="C7" s="65"/>
      <c r="D7" s="65"/>
      <c r="E7" s="65"/>
      <c r="F7" s="65"/>
      <c r="G7" s="65"/>
      <c r="H7" s="65"/>
      <c r="I7" s="65"/>
      <c r="J7" s="508" t="s">
        <v>503</v>
      </c>
      <c r="K7" s="65"/>
      <c r="L7" s="142"/>
      <c r="M7" s="65"/>
      <c r="N7" s="137"/>
      <c r="O7" s="137"/>
      <c r="P7" s="137"/>
      <c r="Q7" s="137"/>
      <c r="R7" s="137"/>
      <c r="S7" s="137"/>
      <c r="T7" s="137"/>
      <c r="U7" s="145"/>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65"/>
      <c r="AW7" s="18">
        <f t="shared" ref="AW7:AW25" si="1">LEN(L7)</f>
        <v>0</v>
      </c>
    </row>
    <row r="8" spans="1:87" s="12" customFormat="1" ht="15">
      <c r="A8" s="40">
        <f t="shared" si="0"/>
        <v>2</v>
      </c>
      <c r="B8" s="38"/>
      <c r="C8" s="41"/>
      <c r="D8" s="38"/>
      <c r="E8" s="38"/>
      <c r="F8" s="38"/>
      <c r="G8" s="38"/>
      <c r="H8" s="13"/>
      <c r="I8" s="40"/>
      <c r="J8" s="412" t="s">
        <v>3136</v>
      </c>
      <c r="K8" s="412" t="s">
        <v>122</v>
      </c>
      <c r="L8" s="412" t="s">
        <v>889</v>
      </c>
      <c r="M8" s="412" t="s">
        <v>4037</v>
      </c>
      <c r="N8" s="349" t="s">
        <v>873</v>
      </c>
      <c r="O8" s="40"/>
      <c r="P8" s="40"/>
      <c r="Q8" s="40"/>
      <c r="R8" s="40" t="s">
        <v>6</v>
      </c>
      <c r="S8" s="40" t="s">
        <v>6</v>
      </c>
      <c r="T8" s="40" t="s">
        <v>6</v>
      </c>
      <c r="U8" s="212" t="s">
        <v>812</v>
      </c>
      <c r="V8" s="412" t="s">
        <v>3137</v>
      </c>
      <c r="W8" s="412" t="s">
        <v>125</v>
      </c>
      <c r="X8" s="13"/>
      <c r="Y8" s="13"/>
      <c r="Z8" s="40"/>
      <c r="AA8" s="40" t="s">
        <v>6</v>
      </c>
      <c r="AB8" s="40"/>
      <c r="AC8" s="412"/>
      <c r="AD8" s="412" t="s">
        <v>3138</v>
      </c>
      <c r="AE8" s="412" t="s">
        <v>125</v>
      </c>
      <c r="AF8" s="13"/>
      <c r="AG8" s="13"/>
      <c r="AH8" s="40"/>
      <c r="AI8" s="40" t="s">
        <v>6</v>
      </c>
      <c r="AJ8" s="40"/>
      <c r="AK8" s="412"/>
      <c r="AL8" s="412" t="s">
        <v>3138</v>
      </c>
      <c r="AM8" s="43" t="s">
        <v>3139</v>
      </c>
      <c r="AN8" s="19"/>
      <c r="AO8" s="37"/>
      <c r="AP8" s="37"/>
      <c r="AQ8" s="37"/>
      <c r="AR8" s="37"/>
      <c r="AS8" s="37"/>
      <c r="AT8" s="37"/>
      <c r="AU8" s="13"/>
      <c r="AV8" s="13"/>
      <c r="AW8" s="18">
        <f t="shared" si="1"/>
        <v>31</v>
      </c>
    </row>
    <row r="9" spans="1:87" s="12" customFormat="1" ht="15">
      <c r="A9" s="40">
        <f t="shared" si="0"/>
        <v>3</v>
      </c>
      <c r="B9" s="38"/>
      <c r="C9" s="34"/>
      <c r="D9" s="33"/>
      <c r="E9" s="39"/>
      <c r="F9" s="39"/>
      <c r="G9" s="39"/>
      <c r="H9" s="414"/>
      <c r="I9" s="40"/>
      <c r="J9" s="412" t="s">
        <v>3140</v>
      </c>
      <c r="K9" s="412" t="s">
        <v>122</v>
      </c>
      <c r="L9" s="412" t="s">
        <v>894</v>
      </c>
      <c r="M9" s="412" t="s">
        <v>4037</v>
      </c>
      <c r="N9" s="349" t="s">
        <v>873</v>
      </c>
      <c r="O9" s="40"/>
      <c r="P9" s="40"/>
      <c r="Q9" s="40"/>
      <c r="R9" s="40" t="s">
        <v>6</v>
      </c>
      <c r="S9" s="40" t="s">
        <v>6</v>
      </c>
      <c r="T9" s="40" t="s">
        <v>6</v>
      </c>
      <c r="U9" s="212" t="s">
        <v>812</v>
      </c>
      <c r="V9" s="412" t="s">
        <v>3137</v>
      </c>
      <c r="W9" s="412" t="s">
        <v>125</v>
      </c>
      <c r="X9" s="13"/>
      <c r="Y9" s="13"/>
      <c r="Z9" s="40"/>
      <c r="AA9" s="40" t="s">
        <v>6</v>
      </c>
      <c r="AB9" s="40"/>
      <c r="AC9" s="412"/>
      <c r="AD9" s="412" t="s">
        <v>3138</v>
      </c>
      <c r="AE9" s="412" t="s">
        <v>125</v>
      </c>
      <c r="AF9" s="13"/>
      <c r="AG9" s="13"/>
      <c r="AH9" s="40"/>
      <c r="AI9" s="40" t="s">
        <v>6</v>
      </c>
      <c r="AJ9" s="40"/>
      <c r="AK9" s="412"/>
      <c r="AL9" s="412" t="s">
        <v>3138</v>
      </c>
      <c r="AM9" s="43" t="s">
        <v>3139</v>
      </c>
      <c r="AN9" s="19"/>
      <c r="AO9" s="37"/>
      <c r="AP9" s="37"/>
      <c r="AQ9" s="37"/>
      <c r="AR9" s="37"/>
      <c r="AS9" s="37"/>
      <c r="AT9" s="37"/>
      <c r="AU9" s="13"/>
      <c r="AV9" s="13"/>
      <c r="AW9" s="18">
        <f t="shared" si="1"/>
        <v>31</v>
      </c>
    </row>
    <row r="10" spans="1:87" s="12" customFormat="1" ht="15">
      <c r="A10" s="40">
        <f t="shared" si="0"/>
        <v>4</v>
      </c>
      <c r="B10" s="38"/>
      <c r="C10" s="41"/>
      <c r="D10" s="33"/>
      <c r="E10" s="39"/>
      <c r="F10" s="39"/>
      <c r="G10" s="39"/>
      <c r="H10" s="414"/>
      <c r="I10" s="40"/>
      <c r="J10" s="412" t="s">
        <v>3141</v>
      </c>
      <c r="K10" s="412" t="s">
        <v>122</v>
      </c>
      <c r="L10" s="412" t="s">
        <v>896</v>
      </c>
      <c r="M10" s="412" t="s">
        <v>4037</v>
      </c>
      <c r="N10" s="349" t="s">
        <v>873</v>
      </c>
      <c r="O10" s="416"/>
      <c r="P10" s="416"/>
      <c r="Q10" s="416"/>
      <c r="R10" s="416" t="s">
        <v>6</v>
      </c>
      <c r="S10" s="416" t="s">
        <v>6</v>
      </c>
      <c r="T10" s="416" t="s">
        <v>6</v>
      </c>
      <c r="U10" s="279" t="s">
        <v>812</v>
      </c>
      <c r="V10" s="412" t="s">
        <v>3137</v>
      </c>
      <c r="W10" s="412" t="s">
        <v>125</v>
      </c>
      <c r="X10" s="13"/>
      <c r="Y10" s="13"/>
      <c r="Z10" s="416"/>
      <c r="AA10" s="416" t="s">
        <v>6</v>
      </c>
      <c r="AB10" s="40"/>
      <c r="AC10" s="412"/>
      <c r="AD10" s="412" t="s">
        <v>3138</v>
      </c>
      <c r="AE10" s="412" t="s">
        <v>125</v>
      </c>
      <c r="AF10" s="13"/>
      <c r="AG10" s="13"/>
      <c r="AH10" s="416"/>
      <c r="AI10" s="416" t="s">
        <v>6</v>
      </c>
      <c r="AJ10" s="40"/>
      <c r="AK10" s="412"/>
      <c r="AL10" s="412" t="s">
        <v>3138</v>
      </c>
      <c r="AM10" s="36" t="s">
        <v>3139</v>
      </c>
      <c r="AN10" s="35"/>
      <c r="AO10" s="37"/>
      <c r="AP10" s="37"/>
      <c r="AQ10" s="37"/>
      <c r="AR10" s="37"/>
      <c r="AS10" s="37"/>
      <c r="AT10" s="37"/>
      <c r="AU10" s="13"/>
      <c r="AV10" s="13"/>
      <c r="AW10" s="18">
        <f t="shared" si="1"/>
        <v>31</v>
      </c>
    </row>
    <row r="11" spans="1:87" s="14" customFormat="1" ht="26.4">
      <c r="A11" s="40">
        <f t="shared" si="0"/>
        <v>5</v>
      </c>
      <c r="B11" s="38"/>
      <c r="C11" s="42"/>
      <c r="D11" s="19"/>
      <c r="E11" s="19"/>
      <c r="F11" s="35"/>
      <c r="G11" s="35"/>
      <c r="H11" s="414"/>
      <c r="I11" s="13"/>
      <c r="J11" s="412" t="s">
        <v>3137</v>
      </c>
      <c r="K11" s="412" t="s">
        <v>122</v>
      </c>
      <c r="L11" s="412" t="s">
        <v>674</v>
      </c>
      <c r="M11" s="412" t="s">
        <v>4037</v>
      </c>
      <c r="N11" s="349" t="s">
        <v>873</v>
      </c>
      <c r="O11" s="40"/>
      <c r="P11" s="40"/>
      <c r="Q11" s="416" t="s">
        <v>6</v>
      </c>
      <c r="R11" s="416" t="s">
        <v>6</v>
      </c>
      <c r="S11" s="40" t="s">
        <v>6</v>
      </c>
      <c r="T11" s="416" t="s">
        <v>6</v>
      </c>
      <c r="U11" s="244" t="s">
        <v>3142</v>
      </c>
      <c r="V11" s="206"/>
      <c r="W11" s="412" t="s">
        <v>123</v>
      </c>
      <c r="X11" s="413"/>
      <c r="Y11" s="413"/>
      <c r="Z11" s="416" t="s">
        <v>6</v>
      </c>
      <c r="AA11" s="13" t="s">
        <v>6</v>
      </c>
      <c r="AB11" s="204"/>
      <c r="AC11" s="206"/>
      <c r="AD11" s="40"/>
      <c r="AE11" s="412" t="s">
        <v>123</v>
      </c>
      <c r="AF11" s="413"/>
      <c r="AG11" s="413"/>
      <c r="AH11" s="416" t="s">
        <v>6</v>
      </c>
      <c r="AI11" s="13" t="s">
        <v>6</v>
      </c>
      <c r="AK11" s="206"/>
      <c r="AL11" s="40"/>
      <c r="AM11" s="36" t="s">
        <v>3139</v>
      </c>
      <c r="AN11" s="204" t="str">
        <f>"Atende também ao agrupamento dos itens "&amp;A8&amp;" a "&amp;A10&amp;" para ONS."</f>
        <v>Atende também ao agrupamento dos itens 2 a 4 para ONS.</v>
      </c>
      <c r="AO11" s="13"/>
      <c r="AP11" s="13"/>
      <c r="AQ11" s="13"/>
      <c r="AR11" s="13"/>
      <c r="AS11" s="13"/>
      <c r="AT11" s="13"/>
      <c r="AU11" s="13"/>
      <c r="AV11" s="13"/>
      <c r="AW11" s="18">
        <f t="shared" si="1"/>
        <v>24</v>
      </c>
    </row>
    <row r="12" spans="1:87" s="236" customFormat="1" ht="15">
      <c r="A12" s="40">
        <f t="shared" si="0"/>
        <v>6</v>
      </c>
      <c r="B12" s="199"/>
      <c r="C12" s="199"/>
      <c r="D12" s="199"/>
      <c r="E12" s="199"/>
      <c r="F12" s="199"/>
      <c r="G12" s="199"/>
      <c r="H12" s="199"/>
      <c r="I12" s="199"/>
      <c r="J12" s="215" t="s">
        <v>3143</v>
      </c>
      <c r="K12" s="204" t="s">
        <v>117</v>
      </c>
      <c r="L12" s="204" t="s">
        <v>811</v>
      </c>
      <c r="M12" s="204"/>
      <c r="N12" s="40" t="s">
        <v>504</v>
      </c>
      <c r="O12" s="199"/>
      <c r="P12" s="199"/>
      <c r="Q12" s="40" t="s">
        <v>6</v>
      </c>
      <c r="R12" s="40" t="s">
        <v>6</v>
      </c>
      <c r="S12" s="40" t="s">
        <v>6</v>
      </c>
      <c r="T12" s="126" t="s">
        <v>6</v>
      </c>
      <c r="U12" s="204" t="s">
        <v>812</v>
      </c>
      <c r="V12" s="204"/>
      <c r="W12" s="204" t="s">
        <v>125</v>
      </c>
      <c r="X12" s="199"/>
      <c r="Y12" s="199"/>
      <c r="Z12" s="40" t="s">
        <v>6</v>
      </c>
      <c r="AA12" s="40" t="s">
        <v>6</v>
      </c>
      <c r="AB12" s="218"/>
      <c r="AC12" s="199"/>
      <c r="AD12" s="218"/>
      <c r="AE12" s="204" t="s">
        <v>125</v>
      </c>
      <c r="AF12" s="199"/>
      <c r="AG12" s="199"/>
      <c r="AH12" s="126"/>
      <c r="AI12" s="40" t="s">
        <v>6</v>
      </c>
      <c r="AJ12" s="218"/>
      <c r="AK12" s="199"/>
      <c r="AL12" s="218"/>
      <c r="AM12" s="199"/>
      <c r="AN12" s="199"/>
      <c r="AO12" s="199"/>
      <c r="AP12" s="199"/>
      <c r="AQ12" s="199"/>
      <c r="AR12" s="199"/>
      <c r="AS12" s="199"/>
      <c r="AT12" s="199"/>
      <c r="AU12" s="199"/>
      <c r="AV12" s="199"/>
      <c r="AW12" s="155">
        <f t="shared" si="1"/>
        <v>35</v>
      </c>
    </row>
    <row r="13" spans="1:87" s="236" customFormat="1" ht="24" customHeight="1">
      <c r="A13" s="40">
        <f t="shared" si="0"/>
        <v>7</v>
      </c>
      <c r="B13" s="199"/>
      <c r="C13" s="199"/>
      <c r="D13" s="199"/>
      <c r="E13" s="199"/>
      <c r="F13" s="199"/>
      <c r="G13" s="199"/>
      <c r="H13" s="199"/>
      <c r="I13" s="199"/>
      <c r="J13" s="215" t="s">
        <v>3144</v>
      </c>
      <c r="K13" s="204" t="s">
        <v>117</v>
      </c>
      <c r="L13" s="204" t="s">
        <v>3145</v>
      </c>
      <c r="M13" s="204"/>
      <c r="N13" s="40" t="s">
        <v>504</v>
      </c>
      <c r="O13" s="199"/>
      <c r="P13" s="199"/>
      <c r="Q13" s="40" t="s">
        <v>6</v>
      </c>
      <c r="R13" s="40" t="s">
        <v>6</v>
      </c>
      <c r="S13" s="40" t="s">
        <v>6</v>
      </c>
      <c r="T13" s="126" t="s">
        <v>6</v>
      </c>
      <c r="U13" s="204" t="s">
        <v>812</v>
      </c>
      <c r="V13" s="204"/>
      <c r="W13" s="204" t="s">
        <v>125</v>
      </c>
      <c r="X13" s="199"/>
      <c r="Y13" s="199"/>
      <c r="Z13" s="40" t="s">
        <v>6</v>
      </c>
      <c r="AA13" s="40" t="s">
        <v>6</v>
      </c>
      <c r="AB13" s="218"/>
      <c r="AC13" s="199"/>
      <c r="AD13" s="218"/>
      <c r="AE13" s="204" t="s">
        <v>125</v>
      </c>
      <c r="AF13" s="199"/>
      <c r="AG13" s="199"/>
      <c r="AH13" s="126"/>
      <c r="AI13" s="40" t="s">
        <v>6</v>
      </c>
      <c r="AJ13" s="218"/>
      <c r="AK13" s="199"/>
      <c r="AL13" s="218"/>
      <c r="AM13" s="199"/>
      <c r="AN13" s="199"/>
      <c r="AO13" s="199"/>
      <c r="AP13" s="199"/>
      <c r="AQ13" s="199"/>
      <c r="AR13" s="199"/>
      <c r="AS13" s="199"/>
      <c r="AT13" s="199"/>
      <c r="AU13" s="199"/>
      <c r="AV13" s="199"/>
      <c r="AW13" s="155">
        <f t="shared" si="1"/>
        <v>34</v>
      </c>
    </row>
    <row r="14" spans="1:87" s="12" customFormat="1" ht="27" customHeight="1">
      <c r="A14" s="40">
        <f t="shared" si="0"/>
        <v>8</v>
      </c>
      <c r="B14" s="38"/>
      <c r="C14" s="42"/>
      <c r="D14" s="19"/>
      <c r="E14" s="19"/>
      <c r="F14" s="19"/>
      <c r="G14" s="19"/>
      <c r="H14" s="13"/>
      <c r="I14" s="13"/>
      <c r="J14" s="218" t="s">
        <v>3146</v>
      </c>
      <c r="K14" s="412" t="s">
        <v>117</v>
      </c>
      <c r="L14" s="204" t="s">
        <v>801</v>
      </c>
      <c r="M14" s="367"/>
      <c r="N14" s="416" t="s">
        <v>504</v>
      </c>
      <c r="O14" s="126"/>
      <c r="P14" s="126"/>
      <c r="Q14" s="416" t="s">
        <v>6</v>
      </c>
      <c r="R14" s="416" t="s">
        <v>6</v>
      </c>
      <c r="S14" s="40" t="s">
        <v>6</v>
      </c>
      <c r="T14" s="416" t="s">
        <v>6</v>
      </c>
      <c r="U14" s="200" t="s">
        <v>802</v>
      </c>
      <c r="V14" s="206"/>
      <c r="W14" s="412" t="s">
        <v>125</v>
      </c>
      <c r="X14" s="59"/>
      <c r="Y14" s="59"/>
      <c r="Z14" s="59"/>
      <c r="AA14" s="40" t="s">
        <v>6</v>
      </c>
      <c r="AB14" s="413"/>
      <c r="AC14" s="415"/>
      <c r="AD14" s="415"/>
      <c r="AE14" s="412" t="s">
        <v>125</v>
      </c>
      <c r="AF14" s="59"/>
      <c r="AG14" s="59"/>
      <c r="AH14" s="59"/>
      <c r="AI14" s="40" t="s">
        <v>6</v>
      </c>
      <c r="AJ14" s="413"/>
      <c r="AK14" s="415"/>
      <c r="AL14" s="415"/>
      <c r="AM14" s="43"/>
      <c r="AN14" s="44"/>
      <c r="AO14" s="13"/>
      <c r="AP14" s="13"/>
      <c r="AQ14" s="13"/>
      <c r="AR14" s="13"/>
      <c r="AS14" s="13"/>
      <c r="AT14" s="13"/>
      <c r="AU14" s="13"/>
      <c r="AV14" s="13"/>
      <c r="AW14" s="18">
        <f t="shared" si="1"/>
        <v>21</v>
      </c>
      <c r="AX14" s="16"/>
      <c r="AY14" s="17"/>
    </row>
    <row r="15" spans="1:87" s="18" customFormat="1" ht="15">
      <c r="A15" s="40">
        <f t="shared" si="0"/>
        <v>9</v>
      </c>
      <c r="B15" s="38"/>
      <c r="C15" s="42"/>
      <c r="D15" s="38"/>
      <c r="E15" s="46"/>
      <c r="F15" s="46"/>
      <c r="G15" s="46"/>
      <c r="H15" s="13"/>
      <c r="I15" s="40"/>
      <c r="J15" s="218" t="s">
        <v>3147</v>
      </c>
      <c r="K15" s="412" t="s">
        <v>117</v>
      </c>
      <c r="L15" s="204" t="s">
        <v>804</v>
      </c>
      <c r="M15" s="367"/>
      <c r="N15" s="416" t="s">
        <v>504</v>
      </c>
      <c r="O15" s="126"/>
      <c r="P15" s="126"/>
      <c r="Q15" s="416" t="s">
        <v>6</v>
      </c>
      <c r="R15" s="416" t="s">
        <v>6</v>
      </c>
      <c r="S15" s="40" t="s">
        <v>6</v>
      </c>
      <c r="T15" s="416" t="s">
        <v>6</v>
      </c>
      <c r="U15" s="200" t="s">
        <v>802</v>
      </c>
      <c r="V15" s="206"/>
      <c r="W15" s="412" t="s">
        <v>125</v>
      </c>
      <c r="X15" s="59"/>
      <c r="Y15" s="59"/>
      <c r="Z15" s="59"/>
      <c r="AA15" s="40" t="s">
        <v>6</v>
      </c>
      <c r="AB15" s="413"/>
      <c r="AC15" s="413"/>
      <c r="AD15" s="413"/>
      <c r="AE15" s="412" t="s">
        <v>125</v>
      </c>
      <c r="AF15" s="59"/>
      <c r="AG15" s="59"/>
      <c r="AH15" s="59"/>
      <c r="AI15" s="40" t="s">
        <v>6</v>
      </c>
      <c r="AJ15" s="413"/>
      <c r="AK15" s="413"/>
      <c r="AL15" s="413"/>
      <c r="AM15" s="43"/>
      <c r="AN15" s="19"/>
      <c r="AO15" s="15"/>
      <c r="AP15" s="15"/>
      <c r="AQ15" s="15"/>
      <c r="AR15" s="15"/>
      <c r="AS15" s="15"/>
      <c r="AT15" s="15"/>
      <c r="AU15" s="15"/>
      <c r="AV15" s="13"/>
      <c r="AW15" s="18">
        <f t="shared" si="1"/>
        <v>25</v>
      </c>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c r="CH15" s="12"/>
      <c r="CI15" s="12"/>
    </row>
    <row r="16" spans="1:87" s="20" customFormat="1" ht="15">
      <c r="A16" s="40">
        <f t="shared" si="0"/>
        <v>10</v>
      </c>
      <c r="B16" s="59"/>
      <c r="C16" s="59"/>
      <c r="D16" s="59"/>
      <c r="E16" s="59"/>
      <c r="F16" s="59"/>
      <c r="G16" s="59"/>
      <c r="H16" s="59"/>
      <c r="I16" s="59"/>
      <c r="J16" s="218" t="s">
        <v>3148</v>
      </c>
      <c r="K16" s="204" t="s">
        <v>117</v>
      </c>
      <c r="L16" s="204" t="s">
        <v>737</v>
      </c>
      <c r="M16" s="367"/>
      <c r="N16" s="416" t="s">
        <v>504</v>
      </c>
      <c r="O16" s="126"/>
      <c r="P16" s="126"/>
      <c r="Q16" s="40" t="s">
        <v>6</v>
      </c>
      <c r="R16" s="40" t="s">
        <v>6</v>
      </c>
      <c r="S16" s="40" t="s">
        <v>6</v>
      </c>
      <c r="T16" s="416" t="s">
        <v>6</v>
      </c>
      <c r="U16" s="200" t="s">
        <v>802</v>
      </c>
      <c r="V16" s="206"/>
      <c r="W16" s="204" t="s">
        <v>125</v>
      </c>
      <c r="X16" s="59"/>
      <c r="Y16" s="59"/>
      <c r="Z16" s="59"/>
      <c r="AA16" s="40" t="s">
        <v>6</v>
      </c>
      <c r="AB16" s="15"/>
      <c r="AC16" s="59"/>
      <c r="AD16" s="59"/>
      <c r="AE16" s="204" t="s">
        <v>125</v>
      </c>
      <c r="AF16" s="59"/>
      <c r="AG16" s="59"/>
      <c r="AH16" s="59"/>
      <c r="AI16" s="40" t="s">
        <v>6</v>
      </c>
      <c r="AJ16" s="15"/>
      <c r="AK16" s="59"/>
      <c r="AL16" s="59"/>
      <c r="AM16" s="59"/>
      <c r="AN16" s="59"/>
      <c r="AO16" s="59"/>
      <c r="AP16" s="59"/>
      <c r="AQ16" s="59"/>
      <c r="AR16" s="59"/>
      <c r="AS16" s="59"/>
      <c r="AT16" s="59"/>
      <c r="AU16" s="59"/>
      <c r="AV16" s="59"/>
      <c r="AW16" s="18">
        <f t="shared" si="1"/>
        <v>28</v>
      </c>
    </row>
    <row r="17" spans="1:49" s="20" customFormat="1" ht="15">
      <c r="A17" s="40">
        <f t="shared" si="0"/>
        <v>11</v>
      </c>
      <c r="B17" s="59"/>
      <c r="C17" s="59"/>
      <c r="D17" s="59"/>
      <c r="E17" s="59"/>
      <c r="F17" s="59"/>
      <c r="G17" s="59"/>
      <c r="H17" s="59"/>
      <c r="I17" s="59"/>
      <c r="J17" s="218" t="s">
        <v>3149</v>
      </c>
      <c r="K17" s="204" t="s">
        <v>117</v>
      </c>
      <c r="L17" s="204" t="s">
        <v>737</v>
      </c>
      <c r="M17" s="367"/>
      <c r="N17" s="416" t="s">
        <v>504</v>
      </c>
      <c r="O17" s="126"/>
      <c r="P17" s="126"/>
      <c r="Q17" s="40" t="s">
        <v>6</v>
      </c>
      <c r="R17" s="40" t="s">
        <v>6</v>
      </c>
      <c r="S17" s="40" t="s">
        <v>6</v>
      </c>
      <c r="T17" s="416" t="s">
        <v>6</v>
      </c>
      <c r="U17" s="200" t="s">
        <v>560</v>
      </c>
      <c r="V17" s="206"/>
      <c r="W17" s="204" t="s">
        <v>125</v>
      </c>
      <c r="X17" s="59"/>
      <c r="Y17" s="59"/>
      <c r="Z17" s="59"/>
      <c r="AA17" s="40" t="s">
        <v>6</v>
      </c>
      <c r="AB17" s="15"/>
      <c r="AC17" s="59"/>
      <c r="AD17" s="59"/>
      <c r="AE17" s="204" t="s">
        <v>125</v>
      </c>
      <c r="AF17" s="59"/>
      <c r="AG17" s="59"/>
      <c r="AH17" s="59"/>
      <c r="AI17" s="40" t="s">
        <v>6</v>
      </c>
      <c r="AJ17" s="15"/>
      <c r="AK17" s="59"/>
      <c r="AL17" s="59"/>
      <c r="AM17" s="59"/>
      <c r="AN17" s="59"/>
      <c r="AO17" s="59"/>
      <c r="AP17" s="59"/>
      <c r="AQ17" s="59"/>
      <c r="AR17" s="59"/>
      <c r="AS17" s="59"/>
      <c r="AT17" s="59"/>
      <c r="AU17" s="59"/>
      <c r="AV17" s="59"/>
      <c r="AW17" s="18">
        <f t="shared" si="1"/>
        <v>28</v>
      </c>
    </row>
    <row r="18" spans="1:49" s="20" customFormat="1" ht="15">
      <c r="A18" s="40">
        <f t="shared" si="0"/>
        <v>12</v>
      </c>
      <c r="B18" s="59"/>
      <c r="C18" s="59"/>
      <c r="D18" s="59"/>
      <c r="E18" s="59"/>
      <c r="F18" s="59"/>
      <c r="G18" s="59"/>
      <c r="H18" s="59"/>
      <c r="I18" s="59"/>
      <c r="J18" s="218" t="s">
        <v>3150</v>
      </c>
      <c r="K18" s="204" t="s">
        <v>117</v>
      </c>
      <c r="L18" s="204" t="s">
        <v>737</v>
      </c>
      <c r="M18" s="367"/>
      <c r="N18" s="416" t="s">
        <v>504</v>
      </c>
      <c r="O18" s="126"/>
      <c r="P18" s="126"/>
      <c r="Q18" s="40" t="s">
        <v>6</v>
      </c>
      <c r="R18" s="40" t="s">
        <v>6</v>
      </c>
      <c r="S18" s="40" t="s">
        <v>6</v>
      </c>
      <c r="T18" s="416" t="s">
        <v>6</v>
      </c>
      <c r="U18" s="204"/>
      <c r="V18" s="206"/>
      <c r="W18" s="204" t="s">
        <v>125</v>
      </c>
      <c r="X18" s="59"/>
      <c r="Y18" s="59"/>
      <c r="Z18" s="59"/>
      <c r="AA18" s="40" t="s">
        <v>6</v>
      </c>
      <c r="AB18" s="15"/>
      <c r="AC18" s="59"/>
      <c r="AD18" s="59"/>
      <c r="AE18" s="204" t="s">
        <v>125</v>
      </c>
      <c r="AF18" s="59"/>
      <c r="AG18" s="59"/>
      <c r="AH18" s="59"/>
      <c r="AI18" s="40" t="s">
        <v>6</v>
      </c>
      <c r="AJ18" s="15"/>
      <c r="AK18" s="59"/>
      <c r="AL18" s="59"/>
      <c r="AM18" s="59"/>
      <c r="AN18" s="59"/>
      <c r="AO18" s="59"/>
      <c r="AP18" s="59"/>
      <c r="AQ18" s="59"/>
      <c r="AR18" s="59"/>
      <c r="AS18" s="59"/>
      <c r="AT18" s="59"/>
      <c r="AU18" s="59"/>
      <c r="AV18" s="59"/>
      <c r="AW18" s="18">
        <f t="shared" si="1"/>
        <v>28</v>
      </c>
    </row>
    <row r="19" spans="1:49" s="236" customFormat="1" ht="15">
      <c r="A19" s="40">
        <f t="shared" si="0"/>
        <v>13</v>
      </c>
      <c r="B19" s="199"/>
      <c r="C19" s="199"/>
      <c r="D19" s="199"/>
      <c r="E19" s="199"/>
      <c r="F19" s="199"/>
      <c r="G19" s="199"/>
      <c r="H19" s="199"/>
      <c r="I19" s="199"/>
      <c r="J19" s="218" t="s">
        <v>3151</v>
      </c>
      <c r="K19" s="204" t="s">
        <v>140</v>
      </c>
      <c r="L19" s="204" t="s">
        <v>749</v>
      </c>
      <c r="M19" s="204"/>
      <c r="N19" s="126" t="s">
        <v>504</v>
      </c>
      <c r="O19" s="126"/>
      <c r="P19" s="126"/>
      <c r="Q19" s="40" t="s">
        <v>6</v>
      </c>
      <c r="R19" s="40" t="s">
        <v>6</v>
      </c>
      <c r="S19" s="40" t="s">
        <v>6</v>
      </c>
      <c r="T19" s="40" t="s">
        <v>6</v>
      </c>
      <c r="U19" s="244" t="s">
        <v>3152</v>
      </c>
      <c r="V19" s="204"/>
      <c r="W19" s="204" t="s">
        <v>140</v>
      </c>
      <c r="X19" s="199"/>
      <c r="Y19" s="199"/>
      <c r="Z19" s="199"/>
      <c r="AA19" s="40" t="s">
        <v>6</v>
      </c>
      <c r="AB19" s="198"/>
      <c r="AC19" s="199"/>
      <c r="AD19" s="199"/>
      <c r="AE19" s="204" t="s">
        <v>137</v>
      </c>
      <c r="AF19" s="199"/>
      <c r="AG19" s="199"/>
      <c r="AH19" s="199"/>
      <c r="AI19" s="40" t="s">
        <v>6</v>
      </c>
      <c r="AJ19" s="198"/>
      <c r="AK19" s="199"/>
      <c r="AL19" s="199"/>
      <c r="AM19" s="199"/>
      <c r="AN19" s="199"/>
      <c r="AO19" s="199"/>
      <c r="AP19" s="199"/>
      <c r="AQ19" s="199"/>
      <c r="AR19" s="199"/>
      <c r="AS19" s="199"/>
      <c r="AT19" s="199"/>
      <c r="AU19" s="199"/>
      <c r="AV19" s="199"/>
      <c r="AW19" s="155">
        <f t="shared" si="1"/>
        <v>28</v>
      </c>
    </row>
    <row r="20" spans="1:49" s="236" customFormat="1" ht="26.4">
      <c r="A20" s="40">
        <f t="shared" si="0"/>
        <v>14</v>
      </c>
      <c r="B20" s="199"/>
      <c r="C20" s="199"/>
      <c r="D20" s="199"/>
      <c r="E20" s="199"/>
      <c r="F20" s="199"/>
      <c r="G20" s="199"/>
      <c r="H20" s="199"/>
      <c r="I20" s="199"/>
      <c r="J20" s="234" t="s">
        <v>3153</v>
      </c>
      <c r="K20" s="204" t="s">
        <v>140</v>
      </c>
      <c r="L20" s="204" t="s">
        <v>749</v>
      </c>
      <c r="M20" s="204"/>
      <c r="N20" s="126" t="s">
        <v>504</v>
      </c>
      <c r="O20" s="126"/>
      <c r="P20" s="126"/>
      <c r="Q20" s="40"/>
      <c r="R20" s="40"/>
      <c r="S20" s="40" t="s">
        <v>6</v>
      </c>
      <c r="T20" s="40" t="s">
        <v>6</v>
      </c>
      <c r="U20" s="244" t="s">
        <v>3154</v>
      </c>
      <c r="V20" s="204"/>
      <c r="W20" s="204" t="s">
        <v>140</v>
      </c>
      <c r="X20" s="199"/>
      <c r="Y20" s="199"/>
      <c r="Z20" s="199"/>
      <c r="AA20" s="40" t="s">
        <v>6</v>
      </c>
      <c r="AB20" s="198"/>
      <c r="AC20" s="199"/>
      <c r="AD20" s="199"/>
      <c r="AE20" s="204" t="s">
        <v>137</v>
      </c>
      <c r="AF20" s="199"/>
      <c r="AG20" s="199"/>
      <c r="AH20" s="199"/>
      <c r="AI20" s="40" t="s">
        <v>6</v>
      </c>
      <c r="AJ20" s="198"/>
      <c r="AK20" s="199"/>
      <c r="AL20" s="199"/>
      <c r="AM20" s="199"/>
      <c r="AN20" s="199"/>
      <c r="AO20" s="199"/>
      <c r="AP20" s="199"/>
      <c r="AQ20" s="199"/>
      <c r="AR20" s="199"/>
      <c r="AS20" s="199"/>
      <c r="AT20" s="199"/>
      <c r="AU20" s="199"/>
      <c r="AV20" s="199"/>
      <c r="AW20" s="155">
        <f t="shared" si="1"/>
        <v>28</v>
      </c>
    </row>
    <row r="21" spans="1:49" s="20" customFormat="1" ht="66.75" customHeight="1">
      <c r="A21" s="40">
        <f t="shared" si="0"/>
        <v>15</v>
      </c>
      <c r="B21" s="59"/>
      <c r="C21" s="59"/>
      <c r="D21" s="59"/>
      <c r="E21" s="59"/>
      <c r="F21" s="59"/>
      <c r="G21" s="59"/>
      <c r="H21" s="59"/>
      <c r="I21" s="59"/>
      <c r="J21" s="218" t="s">
        <v>3155</v>
      </c>
      <c r="K21" s="204" t="s">
        <v>140</v>
      </c>
      <c r="L21" s="204" t="s">
        <v>754</v>
      </c>
      <c r="M21" s="204"/>
      <c r="N21" s="126" t="s">
        <v>504</v>
      </c>
      <c r="O21" s="126"/>
      <c r="P21" s="126"/>
      <c r="Q21" s="40" t="s">
        <v>6</v>
      </c>
      <c r="R21" s="40" t="s">
        <v>6</v>
      </c>
      <c r="S21" s="40" t="s">
        <v>6</v>
      </c>
      <c r="T21" s="254" t="s">
        <v>6</v>
      </c>
      <c r="U21" s="244" t="s">
        <v>3156</v>
      </c>
      <c r="V21" s="206"/>
      <c r="W21" s="204" t="s">
        <v>140</v>
      </c>
      <c r="X21" s="59"/>
      <c r="Y21" s="59"/>
      <c r="Z21" s="59"/>
      <c r="AA21" s="40" t="s">
        <v>6</v>
      </c>
      <c r="AB21" s="15"/>
      <c r="AC21" s="59"/>
      <c r="AD21" s="59"/>
      <c r="AE21" s="204" t="s">
        <v>140</v>
      </c>
      <c r="AF21" s="59"/>
      <c r="AG21" s="59"/>
      <c r="AH21" s="59"/>
      <c r="AI21" s="40" t="s">
        <v>6</v>
      </c>
      <c r="AJ21" s="15"/>
      <c r="AK21" s="59"/>
      <c r="AL21" s="59"/>
      <c r="AM21" s="59"/>
      <c r="AN21" s="59"/>
      <c r="AO21" s="59"/>
      <c r="AP21" s="59"/>
      <c r="AQ21" s="59"/>
      <c r="AR21" s="59"/>
      <c r="AS21" s="59"/>
      <c r="AT21" s="59"/>
      <c r="AU21" s="59"/>
      <c r="AV21" s="59"/>
      <c r="AW21" s="18">
        <f t="shared" si="1"/>
        <v>12</v>
      </c>
    </row>
    <row r="22" spans="1:49" s="20" customFormat="1" ht="66.75" customHeight="1">
      <c r="A22" s="40">
        <f t="shared" si="0"/>
        <v>16</v>
      </c>
      <c r="B22" s="59"/>
      <c r="C22" s="59"/>
      <c r="D22" s="59"/>
      <c r="E22" s="59"/>
      <c r="F22" s="59"/>
      <c r="G22" s="59"/>
      <c r="H22" s="59"/>
      <c r="I22" s="59"/>
      <c r="J22" s="234" t="s">
        <v>3157</v>
      </c>
      <c r="K22" s="204" t="s">
        <v>140</v>
      </c>
      <c r="L22" s="204" t="s">
        <v>754</v>
      </c>
      <c r="M22" s="204"/>
      <c r="N22" s="126" t="s">
        <v>504</v>
      </c>
      <c r="O22" s="126"/>
      <c r="P22" s="126"/>
      <c r="Q22" s="40"/>
      <c r="R22" s="40"/>
      <c r="S22" s="40" t="s">
        <v>6</v>
      </c>
      <c r="T22" s="254" t="s">
        <v>6</v>
      </c>
      <c r="U22" s="244" t="s">
        <v>3158</v>
      </c>
      <c r="V22" s="206"/>
      <c r="W22" s="204" t="s">
        <v>140</v>
      </c>
      <c r="X22" s="59"/>
      <c r="Y22" s="59"/>
      <c r="Z22" s="59"/>
      <c r="AA22" s="40" t="s">
        <v>6</v>
      </c>
      <c r="AB22" s="15"/>
      <c r="AC22" s="59"/>
      <c r="AD22" s="59"/>
      <c r="AE22" s="204" t="s">
        <v>140</v>
      </c>
      <c r="AF22" s="59"/>
      <c r="AG22" s="59"/>
      <c r="AH22" s="59"/>
      <c r="AI22" s="40" t="s">
        <v>6</v>
      </c>
      <c r="AJ22" s="15"/>
      <c r="AK22" s="59"/>
      <c r="AL22" s="59"/>
      <c r="AM22" s="59"/>
      <c r="AN22" s="59"/>
      <c r="AO22" s="59"/>
      <c r="AP22" s="59"/>
      <c r="AQ22" s="59"/>
      <c r="AR22" s="59"/>
      <c r="AS22" s="59"/>
      <c r="AT22" s="59"/>
      <c r="AU22" s="59"/>
      <c r="AV22" s="59"/>
      <c r="AW22" s="18">
        <f t="shared" si="1"/>
        <v>12</v>
      </c>
    </row>
    <row r="23" spans="1:49" s="12" customFormat="1" ht="15">
      <c r="A23" s="40">
        <f t="shared" si="0"/>
        <v>17</v>
      </c>
      <c r="B23" s="38"/>
      <c r="C23" s="42"/>
      <c r="D23" s="19"/>
      <c r="E23" s="19"/>
      <c r="F23" s="19"/>
      <c r="G23" s="19"/>
      <c r="H23" s="13"/>
      <c r="I23" s="13"/>
      <c r="J23" s="218" t="s">
        <v>3159</v>
      </c>
      <c r="K23" s="412" t="s">
        <v>117</v>
      </c>
      <c r="L23" s="204" t="s">
        <v>759</v>
      </c>
      <c r="M23" s="367"/>
      <c r="N23" s="416" t="s">
        <v>504</v>
      </c>
      <c r="O23" s="126"/>
      <c r="P23" s="126"/>
      <c r="Q23" s="416" t="s">
        <v>6</v>
      </c>
      <c r="R23" s="416" t="s">
        <v>6</v>
      </c>
      <c r="S23" s="40" t="s">
        <v>6</v>
      </c>
      <c r="T23" s="40" t="s">
        <v>6</v>
      </c>
      <c r="U23" s="204"/>
      <c r="V23" s="206"/>
      <c r="W23" s="412" t="s">
        <v>125</v>
      </c>
      <c r="X23" s="59"/>
      <c r="Y23" s="59"/>
      <c r="Z23" s="59"/>
      <c r="AA23" s="40" t="s">
        <v>6</v>
      </c>
      <c r="AB23" s="414"/>
      <c r="AC23" s="416"/>
      <c r="AD23" s="416"/>
      <c r="AE23" s="412" t="s">
        <v>125</v>
      </c>
      <c r="AF23" s="59"/>
      <c r="AG23" s="59"/>
      <c r="AH23" s="59"/>
      <c r="AI23" s="40" t="s">
        <v>6</v>
      </c>
      <c r="AJ23" s="414"/>
      <c r="AK23" s="416"/>
      <c r="AL23" s="416"/>
      <c r="AM23" s="43"/>
      <c r="AN23" s="13"/>
      <c r="AO23" s="13"/>
      <c r="AP23" s="13"/>
      <c r="AQ23" s="13"/>
      <c r="AR23" s="13"/>
      <c r="AS23" s="13"/>
      <c r="AT23" s="13"/>
      <c r="AU23" s="13"/>
      <c r="AV23" s="13"/>
      <c r="AW23" s="18">
        <f t="shared" si="1"/>
        <v>33</v>
      </c>
    </row>
    <row r="24" spans="1:49" s="236" customFormat="1" ht="15">
      <c r="A24" s="40">
        <f t="shared" si="0"/>
        <v>18</v>
      </c>
      <c r="B24" s="199"/>
      <c r="C24" s="199"/>
      <c r="D24" s="199"/>
      <c r="E24" s="199"/>
      <c r="F24" s="199"/>
      <c r="G24" s="199"/>
      <c r="H24" s="199"/>
      <c r="I24" s="199" t="s">
        <v>868</v>
      </c>
      <c r="J24" s="218" t="s">
        <v>3160</v>
      </c>
      <c r="K24" s="232" t="s">
        <v>117</v>
      </c>
      <c r="L24" s="204" t="s">
        <v>763</v>
      </c>
      <c r="M24" s="204"/>
      <c r="N24" s="126" t="s">
        <v>504</v>
      </c>
      <c r="O24" s="126"/>
      <c r="P24" s="126"/>
      <c r="Q24" s="40" t="s">
        <v>6</v>
      </c>
      <c r="R24" s="40" t="s">
        <v>6</v>
      </c>
      <c r="S24" s="126" t="s">
        <v>6</v>
      </c>
      <c r="T24" s="40" t="s">
        <v>6</v>
      </c>
      <c r="U24" s="204"/>
      <c r="V24" s="204"/>
      <c r="W24" s="232" t="s">
        <v>125</v>
      </c>
      <c r="X24" s="211"/>
      <c r="Y24" s="211"/>
      <c r="Z24" s="211"/>
      <c r="AA24" s="126" t="s">
        <v>6</v>
      </c>
      <c r="AB24" s="198"/>
      <c r="AC24" s="199"/>
      <c r="AD24" s="199"/>
      <c r="AE24" s="232" t="s">
        <v>125</v>
      </c>
      <c r="AF24" s="211"/>
      <c r="AG24" s="211"/>
      <c r="AH24" s="211"/>
      <c r="AI24" s="126" t="s">
        <v>6</v>
      </c>
      <c r="AJ24" s="198"/>
      <c r="AK24" s="199"/>
      <c r="AL24" s="199"/>
      <c r="AM24" s="199"/>
      <c r="AN24" s="199"/>
      <c r="AO24" s="199"/>
      <c r="AP24" s="199"/>
      <c r="AQ24" s="199"/>
      <c r="AR24" s="199"/>
      <c r="AS24" s="199"/>
      <c r="AT24" s="199"/>
      <c r="AU24" s="199"/>
      <c r="AV24" s="199"/>
      <c r="AW24" s="155">
        <f t="shared" si="1"/>
        <v>24</v>
      </c>
    </row>
    <row r="25" spans="1:49" s="236" customFormat="1" ht="26.4">
      <c r="A25" s="40">
        <f t="shared" si="0"/>
        <v>19</v>
      </c>
      <c r="B25" s="199"/>
      <c r="C25" s="199"/>
      <c r="D25" s="199"/>
      <c r="E25" s="199"/>
      <c r="F25" s="199"/>
      <c r="G25" s="199"/>
      <c r="H25" s="199"/>
      <c r="I25" s="199" t="s">
        <v>868</v>
      </c>
      <c r="J25" s="218" t="s">
        <v>3161</v>
      </c>
      <c r="K25" s="232" t="s">
        <v>117</v>
      </c>
      <c r="L25" s="204" t="s">
        <v>763</v>
      </c>
      <c r="M25" s="204"/>
      <c r="N25" s="126" t="s">
        <v>504</v>
      </c>
      <c r="O25" s="126"/>
      <c r="P25" s="126"/>
      <c r="Q25" s="40" t="s">
        <v>6</v>
      </c>
      <c r="R25" s="40" t="s">
        <v>6</v>
      </c>
      <c r="S25" s="126" t="s">
        <v>6</v>
      </c>
      <c r="T25" s="40" t="s">
        <v>6</v>
      </c>
      <c r="U25" s="280" t="s">
        <v>3162</v>
      </c>
      <c r="V25" s="204"/>
      <c r="W25" s="232" t="s">
        <v>125</v>
      </c>
      <c r="X25" s="211"/>
      <c r="Y25" s="211"/>
      <c r="Z25" s="211"/>
      <c r="AA25" s="126" t="s">
        <v>6</v>
      </c>
      <c r="AB25" s="198"/>
      <c r="AC25" s="199"/>
      <c r="AD25" s="199"/>
      <c r="AE25" s="232" t="s">
        <v>125</v>
      </c>
      <c r="AF25" s="211"/>
      <c r="AG25" s="211"/>
      <c r="AH25" s="211"/>
      <c r="AI25" s="126" t="s">
        <v>6</v>
      </c>
      <c r="AJ25" s="199" t="s">
        <v>802</v>
      </c>
      <c r="AK25" s="199"/>
      <c r="AL25" s="199"/>
      <c r="AM25" s="199"/>
      <c r="AN25" s="199"/>
      <c r="AO25" s="199"/>
      <c r="AP25" s="199"/>
      <c r="AQ25" s="199"/>
      <c r="AR25" s="199"/>
      <c r="AS25" s="199"/>
      <c r="AT25" s="199"/>
      <c r="AU25" s="199"/>
      <c r="AV25" s="199"/>
      <c r="AW25" s="155">
        <f t="shared" si="1"/>
        <v>24</v>
      </c>
    </row>
    <row r="26" spans="1:49" s="236" customFormat="1" ht="15">
      <c r="A26" s="40">
        <v>575</v>
      </c>
      <c r="B26" s="199"/>
      <c r="C26" s="199"/>
      <c r="D26" s="199"/>
      <c r="E26" s="199"/>
      <c r="F26" s="199"/>
      <c r="G26" s="199"/>
      <c r="H26" s="199"/>
      <c r="I26" s="199" t="s">
        <v>868</v>
      </c>
      <c r="J26" s="218" t="s">
        <v>3163</v>
      </c>
      <c r="K26" s="232" t="s">
        <v>117</v>
      </c>
      <c r="L26" s="204" t="s">
        <v>765</v>
      </c>
      <c r="M26" s="204"/>
      <c r="N26" s="126" t="s">
        <v>504</v>
      </c>
      <c r="O26" s="126"/>
      <c r="P26" s="126"/>
      <c r="Q26" s="40" t="s">
        <v>6</v>
      </c>
      <c r="R26" s="40" t="s">
        <v>6</v>
      </c>
      <c r="S26" s="126" t="s">
        <v>6</v>
      </c>
      <c r="T26" s="40" t="s">
        <v>6</v>
      </c>
      <c r="U26" s="200"/>
      <c r="V26" s="204"/>
      <c r="W26" s="232" t="s">
        <v>125</v>
      </c>
      <c r="X26" s="199"/>
      <c r="Y26" s="199"/>
      <c r="Z26" s="199"/>
      <c r="AA26" s="126" t="s">
        <v>6</v>
      </c>
      <c r="AB26" s="198"/>
      <c r="AC26" s="199"/>
      <c r="AD26" s="199"/>
      <c r="AE26" s="232" t="s">
        <v>125</v>
      </c>
      <c r="AF26" s="199"/>
      <c r="AG26" s="199"/>
      <c r="AH26" s="199"/>
      <c r="AI26" s="126" t="s">
        <v>6</v>
      </c>
      <c r="AJ26" s="198"/>
      <c r="AK26" s="199"/>
      <c r="AL26" s="199"/>
      <c r="AM26" s="199"/>
      <c r="AN26" s="199"/>
      <c r="AO26" s="199"/>
      <c r="AP26" s="199"/>
      <c r="AQ26" s="199"/>
      <c r="AR26" s="199"/>
      <c r="AS26" s="199"/>
      <c r="AT26" s="199"/>
      <c r="AU26" s="199"/>
      <c r="AV26" s="199"/>
      <c r="AW26" s="155">
        <v>26</v>
      </c>
    </row>
    <row r="27" spans="1:49" s="236" customFormat="1" ht="26.4">
      <c r="A27" s="40">
        <f>ROW() - 6</f>
        <v>21</v>
      </c>
      <c r="B27" s="199"/>
      <c r="C27" s="199"/>
      <c r="D27" s="199"/>
      <c r="E27" s="199"/>
      <c r="F27" s="199"/>
      <c r="G27" s="199"/>
      <c r="H27" s="199"/>
      <c r="I27" s="199" t="s">
        <v>868</v>
      </c>
      <c r="J27" s="218" t="s">
        <v>3164</v>
      </c>
      <c r="K27" s="232" t="s">
        <v>117</v>
      </c>
      <c r="L27" s="204" t="s">
        <v>765</v>
      </c>
      <c r="M27" s="204"/>
      <c r="N27" s="126" t="s">
        <v>504</v>
      </c>
      <c r="O27" s="126"/>
      <c r="P27" s="126"/>
      <c r="Q27" s="40" t="s">
        <v>6</v>
      </c>
      <c r="R27" s="40" t="s">
        <v>6</v>
      </c>
      <c r="S27" s="126" t="s">
        <v>6</v>
      </c>
      <c r="T27" s="40" t="s">
        <v>6</v>
      </c>
      <c r="U27" s="280" t="s">
        <v>3162</v>
      </c>
      <c r="V27" s="204"/>
      <c r="W27" s="232" t="s">
        <v>125</v>
      </c>
      <c r="X27" s="199"/>
      <c r="Y27" s="199"/>
      <c r="Z27" s="199"/>
      <c r="AA27" s="126" t="s">
        <v>6</v>
      </c>
      <c r="AB27" s="198"/>
      <c r="AC27" s="199"/>
      <c r="AD27" s="199"/>
      <c r="AE27" s="232" t="s">
        <v>125</v>
      </c>
      <c r="AF27" s="199"/>
      <c r="AG27" s="199"/>
      <c r="AH27" s="199"/>
      <c r="AI27" s="126" t="s">
        <v>6</v>
      </c>
      <c r="AJ27" s="199" t="s">
        <v>802</v>
      </c>
      <c r="AK27" s="199"/>
      <c r="AL27" s="199"/>
      <c r="AM27" s="199"/>
      <c r="AN27" s="199"/>
      <c r="AO27" s="199"/>
      <c r="AP27" s="199"/>
      <c r="AQ27" s="199"/>
      <c r="AR27" s="199"/>
      <c r="AS27" s="199"/>
      <c r="AT27" s="199"/>
      <c r="AU27" s="199"/>
      <c r="AV27" s="199"/>
      <c r="AW27" s="155">
        <f>LEN(L27)</f>
        <v>25</v>
      </c>
    </row>
    <row r="28" spans="1:49" s="236" customFormat="1" ht="15">
      <c r="A28" s="40">
        <v>575</v>
      </c>
      <c r="B28" s="199"/>
      <c r="C28" s="199"/>
      <c r="D28" s="199"/>
      <c r="E28" s="199"/>
      <c r="F28" s="199"/>
      <c r="G28" s="199"/>
      <c r="H28" s="199"/>
      <c r="I28" s="199" t="s">
        <v>868</v>
      </c>
      <c r="J28" s="218" t="s">
        <v>3165</v>
      </c>
      <c r="K28" s="232" t="s">
        <v>117</v>
      </c>
      <c r="L28" s="204" t="s">
        <v>767</v>
      </c>
      <c r="M28" s="204"/>
      <c r="N28" s="126" t="s">
        <v>504</v>
      </c>
      <c r="O28" s="126"/>
      <c r="P28" s="126"/>
      <c r="Q28" s="40" t="s">
        <v>6</v>
      </c>
      <c r="R28" s="40" t="s">
        <v>6</v>
      </c>
      <c r="S28" s="126" t="s">
        <v>6</v>
      </c>
      <c r="T28" s="40" t="s">
        <v>6</v>
      </c>
      <c r="U28" s="200"/>
      <c r="V28" s="204"/>
      <c r="W28" s="232" t="s">
        <v>125</v>
      </c>
      <c r="X28" s="199"/>
      <c r="Y28" s="199"/>
      <c r="Z28" s="199"/>
      <c r="AA28" s="126" t="s">
        <v>6</v>
      </c>
      <c r="AB28" s="198"/>
      <c r="AC28" s="199"/>
      <c r="AD28" s="199"/>
      <c r="AE28" s="232" t="s">
        <v>125</v>
      </c>
      <c r="AF28" s="199"/>
      <c r="AG28" s="199"/>
      <c r="AH28" s="199"/>
      <c r="AI28" s="126" t="s">
        <v>6</v>
      </c>
      <c r="AJ28" s="198"/>
      <c r="AK28" s="199"/>
      <c r="AL28" s="199"/>
      <c r="AM28" s="199"/>
      <c r="AN28" s="199"/>
      <c r="AO28" s="199"/>
      <c r="AP28" s="199"/>
      <c r="AQ28" s="199"/>
      <c r="AR28" s="199"/>
      <c r="AS28" s="199"/>
      <c r="AT28" s="199"/>
      <c r="AU28" s="199"/>
      <c r="AV28" s="199"/>
      <c r="AW28" s="155">
        <v>26</v>
      </c>
    </row>
    <row r="29" spans="1:49" s="236" customFormat="1" ht="26.4">
      <c r="A29" s="40">
        <f t="shared" ref="A29:A44" si="2">ROW() - 6</f>
        <v>23</v>
      </c>
      <c r="B29" s="199"/>
      <c r="C29" s="199"/>
      <c r="D29" s="199"/>
      <c r="E29" s="199"/>
      <c r="F29" s="199"/>
      <c r="G29" s="199"/>
      <c r="H29" s="199"/>
      <c r="I29" s="199" t="s">
        <v>868</v>
      </c>
      <c r="J29" s="218" t="s">
        <v>3166</v>
      </c>
      <c r="K29" s="232" t="s">
        <v>117</v>
      </c>
      <c r="L29" s="204" t="s">
        <v>767</v>
      </c>
      <c r="M29" s="204"/>
      <c r="N29" s="126" t="s">
        <v>504</v>
      </c>
      <c r="O29" s="126"/>
      <c r="P29" s="126"/>
      <c r="Q29" s="40" t="s">
        <v>6</v>
      </c>
      <c r="R29" s="40" t="s">
        <v>6</v>
      </c>
      <c r="S29" s="126" t="s">
        <v>6</v>
      </c>
      <c r="T29" s="40" t="s">
        <v>6</v>
      </c>
      <c r="U29" s="280" t="s">
        <v>3162</v>
      </c>
      <c r="V29" s="204"/>
      <c r="W29" s="232" t="s">
        <v>125</v>
      </c>
      <c r="X29" s="199"/>
      <c r="Y29" s="199"/>
      <c r="Z29" s="199"/>
      <c r="AA29" s="126" t="s">
        <v>6</v>
      </c>
      <c r="AB29" s="198"/>
      <c r="AC29" s="199"/>
      <c r="AD29" s="199"/>
      <c r="AE29" s="232" t="s">
        <v>125</v>
      </c>
      <c r="AF29" s="199"/>
      <c r="AG29" s="199"/>
      <c r="AH29" s="199"/>
      <c r="AI29" s="126" t="s">
        <v>6</v>
      </c>
      <c r="AJ29" s="199" t="s">
        <v>802</v>
      </c>
      <c r="AK29" s="199"/>
      <c r="AL29" s="199"/>
      <c r="AM29" s="199"/>
      <c r="AN29" s="199"/>
      <c r="AO29" s="199"/>
      <c r="AP29" s="199"/>
      <c r="AQ29" s="199"/>
      <c r="AR29" s="199"/>
      <c r="AS29" s="199"/>
      <c r="AT29" s="199"/>
      <c r="AU29" s="199"/>
      <c r="AV29" s="199"/>
      <c r="AW29" s="155">
        <f t="shared" ref="AW29:AW46" si="3">LEN(L29)</f>
        <v>25</v>
      </c>
    </row>
    <row r="30" spans="1:49" s="236" customFormat="1" ht="15">
      <c r="A30" s="40">
        <f t="shared" si="2"/>
        <v>24</v>
      </c>
      <c r="B30" s="199"/>
      <c r="C30" s="199"/>
      <c r="D30" s="199"/>
      <c r="E30" s="199"/>
      <c r="F30" s="199"/>
      <c r="G30" s="199"/>
      <c r="H30" s="199"/>
      <c r="I30" s="199"/>
      <c r="J30" s="218" t="s">
        <v>3167</v>
      </c>
      <c r="K30" s="412" t="s">
        <v>128</v>
      </c>
      <c r="L30" s="204" t="s">
        <v>703</v>
      </c>
      <c r="M30" s="204"/>
      <c r="N30" s="126" t="s">
        <v>504</v>
      </c>
      <c r="O30" s="126"/>
      <c r="P30" s="126"/>
      <c r="Q30" s="40" t="s">
        <v>6</v>
      </c>
      <c r="R30" s="40" t="s">
        <v>6</v>
      </c>
      <c r="S30" s="126" t="s">
        <v>6</v>
      </c>
      <c r="T30" s="40" t="s">
        <v>6</v>
      </c>
      <c r="U30" s="204"/>
      <c r="V30" s="204"/>
      <c r="W30" s="232" t="s">
        <v>125</v>
      </c>
      <c r="X30" s="199"/>
      <c r="Y30" s="199"/>
      <c r="Z30" s="199"/>
      <c r="AA30" s="126" t="s">
        <v>6</v>
      </c>
      <c r="AB30" s="198"/>
      <c r="AC30" s="199"/>
      <c r="AD30" s="199"/>
      <c r="AE30" s="232" t="s">
        <v>125</v>
      </c>
      <c r="AF30" s="199"/>
      <c r="AG30" s="199"/>
      <c r="AH30" s="199"/>
      <c r="AI30" s="126" t="s">
        <v>6</v>
      </c>
      <c r="AJ30" s="198"/>
      <c r="AK30" s="199"/>
      <c r="AL30" s="199"/>
      <c r="AM30" s="199"/>
      <c r="AN30" s="199"/>
      <c r="AO30" s="199"/>
      <c r="AP30" s="199"/>
      <c r="AQ30" s="199"/>
      <c r="AR30" s="199"/>
      <c r="AS30" s="199"/>
      <c r="AT30" s="199"/>
      <c r="AU30" s="199"/>
      <c r="AV30" s="199"/>
      <c r="AW30" s="155">
        <f t="shared" si="3"/>
        <v>19</v>
      </c>
    </row>
    <row r="31" spans="1:49" s="20" customFormat="1" ht="26.4">
      <c r="A31" s="40">
        <f t="shared" si="2"/>
        <v>25</v>
      </c>
      <c r="B31" s="38"/>
      <c r="C31" s="41"/>
      <c r="D31" s="38"/>
      <c r="E31" s="46"/>
      <c r="F31" s="46"/>
      <c r="G31" s="46"/>
      <c r="H31" s="13"/>
      <c r="I31" s="40"/>
      <c r="J31" s="218" t="s">
        <v>3168</v>
      </c>
      <c r="K31" s="412" t="s">
        <v>128</v>
      </c>
      <c r="L31" s="204" t="s">
        <v>703</v>
      </c>
      <c r="M31" s="367"/>
      <c r="N31" s="416" t="s">
        <v>504</v>
      </c>
      <c r="O31" s="126"/>
      <c r="P31" s="40"/>
      <c r="Q31" s="126" t="s">
        <v>6</v>
      </c>
      <c r="R31" s="126" t="s">
        <v>6</v>
      </c>
      <c r="S31" s="126" t="s">
        <v>6</v>
      </c>
      <c r="T31" s="416" t="s">
        <v>6</v>
      </c>
      <c r="U31" s="280" t="s">
        <v>3162</v>
      </c>
      <c r="V31" s="206"/>
      <c r="W31" s="412" t="s">
        <v>125</v>
      </c>
      <c r="X31" s="59"/>
      <c r="Y31" s="59"/>
      <c r="Z31" s="59"/>
      <c r="AA31" s="61" t="s">
        <v>6</v>
      </c>
      <c r="AB31" s="79"/>
      <c r="AC31" s="59"/>
      <c r="AD31" s="59"/>
      <c r="AE31" s="412" t="s">
        <v>125</v>
      </c>
      <c r="AF31" s="59"/>
      <c r="AG31" s="59"/>
      <c r="AH31" s="59"/>
      <c r="AI31" s="61" t="s">
        <v>6</v>
      </c>
      <c r="AJ31" s="199" t="s">
        <v>802</v>
      </c>
      <c r="AK31" s="59"/>
      <c r="AL31" s="59"/>
      <c r="AM31" s="43"/>
      <c r="AN31" s="19"/>
      <c r="AO31" s="13"/>
      <c r="AP31" s="13"/>
      <c r="AQ31" s="13"/>
      <c r="AR31" s="13"/>
      <c r="AS31" s="13"/>
      <c r="AT31" s="13"/>
      <c r="AU31" s="13"/>
      <c r="AV31" s="19"/>
      <c r="AW31" s="18">
        <f t="shared" si="3"/>
        <v>19</v>
      </c>
    </row>
    <row r="32" spans="1:49" s="236" customFormat="1" ht="15">
      <c r="A32" s="40">
        <f t="shared" si="2"/>
        <v>26</v>
      </c>
      <c r="B32" s="199"/>
      <c r="C32" s="199"/>
      <c r="D32" s="199"/>
      <c r="E32" s="199"/>
      <c r="F32" s="199"/>
      <c r="G32" s="199"/>
      <c r="H32" s="199"/>
      <c r="I32" s="199"/>
      <c r="J32" s="218" t="s">
        <v>3359</v>
      </c>
      <c r="K32" s="232" t="s">
        <v>117</v>
      </c>
      <c r="L32" s="204" t="s">
        <v>3333</v>
      </c>
      <c r="M32" s="204"/>
      <c r="N32" s="126" t="s">
        <v>504</v>
      </c>
      <c r="O32" s="126"/>
      <c r="P32" s="126"/>
      <c r="Q32" s="40"/>
      <c r="R32" s="40" t="s">
        <v>6</v>
      </c>
      <c r="S32" s="126" t="s">
        <v>6</v>
      </c>
      <c r="T32" s="40" t="s">
        <v>6</v>
      </c>
      <c r="U32" s="200"/>
      <c r="V32" s="204"/>
      <c r="W32" s="204" t="s">
        <v>133</v>
      </c>
      <c r="X32" s="199"/>
      <c r="Y32" s="199"/>
      <c r="Z32" s="40" t="s">
        <v>6</v>
      </c>
      <c r="AA32" s="126" t="s">
        <v>6</v>
      </c>
      <c r="AB32" s="198"/>
      <c r="AC32" s="199"/>
      <c r="AD32" s="199"/>
      <c r="AE32" s="232" t="s">
        <v>125</v>
      </c>
      <c r="AF32" s="199"/>
      <c r="AG32" s="199"/>
      <c r="AH32" s="199"/>
      <c r="AI32" s="126" t="s">
        <v>6</v>
      </c>
      <c r="AJ32" s="198"/>
      <c r="AK32" s="199"/>
      <c r="AL32" s="199"/>
      <c r="AM32" s="199"/>
      <c r="AN32" s="199"/>
      <c r="AO32" s="199"/>
      <c r="AP32" s="199"/>
      <c r="AQ32" s="199"/>
      <c r="AR32" s="199"/>
      <c r="AS32" s="199"/>
      <c r="AT32" s="199"/>
      <c r="AU32" s="199"/>
      <c r="AV32" s="199"/>
      <c r="AW32" s="155">
        <f t="shared" si="3"/>
        <v>32</v>
      </c>
    </row>
    <row r="33" spans="1:49" s="236" customFormat="1" ht="15">
      <c r="A33" s="40">
        <f t="shared" si="2"/>
        <v>27</v>
      </c>
      <c r="B33" s="199"/>
      <c r="C33" s="199"/>
      <c r="D33" s="199"/>
      <c r="E33" s="199"/>
      <c r="F33" s="199"/>
      <c r="G33" s="199"/>
      <c r="H33" s="199"/>
      <c r="I33" s="199"/>
      <c r="J33" s="218" t="s">
        <v>3360</v>
      </c>
      <c r="K33" s="232" t="s">
        <v>117</v>
      </c>
      <c r="L33" s="204" t="s">
        <v>3335</v>
      </c>
      <c r="M33" s="204"/>
      <c r="N33" s="126" t="s">
        <v>504</v>
      </c>
      <c r="O33" s="126"/>
      <c r="P33" s="126"/>
      <c r="Q33" s="40"/>
      <c r="R33" s="40" t="s">
        <v>6</v>
      </c>
      <c r="S33" s="126" t="s">
        <v>6</v>
      </c>
      <c r="T33" s="40" t="s">
        <v>6</v>
      </c>
      <c r="U33" s="200"/>
      <c r="V33" s="204"/>
      <c r="W33" s="204" t="s">
        <v>133</v>
      </c>
      <c r="X33" s="199"/>
      <c r="Y33" s="199"/>
      <c r="Z33" s="40" t="s">
        <v>6</v>
      </c>
      <c r="AA33" s="126" t="s">
        <v>6</v>
      </c>
      <c r="AB33" s="198"/>
      <c r="AC33" s="199"/>
      <c r="AD33" s="199"/>
      <c r="AE33" s="232" t="s">
        <v>125</v>
      </c>
      <c r="AF33" s="199"/>
      <c r="AG33" s="199"/>
      <c r="AH33" s="199"/>
      <c r="AI33" s="126" t="s">
        <v>6</v>
      </c>
      <c r="AJ33" s="198"/>
      <c r="AK33" s="199"/>
      <c r="AL33" s="199"/>
      <c r="AM33" s="199"/>
      <c r="AN33" s="199"/>
      <c r="AO33" s="199"/>
      <c r="AP33" s="199"/>
      <c r="AQ33" s="199"/>
      <c r="AR33" s="199"/>
      <c r="AS33" s="199"/>
      <c r="AT33" s="199"/>
      <c r="AU33" s="199"/>
      <c r="AV33" s="199"/>
      <c r="AW33" s="155">
        <f t="shared" si="3"/>
        <v>32</v>
      </c>
    </row>
    <row r="34" spans="1:49" s="236" customFormat="1" ht="15">
      <c r="A34" s="40">
        <f>ROW() - 6</f>
        <v>28</v>
      </c>
      <c r="B34" s="199"/>
      <c r="C34" s="199"/>
      <c r="D34" s="199"/>
      <c r="E34" s="199"/>
      <c r="F34" s="199"/>
      <c r="G34" s="199"/>
      <c r="H34" s="199"/>
      <c r="I34" s="199"/>
      <c r="J34" s="218" t="s">
        <v>3361</v>
      </c>
      <c r="K34" s="232" t="s">
        <v>117</v>
      </c>
      <c r="L34" s="204" t="s">
        <v>3337</v>
      </c>
      <c r="M34" s="204"/>
      <c r="N34" s="126" t="s">
        <v>504</v>
      </c>
      <c r="O34" s="126"/>
      <c r="P34" s="126"/>
      <c r="Q34" s="40"/>
      <c r="R34" s="40" t="s">
        <v>6</v>
      </c>
      <c r="S34" s="126" t="s">
        <v>6</v>
      </c>
      <c r="T34" s="40" t="s">
        <v>6</v>
      </c>
      <c r="U34" s="200"/>
      <c r="V34" s="204"/>
      <c r="W34" s="204" t="s">
        <v>133</v>
      </c>
      <c r="X34" s="199"/>
      <c r="Y34" s="199"/>
      <c r="Z34" s="40" t="s">
        <v>6</v>
      </c>
      <c r="AA34" s="126" t="s">
        <v>6</v>
      </c>
      <c r="AB34" s="198"/>
      <c r="AC34" s="199"/>
      <c r="AD34" s="199"/>
      <c r="AE34" s="232" t="s">
        <v>125</v>
      </c>
      <c r="AF34" s="199"/>
      <c r="AG34" s="199"/>
      <c r="AH34" s="199"/>
      <c r="AI34" s="126" t="s">
        <v>6</v>
      </c>
      <c r="AJ34" s="198"/>
      <c r="AK34" s="199"/>
      <c r="AL34" s="199"/>
      <c r="AM34" s="199"/>
      <c r="AN34" s="199"/>
      <c r="AO34" s="199"/>
      <c r="AP34" s="199"/>
      <c r="AQ34" s="199"/>
      <c r="AR34" s="199"/>
      <c r="AS34" s="199"/>
      <c r="AT34" s="199"/>
      <c r="AU34" s="199"/>
      <c r="AV34" s="199"/>
      <c r="AW34" s="155">
        <f t="shared" si="3"/>
        <v>32</v>
      </c>
    </row>
    <row r="35" spans="1:49" s="236" customFormat="1" ht="26.4">
      <c r="A35" s="40">
        <f>ROW() - 6</f>
        <v>29</v>
      </c>
      <c r="B35" s="199"/>
      <c r="C35" s="199"/>
      <c r="D35" s="199"/>
      <c r="E35" s="199"/>
      <c r="F35" s="199"/>
      <c r="G35" s="199"/>
      <c r="H35" s="199"/>
      <c r="I35" s="199"/>
      <c r="J35" s="218" t="s">
        <v>3396</v>
      </c>
      <c r="K35" s="204" t="s">
        <v>117</v>
      </c>
      <c r="L35" s="204" t="s">
        <v>732</v>
      </c>
      <c r="M35" s="204"/>
      <c r="N35" s="40" t="s">
        <v>504</v>
      </c>
      <c r="O35" s="199"/>
      <c r="P35" s="199"/>
      <c r="Q35" s="40" t="s">
        <v>6</v>
      </c>
      <c r="R35" s="40" t="s">
        <v>6</v>
      </c>
      <c r="S35" s="40" t="s">
        <v>6</v>
      </c>
      <c r="T35" s="40" t="s">
        <v>6</v>
      </c>
      <c r="U35" s="204" t="s">
        <v>3392</v>
      </c>
      <c r="V35" s="204"/>
      <c r="W35" s="204"/>
      <c r="X35" s="199"/>
      <c r="Y35" s="199"/>
      <c r="Z35" s="40"/>
      <c r="AA35" s="40"/>
      <c r="AB35" s="218"/>
      <c r="AC35" s="199"/>
      <c r="AD35" s="218"/>
      <c r="AE35" s="204"/>
      <c r="AF35" s="199"/>
      <c r="AG35" s="199"/>
      <c r="AH35" s="199"/>
      <c r="AI35" s="40"/>
      <c r="AJ35" s="218"/>
      <c r="AK35" s="199"/>
      <c r="AL35" s="218"/>
      <c r="AM35" s="199"/>
      <c r="AN35" s="199"/>
      <c r="AO35" s="199"/>
      <c r="AP35" s="199"/>
      <c r="AQ35" s="199"/>
      <c r="AR35" s="199"/>
      <c r="AS35" s="199"/>
      <c r="AT35" s="199"/>
      <c r="AU35" s="199"/>
      <c r="AV35" s="199"/>
      <c r="AW35" s="155">
        <f t="shared" si="3"/>
        <v>29</v>
      </c>
    </row>
    <row r="36" spans="1:49" s="20" customFormat="1" ht="26.4">
      <c r="A36" s="40">
        <f>ROW() - 6</f>
        <v>30</v>
      </c>
      <c r="B36" s="59"/>
      <c r="C36" s="59"/>
      <c r="D36" s="59"/>
      <c r="E36" s="59"/>
      <c r="F36" s="59"/>
      <c r="G36" s="59"/>
      <c r="H36" s="59"/>
      <c r="I36" s="59"/>
      <c r="J36" s="218" t="s">
        <v>3397</v>
      </c>
      <c r="K36" s="232" t="s">
        <v>117</v>
      </c>
      <c r="L36" s="204" t="s">
        <v>3362</v>
      </c>
      <c r="M36" s="204"/>
      <c r="N36" s="40" t="s">
        <v>504</v>
      </c>
      <c r="O36" s="126"/>
      <c r="P36" s="126"/>
      <c r="Q36" s="40" t="s">
        <v>6</v>
      </c>
      <c r="R36" s="40" t="s">
        <v>6</v>
      </c>
      <c r="S36" s="40" t="s">
        <v>6</v>
      </c>
      <c r="T36" s="40" t="s">
        <v>6</v>
      </c>
      <c r="U36" s="200" t="s">
        <v>3395</v>
      </c>
      <c r="V36" s="206"/>
      <c r="W36" s="204"/>
      <c r="X36" s="59"/>
      <c r="Y36" s="59"/>
      <c r="Z36" s="40"/>
      <c r="AA36" s="40"/>
      <c r="AB36" s="15"/>
      <c r="AC36" s="59"/>
      <c r="AD36" s="59"/>
      <c r="AE36" s="232"/>
      <c r="AF36" s="59"/>
      <c r="AG36" s="59"/>
      <c r="AH36" s="59"/>
      <c r="AI36" s="40"/>
      <c r="AJ36" s="15"/>
      <c r="AK36" s="59"/>
      <c r="AL36" s="59"/>
      <c r="AM36" s="59"/>
      <c r="AN36" s="59"/>
      <c r="AO36" s="59"/>
      <c r="AP36" s="59"/>
      <c r="AQ36" s="59"/>
      <c r="AR36" s="59"/>
      <c r="AS36" s="59"/>
      <c r="AT36" s="59"/>
      <c r="AU36" s="59"/>
      <c r="AV36" s="59"/>
      <c r="AW36" s="18"/>
    </row>
    <row r="37" spans="1:49" s="20" customFormat="1" ht="15">
      <c r="A37" s="40">
        <f t="shared" si="2"/>
        <v>31</v>
      </c>
      <c r="B37" s="59"/>
      <c r="C37" s="59"/>
      <c r="D37" s="59"/>
      <c r="E37" s="59"/>
      <c r="F37" s="59"/>
      <c r="G37" s="59"/>
      <c r="H37" s="59"/>
      <c r="I37" s="59"/>
      <c r="J37" s="218" t="s">
        <v>3169</v>
      </c>
      <c r="K37" s="232" t="s">
        <v>134</v>
      </c>
      <c r="L37" s="204" t="s">
        <v>744</v>
      </c>
      <c r="M37" s="367"/>
      <c r="N37" s="416" t="s">
        <v>504</v>
      </c>
      <c r="O37" s="126"/>
      <c r="P37" s="126"/>
      <c r="Q37" s="40" t="s">
        <v>6</v>
      </c>
      <c r="R37" s="40" t="s">
        <v>6</v>
      </c>
      <c r="S37" s="40" t="s">
        <v>6</v>
      </c>
      <c r="T37" s="416" t="s">
        <v>6</v>
      </c>
      <c r="U37" s="200" t="s">
        <v>802</v>
      </c>
      <c r="V37" s="206"/>
      <c r="W37" s="232" t="s">
        <v>137</v>
      </c>
      <c r="X37" s="59"/>
      <c r="Y37" s="59"/>
      <c r="Z37" s="59"/>
      <c r="AA37" s="40" t="s">
        <v>6</v>
      </c>
      <c r="AB37" s="15"/>
      <c r="AC37" s="59"/>
      <c r="AD37" s="59"/>
      <c r="AE37" s="232" t="s">
        <v>137</v>
      </c>
      <c r="AF37" s="59"/>
      <c r="AG37" s="59"/>
      <c r="AH37" s="59"/>
      <c r="AI37" s="40" t="s">
        <v>6</v>
      </c>
      <c r="AJ37" s="15"/>
      <c r="AK37" s="59"/>
      <c r="AL37" s="59"/>
      <c r="AM37" s="59"/>
      <c r="AN37" s="59"/>
      <c r="AO37" s="59"/>
      <c r="AP37" s="59"/>
      <c r="AQ37" s="59"/>
      <c r="AR37" s="59"/>
      <c r="AS37" s="59"/>
      <c r="AT37" s="59"/>
      <c r="AU37" s="59"/>
      <c r="AV37" s="59"/>
      <c r="AW37" s="18">
        <f t="shared" si="3"/>
        <v>17</v>
      </c>
    </row>
    <row r="38" spans="1:49" s="20" customFormat="1" ht="15">
      <c r="A38" s="40">
        <f t="shared" si="2"/>
        <v>32</v>
      </c>
      <c r="B38" s="59"/>
      <c r="C38" s="59"/>
      <c r="D38" s="59"/>
      <c r="E38" s="59"/>
      <c r="F38" s="59"/>
      <c r="G38" s="59"/>
      <c r="H38" s="59"/>
      <c r="I38" s="59"/>
      <c r="J38" s="218" t="s">
        <v>3170</v>
      </c>
      <c r="K38" s="232" t="s">
        <v>134</v>
      </c>
      <c r="L38" s="204" t="s">
        <v>744</v>
      </c>
      <c r="M38" s="367"/>
      <c r="N38" s="416" t="s">
        <v>504</v>
      </c>
      <c r="O38" s="126"/>
      <c r="P38" s="126"/>
      <c r="Q38" s="40" t="s">
        <v>6</v>
      </c>
      <c r="R38" s="40" t="s">
        <v>6</v>
      </c>
      <c r="S38" s="40" t="s">
        <v>6</v>
      </c>
      <c r="T38" s="416" t="s">
        <v>6</v>
      </c>
      <c r="U38" s="200" t="s">
        <v>560</v>
      </c>
      <c r="V38" s="206"/>
      <c r="W38" s="232" t="s">
        <v>137</v>
      </c>
      <c r="X38" s="59"/>
      <c r="Y38" s="59"/>
      <c r="Z38" s="59"/>
      <c r="AA38" s="40" t="s">
        <v>6</v>
      </c>
      <c r="AB38" s="15"/>
      <c r="AC38" s="59"/>
      <c r="AD38" s="59"/>
      <c r="AE38" s="232" t="s">
        <v>137</v>
      </c>
      <c r="AF38" s="59"/>
      <c r="AG38" s="59"/>
      <c r="AH38" s="59"/>
      <c r="AI38" s="40" t="s">
        <v>6</v>
      </c>
      <c r="AJ38" s="15"/>
      <c r="AK38" s="59"/>
      <c r="AL38" s="59"/>
      <c r="AM38" s="59"/>
      <c r="AN38" s="59"/>
      <c r="AO38" s="59"/>
      <c r="AP38" s="59"/>
      <c r="AQ38" s="59"/>
      <c r="AR38" s="59"/>
      <c r="AS38" s="59"/>
      <c r="AT38" s="59"/>
      <c r="AU38" s="59"/>
      <c r="AV38" s="59"/>
      <c r="AW38" s="18">
        <f t="shared" si="3"/>
        <v>17</v>
      </c>
    </row>
    <row r="39" spans="1:49" s="20" customFormat="1" ht="15">
      <c r="A39" s="40">
        <f t="shared" si="2"/>
        <v>33</v>
      </c>
      <c r="B39" s="59"/>
      <c r="C39" s="59"/>
      <c r="D39" s="59"/>
      <c r="E39" s="59"/>
      <c r="F39" s="59"/>
      <c r="G39" s="59"/>
      <c r="H39" s="59"/>
      <c r="I39" s="59"/>
      <c r="J39" s="218" t="s">
        <v>3171</v>
      </c>
      <c r="K39" s="232" t="s">
        <v>134</v>
      </c>
      <c r="L39" s="204" t="s">
        <v>744</v>
      </c>
      <c r="M39" s="367"/>
      <c r="N39" s="416" t="s">
        <v>504</v>
      </c>
      <c r="O39" s="126"/>
      <c r="P39" s="126"/>
      <c r="Q39" s="40" t="s">
        <v>6</v>
      </c>
      <c r="R39" s="40" t="s">
        <v>6</v>
      </c>
      <c r="S39" s="40" t="s">
        <v>6</v>
      </c>
      <c r="T39" s="416" t="s">
        <v>6</v>
      </c>
      <c r="U39" s="200"/>
      <c r="V39" s="206"/>
      <c r="W39" s="232" t="s">
        <v>137</v>
      </c>
      <c r="X39" s="59"/>
      <c r="Y39" s="59"/>
      <c r="Z39" s="59"/>
      <c r="AA39" s="40" t="s">
        <v>6</v>
      </c>
      <c r="AB39" s="15"/>
      <c r="AC39" s="59"/>
      <c r="AD39" s="59"/>
      <c r="AE39" s="232" t="s">
        <v>137</v>
      </c>
      <c r="AF39" s="59"/>
      <c r="AG39" s="59"/>
      <c r="AH39" s="59"/>
      <c r="AI39" s="40" t="s">
        <v>6</v>
      </c>
      <c r="AJ39" s="15"/>
      <c r="AK39" s="59"/>
      <c r="AL39" s="59"/>
      <c r="AM39" s="59"/>
      <c r="AN39" s="59"/>
      <c r="AO39" s="59"/>
      <c r="AP39" s="59"/>
      <c r="AQ39" s="59"/>
      <c r="AR39" s="59"/>
      <c r="AS39" s="59"/>
      <c r="AT39" s="59"/>
      <c r="AU39" s="59"/>
      <c r="AV39" s="59"/>
      <c r="AW39" s="18">
        <f t="shared" si="3"/>
        <v>17</v>
      </c>
    </row>
    <row r="40" spans="1:49" s="20" customFormat="1" ht="15">
      <c r="A40" s="40">
        <f t="shared" si="2"/>
        <v>34</v>
      </c>
      <c r="B40" s="59"/>
      <c r="C40" s="59"/>
      <c r="D40" s="59"/>
      <c r="E40" s="59"/>
      <c r="F40" s="59"/>
      <c r="G40" s="59"/>
      <c r="H40" s="59"/>
      <c r="I40" s="59"/>
      <c r="J40" s="412" t="s">
        <v>3172</v>
      </c>
      <c r="K40" s="412" t="s">
        <v>117</v>
      </c>
      <c r="L40" s="204" t="s">
        <v>705</v>
      </c>
      <c r="M40" s="367"/>
      <c r="N40" s="416" t="s">
        <v>504</v>
      </c>
      <c r="O40" s="126"/>
      <c r="P40" s="126"/>
      <c r="Q40" s="126" t="s">
        <v>6</v>
      </c>
      <c r="R40" s="126" t="s">
        <v>6</v>
      </c>
      <c r="S40" s="126" t="s">
        <v>6</v>
      </c>
      <c r="T40" s="416" t="s">
        <v>6</v>
      </c>
      <c r="U40" s="232"/>
      <c r="V40" s="232"/>
      <c r="W40" s="232" t="s">
        <v>125</v>
      </c>
      <c r="X40" s="59"/>
      <c r="Y40" s="59"/>
      <c r="Z40" s="59"/>
      <c r="AA40" s="61" t="s">
        <v>6</v>
      </c>
      <c r="AB40" s="15"/>
      <c r="AC40" s="59"/>
      <c r="AD40" s="59"/>
      <c r="AE40" s="232" t="s">
        <v>125</v>
      </c>
      <c r="AF40" s="59"/>
      <c r="AG40" s="59"/>
      <c r="AH40" s="59"/>
      <c r="AI40" s="61" t="s">
        <v>6</v>
      </c>
      <c r="AJ40" s="15"/>
      <c r="AK40" s="59"/>
      <c r="AL40" s="59"/>
      <c r="AM40" s="59"/>
      <c r="AN40" s="59"/>
      <c r="AO40" s="59"/>
      <c r="AP40" s="59"/>
      <c r="AQ40" s="59"/>
      <c r="AR40" s="59"/>
      <c r="AS40" s="59"/>
      <c r="AT40" s="59"/>
      <c r="AU40" s="59"/>
      <c r="AV40" s="59"/>
      <c r="AW40" s="18">
        <f t="shared" si="3"/>
        <v>37</v>
      </c>
    </row>
    <row r="41" spans="1:49" s="20" customFormat="1" ht="15">
      <c r="A41" s="40">
        <f t="shared" si="2"/>
        <v>35</v>
      </c>
      <c r="B41" s="59"/>
      <c r="C41" s="59"/>
      <c r="D41" s="59"/>
      <c r="E41" s="59"/>
      <c r="F41" s="59"/>
      <c r="G41" s="59"/>
      <c r="H41" s="59"/>
      <c r="I41" s="59"/>
      <c r="J41" s="412" t="s">
        <v>3173</v>
      </c>
      <c r="K41" s="412" t="s">
        <v>117</v>
      </c>
      <c r="L41" s="204" t="s">
        <v>719</v>
      </c>
      <c r="M41" s="367"/>
      <c r="N41" s="416" t="s">
        <v>504</v>
      </c>
      <c r="O41" s="126"/>
      <c r="P41" s="126"/>
      <c r="Q41" s="126" t="s">
        <v>6</v>
      </c>
      <c r="R41" s="126" t="s">
        <v>6</v>
      </c>
      <c r="S41" s="126" t="s">
        <v>6</v>
      </c>
      <c r="T41" s="416" t="s">
        <v>6</v>
      </c>
      <c r="U41" s="232"/>
      <c r="V41" s="232"/>
      <c r="W41" s="232" t="s">
        <v>125</v>
      </c>
      <c r="X41" s="59"/>
      <c r="Y41" s="59"/>
      <c r="Z41" s="59"/>
      <c r="AA41" s="61" t="s">
        <v>6</v>
      </c>
      <c r="AB41" s="15"/>
      <c r="AC41" s="59"/>
      <c r="AD41" s="59"/>
      <c r="AE41" s="232" t="s">
        <v>125</v>
      </c>
      <c r="AF41" s="59"/>
      <c r="AG41" s="59"/>
      <c r="AH41" s="59"/>
      <c r="AI41" s="61" t="s">
        <v>6</v>
      </c>
      <c r="AJ41" s="15"/>
      <c r="AK41" s="59"/>
      <c r="AL41" s="59"/>
      <c r="AM41" s="59"/>
      <c r="AN41" s="59"/>
      <c r="AO41" s="59"/>
      <c r="AP41" s="59"/>
      <c r="AQ41" s="59"/>
      <c r="AR41" s="59"/>
      <c r="AS41" s="59"/>
      <c r="AT41" s="59"/>
      <c r="AU41" s="59"/>
      <c r="AV41" s="59"/>
      <c r="AW41" s="18">
        <f t="shared" si="3"/>
        <v>38</v>
      </c>
    </row>
    <row r="42" spans="1:49" s="20" customFormat="1" ht="30" customHeight="1">
      <c r="A42" s="40">
        <f t="shared" si="2"/>
        <v>36</v>
      </c>
      <c r="B42" s="59"/>
      <c r="C42" s="59"/>
      <c r="D42" s="59"/>
      <c r="E42" s="59"/>
      <c r="F42" s="59"/>
      <c r="G42" s="59"/>
      <c r="H42" s="59"/>
      <c r="I42" s="59"/>
      <c r="J42" s="215" t="s">
        <v>3174</v>
      </c>
      <c r="K42" s="204" t="s">
        <v>65</v>
      </c>
      <c r="L42" s="204" t="s">
        <v>1612</v>
      </c>
      <c r="M42" s="367"/>
      <c r="N42" s="416" t="s">
        <v>504</v>
      </c>
      <c r="O42" s="126"/>
      <c r="P42" s="126"/>
      <c r="Q42" s="40" t="s">
        <v>6</v>
      </c>
      <c r="R42" s="40" t="s">
        <v>6</v>
      </c>
      <c r="S42" s="40" t="s">
        <v>6</v>
      </c>
      <c r="T42" s="416" t="s">
        <v>6</v>
      </c>
      <c r="U42" s="204"/>
      <c r="V42" s="206"/>
      <c r="W42" s="204" t="s">
        <v>65</v>
      </c>
      <c r="X42" s="59"/>
      <c r="Y42" s="59"/>
      <c r="Z42" s="226" t="s">
        <v>6</v>
      </c>
      <c r="AA42" s="416" t="s">
        <v>6</v>
      </c>
      <c r="AB42" s="361"/>
      <c r="AC42" s="260"/>
      <c r="AD42" s="260"/>
      <c r="AE42" s="204" t="s">
        <v>65</v>
      </c>
      <c r="AF42" s="59"/>
      <c r="AG42" s="59"/>
      <c r="AH42" s="226" t="s">
        <v>6</v>
      </c>
      <c r="AI42" s="416" t="s">
        <v>6</v>
      </c>
      <c r="AJ42" s="361"/>
      <c r="AK42" s="260"/>
      <c r="AL42" s="260"/>
      <c r="AM42" s="59"/>
      <c r="AN42" s="59"/>
      <c r="AO42" s="59"/>
      <c r="AP42" s="59"/>
      <c r="AQ42" s="59"/>
      <c r="AR42" s="59"/>
      <c r="AS42" s="59"/>
      <c r="AT42" s="59"/>
      <c r="AU42" s="59"/>
      <c r="AV42" s="59"/>
      <c r="AW42" s="18">
        <f t="shared" si="3"/>
        <v>32</v>
      </c>
    </row>
    <row r="43" spans="1:49" s="20" customFormat="1" ht="15">
      <c r="A43" s="40">
        <f t="shared" si="2"/>
        <v>37</v>
      </c>
      <c r="B43" s="59"/>
      <c r="C43" s="59"/>
      <c r="D43" s="59"/>
      <c r="E43" s="59"/>
      <c r="F43" s="59"/>
      <c r="G43" s="59"/>
      <c r="H43" s="59"/>
      <c r="I43" s="59" t="s">
        <v>868</v>
      </c>
      <c r="J43" s="218" t="s">
        <v>3175</v>
      </c>
      <c r="K43" s="232" t="s">
        <v>117</v>
      </c>
      <c r="L43" s="204" t="s">
        <v>729</v>
      </c>
      <c r="M43" s="204"/>
      <c r="N43" s="126" t="s">
        <v>504</v>
      </c>
      <c r="O43" s="126"/>
      <c r="P43" s="126"/>
      <c r="Q43" s="126" t="s">
        <v>6</v>
      </c>
      <c r="R43" s="126" t="s">
        <v>6</v>
      </c>
      <c r="S43" s="126" t="s">
        <v>6</v>
      </c>
      <c r="T43" s="126" t="s">
        <v>6</v>
      </c>
      <c r="U43" s="200" t="s">
        <v>560</v>
      </c>
      <c r="V43" s="206"/>
      <c r="W43" s="232" t="s">
        <v>125</v>
      </c>
      <c r="X43" s="59"/>
      <c r="Y43" s="59"/>
      <c r="Z43" s="59"/>
      <c r="AA43" s="61" t="s">
        <v>6</v>
      </c>
      <c r="AB43" s="15"/>
      <c r="AC43" s="59"/>
      <c r="AD43" s="59"/>
      <c r="AE43" s="232" t="s">
        <v>125</v>
      </c>
      <c r="AF43" s="59"/>
      <c r="AG43" s="59"/>
      <c r="AH43" s="59"/>
      <c r="AI43" s="61" t="s">
        <v>6</v>
      </c>
      <c r="AJ43" s="15"/>
      <c r="AK43" s="59"/>
      <c r="AL43" s="59"/>
      <c r="AM43" s="59"/>
      <c r="AN43" s="59"/>
      <c r="AO43" s="59"/>
      <c r="AP43" s="59"/>
      <c r="AQ43" s="59"/>
      <c r="AR43" s="59"/>
      <c r="AS43" s="59"/>
      <c r="AT43" s="59"/>
      <c r="AU43" s="59"/>
      <c r="AV43" s="59"/>
      <c r="AW43" s="18">
        <f t="shared" si="3"/>
        <v>18</v>
      </c>
    </row>
    <row r="44" spans="1:49" s="20" customFormat="1" ht="15">
      <c r="A44" s="40">
        <f t="shared" si="2"/>
        <v>38</v>
      </c>
      <c r="B44" s="59"/>
      <c r="C44" s="59"/>
      <c r="D44" s="59"/>
      <c r="E44" s="59"/>
      <c r="F44" s="59"/>
      <c r="G44" s="59"/>
      <c r="H44" s="59"/>
      <c r="I44" s="59" t="s">
        <v>868</v>
      </c>
      <c r="J44" s="218" t="s">
        <v>3176</v>
      </c>
      <c r="K44" s="232" t="s">
        <v>117</v>
      </c>
      <c r="L44" s="204" t="s">
        <v>729</v>
      </c>
      <c r="M44" s="204"/>
      <c r="N44" s="126" t="s">
        <v>504</v>
      </c>
      <c r="O44" s="126"/>
      <c r="P44" s="126"/>
      <c r="Q44" s="126" t="s">
        <v>6</v>
      </c>
      <c r="R44" s="126" t="s">
        <v>6</v>
      </c>
      <c r="S44" s="126" t="s">
        <v>6</v>
      </c>
      <c r="T44" s="126" t="s">
        <v>6</v>
      </c>
      <c r="U44" s="204"/>
      <c r="V44" s="206"/>
      <c r="W44" s="232" t="s">
        <v>125</v>
      </c>
      <c r="X44" s="59"/>
      <c r="Y44" s="59"/>
      <c r="Z44" s="59"/>
      <c r="AA44" s="61" t="s">
        <v>6</v>
      </c>
      <c r="AB44" s="15"/>
      <c r="AC44" s="59"/>
      <c r="AD44" s="59"/>
      <c r="AE44" s="232" t="s">
        <v>125</v>
      </c>
      <c r="AF44" s="59"/>
      <c r="AG44" s="59"/>
      <c r="AH44" s="59"/>
      <c r="AI44" s="61" t="s">
        <v>6</v>
      </c>
      <c r="AJ44" s="15"/>
      <c r="AK44" s="59"/>
      <c r="AL44" s="59"/>
      <c r="AM44" s="59"/>
      <c r="AN44" s="59"/>
      <c r="AO44" s="59"/>
      <c r="AP44" s="59"/>
      <c r="AQ44" s="59"/>
      <c r="AR44" s="59"/>
      <c r="AS44" s="59"/>
      <c r="AT44" s="59"/>
      <c r="AU44" s="59"/>
      <c r="AV44" s="59"/>
      <c r="AW44" s="18">
        <f t="shared" si="3"/>
        <v>18</v>
      </c>
    </row>
    <row r="45" spans="1:49" s="236" customFormat="1" ht="26.4">
      <c r="A45" s="40">
        <f>ROW() - 6</f>
        <v>39</v>
      </c>
      <c r="B45" s="199"/>
      <c r="C45" s="199"/>
      <c r="D45" s="199"/>
      <c r="E45" s="199"/>
      <c r="F45" s="199"/>
      <c r="G45" s="199"/>
      <c r="H45" s="199"/>
      <c r="I45" s="199"/>
      <c r="J45" s="218" t="s">
        <v>3391</v>
      </c>
      <c r="K45" s="204" t="s">
        <v>117</v>
      </c>
      <c r="L45" s="204" t="s">
        <v>732</v>
      </c>
      <c r="M45" s="204"/>
      <c r="N45" s="40" t="s">
        <v>504</v>
      </c>
      <c r="O45" s="199"/>
      <c r="P45" s="199"/>
      <c r="Q45" s="40" t="s">
        <v>6</v>
      </c>
      <c r="R45" s="40" t="s">
        <v>6</v>
      </c>
      <c r="S45" s="40" t="s">
        <v>6</v>
      </c>
      <c r="T45" s="40" t="s">
        <v>6</v>
      </c>
      <c r="U45" s="204" t="s">
        <v>3392</v>
      </c>
      <c r="V45" s="204"/>
      <c r="W45" s="204"/>
      <c r="X45" s="199"/>
      <c r="Y45" s="199"/>
      <c r="Z45" s="40"/>
      <c r="AA45" s="40"/>
      <c r="AB45" s="218"/>
      <c r="AC45" s="199"/>
      <c r="AD45" s="218"/>
      <c r="AE45" s="204"/>
      <c r="AF45" s="199"/>
      <c r="AG45" s="199"/>
      <c r="AH45" s="199"/>
      <c r="AI45" s="40"/>
      <c r="AJ45" s="218"/>
      <c r="AK45" s="199"/>
      <c r="AL45" s="218"/>
      <c r="AM45" s="199"/>
      <c r="AN45" s="199"/>
      <c r="AO45" s="199"/>
      <c r="AP45" s="199"/>
      <c r="AQ45" s="199"/>
      <c r="AR45" s="199"/>
      <c r="AS45" s="199"/>
      <c r="AT45" s="199"/>
      <c r="AU45" s="199"/>
      <c r="AV45" s="199"/>
      <c r="AW45" s="155">
        <f t="shared" ref="AW45" si="4">LEN(L45)</f>
        <v>29</v>
      </c>
    </row>
    <row r="46" spans="1:49" s="236" customFormat="1" ht="15">
      <c r="A46" s="40">
        <f>ROW() - 6</f>
        <v>40</v>
      </c>
      <c r="B46" s="199"/>
      <c r="C46" s="199"/>
      <c r="D46" s="199"/>
      <c r="E46" s="199"/>
      <c r="F46" s="199"/>
      <c r="G46" s="199"/>
      <c r="H46" s="199"/>
      <c r="I46" s="199"/>
      <c r="J46" s="218" t="s">
        <v>3390</v>
      </c>
      <c r="K46" s="204" t="s">
        <v>117</v>
      </c>
      <c r="L46" s="204" t="s">
        <v>732</v>
      </c>
      <c r="M46" s="204"/>
      <c r="N46" s="40" t="s">
        <v>504</v>
      </c>
      <c r="O46" s="199"/>
      <c r="P46" s="199"/>
      <c r="Q46" s="40" t="s">
        <v>6</v>
      </c>
      <c r="R46" s="40" t="s">
        <v>6</v>
      </c>
      <c r="S46" s="40" t="s">
        <v>6</v>
      </c>
      <c r="T46" s="40" t="s">
        <v>6</v>
      </c>
      <c r="U46" s="204" t="s">
        <v>733</v>
      </c>
      <c r="V46" s="204"/>
      <c r="W46" s="204"/>
      <c r="X46" s="199"/>
      <c r="Y46" s="199"/>
      <c r="Z46" s="40"/>
      <c r="AA46" s="40"/>
      <c r="AB46" s="218"/>
      <c r="AC46" s="199"/>
      <c r="AD46" s="218"/>
      <c r="AE46" s="204"/>
      <c r="AF46" s="199"/>
      <c r="AG46" s="199"/>
      <c r="AH46" s="199"/>
      <c r="AI46" s="40"/>
      <c r="AJ46" s="218"/>
      <c r="AK46" s="199"/>
      <c r="AL46" s="218"/>
      <c r="AM46" s="199"/>
      <c r="AN46" s="199"/>
      <c r="AO46" s="199"/>
      <c r="AP46" s="199"/>
      <c r="AQ46" s="199"/>
      <c r="AR46" s="199"/>
      <c r="AS46" s="199"/>
      <c r="AT46" s="199"/>
      <c r="AU46" s="199"/>
      <c r="AV46" s="199"/>
      <c r="AW46" s="155">
        <f t="shared" si="3"/>
        <v>29</v>
      </c>
    </row>
    <row r="47" spans="1:49" s="20" customFormat="1" ht="15">
      <c r="A47" s="40">
        <f>ROW() - 6</f>
        <v>41</v>
      </c>
      <c r="B47" s="59"/>
      <c r="C47" s="59"/>
      <c r="D47" s="59"/>
      <c r="E47" s="59"/>
      <c r="F47" s="59"/>
      <c r="G47" s="59"/>
      <c r="H47" s="59"/>
      <c r="I47" s="59"/>
      <c r="J47" s="218" t="s">
        <v>3177</v>
      </c>
      <c r="K47" s="204" t="s">
        <v>117</v>
      </c>
      <c r="L47" s="204" t="s">
        <v>735</v>
      </c>
      <c r="M47" s="204"/>
      <c r="N47" s="126" t="s">
        <v>504</v>
      </c>
      <c r="O47" s="126"/>
      <c r="P47" s="126"/>
      <c r="Q47" s="40" t="s">
        <v>6</v>
      </c>
      <c r="R47" s="40" t="s">
        <v>6</v>
      </c>
      <c r="S47" s="40" t="s">
        <v>6</v>
      </c>
      <c r="T47" s="40" t="s">
        <v>6</v>
      </c>
      <c r="U47" s="200" t="s">
        <v>802</v>
      </c>
      <c r="V47" s="206"/>
      <c r="W47" s="204" t="s">
        <v>125</v>
      </c>
      <c r="X47" s="59"/>
      <c r="Y47" s="59"/>
      <c r="Z47" s="59"/>
      <c r="AA47" s="40" t="s">
        <v>6</v>
      </c>
      <c r="AB47" s="218"/>
      <c r="AC47" s="59"/>
      <c r="AD47" s="218"/>
      <c r="AE47" s="204" t="s">
        <v>125</v>
      </c>
      <c r="AF47" s="59"/>
      <c r="AG47" s="59"/>
      <c r="AH47" s="59"/>
      <c r="AI47" s="40" t="s">
        <v>6</v>
      </c>
      <c r="AJ47" s="218"/>
      <c r="AK47" s="59"/>
      <c r="AL47" s="218"/>
      <c r="AM47" s="59"/>
      <c r="AN47" s="59"/>
      <c r="AO47" s="59"/>
      <c r="AP47" s="59"/>
      <c r="AQ47" s="59"/>
      <c r="AR47" s="59"/>
      <c r="AS47" s="59"/>
      <c r="AT47" s="59"/>
      <c r="AU47" s="59"/>
      <c r="AV47" s="59"/>
      <c r="AW47" s="18">
        <v>14</v>
      </c>
    </row>
    <row r="48" spans="1:49" s="20" customFormat="1" ht="15">
      <c r="A48" s="40">
        <f>ROW() - 6</f>
        <v>42</v>
      </c>
      <c r="B48" s="59"/>
      <c r="C48" s="59"/>
      <c r="D48" s="59"/>
      <c r="E48" s="59"/>
      <c r="F48" s="59"/>
      <c r="G48" s="59"/>
      <c r="H48" s="59"/>
      <c r="I48" s="59"/>
      <c r="J48" s="218" t="s">
        <v>3178</v>
      </c>
      <c r="K48" s="204" t="s">
        <v>117</v>
      </c>
      <c r="L48" s="204" t="s">
        <v>735</v>
      </c>
      <c r="M48" s="204"/>
      <c r="N48" s="126" t="s">
        <v>504</v>
      </c>
      <c r="O48" s="126"/>
      <c r="P48" s="126"/>
      <c r="Q48" s="40" t="s">
        <v>6</v>
      </c>
      <c r="R48" s="40" t="s">
        <v>6</v>
      </c>
      <c r="S48" s="40" t="s">
        <v>6</v>
      </c>
      <c r="T48" s="40" t="s">
        <v>6</v>
      </c>
      <c r="U48" s="204"/>
      <c r="V48" s="206"/>
      <c r="W48" s="204" t="s">
        <v>125</v>
      </c>
      <c r="X48" s="59"/>
      <c r="Y48" s="59"/>
      <c r="Z48" s="59"/>
      <c r="AA48" s="40" t="s">
        <v>6</v>
      </c>
      <c r="AB48" s="218"/>
      <c r="AC48" s="59"/>
      <c r="AD48" s="218"/>
      <c r="AE48" s="204" t="s">
        <v>125</v>
      </c>
      <c r="AF48" s="59"/>
      <c r="AG48" s="59"/>
      <c r="AH48" s="59"/>
      <c r="AI48" s="40" t="s">
        <v>6</v>
      </c>
      <c r="AJ48" s="218"/>
      <c r="AK48" s="59"/>
      <c r="AL48" s="218"/>
      <c r="AM48" s="59"/>
      <c r="AN48" s="59"/>
      <c r="AO48" s="59"/>
      <c r="AP48" s="59"/>
      <c r="AQ48" s="59"/>
      <c r="AR48" s="59"/>
      <c r="AS48" s="59"/>
      <c r="AT48" s="59"/>
      <c r="AU48" s="59"/>
      <c r="AV48" s="59"/>
      <c r="AW48" s="18">
        <f t="shared" ref="AW48:AW51" si="5">LEN(L48)</f>
        <v>14</v>
      </c>
    </row>
    <row r="49" spans="1:87" s="20" customFormat="1" ht="15">
      <c r="A49" s="40">
        <f t="shared" ref="A49:A51" si="6">ROW() - 6</f>
        <v>43</v>
      </c>
      <c r="B49" s="59"/>
      <c r="C49" s="59"/>
      <c r="D49" s="59"/>
      <c r="E49" s="59"/>
      <c r="F49" s="59"/>
      <c r="G49" s="59"/>
      <c r="H49" s="59"/>
      <c r="I49" s="59"/>
      <c r="J49" s="218" t="s">
        <v>3179</v>
      </c>
      <c r="K49" s="204" t="s">
        <v>117</v>
      </c>
      <c r="L49" s="204" t="s">
        <v>735</v>
      </c>
      <c r="M49" s="204"/>
      <c r="N49" s="126" t="s">
        <v>504</v>
      </c>
      <c r="O49" s="126"/>
      <c r="P49" s="126"/>
      <c r="Q49" s="40" t="s">
        <v>6</v>
      </c>
      <c r="R49" s="40" t="s">
        <v>6</v>
      </c>
      <c r="S49" s="40" t="s">
        <v>6</v>
      </c>
      <c r="T49" s="40" t="s">
        <v>6</v>
      </c>
      <c r="U49" s="200" t="s">
        <v>560</v>
      </c>
      <c r="V49" s="206"/>
      <c r="W49" s="204" t="s">
        <v>125</v>
      </c>
      <c r="X49" s="59"/>
      <c r="Y49" s="59"/>
      <c r="Z49" s="59"/>
      <c r="AA49" s="40" t="s">
        <v>6</v>
      </c>
      <c r="AB49" s="218"/>
      <c r="AC49" s="59"/>
      <c r="AD49" s="218"/>
      <c r="AE49" s="204" t="s">
        <v>125</v>
      </c>
      <c r="AF49" s="59"/>
      <c r="AG49" s="59"/>
      <c r="AH49" s="59"/>
      <c r="AI49" s="40" t="s">
        <v>6</v>
      </c>
      <c r="AJ49" s="218"/>
      <c r="AK49" s="59"/>
      <c r="AL49" s="218"/>
      <c r="AM49" s="59"/>
      <c r="AN49" s="59"/>
      <c r="AO49" s="59"/>
      <c r="AP49" s="59"/>
      <c r="AQ49" s="59"/>
      <c r="AR49" s="59"/>
      <c r="AS49" s="59"/>
      <c r="AT49" s="59"/>
      <c r="AU49" s="59"/>
      <c r="AV49" s="59"/>
      <c r="AW49" s="18">
        <f t="shared" si="5"/>
        <v>14</v>
      </c>
    </row>
    <row r="50" spans="1:87" s="20" customFormat="1" ht="15">
      <c r="A50" s="40">
        <f t="shared" si="6"/>
        <v>44</v>
      </c>
      <c r="B50" s="59"/>
      <c r="C50" s="59"/>
      <c r="D50" s="59"/>
      <c r="E50" s="59"/>
      <c r="F50" s="59"/>
      <c r="G50" s="59"/>
      <c r="H50" s="59"/>
      <c r="I50" s="59"/>
      <c r="J50" s="218" t="s">
        <v>3180</v>
      </c>
      <c r="K50" s="204" t="s">
        <v>117</v>
      </c>
      <c r="L50" s="204" t="s">
        <v>735</v>
      </c>
      <c r="M50" s="204"/>
      <c r="N50" s="126" t="s">
        <v>504</v>
      </c>
      <c r="O50" s="126"/>
      <c r="P50" s="126"/>
      <c r="Q50" s="40" t="s">
        <v>6</v>
      </c>
      <c r="R50" s="40" t="s">
        <v>6</v>
      </c>
      <c r="S50" s="40" t="s">
        <v>6</v>
      </c>
      <c r="T50" s="40" t="s">
        <v>6</v>
      </c>
      <c r="U50" s="204"/>
      <c r="V50" s="206"/>
      <c r="W50" s="204" t="s">
        <v>125</v>
      </c>
      <c r="X50" s="59"/>
      <c r="Y50" s="59"/>
      <c r="Z50" s="59"/>
      <c r="AA50" s="40" t="s">
        <v>6</v>
      </c>
      <c r="AB50" s="218"/>
      <c r="AC50" s="59"/>
      <c r="AD50" s="218"/>
      <c r="AE50" s="204" t="s">
        <v>125</v>
      </c>
      <c r="AF50" s="59"/>
      <c r="AG50" s="59"/>
      <c r="AH50" s="59"/>
      <c r="AI50" s="40" t="s">
        <v>6</v>
      </c>
      <c r="AJ50" s="218"/>
      <c r="AK50" s="59"/>
      <c r="AL50" s="218"/>
      <c r="AM50" s="59"/>
      <c r="AN50" s="59"/>
      <c r="AO50" s="59"/>
      <c r="AP50" s="59"/>
      <c r="AQ50" s="59"/>
      <c r="AR50" s="59"/>
      <c r="AS50" s="59"/>
      <c r="AT50" s="59"/>
      <c r="AU50" s="59"/>
      <c r="AV50" s="59"/>
      <c r="AW50" s="18">
        <f t="shared" si="5"/>
        <v>14</v>
      </c>
    </row>
    <row r="51" spans="1:87" s="18" customFormat="1" ht="15">
      <c r="A51" s="40">
        <f t="shared" si="6"/>
        <v>45</v>
      </c>
      <c r="B51" s="19"/>
      <c r="C51" s="41"/>
      <c r="D51" s="19"/>
      <c r="E51" s="19"/>
      <c r="F51" s="19"/>
      <c r="G51" s="19"/>
      <c r="H51" s="13"/>
      <c r="I51" s="13"/>
      <c r="J51" s="218" t="s">
        <v>3328</v>
      </c>
      <c r="K51" s="412" t="s">
        <v>117</v>
      </c>
      <c r="L51" s="204" t="s">
        <v>740</v>
      </c>
      <c r="M51" s="204"/>
      <c r="N51" s="126" t="s">
        <v>504</v>
      </c>
      <c r="O51" s="126"/>
      <c r="P51" s="40"/>
      <c r="Q51" s="126" t="s">
        <v>6</v>
      </c>
      <c r="R51" s="126" t="s">
        <v>6</v>
      </c>
      <c r="S51" s="126" t="s">
        <v>6</v>
      </c>
      <c r="T51" s="40" t="s">
        <v>6</v>
      </c>
      <c r="U51" s="204"/>
      <c r="V51" s="206"/>
      <c r="W51" s="412" t="s">
        <v>125</v>
      </c>
      <c r="X51" s="59"/>
      <c r="Y51" s="59"/>
      <c r="Z51" s="59"/>
      <c r="AA51" s="61" t="s">
        <v>6</v>
      </c>
      <c r="AB51" s="79" t="s">
        <v>3383</v>
      </c>
      <c r="AC51" s="59"/>
      <c r="AD51" s="218" t="s">
        <v>809</v>
      </c>
      <c r="AE51" s="412" t="s">
        <v>125</v>
      </c>
      <c r="AF51" s="59"/>
      <c r="AG51" s="59"/>
      <c r="AH51" s="59"/>
      <c r="AI51" s="61" t="s">
        <v>6</v>
      </c>
      <c r="AJ51" s="79"/>
      <c r="AK51" s="59"/>
      <c r="AL51" s="218" t="s">
        <v>809</v>
      </c>
      <c r="AM51" s="43"/>
      <c r="AN51" s="19"/>
      <c r="AO51" s="15"/>
      <c r="AP51" s="15"/>
      <c r="AQ51" s="15"/>
      <c r="AR51" s="15"/>
      <c r="AS51" s="15"/>
      <c r="AT51" s="15"/>
      <c r="AU51" s="13"/>
      <c r="AV51" s="15"/>
      <c r="AW51" s="18">
        <f t="shared" si="5"/>
        <v>26</v>
      </c>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row>
    <row r="52" spans="1:87" s="18" customFormat="1" ht="15">
      <c r="A52" s="40">
        <f t="shared" ref="A52:A63" si="7">ROW() - 6</f>
        <v>46</v>
      </c>
      <c r="B52" s="19"/>
      <c r="C52" s="41"/>
      <c r="D52" s="19"/>
      <c r="E52" s="19"/>
      <c r="F52" s="19"/>
      <c r="G52" s="19"/>
      <c r="H52" s="13"/>
      <c r="I52" s="13"/>
      <c r="J52" s="218" t="s">
        <v>3327</v>
      </c>
      <c r="K52" s="412" t="s">
        <v>117</v>
      </c>
      <c r="L52" s="204" t="s">
        <v>740</v>
      </c>
      <c r="M52" s="204"/>
      <c r="N52" s="126" t="s">
        <v>504</v>
      </c>
      <c r="O52" s="126"/>
      <c r="P52" s="40"/>
      <c r="Q52" s="126" t="s">
        <v>6</v>
      </c>
      <c r="R52" s="126" t="s">
        <v>6</v>
      </c>
      <c r="S52" s="126" t="s">
        <v>6</v>
      </c>
      <c r="T52" s="40" t="s">
        <v>6</v>
      </c>
      <c r="U52" s="200" t="s">
        <v>3384</v>
      </c>
      <c r="V52" s="206"/>
      <c r="W52" s="412" t="s">
        <v>125</v>
      </c>
      <c r="X52" s="59"/>
      <c r="Y52" s="59"/>
      <c r="Z52" s="59"/>
      <c r="AA52" s="61" t="s">
        <v>6</v>
      </c>
      <c r="AB52" s="79"/>
      <c r="AC52" s="59"/>
      <c r="AD52" s="218" t="s">
        <v>809</v>
      </c>
      <c r="AE52" s="412" t="s">
        <v>125</v>
      </c>
      <c r="AF52" s="59"/>
      <c r="AG52" s="59"/>
      <c r="AH52" s="59"/>
      <c r="AI52" s="61" t="s">
        <v>6</v>
      </c>
      <c r="AJ52" s="79"/>
      <c r="AK52" s="59"/>
      <c r="AL52" s="218" t="s">
        <v>809</v>
      </c>
      <c r="AM52" s="43"/>
      <c r="AN52" s="19"/>
      <c r="AO52" s="15"/>
      <c r="AP52" s="15"/>
      <c r="AQ52" s="15"/>
      <c r="AR52" s="15"/>
      <c r="AS52" s="15"/>
      <c r="AT52" s="15"/>
      <c r="AU52" s="13"/>
      <c r="AV52" s="15"/>
      <c r="AW52" s="18">
        <v>18</v>
      </c>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row>
    <row r="53" spans="1:87" s="20" customFormat="1" ht="26.4">
      <c r="A53" s="40">
        <f t="shared" si="7"/>
        <v>47</v>
      </c>
      <c r="B53" s="59"/>
      <c r="C53" s="59"/>
      <c r="D53" s="59"/>
      <c r="E53" s="59"/>
      <c r="F53" s="59"/>
      <c r="G53" s="59"/>
      <c r="H53" s="59"/>
      <c r="I53" s="59"/>
      <c r="J53" s="218" t="s">
        <v>3393</v>
      </c>
      <c r="K53" s="232" t="s">
        <v>117</v>
      </c>
      <c r="L53" s="204" t="s">
        <v>3362</v>
      </c>
      <c r="M53" s="204"/>
      <c r="N53" s="40" t="s">
        <v>504</v>
      </c>
      <c r="O53" s="126"/>
      <c r="P53" s="126"/>
      <c r="Q53" s="40" t="s">
        <v>6</v>
      </c>
      <c r="R53" s="40" t="s">
        <v>6</v>
      </c>
      <c r="S53" s="40" t="s">
        <v>6</v>
      </c>
      <c r="T53" s="40" t="s">
        <v>6</v>
      </c>
      <c r="U53" s="200" t="s">
        <v>3395</v>
      </c>
      <c r="V53" s="206"/>
      <c r="W53" s="204"/>
      <c r="X53" s="59"/>
      <c r="Y53" s="59"/>
      <c r="Z53" s="40"/>
      <c r="AA53" s="40"/>
      <c r="AB53" s="15"/>
      <c r="AC53" s="59"/>
      <c r="AD53" s="59"/>
      <c r="AE53" s="232"/>
      <c r="AF53" s="59"/>
      <c r="AG53" s="59"/>
      <c r="AH53" s="59"/>
      <c r="AI53" s="40"/>
      <c r="AJ53" s="15"/>
      <c r="AK53" s="59"/>
      <c r="AL53" s="59"/>
      <c r="AM53" s="59"/>
      <c r="AN53" s="59"/>
      <c r="AO53" s="59"/>
      <c r="AP53" s="59"/>
      <c r="AQ53" s="59"/>
      <c r="AR53" s="59"/>
      <c r="AS53" s="59"/>
      <c r="AT53" s="59"/>
      <c r="AU53" s="59"/>
      <c r="AV53" s="59"/>
      <c r="AW53" s="18"/>
    </row>
    <row r="54" spans="1:87" s="18" customFormat="1" ht="15">
      <c r="A54" s="40">
        <f t="shared" si="7"/>
        <v>48</v>
      </c>
      <c r="B54" s="19"/>
      <c r="C54" s="41"/>
      <c r="D54" s="19"/>
      <c r="E54" s="19"/>
      <c r="F54" s="19"/>
      <c r="G54" s="19"/>
      <c r="H54" s="13"/>
      <c r="I54" s="13"/>
      <c r="J54" s="218" t="s">
        <v>3329</v>
      </c>
      <c r="K54" s="412" t="s">
        <v>117</v>
      </c>
      <c r="L54" s="204" t="s">
        <v>740</v>
      </c>
      <c r="M54" s="204"/>
      <c r="N54" s="126" t="s">
        <v>504</v>
      </c>
      <c r="O54" s="126"/>
      <c r="P54" s="40"/>
      <c r="Q54" s="126" t="s">
        <v>6</v>
      </c>
      <c r="R54" s="126" t="s">
        <v>6</v>
      </c>
      <c r="S54" s="126" t="s">
        <v>6</v>
      </c>
      <c r="T54" s="40" t="s">
        <v>6</v>
      </c>
      <c r="U54" s="200" t="s">
        <v>3385</v>
      </c>
      <c r="V54" s="206"/>
      <c r="W54" s="412" t="s">
        <v>125</v>
      </c>
      <c r="X54" s="59"/>
      <c r="Y54" s="59"/>
      <c r="Z54" s="59"/>
      <c r="AA54" s="61" t="s">
        <v>6</v>
      </c>
      <c r="AB54" s="79"/>
      <c r="AC54" s="59"/>
      <c r="AD54" s="218" t="s">
        <v>809</v>
      </c>
      <c r="AE54" s="412" t="s">
        <v>125</v>
      </c>
      <c r="AF54" s="59"/>
      <c r="AG54" s="59"/>
      <c r="AH54" s="59"/>
      <c r="AI54" s="61" t="s">
        <v>6</v>
      </c>
      <c r="AJ54" s="79"/>
      <c r="AK54" s="59"/>
      <c r="AL54" s="218" t="s">
        <v>809</v>
      </c>
      <c r="AM54" s="43"/>
      <c r="AN54" s="19"/>
      <c r="AO54" s="15"/>
      <c r="AP54" s="15"/>
      <c r="AQ54" s="15"/>
      <c r="AR54" s="15"/>
      <c r="AS54" s="15"/>
      <c r="AT54" s="15"/>
      <c r="AU54" s="13"/>
      <c r="AV54" s="15"/>
      <c r="AW54" s="18">
        <f t="shared" ref="AW54:AW60" si="8">LEN(L54)</f>
        <v>26</v>
      </c>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row>
    <row r="55" spans="1:87" s="236" customFormat="1" ht="15">
      <c r="A55" s="40">
        <f t="shared" si="7"/>
        <v>49</v>
      </c>
      <c r="B55" s="199"/>
      <c r="C55" s="199"/>
      <c r="D55" s="199"/>
      <c r="E55" s="199"/>
      <c r="F55" s="199"/>
      <c r="G55" s="199"/>
      <c r="H55" s="199"/>
      <c r="I55" s="199"/>
      <c r="J55" s="218" t="s">
        <v>3181</v>
      </c>
      <c r="K55" s="232" t="s">
        <v>125</v>
      </c>
      <c r="L55" s="204" t="s">
        <v>3182</v>
      </c>
      <c r="M55" s="204"/>
      <c r="N55" s="126" t="s">
        <v>504</v>
      </c>
      <c r="O55" s="126"/>
      <c r="P55" s="126"/>
      <c r="Q55" s="40"/>
      <c r="R55" s="40"/>
      <c r="S55" s="40" t="s">
        <v>6</v>
      </c>
      <c r="T55" s="40" t="s">
        <v>6</v>
      </c>
      <c r="U55" s="218" t="s">
        <v>3183</v>
      </c>
      <c r="V55" s="218"/>
      <c r="W55" s="204" t="s">
        <v>125</v>
      </c>
      <c r="X55" s="199"/>
      <c r="Y55" s="199"/>
      <c r="Z55" s="199"/>
      <c r="AA55" s="40" t="s">
        <v>6</v>
      </c>
      <c r="AB55" s="198"/>
      <c r="AC55" s="199"/>
      <c r="AD55" s="199"/>
      <c r="AE55" s="204" t="s">
        <v>125</v>
      </c>
      <c r="AF55" s="199"/>
      <c r="AG55" s="199"/>
      <c r="AH55" s="199"/>
      <c r="AI55" s="40" t="s">
        <v>6</v>
      </c>
      <c r="AJ55" s="198"/>
      <c r="AK55" s="199"/>
      <c r="AL55" s="199"/>
      <c r="AM55" s="199" t="s">
        <v>1436</v>
      </c>
      <c r="AN55" s="200" t="e">
        <f>"Agrupamento itens "&amp;#REF!&amp;", "&amp;#REF!&amp;", "&amp;#REF!&amp;", "&amp;#REF!&amp;" a "&amp;#REF!&amp;", "&amp;#REF!&amp;" a "&amp;#REF!&amp;", "&amp;#REF!&amp;" a "&amp;#REF!&amp;", "&amp;#REF!&amp;", "&amp;#REF!&amp;", "&amp;#REF!&amp;" a "&amp;#REF!&amp;", "&amp;#REF!&amp;", "&amp;#REF!&amp;", "&amp;#REF!&amp;" a "&amp;#REF!&amp;", "&amp;#REF!&amp;", "&amp;#REF!&amp;", "&amp;#REF!&amp;" a "&amp;#REF!</f>
        <v>#REF!</v>
      </c>
      <c r="AO55" s="199"/>
      <c r="AP55" s="199"/>
      <c r="AQ55" s="199"/>
      <c r="AR55" s="199"/>
      <c r="AS55" s="199"/>
      <c r="AT55" s="199"/>
      <c r="AU55" s="199"/>
      <c r="AV55" s="199"/>
      <c r="AW55" s="155">
        <f t="shared" si="8"/>
        <v>37</v>
      </c>
    </row>
    <row r="56" spans="1:87" s="20" customFormat="1" ht="15">
      <c r="A56" s="40">
        <f t="shared" si="7"/>
        <v>50</v>
      </c>
      <c r="B56" s="59"/>
      <c r="C56" s="59"/>
      <c r="D56" s="59"/>
      <c r="E56" s="59"/>
      <c r="F56" s="59"/>
      <c r="G56" s="59"/>
      <c r="H56" s="59"/>
      <c r="I56" s="59"/>
      <c r="J56" s="218" t="s">
        <v>3394</v>
      </c>
      <c r="K56" s="232" t="s">
        <v>117</v>
      </c>
      <c r="L56" s="204" t="s">
        <v>3362</v>
      </c>
      <c r="M56" s="204"/>
      <c r="N56" s="40" t="s">
        <v>504</v>
      </c>
      <c r="O56" s="126"/>
      <c r="P56" s="126"/>
      <c r="Q56" s="40" t="s">
        <v>6</v>
      </c>
      <c r="R56" s="40" t="s">
        <v>6</v>
      </c>
      <c r="S56" s="40" t="s">
        <v>6</v>
      </c>
      <c r="T56" s="40" t="s">
        <v>6</v>
      </c>
      <c r="U56" s="200" t="s">
        <v>747</v>
      </c>
      <c r="V56" s="206"/>
      <c r="W56" s="204"/>
      <c r="X56" s="59"/>
      <c r="Y56" s="59"/>
      <c r="Z56" s="40"/>
      <c r="AA56" s="40"/>
      <c r="AB56" s="15"/>
      <c r="AC56" s="59"/>
      <c r="AD56" s="59"/>
      <c r="AE56" s="232"/>
      <c r="AF56" s="59"/>
      <c r="AG56" s="59"/>
      <c r="AH56" s="59"/>
      <c r="AI56" s="40"/>
      <c r="AJ56" s="15"/>
      <c r="AK56" s="59"/>
      <c r="AL56" s="59"/>
      <c r="AM56" s="59"/>
      <c r="AN56" s="59"/>
      <c r="AO56" s="59"/>
      <c r="AP56" s="59"/>
      <c r="AQ56" s="59"/>
      <c r="AR56" s="59"/>
      <c r="AS56" s="59"/>
      <c r="AT56" s="59"/>
      <c r="AU56" s="59"/>
      <c r="AV56" s="59"/>
      <c r="AW56" s="18"/>
    </row>
    <row r="57" spans="1:87" s="18" customFormat="1" ht="15">
      <c r="A57" s="40">
        <f t="shared" si="7"/>
        <v>51</v>
      </c>
      <c r="B57" s="19"/>
      <c r="C57" s="41"/>
      <c r="D57" s="19"/>
      <c r="E57" s="19"/>
      <c r="F57" s="19"/>
      <c r="G57" s="19"/>
      <c r="H57" s="13"/>
      <c r="I57" s="13"/>
      <c r="J57" s="218" t="s">
        <v>3330</v>
      </c>
      <c r="K57" s="412" t="s">
        <v>117</v>
      </c>
      <c r="L57" s="204" t="s">
        <v>740</v>
      </c>
      <c r="M57" s="204"/>
      <c r="N57" s="126" t="s">
        <v>504</v>
      </c>
      <c r="O57" s="126"/>
      <c r="P57" s="40"/>
      <c r="Q57" s="126" t="s">
        <v>6</v>
      </c>
      <c r="R57" s="126" t="s">
        <v>6</v>
      </c>
      <c r="S57" s="126" t="s">
        <v>6</v>
      </c>
      <c r="T57" s="40" t="s">
        <v>6</v>
      </c>
      <c r="U57" s="204" t="s">
        <v>3383</v>
      </c>
      <c r="V57" s="206"/>
      <c r="W57" s="412" t="s">
        <v>125</v>
      </c>
      <c r="X57" s="59"/>
      <c r="Y57" s="59"/>
      <c r="Z57" s="59"/>
      <c r="AA57" s="61" t="s">
        <v>6</v>
      </c>
      <c r="AB57" s="79"/>
      <c r="AC57" s="59"/>
      <c r="AD57" s="218" t="s">
        <v>809</v>
      </c>
      <c r="AE57" s="412" t="s">
        <v>125</v>
      </c>
      <c r="AF57" s="59"/>
      <c r="AG57" s="59"/>
      <c r="AH57" s="59"/>
      <c r="AI57" s="61" t="s">
        <v>6</v>
      </c>
      <c r="AJ57" s="79"/>
      <c r="AK57" s="59"/>
      <c r="AL57" s="218" t="s">
        <v>809</v>
      </c>
      <c r="AM57" s="43"/>
      <c r="AN57" s="19"/>
      <c r="AO57" s="15"/>
      <c r="AP57" s="15"/>
      <c r="AQ57" s="15"/>
      <c r="AR57" s="15"/>
      <c r="AS57" s="15"/>
      <c r="AT57" s="15"/>
      <c r="AU57" s="13"/>
      <c r="AV57" s="15"/>
      <c r="AW57" s="18">
        <f t="shared" si="8"/>
        <v>26</v>
      </c>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row>
    <row r="58" spans="1:87" s="18" customFormat="1" ht="15">
      <c r="A58" s="40">
        <f t="shared" si="7"/>
        <v>52</v>
      </c>
      <c r="B58" s="19"/>
      <c r="C58" s="41"/>
      <c r="D58" s="19"/>
      <c r="E58" s="19"/>
      <c r="F58" s="19"/>
      <c r="G58" s="19"/>
      <c r="H58" s="13"/>
      <c r="I58" s="13"/>
      <c r="J58" s="218" t="s">
        <v>3184</v>
      </c>
      <c r="K58" s="399" t="s">
        <v>128</v>
      </c>
      <c r="L58" s="204" t="s">
        <v>3185</v>
      </c>
      <c r="M58" s="204"/>
      <c r="N58" s="126" t="s">
        <v>504</v>
      </c>
      <c r="O58" s="126"/>
      <c r="P58" s="40"/>
      <c r="Q58" s="126" t="s">
        <v>6</v>
      </c>
      <c r="R58" s="126" t="s">
        <v>6</v>
      </c>
      <c r="S58" s="126" t="s">
        <v>6</v>
      </c>
      <c r="T58" s="40" t="s">
        <v>6</v>
      </c>
      <c r="U58" s="204"/>
      <c r="V58" s="206"/>
      <c r="W58" s="399" t="s">
        <v>125</v>
      </c>
      <c r="X58" s="59"/>
      <c r="Y58" s="59"/>
      <c r="Z58" s="59"/>
      <c r="AA58" s="61" t="s">
        <v>6</v>
      </c>
      <c r="AB58" s="79"/>
      <c r="AC58" s="59"/>
      <c r="AD58" s="218" t="s">
        <v>809</v>
      </c>
      <c r="AE58" s="399" t="s">
        <v>125</v>
      </c>
      <c r="AF58" s="59"/>
      <c r="AG58" s="59"/>
      <c r="AH58" s="59"/>
      <c r="AI58" s="61" t="s">
        <v>6</v>
      </c>
      <c r="AJ58" s="79"/>
      <c r="AK58" s="59"/>
      <c r="AL58" s="218" t="s">
        <v>809</v>
      </c>
      <c r="AM58" s="43"/>
      <c r="AN58" s="19"/>
      <c r="AO58" s="15"/>
      <c r="AP58" s="15"/>
      <c r="AQ58" s="15"/>
      <c r="AR58" s="15"/>
      <c r="AS58" s="15"/>
      <c r="AT58" s="15"/>
      <c r="AU58" s="13"/>
      <c r="AV58" s="15"/>
      <c r="AW58" s="18">
        <f t="shared" si="8"/>
        <v>41</v>
      </c>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row>
    <row r="59" spans="1:87" s="18" customFormat="1" ht="15">
      <c r="A59" s="40">
        <f t="shared" si="7"/>
        <v>53</v>
      </c>
      <c r="B59" s="19"/>
      <c r="C59" s="41"/>
      <c r="D59" s="19"/>
      <c r="E59" s="19"/>
      <c r="F59" s="19"/>
      <c r="G59" s="19"/>
      <c r="H59" s="13"/>
      <c r="I59" s="13"/>
      <c r="J59" s="218" t="s">
        <v>3186</v>
      </c>
      <c r="K59" s="412" t="s">
        <v>117</v>
      </c>
      <c r="L59" s="204" t="s">
        <v>3187</v>
      </c>
      <c r="M59" s="367"/>
      <c r="N59" s="416" t="s">
        <v>504</v>
      </c>
      <c r="O59" s="126"/>
      <c r="P59" s="40"/>
      <c r="Q59" s="40" t="s">
        <v>6</v>
      </c>
      <c r="R59" s="40" t="s">
        <v>6</v>
      </c>
      <c r="S59" s="40" t="s">
        <v>6</v>
      </c>
      <c r="T59" s="40" t="s">
        <v>6</v>
      </c>
      <c r="U59" s="204" t="s">
        <v>1303</v>
      </c>
      <c r="V59" s="206"/>
      <c r="W59" s="412"/>
      <c r="X59" s="59"/>
      <c r="Y59" s="59"/>
      <c r="Z59" s="59"/>
      <c r="AA59" s="61"/>
      <c r="AB59" s="79"/>
      <c r="AC59" s="59"/>
      <c r="AD59" s="218"/>
      <c r="AE59" s="412"/>
      <c r="AF59" s="59"/>
      <c r="AG59" s="59"/>
      <c r="AH59" s="59"/>
      <c r="AI59" s="61"/>
      <c r="AJ59" s="79"/>
      <c r="AK59" s="59"/>
      <c r="AL59" s="218"/>
      <c r="AM59" s="43"/>
      <c r="AN59" s="19"/>
      <c r="AO59" s="15"/>
      <c r="AP59" s="15"/>
      <c r="AQ59" s="15"/>
      <c r="AR59" s="15"/>
      <c r="AS59" s="15"/>
      <c r="AT59" s="15"/>
      <c r="AU59" s="13"/>
      <c r="AV59" s="15"/>
      <c r="AW59" s="18">
        <f t="shared" si="8"/>
        <v>30</v>
      </c>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row>
    <row r="60" spans="1:87" s="18" customFormat="1" ht="15">
      <c r="A60" s="40">
        <f t="shared" si="7"/>
        <v>54</v>
      </c>
      <c r="B60" s="19"/>
      <c r="C60" s="41"/>
      <c r="D60" s="19"/>
      <c r="E60" s="19"/>
      <c r="F60" s="19"/>
      <c r="G60" s="19"/>
      <c r="H60" s="13"/>
      <c r="I60" s="13"/>
      <c r="J60" s="218" t="s">
        <v>3188</v>
      </c>
      <c r="K60" s="412" t="s">
        <v>117</v>
      </c>
      <c r="L60" s="204" t="s">
        <v>3189</v>
      </c>
      <c r="M60" s="367"/>
      <c r="N60" s="416" t="s">
        <v>504</v>
      </c>
      <c r="O60" s="126"/>
      <c r="P60" s="40"/>
      <c r="Q60" s="40" t="s">
        <v>6</v>
      </c>
      <c r="R60" s="40" t="s">
        <v>6</v>
      </c>
      <c r="S60" s="40" t="s">
        <v>6</v>
      </c>
      <c r="T60" s="40" t="s">
        <v>6</v>
      </c>
      <c r="U60" s="204" t="s">
        <v>1303</v>
      </c>
      <c r="V60" s="206"/>
      <c r="W60" s="412"/>
      <c r="X60" s="59"/>
      <c r="Y60" s="59"/>
      <c r="Z60" s="59"/>
      <c r="AA60" s="61"/>
      <c r="AB60" s="79"/>
      <c r="AC60" s="59"/>
      <c r="AD60" s="218"/>
      <c r="AE60" s="412"/>
      <c r="AF60" s="59"/>
      <c r="AG60" s="59"/>
      <c r="AH60" s="59"/>
      <c r="AI60" s="61"/>
      <c r="AJ60" s="79"/>
      <c r="AK60" s="59"/>
      <c r="AL60" s="218"/>
      <c r="AM60" s="43"/>
      <c r="AN60" s="19"/>
      <c r="AO60" s="15"/>
      <c r="AP60" s="15"/>
      <c r="AQ60" s="15"/>
      <c r="AR60" s="15"/>
      <c r="AS60" s="15"/>
      <c r="AT60" s="15"/>
      <c r="AU60" s="13"/>
      <c r="AV60" s="15"/>
      <c r="AW60" s="18">
        <f t="shared" si="8"/>
        <v>30</v>
      </c>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row>
    <row r="61" spans="1:87" s="18" customFormat="1" ht="15">
      <c r="A61" s="40">
        <f t="shared" si="7"/>
        <v>55</v>
      </c>
      <c r="B61" s="19"/>
      <c r="C61" s="41"/>
      <c r="D61" s="19"/>
      <c r="E61" s="19"/>
      <c r="F61" s="19"/>
      <c r="G61" s="19"/>
      <c r="H61" s="13"/>
      <c r="I61" s="13"/>
      <c r="J61" s="218" t="s">
        <v>3190</v>
      </c>
      <c r="K61" s="412" t="s">
        <v>117</v>
      </c>
      <c r="L61" s="204" t="s">
        <v>3191</v>
      </c>
      <c r="M61" s="367"/>
      <c r="N61" s="416" t="s">
        <v>504</v>
      </c>
      <c r="O61" s="126"/>
      <c r="P61" s="40"/>
      <c r="Q61" s="40" t="s">
        <v>6</v>
      </c>
      <c r="R61" s="40" t="s">
        <v>6</v>
      </c>
      <c r="S61" s="40" t="s">
        <v>6</v>
      </c>
      <c r="T61" s="40" t="s">
        <v>6</v>
      </c>
      <c r="U61" s="204" t="s">
        <v>1303</v>
      </c>
      <c r="V61" s="206"/>
      <c r="W61" s="412"/>
      <c r="X61" s="59"/>
      <c r="Y61" s="59"/>
      <c r="Z61" s="59"/>
      <c r="AA61" s="61"/>
      <c r="AB61" s="79"/>
      <c r="AC61" s="59"/>
      <c r="AD61" s="218"/>
      <c r="AE61" s="412"/>
      <c r="AF61" s="59"/>
      <c r="AG61" s="59"/>
      <c r="AH61" s="59"/>
      <c r="AI61" s="61"/>
      <c r="AJ61" s="79"/>
      <c r="AK61" s="59"/>
      <c r="AL61" s="218"/>
      <c r="AM61" s="43"/>
      <c r="AN61" s="19"/>
      <c r="AO61" s="15"/>
      <c r="AP61" s="15"/>
      <c r="AQ61" s="15"/>
      <c r="AR61" s="15"/>
      <c r="AS61" s="15"/>
      <c r="AT61" s="15"/>
      <c r="AU61" s="13"/>
      <c r="AV61" s="15"/>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row>
    <row r="62" spans="1:87" s="18" customFormat="1" ht="15">
      <c r="A62" s="40">
        <f t="shared" si="7"/>
        <v>56</v>
      </c>
      <c r="B62" s="19"/>
      <c r="C62" s="41"/>
      <c r="D62" s="19"/>
      <c r="E62" s="19"/>
      <c r="F62" s="19"/>
      <c r="G62" s="19"/>
      <c r="H62" s="13"/>
      <c r="I62" s="13"/>
      <c r="J62" s="218" t="s">
        <v>3192</v>
      </c>
      <c r="K62" s="412" t="s">
        <v>117</v>
      </c>
      <c r="L62" s="204" t="s">
        <v>3193</v>
      </c>
      <c r="M62" s="367"/>
      <c r="N62" s="416" t="s">
        <v>504</v>
      </c>
      <c r="O62" s="126"/>
      <c r="P62" s="40"/>
      <c r="Q62" s="40" t="s">
        <v>6</v>
      </c>
      <c r="R62" s="40" t="s">
        <v>6</v>
      </c>
      <c r="S62" s="40" t="s">
        <v>6</v>
      </c>
      <c r="T62" s="40" t="s">
        <v>6</v>
      </c>
      <c r="U62" s="204" t="s">
        <v>1303</v>
      </c>
      <c r="V62" s="206"/>
      <c r="W62" s="412"/>
      <c r="X62" s="59"/>
      <c r="Y62" s="59"/>
      <c r="Z62" s="59"/>
      <c r="AA62" s="61"/>
      <c r="AB62" s="79"/>
      <c r="AC62" s="59"/>
      <c r="AD62" s="218"/>
      <c r="AE62" s="412"/>
      <c r="AF62" s="59"/>
      <c r="AG62" s="59"/>
      <c r="AH62" s="59"/>
      <c r="AI62" s="61"/>
      <c r="AJ62" s="79"/>
      <c r="AK62" s="59"/>
      <c r="AL62" s="218"/>
      <c r="AM62" s="43"/>
      <c r="AN62" s="19"/>
      <c r="AO62" s="15"/>
      <c r="AP62" s="15"/>
      <c r="AQ62" s="15"/>
      <c r="AR62" s="15"/>
      <c r="AS62" s="15"/>
      <c r="AT62" s="15"/>
      <c r="AU62" s="13"/>
      <c r="AV62" s="15"/>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row>
    <row r="63" spans="1:87" s="12" customFormat="1" ht="15">
      <c r="A63" s="416">
        <f t="shared" si="7"/>
        <v>57</v>
      </c>
      <c r="B63" s="33"/>
      <c r="C63" s="34"/>
      <c r="D63" s="33"/>
      <c r="E63" s="33"/>
      <c r="F63" s="33"/>
      <c r="G63" s="33"/>
      <c r="H63" s="414"/>
      <c r="I63" s="416"/>
      <c r="J63" s="412" t="s">
        <v>5481</v>
      </c>
      <c r="K63" s="412" t="s">
        <v>122</v>
      </c>
      <c r="L63" s="412" t="s">
        <v>889</v>
      </c>
      <c r="M63" s="412" t="s">
        <v>4037</v>
      </c>
      <c r="N63" s="40" t="s">
        <v>873</v>
      </c>
      <c r="O63" s="416"/>
      <c r="P63" s="416"/>
      <c r="Q63" s="416"/>
      <c r="R63" s="416" t="s">
        <v>6</v>
      </c>
      <c r="S63" s="416" t="s">
        <v>6</v>
      </c>
      <c r="T63" s="416"/>
      <c r="U63" s="279"/>
      <c r="V63" s="412" t="s">
        <v>3138</v>
      </c>
      <c r="W63" s="412" t="s">
        <v>125</v>
      </c>
      <c r="X63" s="13"/>
      <c r="Y63" s="13"/>
      <c r="Z63" s="40"/>
      <c r="AA63" s="40" t="s">
        <v>6</v>
      </c>
      <c r="AB63" s="40"/>
      <c r="AC63" s="412"/>
      <c r="AD63" s="412" t="s">
        <v>3138</v>
      </c>
      <c r="AE63" s="412" t="s">
        <v>125</v>
      </c>
      <c r="AF63" s="13"/>
      <c r="AG63" s="13"/>
      <c r="AH63" s="40"/>
      <c r="AI63" s="40" t="s">
        <v>6</v>
      </c>
      <c r="AJ63" s="40"/>
      <c r="AK63" s="412"/>
      <c r="AL63" s="412" t="s">
        <v>3138</v>
      </c>
      <c r="AM63" s="36" t="s">
        <v>3139</v>
      </c>
      <c r="AN63" s="35"/>
      <c r="AO63" s="37"/>
      <c r="AP63" s="37"/>
      <c r="AQ63" s="37"/>
      <c r="AR63" s="37"/>
      <c r="AS63" s="37"/>
      <c r="AT63" s="37"/>
      <c r="AU63" s="13"/>
      <c r="AV63" s="414"/>
      <c r="AW63" s="18"/>
    </row>
    <row r="64" spans="1:87" s="12" customFormat="1" ht="15">
      <c r="A64" s="416">
        <f t="shared" ref="A64:A104" si="9">ROW() - 6</f>
        <v>58</v>
      </c>
      <c r="B64" s="38"/>
      <c r="C64" s="34"/>
      <c r="D64" s="33"/>
      <c r="E64" s="39"/>
      <c r="F64" s="39"/>
      <c r="G64" s="39"/>
      <c r="H64" s="414"/>
      <c r="I64" s="40"/>
      <c r="J64" s="412" t="s">
        <v>5482</v>
      </c>
      <c r="K64" s="412" t="s">
        <v>122</v>
      </c>
      <c r="L64" s="412" t="s">
        <v>894</v>
      </c>
      <c r="M64" s="412" t="s">
        <v>4037</v>
      </c>
      <c r="N64" s="40" t="s">
        <v>873</v>
      </c>
      <c r="O64" s="416"/>
      <c r="P64" s="416"/>
      <c r="Q64" s="416"/>
      <c r="R64" s="416" t="s">
        <v>6</v>
      </c>
      <c r="S64" s="416" t="s">
        <v>6</v>
      </c>
      <c r="T64" s="416"/>
      <c r="U64" s="279"/>
      <c r="V64" s="412" t="s">
        <v>3138</v>
      </c>
      <c r="W64" s="412" t="s">
        <v>125</v>
      </c>
      <c r="X64" s="13"/>
      <c r="Y64" s="13"/>
      <c r="Z64" s="416"/>
      <c r="AA64" s="416" t="s">
        <v>6</v>
      </c>
      <c r="AB64" s="40"/>
      <c r="AC64" s="412"/>
      <c r="AD64" s="412" t="s">
        <v>3138</v>
      </c>
      <c r="AE64" s="412" t="s">
        <v>125</v>
      </c>
      <c r="AF64" s="13"/>
      <c r="AG64" s="13"/>
      <c r="AH64" s="416"/>
      <c r="AI64" s="416" t="s">
        <v>6</v>
      </c>
      <c r="AJ64" s="40"/>
      <c r="AK64" s="412"/>
      <c r="AL64" s="412" t="s">
        <v>3138</v>
      </c>
      <c r="AM64" s="36" t="s">
        <v>3139</v>
      </c>
      <c r="AN64" s="35"/>
      <c r="AO64" s="37"/>
      <c r="AP64" s="37"/>
      <c r="AQ64" s="37"/>
      <c r="AR64" s="37"/>
      <c r="AS64" s="37"/>
      <c r="AT64" s="37"/>
      <c r="AU64" s="13"/>
      <c r="AV64" s="13"/>
      <c r="AW64" s="18"/>
    </row>
    <row r="65" spans="1:87" s="12" customFormat="1" ht="15">
      <c r="A65" s="416">
        <f t="shared" si="9"/>
        <v>59</v>
      </c>
      <c r="B65" s="38"/>
      <c r="C65" s="41"/>
      <c r="D65" s="33"/>
      <c r="E65" s="39"/>
      <c r="F65" s="39"/>
      <c r="G65" s="39"/>
      <c r="H65" s="414"/>
      <c r="I65" s="40"/>
      <c r="J65" s="412" t="s">
        <v>5483</v>
      </c>
      <c r="K65" s="412" t="s">
        <v>122</v>
      </c>
      <c r="L65" s="412" t="s">
        <v>896</v>
      </c>
      <c r="M65" s="412" t="s">
        <v>4037</v>
      </c>
      <c r="N65" s="40" t="s">
        <v>873</v>
      </c>
      <c r="O65" s="416"/>
      <c r="P65" s="416"/>
      <c r="Q65" s="416"/>
      <c r="R65" s="416" t="s">
        <v>6</v>
      </c>
      <c r="S65" s="416" t="s">
        <v>6</v>
      </c>
      <c r="T65" s="416"/>
      <c r="U65" s="279"/>
      <c r="V65" s="412" t="s">
        <v>3138</v>
      </c>
      <c r="W65" s="412" t="s">
        <v>125</v>
      </c>
      <c r="X65" s="13"/>
      <c r="Y65" s="13"/>
      <c r="Z65" s="416"/>
      <c r="AA65" s="416" t="s">
        <v>6</v>
      </c>
      <c r="AB65" s="40"/>
      <c r="AC65" s="412"/>
      <c r="AD65" s="412" t="s">
        <v>3138</v>
      </c>
      <c r="AE65" s="412" t="s">
        <v>125</v>
      </c>
      <c r="AF65" s="13"/>
      <c r="AG65" s="13"/>
      <c r="AH65" s="416"/>
      <c r="AI65" s="416" t="s">
        <v>6</v>
      </c>
      <c r="AJ65" s="40"/>
      <c r="AK65" s="412"/>
      <c r="AL65" s="412" t="s">
        <v>3138</v>
      </c>
      <c r="AM65" s="36" t="s">
        <v>3139</v>
      </c>
      <c r="AN65" s="35"/>
      <c r="AO65" s="37"/>
      <c r="AP65" s="37"/>
      <c r="AQ65" s="37"/>
      <c r="AR65" s="37"/>
      <c r="AS65" s="37"/>
      <c r="AT65" s="37"/>
      <c r="AU65" s="13"/>
      <c r="AV65" s="13"/>
      <c r="AW65" s="18"/>
    </row>
    <row r="66" spans="1:87" s="14" customFormat="1" ht="15">
      <c r="A66" s="416">
        <f t="shared" si="9"/>
        <v>60</v>
      </c>
      <c r="B66" s="38"/>
      <c r="C66" s="42"/>
      <c r="D66" s="19"/>
      <c r="E66" s="19"/>
      <c r="F66" s="35"/>
      <c r="G66" s="35"/>
      <c r="H66" s="414"/>
      <c r="I66" s="13"/>
      <c r="J66" s="412" t="s">
        <v>3138</v>
      </c>
      <c r="K66" s="412" t="s">
        <v>122</v>
      </c>
      <c r="L66" s="412" t="s">
        <v>5484</v>
      </c>
      <c r="M66" s="412" t="s">
        <v>4037</v>
      </c>
      <c r="N66" s="40" t="s">
        <v>873</v>
      </c>
      <c r="O66" s="40"/>
      <c r="P66" s="40"/>
      <c r="Q66" s="416" t="s">
        <v>6</v>
      </c>
      <c r="R66" s="416" t="s">
        <v>6</v>
      </c>
      <c r="S66" s="40" t="s">
        <v>6</v>
      </c>
      <c r="T66" s="416"/>
      <c r="U66" s="204" t="s">
        <v>5485</v>
      </c>
      <c r="V66" s="206"/>
      <c r="W66" s="412" t="s">
        <v>123</v>
      </c>
      <c r="X66" s="413"/>
      <c r="Y66" s="413"/>
      <c r="Z66" s="416" t="s">
        <v>6</v>
      </c>
      <c r="AA66" s="13" t="s">
        <v>6</v>
      </c>
      <c r="AB66" s="204"/>
      <c r="AC66" s="206"/>
      <c r="AD66" s="40"/>
      <c r="AE66" s="412" t="s">
        <v>123</v>
      </c>
      <c r="AF66" s="413"/>
      <c r="AG66" s="413"/>
      <c r="AH66" s="416" t="s">
        <v>6</v>
      </c>
      <c r="AI66" s="13" t="s">
        <v>6</v>
      </c>
      <c r="AK66" s="206"/>
      <c r="AL66" s="40"/>
      <c r="AM66" s="36" t="s">
        <v>3139</v>
      </c>
      <c r="AN66" s="204"/>
      <c r="AO66" s="13"/>
      <c r="AP66" s="13"/>
      <c r="AQ66" s="13"/>
      <c r="AR66" s="13"/>
      <c r="AS66" s="13"/>
      <c r="AT66" s="13"/>
      <c r="AU66" s="13"/>
      <c r="AV66" s="13"/>
      <c r="AW66" s="18"/>
    </row>
    <row r="67" spans="1:87" s="12" customFormat="1" ht="15">
      <c r="A67" s="416">
        <f t="shared" si="9"/>
        <v>61</v>
      </c>
      <c r="B67" s="38"/>
      <c r="C67" s="42"/>
      <c r="D67" s="19"/>
      <c r="E67" s="19"/>
      <c r="F67" s="35"/>
      <c r="G67" s="35"/>
      <c r="H67" s="414"/>
      <c r="I67" s="13"/>
      <c r="J67" s="412" t="s">
        <v>5486</v>
      </c>
      <c r="K67" s="412" t="s">
        <v>132</v>
      </c>
      <c r="L67" s="412" t="s">
        <v>5487</v>
      </c>
      <c r="M67" s="472" t="s">
        <v>5488</v>
      </c>
      <c r="N67" s="416" t="s">
        <v>504</v>
      </c>
      <c r="O67" s="40"/>
      <c r="P67" s="40"/>
      <c r="Q67" s="416" t="s">
        <v>6</v>
      </c>
      <c r="R67" s="416" t="s">
        <v>6</v>
      </c>
      <c r="S67" s="40" t="s">
        <v>6</v>
      </c>
      <c r="T67" s="416"/>
      <c r="U67" s="204"/>
      <c r="V67" s="206"/>
      <c r="W67" s="412" t="s">
        <v>133</v>
      </c>
      <c r="X67" s="413"/>
      <c r="Y67" s="413"/>
      <c r="Z67" s="416" t="s">
        <v>6</v>
      </c>
      <c r="AA67" s="13" t="s">
        <v>6</v>
      </c>
      <c r="AB67" s="413"/>
      <c r="AC67" s="415"/>
      <c r="AD67" s="460"/>
      <c r="AE67" s="412" t="s">
        <v>133</v>
      </c>
      <c r="AF67" s="413"/>
      <c r="AG67" s="413"/>
      <c r="AH67" s="416" t="s">
        <v>6</v>
      </c>
      <c r="AI67" s="13" t="s">
        <v>6</v>
      </c>
      <c r="AJ67" s="413"/>
      <c r="AK67" s="415"/>
      <c r="AL67" s="460"/>
      <c r="AM67" s="36" t="s">
        <v>5489</v>
      </c>
      <c r="AN67" s="44"/>
      <c r="AO67" s="13"/>
      <c r="AP67" s="13"/>
      <c r="AQ67" s="13"/>
      <c r="AR67" s="13"/>
      <c r="AS67" s="13"/>
      <c r="AT67" s="13"/>
      <c r="AU67" s="13"/>
      <c r="AV67" s="13"/>
      <c r="AW67" s="18"/>
    </row>
    <row r="68" spans="1:87" s="12" customFormat="1" ht="15">
      <c r="A68" s="416">
        <f t="shared" si="9"/>
        <v>62</v>
      </c>
      <c r="B68" s="19"/>
      <c r="C68" s="41"/>
      <c r="D68" s="19"/>
      <c r="E68" s="19"/>
      <c r="F68" s="19"/>
      <c r="G68" s="19"/>
      <c r="H68" s="13"/>
      <c r="I68" s="13"/>
      <c r="J68" s="412" t="s">
        <v>5490</v>
      </c>
      <c r="K68" s="412" t="s">
        <v>132</v>
      </c>
      <c r="L68" s="412" t="s">
        <v>5491</v>
      </c>
      <c r="M68" s="472" t="s">
        <v>4930</v>
      </c>
      <c r="N68" s="416" t="s">
        <v>504</v>
      </c>
      <c r="O68" s="40"/>
      <c r="P68" s="40"/>
      <c r="Q68" s="416" t="s">
        <v>6</v>
      </c>
      <c r="R68" s="416" t="s">
        <v>6</v>
      </c>
      <c r="S68" s="40" t="s">
        <v>6</v>
      </c>
      <c r="T68" s="416"/>
      <c r="U68" s="40"/>
      <c r="V68" s="13"/>
      <c r="W68" s="412" t="s">
        <v>133</v>
      </c>
      <c r="X68" s="415"/>
      <c r="Y68" s="413"/>
      <c r="Z68" s="416" t="s">
        <v>6</v>
      </c>
      <c r="AA68" s="13" t="s">
        <v>6</v>
      </c>
      <c r="AB68" s="45"/>
      <c r="AC68" s="415"/>
      <c r="AD68" s="415"/>
      <c r="AE68" s="412" t="s">
        <v>133</v>
      </c>
      <c r="AF68" s="415"/>
      <c r="AG68" s="413"/>
      <c r="AH68" s="416" t="s">
        <v>6</v>
      </c>
      <c r="AI68" s="13" t="s">
        <v>6</v>
      </c>
      <c r="AJ68" s="45"/>
      <c r="AK68" s="415"/>
      <c r="AL68" s="415"/>
      <c r="AM68" s="43"/>
      <c r="AN68" s="13"/>
      <c r="AO68" s="15"/>
      <c r="AP68" s="15"/>
      <c r="AQ68" s="15"/>
      <c r="AR68" s="15"/>
      <c r="AS68" s="15"/>
      <c r="AT68" s="15"/>
      <c r="AU68" s="13"/>
      <c r="AV68" s="15"/>
      <c r="AW68" s="18"/>
      <c r="AX68" s="16"/>
      <c r="AY68" s="17"/>
    </row>
    <row r="69" spans="1:87" s="12" customFormat="1" ht="15">
      <c r="A69" s="416">
        <f t="shared" si="9"/>
        <v>63</v>
      </c>
      <c r="B69" s="38"/>
      <c r="C69" s="42"/>
      <c r="D69" s="19"/>
      <c r="E69" s="19"/>
      <c r="F69" s="19"/>
      <c r="G69" s="19"/>
      <c r="H69" s="13"/>
      <c r="I69" s="13"/>
      <c r="J69" s="412" t="s">
        <v>5492</v>
      </c>
      <c r="K69" s="412" t="s">
        <v>132</v>
      </c>
      <c r="L69" s="412" t="s">
        <v>5493</v>
      </c>
      <c r="M69" s="472" t="s">
        <v>5494</v>
      </c>
      <c r="N69" s="416" t="s">
        <v>504</v>
      </c>
      <c r="O69" s="40"/>
      <c r="P69" s="40"/>
      <c r="Q69" s="416" t="s">
        <v>6</v>
      </c>
      <c r="R69" s="416" t="s">
        <v>6</v>
      </c>
      <c r="S69" s="40" t="s">
        <v>6</v>
      </c>
      <c r="T69" s="416"/>
      <c r="U69" s="204"/>
      <c r="V69" s="206"/>
      <c r="W69" s="412" t="s">
        <v>133</v>
      </c>
      <c r="X69" s="413"/>
      <c r="Y69" s="413"/>
      <c r="Z69" s="416" t="s">
        <v>6</v>
      </c>
      <c r="AA69" s="13" t="s">
        <v>6</v>
      </c>
      <c r="AB69" s="413"/>
      <c r="AC69" s="415"/>
      <c r="AD69" s="415"/>
      <c r="AE69" s="412" t="s">
        <v>133</v>
      </c>
      <c r="AF69" s="413"/>
      <c r="AG69" s="413"/>
      <c r="AH69" s="416" t="s">
        <v>6</v>
      </c>
      <c r="AI69" s="13" t="s">
        <v>6</v>
      </c>
      <c r="AJ69" s="413"/>
      <c r="AK69" s="415"/>
      <c r="AL69" s="415"/>
      <c r="AM69" s="43"/>
      <c r="AN69" s="44"/>
      <c r="AO69" s="13"/>
      <c r="AP69" s="13"/>
      <c r="AQ69" s="13"/>
      <c r="AR69" s="13"/>
      <c r="AS69" s="13"/>
      <c r="AT69" s="13"/>
      <c r="AU69" s="13"/>
      <c r="AV69" s="13"/>
      <c r="AW69" s="18"/>
      <c r="AX69" s="16"/>
      <c r="AY69" s="17"/>
    </row>
    <row r="70" spans="1:87" s="214" customFormat="1" ht="15">
      <c r="A70" s="416">
        <f t="shared" si="9"/>
        <v>64</v>
      </c>
      <c r="B70" s="15"/>
      <c r="C70" s="15"/>
      <c r="D70" s="15"/>
      <c r="E70" s="15"/>
      <c r="F70" s="15"/>
      <c r="G70" s="15"/>
      <c r="H70" s="15"/>
      <c r="I70" s="15"/>
      <c r="J70" s="204" t="s">
        <v>5495</v>
      </c>
      <c r="K70" s="204" t="s">
        <v>132</v>
      </c>
      <c r="L70" s="591" t="s">
        <v>5496</v>
      </c>
      <c r="M70" s="592" t="s">
        <v>3919</v>
      </c>
      <c r="N70" s="416" t="s">
        <v>504</v>
      </c>
      <c r="O70" s="40"/>
      <c r="P70" s="40"/>
      <c r="Q70" s="40" t="s">
        <v>6</v>
      </c>
      <c r="R70" s="40" t="s">
        <v>6</v>
      </c>
      <c r="S70" s="40" t="s">
        <v>6</v>
      </c>
      <c r="T70" s="40"/>
      <c r="U70" s="209"/>
      <c r="V70" s="209"/>
      <c r="W70" s="204" t="s">
        <v>133</v>
      </c>
      <c r="X70" s="15"/>
      <c r="Y70" s="15"/>
      <c r="Z70" s="13" t="s">
        <v>6</v>
      </c>
      <c r="AA70" s="13" t="s">
        <v>6</v>
      </c>
      <c r="AB70" s="15"/>
      <c r="AC70" s="15"/>
      <c r="AD70" s="15"/>
      <c r="AE70" s="204" t="s">
        <v>133</v>
      </c>
      <c r="AF70" s="15"/>
      <c r="AG70" s="15"/>
      <c r="AH70" s="13" t="s">
        <v>6</v>
      </c>
      <c r="AI70" s="13" t="s">
        <v>6</v>
      </c>
      <c r="AJ70" s="15"/>
      <c r="AK70" s="15"/>
      <c r="AL70" s="15"/>
      <c r="AM70" s="15"/>
      <c r="AN70" s="15"/>
      <c r="AO70" s="15"/>
      <c r="AP70" s="15"/>
      <c r="AQ70" s="15"/>
      <c r="AR70" s="15"/>
      <c r="AS70" s="15"/>
      <c r="AT70" s="15"/>
      <c r="AU70" s="15"/>
      <c r="AV70" s="15"/>
      <c r="AW70" s="18"/>
    </row>
    <row r="71" spans="1:87" s="12" customFormat="1" ht="15">
      <c r="A71" s="416">
        <f t="shared" si="9"/>
        <v>65</v>
      </c>
      <c r="B71" s="38"/>
      <c r="C71" s="42"/>
      <c r="D71" s="19"/>
      <c r="E71" s="19"/>
      <c r="F71" s="19"/>
      <c r="G71" s="19"/>
      <c r="H71" s="13"/>
      <c r="I71" s="13"/>
      <c r="J71" s="412" t="s">
        <v>5497</v>
      </c>
      <c r="K71" s="412" t="s">
        <v>117</v>
      </c>
      <c r="L71" s="412" t="s">
        <v>5498</v>
      </c>
      <c r="M71" s="472"/>
      <c r="N71" s="416" t="s">
        <v>504</v>
      </c>
      <c r="O71" s="40"/>
      <c r="P71" s="40"/>
      <c r="Q71" s="416" t="s">
        <v>6</v>
      </c>
      <c r="R71" s="40" t="s">
        <v>6</v>
      </c>
      <c r="S71" s="40" t="s">
        <v>6</v>
      </c>
      <c r="T71" s="416"/>
      <c r="U71" s="204"/>
      <c r="V71" s="206"/>
      <c r="W71" s="412" t="s">
        <v>133</v>
      </c>
      <c r="X71" s="413"/>
      <c r="Y71" s="413"/>
      <c r="Z71" s="40" t="s">
        <v>6</v>
      </c>
      <c r="AA71" s="13" t="s">
        <v>6</v>
      </c>
      <c r="AB71" s="413"/>
      <c r="AC71" s="415"/>
      <c r="AD71" s="415"/>
      <c r="AE71" s="412" t="s">
        <v>133</v>
      </c>
      <c r="AF71" s="413"/>
      <c r="AG71" s="413"/>
      <c r="AH71" s="40" t="s">
        <v>6</v>
      </c>
      <c r="AI71" s="13" t="s">
        <v>6</v>
      </c>
      <c r="AJ71" s="413"/>
      <c r="AK71" s="415"/>
      <c r="AL71" s="415"/>
      <c r="AM71" s="43"/>
      <c r="AN71" s="44"/>
      <c r="AO71" s="13"/>
      <c r="AP71" s="13"/>
      <c r="AQ71" s="13"/>
      <c r="AR71" s="13"/>
      <c r="AS71" s="13"/>
      <c r="AT71" s="13"/>
      <c r="AU71" s="13"/>
      <c r="AV71" s="13"/>
      <c r="AW71" s="18"/>
      <c r="AX71" s="16"/>
      <c r="AY71" s="17"/>
    </row>
    <row r="72" spans="1:87" s="18" customFormat="1" ht="15">
      <c r="A72" s="416">
        <f t="shared" si="9"/>
        <v>66</v>
      </c>
      <c r="B72" s="38"/>
      <c r="C72" s="42"/>
      <c r="D72" s="38"/>
      <c r="E72" s="46"/>
      <c r="F72" s="46"/>
      <c r="G72" s="46"/>
      <c r="H72" s="13"/>
      <c r="I72" s="40"/>
      <c r="J72" s="412" t="s">
        <v>5499</v>
      </c>
      <c r="K72" s="412" t="s">
        <v>117</v>
      </c>
      <c r="L72" s="412" t="s">
        <v>5500</v>
      </c>
      <c r="M72" s="472" t="s">
        <v>4891</v>
      </c>
      <c r="N72" s="416" t="s">
        <v>504</v>
      </c>
      <c r="O72" s="40"/>
      <c r="P72" s="40"/>
      <c r="Q72" s="416" t="s">
        <v>6</v>
      </c>
      <c r="R72" s="40" t="s">
        <v>6</v>
      </c>
      <c r="S72" s="40" t="s">
        <v>6</v>
      </c>
      <c r="T72" s="416"/>
      <c r="U72" s="204"/>
      <c r="V72" s="206"/>
      <c r="W72" s="412" t="s">
        <v>133</v>
      </c>
      <c r="X72" s="413"/>
      <c r="Y72" s="413"/>
      <c r="Z72" s="40" t="s">
        <v>6</v>
      </c>
      <c r="AA72" s="40" t="s">
        <v>6</v>
      </c>
      <c r="AB72" s="413"/>
      <c r="AC72" s="413"/>
      <c r="AD72" s="401"/>
      <c r="AE72" s="412" t="s">
        <v>133</v>
      </c>
      <c r="AF72" s="413"/>
      <c r="AG72" s="413"/>
      <c r="AH72" s="40" t="s">
        <v>6</v>
      </c>
      <c r="AI72" s="40" t="s">
        <v>6</v>
      </c>
      <c r="AJ72" s="413"/>
      <c r="AK72" s="413"/>
      <c r="AL72" s="401"/>
      <c r="AM72" s="36" t="s">
        <v>5501</v>
      </c>
      <c r="AN72" s="79"/>
      <c r="AO72" s="15"/>
      <c r="AP72" s="15"/>
      <c r="AQ72" s="15"/>
      <c r="AR72" s="15"/>
      <c r="AS72" s="15"/>
      <c r="AT72" s="15"/>
      <c r="AU72" s="15"/>
      <c r="AV72" s="13"/>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row>
    <row r="73" spans="1:87" s="18" customFormat="1" ht="15">
      <c r="A73" s="416">
        <f t="shared" si="9"/>
        <v>67</v>
      </c>
      <c r="B73" s="38"/>
      <c r="C73" s="42"/>
      <c r="D73" s="38"/>
      <c r="E73" s="46"/>
      <c r="F73" s="46"/>
      <c r="G73" s="46"/>
      <c r="H73" s="13"/>
      <c r="I73" s="40"/>
      <c r="J73" s="215" t="s">
        <v>5502</v>
      </c>
      <c r="K73" s="412" t="s">
        <v>117</v>
      </c>
      <c r="L73" s="204" t="s">
        <v>1641</v>
      </c>
      <c r="M73" s="367"/>
      <c r="N73" s="416" t="s">
        <v>504</v>
      </c>
      <c r="O73" s="40"/>
      <c r="P73" s="40"/>
      <c r="Q73" s="40"/>
      <c r="R73" s="40" t="s">
        <v>6</v>
      </c>
      <c r="S73" s="126" t="s">
        <v>6</v>
      </c>
      <c r="T73" s="126"/>
      <c r="U73" s="204"/>
      <c r="V73" s="206"/>
      <c r="W73" s="412" t="s">
        <v>133</v>
      </c>
      <c r="X73" s="40"/>
      <c r="Y73" s="13"/>
      <c r="Z73" s="40" t="s">
        <v>6</v>
      </c>
      <c r="AA73" s="61" t="s">
        <v>6</v>
      </c>
      <c r="AB73" s="413"/>
      <c r="AC73" s="413"/>
      <c r="AD73" s="413"/>
      <c r="AE73" s="412" t="s">
        <v>133</v>
      </c>
      <c r="AF73" s="40"/>
      <c r="AG73" s="13"/>
      <c r="AH73" s="40" t="s">
        <v>6</v>
      </c>
      <c r="AI73" s="61" t="s">
        <v>6</v>
      </c>
      <c r="AJ73" s="413"/>
      <c r="AK73" s="413"/>
      <c r="AL73" s="413"/>
      <c r="AM73" s="43"/>
      <c r="AN73" s="19"/>
      <c r="AO73" s="15"/>
      <c r="AP73" s="15"/>
      <c r="AQ73" s="15"/>
      <c r="AR73" s="15"/>
      <c r="AS73" s="15"/>
      <c r="AT73" s="15"/>
      <c r="AU73" s="15"/>
      <c r="AV73" s="13"/>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row>
    <row r="74" spans="1:87" s="12" customFormat="1" ht="15">
      <c r="A74" s="416">
        <f t="shared" si="9"/>
        <v>68</v>
      </c>
      <c r="B74" s="38"/>
      <c r="C74" s="42"/>
      <c r="D74" s="19"/>
      <c r="E74" s="19"/>
      <c r="F74" s="19"/>
      <c r="G74" s="19"/>
      <c r="H74" s="13"/>
      <c r="I74" s="13"/>
      <c r="J74" s="218" t="s">
        <v>5503</v>
      </c>
      <c r="K74" s="412" t="s">
        <v>117</v>
      </c>
      <c r="L74" s="204" t="s">
        <v>801</v>
      </c>
      <c r="M74" s="367"/>
      <c r="N74" s="416" t="s">
        <v>504</v>
      </c>
      <c r="O74" s="126"/>
      <c r="P74" s="126"/>
      <c r="Q74" s="416" t="s">
        <v>6</v>
      </c>
      <c r="R74" s="416" t="s">
        <v>6</v>
      </c>
      <c r="S74" s="40" t="s">
        <v>6</v>
      </c>
      <c r="T74" s="416"/>
      <c r="U74" s="204" t="s">
        <v>5504</v>
      </c>
      <c r="V74" s="206"/>
      <c r="W74" s="412" t="s">
        <v>125</v>
      </c>
      <c r="X74" s="59"/>
      <c r="Y74" s="59"/>
      <c r="Z74" s="59"/>
      <c r="AA74" s="40" t="s">
        <v>6</v>
      </c>
      <c r="AB74" s="413"/>
      <c r="AC74" s="415"/>
      <c r="AD74" s="415"/>
      <c r="AE74" s="412" t="s">
        <v>125</v>
      </c>
      <c r="AF74" s="59"/>
      <c r="AG74" s="59"/>
      <c r="AH74" s="59"/>
      <c r="AI74" s="40" t="s">
        <v>6</v>
      </c>
      <c r="AJ74" s="413"/>
      <c r="AK74" s="415"/>
      <c r="AL74" s="415"/>
      <c r="AM74" s="43"/>
      <c r="AN74" s="44"/>
      <c r="AO74" s="13"/>
      <c r="AP74" s="13"/>
      <c r="AQ74" s="13"/>
      <c r="AR74" s="13"/>
      <c r="AS74" s="13"/>
      <c r="AT74" s="13"/>
      <c r="AU74" s="13"/>
      <c r="AV74" s="13"/>
      <c r="AW74" s="18"/>
      <c r="AX74" s="16"/>
      <c r="AY74" s="17"/>
    </row>
    <row r="75" spans="1:87" s="18" customFormat="1" ht="15">
      <c r="A75" s="416">
        <f t="shared" si="9"/>
        <v>69</v>
      </c>
      <c r="B75" s="38"/>
      <c r="C75" s="42"/>
      <c r="D75" s="38"/>
      <c r="E75" s="46"/>
      <c r="F75" s="46"/>
      <c r="G75" s="46"/>
      <c r="H75" s="13"/>
      <c r="I75" s="40"/>
      <c r="J75" s="218" t="s">
        <v>5505</v>
      </c>
      <c r="K75" s="412" t="s">
        <v>117</v>
      </c>
      <c r="L75" s="204" t="s">
        <v>804</v>
      </c>
      <c r="M75" s="367"/>
      <c r="N75" s="416" t="s">
        <v>504</v>
      </c>
      <c r="O75" s="126"/>
      <c r="P75" s="126"/>
      <c r="Q75" s="416" t="s">
        <v>6</v>
      </c>
      <c r="R75" s="416" t="s">
        <v>6</v>
      </c>
      <c r="S75" s="40" t="s">
        <v>6</v>
      </c>
      <c r="T75" s="416"/>
      <c r="U75" s="204" t="s">
        <v>5504</v>
      </c>
      <c r="V75" s="206"/>
      <c r="W75" s="412" t="s">
        <v>125</v>
      </c>
      <c r="X75" s="59"/>
      <c r="Y75" s="59"/>
      <c r="Z75" s="59"/>
      <c r="AA75" s="40" t="s">
        <v>6</v>
      </c>
      <c r="AB75" s="413"/>
      <c r="AC75" s="413"/>
      <c r="AD75" s="413"/>
      <c r="AE75" s="412" t="s">
        <v>125</v>
      </c>
      <c r="AF75" s="59"/>
      <c r="AG75" s="59"/>
      <c r="AH75" s="59"/>
      <c r="AI75" s="40" t="s">
        <v>6</v>
      </c>
      <c r="AJ75" s="413"/>
      <c r="AK75" s="413"/>
      <c r="AL75" s="413"/>
      <c r="AM75" s="43"/>
      <c r="AN75" s="19"/>
      <c r="AO75" s="15"/>
      <c r="AP75" s="15"/>
      <c r="AQ75" s="15"/>
      <c r="AR75" s="15"/>
      <c r="AS75" s="15"/>
      <c r="AT75" s="15"/>
      <c r="AU75" s="15"/>
      <c r="AV75" s="13"/>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row>
    <row r="76" spans="1:87" s="18" customFormat="1" ht="26.4">
      <c r="A76" s="416">
        <f t="shared" si="9"/>
        <v>70</v>
      </c>
      <c r="B76" s="38"/>
      <c r="C76" s="42"/>
      <c r="D76" s="38"/>
      <c r="E76" s="46"/>
      <c r="F76" s="46"/>
      <c r="G76" s="46"/>
      <c r="H76" s="13"/>
      <c r="I76" s="40"/>
      <c r="J76" s="218" t="s">
        <v>5506</v>
      </c>
      <c r="K76" s="412" t="s">
        <v>117</v>
      </c>
      <c r="L76" s="204" t="s">
        <v>794</v>
      </c>
      <c r="M76" s="367"/>
      <c r="N76" s="416" t="s">
        <v>504</v>
      </c>
      <c r="O76" s="126"/>
      <c r="P76" s="126"/>
      <c r="Q76" s="416" t="s">
        <v>6</v>
      </c>
      <c r="R76" s="416" t="s">
        <v>6</v>
      </c>
      <c r="S76" s="40" t="s">
        <v>6</v>
      </c>
      <c r="T76" s="40"/>
      <c r="U76" s="204" t="s">
        <v>5507</v>
      </c>
      <c r="V76" s="206"/>
      <c r="W76" s="412" t="s">
        <v>125</v>
      </c>
      <c r="X76" s="59"/>
      <c r="Y76" s="59"/>
      <c r="Z76" s="59"/>
      <c r="AA76" s="40" t="s">
        <v>6</v>
      </c>
      <c r="AB76" s="413"/>
      <c r="AC76" s="413"/>
      <c r="AD76" s="413"/>
      <c r="AE76" s="412" t="s">
        <v>125</v>
      </c>
      <c r="AF76" s="59"/>
      <c r="AG76" s="59"/>
      <c r="AH76" s="59"/>
      <c r="AI76" s="40" t="s">
        <v>6</v>
      </c>
      <c r="AJ76" s="413"/>
      <c r="AK76" s="413"/>
      <c r="AL76" s="413"/>
      <c r="AM76" s="43"/>
      <c r="AN76" s="19"/>
      <c r="AO76" s="15"/>
      <c r="AP76" s="15"/>
      <c r="AQ76" s="15"/>
      <c r="AR76" s="15"/>
      <c r="AS76" s="15"/>
      <c r="AT76" s="15"/>
      <c r="AU76" s="15"/>
      <c r="AV76" s="13"/>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row>
    <row r="77" spans="1:87" s="20" customFormat="1" ht="15">
      <c r="A77" s="416">
        <f t="shared" si="9"/>
        <v>71</v>
      </c>
      <c r="B77" s="59"/>
      <c r="C77" s="59"/>
      <c r="D77" s="59"/>
      <c r="E77" s="59"/>
      <c r="F77" s="59"/>
      <c r="G77" s="59"/>
      <c r="H77" s="59"/>
      <c r="I77" s="59"/>
      <c r="J77" s="218" t="s">
        <v>5508</v>
      </c>
      <c r="K77" s="204" t="s">
        <v>117</v>
      </c>
      <c r="L77" s="204" t="s">
        <v>737</v>
      </c>
      <c r="M77" s="367"/>
      <c r="N77" s="416" t="s">
        <v>504</v>
      </c>
      <c r="O77" s="126"/>
      <c r="P77" s="126"/>
      <c r="Q77" s="40" t="s">
        <v>6</v>
      </c>
      <c r="R77" s="40" t="s">
        <v>6</v>
      </c>
      <c r="S77" s="40" t="s">
        <v>6</v>
      </c>
      <c r="T77" s="416"/>
      <c r="U77" s="200" t="s">
        <v>5509</v>
      </c>
      <c r="V77" s="206"/>
      <c r="W77" s="204" t="s">
        <v>125</v>
      </c>
      <c r="X77" s="59"/>
      <c r="Y77" s="59"/>
      <c r="Z77" s="59"/>
      <c r="AA77" s="40" t="s">
        <v>6</v>
      </c>
      <c r="AB77" s="15"/>
      <c r="AC77" s="59"/>
      <c r="AD77" s="59"/>
      <c r="AE77" s="204" t="s">
        <v>125</v>
      </c>
      <c r="AF77" s="59"/>
      <c r="AG77" s="59"/>
      <c r="AH77" s="59"/>
      <c r="AI77" s="40" t="s">
        <v>6</v>
      </c>
      <c r="AJ77" s="15"/>
      <c r="AK77" s="59"/>
      <c r="AL77" s="59"/>
      <c r="AM77" s="59"/>
      <c r="AN77" s="59"/>
      <c r="AO77" s="59"/>
      <c r="AP77" s="59"/>
      <c r="AQ77" s="59"/>
      <c r="AR77" s="59"/>
      <c r="AS77" s="59"/>
      <c r="AT77" s="59"/>
      <c r="AU77" s="59"/>
      <c r="AV77" s="59"/>
      <c r="AW77" s="18"/>
    </row>
    <row r="78" spans="1:87" s="20" customFormat="1" ht="15">
      <c r="A78" s="416">
        <f t="shared" si="9"/>
        <v>72</v>
      </c>
      <c r="B78" s="59"/>
      <c r="C78" s="59"/>
      <c r="D78" s="59"/>
      <c r="E78" s="59"/>
      <c r="F78" s="59"/>
      <c r="G78" s="59"/>
      <c r="H78" s="59"/>
      <c r="I78" s="59"/>
      <c r="J78" s="218" t="s">
        <v>5510</v>
      </c>
      <c r="K78" s="204" t="s">
        <v>117</v>
      </c>
      <c r="L78" s="204" t="s">
        <v>737</v>
      </c>
      <c r="M78" s="367"/>
      <c r="N78" s="416" t="s">
        <v>504</v>
      </c>
      <c r="O78" s="126"/>
      <c r="P78" s="126"/>
      <c r="Q78" s="40" t="s">
        <v>6</v>
      </c>
      <c r="R78" s="40" t="s">
        <v>6</v>
      </c>
      <c r="S78" s="40" t="s">
        <v>6</v>
      </c>
      <c r="T78" s="416"/>
      <c r="U78" s="200" t="s">
        <v>5509</v>
      </c>
      <c r="V78" s="206"/>
      <c r="W78" s="204" t="s">
        <v>125</v>
      </c>
      <c r="X78" s="59"/>
      <c r="Y78" s="59"/>
      <c r="Z78" s="59"/>
      <c r="AA78" s="40" t="s">
        <v>6</v>
      </c>
      <c r="AB78" s="15"/>
      <c r="AC78" s="59"/>
      <c r="AD78" s="59"/>
      <c r="AE78" s="204" t="s">
        <v>125</v>
      </c>
      <c r="AF78" s="59"/>
      <c r="AG78" s="59"/>
      <c r="AH78" s="59"/>
      <c r="AI78" s="40" t="s">
        <v>6</v>
      </c>
      <c r="AJ78" s="15"/>
      <c r="AK78" s="59"/>
      <c r="AL78" s="59"/>
      <c r="AM78" s="59"/>
      <c r="AN78" s="59"/>
      <c r="AO78" s="59"/>
      <c r="AP78" s="59"/>
      <c r="AQ78" s="59"/>
      <c r="AR78" s="59"/>
      <c r="AS78" s="59"/>
      <c r="AT78" s="59"/>
      <c r="AU78" s="59"/>
      <c r="AV78" s="59"/>
      <c r="AW78" s="18"/>
    </row>
    <row r="79" spans="1:87" s="20" customFormat="1" ht="39.6">
      <c r="A79" s="416">
        <f t="shared" si="9"/>
        <v>73</v>
      </c>
      <c r="B79" s="59"/>
      <c r="C79" s="59"/>
      <c r="D79" s="59"/>
      <c r="E79" s="59"/>
      <c r="F79" s="59"/>
      <c r="G79" s="59"/>
      <c r="H79" s="59"/>
      <c r="I79" s="59"/>
      <c r="J79" s="218" t="s">
        <v>5511</v>
      </c>
      <c r="K79" s="204" t="s">
        <v>117</v>
      </c>
      <c r="L79" s="204" t="s">
        <v>3941</v>
      </c>
      <c r="M79" s="367"/>
      <c r="N79" s="416" t="s">
        <v>504</v>
      </c>
      <c r="O79" s="126"/>
      <c r="P79" s="126"/>
      <c r="Q79" s="40" t="s">
        <v>6</v>
      </c>
      <c r="R79" s="40" t="s">
        <v>6</v>
      </c>
      <c r="S79" s="40" t="s">
        <v>6</v>
      </c>
      <c r="T79" s="40"/>
      <c r="U79" s="204" t="s">
        <v>5512</v>
      </c>
      <c r="V79" s="206"/>
      <c r="W79" s="204" t="s">
        <v>125</v>
      </c>
      <c r="X79" s="59"/>
      <c r="Y79" s="59"/>
      <c r="Z79" s="59"/>
      <c r="AA79" s="40" t="s">
        <v>6</v>
      </c>
      <c r="AB79" s="15"/>
      <c r="AC79" s="59"/>
      <c r="AD79" s="59"/>
      <c r="AE79" s="204" t="s">
        <v>125</v>
      </c>
      <c r="AF79" s="59"/>
      <c r="AG79" s="59"/>
      <c r="AH79" s="59"/>
      <c r="AI79" s="40" t="s">
        <v>6</v>
      </c>
      <c r="AJ79" s="15"/>
      <c r="AK79" s="59"/>
      <c r="AL79" s="59"/>
      <c r="AM79" s="59"/>
      <c r="AN79" s="59"/>
      <c r="AO79" s="59"/>
      <c r="AP79" s="59"/>
      <c r="AQ79" s="59"/>
      <c r="AR79" s="59"/>
      <c r="AS79" s="59"/>
      <c r="AT79" s="59"/>
      <c r="AU79" s="59"/>
      <c r="AV79" s="59"/>
      <c r="AW79" s="18"/>
    </row>
    <row r="80" spans="1:87" s="18" customFormat="1" ht="15">
      <c r="A80" s="416">
        <f t="shared" si="9"/>
        <v>74</v>
      </c>
      <c r="B80" s="38"/>
      <c r="C80" s="42"/>
      <c r="D80" s="38"/>
      <c r="E80" s="46"/>
      <c r="F80" s="46"/>
      <c r="G80" s="46"/>
      <c r="H80" s="13"/>
      <c r="I80" s="40"/>
      <c r="J80" s="218" t="s">
        <v>5513</v>
      </c>
      <c r="K80" s="412" t="s">
        <v>140</v>
      </c>
      <c r="L80" s="204" t="s">
        <v>749</v>
      </c>
      <c r="M80" s="367"/>
      <c r="N80" s="416" t="s">
        <v>504</v>
      </c>
      <c r="O80" s="126"/>
      <c r="P80" s="126"/>
      <c r="Q80" s="416" t="s">
        <v>6</v>
      </c>
      <c r="R80" s="416" t="s">
        <v>6</v>
      </c>
      <c r="S80" s="40" t="s">
        <v>6</v>
      </c>
      <c r="T80" s="40"/>
      <c r="U80" s="204" t="s">
        <v>3963</v>
      </c>
      <c r="V80" s="206"/>
      <c r="W80" s="204" t="s">
        <v>140</v>
      </c>
      <c r="X80" s="59"/>
      <c r="Y80" s="59"/>
      <c r="Z80" s="59"/>
      <c r="AA80" s="40" t="s">
        <v>6</v>
      </c>
      <c r="AB80" s="413"/>
      <c r="AC80" s="413"/>
      <c r="AD80" s="413"/>
      <c r="AE80" s="412" t="s">
        <v>137</v>
      </c>
      <c r="AF80" s="59"/>
      <c r="AG80" s="59"/>
      <c r="AH80" s="59"/>
      <c r="AI80" s="40" t="s">
        <v>6</v>
      </c>
      <c r="AJ80" s="413"/>
      <c r="AK80" s="413"/>
      <c r="AL80" s="413"/>
      <c r="AM80" s="43"/>
      <c r="AN80" s="19"/>
      <c r="AO80" s="15"/>
      <c r="AP80" s="15"/>
      <c r="AQ80" s="15"/>
      <c r="AR80" s="15"/>
      <c r="AS80" s="15"/>
      <c r="AT80" s="15"/>
      <c r="AU80" s="15"/>
      <c r="AV80" s="13"/>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row>
    <row r="81" spans="1:87" s="18" customFormat="1" ht="15">
      <c r="A81" s="416">
        <f t="shared" si="9"/>
        <v>75</v>
      </c>
      <c r="B81" s="38"/>
      <c r="C81" s="42"/>
      <c r="D81" s="38"/>
      <c r="E81" s="46"/>
      <c r="F81" s="46"/>
      <c r="G81" s="46"/>
      <c r="H81" s="13"/>
      <c r="I81" s="40"/>
      <c r="J81" s="218" t="s">
        <v>5514</v>
      </c>
      <c r="K81" s="412" t="s">
        <v>140</v>
      </c>
      <c r="L81" s="204" t="s">
        <v>754</v>
      </c>
      <c r="M81" s="367"/>
      <c r="N81" s="416" t="s">
        <v>504</v>
      </c>
      <c r="O81" s="126"/>
      <c r="P81" s="126"/>
      <c r="Q81" s="416" t="s">
        <v>6</v>
      </c>
      <c r="R81" s="416" t="s">
        <v>6</v>
      </c>
      <c r="S81" s="40" t="s">
        <v>6</v>
      </c>
      <c r="T81" s="40"/>
      <c r="U81" s="204" t="s">
        <v>3963</v>
      </c>
      <c r="V81" s="206"/>
      <c r="W81" s="204" t="s">
        <v>140</v>
      </c>
      <c r="X81" s="59"/>
      <c r="Y81" s="59"/>
      <c r="Z81" s="59"/>
      <c r="AA81" s="40" t="s">
        <v>6</v>
      </c>
      <c r="AB81" s="413"/>
      <c r="AC81" s="413"/>
      <c r="AD81" s="413"/>
      <c r="AE81" s="412" t="s">
        <v>137</v>
      </c>
      <c r="AF81" s="59"/>
      <c r="AG81" s="59"/>
      <c r="AH81" s="59"/>
      <c r="AI81" s="40" t="s">
        <v>6</v>
      </c>
      <c r="AJ81" s="413"/>
      <c r="AK81" s="413"/>
      <c r="AL81" s="413"/>
      <c r="AM81" s="43"/>
      <c r="AN81" s="19"/>
      <c r="AO81" s="15"/>
      <c r="AP81" s="15"/>
      <c r="AQ81" s="15"/>
      <c r="AR81" s="15"/>
      <c r="AS81" s="15"/>
      <c r="AT81" s="15"/>
      <c r="AU81" s="15"/>
      <c r="AV81" s="13"/>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row>
    <row r="82" spans="1:87" s="12" customFormat="1" ht="15">
      <c r="A82" s="416">
        <f t="shared" si="9"/>
        <v>76</v>
      </c>
      <c r="B82" s="38"/>
      <c r="C82" s="42"/>
      <c r="D82" s="19"/>
      <c r="E82" s="19"/>
      <c r="F82" s="19"/>
      <c r="G82" s="19"/>
      <c r="H82" s="13"/>
      <c r="I82" s="13"/>
      <c r="J82" s="218" t="s">
        <v>5515</v>
      </c>
      <c r="K82" s="412" t="s">
        <v>117</v>
      </c>
      <c r="L82" s="204" t="s">
        <v>3970</v>
      </c>
      <c r="M82" s="367"/>
      <c r="N82" s="416" t="s">
        <v>504</v>
      </c>
      <c r="O82" s="126"/>
      <c r="P82" s="126"/>
      <c r="Q82" s="416" t="s">
        <v>6</v>
      </c>
      <c r="R82" s="416" t="s">
        <v>6</v>
      </c>
      <c r="S82" s="40" t="s">
        <v>6</v>
      </c>
      <c r="T82" s="40"/>
      <c r="U82" s="204" t="s">
        <v>3963</v>
      </c>
      <c r="V82" s="206"/>
      <c r="W82" s="412" t="s">
        <v>125</v>
      </c>
      <c r="X82" s="59"/>
      <c r="Y82" s="59"/>
      <c r="Z82" s="59"/>
      <c r="AA82" s="40" t="s">
        <v>6</v>
      </c>
      <c r="AB82" s="414"/>
      <c r="AC82" s="416"/>
      <c r="AD82" s="416"/>
      <c r="AE82" s="412" t="s">
        <v>125</v>
      </c>
      <c r="AF82" s="59"/>
      <c r="AG82" s="59"/>
      <c r="AH82" s="59"/>
      <c r="AI82" s="40" t="s">
        <v>6</v>
      </c>
      <c r="AJ82" s="414"/>
      <c r="AK82" s="416"/>
      <c r="AL82" s="416"/>
      <c r="AM82" s="43"/>
      <c r="AN82" s="13"/>
      <c r="AO82" s="13"/>
      <c r="AP82" s="13"/>
      <c r="AQ82" s="13"/>
      <c r="AR82" s="13"/>
      <c r="AS82" s="13"/>
      <c r="AT82" s="13"/>
      <c r="AU82" s="13"/>
      <c r="AV82" s="13"/>
      <c r="AW82" s="18"/>
    </row>
    <row r="83" spans="1:87" s="12" customFormat="1" ht="15">
      <c r="A83" s="416">
        <f t="shared" si="9"/>
        <v>77</v>
      </c>
      <c r="B83" s="38"/>
      <c r="C83" s="42"/>
      <c r="D83" s="19"/>
      <c r="E83" s="19"/>
      <c r="F83" s="19"/>
      <c r="G83" s="19"/>
      <c r="H83" s="13"/>
      <c r="I83" s="13"/>
      <c r="J83" s="218" t="s">
        <v>5516</v>
      </c>
      <c r="K83" s="412" t="s">
        <v>117</v>
      </c>
      <c r="L83" s="204" t="s">
        <v>1391</v>
      </c>
      <c r="M83" s="367"/>
      <c r="N83" s="416" t="s">
        <v>504</v>
      </c>
      <c r="O83" s="126"/>
      <c r="P83" s="126"/>
      <c r="Q83" s="416" t="s">
        <v>6</v>
      </c>
      <c r="R83" s="416" t="s">
        <v>6</v>
      </c>
      <c r="S83" s="40" t="s">
        <v>6</v>
      </c>
      <c r="T83" s="40"/>
      <c r="U83" s="204" t="s">
        <v>3963</v>
      </c>
      <c r="V83" s="206"/>
      <c r="W83" s="412" t="s">
        <v>125</v>
      </c>
      <c r="X83" s="59"/>
      <c r="Y83" s="59"/>
      <c r="Z83" s="59"/>
      <c r="AA83" s="40" t="s">
        <v>6</v>
      </c>
      <c r="AB83" s="414"/>
      <c r="AC83" s="416"/>
      <c r="AD83" s="416"/>
      <c r="AE83" s="412" t="s">
        <v>125</v>
      </c>
      <c r="AF83" s="59"/>
      <c r="AG83" s="59"/>
      <c r="AH83" s="59"/>
      <c r="AI83" s="40" t="s">
        <v>6</v>
      </c>
      <c r="AJ83" s="414"/>
      <c r="AK83" s="416"/>
      <c r="AL83" s="416"/>
      <c r="AM83" s="43"/>
      <c r="AN83" s="13"/>
      <c r="AO83" s="13"/>
      <c r="AP83" s="13"/>
      <c r="AQ83" s="13"/>
      <c r="AR83" s="13"/>
      <c r="AS83" s="13"/>
      <c r="AT83" s="13"/>
      <c r="AU83" s="13"/>
      <c r="AV83" s="13"/>
      <c r="AW83" s="18"/>
    </row>
    <row r="84" spans="1:87" s="12" customFormat="1" ht="15">
      <c r="A84" s="416">
        <f t="shared" si="9"/>
        <v>78</v>
      </c>
      <c r="B84" s="38"/>
      <c r="C84" s="42"/>
      <c r="D84" s="19"/>
      <c r="E84" s="19"/>
      <c r="F84" s="19"/>
      <c r="G84" s="19"/>
      <c r="H84" s="13"/>
      <c r="I84" s="13"/>
      <c r="J84" s="218" t="s">
        <v>5517</v>
      </c>
      <c r="K84" s="412" t="s">
        <v>117</v>
      </c>
      <c r="L84" s="204" t="s">
        <v>3979</v>
      </c>
      <c r="M84" s="367"/>
      <c r="N84" s="416" t="s">
        <v>504</v>
      </c>
      <c r="O84" s="126"/>
      <c r="P84" s="126"/>
      <c r="Q84" s="416" t="s">
        <v>6</v>
      </c>
      <c r="R84" s="416" t="s">
        <v>6</v>
      </c>
      <c r="S84" s="40" t="s">
        <v>6</v>
      </c>
      <c r="T84" s="40"/>
      <c r="U84" s="204" t="s">
        <v>3963</v>
      </c>
      <c r="V84" s="206"/>
      <c r="W84" s="412" t="s">
        <v>125</v>
      </c>
      <c r="X84" s="59"/>
      <c r="Y84" s="59"/>
      <c r="Z84" s="59"/>
      <c r="AA84" s="40" t="s">
        <v>6</v>
      </c>
      <c r="AB84" s="414"/>
      <c r="AC84" s="416"/>
      <c r="AD84" s="416"/>
      <c r="AE84" s="412" t="s">
        <v>125</v>
      </c>
      <c r="AF84" s="59"/>
      <c r="AG84" s="59"/>
      <c r="AH84" s="59"/>
      <c r="AI84" s="40" t="s">
        <v>6</v>
      </c>
      <c r="AJ84" s="414"/>
      <c r="AK84" s="416"/>
      <c r="AL84" s="416"/>
      <c r="AM84" s="43"/>
      <c r="AN84" s="13"/>
      <c r="AO84" s="13"/>
      <c r="AP84" s="13"/>
      <c r="AQ84" s="13"/>
      <c r="AR84" s="13"/>
      <c r="AS84" s="13"/>
      <c r="AT84" s="13"/>
      <c r="AU84" s="13"/>
      <c r="AV84" s="13"/>
      <c r="AW84" s="18"/>
    </row>
    <row r="85" spans="1:87" s="18" customFormat="1" ht="26.4">
      <c r="A85" s="416">
        <f t="shared" si="9"/>
        <v>79</v>
      </c>
      <c r="B85" s="19"/>
      <c r="C85" s="41"/>
      <c r="D85" s="19"/>
      <c r="E85" s="19"/>
      <c r="F85" s="19"/>
      <c r="G85" s="19"/>
      <c r="H85" s="13"/>
      <c r="I85" s="13"/>
      <c r="J85" s="218" t="s">
        <v>5518</v>
      </c>
      <c r="K85" s="412" t="s">
        <v>117</v>
      </c>
      <c r="L85" s="204" t="s">
        <v>3983</v>
      </c>
      <c r="M85" s="367"/>
      <c r="N85" s="416" t="s">
        <v>504</v>
      </c>
      <c r="O85" s="126"/>
      <c r="P85" s="126"/>
      <c r="Q85" s="416" t="s">
        <v>6</v>
      </c>
      <c r="R85" s="416" t="s">
        <v>6</v>
      </c>
      <c r="S85" s="40" t="s">
        <v>6</v>
      </c>
      <c r="T85" s="40"/>
      <c r="U85" s="204" t="s">
        <v>3921</v>
      </c>
      <c r="V85" s="206"/>
      <c r="W85" s="412" t="s">
        <v>125</v>
      </c>
      <c r="X85" s="59"/>
      <c r="Y85" s="59"/>
      <c r="Z85" s="59"/>
      <c r="AA85" s="40" t="s">
        <v>6</v>
      </c>
      <c r="AB85" s="45"/>
      <c r="AC85" s="415"/>
      <c r="AD85" s="415"/>
      <c r="AE85" s="412" t="s">
        <v>125</v>
      </c>
      <c r="AF85" s="59"/>
      <c r="AG85" s="59"/>
      <c r="AH85" s="59"/>
      <c r="AI85" s="40" t="s">
        <v>6</v>
      </c>
      <c r="AJ85" s="45"/>
      <c r="AK85" s="415"/>
      <c r="AL85" s="415"/>
      <c r="AM85" s="43"/>
      <c r="AN85" s="13"/>
      <c r="AO85" s="15"/>
      <c r="AP85" s="15"/>
      <c r="AQ85" s="15"/>
      <c r="AR85" s="15"/>
      <c r="AS85" s="15"/>
      <c r="AT85" s="15"/>
      <c r="AU85" s="13"/>
      <c r="AV85" s="15"/>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row>
    <row r="86" spans="1:87" s="236" customFormat="1" ht="26.4">
      <c r="A86" s="416">
        <f t="shared" si="9"/>
        <v>80</v>
      </c>
      <c r="B86" s="199"/>
      <c r="C86" s="199"/>
      <c r="D86" s="199"/>
      <c r="E86" s="199"/>
      <c r="F86" s="199"/>
      <c r="G86" s="199"/>
      <c r="H86" s="199"/>
      <c r="I86" s="199" t="s">
        <v>868</v>
      </c>
      <c r="J86" s="218" t="s">
        <v>5519</v>
      </c>
      <c r="K86" s="232" t="s">
        <v>117</v>
      </c>
      <c r="L86" s="204" t="s">
        <v>763</v>
      </c>
      <c r="M86" s="204"/>
      <c r="N86" s="40" t="s">
        <v>504</v>
      </c>
      <c r="O86" s="126"/>
      <c r="P86" s="126"/>
      <c r="Q86" s="40" t="s">
        <v>6</v>
      </c>
      <c r="R86" s="40" t="s">
        <v>6</v>
      </c>
      <c r="S86" s="126" t="s">
        <v>6</v>
      </c>
      <c r="T86" s="40"/>
      <c r="U86" s="280" t="s">
        <v>5520</v>
      </c>
      <c r="V86" s="204"/>
      <c r="W86" s="232" t="s">
        <v>125</v>
      </c>
      <c r="X86" s="211"/>
      <c r="Y86" s="211"/>
      <c r="Z86" s="211"/>
      <c r="AA86" s="126" t="s">
        <v>6</v>
      </c>
      <c r="AB86" s="198"/>
      <c r="AC86" s="199"/>
      <c r="AD86" s="199"/>
      <c r="AE86" s="232" t="s">
        <v>125</v>
      </c>
      <c r="AF86" s="211"/>
      <c r="AG86" s="211"/>
      <c r="AH86" s="211"/>
      <c r="AI86" s="126" t="s">
        <v>6</v>
      </c>
      <c r="AJ86" s="199" t="s">
        <v>802</v>
      </c>
      <c r="AK86" s="199"/>
      <c r="AL86" s="199"/>
      <c r="AM86" s="199"/>
      <c r="AN86" s="199"/>
      <c r="AO86" s="199"/>
      <c r="AP86" s="199"/>
      <c r="AQ86" s="199"/>
      <c r="AR86" s="199"/>
      <c r="AS86" s="199"/>
      <c r="AT86" s="199"/>
      <c r="AU86" s="199"/>
      <c r="AV86" s="199"/>
      <c r="AW86" s="155"/>
    </row>
    <row r="87" spans="1:87" s="236" customFormat="1" ht="26.4">
      <c r="A87" s="416">
        <f t="shared" si="9"/>
        <v>81</v>
      </c>
      <c r="B87" s="199"/>
      <c r="C87" s="199"/>
      <c r="D87" s="199"/>
      <c r="E87" s="199"/>
      <c r="F87" s="199"/>
      <c r="G87" s="199"/>
      <c r="H87" s="199"/>
      <c r="I87" s="199" t="s">
        <v>868</v>
      </c>
      <c r="J87" s="218" t="s">
        <v>5521</v>
      </c>
      <c r="K87" s="232" t="s">
        <v>117</v>
      </c>
      <c r="L87" s="204" t="s">
        <v>765</v>
      </c>
      <c r="M87" s="204"/>
      <c r="N87" s="40" t="s">
        <v>504</v>
      </c>
      <c r="O87" s="126"/>
      <c r="P87" s="126"/>
      <c r="Q87" s="40" t="s">
        <v>6</v>
      </c>
      <c r="R87" s="40" t="s">
        <v>6</v>
      </c>
      <c r="S87" s="126" t="s">
        <v>6</v>
      </c>
      <c r="T87" s="40"/>
      <c r="U87" s="280" t="s">
        <v>5520</v>
      </c>
      <c r="V87" s="204"/>
      <c r="W87" s="232" t="s">
        <v>125</v>
      </c>
      <c r="X87" s="199"/>
      <c r="Y87" s="199"/>
      <c r="Z87" s="199"/>
      <c r="AA87" s="126" t="s">
        <v>6</v>
      </c>
      <c r="AB87" s="198"/>
      <c r="AC87" s="199"/>
      <c r="AD87" s="199"/>
      <c r="AE87" s="232" t="s">
        <v>125</v>
      </c>
      <c r="AF87" s="199"/>
      <c r="AG87" s="199"/>
      <c r="AH87" s="199"/>
      <c r="AI87" s="126" t="s">
        <v>6</v>
      </c>
      <c r="AJ87" s="199" t="s">
        <v>802</v>
      </c>
      <c r="AK87" s="199"/>
      <c r="AL87" s="199"/>
      <c r="AM87" s="199"/>
      <c r="AN87" s="199"/>
      <c r="AO87" s="199"/>
      <c r="AP87" s="199"/>
      <c r="AQ87" s="199"/>
      <c r="AR87" s="199"/>
      <c r="AS87" s="199"/>
      <c r="AT87" s="199"/>
      <c r="AU87" s="199"/>
      <c r="AV87" s="199"/>
      <c r="AW87" s="155"/>
    </row>
    <row r="88" spans="1:87" s="236" customFormat="1" ht="26.4">
      <c r="A88" s="416">
        <f t="shared" si="9"/>
        <v>82</v>
      </c>
      <c r="B88" s="199"/>
      <c r="C88" s="199"/>
      <c r="D88" s="199"/>
      <c r="E88" s="199"/>
      <c r="F88" s="199"/>
      <c r="G88" s="199"/>
      <c r="H88" s="199"/>
      <c r="I88" s="199" t="s">
        <v>868</v>
      </c>
      <c r="J88" s="218" t="s">
        <v>5522</v>
      </c>
      <c r="K88" s="232" t="s">
        <v>117</v>
      </c>
      <c r="L88" s="204" t="s">
        <v>767</v>
      </c>
      <c r="M88" s="204"/>
      <c r="N88" s="40" t="s">
        <v>504</v>
      </c>
      <c r="O88" s="126"/>
      <c r="P88" s="126"/>
      <c r="Q88" s="40" t="s">
        <v>6</v>
      </c>
      <c r="R88" s="40" t="s">
        <v>6</v>
      </c>
      <c r="S88" s="126" t="s">
        <v>6</v>
      </c>
      <c r="T88" s="40"/>
      <c r="U88" s="280" t="s">
        <v>5520</v>
      </c>
      <c r="V88" s="204"/>
      <c r="W88" s="232" t="s">
        <v>125</v>
      </c>
      <c r="X88" s="199"/>
      <c r="Y88" s="199"/>
      <c r="Z88" s="199"/>
      <c r="AA88" s="126" t="s">
        <v>6</v>
      </c>
      <c r="AB88" s="198"/>
      <c r="AC88" s="199"/>
      <c r="AD88" s="199"/>
      <c r="AE88" s="232" t="s">
        <v>125</v>
      </c>
      <c r="AF88" s="199"/>
      <c r="AG88" s="199"/>
      <c r="AH88" s="199"/>
      <c r="AI88" s="126" t="s">
        <v>6</v>
      </c>
      <c r="AJ88" s="199" t="s">
        <v>802</v>
      </c>
      <c r="AK88" s="199"/>
      <c r="AL88" s="199"/>
      <c r="AM88" s="199"/>
      <c r="AN88" s="199"/>
      <c r="AO88" s="199"/>
      <c r="AP88" s="199"/>
      <c r="AQ88" s="199"/>
      <c r="AR88" s="199"/>
      <c r="AS88" s="199"/>
      <c r="AT88" s="199"/>
      <c r="AU88" s="199"/>
      <c r="AV88" s="199"/>
      <c r="AW88" s="155"/>
    </row>
    <row r="89" spans="1:87" s="12" customFormat="1" ht="39.6">
      <c r="A89" s="416">
        <f t="shared" si="9"/>
        <v>83</v>
      </c>
      <c r="B89" s="38"/>
      <c r="C89" s="42"/>
      <c r="D89" s="19"/>
      <c r="E89" s="19"/>
      <c r="F89" s="19"/>
      <c r="G89" s="19"/>
      <c r="H89" s="13"/>
      <c r="I89" s="13"/>
      <c r="J89" s="218" t="s">
        <v>5523</v>
      </c>
      <c r="K89" s="412" t="s">
        <v>117</v>
      </c>
      <c r="L89" s="204" t="s">
        <v>3987</v>
      </c>
      <c r="M89" s="367"/>
      <c r="N89" s="416" t="s">
        <v>504</v>
      </c>
      <c r="O89" s="126"/>
      <c r="P89" s="126"/>
      <c r="Q89" s="416" t="s">
        <v>6</v>
      </c>
      <c r="R89" s="416" t="s">
        <v>6</v>
      </c>
      <c r="S89" s="40" t="s">
        <v>6</v>
      </c>
      <c r="T89" s="40"/>
      <c r="U89" s="204" t="s">
        <v>5524</v>
      </c>
      <c r="V89" s="206"/>
      <c r="W89" s="412" t="s">
        <v>125</v>
      </c>
      <c r="X89" s="59"/>
      <c r="Y89" s="59"/>
      <c r="Z89" s="59"/>
      <c r="AA89" s="40" t="s">
        <v>6</v>
      </c>
      <c r="AB89" s="413"/>
      <c r="AC89" s="415"/>
      <c r="AD89" s="415"/>
      <c r="AE89" s="412" t="s">
        <v>125</v>
      </c>
      <c r="AF89" s="59"/>
      <c r="AG89" s="59"/>
      <c r="AH89" s="59"/>
      <c r="AI89" s="40" t="s">
        <v>6</v>
      </c>
      <c r="AJ89" s="413"/>
      <c r="AK89" s="415"/>
      <c r="AL89" s="415"/>
      <c r="AM89" s="43"/>
      <c r="AN89" s="13"/>
      <c r="AO89" s="13"/>
      <c r="AP89" s="13"/>
      <c r="AQ89" s="13"/>
      <c r="AR89" s="13"/>
      <c r="AS89" s="13"/>
      <c r="AT89" s="13"/>
      <c r="AU89" s="13"/>
      <c r="AV89" s="13"/>
      <c r="AW89" s="18"/>
      <c r="AX89" s="16"/>
      <c r="AY89" s="17"/>
    </row>
    <row r="90" spans="1:87" s="12" customFormat="1" ht="39.6">
      <c r="A90" s="416">
        <f t="shared" si="9"/>
        <v>84</v>
      </c>
      <c r="B90" s="38"/>
      <c r="C90" s="42"/>
      <c r="D90" s="38"/>
      <c r="E90" s="46"/>
      <c r="F90" s="46"/>
      <c r="G90" s="46"/>
      <c r="H90" s="13"/>
      <c r="I90" s="40"/>
      <c r="J90" s="218" t="s">
        <v>5525</v>
      </c>
      <c r="K90" s="412" t="s">
        <v>117</v>
      </c>
      <c r="L90" s="204" t="s">
        <v>3992</v>
      </c>
      <c r="M90" s="367"/>
      <c r="N90" s="416" t="s">
        <v>504</v>
      </c>
      <c r="O90" s="126"/>
      <c r="P90" s="126"/>
      <c r="Q90" s="416" t="s">
        <v>6</v>
      </c>
      <c r="R90" s="416" t="s">
        <v>6</v>
      </c>
      <c r="S90" s="40" t="s">
        <v>6</v>
      </c>
      <c r="T90" s="40"/>
      <c r="U90" s="204" t="s">
        <v>5524</v>
      </c>
      <c r="V90" s="206"/>
      <c r="W90" s="412" t="s">
        <v>125</v>
      </c>
      <c r="X90" s="59"/>
      <c r="Y90" s="59"/>
      <c r="Z90" s="59"/>
      <c r="AA90" s="40" t="s">
        <v>6</v>
      </c>
      <c r="AB90" s="413"/>
      <c r="AC90" s="413"/>
      <c r="AD90" s="413"/>
      <c r="AE90" s="412" t="s">
        <v>125</v>
      </c>
      <c r="AF90" s="59"/>
      <c r="AG90" s="59"/>
      <c r="AH90" s="59"/>
      <c r="AI90" s="40" t="s">
        <v>6</v>
      </c>
      <c r="AJ90" s="413"/>
      <c r="AK90" s="413"/>
      <c r="AL90" s="413"/>
      <c r="AM90" s="43"/>
      <c r="AN90" s="47"/>
      <c r="AO90" s="15"/>
      <c r="AP90" s="15"/>
      <c r="AQ90" s="15"/>
      <c r="AR90" s="15"/>
      <c r="AS90" s="15"/>
      <c r="AT90" s="15"/>
      <c r="AU90" s="15"/>
      <c r="AV90" s="13"/>
      <c r="AW90" s="18"/>
    </row>
    <row r="91" spans="1:87" s="12" customFormat="1" ht="39.6">
      <c r="A91" s="416">
        <f t="shared" si="9"/>
        <v>85</v>
      </c>
      <c r="B91" s="38"/>
      <c r="C91" s="42"/>
      <c r="D91" s="38"/>
      <c r="E91" s="46"/>
      <c r="F91" s="46"/>
      <c r="G91" s="46"/>
      <c r="H91" s="13"/>
      <c r="I91" s="40"/>
      <c r="J91" s="218" t="s">
        <v>5526</v>
      </c>
      <c r="K91" s="412" t="s">
        <v>117</v>
      </c>
      <c r="L91" s="204" t="s">
        <v>3994</v>
      </c>
      <c r="M91" s="367"/>
      <c r="N91" s="416" t="s">
        <v>504</v>
      </c>
      <c r="O91" s="126"/>
      <c r="P91" s="126"/>
      <c r="Q91" s="416" t="s">
        <v>6</v>
      </c>
      <c r="R91" s="416" t="s">
        <v>6</v>
      </c>
      <c r="S91" s="40" t="s">
        <v>6</v>
      </c>
      <c r="T91" s="40"/>
      <c r="U91" s="204" t="s">
        <v>5524</v>
      </c>
      <c r="V91" s="206"/>
      <c r="W91" s="412" t="s">
        <v>125</v>
      </c>
      <c r="X91" s="59"/>
      <c r="Y91" s="59"/>
      <c r="Z91" s="59"/>
      <c r="AA91" s="40" t="s">
        <v>6</v>
      </c>
      <c r="AB91" s="413"/>
      <c r="AC91" s="413"/>
      <c r="AD91" s="413"/>
      <c r="AE91" s="412" t="s">
        <v>125</v>
      </c>
      <c r="AF91" s="59"/>
      <c r="AG91" s="59"/>
      <c r="AH91" s="59"/>
      <c r="AI91" s="40" t="s">
        <v>6</v>
      </c>
      <c r="AJ91" s="413"/>
      <c r="AK91" s="413"/>
      <c r="AL91" s="413"/>
      <c r="AM91" s="43"/>
      <c r="AN91" s="19"/>
      <c r="AO91" s="15"/>
      <c r="AP91" s="15"/>
      <c r="AQ91" s="15"/>
      <c r="AR91" s="15"/>
      <c r="AS91" s="15"/>
      <c r="AT91" s="15"/>
      <c r="AU91" s="15"/>
      <c r="AV91" s="13"/>
      <c r="AW91" s="18"/>
    </row>
    <row r="92" spans="1:87" s="12" customFormat="1" ht="39.6">
      <c r="A92" s="416">
        <f t="shared" si="9"/>
        <v>86</v>
      </c>
      <c r="B92" s="19"/>
      <c r="C92" s="41"/>
      <c r="D92" s="19"/>
      <c r="E92" s="19"/>
      <c r="F92" s="19"/>
      <c r="G92" s="19"/>
      <c r="H92" s="13"/>
      <c r="I92" s="13"/>
      <c r="J92" s="218" t="s">
        <v>5527</v>
      </c>
      <c r="K92" s="412" t="s">
        <v>117</v>
      </c>
      <c r="L92" s="204" t="s">
        <v>3998</v>
      </c>
      <c r="M92" s="367"/>
      <c r="N92" s="416" t="s">
        <v>504</v>
      </c>
      <c r="O92" s="126"/>
      <c r="P92" s="126"/>
      <c r="Q92" s="416" t="s">
        <v>6</v>
      </c>
      <c r="R92" s="416" t="s">
        <v>6</v>
      </c>
      <c r="S92" s="40" t="s">
        <v>6</v>
      </c>
      <c r="T92" s="40"/>
      <c r="U92" s="204" t="s">
        <v>5524</v>
      </c>
      <c r="V92" s="206"/>
      <c r="W92" s="412" t="s">
        <v>125</v>
      </c>
      <c r="X92" s="59"/>
      <c r="Y92" s="59"/>
      <c r="Z92" s="59"/>
      <c r="AA92" s="40" t="s">
        <v>6</v>
      </c>
      <c r="AB92" s="413"/>
      <c r="AC92" s="415"/>
      <c r="AD92" s="415"/>
      <c r="AE92" s="412" t="s">
        <v>125</v>
      </c>
      <c r="AF92" s="59"/>
      <c r="AG92" s="59"/>
      <c r="AH92" s="59"/>
      <c r="AI92" s="40" t="s">
        <v>6</v>
      </c>
      <c r="AJ92" s="413"/>
      <c r="AK92" s="415"/>
      <c r="AL92" s="415"/>
      <c r="AM92" s="43"/>
      <c r="AN92" s="19"/>
      <c r="AO92" s="15"/>
      <c r="AP92" s="15"/>
      <c r="AQ92" s="15"/>
      <c r="AR92" s="15"/>
      <c r="AS92" s="15"/>
      <c r="AT92" s="15"/>
      <c r="AU92" s="15"/>
      <c r="AV92" s="15"/>
      <c r="AW92" s="18"/>
      <c r="AX92" s="16"/>
      <c r="AY92" s="17"/>
    </row>
    <row r="93" spans="1:87" s="20" customFormat="1" ht="26.4">
      <c r="A93" s="416">
        <f t="shared" si="9"/>
        <v>87</v>
      </c>
      <c r="B93" s="38"/>
      <c r="C93" s="41"/>
      <c r="D93" s="38"/>
      <c r="E93" s="46"/>
      <c r="F93" s="46"/>
      <c r="G93" s="46"/>
      <c r="H93" s="13"/>
      <c r="I93" s="40"/>
      <c r="J93" s="218" t="s">
        <v>5528</v>
      </c>
      <c r="K93" s="412" t="s">
        <v>128</v>
      </c>
      <c r="L93" s="204" t="s">
        <v>703</v>
      </c>
      <c r="M93" s="367"/>
      <c r="N93" s="416" t="s">
        <v>504</v>
      </c>
      <c r="O93" s="126"/>
      <c r="P93" s="40"/>
      <c r="Q93" s="126" t="s">
        <v>6</v>
      </c>
      <c r="R93" s="126" t="s">
        <v>6</v>
      </c>
      <c r="S93" s="126" t="s">
        <v>6</v>
      </c>
      <c r="T93" s="416"/>
      <c r="U93" s="280" t="s">
        <v>5520</v>
      </c>
      <c r="V93" s="206"/>
      <c r="W93" s="412" t="s">
        <v>125</v>
      </c>
      <c r="X93" s="59"/>
      <c r="Y93" s="59"/>
      <c r="Z93" s="59"/>
      <c r="AA93" s="61" t="s">
        <v>6</v>
      </c>
      <c r="AB93" s="79"/>
      <c r="AC93" s="59"/>
      <c r="AD93" s="59"/>
      <c r="AE93" s="412" t="s">
        <v>125</v>
      </c>
      <c r="AF93" s="59"/>
      <c r="AG93" s="59"/>
      <c r="AH93" s="59"/>
      <c r="AI93" s="61" t="s">
        <v>6</v>
      </c>
      <c r="AJ93" s="199" t="s">
        <v>802</v>
      </c>
      <c r="AK93" s="59"/>
      <c r="AL93" s="59"/>
      <c r="AM93" s="43"/>
      <c r="AN93" s="19"/>
      <c r="AO93" s="13"/>
      <c r="AP93" s="13"/>
      <c r="AQ93" s="13"/>
      <c r="AR93" s="13"/>
      <c r="AS93" s="13"/>
      <c r="AT93" s="13"/>
      <c r="AU93" s="13"/>
      <c r="AV93" s="19"/>
      <c r="AW93" s="18"/>
    </row>
    <row r="94" spans="1:87" s="20" customFormat="1" ht="26.4">
      <c r="A94" s="416">
        <f t="shared" si="9"/>
        <v>88</v>
      </c>
      <c r="B94" s="38"/>
      <c r="C94" s="41"/>
      <c r="D94" s="38"/>
      <c r="E94" s="46"/>
      <c r="F94" s="46"/>
      <c r="G94" s="46"/>
      <c r="H94" s="13"/>
      <c r="I94" s="40"/>
      <c r="J94" s="218" t="s">
        <v>5529</v>
      </c>
      <c r="K94" s="412" t="s">
        <v>128</v>
      </c>
      <c r="L94" s="204" t="s">
        <v>703</v>
      </c>
      <c r="M94" s="367"/>
      <c r="N94" s="416" t="s">
        <v>504</v>
      </c>
      <c r="O94" s="126"/>
      <c r="P94" s="40"/>
      <c r="Q94" s="126" t="s">
        <v>6</v>
      </c>
      <c r="R94" s="126" t="s">
        <v>6</v>
      </c>
      <c r="S94" s="126" t="s">
        <v>6</v>
      </c>
      <c r="T94" s="126"/>
      <c r="U94" s="204" t="s">
        <v>3921</v>
      </c>
      <c r="V94" s="206"/>
      <c r="W94" s="412" t="s">
        <v>125</v>
      </c>
      <c r="X94" s="59"/>
      <c r="Y94" s="59"/>
      <c r="Z94" s="59"/>
      <c r="AA94" s="61" t="s">
        <v>6</v>
      </c>
      <c r="AB94" s="79"/>
      <c r="AC94" s="59"/>
      <c r="AD94" s="59"/>
      <c r="AE94" s="412" t="s">
        <v>125</v>
      </c>
      <c r="AF94" s="59"/>
      <c r="AG94" s="59"/>
      <c r="AH94" s="59"/>
      <c r="AI94" s="61" t="s">
        <v>6</v>
      </c>
      <c r="AJ94" s="79"/>
      <c r="AK94" s="59"/>
      <c r="AL94" s="59"/>
      <c r="AM94" s="43"/>
      <c r="AN94" s="19"/>
      <c r="AO94" s="13"/>
      <c r="AP94" s="13"/>
      <c r="AQ94" s="13"/>
      <c r="AR94" s="13"/>
      <c r="AS94" s="13"/>
      <c r="AT94" s="13"/>
      <c r="AU94" s="13"/>
      <c r="AV94" s="19"/>
      <c r="AW94" s="18"/>
    </row>
    <row r="95" spans="1:87" s="20" customFormat="1" ht="26.4">
      <c r="A95" s="416">
        <f t="shared" si="9"/>
        <v>89</v>
      </c>
      <c r="B95" s="59"/>
      <c r="C95" s="59"/>
      <c r="D95" s="59"/>
      <c r="E95" s="59"/>
      <c r="F95" s="59"/>
      <c r="G95" s="59"/>
      <c r="H95" s="59"/>
      <c r="I95" s="59"/>
      <c r="J95" s="218" t="s">
        <v>5530</v>
      </c>
      <c r="K95" s="232" t="s">
        <v>134</v>
      </c>
      <c r="L95" s="204" t="s">
        <v>744</v>
      </c>
      <c r="M95" s="367"/>
      <c r="N95" s="416" t="s">
        <v>504</v>
      </c>
      <c r="O95" s="126"/>
      <c r="P95" s="126"/>
      <c r="Q95" s="40" t="s">
        <v>6</v>
      </c>
      <c r="R95" s="40" t="s">
        <v>6</v>
      </c>
      <c r="S95" s="40" t="s">
        <v>6</v>
      </c>
      <c r="T95" s="40"/>
      <c r="U95" s="204" t="s">
        <v>742</v>
      </c>
      <c r="V95" s="206"/>
      <c r="W95" s="232" t="s">
        <v>137</v>
      </c>
      <c r="X95" s="59"/>
      <c r="Y95" s="59"/>
      <c r="Z95" s="59"/>
      <c r="AA95" s="40" t="s">
        <v>6</v>
      </c>
      <c r="AB95" s="15"/>
      <c r="AC95" s="59"/>
      <c r="AD95" s="59"/>
      <c r="AE95" s="232" t="s">
        <v>137</v>
      </c>
      <c r="AF95" s="59"/>
      <c r="AG95" s="59"/>
      <c r="AH95" s="59"/>
      <c r="AI95" s="40" t="s">
        <v>6</v>
      </c>
      <c r="AJ95" s="15"/>
      <c r="AK95" s="59"/>
      <c r="AL95" s="59"/>
      <c r="AM95" s="59"/>
      <c r="AN95" s="59"/>
      <c r="AO95" s="59"/>
      <c r="AP95" s="59"/>
      <c r="AQ95" s="59"/>
      <c r="AR95" s="59"/>
      <c r="AS95" s="59"/>
      <c r="AT95" s="59"/>
      <c r="AU95" s="59"/>
      <c r="AV95" s="59"/>
      <c r="AW95" s="18"/>
    </row>
    <row r="96" spans="1:87" s="20" customFormat="1" ht="15">
      <c r="A96" s="416">
        <f t="shared" si="9"/>
        <v>90</v>
      </c>
      <c r="B96" s="59"/>
      <c r="C96" s="59"/>
      <c r="D96" s="59"/>
      <c r="E96" s="59"/>
      <c r="F96" s="59"/>
      <c r="G96" s="59"/>
      <c r="H96" s="59"/>
      <c r="I96" s="59"/>
      <c r="J96" s="215" t="s">
        <v>5531</v>
      </c>
      <c r="K96" s="204" t="s">
        <v>117</v>
      </c>
      <c r="L96" s="204" t="s">
        <v>5532</v>
      </c>
      <c r="M96" s="367"/>
      <c r="N96" s="416" t="s">
        <v>504</v>
      </c>
      <c r="O96" s="126"/>
      <c r="P96" s="126"/>
      <c r="Q96" s="40" t="s">
        <v>6</v>
      </c>
      <c r="R96" s="40" t="s">
        <v>6</v>
      </c>
      <c r="S96" s="40" t="s">
        <v>6</v>
      </c>
      <c r="T96" s="416"/>
      <c r="U96" s="204"/>
      <c r="V96" s="206"/>
      <c r="W96" s="204" t="s">
        <v>125</v>
      </c>
      <c r="X96" s="59"/>
      <c r="Y96" s="59"/>
      <c r="Z96" s="61"/>
      <c r="AA96" s="40" t="s">
        <v>6</v>
      </c>
      <c r="AB96" s="204"/>
      <c r="AC96" s="59"/>
      <c r="AD96" s="59"/>
      <c r="AE96" s="204" t="s">
        <v>125</v>
      </c>
      <c r="AF96" s="59"/>
      <c r="AG96" s="59"/>
      <c r="AH96" s="61"/>
      <c r="AI96" s="40" t="s">
        <v>6</v>
      </c>
      <c r="AJ96" s="204"/>
      <c r="AK96" s="59"/>
      <c r="AL96" s="59"/>
      <c r="AM96" s="59"/>
      <c r="AN96" s="59"/>
      <c r="AO96" s="59"/>
      <c r="AP96" s="59"/>
      <c r="AQ96" s="59"/>
      <c r="AR96" s="59"/>
      <c r="AS96" s="59"/>
      <c r="AT96" s="59"/>
      <c r="AU96" s="59"/>
      <c r="AV96" s="59"/>
      <c r="AW96" s="18"/>
    </row>
    <row r="97" spans="1:49" s="20" customFormat="1" ht="15">
      <c r="A97" s="416">
        <f t="shared" si="9"/>
        <v>91</v>
      </c>
      <c r="B97" s="59"/>
      <c r="C97" s="59"/>
      <c r="D97" s="59"/>
      <c r="E97" s="59"/>
      <c r="F97" s="59"/>
      <c r="G97" s="59"/>
      <c r="H97" s="59"/>
      <c r="I97" s="59"/>
      <c r="J97" s="215" t="s">
        <v>5533</v>
      </c>
      <c r="K97" s="204" t="s">
        <v>132</v>
      </c>
      <c r="L97" s="204" t="s">
        <v>4929</v>
      </c>
      <c r="M97" s="367" t="s">
        <v>4930</v>
      </c>
      <c r="N97" s="416" t="s">
        <v>504</v>
      </c>
      <c r="O97" s="126"/>
      <c r="P97" s="126"/>
      <c r="Q97" s="40" t="s">
        <v>6</v>
      </c>
      <c r="R97" s="40" t="s">
        <v>6</v>
      </c>
      <c r="S97" s="40" t="s">
        <v>6</v>
      </c>
      <c r="T97" s="416"/>
      <c r="U97" s="204"/>
      <c r="V97" s="206"/>
      <c r="W97" s="204" t="s">
        <v>133</v>
      </c>
      <c r="X97" s="59"/>
      <c r="Y97" s="59"/>
      <c r="Z97" s="226" t="s">
        <v>6</v>
      </c>
      <c r="AA97" s="416" t="s">
        <v>6</v>
      </c>
      <c r="AB97" s="361"/>
      <c r="AC97" s="260"/>
      <c r="AD97" s="260"/>
      <c r="AE97" s="204" t="s">
        <v>133</v>
      </c>
      <c r="AF97" s="59"/>
      <c r="AG97" s="59"/>
      <c r="AH97" s="226" t="s">
        <v>6</v>
      </c>
      <c r="AI97" s="416" t="s">
        <v>6</v>
      </c>
      <c r="AJ97" s="361"/>
      <c r="AK97" s="260"/>
      <c r="AL97" s="260"/>
      <c r="AM97" s="59"/>
      <c r="AN97" s="59"/>
      <c r="AO97" s="59"/>
      <c r="AP97" s="59"/>
      <c r="AQ97" s="59"/>
      <c r="AR97" s="59"/>
      <c r="AS97" s="59"/>
      <c r="AT97" s="59"/>
      <c r="AU97" s="59"/>
      <c r="AV97" s="59"/>
      <c r="AW97" s="18"/>
    </row>
    <row r="98" spans="1:49" s="20" customFormat="1" ht="15">
      <c r="A98" s="416">
        <f t="shared" si="9"/>
        <v>92</v>
      </c>
      <c r="B98" s="38"/>
      <c r="C98" s="41"/>
      <c r="D98" s="38"/>
      <c r="E98" s="46"/>
      <c r="F98" s="46"/>
      <c r="G98" s="46"/>
      <c r="H98" s="13"/>
      <c r="I98" s="40"/>
      <c r="J98" s="215" t="s">
        <v>5534</v>
      </c>
      <c r="K98" s="204" t="s">
        <v>129</v>
      </c>
      <c r="L98" s="215" t="s">
        <v>1409</v>
      </c>
      <c r="M98" s="509"/>
      <c r="N98" s="416" t="s">
        <v>504</v>
      </c>
      <c r="O98" s="40"/>
      <c r="P98" s="40"/>
      <c r="Q98" s="40"/>
      <c r="R98" s="40" t="s">
        <v>6</v>
      </c>
      <c r="S98" s="40" t="s">
        <v>6</v>
      </c>
      <c r="T98" s="40"/>
      <c r="U98" s="204" t="s">
        <v>5535</v>
      </c>
      <c r="V98" s="220"/>
      <c r="W98" s="204" t="s">
        <v>133</v>
      </c>
      <c r="X98" s="13"/>
      <c r="Y98" s="13"/>
      <c r="Z98" s="416" t="s">
        <v>6</v>
      </c>
      <c r="AA98" s="414"/>
      <c r="AB98" s="413"/>
      <c r="AC98" s="413"/>
      <c r="AD98" s="413"/>
      <c r="AE98" s="204" t="s">
        <v>133</v>
      </c>
      <c r="AF98" s="13"/>
      <c r="AG98" s="13"/>
      <c r="AH98" s="416" t="s">
        <v>6</v>
      </c>
      <c r="AI98" s="414"/>
      <c r="AJ98" s="413"/>
      <c r="AK98" s="413"/>
      <c r="AL98" s="413"/>
      <c r="AM98" s="43"/>
      <c r="AN98" s="19"/>
      <c r="AO98" s="13"/>
      <c r="AP98" s="13"/>
      <c r="AQ98" s="13"/>
      <c r="AR98" s="13"/>
      <c r="AS98" s="13"/>
      <c r="AT98" s="13"/>
      <c r="AU98" s="13"/>
      <c r="AV98" s="19"/>
      <c r="AW98" s="18"/>
    </row>
    <row r="99" spans="1:49" s="20" customFormat="1" ht="39.6">
      <c r="A99" s="416">
        <f t="shared" si="9"/>
        <v>93</v>
      </c>
      <c r="B99" s="59"/>
      <c r="C99" s="59"/>
      <c r="D99" s="59"/>
      <c r="E99" s="59"/>
      <c r="F99" s="59"/>
      <c r="G99" s="59"/>
      <c r="H99" s="59"/>
      <c r="I99" s="59"/>
      <c r="J99" s="218" t="s">
        <v>5536</v>
      </c>
      <c r="K99" s="204" t="s">
        <v>117</v>
      </c>
      <c r="L99" s="204" t="s">
        <v>4025</v>
      </c>
      <c r="M99" s="204"/>
      <c r="N99" s="40" t="s">
        <v>504</v>
      </c>
      <c r="O99" s="126"/>
      <c r="P99" s="126"/>
      <c r="Q99" s="40"/>
      <c r="R99" s="40" t="s">
        <v>6</v>
      </c>
      <c r="S99" s="40" t="s">
        <v>6</v>
      </c>
      <c r="T99" s="40"/>
      <c r="U99" s="204" t="s">
        <v>4787</v>
      </c>
      <c r="V99" s="206"/>
      <c r="W99" s="215" t="s">
        <v>125</v>
      </c>
      <c r="X99" s="59"/>
      <c r="Y99" s="59"/>
      <c r="Z99" s="40"/>
      <c r="AA99" s="40" t="s">
        <v>6</v>
      </c>
      <c r="AB99" s="218"/>
      <c r="AC99" s="59"/>
      <c r="AD99" s="59"/>
      <c r="AE99" s="215" t="s">
        <v>125</v>
      </c>
      <c r="AF99" s="59"/>
      <c r="AG99" s="59"/>
      <c r="AH99" s="40"/>
      <c r="AI99" s="40" t="s">
        <v>6</v>
      </c>
      <c r="AJ99" s="218"/>
      <c r="AK99" s="59"/>
      <c r="AL99" s="59"/>
      <c r="AM99" s="59"/>
      <c r="AN99" s="59"/>
      <c r="AO99" s="59"/>
      <c r="AP99" s="59"/>
      <c r="AQ99" s="59"/>
      <c r="AR99" s="59"/>
      <c r="AS99" s="59"/>
      <c r="AT99" s="59"/>
      <c r="AU99" s="59"/>
      <c r="AV99" s="59"/>
      <c r="AW99" s="18"/>
    </row>
    <row r="100" spans="1:49" s="20" customFormat="1" ht="39.6">
      <c r="A100" s="416">
        <f t="shared" si="9"/>
        <v>94</v>
      </c>
      <c r="B100" s="59"/>
      <c r="C100" s="59"/>
      <c r="D100" s="59"/>
      <c r="E100" s="59"/>
      <c r="F100" s="59"/>
      <c r="G100" s="59"/>
      <c r="H100" s="59"/>
      <c r="I100" s="59" t="s">
        <v>868</v>
      </c>
      <c r="J100" s="218" t="s">
        <v>5537</v>
      </c>
      <c r="K100" s="232" t="s">
        <v>117</v>
      </c>
      <c r="L100" s="204" t="s">
        <v>729</v>
      </c>
      <c r="M100" s="204"/>
      <c r="N100" s="40" t="s">
        <v>504</v>
      </c>
      <c r="O100" s="126"/>
      <c r="P100" s="126"/>
      <c r="Q100" s="126" t="s">
        <v>6</v>
      </c>
      <c r="R100" s="126" t="s">
        <v>6</v>
      </c>
      <c r="S100" s="126" t="s">
        <v>6</v>
      </c>
      <c r="T100" s="126"/>
      <c r="U100" s="204" t="s">
        <v>5538</v>
      </c>
      <c r="V100" s="206"/>
      <c r="W100" s="232" t="s">
        <v>125</v>
      </c>
      <c r="X100" s="59"/>
      <c r="Y100" s="59"/>
      <c r="Z100" s="59"/>
      <c r="AA100" s="61" t="s">
        <v>6</v>
      </c>
      <c r="AB100" s="15"/>
      <c r="AC100" s="59"/>
      <c r="AD100" s="59"/>
      <c r="AE100" s="232" t="s">
        <v>125</v>
      </c>
      <c r="AF100" s="59"/>
      <c r="AG100" s="59"/>
      <c r="AH100" s="59"/>
      <c r="AI100" s="61" t="s">
        <v>6</v>
      </c>
      <c r="AJ100" s="15"/>
      <c r="AK100" s="59"/>
      <c r="AL100" s="59"/>
      <c r="AM100" s="59"/>
      <c r="AN100" s="59"/>
      <c r="AO100" s="59"/>
      <c r="AP100" s="59"/>
      <c r="AQ100" s="59"/>
      <c r="AR100" s="59"/>
      <c r="AS100" s="59"/>
      <c r="AT100" s="59"/>
      <c r="AU100" s="59"/>
      <c r="AV100" s="59"/>
      <c r="AW100" s="18"/>
    </row>
    <row r="101" spans="1:49" s="20" customFormat="1" ht="26.4">
      <c r="A101" s="416">
        <f t="shared" si="9"/>
        <v>95</v>
      </c>
      <c r="B101" s="59"/>
      <c r="C101" s="59"/>
      <c r="D101" s="59"/>
      <c r="E101" s="59"/>
      <c r="F101" s="59"/>
      <c r="G101" s="59"/>
      <c r="H101" s="59"/>
      <c r="I101" s="59" t="s">
        <v>868</v>
      </c>
      <c r="J101" s="218" t="s">
        <v>5539</v>
      </c>
      <c r="K101" s="232" t="s">
        <v>117</v>
      </c>
      <c r="L101" s="204" t="s">
        <v>3933</v>
      </c>
      <c r="M101" s="204"/>
      <c r="N101" s="40" t="s">
        <v>504</v>
      </c>
      <c r="O101" s="126"/>
      <c r="P101" s="126"/>
      <c r="Q101" s="126" t="s">
        <v>6</v>
      </c>
      <c r="R101" s="126" t="s">
        <v>6</v>
      </c>
      <c r="S101" s="126" t="s">
        <v>6</v>
      </c>
      <c r="T101" s="126"/>
      <c r="U101" s="204" t="s">
        <v>5540</v>
      </c>
      <c r="V101" s="206"/>
      <c r="W101" s="232" t="s">
        <v>125</v>
      </c>
      <c r="X101" s="59"/>
      <c r="Y101" s="59"/>
      <c r="Z101" s="59"/>
      <c r="AA101" s="61" t="s">
        <v>6</v>
      </c>
      <c r="AB101" s="15"/>
      <c r="AC101" s="59"/>
      <c r="AD101" s="59"/>
      <c r="AE101" s="232" t="s">
        <v>125</v>
      </c>
      <c r="AF101" s="59"/>
      <c r="AG101" s="59"/>
      <c r="AH101" s="59"/>
      <c r="AI101" s="61" t="s">
        <v>6</v>
      </c>
      <c r="AJ101" s="15"/>
      <c r="AK101" s="59"/>
      <c r="AL101" s="59"/>
      <c r="AM101" s="59"/>
      <c r="AN101" s="59"/>
      <c r="AO101" s="59"/>
      <c r="AP101" s="59"/>
      <c r="AQ101" s="59"/>
      <c r="AR101" s="59"/>
      <c r="AS101" s="59"/>
      <c r="AT101" s="59"/>
      <c r="AU101" s="59"/>
      <c r="AV101" s="59"/>
      <c r="AW101" s="18"/>
    </row>
    <row r="102" spans="1:49" s="20" customFormat="1" ht="26.4">
      <c r="A102" s="416">
        <f t="shared" si="9"/>
        <v>96</v>
      </c>
      <c r="B102" s="59"/>
      <c r="C102" s="59"/>
      <c r="D102" s="59"/>
      <c r="E102" s="59"/>
      <c r="F102" s="59"/>
      <c r="G102" s="59"/>
      <c r="H102" s="59"/>
      <c r="I102" s="59" t="s">
        <v>868</v>
      </c>
      <c r="J102" s="218" t="s">
        <v>5541</v>
      </c>
      <c r="K102" s="232" t="s">
        <v>117</v>
      </c>
      <c r="L102" s="204" t="s">
        <v>5542</v>
      </c>
      <c r="M102" s="204"/>
      <c r="N102" s="40" t="s">
        <v>504</v>
      </c>
      <c r="O102" s="126"/>
      <c r="P102" s="126"/>
      <c r="Q102" s="126" t="s">
        <v>6</v>
      </c>
      <c r="R102" s="126" t="s">
        <v>6</v>
      </c>
      <c r="S102" s="126" t="s">
        <v>6</v>
      </c>
      <c r="T102" s="126"/>
      <c r="U102" s="204" t="s">
        <v>5540</v>
      </c>
      <c r="V102" s="206"/>
      <c r="W102" s="232" t="s">
        <v>125</v>
      </c>
      <c r="X102" s="59"/>
      <c r="Y102" s="59"/>
      <c r="Z102" s="59"/>
      <c r="AA102" s="61" t="s">
        <v>6</v>
      </c>
      <c r="AB102" s="15"/>
      <c r="AC102" s="59"/>
      <c r="AD102" s="59"/>
      <c r="AE102" s="232" t="s">
        <v>125</v>
      </c>
      <c r="AF102" s="59"/>
      <c r="AG102" s="59"/>
      <c r="AH102" s="59"/>
      <c r="AI102" s="61" t="s">
        <v>6</v>
      </c>
      <c r="AJ102" s="15"/>
      <c r="AK102" s="59"/>
      <c r="AL102" s="59"/>
      <c r="AM102" s="59"/>
      <c r="AN102" s="59"/>
      <c r="AO102" s="59"/>
      <c r="AP102" s="59"/>
      <c r="AQ102" s="59"/>
      <c r="AR102" s="59"/>
      <c r="AS102" s="59"/>
      <c r="AT102" s="59"/>
      <c r="AU102" s="59"/>
      <c r="AV102" s="59"/>
      <c r="AW102" s="18"/>
    </row>
    <row r="103" spans="1:49" s="20" customFormat="1" ht="26.4">
      <c r="A103" s="416">
        <f t="shared" si="9"/>
        <v>97</v>
      </c>
      <c r="B103" s="59"/>
      <c r="C103" s="59"/>
      <c r="D103" s="59"/>
      <c r="E103" s="59"/>
      <c r="F103" s="59"/>
      <c r="G103" s="59"/>
      <c r="H103" s="59"/>
      <c r="I103" s="59"/>
      <c r="J103" s="218" t="s">
        <v>5543</v>
      </c>
      <c r="K103" s="204" t="s">
        <v>117</v>
      </c>
      <c r="L103" s="204" t="s">
        <v>735</v>
      </c>
      <c r="M103" s="204"/>
      <c r="N103" s="40" t="s">
        <v>504</v>
      </c>
      <c r="O103" s="126"/>
      <c r="P103" s="126"/>
      <c r="Q103" s="40" t="s">
        <v>6</v>
      </c>
      <c r="R103" s="40" t="s">
        <v>6</v>
      </c>
      <c r="S103" s="40" t="s">
        <v>6</v>
      </c>
      <c r="T103" s="40"/>
      <c r="U103" s="204" t="s">
        <v>5540</v>
      </c>
      <c r="V103" s="206"/>
      <c r="W103" s="204" t="s">
        <v>125</v>
      </c>
      <c r="X103" s="59"/>
      <c r="Y103" s="59"/>
      <c r="Z103" s="59"/>
      <c r="AA103" s="40" t="s">
        <v>6</v>
      </c>
      <c r="AB103" s="218"/>
      <c r="AC103" s="59"/>
      <c r="AD103" s="218"/>
      <c r="AE103" s="204" t="s">
        <v>125</v>
      </c>
      <c r="AF103" s="59"/>
      <c r="AG103" s="59"/>
      <c r="AH103" s="59"/>
      <c r="AI103" s="40" t="s">
        <v>6</v>
      </c>
      <c r="AJ103" s="218"/>
      <c r="AK103" s="59"/>
      <c r="AL103" s="218"/>
      <c r="AM103" s="59"/>
      <c r="AN103" s="59"/>
      <c r="AO103" s="59"/>
      <c r="AP103" s="59"/>
      <c r="AQ103" s="59"/>
      <c r="AR103" s="59"/>
      <c r="AS103" s="59"/>
      <c r="AT103" s="59"/>
      <c r="AU103" s="59"/>
      <c r="AV103" s="59"/>
      <c r="AW103" s="18"/>
    </row>
    <row r="104" spans="1:49" s="20" customFormat="1" ht="26.4">
      <c r="A104" s="416">
        <f t="shared" si="9"/>
        <v>98</v>
      </c>
      <c r="B104" s="59"/>
      <c r="C104" s="59"/>
      <c r="D104" s="59"/>
      <c r="E104" s="59"/>
      <c r="F104" s="59"/>
      <c r="G104" s="59"/>
      <c r="H104" s="59"/>
      <c r="I104" s="59" t="s">
        <v>868</v>
      </c>
      <c r="J104" s="218" t="s">
        <v>5544</v>
      </c>
      <c r="K104" s="232" t="s">
        <v>117</v>
      </c>
      <c r="L104" s="204" t="s">
        <v>3949</v>
      </c>
      <c r="M104" s="204"/>
      <c r="N104" s="40" t="s">
        <v>504</v>
      </c>
      <c r="O104" s="126"/>
      <c r="P104" s="126"/>
      <c r="Q104" s="40" t="s">
        <v>6</v>
      </c>
      <c r="R104" s="40" t="s">
        <v>6</v>
      </c>
      <c r="S104" s="40" t="s">
        <v>6</v>
      </c>
      <c r="T104" s="40"/>
      <c r="U104" s="204" t="s">
        <v>5545</v>
      </c>
      <c r="V104" s="206"/>
      <c r="W104" s="232" t="s">
        <v>125</v>
      </c>
      <c r="X104" s="59"/>
      <c r="Y104" s="59"/>
      <c r="Z104" s="59"/>
      <c r="AA104" s="40" t="s">
        <v>6</v>
      </c>
      <c r="AB104" s="15"/>
      <c r="AC104" s="59"/>
      <c r="AD104" s="59"/>
      <c r="AE104" s="232" t="s">
        <v>125</v>
      </c>
      <c r="AF104" s="59"/>
      <c r="AG104" s="59"/>
      <c r="AH104" s="59"/>
      <c r="AI104" s="40" t="s">
        <v>6</v>
      </c>
      <c r="AJ104" s="15"/>
      <c r="AK104" s="59"/>
      <c r="AL104" s="59"/>
      <c r="AM104" s="59"/>
      <c r="AN104" s="59"/>
      <c r="AO104" s="59"/>
      <c r="AP104" s="59"/>
      <c r="AQ104" s="59"/>
      <c r="AR104" s="59"/>
      <c r="AS104" s="59"/>
      <c r="AT104" s="59"/>
      <c r="AU104" s="59"/>
      <c r="AV104" s="59"/>
      <c r="AW104" s="18"/>
    </row>
    <row r="105" spans="1:49" ht="15">
      <c r="A105" s="452">
        <f t="shared" ref="A105:A110" si="10">ROW() - 6</f>
        <v>99</v>
      </c>
      <c r="B105" s="62"/>
      <c r="C105" s="62"/>
      <c r="D105" s="62"/>
      <c r="E105" s="62"/>
      <c r="F105" s="62"/>
      <c r="G105" s="62"/>
      <c r="H105" s="62"/>
      <c r="I105" s="62"/>
      <c r="J105" s="499" t="s">
        <v>821</v>
      </c>
      <c r="K105" s="63"/>
      <c r="L105" s="143"/>
      <c r="M105" s="63"/>
      <c r="N105" s="139"/>
      <c r="O105" s="139"/>
      <c r="P105" s="139"/>
      <c r="Q105" s="139"/>
      <c r="R105" s="139"/>
      <c r="S105" s="139"/>
      <c r="T105" s="139"/>
      <c r="U105" s="354"/>
      <c r="V105" s="311"/>
      <c r="W105" s="63"/>
      <c r="X105" s="63"/>
      <c r="Y105" s="63"/>
      <c r="Z105" s="63"/>
      <c r="AA105" s="63"/>
      <c r="AB105" s="312"/>
      <c r="AC105" s="63"/>
      <c r="AD105" s="63"/>
      <c r="AE105" s="63"/>
      <c r="AF105" s="63"/>
      <c r="AG105" s="63"/>
      <c r="AH105" s="63"/>
      <c r="AI105" s="63"/>
      <c r="AJ105" s="312"/>
      <c r="AK105" s="63"/>
      <c r="AL105" s="63"/>
      <c r="AM105" s="63"/>
      <c r="AN105" s="63"/>
      <c r="AO105" s="63"/>
      <c r="AP105" s="63"/>
      <c r="AQ105" s="63"/>
      <c r="AR105" s="63"/>
      <c r="AS105" s="63"/>
      <c r="AT105" s="63"/>
      <c r="AU105" s="63"/>
      <c r="AV105" s="63"/>
      <c r="AW105" s="18">
        <f t="shared" ref="AW105:AW109" si="11">LEN(L105)</f>
        <v>0</v>
      </c>
    </row>
    <row r="106" spans="1:49" s="20" customFormat="1" ht="26.4">
      <c r="A106" s="40">
        <f t="shared" si="10"/>
        <v>100</v>
      </c>
      <c r="B106" s="59"/>
      <c r="C106" s="59"/>
      <c r="D106" s="59"/>
      <c r="E106" s="59"/>
      <c r="F106" s="59"/>
      <c r="G106" s="59"/>
      <c r="H106" s="59"/>
      <c r="I106" s="59"/>
      <c r="J106" s="376" t="s">
        <v>3195</v>
      </c>
      <c r="K106" s="204" t="s">
        <v>163</v>
      </c>
      <c r="L106" s="215" t="s">
        <v>3196</v>
      </c>
      <c r="M106" s="215"/>
      <c r="N106" s="40" t="s">
        <v>832</v>
      </c>
      <c r="O106" s="40"/>
      <c r="P106" s="40" t="s">
        <v>833</v>
      </c>
      <c r="Q106" s="40"/>
      <c r="R106" s="40"/>
      <c r="S106" s="40"/>
      <c r="T106" s="126" t="s">
        <v>6</v>
      </c>
      <c r="U106" s="204" t="s">
        <v>3194</v>
      </c>
      <c r="V106" s="204"/>
      <c r="W106" s="204" t="s">
        <v>163</v>
      </c>
      <c r="X106" s="13"/>
      <c r="Y106" s="40" t="s">
        <v>833</v>
      </c>
      <c r="Z106" s="13"/>
      <c r="AA106" s="40"/>
      <c r="AB106" s="253" t="s">
        <v>835</v>
      </c>
      <c r="AC106" s="59"/>
      <c r="AD106" s="59"/>
      <c r="AE106" s="204" t="s">
        <v>163</v>
      </c>
      <c r="AF106" s="13"/>
      <c r="AG106" s="40" t="s">
        <v>833</v>
      </c>
      <c r="AH106" s="13"/>
      <c r="AI106" s="40"/>
      <c r="AJ106" s="253" t="s">
        <v>835</v>
      </c>
      <c r="AK106" s="59"/>
      <c r="AL106" s="59"/>
      <c r="AM106" s="59"/>
      <c r="AN106" s="59"/>
      <c r="AO106" s="59"/>
      <c r="AP106" s="59"/>
      <c r="AQ106" s="59"/>
      <c r="AR106" s="59"/>
      <c r="AS106" s="59"/>
      <c r="AT106" s="59"/>
      <c r="AU106" s="59"/>
      <c r="AV106" s="59"/>
      <c r="AW106" s="18">
        <f t="shared" si="11"/>
        <v>25</v>
      </c>
    </row>
    <row r="107" spans="1:49" s="20" customFormat="1" ht="26.4">
      <c r="A107" s="40">
        <f t="shared" si="10"/>
        <v>101</v>
      </c>
      <c r="B107" s="59"/>
      <c r="C107" s="59"/>
      <c r="D107" s="59"/>
      <c r="E107" s="59"/>
      <c r="F107" s="59"/>
      <c r="G107" s="59"/>
      <c r="H107" s="59"/>
      <c r="I107" s="59"/>
      <c r="J107" s="376" t="s">
        <v>3197</v>
      </c>
      <c r="K107" s="204" t="s">
        <v>163</v>
      </c>
      <c r="L107" s="215" t="s">
        <v>3198</v>
      </c>
      <c r="M107" s="215"/>
      <c r="N107" s="40" t="s">
        <v>838</v>
      </c>
      <c r="O107" s="40"/>
      <c r="P107" s="40" t="s">
        <v>833</v>
      </c>
      <c r="Q107" s="40"/>
      <c r="R107" s="40"/>
      <c r="S107" s="40"/>
      <c r="T107" s="126" t="s">
        <v>6</v>
      </c>
      <c r="U107" s="204" t="s">
        <v>3194</v>
      </c>
      <c r="V107" s="204"/>
      <c r="W107" s="204" t="s">
        <v>163</v>
      </c>
      <c r="X107" s="13"/>
      <c r="Y107" s="40" t="s">
        <v>833</v>
      </c>
      <c r="Z107" s="13"/>
      <c r="AA107" s="40"/>
      <c r="AB107" s="253"/>
      <c r="AC107" s="59"/>
      <c r="AD107" s="59"/>
      <c r="AE107" s="204" t="s">
        <v>163</v>
      </c>
      <c r="AF107" s="13"/>
      <c r="AG107" s="40" t="s">
        <v>833</v>
      </c>
      <c r="AH107" s="13"/>
      <c r="AI107" s="40"/>
      <c r="AJ107" s="253"/>
      <c r="AK107" s="59"/>
      <c r="AL107" s="59"/>
      <c r="AM107" s="59" t="s">
        <v>3199</v>
      </c>
      <c r="AN107" s="59"/>
      <c r="AO107" s="59"/>
      <c r="AP107" s="59"/>
      <c r="AQ107" s="59"/>
      <c r="AR107" s="59"/>
      <c r="AS107" s="59"/>
      <c r="AT107" s="59"/>
      <c r="AU107" s="59"/>
      <c r="AV107" s="59"/>
      <c r="AW107" s="18">
        <f t="shared" si="11"/>
        <v>25</v>
      </c>
    </row>
    <row r="108" spans="1:49" s="20" customFormat="1" ht="26.4">
      <c r="A108" s="40">
        <f t="shared" si="10"/>
        <v>102</v>
      </c>
      <c r="B108" s="59"/>
      <c r="C108" s="59"/>
      <c r="D108" s="59"/>
      <c r="E108" s="59"/>
      <c r="F108" s="59"/>
      <c r="G108" s="59"/>
      <c r="H108" s="59"/>
      <c r="I108" s="59"/>
      <c r="J108" s="215" t="s">
        <v>3200</v>
      </c>
      <c r="K108" s="204" t="s">
        <v>163</v>
      </c>
      <c r="L108" s="215" t="s">
        <v>3201</v>
      </c>
      <c r="M108" s="215"/>
      <c r="N108" s="40" t="s">
        <v>842</v>
      </c>
      <c r="O108" s="40"/>
      <c r="P108" s="40" t="s">
        <v>833</v>
      </c>
      <c r="Q108" s="40"/>
      <c r="R108" s="40"/>
      <c r="S108" s="40"/>
      <c r="T108" s="126" t="s">
        <v>6</v>
      </c>
      <c r="U108" s="204" t="s">
        <v>3194</v>
      </c>
      <c r="V108" s="204"/>
      <c r="W108" s="204" t="s">
        <v>163</v>
      </c>
      <c r="X108" s="13"/>
      <c r="Y108" s="40" t="s">
        <v>833</v>
      </c>
      <c r="Z108" s="13"/>
      <c r="AA108" s="40"/>
      <c r="AB108" s="253" t="s">
        <v>835</v>
      </c>
      <c r="AC108" s="59"/>
      <c r="AD108" s="59"/>
      <c r="AE108" s="204" t="s">
        <v>163</v>
      </c>
      <c r="AF108" s="13"/>
      <c r="AG108" s="40" t="s">
        <v>833</v>
      </c>
      <c r="AH108" s="13"/>
      <c r="AI108" s="40"/>
      <c r="AJ108" s="253" t="s">
        <v>835</v>
      </c>
      <c r="AK108" s="59"/>
      <c r="AL108" s="59"/>
      <c r="AM108" s="59"/>
      <c r="AN108" s="59"/>
      <c r="AO108" s="59"/>
      <c r="AP108" s="59"/>
      <c r="AQ108" s="59"/>
      <c r="AR108" s="59"/>
      <c r="AS108" s="59"/>
      <c r="AT108" s="59"/>
      <c r="AU108" s="59"/>
      <c r="AV108" s="59"/>
      <c r="AW108" s="18">
        <f t="shared" si="11"/>
        <v>25</v>
      </c>
    </row>
    <row r="109" spans="1:49" s="20" customFormat="1" ht="25.5" customHeight="1">
      <c r="A109" s="40">
        <f t="shared" si="10"/>
        <v>103</v>
      </c>
      <c r="B109" s="59"/>
      <c r="C109" s="59"/>
      <c r="D109" s="59"/>
      <c r="E109" s="59"/>
      <c r="F109" s="59"/>
      <c r="G109" s="59"/>
      <c r="H109" s="59"/>
      <c r="I109" s="59"/>
      <c r="J109" s="215" t="s">
        <v>3202</v>
      </c>
      <c r="K109" s="204" t="s">
        <v>163</v>
      </c>
      <c r="L109" s="215" t="s">
        <v>3203</v>
      </c>
      <c r="M109" s="215"/>
      <c r="N109" s="126" t="s">
        <v>2101</v>
      </c>
      <c r="O109" s="126"/>
      <c r="P109" s="126" t="s">
        <v>2531</v>
      </c>
      <c r="Q109" s="126"/>
      <c r="R109" s="126"/>
      <c r="S109" s="126"/>
      <c r="T109" s="126" t="s">
        <v>6</v>
      </c>
      <c r="U109" s="217" t="s">
        <v>3204</v>
      </c>
      <c r="V109" s="217"/>
      <c r="W109" s="204" t="s">
        <v>163</v>
      </c>
      <c r="X109" s="59"/>
      <c r="Y109" s="61" t="s">
        <v>2531</v>
      </c>
      <c r="Z109" s="59"/>
      <c r="AA109" s="13"/>
      <c r="AB109" s="217" t="s">
        <v>2530</v>
      </c>
      <c r="AC109" s="59"/>
      <c r="AD109" s="59"/>
      <c r="AE109" s="204" t="s">
        <v>163</v>
      </c>
      <c r="AF109" s="59"/>
      <c r="AG109" s="61" t="s">
        <v>2531</v>
      </c>
      <c r="AH109" s="59"/>
      <c r="AI109" s="13"/>
      <c r="AJ109" s="217" t="s">
        <v>2530</v>
      </c>
      <c r="AK109" s="59"/>
      <c r="AL109" s="59"/>
      <c r="AM109" s="59" t="s">
        <v>3205</v>
      </c>
      <c r="AN109" s="59"/>
      <c r="AO109" s="59"/>
      <c r="AP109" s="59"/>
      <c r="AQ109" s="59"/>
      <c r="AR109" s="59"/>
      <c r="AS109" s="59"/>
      <c r="AT109" s="59"/>
      <c r="AU109" s="59"/>
      <c r="AV109" s="59"/>
      <c r="AW109" s="18">
        <f t="shared" si="11"/>
        <v>28</v>
      </c>
    </row>
    <row r="110" spans="1:49" s="20" customFormat="1" ht="26.4">
      <c r="A110" s="40">
        <f t="shared" si="10"/>
        <v>104</v>
      </c>
      <c r="B110" s="59"/>
      <c r="C110" s="59"/>
      <c r="D110" s="59"/>
      <c r="E110" s="59"/>
      <c r="F110" s="59"/>
      <c r="G110" s="59"/>
      <c r="H110" s="59"/>
      <c r="I110" s="59"/>
      <c r="J110" s="376" t="s">
        <v>5546</v>
      </c>
      <c r="K110" s="204" t="s">
        <v>163</v>
      </c>
      <c r="L110" s="215" t="s">
        <v>5547</v>
      </c>
      <c r="M110" s="215"/>
      <c r="N110" s="40" t="s">
        <v>5548</v>
      </c>
      <c r="O110" s="40"/>
      <c r="P110" s="40" t="s">
        <v>833</v>
      </c>
      <c r="Q110" s="40"/>
      <c r="R110" s="40"/>
      <c r="S110" s="40"/>
      <c r="T110" s="126"/>
      <c r="U110" s="204" t="s">
        <v>3194</v>
      </c>
      <c r="V110" s="204"/>
      <c r="W110" s="204" t="s">
        <v>163</v>
      </c>
      <c r="X110" s="13"/>
      <c r="Y110" s="40" t="s">
        <v>833</v>
      </c>
      <c r="Z110" s="13"/>
      <c r="AA110" s="40"/>
      <c r="AB110" s="253"/>
      <c r="AC110" s="59"/>
      <c r="AD110" s="59"/>
      <c r="AE110" s="204" t="s">
        <v>163</v>
      </c>
      <c r="AF110" s="13"/>
      <c r="AG110" s="40" t="s">
        <v>833</v>
      </c>
      <c r="AH110" s="13"/>
      <c r="AI110" s="40"/>
      <c r="AJ110" s="253"/>
      <c r="AK110" s="59"/>
      <c r="AL110" s="59"/>
      <c r="AM110" s="59"/>
      <c r="AN110" s="59"/>
      <c r="AO110" s="59"/>
      <c r="AP110" s="59"/>
      <c r="AQ110" s="59"/>
      <c r="AR110" s="59"/>
      <c r="AS110" s="59"/>
      <c r="AT110" s="59"/>
      <c r="AU110" s="59"/>
      <c r="AV110" s="59"/>
      <c r="AW110" s="18"/>
    </row>
    <row r="111" spans="1:49" ht="15">
      <c r="A111" s="452">
        <f>ROW() - 6</f>
        <v>105</v>
      </c>
      <c r="B111" s="62"/>
      <c r="C111" s="62"/>
      <c r="D111" s="62"/>
      <c r="E111" s="62"/>
      <c r="F111" s="62"/>
      <c r="G111" s="62"/>
      <c r="H111" s="62"/>
      <c r="I111" s="62"/>
      <c r="J111" s="499" t="s">
        <v>858</v>
      </c>
      <c r="K111" s="63"/>
      <c r="L111" s="143"/>
      <c r="M111" s="63"/>
      <c r="N111" s="139"/>
      <c r="O111" s="139"/>
      <c r="P111" s="139"/>
      <c r="Q111" s="139"/>
      <c r="R111" s="139"/>
      <c r="S111" s="139"/>
      <c r="T111" s="139"/>
      <c r="U111" s="354"/>
      <c r="V111" s="311"/>
      <c r="W111" s="63"/>
      <c r="X111" s="139"/>
      <c r="Y111" s="139"/>
      <c r="Z111" s="139"/>
      <c r="AA111" s="139"/>
      <c r="AB111" s="312"/>
      <c r="AC111" s="63"/>
      <c r="AD111" s="63"/>
      <c r="AE111" s="63"/>
      <c r="AF111" s="139"/>
      <c r="AG111" s="139"/>
      <c r="AH111" s="139"/>
      <c r="AI111" s="139"/>
      <c r="AJ111" s="312"/>
      <c r="AK111" s="63"/>
      <c r="AL111" s="63"/>
      <c r="AM111" s="63"/>
      <c r="AN111" s="63"/>
      <c r="AO111" s="63"/>
      <c r="AP111" s="63"/>
      <c r="AQ111" s="63"/>
      <c r="AR111" s="63"/>
      <c r="AS111" s="63"/>
      <c r="AT111" s="63"/>
      <c r="AU111" s="63"/>
      <c r="AV111" s="63"/>
      <c r="AW111" s="18">
        <f>LEN(L111)</f>
        <v>0</v>
      </c>
    </row>
    <row r="112" spans="1:49" s="20" customFormat="1" ht="26.4">
      <c r="A112" s="40">
        <f>ROW() - 6</f>
        <v>106</v>
      </c>
      <c r="B112" s="59"/>
      <c r="C112" s="59"/>
      <c r="D112" s="59"/>
      <c r="E112" s="59"/>
      <c r="F112" s="59"/>
      <c r="G112" s="59"/>
      <c r="H112" s="59"/>
      <c r="I112" s="59"/>
      <c r="J112" s="215" t="s">
        <v>3206</v>
      </c>
      <c r="K112" s="204"/>
      <c r="L112" s="204" t="s">
        <v>863</v>
      </c>
      <c r="M112" s="204"/>
      <c r="N112" s="40" t="s">
        <v>413</v>
      </c>
      <c r="O112" s="40" t="s">
        <v>862</v>
      </c>
      <c r="P112" s="40"/>
      <c r="Q112" s="40" t="s">
        <v>6</v>
      </c>
      <c r="R112" s="40"/>
      <c r="S112" s="40"/>
      <c r="T112" s="40" t="s">
        <v>6</v>
      </c>
      <c r="U112" s="204" t="s">
        <v>3207</v>
      </c>
      <c r="V112" s="204"/>
      <c r="W112" s="204"/>
      <c r="X112" s="40" t="s">
        <v>862</v>
      </c>
      <c r="Y112" s="40"/>
      <c r="Z112" s="126"/>
      <c r="AA112" s="126"/>
      <c r="AB112" s="15"/>
      <c r="AC112" s="59"/>
      <c r="AD112" s="59"/>
      <c r="AE112" s="204"/>
      <c r="AF112" s="40" t="s">
        <v>862</v>
      </c>
      <c r="AG112" s="40"/>
      <c r="AH112" s="126"/>
      <c r="AI112" s="126"/>
      <c r="AJ112" s="15"/>
      <c r="AK112" s="59"/>
      <c r="AL112" s="59"/>
      <c r="AM112" s="59"/>
      <c r="AN112" s="59"/>
      <c r="AO112" s="59"/>
      <c r="AP112" s="59"/>
      <c r="AQ112" s="59"/>
      <c r="AR112" s="59"/>
      <c r="AS112" s="59"/>
      <c r="AT112" s="59"/>
      <c r="AU112" s="59"/>
      <c r="AV112" s="59"/>
      <c r="AW112" s="18">
        <f t="shared" ref="AW112" si="12">LEN(L112)</f>
        <v>26</v>
      </c>
    </row>
    <row r="113" spans="1:49" s="20" customFormat="1" ht="30" customHeight="1">
      <c r="A113" s="40">
        <f>ROW() - 6</f>
        <v>107</v>
      </c>
      <c r="B113" s="59"/>
      <c r="C113" s="59"/>
      <c r="D113" s="59"/>
      <c r="E113" s="59"/>
      <c r="F113" s="59"/>
      <c r="G113" s="59"/>
      <c r="H113" s="59"/>
      <c r="I113" s="59"/>
      <c r="J113" s="215" t="s">
        <v>3174</v>
      </c>
      <c r="K113" s="204"/>
      <c r="L113" s="204" t="s">
        <v>1612</v>
      </c>
      <c r="M113" s="367"/>
      <c r="N113" s="226" t="s">
        <v>407</v>
      </c>
      <c r="O113" s="126" t="s">
        <v>861</v>
      </c>
      <c r="P113" s="126"/>
      <c r="Q113" s="40"/>
      <c r="R113" s="40"/>
      <c r="S113" s="40"/>
      <c r="T113" s="226" t="s">
        <v>6</v>
      </c>
      <c r="U113" s="204"/>
      <c r="V113" s="206"/>
      <c r="W113" s="204"/>
      <c r="X113" s="40" t="s">
        <v>861</v>
      </c>
      <c r="Y113" s="59"/>
      <c r="Z113" s="226"/>
      <c r="AA113" s="404"/>
      <c r="AB113" s="361"/>
      <c r="AC113" s="260"/>
      <c r="AD113" s="260"/>
      <c r="AE113" s="204" t="s">
        <v>65</v>
      </c>
      <c r="AF113" s="59"/>
      <c r="AG113" s="59"/>
      <c r="AH113" s="226" t="s">
        <v>6</v>
      </c>
      <c r="AI113" s="404" t="s">
        <v>6</v>
      </c>
      <c r="AJ113" s="361"/>
      <c r="AK113" s="260"/>
      <c r="AL113" s="260"/>
      <c r="AM113" s="59"/>
      <c r="AN113" s="59"/>
      <c r="AO113" s="59"/>
      <c r="AP113" s="59"/>
      <c r="AQ113" s="59"/>
      <c r="AR113" s="59"/>
      <c r="AS113" s="59"/>
      <c r="AT113" s="59"/>
      <c r="AU113" s="59"/>
      <c r="AV113" s="59"/>
      <c r="AW113" s="18">
        <f t="shared" ref="AW113:AW126" si="13">LEN(L113)</f>
        <v>32</v>
      </c>
    </row>
    <row r="114" spans="1:49" s="20" customFormat="1" ht="15">
      <c r="A114" s="40">
        <f>ROW() - 6</f>
        <v>108</v>
      </c>
      <c r="B114" s="59"/>
      <c r="C114" s="59"/>
      <c r="D114" s="59"/>
      <c r="E114" s="59"/>
      <c r="F114" s="59"/>
      <c r="G114" s="59"/>
      <c r="H114" s="59"/>
      <c r="I114" s="59"/>
      <c r="J114" s="215" t="s">
        <v>5502</v>
      </c>
      <c r="K114" s="204"/>
      <c r="L114" s="204" t="s">
        <v>863</v>
      </c>
      <c r="M114" s="204"/>
      <c r="N114" s="40" t="s">
        <v>413</v>
      </c>
      <c r="O114" s="40" t="s">
        <v>862</v>
      </c>
      <c r="P114" s="40"/>
      <c r="Q114" s="40"/>
      <c r="R114" s="40"/>
      <c r="S114" s="40"/>
      <c r="T114" s="126"/>
      <c r="U114" s="205"/>
      <c r="V114" s="204"/>
      <c r="W114" s="204"/>
      <c r="X114" s="40" t="s">
        <v>862</v>
      </c>
      <c r="Y114" s="40"/>
      <c r="Z114" s="126"/>
      <c r="AA114" s="126"/>
      <c r="AB114" s="15"/>
      <c r="AC114" s="59"/>
      <c r="AD114" s="59"/>
      <c r="AE114" s="204"/>
      <c r="AF114" s="40" t="s">
        <v>862</v>
      </c>
      <c r="AG114" s="40"/>
      <c r="AH114" s="126"/>
      <c r="AI114" s="126"/>
      <c r="AJ114" s="15"/>
      <c r="AK114" s="59"/>
      <c r="AL114" s="59"/>
      <c r="AM114" s="59"/>
      <c r="AN114" s="59"/>
      <c r="AO114" s="59"/>
      <c r="AP114" s="59"/>
      <c r="AQ114" s="59"/>
      <c r="AR114" s="59"/>
      <c r="AS114" s="59"/>
      <c r="AT114" s="59"/>
      <c r="AU114" s="59"/>
      <c r="AV114" s="59"/>
      <c r="AW114" s="18"/>
    </row>
    <row r="115" spans="1:49" ht="15">
      <c r="J115" s="398"/>
      <c r="K115" s="54"/>
      <c r="L115" s="561"/>
      <c r="M115" s="561"/>
      <c r="N115" s="68"/>
      <c r="O115" s="68"/>
      <c r="P115" s="68"/>
      <c r="Q115" s="68"/>
      <c r="R115" s="68"/>
      <c r="S115" s="68"/>
      <c r="T115" s="68"/>
      <c r="U115" s="161"/>
      <c r="V115" s="54"/>
      <c r="W115" s="54"/>
      <c r="X115" s="54"/>
      <c r="Y115" s="54"/>
      <c r="Z115" s="54"/>
      <c r="AA115" s="55"/>
      <c r="AB115" s="55"/>
      <c r="AC115" s="55"/>
      <c r="AD115" s="55"/>
      <c r="AE115" s="54"/>
      <c r="AF115" s="54"/>
      <c r="AG115" s="54"/>
      <c r="AH115" s="54"/>
      <c r="AI115" s="55"/>
      <c r="AJ115" s="54"/>
      <c r="AW115" s="18">
        <f t="shared" si="13"/>
        <v>0</v>
      </c>
    </row>
    <row r="116" spans="1:49" ht="15">
      <c r="J116" s="398"/>
      <c r="K116" s="54"/>
      <c r="L116" s="561"/>
      <c r="M116" s="561"/>
      <c r="N116" s="68"/>
      <c r="O116" s="68"/>
      <c r="P116" s="68"/>
      <c r="Q116" s="68"/>
      <c r="R116" s="68"/>
      <c r="S116" s="68"/>
      <c r="T116" s="68"/>
      <c r="U116" s="161"/>
      <c r="V116" s="54"/>
      <c r="W116" s="54"/>
      <c r="X116" s="54"/>
      <c r="Y116" s="54"/>
      <c r="Z116" s="54"/>
      <c r="AA116" s="55"/>
      <c r="AB116" s="55"/>
      <c r="AC116" s="55"/>
      <c r="AD116" s="55"/>
      <c r="AE116" s="54"/>
      <c r="AF116" s="54"/>
      <c r="AG116" s="54"/>
      <c r="AH116" s="54"/>
      <c r="AI116" s="55"/>
      <c r="AJ116" s="54"/>
      <c r="AW116" s="18">
        <f t="shared" si="13"/>
        <v>0</v>
      </c>
    </row>
    <row r="117" spans="1:49" ht="15">
      <c r="J117" s="398"/>
      <c r="K117" s="54"/>
      <c r="L117" s="561"/>
      <c r="M117" s="561"/>
      <c r="N117" s="68"/>
      <c r="O117" s="68"/>
      <c r="P117" s="68"/>
      <c r="Q117" s="68"/>
      <c r="R117" s="68"/>
      <c r="S117" s="68"/>
      <c r="T117" s="68"/>
      <c r="U117" s="161"/>
      <c r="V117" s="54"/>
      <c r="W117" s="54"/>
      <c r="X117" s="54"/>
      <c r="Y117" s="54"/>
      <c r="Z117" s="54"/>
      <c r="AA117" s="55"/>
      <c r="AB117" s="55"/>
      <c r="AC117" s="55"/>
      <c r="AD117" s="55"/>
      <c r="AE117" s="54"/>
      <c r="AF117" s="54"/>
      <c r="AG117" s="54"/>
      <c r="AH117" s="54"/>
      <c r="AI117" s="55"/>
      <c r="AJ117" s="54"/>
      <c r="AW117" s="18">
        <f t="shared" si="13"/>
        <v>0</v>
      </c>
    </row>
    <row r="118" spans="1:49" ht="15">
      <c r="J118" s="398"/>
      <c r="K118" s="54"/>
      <c r="L118" s="561"/>
      <c r="M118" s="561"/>
      <c r="N118" s="68"/>
      <c r="O118" s="68"/>
      <c r="P118" s="68"/>
      <c r="Q118" s="68"/>
      <c r="R118" s="68"/>
      <c r="S118" s="68"/>
      <c r="T118" s="68"/>
      <c r="U118" s="161"/>
      <c r="V118" s="54"/>
      <c r="W118" s="54"/>
      <c r="X118" s="54"/>
      <c r="Y118" s="54"/>
      <c r="Z118" s="54"/>
      <c r="AA118" s="55"/>
      <c r="AB118" s="55"/>
      <c r="AC118" s="55"/>
      <c r="AD118" s="55"/>
      <c r="AE118" s="54"/>
      <c r="AF118" s="54"/>
      <c r="AG118" s="54"/>
      <c r="AH118" s="54"/>
      <c r="AI118" s="55"/>
      <c r="AJ118" s="54"/>
      <c r="AW118" s="18">
        <f t="shared" si="13"/>
        <v>0</v>
      </c>
    </row>
    <row r="119" spans="1:49" ht="15">
      <c r="J119" s="398"/>
      <c r="K119" s="54"/>
      <c r="L119" s="561"/>
      <c r="M119" s="561"/>
      <c r="N119" s="68"/>
      <c r="O119" s="68"/>
      <c r="P119" s="68"/>
      <c r="Q119" s="68"/>
      <c r="R119" s="68"/>
      <c r="S119" s="68"/>
      <c r="T119" s="68"/>
      <c r="U119" s="161"/>
      <c r="V119" s="54"/>
      <c r="W119" s="54"/>
      <c r="X119" s="54"/>
      <c r="Y119" s="54"/>
      <c r="Z119" s="54"/>
      <c r="AA119" s="55"/>
      <c r="AB119" s="55"/>
      <c r="AC119" s="55"/>
      <c r="AD119" s="55"/>
      <c r="AE119" s="54"/>
      <c r="AF119" s="54"/>
      <c r="AG119" s="54"/>
      <c r="AH119" s="54"/>
      <c r="AI119" s="55"/>
      <c r="AJ119" s="54"/>
      <c r="AW119" s="18">
        <f t="shared" si="13"/>
        <v>0</v>
      </c>
    </row>
    <row r="120" spans="1:49" ht="15">
      <c r="J120" s="398"/>
      <c r="K120" s="54"/>
      <c r="L120" s="561"/>
      <c r="M120" s="561"/>
      <c r="N120" s="68"/>
      <c r="O120" s="68"/>
      <c r="P120" s="68"/>
      <c r="Q120" s="68"/>
      <c r="R120" s="68"/>
      <c r="S120" s="68"/>
      <c r="T120" s="68"/>
      <c r="U120" s="161"/>
      <c r="V120" s="54"/>
      <c r="W120" s="54"/>
      <c r="X120" s="54"/>
      <c r="Y120" s="54"/>
      <c r="Z120" s="54"/>
      <c r="AA120" s="55"/>
      <c r="AB120" s="55"/>
      <c r="AC120" s="55"/>
      <c r="AD120" s="55"/>
      <c r="AE120" s="54"/>
      <c r="AF120" s="54"/>
      <c r="AG120" s="54"/>
      <c r="AH120" s="54"/>
      <c r="AI120" s="55"/>
      <c r="AJ120" s="54"/>
      <c r="AW120" s="18">
        <f t="shared" si="13"/>
        <v>0</v>
      </c>
    </row>
    <row r="121" spans="1:49" ht="15">
      <c r="AW121" s="18">
        <f t="shared" si="13"/>
        <v>0</v>
      </c>
    </row>
    <row r="122" spans="1:49" ht="15">
      <c r="AW122" s="18">
        <f t="shared" si="13"/>
        <v>0</v>
      </c>
    </row>
    <row r="123" spans="1:49" ht="15">
      <c r="AW123" s="18">
        <f t="shared" si="13"/>
        <v>0</v>
      </c>
    </row>
    <row r="124" spans="1:49" ht="15">
      <c r="AW124" s="18">
        <f t="shared" si="13"/>
        <v>0</v>
      </c>
    </row>
    <row r="125" spans="1:49" ht="15">
      <c r="AW125" s="18">
        <f t="shared" si="13"/>
        <v>0</v>
      </c>
    </row>
    <row r="126" spans="1:49" ht="15">
      <c r="AW126" s="18">
        <f t="shared" si="13"/>
        <v>0</v>
      </c>
    </row>
    <row r="127" spans="1:49" ht="15">
      <c r="AW127" s="18">
        <f t="shared" ref="AW127:AW190" si="14">LEN(L127)</f>
        <v>0</v>
      </c>
    </row>
    <row r="128" spans="1:49" ht="15">
      <c r="AW128" s="18">
        <f t="shared" si="14"/>
        <v>0</v>
      </c>
    </row>
    <row r="129" spans="49:49" ht="15">
      <c r="AW129" s="18">
        <f t="shared" si="14"/>
        <v>0</v>
      </c>
    </row>
    <row r="130" spans="49:49" ht="15">
      <c r="AW130" s="18">
        <f t="shared" si="14"/>
        <v>0</v>
      </c>
    </row>
    <row r="131" spans="49:49" ht="15">
      <c r="AW131" s="18">
        <f t="shared" si="14"/>
        <v>0</v>
      </c>
    </row>
    <row r="132" spans="49:49" ht="15">
      <c r="AW132" s="18">
        <f t="shared" si="14"/>
        <v>0</v>
      </c>
    </row>
    <row r="133" spans="49:49" ht="15">
      <c r="AW133" s="18">
        <f t="shared" si="14"/>
        <v>0</v>
      </c>
    </row>
    <row r="134" spans="49:49" ht="15">
      <c r="AW134" s="18">
        <f t="shared" si="14"/>
        <v>0</v>
      </c>
    </row>
    <row r="135" spans="49:49" ht="15">
      <c r="AW135" s="18">
        <f t="shared" si="14"/>
        <v>0</v>
      </c>
    </row>
    <row r="136" spans="49:49" ht="15">
      <c r="AW136" s="18">
        <f t="shared" si="14"/>
        <v>0</v>
      </c>
    </row>
    <row r="137" spans="49:49" ht="15">
      <c r="AW137" s="18">
        <f t="shared" si="14"/>
        <v>0</v>
      </c>
    </row>
    <row r="138" spans="49:49" ht="15">
      <c r="AW138" s="18">
        <f t="shared" si="14"/>
        <v>0</v>
      </c>
    </row>
    <row r="139" spans="49:49" ht="15">
      <c r="AW139" s="18">
        <f t="shared" si="14"/>
        <v>0</v>
      </c>
    </row>
    <row r="140" spans="49:49" ht="15">
      <c r="AW140" s="18">
        <f t="shared" si="14"/>
        <v>0</v>
      </c>
    </row>
    <row r="141" spans="49:49" ht="15">
      <c r="AW141" s="18">
        <f t="shared" si="14"/>
        <v>0</v>
      </c>
    </row>
    <row r="142" spans="49:49" ht="15">
      <c r="AW142" s="18">
        <f t="shared" si="14"/>
        <v>0</v>
      </c>
    </row>
    <row r="143" spans="49:49" ht="15">
      <c r="AW143" s="18">
        <f t="shared" si="14"/>
        <v>0</v>
      </c>
    </row>
    <row r="144" spans="49:49" ht="15">
      <c r="AW144" s="18">
        <f t="shared" si="14"/>
        <v>0</v>
      </c>
    </row>
    <row r="145" spans="49:49" ht="15">
      <c r="AW145" s="18">
        <f t="shared" si="14"/>
        <v>0</v>
      </c>
    </row>
    <row r="146" spans="49:49" ht="15">
      <c r="AW146" s="18">
        <f t="shared" si="14"/>
        <v>0</v>
      </c>
    </row>
    <row r="147" spans="49:49" ht="15">
      <c r="AW147" s="18">
        <f t="shared" si="14"/>
        <v>0</v>
      </c>
    </row>
    <row r="148" spans="49:49" ht="15">
      <c r="AW148" s="18">
        <f t="shared" si="14"/>
        <v>0</v>
      </c>
    </row>
    <row r="149" spans="49:49" ht="15">
      <c r="AW149" s="18">
        <f t="shared" si="14"/>
        <v>0</v>
      </c>
    </row>
    <row r="150" spans="49:49" ht="15">
      <c r="AW150" s="18">
        <f t="shared" si="14"/>
        <v>0</v>
      </c>
    </row>
    <row r="151" spans="49:49" ht="15">
      <c r="AW151" s="18">
        <f t="shared" si="14"/>
        <v>0</v>
      </c>
    </row>
    <row r="152" spans="49:49" ht="15">
      <c r="AW152" s="18">
        <f t="shared" si="14"/>
        <v>0</v>
      </c>
    </row>
    <row r="153" spans="49:49" ht="15">
      <c r="AW153" s="18">
        <f t="shared" si="14"/>
        <v>0</v>
      </c>
    </row>
    <row r="154" spans="49:49" ht="15">
      <c r="AW154" s="18">
        <f t="shared" si="14"/>
        <v>0</v>
      </c>
    </row>
    <row r="155" spans="49:49" ht="15">
      <c r="AW155" s="18">
        <f t="shared" si="14"/>
        <v>0</v>
      </c>
    </row>
    <row r="156" spans="49:49" ht="15">
      <c r="AW156" s="18">
        <f t="shared" si="14"/>
        <v>0</v>
      </c>
    </row>
    <row r="157" spans="49:49" ht="15">
      <c r="AW157" s="18">
        <f t="shared" si="14"/>
        <v>0</v>
      </c>
    </row>
    <row r="158" spans="49:49" ht="15">
      <c r="AW158" s="18">
        <f t="shared" si="14"/>
        <v>0</v>
      </c>
    </row>
    <row r="159" spans="49:49" ht="15">
      <c r="AW159" s="18">
        <f t="shared" si="14"/>
        <v>0</v>
      </c>
    </row>
    <row r="160" spans="49:49" ht="15">
      <c r="AW160" s="18">
        <f t="shared" si="14"/>
        <v>0</v>
      </c>
    </row>
    <row r="161" spans="49:49" ht="15">
      <c r="AW161" s="18">
        <f t="shared" si="14"/>
        <v>0</v>
      </c>
    </row>
    <row r="162" spans="49:49" ht="15">
      <c r="AW162" s="18">
        <f t="shared" si="14"/>
        <v>0</v>
      </c>
    </row>
    <row r="163" spans="49:49" ht="15">
      <c r="AW163" s="18">
        <f t="shared" si="14"/>
        <v>0</v>
      </c>
    </row>
    <row r="164" spans="49:49" ht="15">
      <c r="AW164" s="18">
        <f t="shared" si="14"/>
        <v>0</v>
      </c>
    </row>
    <row r="165" spans="49:49" ht="15">
      <c r="AW165" s="18">
        <f t="shared" si="14"/>
        <v>0</v>
      </c>
    </row>
    <row r="166" spans="49:49" ht="15">
      <c r="AW166" s="18">
        <f t="shared" si="14"/>
        <v>0</v>
      </c>
    </row>
    <row r="167" spans="49:49" ht="15">
      <c r="AW167" s="18">
        <f t="shared" si="14"/>
        <v>0</v>
      </c>
    </row>
    <row r="168" spans="49:49" ht="15">
      <c r="AW168" s="18">
        <f t="shared" si="14"/>
        <v>0</v>
      </c>
    </row>
    <row r="169" spans="49:49" ht="15">
      <c r="AW169" s="18">
        <f t="shared" si="14"/>
        <v>0</v>
      </c>
    </row>
    <row r="170" spans="49:49" ht="15">
      <c r="AW170" s="18">
        <f t="shared" si="14"/>
        <v>0</v>
      </c>
    </row>
    <row r="171" spans="49:49" ht="15">
      <c r="AW171" s="18">
        <f t="shared" si="14"/>
        <v>0</v>
      </c>
    </row>
    <row r="172" spans="49:49" ht="15">
      <c r="AW172" s="18">
        <f t="shared" si="14"/>
        <v>0</v>
      </c>
    </row>
    <row r="173" spans="49:49" ht="15">
      <c r="AW173" s="18">
        <f t="shared" si="14"/>
        <v>0</v>
      </c>
    </row>
    <row r="174" spans="49:49" ht="15">
      <c r="AW174" s="18">
        <f t="shared" si="14"/>
        <v>0</v>
      </c>
    </row>
    <row r="175" spans="49:49" ht="15">
      <c r="AW175" s="18">
        <f t="shared" si="14"/>
        <v>0</v>
      </c>
    </row>
    <row r="176" spans="49:49" ht="15">
      <c r="AW176" s="18">
        <f t="shared" si="14"/>
        <v>0</v>
      </c>
    </row>
    <row r="177" spans="49:49" ht="15">
      <c r="AW177" s="18">
        <f t="shared" si="14"/>
        <v>0</v>
      </c>
    </row>
    <row r="178" spans="49:49" ht="15">
      <c r="AW178" s="18">
        <f t="shared" si="14"/>
        <v>0</v>
      </c>
    </row>
    <row r="179" spans="49:49" ht="15">
      <c r="AW179" s="18">
        <f t="shared" si="14"/>
        <v>0</v>
      </c>
    </row>
    <row r="180" spans="49:49" ht="15">
      <c r="AW180" s="18">
        <f t="shared" si="14"/>
        <v>0</v>
      </c>
    </row>
    <row r="181" spans="49:49" ht="15">
      <c r="AW181" s="18">
        <f t="shared" si="14"/>
        <v>0</v>
      </c>
    </row>
    <row r="182" spans="49:49" ht="15">
      <c r="AW182" s="18">
        <f t="shared" si="14"/>
        <v>0</v>
      </c>
    </row>
    <row r="183" spans="49:49" ht="15">
      <c r="AW183" s="18">
        <f t="shared" si="14"/>
        <v>0</v>
      </c>
    </row>
    <row r="184" spans="49:49" ht="15">
      <c r="AW184" s="18">
        <f t="shared" si="14"/>
        <v>0</v>
      </c>
    </row>
    <row r="185" spans="49:49" ht="15">
      <c r="AW185" s="18">
        <f t="shared" si="14"/>
        <v>0</v>
      </c>
    </row>
    <row r="186" spans="49:49" ht="15">
      <c r="AW186" s="18">
        <f t="shared" si="14"/>
        <v>0</v>
      </c>
    </row>
    <row r="187" spans="49:49" ht="15">
      <c r="AW187" s="18">
        <f t="shared" si="14"/>
        <v>0</v>
      </c>
    </row>
    <row r="188" spans="49:49" ht="15">
      <c r="AW188" s="18">
        <f t="shared" si="14"/>
        <v>0</v>
      </c>
    </row>
    <row r="189" spans="49:49" ht="15">
      <c r="AW189" s="18">
        <f t="shared" si="14"/>
        <v>0</v>
      </c>
    </row>
    <row r="190" spans="49:49" ht="15">
      <c r="AW190" s="18">
        <f t="shared" si="14"/>
        <v>0</v>
      </c>
    </row>
    <row r="191" spans="49:49" ht="15">
      <c r="AW191" s="18">
        <f t="shared" ref="AW191:AW254" si="15">LEN(L191)</f>
        <v>0</v>
      </c>
    </row>
    <row r="192" spans="49:49" ht="15">
      <c r="AW192" s="18">
        <f t="shared" si="15"/>
        <v>0</v>
      </c>
    </row>
    <row r="193" spans="49:49" ht="15">
      <c r="AW193" s="18">
        <f t="shared" si="15"/>
        <v>0</v>
      </c>
    </row>
    <row r="194" spans="49:49" ht="15">
      <c r="AW194" s="18">
        <f t="shared" si="15"/>
        <v>0</v>
      </c>
    </row>
    <row r="195" spans="49:49" ht="15">
      <c r="AW195" s="18">
        <f t="shared" si="15"/>
        <v>0</v>
      </c>
    </row>
    <row r="196" spans="49:49" ht="15">
      <c r="AW196" s="18">
        <f t="shared" si="15"/>
        <v>0</v>
      </c>
    </row>
    <row r="197" spans="49:49" ht="15">
      <c r="AW197" s="18">
        <f t="shared" si="15"/>
        <v>0</v>
      </c>
    </row>
    <row r="198" spans="49:49" ht="15">
      <c r="AW198" s="18">
        <f t="shared" si="15"/>
        <v>0</v>
      </c>
    </row>
    <row r="199" spans="49:49" ht="15">
      <c r="AW199" s="18">
        <f t="shared" si="15"/>
        <v>0</v>
      </c>
    </row>
    <row r="200" spans="49:49" ht="15">
      <c r="AW200" s="18">
        <f t="shared" si="15"/>
        <v>0</v>
      </c>
    </row>
    <row r="201" spans="49:49" ht="15">
      <c r="AW201" s="18">
        <f t="shared" si="15"/>
        <v>0</v>
      </c>
    </row>
    <row r="202" spans="49:49" ht="15">
      <c r="AW202" s="18">
        <f t="shared" si="15"/>
        <v>0</v>
      </c>
    </row>
    <row r="203" spans="49:49" ht="15">
      <c r="AW203" s="18">
        <f t="shared" si="15"/>
        <v>0</v>
      </c>
    </row>
    <row r="204" spans="49:49" ht="15">
      <c r="AW204" s="18">
        <f t="shared" si="15"/>
        <v>0</v>
      </c>
    </row>
    <row r="205" spans="49:49" ht="15">
      <c r="AW205" s="18">
        <f t="shared" si="15"/>
        <v>0</v>
      </c>
    </row>
    <row r="206" spans="49:49" ht="15">
      <c r="AW206" s="18">
        <f t="shared" si="15"/>
        <v>0</v>
      </c>
    </row>
    <row r="207" spans="49:49" ht="15">
      <c r="AW207" s="18">
        <f t="shared" si="15"/>
        <v>0</v>
      </c>
    </row>
    <row r="208" spans="49:49" ht="15">
      <c r="AW208" s="18">
        <f t="shared" si="15"/>
        <v>0</v>
      </c>
    </row>
    <row r="209" spans="49:49" ht="15">
      <c r="AW209" s="18">
        <f t="shared" si="15"/>
        <v>0</v>
      </c>
    </row>
    <row r="210" spans="49:49" ht="15">
      <c r="AW210" s="18">
        <f t="shared" si="15"/>
        <v>0</v>
      </c>
    </row>
    <row r="211" spans="49:49" ht="15">
      <c r="AW211" s="18">
        <f t="shared" si="15"/>
        <v>0</v>
      </c>
    </row>
    <row r="212" spans="49:49" ht="15">
      <c r="AW212" s="18">
        <f t="shared" si="15"/>
        <v>0</v>
      </c>
    </row>
    <row r="213" spans="49:49" ht="15">
      <c r="AW213" s="18">
        <f t="shared" si="15"/>
        <v>0</v>
      </c>
    </row>
    <row r="214" spans="49:49" ht="15">
      <c r="AW214" s="18">
        <f t="shared" si="15"/>
        <v>0</v>
      </c>
    </row>
    <row r="215" spans="49:49" ht="15">
      <c r="AW215" s="18">
        <f t="shared" si="15"/>
        <v>0</v>
      </c>
    </row>
    <row r="216" spans="49:49" ht="15">
      <c r="AW216" s="18">
        <f t="shared" si="15"/>
        <v>0</v>
      </c>
    </row>
    <row r="217" spans="49:49" ht="15">
      <c r="AW217" s="18">
        <f t="shared" si="15"/>
        <v>0</v>
      </c>
    </row>
    <row r="218" spans="49:49" ht="15">
      <c r="AW218" s="18">
        <f t="shared" si="15"/>
        <v>0</v>
      </c>
    </row>
    <row r="219" spans="49:49" ht="15">
      <c r="AW219" s="18">
        <f t="shared" si="15"/>
        <v>0</v>
      </c>
    </row>
    <row r="220" spans="49:49" ht="15">
      <c r="AW220" s="18">
        <f t="shared" si="15"/>
        <v>0</v>
      </c>
    </row>
    <row r="221" spans="49:49" ht="15">
      <c r="AW221" s="18">
        <f t="shared" si="15"/>
        <v>0</v>
      </c>
    </row>
    <row r="222" spans="49:49" ht="15">
      <c r="AW222" s="18">
        <f t="shared" si="15"/>
        <v>0</v>
      </c>
    </row>
    <row r="223" spans="49:49" ht="15">
      <c r="AW223" s="18">
        <f t="shared" si="15"/>
        <v>0</v>
      </c>
    </row>
    <row r="224" spans="49:49" ht="15">
      <c r="AW224" s="18">
        <f t="shared" si="15"/>
        <v>0</v>
      </c>
    </row>
    <row r="225" spans="49:49" ht="15">
      <c r="AW225" s="18">
        <f t="shared" si="15"/>
        <v>0</v>
      </c>
    </row>
    <row r="226" spans="49:49" ht="15">
      <c r="AW226" s="18">
        <f t="shared" si="15"/>
        <v>0</v>
      </c>
    </row>
    <row r="227" spans="49:49" ht="15">
      <c r="AW227" s="18">
        <f t="shared" si="15"/>
        <v>0</v>
      </c>
    </row>
    <row r="228" spans="49:49" ht="15">
      <c r="AW228" s="18">
        <f t="shared" si="15"/>
        <v>0</v>
      </c>
    </row>
    <row r="229" spans="49:49" ht="15">
      <c r="AW229" s="18">
        <f t="shared" si="15"/>
        <v>0</v>
      </c>
    </row>
    <row r="230" spans="49:49" ht="15">
      <c r="AW230" s="18">
        <f t="shared" si="15"/>
        <v>0</v>
      </c>
    </row>
    <row r="231" spans="49:49" ht="15">
      <c r="AW231" s="18">
        <f t="shared" si="15"/>
        <v>0</v>
      </c>
    </row>
    <row r="232" spans="49:49" ht="15">
      <c r="AW232" s="18">
        <f t="shared" si="15"/>
        <v>0</v>
      </c>
    </row>
    <row r="233" spans="49:49" ht="15">
      <c r="AW233" s="18">
        <f t="shared" si="15"/>
        <v>0</v>
      </c>
    </row>
    <row r="234" spans="49:49" ht="15">
      <c r="AW234" s="18">
        <f t="shared" si="15"/>
        <v>0</v>
      </c>
    </row>
    <row r="235" spans="49:49" ht="15">
      <c r="AW235" s="18">
        <f t="shared" si="15"/>
        <v>0</v>
      </c>
    </row>
    <row r="236" spans="49:49" ht="15">
      <c r="AW236" s="18">
        <f t="shared" si="15"/>
        <v>0</v>
      </c>
    </row>
    <row r="237" spans="49:49" ht="15">
      <c r="AW237" s="18">
        <f t="shared" si="15"/>
        <v>0</v>
      </c>
    </row>
    <row r="238" spans="49:49" ht="15">
      <c r="AW238" s="18">
        <f t="shared" si="15"/>
        <v>0</v>
      </c>
    </row>
    <row r="239" spans="49:49" ht="15">
      <c r="AW239" s="18">
        <f t="shared" si="15"/>
        <v>0</v>
      </c>
    </row>
    <row r="240" spans="49:49" ht="15">
      <c r="AW240" s="18">
        <f t="shared" si="15"/>
        <v>0</v>
      </c>
    </row>
    <row r="241" spans="49:49" ht="15">
      <c r="AW241" s="18">
        <f t="shared" si="15"/>
        <v>0</v>
      </c>
    </row>
    <row r="242" spans="49:49" ht="15">
      <c r="AW242" s="18">
        <f t="shared" si="15"/>
        <v>0</v>
      </c>
    </row>
    <row r="243" spans="49:49" ht="15">
      <c r="AW243" s="18">
        <f t="shared" si="15"/>
        <v>0</v>
      </c>
    </row>
    <row r="244" spans="49:49" ht="15">
      <c r="AW244" s="18">
        <f t="shared" si="15"/>
        <v>0</v>
      </c>
    </row>
    <row r="245" spans="49:49" ht="15">
      <c r="AW245" s="18">
        <f t="shared" si="15"/>
        <v>0</v>
      </c>
    </row>
    <row r="246" spans="49:49" ht="15">
      <c r="AW246" s="18">
        <f t="shared" si="15"/>
        <v>0</v>
      </c>
    </row>
    <row r="247" spans="49:49" ht="15">
      <c r="AW247" s="18">
        <f t="shared" si="15"/>
        <v>0</v>
      </c>
    </row>
    <row r="248" spans="49:49" ht="15">
      <c r="AW248" s="18">
        <f t="shared" si="15"/>
        <v>0</v>
      </c>
    </row>
    <row r="249" spans="49:49" ht="15">
      <c r="AW249" s="18">
        <f t="shared" si="15"/>
        <v>0</v>
      </c>
    </row>
    <row r="250" spans="49:49" ht="15">
      <c r="AW250" s="18">
        <f t="shared" si="15"/>
        <v>0</v>
      </c>
    </row>
    <row r="251" spans="49:49" ht="15">
      <c r="AW251" s="18">
        <f t="shared" si="15"/>
        <v>0</v>
      </c>
    </row>
    <row r="252" spans="49:49" ht="15">
      <c r="AW252" s="18">
        <f t="shared" si="15"/>
        <v>0</v>
      </c>
    </row>
    <row r="253" spans="49:49" ht="15">
      <c r="AW253" s="18">
        <f t="shared" si="15"/>
        <v>0</v>
      </c>
    </row>
    <row r="254" spans="49:49" ht="15">
      <c r="AW254" s="18">
        <f t="shared" si="15"/>
        <v>0</v>
      </c>
    </row>
    <row r="255" spans="49:49" ht="15">
      <c r="AW255" s="18">
        <f t="shared" ref="AW255:AW318" si="16">LEN(L255)</f>
        <v>0</v>
      </c>
    </row>
    <row r="256" spans="49:49" ht="15">
      <c r="AW256" s="18">
        <f t="shared" si="16"/>
        <v>0</v>
      </c>
    </row>
    <row r="257" spans="49:49" ht="15">
      <c r="AW257" s="18">
        <f t="shared" si="16"/>
        <v>0</v>
      </c>
    </row>
    <row r="258" spans="49:49" ht="15">
      <c r="AW258" s="18">
        <f t="shared" si="16"/>
        <v>0</v>
      </c>
    </row>
    <row r="259" spans="49:49" ht="15">
      <c r="AW259" s="18">
        <f t="shared" si="16"/>
        <v>0</v>
      </c>
    </row>
    <row r="260" spans="49:49" ht="15">
      <c r="AW260" s="18">
        <f t="shared" si="16"/>
        <v>0</v>
      </c>
    </row>
    <row r="261" spans="49:49" ht="15">
      <c r="AW261" s="18">
        <f t="shared" si="16"/>
        <v>0</v>
      </c>
    </row>
    <row r="262" spans="49:49" ht="15">
      <c r="AW262" s="18">
        <f t="shared" si="16"/>
        <v>0</v>
      </c>
    </row>
    <row r="263" spans="49:49" ht="15">
      <c r="AW263" s="18">
        <f t="shared" si="16"/>
        <v>0</v>
      </c>
    </row>
    <row r="264" spans="49:49" ht="15">
      <c r="AW264" s="18">
        <f t="shared" si="16"/>
        <v>0</v>
      </c>
    </row>
    <row r="265" spans="49:49" ht="15">
      <c r="AW265" s="18">
        <f t="shared" si="16"/>
        <v>0</v>
      </c>
    </row>
    <row r="266" spans="49:49" ht="15">
      <c r="AW266" s="18">
        <f t="shared" si="16"/>
        <v>0</v>
      </c>
    </row>
    <row r="267" spans="49:49" ht="15">
      <c r="AW267" s="18">
        <f t="shared" si="16"/>
        <v>0</v>
      </c>
    </row>
    <row r="268" spans="49:49" ht="15">
      <c r="AW268" s="18">
        <f t="shared" si="16"/>
        <v>0</v>
      </c>
    </row>
    <row r="269" spans="49:49" ht="15">
      <c r="AW269" s="18">
        <f t="shared" si="16"/>
        <v>0</v>
      </c>
    </row>
    <row r="270" spans="49:49" ht="15">
      <c r="AW270" s="18">
        <f t="shared" si="16"/>
        <v>0</v>
      </c>
    </row>
    <row r="271" spans="49:49" ht="15">
      <c r="AW271" s="18">
        <f t="shared" si="16"/>
        <v>0</v>
      </c>
    </row>
    <row r="272" spans="49:49" ht="15">
      <c r="AW272" s="18">
        <f t="shared" si="16"/>
        <v>0</v>
      </c>
    </row>
    <row r="273" spans="49:49" ht="15">
      <c r="AW273" s="18">
        <f t="shared" si="16"/>
        <v>0</v>
      </c>
    </row>
    <row r="274" spans="49:49" ht="15">
      <c r="AW274" s="18">
        <f t="shared" si="16"/>
        <v>0</v>
      </c>
    </row>
    <row r="275" spans="49:49" ht="15">
      <c r="AW275" s="18">
        <f t="shared" si="16"/>
        <v>0</v>
      </c>
    </row>
    <row r="276" spans="49:49" ht="15">
      <c r="AW276" s="18">
        <f t="shared" si="16"/>
        <v>0</v>
      </c>
    </row>
    <row r="277" spans="49:49" ht="15">
      <c r="AW277" s="18">
        <f t="shared" si="16"/>
        <v>0</v>
      </c>
    </row>
    <row r="278" spans="49:49" ht="15">
      <c r="AW278" s="18">
        <f t="shared" si="16"/>
        <v>0</v>
      </c>
    </row>
    <row r="279" spans="49:49" ht="15">
      <c r="AW279" s="18">
        <f t="shared" si="16"/>
        <v>0</v>
      </c>
    </row>
    <row r="280" spans="49:49" ht="15">
      <c r="AW280" s="18">
        <f t="shared" si="16"/>
        <v>0</v>
      </c>
    </row>
    <row r="281" spans="49:49" ht="15">
      <c r="AW281" s="18">
        <f t="shared" si="16"/>
        <v>0</v>
      </c>
    </row>
    <row r="282" spans="49:49" ht="15">
      <c r="AW282" s="18">
        <f t="shared" si="16"/>
        <v>0</v>
      </c>
    </row>
    <row r="283" spans="49:49" ht="15">
      <c r="AW283" s="18">
        <f t="shared" si="16"/>
        <v>0</v>
      </c>
    </row>
    <row r="284" spans="49:49" ht="15">
      <c r="AW284" s="18">
        <f t="shared" si="16"/>
        <v>0</v>
      </c>
    </row>
    <row r="285" spans="49:49" ht="15">
      <c r="AW285" s="18">
        <f t="shared" si="16"/>
        <v>0</v>
      </c>
    </row>
    <row r="286" spans="49:49" ht="15">
      <c r="AW286" s="18">
        <f t="shared" si="16"/>
        <v>0</v>
      </c>
    </row>
    <row r="287" spans="49:49" ht="15">
      <c r="AW287" s="18">
        <f t="shared" si="16"/>
        <v>0</v>
      </c>
    </row>
    <row r="288" spans="49:49" ht="15">
      <c r="AW288" s="18">
        <f t="shared" si="16"/>
        <v>0</v>
      </c>
    </row>
    <row r="289" spans="49:49" ht="15">
      <c r="AW289" s="18">
        <f t="shared" si="16"/>
        <v>0</v>
      </c>
    </row>
    <row r="290" spans="49:49" ht="15">
      <c r="AW290" s="18">
        <f t="shared" si="16"/>
        <v>0</v>
      </c>
    </row>
    <row r="291" spans="49:49" ht="15">
      <c r="AW291" s="18">
        <f t="shared" si="16"/>
        <v>0</v>
      </c>
    </row>
    <row r="292" spans="49:49" ht="15">
      <c r="AW292" s="18">
        <f t="shared" si="16"/>
        <v>0</v>
      </c>
    </row>
    <row r="293" spans="49:49" ht="15">
      <c r="AW293" s="18">
        <f t="shared" si="16"/>
        <v>0</v>
      </c>
    </row>
    <row r="294" spans="49:49" ht="15">
      <c r="AW294" s="18">
        <f t="shared" si="16"/>
        <v>0</v>
      </c>
    </row>
    <row r="295" spans="49:49" ht="15">
      <c r="AW295" s="18">
        <f t="shared" si="16"/>
        <v>0</v>
      </c>
    </row>
    <row r="296" spans="49:49" ht="15">
      <c r="AW296" s="18">
        <f t="shared" si="16"/>
        <v>0</v>
      </c>
    </row>
    <row r="297" spans="49:49" ht="15">
      <c r="AW297" s="18">
        <f t="shared" si="16"/>
        <v>0</v>
      </c>
    </row>
    <row r="298" spans="49:49" ht="15">
      <c r="AW298" s="18">
        <f t="shared" si="16"/>
        <v>0</v>
      </c>
    </row>
    <row r="299" spans="49:49" ht="15">
      <c r="AW299" s="18">
        <f t="shared" si="16"/>
        <v>0</v>
      </c>
    </row>
    <row r="300" spans="49:49" ht="15">
      <c r="AW300" s="18">
        <f t="shared" si="16"/>
        <v>0</v>
      </c>
    </row>
    <row r="301" spans="49:49" ht="15">
      <c r="AW301" s="18">
        <f t="shared" si="16"/>
        <v>0</v>
      </c>
    </row>
    <row r="302" spans="49:49" ht="15">
      <c r="AW302" s="18">
        <f t="shared" si="16"/>
        <v>0</v>
      </c>
    </row>
    <row r="303" spans="49:49" ht="15">
      <c r="AW303" s="18">
        <f t="shared" si="16"/>
        <v>0</v>
      </c>
    </row>
    <row r="304" spans="49:49" ht="15">
      <c r="AW304" s="18">
        <f t="shared" si="16"/>
        <v>0</v>
      </c>
    </row>
    <row r="305" spans="49:49" ht="15">
      <c r="AW305" s="18">
        <f t="shared" si="16"/>
        <v>0</v>
      </c>
    </row>
    <row r="306" spans="49:49" ht="15">
      <c r="AW306" s="18">
        <f t="shared" si="16"/>
        <v>0</v>
      </c>
    </row>
    <row r="307" spans="49:49" ht="15">
      <c r="AW307" s="18">
        <f t="shared" si="16"/>
        <v>0</v>
      </c>
    </row>
    <row r="308" spans="49:49" ht="15">
      <c r="AW308" s="18">
        <f t="shared" si="16"/>
        <v>0</v>
      </c>
    </row>
    <row r="309" spans="49:49" ht="15">
      <c r="AW309" s="18">
        <f t="shared" si="16"/>
        <v>0</v>
      </c>
    </row>
    <row r="310" spans="49:49" ht="15">
      <c r="AW310" s="18">
        <f t="shared" si="16"/>
        <v>0</v>
      </c>
    </row>
    <row r="311" spans="49:49" ht="15">
      <c r="AW311" s="18">
        <f t="shared" si="16"/>
        <v>0</v>
      </c>
    </row>
    <row r="312" spans="49:49" ht="15">
      <c r="AW312" s="18">
        <f t="shared" si="16"/>
        <v>0</v>
      </c>
    </row>
    <row r="313" spans="49:49" ht="15">
      <c r="AW313" s="18">
        <f t="shared" si="16"/>
        <v>0</v>
      </c>
    </row>
    <row r="314" spans="49:49" ht="15">
      <c r="AW314" s="18">
        <f t="shared" si="16"/>
        <v>0</v>
      </c>
    </row>
    <row r="315" spans="49:49" ht="15">
      <c r="AW315" s="18">
        <f t="shared" si="16"/>
        <v>0</v>
      </c>
    </row>
    <row r="316" spans="49:49" ht="15">
      <c r="AW316" s="18">
        <f t="shared" si="16"/>
        <v>0</v>
      </c>
    </row>
    <row r="317" spans="49:49" ht="15">
      <c r="AW317" s="18">
        <f t="shared" si="16"/>
        <v>0</v>
      </c>
    </row>
    <row r="318" spans="49:49" ht="15">
      <c r="AW318" s="18">
        <f t="shared" si="16"/>
        <v>0</v>
      </c>
    </row>
    <row r="319" spans="49:49" ht="15">
      <c r="AW319" s="18">
        <f t="shared" ref="AW319:AW382" si="17">LEN(L319)</f>
        <v>0</v>
      </c>
    </row>
    <row r="320" spans="49:49" ht="15">
      <c r="AW320" s="18">
        <f t="shared" si="17"/>
        <v>0</v>
      </c>
    </row>
    <row r="321" spans="49:49" ht="15">
      <c r="AW321" s="18">
        <f t="shared" si="17"/>
        <v>0</v>
      </c>
    </row>
    <row r="322" spans="49:49" ht="15">
      <c r="AW322" s="18">
        <f t="shared" si="17"/>
        <v>0</v>
      </c>
    </row>
    <row r="323" spans="49:49" ht="15">
      <c r="AW323" s="18">
        <f t="shared" si="17"/>
        <v>0</v>
      </c>
    </row>
    <row r="324" spans="49:49" ht="15">
      <c r="AW324" s="18">
        <f t="shared" si="17"/>
        <v>0</v>
      </c>
    </row>
    <row r="325" spans="49:49" ht="15">
      <c r="AW325" s="18">
        <f t="shared" si="17"/>
        <v>0</v>
      </c>
    </row>
    <row r="326" spans="49:49" ht="15">
      <c r="AW326" s="18">
        <f t="shared" si="17"/>
        <v>0</v>
      </c>
    </row>
    <row r="327" spans="49:49" ht="15">
      <c r="AW327" s="18">
        <f t="shared" si="17"/>
        <v>0</v>
      </c>
    </row>
    <row r="328" spans="49:49" ht="15">
      <c r="AW328" s="18">
        <f t="shared" si="17"/>
        <v>0</v>
      </c>
    </row>
    <row r="329" spans="49:49" ht="15">
      <c r="AW329" s="18">
        <f t="shared" si="17"/>
        <v>0</v>
      </c>
    </row>
    <row r="330" spans="49:49" ht="15">
      <c r="AW330" s="18">
        <f t="shared" si="17"/>
        <v>0</v>
      </c>
    </row>
    <row r="331" spans="49:49" ht="15">
      <c r="AW331" s="18">
        <f t="shared" si="17"/>
        <v>0</v>
      </c>
    </row>
    <row r="332" spans="49:49" ht="15">
      <c r="AW332" s="18">
        <f t="shared" si="17"/>
        <v>0</v>
      </c>
    </row>
    <row r="333" spans="49:49" ht="15">
      <c r="AW333" s="18">
        <f t="shared" si="17"/>
        <v>0</v>
      </c>
    </row>
    <row r="334" spans="49:49" ht="15">
      <c r="AW334" s="18">
        <f t="shared" si="17"/>
        <v>0</v>
      </c>
    </row>
    <row r="335" spans="49:49" ht="15">
      <c r="AW335" s="18">
        <f t="shared" si="17"/>
        <v>0</v>
      </c>
    </row>
    <row r="336" spans="49:49" ht="15">
      <c r="AW336" s="18">
        <f t="shared" si="17"/>
        <v>0</v>
      </c>
    </row>
    <row r="337" spans="49:49" ht="15">
      <c r="AW337" s="18">
        <f t="shared" si="17"/>
        <v>0</v>
      </c>
    </row>
    <row r="338" spans="49:49" ht="15">
      <c r="AW338" s="18">
        <f t="shared" si="17"/>
        <v>0</v>
      </c>
    </row>
    <row r="339" spans="49:49" ht="15">
      <c r="AW339" s="18">
        <f t="shared" si="17"/>
        <v>0</v>
      </c>
    </row>
    <row r="340" spans="49:49" ht="15">
      <c r="AW340" s="18">
        <f t="shared" si="17"/>
        <v>0</v>
      </c>
    </row>
    <row r="341" spans="49:49" ht="15">
      <c r="AW341" s="18">
        <f t="shared" si="17"/>
        <v>0</v>
      </c>
    </row>
    <row r="342" spans="49:49" ht="15">
      <c r="AW342" s="18">
        <f t="shared" si="17"/>
        <v>0</v>
      </c>
    </row>
    <row r="343" spans="49:49" ht="15">
      <c r="AW343" s="18">
        <f t="shared" si="17"/>
        <v>0</v>
      </c>
    </row>
    <row r="344" spans="49:49" ht="15">
      <c r="AW344" s="18">
        <f t="shared" si="17"/>
        <v>0</v>
      </c>
    </row>
    <row r="345" spans="49:49" ht="15">
      <c r="AW345" s="18">
        <f t="shared" si="17"/>
        <v>0</v>
      </c>
    </row>
    <row r="346" spans="49:49" ht="15">
      <c r="AW346" s="18">
        <f t="shared" si="17"/>
        <v>0</v>
      </c>
    </row>
    <row r="347" spans="49:49" ht="15">
      <c r="AW347" s="18">
        <f t="shared" si="17"/>
        <v>0</v>
      </c>
    </row>
    <row r="348" spans="49:49" ht="15">
      <c r="AW348" s="18">
        <f t="shared" si="17"/>
        <v>0</v>
      </c>
    </row>
    <row r="349" spans="49:49" ht="15">
      <c r="AW349" s="18">
        <f t="shared" si="17"/>
        <v>0</v>
      </c>
    </row>
    <row r="350" spans="49:49" ht="15">
      <c r="AW350" s="18">
        <f t="shared" si="17"/>
        <v>0</v>
      </c>
    </row>
    <row r="351" spans="49:49" ht="15">
      <c r="AW351" s="18">
        <f t="shared" si="17"/>
        <v>0</v>
      </c>
    </row>
    <row r="352" spans="49:49" ht="15">
      <c r="AW352" s="18">
        <f t="shared" si="17"/>
        <v>0</v>
      </c>
    </row>
    <row r="353" spans="49:49" ht="15">
      <c r="AW353" s="18">
        <f t="shared" si="17"/>
        <v>0</v>
      </c>
    </row>
    <row r="354" spans="49:49" ht="15">
      <c r="AW354" s="18">
        <f t="shared" si="17"/>
        <v>0</v>
      </c>
    </row>
    <row r="355" spans="49:49" ht="15">
      <c r="AW355" s="18">
        <f t="shared" si="17"/>
        <v>0</v>
      </c>
    </row>
    <row r="356" spans="49:49" ht="15">
      <c r="AW356" s="18">
        <f t="shared" si="17"/>
        <v>0</v>
      </c>
    </row>
    <row r="357" spans="49:49" ht="15">
      <c r="AW357" s="18">
        <f t="shared" si="17"/>
        <v>0</v>
      </c>
    </row>
    <row r="358" spans="49:49" ht="15">
      <c r="AW358" s="18">
        <f t="shared" si="17"/>
        <v>0</v>
      </c>
    </row>
    <row r="359" spans="49:49" ht="15">
      <c r="AW359" s="18">
        <f t="shared" si="17"/>
        <v>0</v>
      </c>
    </row>
    <row r="360" spans="49:49" ht="15">
      <c r="AW360" s="18">
        <f t="shared" si="17"/>
        <v>0</v>
      </c>
    </row>
    <row r="361" spans="49:49" ht="15">
      <c r="AW361" s="18">
        <f t="shared" si="17"/>
        <v>0</v>
      </c>
    </row>
    <row r="362" spans="49:49" ht="15">
      <c r="AW362" s="18">
        <f t="shared" si="17"/>
        <v>0</v>
      </c>
    </row>
    <row r="363" spans="49:49" ht="15">
      <c r="AW363" s="18">
        <f t="shared" si="17"/>
        <v>0</v>
      </c>
    </row>
    <row r="364" spans="49:49" ht="15">
      <c r="AW364" s="18">
        <f t="shared" si="17"/>
        <v>0</v>
      </c>
    </row>
    <row r="365" spans="49:49" ht="15">
      <c r="AW365" s="18">
        <f t="shared" si="17"/>
        <v>0</v>
      </c>
    </row>
    <row r="366" spans="49:49" ht="15">
      <c r="AW366" s="18">
        <f t="shared" si="17"/>
        <v>0</v>
      </c>
    </row>
    <row r="367" spans="49:49" ht="15">
      <c r="AW367" s="18">
        <f t="shared" si="17"/>
        <v>0</v>
      </c>
    </row>
    <row r="368" spans="49:49" ht="15">
      <c r="AW368" s="18">
        <f t="shared" si="17"/>
        <v>0</v>
      </c>
    </row>
    <row r="369" spans="49:49" ht="15">
      <c r="AW369" s="18">
        <f t="shared" si="17"/>
        <v>0</v>
      </c>
    </row>
    <row r="370" spans="49:49" ht="15">
      <c r="AW370" s="18">
        <f t="shared" si="17"/>
        <v>0</v>
      </c>
    </row>
    <row r="371" spans="49:49" ht="15">
      <c r="AW371" s="18">
        <f t="shared" si="17"/>
        <v>0</v>
      </c>
    </row>
    <row r="372" spans="49:49" ht="15">
      <c r="AW372" s="18">
        <f t="shared" si="17"/>
        <v>0</v>
      </c>
    </row>
    <row r="373" spans="49:49" ht="15">
      <c r="AW373" s="18">
        <f t="shared" si="17"/>
        <v>0</v>
      </c>
    </row>
    <row r="374" spans="49:49" ht="15">
      <c r="AW374" s="18">
        <f t="shared" si="17"/>
        <v>0</v>
      </c>
    </row>
    <row r="375" spans="49:49" ht="15">
      <c r="AW375" s="18">
        <f t="shared" si="17"/>
        <v>0</v>
      </c>
    </row>
    <row r="376" spans="49:49" ht="15">
      <c r="AW376" s="18">
        <f t="shared" si="17"/>
        <v>0</v>
      </c>
    </row>
    <row r="377" spans="49:49" ht="15">
      <c r="AW377" s="18">
        <f t="shared" si="17"/>
        <v>0</v>
      </c>
    </row>
    <row r="378" spans="49:49" ht="15">
      <c r="AW378" s="18">
        <f t="shared" si="17"/>
        <v>0</v>
      </c>
    </row>
    <row r="379" spans="49:49" ht="15">
      <c r="AW379" s="18">
        <f t="shared" si="17"/>
        <v>0</v>
      </c>
    </row>
    <row r="380" spans="49:49" ht="15">
      <c r="AW380" s="18">
        <f t="shared" si="17"/>
        <v>0</v>
      </c>
    </row>
    <row r="381" spans="49:49" ht="15">
      <c r="AW381" s="18">
        <f t="shared" si="17"/>
        <v>0</v>
      </c>
    </row>
    <row r="382" spans="49:49" ht="15">
      <c r="AW382" s="18">
        <f t="shared" si="17"/>
        <v>0</v>
      </c>
    </row>
    <row r="383" spans="49:49" ht="15">
      <c r="AW383" s="18">
        <f t="shared" ref="AW383:AW446" si="18">LEN(L383)</f>
        <v>0</v>
      </c>
    </row>
    <row r="384" spans="49:49" ht="15">
      <c r="AW384" s="18">
        <f t="shared" si="18"/>
        <v>0</v>
      </c>
    </row>
    <row r="385" spans="49:49" ht="15">
      <c r="AW385" s="18">
        <f t="shared" si="18"/>
        <v>0</v>
      </c>
    </row>
    <row r="386" spans="49:49" ht="15">
      <c r="AW386" s="18">
        <f t="shared" si="18"/>
        <v>0</v>
      </c>
    </row>
    <row r="387" spans="49:49" ht="15">
      <c r="AW387" s="18">
        <f t="shared" si="18"/>
        <v>0</v>
      </c>
    </row>
    <row r="388" spans="49:49" ht="15">
      <c r="AW388" s="18">
        <f t="shared" si="18"/>
        <v>0</v>
      </c>
    </row>
    <row r="389" spans="49:49" ht="15">
      <c r="AW389" s="18">
        <f t="shared" si="18"/>
        <v>0</v>
      </c>
    </row>
    <row r="390" spans="49:49" ht="15">
      <c r="AW390" s="18">
        <f t="shared" si="18"/>
        <v>0</v>
      </c>
    </row>
    <row r="391" spans="49:49" ht="15">
      <c r="AW391" s="18">
        <f t="shared" si="18"/>
        <v>0</v>
      </c>
    </row>
    <row r="392" spans="49:49" ht="15">
      <c r="AW392" s="18">
        <f t="shared" si="18"/>
        <v>0</v>
      </c>
    </row>
    <row r="393" spans="49:49" ht="15">
      <c r="AW393" s="18">
        <f t="shared" si="18"/>
        <v>0</v>
      </c>
    </row>
    <row r="394" spans="49:49" ht="15">
      <c r="AW394" s="18">
        <f t="shared" si="18"/>
        <v>0</v>
      </c>
    </row>
    <row r="395" spans="49:49" ht="15">
      <c r="AW395" s="18">
        <f t="shared" si="18"/>
        <v>0</v>
      </c>
    </row>
    <row r="396" spans="49:49" ht="15">
      <c r="AW396" s="18">
        <f t="shared" si="18"/>
        <v>0</v>
      </c>
    </row>
    <row r="397" spans="49:49" ht="15">
      <c r="AW397" s="18">
        <f t="shared" si="18"/>
        <v>0</v>
      </c>
    </row>
    <row r="398" spans="49:49" ht="15">
      <c r="AW398" s="18">
        <f t="shared" si="18"/>
        <v>0</v>
      </c>
    </row>
    <row r="399" spans="49:49" ht="15">
      <c r="AW399" s="18">
        <f t="shared" si="18"/>
        <v>0</v>
      </c>
    </row>
    <row r="400" spans="49:49" ht="15">
      <c r="AW400" s="18">
        <f t="shared" si="18"/>
        <v>0</v>
      </c>
    </row>
    <row r="401" spans="49:49" ht="15">
      <c r="AW401" s="18">
        <f t="shared" si="18"/>
        <v>0</v>
      </c>
    </row>
    <row r="402" spans="49:49" ht="15">
      <c r="AW402" s="18">
        <f t="shared" si="18"/>
        <v>0</v>
      </c>
    </row>
    <row r="403" spans="49:49" ht="15">
      <c r="AW403" s="18">
        <f t="shared" si="18"/>
        <v>0</v>
      </c>
    </row>
    <row r="404" spans="49:49" ht="15">
      <c r="AW404" s="18">
        <f t="shared" si="18"/>
        <v>0</v>
      </c>
    </row>
    <row r="405" spans="49:49" ht="15">
      <c r="AW405" s="18">
        <f t="shared" si="18"/>
        <v>0</v>
      </c>
    </row>
    <row r="406" spans="49:49" ht="15">
      <c r="AW406" s="18">
        <f t="shared" si="18"/>
        <v>0</v>
      </c>
    </row>
    <row r="407" spans="49:49" ht="15">
      <c r="AW407" s="18">
        <f t="shared" si="18"/>
        <v>0</v>
      </c>
    </row>
    <row r="408" spans="49:49" ht="15">
      <c r="AW408" s="18">
        <f t="shared" si="18"/>
        <v>0</v>
      </c>
    </row>
    <row r="409" spans="49:49" ht="15">
      <c r="AW409" s="18">
        <f t="shared" si="18"/>
        <v>0</v>
      </c>
    </row>
    <row r="410" spans="49:49" ht="15">
      <c r="AW410" s="18">
        <f t="shared" si="18"/>
        <v>0</v>
      </c>
    </row>
    <row r="411" spans="49:49" ht="15">
      <c r="AW411" s="18">
        <f t="shared" si="18"/>
        <v>0</v>
      </c>
    </row>
    <row r="412" spans="49:49" ht="15">
      <c r="AW412" s="18">
        <f t="shared" si="18"/>
        <v>0</v>
      </c>
    </row>
    <row r="413" spans="49:49" ht="15">
      <c r="AW413" s="18">
        <f t="shared" si="18"/>
        <v>0</v>
      </c>
    </row>
    <row r="414" spans="49:49" ht="15">
      <c r="AW414" s="18">
        <f t="shared" si="18"/>
        <v>0</v>
      </c>
    </row>
    <row r="415" spans="49:49" ht="15">
      <c r="AW415" s="18">
        <f t="shared" si="18"/>
        <v>0</v>
      </c>
    </row>
    <row r="416" spans="49:49" ht="15">
      <c r="AW416" s="18">
        <f t="shared" si="18"/>
        <v>0</v>
      </c>
    </row>
    <row r="417" spans="49:49" ht="15">
      <c r="AW417" s="18">
        <f t="shared" si="18"/>
        <v>0</v>
      </c>
    </row>
    <row r="418" spans="49:49" ht="15">
      <c r="AW418" s="18">
        <f t="shared" si="18"/>
        <v>0</v>
      </c>
    </row>
    <row r="419" spans="49:49" ht="15">
      <c r="AW419" s="18">
        <f t="shared" si="18"/>
        <v>0</v>
      </c>
    </row>
    <row r="420" spans="49:49" ht="15">
      <c r="AW420" s="18">
        <f t="shared" si="18"/>
        <v>0</v>
      </c>
    </row>
    <row r="421" spans="49:49" ht="15">
      <c r="AW421" s="18">
        <f t="shared" si="18"/>
        <v>0</v>
      </c>
    </row>
    <row r="422" spans="49:49" ht="15">
      <c r="AW422" s="18">
        <f t="shared" si="18"/>
        <v>0</v>
      </c>
    </row>
    <row r="423" spans="49:49" ht="15">
      <c r="AW423" s="18">
        <f t="shared" si="18"/>
        <v>0</v>
      </c>
    </row>
    <row r="424" spans="49:49" ht="15">
      <c r="AW424" s="18">
        <f t="shared" si="18"/>
        <v>0</v>
      </c>
    </row>
    <row r="425" spans="49:49" ht="15">
      <c r="AW425" s="18">
        <f t="shared" si="18"/>
        <v>0</v>
      </c>
    </row>
    <row r="426" spans="49:49" ht="15">
      <c r="AW426" s="18">
        <f t="shared" si="18"/>
        <v>0</v>
      </c>
    </row>
    <row r="427" spans="49:49" ht="15">
      <c r="AW427" s="18">
        <f t="shared" si="18"/>
        <v>0</v>
      </c>
    </row>
    <row r="428" spans="49:49" ht="15">
      <c r="AW428" s="18">
        <f t="shared" si="18"/>
        <v>0</v>
      </c>
    </row>
    <row r="429" spans="49:49" ht="15">
      <c r="AW429" s="18">
        <f t="shared" si="18"/>
        <v>0</v>
      </c>
    </row>
    <row r="430" spans="49:49" ht="15">
      <c r="AW430" s="18">
        <f t="shared" si="18"/>
        <v>0</v>
      </c>
    </row>
    <row r="431" spans="49:49" ht="15">
      <c r="AW431" s="18">
        <f t="shared" si="18"/>
        <v>0</v>
      </c>
    </row>
    <row r="432" spans="49:49" ht="15">
      <c r="AW432" s="18">
        <f t="shared" si="18"/>
        <v>0</v>
      </c>
    </row>
    <row r="433" spans="49:49" ht="15">
      <c r="AW433" s="18">
        <f t="shared" si="18"/>
        <v>0</v>
      </c>
    </row>
    <row r="434" spans="49:49" ht="15">
      <c r="AW434" s="18">
        <f t="shared" si="18"/>
        <v>0</v>
      </c>
    </row>
    <row r="435" spans="49:49" ht="15">
      <c r="AW435" s="18">
        <f t="shared" si="18"/>
        <v>0</v>
      </c>
    </row>
    <row r="436" spans="49:49" ht="15">
      <c r="AW436" s="18">
        <f t="shared" si="18"/>
        <v>0</v>
      </c>
    </row>
    <row r="437" spans="49:49" ht="15">
      <c r="AW437" s="18">
        <f t="shared" si="18"/>
        <v>0</v>
      </c>
    </row>
    <row r="438" spans="49:49" ht="15">
      <c r="AW438" s="18">
        <f t="shared" si="18"/>
        <v>0</v>
      </c>
    </row>
    <row r="439" spans="49:49" ht="15">
      <c r="AW439" s="18">
        <f t="shared" si="18"/>
        <v>0</v>
      </c>
    </row>
    <row r="440" spans="49:49" ht="15">
      <c r="AW440" s="18">
        <f t="shared" si="18"/>
        <v>0</v>
      </c>
    </row>
    <row r="441" spans="49:49" ht="15">
      <c r="AW441" s="18">
        <f t="shared" si="18"/>
        <v>0</v>
      </c>
    </row>
    <row r="442" spans="49:49" ht="15">
      <c r="AW442" s="18">
        <f t="shared" si="18"/>
        <v>0</v>
      </c>
    </row>
    <row r="443" spans="49:49" ht="15">
      <c r="AW443" s="18">
        <f t="shared" si="18"/>
        <v>0</v>
      </c>
    </row>
    <row r="444" spans="49:49" ht="15">
      <c r="AW444" s="18">
        <f t="shared" si="18"/>
        <v>0</v>
      </c>
    </row>
    <row r="445" spans="49:49" ht="15">
      <c r="AW445" s="18">
        <f t="shared" si="18"/>
        <v>0</v>
      </c>
    </row>
    <row r="446" spans="49:49" ht="15">
      <c r="AW446" s="18">
        <f t="shared" si="18"/>
        <v>0</v>
      </c>
    </row>
    <row r="447" spans="49:49" ht="15">
      <c r="AW447" s="18">
        <f t="shared" ref="AW447:AW501" si="19">LEN(L447)</f>
        <v>0</v>
      </c>
    </row>
    <row r="448" spans="49:49" ht="15">
      <c r="AW448" s="18">
        <f t="shared" si="19"/>
        <v>0</v>
      </c>
    </row>
    <row r="449" spans="49:49" ht="15">
      <c r="AW449" s="18">
        <f t="shared" si="19"/>
        <v>0</v>
      </c>
    </row>
    <row r="450" spans="49:49" ht="15">
      <c r="AW450" s="18">
        <f t="shared" si="19"/>
        <v>0</v>
      </c>
    </row>
    <row r="451" spans="49:49" ht="15">
      <c r="AW451" s="18">
        <f t="shared" si="19"/>
        <v>0</v>
      </c>
    </row>
    <row r="452" spans="49:49" ht="15">
      <c r="AW452" s="18">
        <f t="shared" si="19"/>
        <v>0</v>
      </c>
    </row>
    <row r="453" spans="49:49" ht="15">
      <c r="AW453" s="18">
        <f t="shared" si="19"/>
        <v>0</v>
      </c>
    </row>
    <row r="454" spans="49:49" ht="15">
      <c r="AW454" s="18">
        <f t="shared" si="19"/>
        <v>0</v>
      </c>
    </row>
    <row r="455" spans="49:49" ht="15">
      <c r="AW455" s="18">
        <f t="shared" si="19"/>
        <v>0</v>
      </c>
    </row>
    <row r="456" spans="49:49" ht="15">
      <c r="AW456" s="18">
        <f t="shared" si="19"/>
        <v>0</v>
      </c>
    </row>
    <row r="457" spans="49:49" ht="15">
      <c r="AW457" s="18">
        <f t="shared" si="19"/>
        <v>0</v>
      </c>
    </row>
    <row r="458" spans="49:49" ht="15">
      <c r="AW458" s="18">
        <f t="shared" si="19"/>
        <v>0</v>
      </c>
    </row>
    <row r="459" spans="49:49" ht="15">
      <c r="AW459" s="18">
        <f t="shared" si="19"/>
        <v>0</v>
      </c>
    </row>
    <row r="460" spans="49:49" ht="15">
      <c r="AW460" s="18">
        <f t="shared" si="19"/>
        <v>0</v>
      </c>
    </row>
    <row r="461" spans="49:49" ht="15">
      <c r="AW461" s="18">
        <f t="shared" si="19"/>
        <v>0</v>
      </c>
    </row>
    <row r="462" spans="49:49" ht="15">
      <c r="AW462" s="18">
        <f t="shared" si="19"/>
        <v>0</v>
      </c>
    </row>
    <row r="463" spans="49:49" ht="15">
      <c r="AW463" s="18">
        <f t="shared" si="19"/>
        <v>0</v>
      </c>
    </row>
    <row r="464" spans="49:49" ht="15">
      <c r="AW464" s="18">
        <f t="shared" si="19"/>
        <v>0</v>
      </c>
    </row>
    <row r="465" spans="49:49" ht="15">
      <c r="AW465" s="18">
        <f t="shared" si="19"/>
        <v>0</v>
      </c>
    </row>
    <row r="466" spans="49:49" ht="15">
      <c r="AW466" s="18">
        <f t="shared" si="19"/>
        <v>0</v>
      </c>
    </row>
    <row r="467" spans="49:49" ht="15">
      <c r="AW467" s="18">
        <f t="shared" si="19"/>
        <v>0</v>
      </c>
    </row>
    <row r="468" spans="49:49" ht="15">
      <c r="AW468" s="18">
        <f t="shared" si="19"/>
        <v>0</v>
      </c>
    </row>
    <row r="469" spans="49:49" ht="15">
      <c r="AW469" s="18">
        <f t="shared" si="19"/>
        <v>0</v>
      </c>
    </row>
    <row r="470" spans="49:49" ht="15">
      <c r="AW470" s="18">
        <f t="shared" si="19"/>
        <v>0</v>
      </c>
    </row>
    <row r="471" spans="49:49" ht="15">
      <c r="AW471" s="18">
        <f t="shared" si="19"/>
        <v>0</v>
      </c>
    </row>
    <row r="472" spans="49:49" ht="15">
      <c r="AW472" s="18">
        <f t="shared" si="19"/>
        <v>0</v>
      </c>
    </row>
    <row r="473" spans="49:49" ht="15">
      <c r="AW473" s="18">
        <f t="shared" si="19"/>
        <v>0</v>
      </c>
    </row>
    <row r="474" spans="49:49" ht="15">
      <c r="AW474" s="18">
        <f t="shared" si="19"/>
        <v>0</v>
      </c>
    </row>
    <row r="475" spans="49:49" ht="15">
      <c r="AW475" s="18">
        <f t="shared" si="19"/>
        <v>0</v>
      </c>
    </row>
    <row r="476" spans="49:49" ht="15">
      <c r="AW476" s="18">
        <f t="shared" si="19"/>
        <v>0</v>
      </c>
    </row>
    <row r="477" spans="49:49" ht="15">
      <c r="AW477" s="18">
        <f t="shared" si="19"/>
        <v>0</v>
      </c>
    </row>
    <row r="478" spans="49:49" ht="15">
      <c r="AW478" s="18">
        <f t="shared" si="19"/>
        <v>0</v>
      </c>
    </row>
    <row r="479" spans="49:49" ht="15">
      <c r="AW479" s="18">
        <f t="shared" si="19"/>
        <v>0</v>
      </c>
    </row>
    <row r="480" spans="49:49" ht="15">
      <c r="AW480" s="18">
        <f t="shared" si="19"/>
        <v>0</v>
      </c>
    </row>
    <row r="481" spans="49:49" ht="15">
      <c r="AW481" s="18">
        <f t="shared" si="19"/>
        <v>0</v>
      </c>
    </row>
    <row r="482" spans="49:49" ht="15">
      <c r="AW482" s="18">
        <f t="shared" si="19"/>
        <v>0</v>
      </c>
    </row>
    <row r="483" spans="49:49" ht="15">
      <c r="AW483" s="18">
        <f t="shared" si="19"/>
        <v>0</v>
      </c>
    </row>
    <row r="484" spans="49:49" ht="15">
      <c r="AW484" s="18">
        <f t="shared" si="19"/>
        <v>0</v>
      </c>
    </row>
    <row r="485" spans="49:49" ht="15">
      <c r="AW485" s="18">
        <f t="shared" si="19"/>
        <v>0</v>
      </c>
    </row>
    <row r="486" spans="49:49" ht="15">
      <c r="AW486" s="18">
        <f t="shared" si="19"/>
        <v>0</v>
      </c>
    </row>
    <row r="487" spans="49:49" ht="15">
      <c r="AW487" s="18">
        <f t="shared" si="19"/>
        <v>0</v>
      </c>
    </row>
    <row r="488" spans="49:49" ht="15">
      <c r="AW488" s="18">
        <f t="shared" si="19"/>
        <v>0</v>
      </c>
    </row>
    <row r="489" spans="49:49" ht="15">
      <c r="AW489" s="18">
        <f t="shared" si="19"/>
        <v>0</v>
      </c>
    </row>
    <row r="490" spans="49:49" ht="15">
      <c r="AW490" s="18">
        <f t="shared" si="19"/>
        <v>0</v>
      </c>
    </row>
    <row r="491" spans="49:49" ht="15">
      <c r="AW491" s="18">
        <f t="shared" si="19"/>
        <v>0</v>
      </c>
    </row>
    <row r="492" spans="49:49" ht="15">
      <c r="AW492" s="18">
        <f t="shared" si="19"/>
        <v>0</v>
      </c>
    </row>
    <row r="493" spans="49:49" ht="15">
      <c r="AW493" s="18">
        <f t="shared" si="19"/>
        <v>0</v>
      </c>
    </row>
    <row r="494" spans="49:49" ht="15">
      <c r="AW494" s="18">
        <f t="shared" si="19"/>
        <v>0</v>
      </c>
    </row>
    <row r="495" spans="49:49" ht="15">
      <c r="AW495" s="18">
        <f t="shared" si="19"/>
        <v>0</v>
      </c>
    </row>
    <row r="496" spans="49:49" ht="15">
      <c r="AW496" s="18">
        <f t="shared" si="19"/>
        <v>0</v>
      </c>
    </row>
    <row r="497" spans="49:49" ht="15">
      <c r="AW497" s="18">
        <f t="shared" si="19"/>
        <v>0</v>
      </c>
    </row>
    <row r="498" spans="49:49" ht="15">
      <c r="AW498" s="18">
        <f t="shared" si="19"/>
        <v>0</v>
      </c>
    </row>
    <row r="499" spans="49:49" ht="15">
      <c r="AW499" s="18">
        <f t="shared" si="19"/>
        <v>0</v>
      </c>
    </row>
    <row r="500" spans="49:49" ht="15">
      <c r="AW500" s="18">
        <f t="shared" si="19"/>
        <v>0</v>
      </c>
    </row>
    <row r="501" spans="49:49" ht="15">
      <c r="AW501" s="18">
        <f t="shared" si="19"/>
        <v>0</v>
      </c>
    </row>
  </sheetData>
  <mergeCells count="54">
    <mergeCell ref="AA5:AA6"/>
    <mergeCell ref="W4:AD4"/>
    <mergeCell ref="AB5:AB6"/>
    <mergeCell ref="AC5:AC6"/>
    <mergeCell ref="AD5:AD6"/>
    <mergeCell ref="AU5:AU6"/>
    <mergeCell ref="AV5:AV6"/>
    <mergeCell ref="AX5:AX6"/>
    <mergeCell ref="AE4:AL4"/>
    <mergeCell ref="AI5:AI6"/>
    <mergeCell ref="AJ5:AJ6"/>
    <mergeCell ref="AK5:AK6"/>
    <mergeCell ref="AP5:AP6"/>
    <mergeCell ref="AQ5:AQ6"/>
    <mergeCell ref="AR5:AR6"/>
    <mergeCell ref="CC5:CD5"/>
    <mergeCell ref="AZ5:AZ6"/>
    <mergeCell ref="BA5:BE5"/>
    <mergeCell ref="BF5:BS5"/>
    <mergeCell ref="BT5:BW5"/>
    <mergeCell ref="BX5:BY5"/>
    <mergeCell ref="BZ5:CB5"/>
    <mergeCell ref="P5:P6"/>
    <mergeCell ref="Q5:Q6"/>
    <mergeCell ref="AT5:AT6"/>
    <mergeCell ref="AO5:AO6"/>
    <mergeCell ref="AL5:AL6"/>
    <mergeCell ref="U5:U6"/>
    <mergeCell ref="AF5:AF6"/>
    <mergeCell ref="AG5:AG6"/>
    <mergeCell ref="AH5:AH6"/>
    <mergeCell ref="AE5:AE6"/>
    <mergeCell ref="V5:V6"/>
    <mergeCell ref="AS5:AS6"/>
    <mergeCell ref="W5:W6"/>
    <mergeCell ref="X5:X6"/>
    <mergeCell ref="Y5:Y6"/>
    <mergeCell ref="Z5:Z6"/>
    <mergeCell ref="T5:T6"/>
    <mergeCell ref="B4:C4"/>
    <mergeCell ref="AO4:AU4"/>
    <mergeCell ref="B5:B6"/>
    <mergeCell ref="C5:C6"/>
    <mergeCell ref="D5:D6"/>
    <mergeCell ref="E5:E6"/>
    <mergeCell ref="H5:H6"/>
    <mergeCell ref="I5:I6"/>
    <mergeCell ref="J5:J6"/>
    <mergeCell ref="R5:R6"/>
    <mergeCell ref="S5:S6"/>
    <mergeCell ref="K5:K6"/>
    <mergeCell ref="L5:L6"/>
    <mergeCell ref="N5:N6"/>
    <mergeCell ref="O5:O6"/>
  </mergeCells>
  <phoneticPr fontId="13" type="noConversion"/>
  <conditionalFormatting sqref="AW113:AW65546 AW14:AW19 AW1:AW11 AW105:AW111 AW23:AW31 AW37:AW44 AW47:AW52 AW54:AW55 AW57:AW61">
    <cfRule type="cellIs" dxfId="60" priority="192" stopIfTrue="1" operator="greaterThan">
      <formula>42</formula>
    </cfRule>
  </conditionalFormatting>
  <conditionalFormatting sqref="AW55 AW57">
    <cfRule type="cellIs" dxfId="59" priority="33" stopIfTrue="1" operator="greaterThan">
      <formula>42</formula>
    </cfRule>
  </conditionalFormatting>
  <conditionalFormatting sqref="AW21">
    <cfRule type="cellIs" dxfId="58" priority="25" stopIfTrue="1" operator="greaterThan">
      <formula>42</formula>
    </cfRule>
  </conditionalFormatting>
  <conditionalFormatting sqref="AW20">
    <cfRule type="cellIs" dxfId="57" priority="24" stopIfTrue="1" operator="greaterThan">
      <formula>42</formula>
    </cfRule>
  </conditionalFormatting>
  <conditionalFormatting sqref="AW22">
    <cfRule type="cellIs" dxfId="56" priority="23" stopIfTrue="1" operator="greaterThan">
      <formula>42</formula>
    </cfRule>
  </conditionalFormatting>
  <conditionalFormatting sqref="AW112">
    <cfRule type="cellIs" dxfId="55" priority="22" stopIfTrue="1" operator="greaterThan">
      <formula>42</formula>
    </cfRule>
  </conditionalFormatting>
  <conditionalFormatting sqref="AW12">
    <cfRule type="cellIs" dxfId="54" priority="21" stopIfTrue="1" operator="greaterThan">
      <formula>42</formula>
    </cfRule>
  </conditionalFormatting>
  <conditionalFormatting sqref="AW13">
    <cfRule type="cellIs" dxfId="53" priority="20" stopIfTrue="1" operator="greaterThan">
      <formula>42</formula>
    </cfRule>
  </conditionalFormatting>
  <conditionalFormatting sqref="AW62:AW104">
    <cfRule type="cellIs" dxfId="52" priority="16" stopIfTrue="1" operator="greaterThan">
      <formula>42</formula>
    </cfRule>
  </conditionalFormatting>
  <conditionalFormatting sqref="AW32">
    <cfRule type="cellIs" dxfId="51" priority="15" stopIfTrue="1" operator="greaterThan">
      <formula>42</formula>
    </cfRule>
  </conditionalFormatting>
  <conditionalFormatting sqref="AW33">
    <cfRule type="cellIs" dxfId="50" priority="14" stopIfTrue="1" operator="greaterThan">
      <formula>42</formula>
    </cfRule>
  </conditionalFormatting>
  <conditionalFormatting sqref="AW34">
    <cfRule type="cellIs" dxfId="49" priority="13" stopIfTrue="1" operator="greaterThan">
      <formula>42</formula>
    </cfRule>
  </conditionalFormatting>
  <conditionalFormatting sqref="AW46">
    <cfRule type="cellIs" dxfId="48" priority="12" stopIfTrue="1" operator="greaterThan">
      <formula>42</formula>
    </cfRule>
  </conditionalFormatting>
  <conditionalFormatting sqref="AW53">
    <cfRule type="cellIs" dxfId="47" priority="11" stopIfTrue="1" operator="greaterThan">
      <formula>42</formula>
    </cfRule>
  </conditionalFormatting>
  <conditionalFormatting sqref="AW45">
    <cfRule type="cellIs" dxfId="46" priority="10" stopIfTrue="1" operator="greaterThan">
      <formula>42</formula>
    </cfRule>
  </conditionalFormatting>
  <conditionalFormatting sqref="AW56">
    <cfRule type="cellIs" dxfId="45" priority="9" stopIfTrue="1" operator="greaterThan">
      <formula>42</formula>
    </cfRule>
  </conditionalFormatting>
  <conditionalFormatting sqref="AW35">
    <cfRule type="cellIs" dxfId="44" priority="8" stopIfTrue="1" operator="greaterThan">
      <formula>42</formula>
    </cfRule>
  </conditionalFormatting>
  <conditionalFormatting sqref="AW36">
    <cfRule type="cellIs" dxfId="43" priority="7" stopIfTrue="1" operator="greaterThan">
      <formula>42</formula>
    </cfRule>
  </conditionalFormatting>
  <conditionalFormatting sqref="AW63:AW104">
    <cfRule type="cellIs" dxfId="42" priority="6" stopIfTrue="1" operator="greaterThan">
      <formula>42</formula>
    </cfRule>
  </conditionalFormatting>
  <conditionalFormatting sqref="AW63:AW104">
    <cfRule type="cellIs" dxfId="41" priority="5" stopIfTrue="1" operator="greaterThan">
      <formula>42</formula>
    </cfRule>
  </conditionalFormatting>
  <conditionalFormatting sqref="AW110">
    <cfRule type="cellIs" dxfId="40" priority="4" stopIfTrue="1" operator="greaterThan">
      <formula>42</formula>
    </cfRule>
  </conditionalFormatting>
  <conditionalFormatting sqref="AW110">
    <cfRule type="cellIs" dxfId="39" priority="3" stopIfTrue="1" operator="greaterThan">
      <formula>42</formula>
    </cfRule>
  </conditionalFormatting>
  <conditionalFormatting sqref="AW114">
    <cfRule type="cellIs" dxfId="38" priority="2" stopIfTrue="1" operator="greaterThan">
      <formula>42</formula>
    </cfRule>
  </conditionalFormatting>
  <conditionalFormatting sqref="AW114">
    <cfRule type="cellIs" dxfId="37" priority="1" stopIfTrue="1" operator="greaterThan">
      <formula>42</formula>
    </cfRule>
  </conditionalFormatting>
  <dataValidations count="3">
    <dataValidation type="textLength" operator="lessThanOrEqual" allowBlank="1" showInputMessage="1" showErrorMessage="1" sqref="AO63:AT67 AO82:AT84" xr:uid="{00000000-0002-0000-1000-000000000000}">
      <formula1>4</formula1>
    </dataValidation>
    <dataValidation type="textLength" operator="lessThan" allowBlank="1" showInputMessage="1" showErrorMessage="1" error="text length exceeded" prompt="max. 64 charcters" sqref="B63:D65 B67 C67:C69 C71:C74 B72:B73 B75:C76 B80:C85 D82:D84 C89:C91 B92:B94 B98" xr:uid="{00000000-0002-0000-1000-000001000000}">
      <formula1>65</formula1>
    </dataValidation>
    <dataValidation type="textLength" allowBlank="1" showInputMessage="1" showErrorMessage="1" sqref="AO68:AT69 AO71:AT76 AO80:AT81 AO85:AT85 AO89:AT94 AO98:AT98" xr:uid="{00000000-0002-0000-1000-000002000000}">
      <formula1>0</formula1>
      <formula2>4</formula2>
    </dataValidation>
  </dataValidations>
  <pageMargins left="0.78740157499999996" right="0.78740157499999996" top="0.984251969" bottom="0.984251969" header="0.49212598499999999" footer="0.49212598499999999"/>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8"/>
  <dimension ref="A1:CI466"/>
  <sheetViews>
    <sheetView showGridLines="0" showRuler="0" topLeftCell="A4" zoomScale="60" zoomScaleNormal="60" workbookViewId="0">
      <pane ySplit="3" topLeftCell="A7" activePane="bottomLeft" state="frozenSplit"/>
      <selection activeCell="A4" sqref="A4"/>
      <selection pane="bottomLeft" activeCell="M31" sqref="M31"/>
    </sheetView>
  </sheetViews>
  <sheetFormatPr defaultColWidth="8.88671875" defaultRowHeight="13.2"/>
  <cols>
    <col min="1" max="1" width="5.6640625" style="144" customWidth="1"/>
    <col min="2" max="2" width="46.44140625" hidden="1" customWidth="1"/>
    <col min="3" max="3" width="8.6640625" hidden="1" customWidth="1"/>
    <col min="4" max="4" width="0" hidden="1" customWidth="1"/>
    <col min="5" max="7" width="10" hidden="1" customWidth="1"/>
    <col min="8" max="9" width="0" hidden="1" customWidth="1"/>
    <col min="10" max="10" width="36.6640625" customWidth="1"/>
    <col min="11" max="11" width="25.44140625" customWidth="1"/>
    <col min="12" max="12" width="40.44140625" customWidth="1"/>
    <col min="13" max="13" width="37.5546875" customWidth="1"/>
    <col min="14" max="14" width="6.44140625" style="138" customWidth="1"/>
    <col min="15" max="16" width="5.6640625" style="138" customWidth="1"/>
    <col min="17" max="20" width="4.6640625" style="138" customWidth="1"/>
    <col min="21" max="21" width="72" style="144" customWidth="1"/>
    <col min="22" max="22" width="32.6640625" customWidth="1"/>
    <col min="23" max="23" width="19.109375" customWidth="1"/>
    <col min="24" max="25" width="5.6640625" customWidth="1"/>
    <col min="26" max="27" width="4.6640625" customWidth="1"/>
    <col min="28" max="28" width="19.109375" customWidth="1"/>
    <col min="29" max="29" width="16.109375" customWidth="1"/>
    <col min="30" max="30" width="22.109375" customWidth="1"/>
    <col min="31" max="31" width="19.109375" customWidth="1"/>
    <col min="32" max="33" width="5.6640625" customWidth="1"/>
    <col min="34" max="35" width="4.6640625" customWidth="1"/>
    <col min="36" max="36" width="33.6640625" customWidth="1"/>
    <col min="37" max="37" width="8.88671875" customWidth="1"/>
    <col min="38" max="38" width="24.44140625" customWidth="1"/>
    <col min="40" max="40" width="30.6640625" customWidth="1"/>
    <col min="48" max="48" width="30.6640625" customWidth="1"/>
    <col min="49" max="49" width="0" hidden="1" customWidth="1"/>
  </cols>
  <sheetData>
    <row r="1" spans="1:86" ht="13.8" hidden="1" thickBot="1"/>
    <row r="2" spans="1:86" ht="13.8" hidden="1" thickBot="1"/>
    <row r="3" spans="1:86" s="1" customFormat="1" ht="13.8" hidden="1" thickBot="1">
      <c r="A3" s="146"/>
      <c r="C3" s="2"/>
      <c r="E3" s="3"/>
      <c r="F3" s="3"/>
      <c r="G3" s="3"/>
      <c r="H3" s="3"/>
      <c r="I3" s="3"/>
      <c r="J3" s="3"/>
      <c r="K3" s="3"/>
      <c r="L3" s="3"/>
      <c r="M3" s="3"/>
      <c r="N3" s="136"/>
      <c r="O3" s="136"/>
      <c r="P3" s="136"/>
      <c r="Q3" s="136"/>
      <c r="R3" s="136"/>
      <c r="S3" s="136"/>
      <c r="T3" s="136"/>
      <c r="U3" s="136"/>
      <c r="V3" s="3"/>
      <c r="W3" s="3"/>
      <c r="X3" s="4"/>
      <c r="Y3" s="5"/>
      <c r="Z3" s="5"/>
      <c r="AA3" s="3"/>
      <c r="AB3" s="3"/>
      <c r="AC3" s="3"/>
      <c r="AD3" s="3"/>
      <c r="AE3" s="3"/>
      <c r="AF3" s="4"/>
      <c r="AG3" s="5"/>
      <c r="AH3" s="5"/>
      <c r="AI3" s="3"/>
      <c r="AJ3" s="3"/>
      <c r="AK3" s="2"/>
      <c r="AL3" s="2"/>
      <c r="AM3" s="2"/>
      <c r="AN3" s="2"/>
      <c r="AO3" s="2"/>
      <c r="AP3" s="2"/>
      <c r="AQ3" s="2"/>
    </row>
    <row r="4" spans="1:86" s="1" customFormat="1" ht="16.5" customHeight="1"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24" customHeight="1" thickBot="1">
      <c r="A5" s="159"/>
      <c r="B5" s="654" t="s">
        <v>469</v>
      </c>
      <c r="C5" s="654" t="s">
        <v>470</v>
      </c>
      <c r="D5" s="637" t="s">
        <v>471</v>
      </c>
      <c r="E5" s="637" t="s">
        <v>472</v>
      </c>
      <c r="F5" s="390"/>
      <c r="G5" s="390"/>
      <c r="H5" s="637" t="s">
        <v>475</v>
      </c>
      <c r="I5" s="646" t="s">
        <v>476</v>
      </c>
      <c r="J5" s="648" t="s">
        <v>477</v>
      </c>
      <c r="K5" s="648" t="s">
        <v>478</v>
      </c>
      <c r="L5" s="648" t="s">
        <v>479</v>
      </c>
      <c r="M5" s="588"/>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60.5" customHeight="1" thickBot="1">
      <c r="A6" s="58" t="s">
        <v>501</v>
      </c>
      <c r="B6" s="655"/>
      <c r="C6" s="655"/>
      <c r="D6" s="638"/>
      <c r="E6" s="638"/>
      <c r="F6" s="396" t="s">
        <v>473</v>
      </c>
      <c r="G6" s="396" t="s">
        <v>474</v>
      </c>
      <c r="H6" s="638"/>
      <c r="I6" s="647"/>
      <c r="J6" s="649"/>
      <c r="K6" s="649"/>
      <c r="L6" s="649"/>
      <c r="M6" s="589" t="s">
        <v>3506</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0">
        <f>ROW() - 6</f>
        <v>1</v>
      </c>
      <c r="B7" s="65"/>
      <c r="C7" s="65"/>
      <c r="D7" s="65"/>
      <c r="E7" s="65"/>
      <c r="F7" s="65"/>
      <c r="G7" s="65"/>
      <c r="H7" s="65"/>
      <c r="I7" s="65"/>
      <c r="J7" s="65" t="s">
        <v>503</v>
      </c>
      <c r="K7" s="65"/>
      <c r="L7" s="65"/>
      <c r="M7" s="65"/>
      <c r="N7" s="137"/>
      <c r="O7" s="137"/>
      <c r="P7" s="137"/>
      <c r="Q7" s="137"/>
      <c r="R7" s="137"/>
      <c r="S7" s="137"/>
      <c r="T7" s="137"/>
      <c r="U7" s="145"/>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65"/>
      <c r="AW7" s="18">
        <f t="shared" ref="AW7:AW15" si="0">LEN(L7)</f>
        <v>0</v>
      </c>
    </row>
    <row r="8" spans="1:86" s="20" customFormat="1" ht="26.4">
      <c r="A8" s="40">
        <f t="shared" ref="A8:A52" si="1">ROW() - 6</f>
        <v>2</v>
      </c>
      <c r="B8" s="59"/>
      <c r="C8" s="59"/>
      <c r="D8" s="59"/>
      <c r="E8" s="59"/>
      <c r="F8" s="59"/>
      <c r="G8" s="59"/>
      <c r="H8" s="59"/>
      <c r="I8" s="59"/>
      <c r="J8" s="218" t="s">
        <v>3208</v>
      </c>
      <c r="K8" s="412" t="s">
        <v>117</v>
      </c>
      <c r="L8" s="204" t="s">
        <v>3209</v>
      </c>
      <c r="M8" s="204"/>
      <c r="N8" s="126" t="s">
        <v>504</v>
      </c>
      <c r="O8" s="126"/>
      <c r="P8" s="126"/>
      <c r="Q8" s="40" t="s">
        <v>6</v>
      </c>
      <c r="R8" s="40" t="s">
        <v>6</v>
      </c>
      <c r="S8" s="40" t="s">
        <v>6</v>
      </c>
      <c r="T8" s="40" t="s">
        <v>6</v>
      </c>
      <c r="U8" s="204" t="s">
        <v>3210</v>
      </c>
      <c r="V8" s="206"/>
      <c r="W8" s="412" t="s">
        <v>125</v>
      </c>
      <c r="X8" s="59"/>
      <c r="Y8" s="59"/>
      <c r="Z8" s="59"/>
      <c r="AA8" s="40" t="s">
        <v>6</v>
      </c>
      <c r="AB8" s="15"/>
      <c r="AC8" s="59"/>
      <c r="AD8" s="59"/>
      <c r="AE8" s="412" t="s">
        <v>125</v>
      </c>
      <c r="AF8" s="59"/>
      <c r="AG8" s="59"/>
      <c r="AH8" s="59"/>
      <c r="AI8" s="40" t="s">
        <v>6</v>
      </c>
      <c r="AJ8" s="15"/>
      <c r="AK8" s="59"/>
      <c r="AL8" s="59"/>
      <c r="AM8" s="59"/>
      <c r="AN8" s="59"/>
      <c r="AO8" s="59"/>
      <c r="AP8" s="59"/>
      <c r="AQ8" s="59"/>
      <c r="AR8" s="59"/>
      <c r="AS8" s="59"/>
      <c r="AT8" s="59"/>
      <c r="AU8" s="59"/>
      <c r="AV8" s="59"/>
      <c r="AW8" s="18">
        <f t="shared" si="0"/>
        <v>23</v>
      </c>
    </row>
    <row r="9" spans="1:86" s="20" customFormat="1" ht="39.6">
      <c r="A9" s="40">
        <f t="shared" si="1"/>
        <v>3</v>
      </c>
      <c r="B9" s="59"/>
      <c r="C9" s="59"/>
      <c r="D9" s="59"/>
      <c r="E9" s="59"/>
      <c r="F9" s="59"/>
      <c r="G9" s="59"/>
      <c r="H9" s="59"/>
      <c r="I9" s="59"/>
      <c r="J9" s="218" t="s">
        <v>3211</v>
      </c>
      <c r="K9" s="412" t="s">
        <v>3212</v>
      </c>
      <c r="L9" s="204" t="s">
        <v>3213</v>
      </c>
      <c r="M9" s="204"/>
      <c r="N9" s="126" t="s">
        <v>504</v>
      </c>
      <c r="O9" s="126"/>
      <c r="P9" s="126"/>
      <c r="Q9" s="40" t="s">
        <v>6</v>
      </c>
      <c r="R9" s="40" t="s">
        <v>6</v>
      </c>
      <c r="S9" s="40" t="s">
        <v>6</v>
      </c>
      <c r="T9" s="40" t="s">
        <v>6</v>
      </c>
      <c r="U9" s="204" t="s">
        <v>3214</v>
      </c>
      <c r="V9" s="206"/>
      <c r="W9" s="412" t="s">
        <v>125</v>
      </c>
      <c r="X9" s="59"/>
      <c r="Y9" s="59"/>
      <c r="Z9" s="59"/>
      <c r="AA9" s="40" t="s">
        <v>6</v>
      </c>
      <c r="AB9" s="15"/>
      <c r="AC9" s="59"/>
      <c r="AD9" s="59"/>
      <c r="AE9" s="412" t="s">
        <v>125</v>
      </c>
      <c r="AF9" s="59"/>
      <c r="AG9" s="59"/>
      <c r="AH9" s="59"/>
      <c r="AI9" s="40" t="s">
        <v>6</v>
      </c>
      <c r="AJ9" s="15"/>
      <c r="AK9" s="59"/>
      <c r="AL9" s="59"/>
      <c r="AM9" s="59"/>
      <c r="AN9" s="59"/>
      <c r="AO9" s="59"/>
      <c r="AP9" s="59"/>
      <c r="AQ9" s="59"/>
      <c r="AR9" s="59"/>
      <c r="AS9" s="59"/>
      <c r="AT9" s="59"/>
      <c r="AU9" s="59"/>
      <c r="AV9" s="59"/>
      <c r="AW9" s="18">
        <f t="shared" si="0"/>
        <v>35</v>
      </c>
    </row>
    <row r="10" spans="1:86" s="236" customFormat="1" ht="15">
      <c r="A10" s="40">
        <f t="shared" si="1"/>
        <v>4</v>
      </c>
      <c r="B10" s="199"/>
      <c r="C10" s="199"/>
      <c r="D10" s="199"/>
      <c r="E10" s="199"/>
      <c r="F10" s="199"/>
      <c r="G10" s="199"/>
      <c r="H10" s="199"/>
      <c r="I10" s="199" t="s">
        <v>868</v>
      </c>
      <c r="J10" s="218" t="s">
        <v>3215</v>
      </c>
      <c r="K10" s="232" t="s">
        <v>117</v>
      </c>
      <c r="L10" s="204" t="s">
        <v>763</v>
      </c>
      <c r="M10" s="204"/>
      <c r="N10" s="126" t="s">
        <v>504</v>
      </c>
      <c r="O10" s="126"/>
      <c r="P10" s="126"/>
      <c r="Q10" s="40" t="s">
        <v>6</v>
      </c>
      <c r="R10" s="40" t="s">
        <v>6</v>
      </c>
      <c r="S10" s="126" t="s">
        <v>6</v>
      </c>
      <c r="T10" s="40" t="s">
        <v>6</v>
      </c>
      <c r="U10" s="204"/>
      <c r="V10" s="204"/>
      <c r="W10" s="232" t="s">
        <v>125</v>
      </c>
      <c r="X10" s="211"/>
      <c r="Y10" s="211"/>
      <c r="Z10" s="211"/>
      <c r="AA10" s="126" t="s">
        <v>6</v>
      </c>
      <c r="AB10" s="198"/>
      <c r="AC10" s="199"/>
      <c r="AD10" s="199"/>
      <c r="AE10" s="232" t="s">
        <v>125</v>
      </c>
      <c r="AF10" s="211"/>
      <c r="AG10" s="211"/>
      <c r="AH10" s="211"/>
      <c r="AI10" s="126" t="s">
        <v>6</v>
      </c>
      <c r="AJ10" s="198"/>
      <c r="AK10" s="199"/>
      <c r="AL10" s="199"/>
      <c r="AM10" s="199"/>
      <c r="AN10" s="199"/>
      <c r="AO10" s="199"/>
      <c r="AP10" s="199"/>
      <c r="AQ10" s="199"/>
      <c r="AR10" s="199"/>
      <c r="AS10" s="199"/>
      <c r="AT10" s="199"/>
      <c r="AU10" s="199"/>
      <c r="AV10" s="199"/>
      <c r="AW10" s="155">
        <f t="shared" si="0"/>
        <v>24</v>
      </c>
    </row>
    <row r="11" spans="1:86" s="236" customFormat="1" ht="15">
      <c r="A11" s="40">
        <f t="shared" si="1"/>
        <v>5</v>
      </c>
      <c r="B11" s="199"/>
      <c r="C11" s="199"/>
      <c r="D11" s="199"/>
      <c r="E11" s="199"/>
      <c r="F11" s="199"/>
      <c r="G11" s="199"/>
      <c r="H11" s="199"/>
      <c r="I11" s="199" t="s">
        <v>868</v>
      </c>
      <c r="J11" s="218" t="s">
        <v>3216</v>
      </c>
      <c r="K11" s="232" t="s">
        <v>117</v>
      </c>
      <c r="L11" s="204" t="s">
        <v>765</v>
      </c>
      <c r="M11" s="204"/>
      <c r="N11" s="126" t="s">
        <v>504</v>
      </c>
      <c r="O11" s="126"/>
      <c r="P11" s="126"/>
      <c r="Q11" s="40" t="s">
        <v>6</v>
      </c>
      <c r="R11" s="40" t="s">
        <v>6</v>
      </c>
      <c r="S11" s="126" t="s">
        <v>6</v>
      </c>
      <c r="T11" s="40" t="s">
        <v>6</v>
      </c>
      <c r="U11" s="200"/>
      <c r="V11" s="204"/>
      <c r="W11" s="232" t="s">
        <v>125</v>
      </c>
      <c r="X11" s="199"/>
      <c r="Y11" s="199"/>
      <c r="Z11" s="199"/>
      <c r="AA11" s="126" t="s">
        <v>6</v>
      </c>
      <c r="AB11" s="198"/>
      <c r="AC11" s="199"/>
      <c r="AD11" s="199"/>
      <c r="AE11" s="232" t="s">
        <v>125</v>
      </c>
      <c r="AF11" s="199"/>
      <c r="AG11" s="199"/>
      <c r="AH11" s="199"/>
      <c r="AI11" s="126" t="s">
        <v>6</v>
      </c>
      <c r="AJ11" s="198"/>
      <c r="AK11" s="199"/>
      <c r="AL11" s="199"/>
      <c r="AM11" s="199"/>
      <c r="AN11" s="199"/>
      <c r="AO11" s="199"/>
      <c r="AP11" s="199"/>
      <c r="AQ11" s="199"/>
      <c r="AR11" s="199"/>
      <c r="AS11" s="199"/>
      <c r="AT11" s="199"/>
      <c r="AU11" s="199"/>
      <c r="AV11" s="199"/>
      <c r="AW11" s="155">
        <f t="shared" si="0"/>
        <v>25</v>
      </c>
    </row>
    <row r="12" spans="1:86" s="236" customFormat="1" ht="15">
      <c r="A12" s="40">
        <f t="shared" si="1"/>
        <v>6</v>
      </c>
      <c r="B12" s="199"/>
      <c r="C12" s="199"/>
      <c r="D12" s="199"/>
      <c r="E12" s="199"/>
      <c r="F12" s="199"/>
      <c r="G12" s="199"/>
      <c r="H12" s="199"/>
      <c r="I12" s="199" t="s">
        <v>868</v>
      </c>
      <c r="J12" s="218" t="s">
        <v>3217</v>
      </c>
      <c r="K12" s="232" t="s">
        <v>117</v>
      </c>
      <c r="L12" s="204" t="s">
        <v>767</v>
      </c>
      <c r="M12" s="204"/>
      <c r="N12" s="126" t="s">
        <v>504</v>
      </c>
      <c r="O12" s="126"/>
      <c r="P12" s="126"/>
      <c r="Q12" s="40" t="s">
        <v>6</v>
      </c>
      <c r="R12" s="40" t="s">
        <v>6</v>
      </c>
      <c r="S12" s="126" t="s">
        <v>6</v>
      </c>
      <c r="T12" s="40" t="s">
        <v>6</v>
      </c>
      <c r="U12" s="200"/>
      <c r="V12" s="204"/>
      <c r="W12" s="232" t="s">
        <v>125</v>
      </c>
      <c r="X12" s="199"/>
      <c r="Y12" s="199"/>
      <c r="Z12" s="199"/>
      <c r="AA12" s="126" t="s">
        <v>6</v>
      </c>
      <c r="AB12" s="198"/>
      <c r="AC12" s="199"/>
      <c r="AD12" s="199"/>
      <c r="AE12" s="232" t="s">
        <v>125</v>
      </c>
      <c r="AF12" s="199"/>
      <c r="AG12" s="199"/>
      <c r="AH12" s="199"/>
      <c r="AI12" s="126" t="s">
        <v>6</v>
      </c>
      <c r="AJ12" s="198"/>
      <c r="AK12" s="199"/>
      <c r="AL12" s="199"/>
      <c r="AM12" s="199"/>
      <c r="AN12" s="199"/>
      <c r="AO12" s="199"/>
      <c r="AP12" s="199"/>
      <c r="AQ12" s="199"/>
      <c r="AR12" s="199"/>
      <c r="AS12" s="199"/>
      <c r="AT12" s="199"/>
      <c r="AU12" s="199"/>
      <c r="AV12" s="199"/>
      <c r="AW12" s="155">
        <f t="shared" si="0"/>
        <v>25</v>
      </c>
    </row>
    <row r="13" spans="1:86" s="20" customFormat="1" ht="15">
      <c r="A13" s="40">
        <f t="shared" si="1"/>
        <v>7</v>
      </c>
      <c r="B13" s="59"/>
      <c r="C13" s="59"/>
      <c r="D13" s="59"/>
      <c r="E13" s="59"/>
      <c r="F13" s="59"/>
      <c r="G13" s="59"/>
      <c r="H13" s="59"/>
      <c r="I13" s="59"/>
      <c r="J13" s="215" t="s">
        <v>3218</v>
      </c>
      <c r="K13" s="412" t="s">
        <v>140</v>
      </c>
      <c r="L13" s="215" t="s">
        <v>3219</v>
      </c>
      <c r="M13" s="215"/>
      <c r="N13" s="126" t="s">
        <v>504</v>
      </c>
      <c r="O13" s="202"/>
      <c r="P13" s="126"/>
      <c r="Q13" s="126" t="s">
        <v>6</v>
      </c>
      <c r="R13" s="126" t="s">
        <v>6</v>
      </c>
      <c r="S13" s="40"/>
      <c r="T13" s="126" t="s">
        <v>6</v>
      </c>
      <c r="U13" s="199"/>
      <c r="V13" s="59"/>
      <c r="W13" s="412" t="s">
        <v>3220</v>
      </c>
      <c r="X13" s="202"/>
      <c r="Y13" s="59"/>
      <c r="Z13" s="61" t="s">
        <v>6</v>
      </c>
      <c r="AA13" s="40" t="s">
        <v>6</v>
      </c>
      <c r="AB13" s="59"/>
      <c r="AC13" s="59"/>
      <c r="AD13" s="59"/>
      <c r="AE13" s="412" t="s">
        <v>3220</v>
      </c>
      <c r="AF13" s="202"/>
      <c r="AG13" s="59"/>
      <c r="AH13" s="61" t="s">
        <v>6</v>
      </c>
      <c r="AI13" s="40" t="s">
        <v>6</v>
      </c>
      <c r="AJ13" s="59"/>
      <c r="AK13" s="59"/>
      <c r="AL13" s="59"/>
      <c r="AM13" s="59"/>
      <c r="AN13" s="59"/>
      <c r="AO13" s="59"/>
      <c r="AP13" s="59"/>
      <c r="AQ13" s="59"/>
      <c r="AR13" s="59"/>
      <c r="AS13" s="59"/>
      <c r="AT13" s="59"/>
      <c r="AU13" s="59"/>
      <c r="AV13" s="59"/>
      <c r="AW13" s="18">
        <f t="shared" si="0"/>
        <v>31</v>
      </c>
    </row>
    <row r="14" spans="1:86" s="20" customFormat="1" ht="15">
      <c r="A14" s="40">
        <f t="shared" si="1"/>
        <v>8</v>
      </c>
      <c r="B14" s="59"/>
      <c r="C14" s="59"/>
      <c r="D14" s="59"/>
      <c r="E14" s="59"/>
      <c r="F14" s="59"/>
      <c r="G14" s="59"/>
      <c r="H14" s="59"/>
      <c r="I14" s="59"/>
      <c r="J14" s="215" t="s">
        <v>3221</v>
      </c>
      <c r="K14" s="412" t="s">
        <v>140</v>
      </c>
      <c r="L14" s="215" t="s">
        <v>3222</v>
      </c>
      <c r="M14" s="215"/>
      <c r="N14" s="126" t="s">
        <v>504</v>
      </c>
      <c r="O14" s="202"/>
      <c r="P14" s="126"/>
      <c r="Q14" s="126" t="s">
        <v>6</v>
      </c>
      <c r="R14" s="126" t="s">
        <v>6</v>
      </c>
      <c r="S14" s="40" t="s">
        <v>6</v>
      </c>
      <c r="T14" s="126" t="s">
        <v>6</v>
      </c>
      <c r="U14" s="199"/>
      <c r="V14" s="59"/>
      <c r="W14" s="412" t="s">
        <v>3220</v>
      </c>
      <c r="X14" s="202"/>
      <c r="Y14" s="59"/>
      <c r="Z14" s="61" t="s">
        <v>6</v>
      </c>
      <c r="AA14" s="40" t="s">
        <v>6</v>
      </c>
      <c r="AB14" s="59"/>
      <c r="AC14" s="59"/>
      <c r="AD14" s="59"/>
      <c r="AE14" s="412" t="s">
        <v>3220</v>
      </c>
      <c r="AF14" s="202"/>
      <c r="AG14" s="59"/>
      <c r="AH14" s="61" t="s">
        <v>6</v>
      </c>
      <c r="AI14" s="40" t="s">
        <v>6</v>
      </c>
      <c r="AJ14" s="59"/>
      <c r="AK14" s="59"/>
      <c r="AL14" s="59"/>
      <c r="AM14" s="59"/>
      <c r="AN14" s="59"/>
      <c r="AO14" s="59"/>
      <c r="AP14" s="59"/>
      <c r="AQ14" s="59"/>
      <c r="AR14" s="59"/>
      <c r="AS14" s="59"/>
      <c r="AT14" s="59"/>
      <c r="AU14" s="59"/>
      <c r="AV14" s="59"/>
      <c r="AW14" s="18">
        <f t="shared" si="0"/>
        <v>31</v>
      </c>
    </row>
    <row r="15" spans="1:86" s="20" customFormat="1" ht="15">
      <c r="A15" s="40">
        <f t="shared" si="1"/>
        <v>9</v>
      </c>
      <c r="B15" s="38"/>
      <c r="C15" s="41"/>
      <c r="D15" s="38"/>
      <c r="E15" s="46"/>
      <c r="F15" s="46"/>
      <c r="G15" s="46"/>
      <c r="H15" s="13"/>
      <c r="I15" s="40"/>
      <c r="J15" s="218" t="s">
        <v>3223</v>
      </c>
      <c r="K15" s="412" t="s">
        <v>128</v>
      </c>
      <c r="L15" s="204" t="s">
        <v>703</v>
      </c>
      <c r="M15" s="204"/>
      <c r="N15" s="126" t="s">
        <v>504</v>
      </c>
      <c r="O15" s="126"/>
      <c r="P15" s="40"/>
      <c r="Q15" s="126" t="s">
        <v>6</v>
      </c>
      <c r="R15" s="126" t="s">
        <v>6</v>
      </c>
      <c r="S15" s="126" t="s">
        <v>6</v>
      </c>
      <c r="T15" s="126" t="s">
        <v>6</v>
      </c>
      <c r="U15" s="204"/>
      <c r="V15" s="206"/>
      <c r="W15" s="412" t="s">
        <v>125</v>
      </c>
      <c r="X15" s="59"/>
      <c r="Y15" s="59"/>
      <c r="Z15" s="59"/>
      <c r="AA15" s="61" t="s">
        <v>6</v>
      </c>
      <c r="AB15" s="79"/>
      <c r="AC15" s="59"/>
      <c r="AD15" s="59"/>
      <c r="AE15" s="412" t="s">
        <v>125</v>
      </c>
      <c r="AF15" s="59"/>
      <c r="AG15" s="59"/>
      <c r="AH15" s="59"/>
      <c r="AI15" s="61" t="s">
        <v>6</v>
      </c>
      <c r="AJ15" s="79"/>
      <c r="AK15" s="59"/>
      <c r="AL15" s="59"/>
      <c r="AM15" s="43"/>
      <c r="AN15" s="19"/>
      <c r="AO15" s="13"/>
      <c r="AP15" s="13"/>
      <c r="AQ15" s="13"/>
      <c r="AR15" s="13"/>
      <c r="AS15" s="13"/>
      <c r="AT15" s="13"/>
      <c r="AU15" s="13"/>
      <c r="AV15" s="19"/>
      <c r="AW15" s="18">
        <f t="shared" si="0"/>
        <v>19</v>
      </c>
    </row>
    <row r="16" spans="1:86" s="236" customFormat="1" ht="15">
      <c r="A16" s="40">
        <f t="shared" si="1"/>
        <v>10</v>
      </c>
      <c r="B16" s="199"/>
      <c r="C16" s="199"/>
      <c r="D16" s="199"/>
      <c r="E16" s="199"/>
      <c r="F16" s="199"/>
      <c r="G16" s="199"/>
      <c r="H16" s="199"/>
      <c r="I16" s="199"/>
      <c r="J16" s="218" t="s">
        <v>3224</v>
      </c>
      <c r="K16" s="204" t="s">
        <v>128</v>
      </c>
      <c r="L16" s="204" t="s">
        <v>737</v>
      </c>
      <c r="M16" s="204"/>
      <c r="N16" s="40" t="s">
        <v>504</v>
      </c>
      <c r="O16" s="199"/>
      <c r="P16" s="199"/>
      <c r="Q16" s="40"/>
      <c r="R16" s="126"/>
      <c r="S16" s="40" t="s">
        <v>6</v>
      </c>
      <c r="T16" s="40" t="s">
        <v>6</v>
      </c>
      <c r="U16" s="200" t="s">
        <v>3225</v>
      </c>
      <c r="V16" s="198"/>
      <c r="W16" s="204" t="s">
        <v>125</v>
      </c>
      <c r="X16" s="199"/>
      <c r="Y16" s="199"/>
      <c r="Z16" s="199"/>
      <c r="AA16" s="40" t="s">
        <v>6</v>
      </c>
      <c r="AB16" s="198"/>
      <c r="AC16" s="199"/>
      <c r="AD16" s="199"/>
      <c r="AE16" s="204" t="s">
        <v>125</v>
      </c>
      <c r="AF16" s="199"/>
      <c r="AG16" s="199"/>
      <c r="AH16" s="199"/>
      <c r="AI16" s="40" t="s">
        <v>6</v>
      </c>
      <c r="AJ16" s="198"/>
      <c r="AK16" s="199"/>
      <c r="AL16" s="199"/>
      <c r="AM16" s="199"/>
      <c r="AN16" s="199"/>
      <c r="AO16" s="199"/>
      <c r="AP16" s="199"/>
      <c r="AQ16" s="199"/>
      <c r="AR16" s="199"/>
      <c r="AS16" s="199"/>
      <c r="AT16" s="199"/>
      <c r="AU16" s="199"/>
      <c r="AV16" s="199"/>
      <c r="AW16" s="155">
        <f t="shared" ref="AW16:AW91" si="2">LEN(L16)</f>
        <v>28</v>
      </c>
    </row>
    <row r="17" spans="1:87" s="236" customFormat="1" ht="26.4">
      <c r="A17" s="40">
        <f t="shared" si="1"/>
        <v>11</v>
      </c>
      <c r="B17" s="199"/>
      <c r="C17" s="199"/>
      <c r="D17" s="199"/>
      <c r="E17" s="199"/>
      <c r="F17" s="199"/>
      <c r="G17" s="199"/>
      <c r="H17" s="199"/>
      <c r="I17" s="199"/>
      <c r="J17" s="218" t="s">
        <v>3226</v>
      </c>
      <c r="K17" s="204" t="s">
        <v>117</v>
      </c>
      <c r="L17" s="204" t="s">
        <v>695</v>
      </c>
      <c r="M17" s="204"/>
      <c r="N17" s="40" t="s">
        <v>504</v>
      </c>
      <c r="O17" s="199"/>
      <c r="P17" s="199"/>
      <c r="Q17" s="40" t="s">
        <v>6</v>
      </c>
      <c r="R17" s="40" t="s">
        <v>6</v>
      </c>
      <c r="S17" s="40"/>
      <c r="T17" s="40" t="s">
        <v>6</v>
      </c>
      <c r="U17" s="200" t="s">
        <v>3227</v>
      </c>
      <c r="V17" s="198"/>
      <c r="W17" s="204" t="s">
        <v>125</v>
      </c>
      <c r="X17" s="199"/>
      <c r="Y17" s="199"/>
      <c r="Z17" s="199"/>
      <c r="AA17" s="40" t="s">
        <v>6</v>
      </c>
      <c r="AB17" s="198"/>
      <c r="AC17" s="199"/>
      <c r="AD17" s="199"/>
      <c r="AE17" s="204" t="s">
        <v>125</v>
      </c>
      <c r="AF17" s="199"/>
      <c r="AG17" s="199"/>
      <c r="AH17" s="199"/>
      <c r="AI17" s="40" t="s">
        <v>6</v>
      </c>
      <c r="AJ17" s="198"/>
      <c r="AK17" s="199"/>
      <c r="AL17" s="199"/>
      <c r="AM17" s="199"/>
      <c r="AN17" s="199"/>
      <c r="AO17" s="199"/>
      <c r="AP17" s="199"/>
      <c r="AQ17" s="199"/>
      <c r="AR17" s="199"/>
      <c r="AS17" s="199"/>
      <c r="AT17" s="199"/>
      <c r="AU17" s="199"/>
      <c r="AV17" s="199"/>
      <c r="AW17" s="155">
        <f t="shared" si="2"/>
        <v>23</v>
      </c>
    </row>
    <row r="18" spans="1:87" s="236" customFormat="1" ht="15">
      <c r="A18" s="40">
        <f t="shared" si="1"/>
        <v>12</v>
      </c>
      <c r="B18" s="199"/>
      <c r="C18" s="199"/>
      <c r="D18" s="199"/>
      <c r="E18" s="199"/>
      <c r="F18" s="199"/>
      <c r="G18" s="199"/>
      <c r="H18" s="199"/>
      <c r="I18" s="199"/>
      <c r="J18" s="218" t="s">
        <v>3228</v>
      </c>
      <c r="K18" s="204" t="s">
        <v>117</v>
      </c>
      <c r="L18" s="204" t="s">
        <v>697</v>
      </c>
      <c r="M18" s="204"/>
      <c r="N18" s="40" t="s">
        <v>504</v>
      </c>
      <c r="O18" s="199"/>
      <c r="P18" s="199"/>
      <c r="Q18" s="40"/>
      <c r="R18" s="40"/>
      <c r="S18" s="40" t="s">
        <v>6</v>
      </c>
      <c r="T18" s="40" t="s">
        <v>6</v>
      </c>
      <c r="U18" s="200" t="s">
        <v>3229</v>
      </c>
      <c r="V18" s="198"/>
      <c r="W18" s="204" t="s">
        <v>125</v>
      </c>
      <c r="X18" s="199"/>
      <c r="Y18" s="199"/>
      <c r="Z18" s="199"/>
      <c r="AA18" s="40" t="s">
        <v>6</v>
      </c>
      <c r="AB18" s="198"/>
      <c r="AC18" s="199"/>
      <c r="AD18" s="199"/>
      <c r="AE18" s="204" t="s">
        <v>125</v>
      </c>
      <c r="AF18" s="199"/>
      <c r="AG18" s="199"/>
      <c r="AH18" s="199"/>
      <c r="AI18" s="40" t="s">
        <v>6</v>
      </c>
      <c r="AJ18" s="198"/>
      <c r="AK18" s="199"/>
      <c r="AL18" s="199"/>
      <c r="AM18" s="199"/>
      <c r="AN18" s="199"/>
      <c r="AO18" s="199"/>
      <c r="AP18" s="199"/>
      <c r="AQ18" s="199"/>
      <c r="AR18" s="199"/>
      <c r="AS18" s="199"/>
      <c r="AT18" s="199"/>
      <c r="AU18" s="199"/>
      <c r="AV18" s="199"/>
      <c r="AW18" s="155">
        <f t="shared" si="2"/>
        <v>28</v>
      </c>
    </row>
    <row r="19" spans="1:87" s="236" customFormat="1" ht="36" customHeight="1">
      <c r="A19" s="40">
        <f t="shared" si="1"/>
        <v>13</v>
      </c>
      <c r="B19" s="199"/>
      <c r="C19" s="199"/>
      <c r="D19" s="199"/>
      <c r="E19" s="199"/>
      <c r="F19" s="199"/>
      <c r="G19" s="199"/>
      <c r="H19" s="199"/>
      <c r="I19" s="199"/>
      <c r="J19" s="218" t="s">
        <v>3230</v>
      </c>
      <c r="K19" s="204" t="s">
        <v>117</v>
      </c>
      <c r="L19" s="204" t="s">
        <v>699</v>
      </c>
      <c r="M19" s="204"/>
      <c r="N19" s="40" t="s">
        <v>504</v>
      </c>
      <c r="O19" s="199"/>
      <c r="P19" s="199"/>
      <c r="Q19" s="40"/>
      <c r="R19" s="40"/>
      <c r="S19" s="40" t="s">
        <v>6</v>
      </c>
      <c r="T19" s="40" t="s">
        <v>6</v>
      </c>
      <c r="U19" s="200" t="s">
        <v>3225</v>
      </c>
      <c r="V19" s="198"/>
      <c r="W19" s="204" t="s">
        <v>125</v>
      </c>
      <c r="X19" s="199"/>
      <c r="Y19" s="199"/>
      <c r="Z19" s="199"/>
      <c r="AA19" s="40" t="s">
        <v>6</v>
      </c>
      <c r="AB19" s="198"/>
      <c r="AC19" s="199"/>
      <c r="AD19" s="199"/>
      <c r="AE19" s="204" t="s">
        <v>125</v>
      </c>
      <c r="AF19" s="199"/>
      <c r="AG19" s="199"/>
      <c r="AH19" s="199"/>
      <c r="AI19" s="40" t="s">
        <v>6</v>
      </c>
      <c r="AJ19" s="198"/>
      <c r="AK19" s="199"/>
      <c r="AL19" s="199"/>
      <c r="AM19" s="199"/>
      <c r="AN19" s="199"/>
      <c r="AO19" s="199"/>
      <c r="AP19" s="199"/>
      <c r="AQ19" s="199"/>
      <c r="AR19" s="199"/>
      <c r="AS19" s="199"/>
      <c r="AT19" s="199"/>
      <c r="AU19" s="199"/>
      <c r="AV19" s="199"/>
      <c r="AW19" s="155">
        <f t="shared" ref="AW19" si="3">LEN(L19)</f>
        <v>32</v>
      </c>
    </row>
    <row r="20" spans="1:87" s="20" customFormat="1" ht="15">
      <c r="A20" s="40">
        <v>4</v>
      </c>
      <c r="B20" s="59"/>
      <c r="C20" s="59"/>
      <c r="D20" s="59"/>
      <c r="E20" s="59"/>
      <c r="F20" s="59"/>
      <c r="G20" s="59"/>
      <c r="H20" s="59"/>
      <c r="I20" s="59"/>
      <c r="J20" s="218" t="s">
        <v>5549</v>
      </c>
      <c r="K20" s="412" t="s">
        <v>117</v>
      </c>
      <c r="L20" s="204" t="s">
        <v>5550</v>
      </c>
      <c r="M20" s="204"/>
      <c r="N20" s="126" t="s">
        <v>504</v>
      </c>
      <c r="O20" s="126"/>
      <c r="P20" s="126"/>
      <c r="Q20" s="40" t="s">
        <v>6</v>
      </c>
      <c r="R20" s="40" t="s">
        <v>6</v>
      </c>
      <c r="S20" s="40" t="s">
        <v>6</v>
      </c>
      <c r="T20" s="40"/>
      <c r="U20" s="200" t="s">
        <v>5551</v>
      </c>
      <c r="V20" s="206"/>
      <c r="W20" s="412" t="s">
        <v>125</v>
      </c>
      <c r="X20" s="59"/>
      <c r="Y20" s="59"/>
      <c r="Z20" s="59"/>
      <c r="AA20" s="40" t="s">
        <v>6</v>
      </c>
      <c r="AB20" s="15"/>
      <c r="AC20" s="59"/>
      <c r="AD20" s="59"/>
      <c r="AE20" s="412" t="s">
        <v>125</v>
      </c>
      <c r="AF20" s="59"/>
      <c r="AG20" s="59"/>
      <c r="AH20" s="59"/>
      <c r="AI20" s="40" t="s">
        <v>6</v>
      </c>
      <c r="AJ20" s="15"/>
      <c r="AK20" s="59"/>
      <c r="AL20" s="59"/>
      <c r="AM20" s="59"/>
      <c r="AN20" s="59"/>
      <c r="AO20" s="59"/>
      <c r="AP20" s="59"/>
      <c r="AQ20" s="59"/>
      <c r="AR20" s="59"/>
      <c r="AS20" s="59"/>
      <c r="AT20" s="59"/>
      <c r="AU20" s="59"/>
      <c r="AV20" s="59"/>
      <c r="AW20" s="18"/>
    </row>
    <row r="21" spans="1:87" s="20" customFormat="1" ht="26.4">
      <c r="A21" s="40">
        <v>5</v>
      </c>
      <c r="B21" s="59"/>
      <c r="C21" s="59"/>
      <c r="D21" s="59"/>
      <c r="E21" s="59"/>
      <c r="F21" s="59"/>
      <c r="G21" s="59"/>
      <c r="H21" s="59"/>
      <c r="I21" s="59"/>
      <c r="J21" s="218" t="s">
        <v>5552</v>
      </c>
      <c r="K21" s="412" t="s">
        <v>117</v>
      </c>
      <c r="L21" s="204" t="s">
        <v>5553</v>
      </c>
      <c r="M21" s="204"/>
      <c r="N21" s="126" t="s">
        <v>504</v>
      </c>
      <c r="O21" s="126"/>
      <c r="P21" s="126"/>
      <c r="Q21" s="40" t="s">
        <v>6</v>
      </c>
      <c r="R21" s="40" t="s">
        <v>6</v>
      </c>
      <c r="S21" s="40" t="s">
        <v>6</v>
      </c>
      <c r="T21" s="40"/>
      <c r="U21" s="200" t="s">
        <v>5554</v>
      </c>
      <c r="V21" s="206"/>
      <c r="W21" s="412" t="s">
        <v>125</v>
      </c>
      <c r="X21" s="59"/>
      <c r="Y21" s="59"/>
      <c r="Z21" s="59"/>
      <c r="AA21" s="40" t="s">
        <v>6</v>
      </c>
      <c r="AB21" s="15"/>
      <c r="AC21" s="59"/>
      <c r="AD21" s="59"/>
      <c r="AE21" s="412" t="s">
        <v>125</v>
      </c>
      <c r="AF21" s="59"/>
      <c r="AG21" s="59"/>
      <c r="AH21" s="59"/>
      <c r="AI21" s="40" t="s">
        <v>6</v>
      </c>
      <c r="AJ21" s="15"/>
      <c r="AK21" s="59"/>
      <c r="AL21" s="59"/>
      <c r="AM21" s="59"/>
      <c r="AN21" s="59"/>
      <c r="AO21" s="59"/>
      <c r="AP21" s="59"/>
      <c r="AQ21" s="59"/>
      <c r="AR21" s="59"/>
      <c r="AS21" s="59"/>
      <c r="AT21" s="59"/>
      <c r="AU21" s="59"/>
      <c r="AV21" s="59"/>
      <c r="AW21" s="18"/>
    </row>
    <row r="22" spans="1:87" s="20" customFormat="1" ht="15">
      <c r="A22" s="40">
        <v>6</v>
      </c>
      <c r="B22" s="59"/>
      <c r="C22" s="59"/>
      <c r="D22" s="59"/>
      <c r="E22" s="59"/>
      <c r="F22" s="59"/>
      <c r="G22" s="59"/>
      <c r="H22" s="59"/>
      <c r="I22" s="59"/>
      <c r="J22" s="218" t="s">
        <v>5555</v>
      </c>
      <c r="K22" s="412" t="s">
        <v>117</v>
      </c>
      <c r="L22" s="204" t="s">
        <v>5556</v>
      </c>
      <c r="M22" s="204"/>
      <c r="N22" s="126" t="s">
        <v>504</v>
      </c>
      <c r="O22" s="126"/>
      <c r="P22" s="126"/>
      <c r="Q22" s="40" t="s">
        <v>6</v>
      </c>
      <c r="R22" s="40" t="s">
        <v>6</v>
      </c>
      <c r="S22" s="40" t="s">
        <v>6</v>
      </c>
      <c r="T22" s="40"/>
      <c r="U22" s="200" t="s">
        <v>5557</v>
      </c>
      <c r="V22" s="206"/>
      <c r="W22" s="412" t="s">
        <v>125</v>
      </c>
      <c r="X22" s="59"/>
      <c r="Y22" s="59"/>
      <c r="Z22" s="59"/>
      <c r="AA22" s="40" t="s">
        <v>6</v>
      </c>
      <c r="AB22" s="15"/>
      <c r="AC22" s="59"/>
      <c r="AD22" s="59"/>
      <c r="AE22" s="412" t="s">
        <v>125</v>
      </c>
      <c r="AF22" s="59"/>
      <c r="AG22" s="59"/>
      <c r="AH22" s="59"/>
      <c r="AI22" s="40" t="s">
        <v>6</v>
      </c>
      <c r="AJ22" s="15"/>
      <c r="AK22" s="59"/>
      <c r="AL22" s="59"/>
      <c r="AM22" s="59"/>
      <c r="AN22" s="59"/>
      <c r="AO22" s="59"/>
      <c r="AP22" s="59"/>
      <c r="AQ22" s="59"/>
      <c r="AR22" s="59"/>
      <c r="AS22" s="59"/>
      <c r="AT22" s="59"/>
      <c r="AU22" s="59"/>
      <c r="AV22" s="59"/>
      <c r="AW22" s="18"/>
    </row>
    <row r="23" spans="1:87" s="18" customFormat="1" ht="15">
      <c r="A23" s="40">
        <v>10</v>
      </c>
      <c r="B23" s="19"/>
      <c r="C23" s="41"/>
      <c r="D23" s="19"/>
      <c r="E23" s="19"/>
      <c r="F23" s="19"/>
      <c r="G23" s="19"/>
      <c r="H23" s="13"/>
      <c r="I23" s="13"/>
      <c r="J23" s="218" t="s">
        <v>5558</v>
      </c>
      <c r="K23" s="412" t="s">
        <v>117</v>
      </c>
      <c r="L23" s="204" t="s">
        <v>5559</v>
      </c>
      <c r="M23" s="204"/>
      <c r="N23" s="126" t="s">
        <v>504</v>
      </c>
      <c r="O23" s="126"/>
      <c r="P23" s="126"/>
      <c r="Q23" s="416" t="s">
        <v>6</v>
      </c>
      <c r="R23" s="416" t="s">
        <v>6</v>
      </c>
      <c r="S23" s="40" t="s">
        <v>6</v>
      </c>
      <c r="T23" s="40"/>
      <c r="U23" s="204" t="s">
        <v>768</v>
      </c>
      <c r="V23" s="206"/>
      <c r="W23" s="412" t="s">
        <v>125</v>
      </c>
      <c r="X23" s="59"/>
      <c r="Y23" s="59"/>
      <c r="Z23" s="59"/>
      <c r="AA23" s="40" t="s">
        <v>6</v>
      </c>
      <c r="AB23" s="45"/>
      <c r="AC23" s="415"/>
      <c r="AD23" s="415"/>
      <c r="AE23" s="412" t="s">
        <v>125</v>
      </c>
      <c r="AF23" s="59"/>
      <c r="AG23" s="59"/>
      <c r="AH23" s="59"/>
      <c r="AI23" s="40" t="s">
        <v>6</v>
      </c>
      <c r="AJ23" s="45"/>
      <c r="AK23" s="415"/>
      <c r="AL23" s="415"/>
      <c r="AM23" s="43"/>
      <c r="AN23" s="13"/>
      <c r="AO23" s="15"/>
      <c r="AP23" s="15"/>
      <c r="AQ23" s="15"/>
      <c r="AR23" s="15"/>
      <c r="AS23" s="15"/>
      <c r="AT23" s="15"/>
      <c r="AU23" s="13"/>
      <c r="AV23" s="15"/>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row>
    <row r="24" spans="1:87" s="18" customFormat="1" ht="15">
      <c r="A24" s="40">
        <v>11</v>
      </c>
      <c r="B24" s="19"/>
      <c r="C24" s="41"/>
      <c r="D24" s="19"/>
      <c r="E24" s="19"/>
      <c r="F24" s="19"/>
      <c r="G24" s="19"/>
      <c r="H24" s="13"/>
      <c r="I24" s="13"/>
      <c r="J24" s="218" t="s">
        <v>5560</v>
      </c>
      <c r="K24" s="412" t="s">
        <v>117</v>
      </c>
      <c r="L24" s="204" t="s">
        <v>5561</v>
      </c>
      <c r="M24" s="204"/>
      <c r="N24" s="126" t="s">
        <v>504</v>
      </c>
      <c r="O24" s="126"/>
      <c r="P24" s="126"/>
      <c r="Q24" s="416" t="s">
        <v>6</v>
      </c>
      <c r="R24" s="416" t="s">
        <v>6</v>
      </c>
      <c r="S24" s="40" t="s">
        <v>6</v>
      </c>
      <c r="T24" s="40"/>
      <c r="U24" s="200" t="s">
        <v>5562</v>
      </c>
      <c r="V24" s="206"/>
      <c r="W24" s="412" t="s">
        <v>125</v>
      </c>
      <c r="X24" s="59"/>
      <c r="Y24" s="59"/>
      <c r="Z24" s="59"/>
      <c r="AA24" s="40" t="s">
        <v>6</v>
      </c>
      <c r="AB24" s="45"/>
      <c r="AC24" s="415"/>
      <c r="AD24" s="415"/>
      <c r="AE24" s="412" t="s">
        <v>125</v>
      </c>
      <c r="AF24" s="59"/>
      <c r="AG24" s="59"/>
      <c r="AH24" s="59"/>
      <c r="AI24" s="40" t="s">
        <v>6</v>
      </c>
      <c r="AJ24" s="45"/>
      <c r="AK24" s="415"/>
      <c r="AL24" s="415"/>
      <c r="AM24" s="43"/>
      <c r="AN24" s="13"/>
      <c r="AO24" s="15"/>
      <c r="AP24" s="15"/>
      <c r="AQ24" s="15"/>
      <c r="AR24" s="15"/>
      <c r="AS24" s="15"/>
      <c r="AT24" s="15"/>
      <c r="AU24" s="13"/>
      <c r="AV24" s="15"/>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row>
    <row r="25" spans="1:87" s="18" customFormat="1" ht="15">
      <c r="A25" s="40">
        <v>12</v>
      </c>
      <c r="B25" s="19"/>
      <c r="C25" s="41"/>
      <c r="D25" s="19"/>
      <c r="E25" s="19"/>
      <c r="F25" s="19"/>
      <c r="G25" s="19"/>
      <c r="H25" s="13"/>
      <c r="I25" s="13"/>
      <c r="J25" s="218" t="s">
        <v>5563</v>
      </c>
      <c r="K25" s="412" t="s">
        <v>117</v>
      </c>
      <c r="L25" s="204" t="s">
        <v>5564</v>
      </c>
      <c r="M25" s="204"/>
      <c r="N25" s="126" t="s">
        <v>504</v>
      </c>
      <c r="O25" s="126"/>
      <c r="P25" s="126"/>
      <c r="Q25" s="416" t="s">
        <v>6</v>
      </c>
      <c r="R25" s="416" t="s">
        <v>6</v>
      </c>
      <c r="S25" s="40" t="s">
        <v>6</v>
      </c>
      <c r="T25" s="40"/>
      <c r="U25" s="204" t="s">
        <v>768</v>
      </c>
      <c r="V25" s="206"/>
      <c r="W25" s="412" t="s">
        <v>125</v>
      </c>
      <c r="X25" s="59"/>
      <c r="Y25" s="59"/>
      <c r="Z25" s="59"/>
      <c r="AA25" s="40" t="s">
        <v>6</v>
      </c>
      <c r="AB25" s="45"/>
      <c r="AC25" s="415"/>
      <c r="AD25" s="415"/>
      <c r="AE25" s="412" t="s">
        <v>125</v>
      </c>
      <c r="AF25" s="59"/>
      <c r="AG25" s="59"/>
      <c r="AH25" s="59"/>
      <c r="AI25" s="40" t="s">
        <v>6</v>
      </c>
      <c r="AJ25" s="45"/>
      <c r="AK25" s="415"/>
      <c r="AL25" s="415"/>
      <c r="AM25" s="43"/>
      <c r="AN25" s="13"/>
      <c r="AO25" s="15"/>
      <c r="AP25" s="15"/>
      <c r="AQ25" s="15"/>
      <c r="AR25" s="15"/>
      <c r="AS25" s="15"/>
      <c r="AT25" s="15"/>
      <c r="AU25" s="13"/>
      <c r="AV25" s="15"/>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row>
    <row r="26" spans="1:87" s="18" customFormat="1" ht="26.4">
      <c r="A26" s="40">
        <v>13</v>
      </c>
      <c r="B26" s="19"/>
      <c r="C26" s="41"/>
      <c r="D26" s="19"/>
      <c r="E26" s="19"/>
      <c r="F26" s="19"/>
      <c r="G26" s="19"/>
      <c r="H26" s="13"/>
      <c r="I26" s="13"/>
      <c r="J26" s="218" t="s">
        <v>5565</v>
      </c>
      <c r="K26" s="412" t="s">
        <v>117</v>
      </c>
      <c r="L26" s="204" t="s">
        <v>5566</v>
      </c>
      <c r="M26" s="204"/>
      <c r="N26" s="126" t="s">
        <v>504</v>
      </c>
      <c r="O26" s="126"/>
      <c r="P26" s="126"/>
      <c r="Q26" s="416" t="s">
        <v>6</v>
      </c>
      <c r="R26" s="416" t="s">
        <v>6</v>
      </c>
      <c r="S26" s="40" t="s">
        <v>6</v>
      </c>
      <c r="T26" s="40"/>
      <c r="U26" s="200" t="s">
        <v>5554</v>
      </c>
      <c r="V26" s="206"/>
      <c r="W26" s="412" t="s">
        <v>125</v>
      </c>
      <c r="X26" s="59"/>
      <c r="Y26" s="59"/>
      <c r="Z26" s="59"/>
      <c r="AA26" s="40" t="s">
        <v>6</v>
      </c>
      <c r="AB26" s="45"/>
      <c r="AC26" s="415"/>
      <c r="AD26" s="415"/>
      <c r="AE26" s="412" t="s">
        <v>125</v>
      </c>
      <c r="AF26" s="59"/>
      <c r="AG26" s="59"/>
      <c r="AH26" s="59"/>
      <c r="AI26" s="40" t="s">
        <v>6</v>
      </c>
      <c r="AJ26" s="45"/>
      <c r="AK26" s="415"/>
      <c r="AL26" s="415"/>
      <c r="AM26" s="43"/>
      <c r="AN26" s="13"/>
      <c r="AO26" s="15"/>
      <c r="AP26" s="15"/>
      <c r="AQ26" s="15"/>
      <c r="AR26" s="15"/>
      <c r="AS26" s="15"/>
      <c r="AT26" s="15"/>
      <c r="AU26" s="13"/>
      <c r="AV26" s="15"/>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row>
    <row r="27" spans="1:87" s="18" customFormat="1" ht="15">
      <c r="A27" s="40">
        <v>14</v>
      </c>
      <c r="B27" s="19"/>
      <c r="C27" s="41"/>
      <c r="D27" s="19"/>
      <c r="E27" s="19"/>
      <c r="F27" s="19"/>
      <c r="G27" s="19"/>
      <c r="H27" s="13"/>
      <c r="I27" s="13"/>
      <c r="J27" s="218" t="s">
        <v>5567</v>
      </c>
      <c r="K27" s="412" t="s">
        <v>117</v>
      </c>
      <c r="L27" s="204" t="s">
        <v>3983</v>
      </c>
      <c r="M27" s="204"/>
      <c r="N27" s="126" t="s">
        <v>504</v>
      </c>
      <c r="O27" s="126"/>
      <c r="P27" s="126"/>
      <c r="Q27" s="416" t="s">
        <v>6</v>
      </c>
      <c r="R27" s="416" t="s">
        <v>6</v>
      </c>
      <c r="S27" s="40" t="s">
        <v>6</v>
      </c>
      <c r="T27" s="40"/>
      <c r="U27" s="204" t="s">
        <v>768</v>
      </c>
      <c r="V27" s="206"/>
      <c r="W27" s="412" t="s">
        <v>125</v>
      </c>
      <c r="X27" s="59"/>
      <c r="Y27" s="59"/>
      <c r="Z27" s="59"/>
      <c r="AA27" s="40" t="s">
        <v>6</v>
      </c>
      <c r="AB27" s="45"/>
      <c r="AC27" s="415"/>
      <c r="AD27" s="415"/>
      <c r="AE27" s="412" t="s">
        <v>125</v>
      </c>
      <c r="AF27" s="59"/>
      <c r="AG27" s="59"/>
      <c r="AH27" s="59"/>
      <c r="AI27" s="40" t="s">
        <v>6</v>
      </c>
      <c r="AJ27" s="45"/>
      <c r="AK27" s="415"/>
      <c r="AL27" s="415"/>
      <c r="AM27" s="43"/>
      <c r="AN27" s="13"/>
      <c r="AO27" s="15"/>
      <c r="AP27" s="15"/>
      <c r="AQ27" s="15"/>
      <c r="AR27" s="15"/>
      <c r="AS27" s="15"/>
      <c r="AT27" s="15"/>
      <c r="AU27" s="13"/>
      <c r="AV27" s="15"/>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row>
    <row r="28" spans="1:87" s="20" customFormat="1" ht="26.4">
      <c r="A28" s="40">
        <v>15</v>
      </c>
      <c r="B28" s="59"/>
      <c r="C28" s="59"/>
      <c r="D28" s="59"/>
      <c r="E28" s="59"/>
      <c r="F28" s="59"/>
      <c r="G28" s="59"/>
      <c r="H28" s="59"/>
      <c r="I28" s="59"/>
      <c r="J28" s="218" t="s">
        <v>5568</v>
      </c>
      <c r="K28" s="204" t="s">
        <v>117</v>
      </c>
      <c r="L28" s="204" t="s">
        <v>3992</v>
      </c>
      <c r="M28" s="204"/>
      <c r="N28" s="126" t="s">
        <v>504</v>
      </c>
      <c r="O28" s="126"/>
      <c r="P28" s="126"/>
      <c r="Q28" s="40" t="s">
        <v>6</v>
      </c>
      <c r="R28" s="40" t="s">
        <v>6</v>
      </c>
      <c r="S28" s="40" t="s">
        <v>6</v>
      </c>
      <c r="T28" s="40"/>
      <c r="U28" s="204" t="s">
        <v>4919</v>
      </c>
      <c r="V28" s="206"/>
      <c r="W28" s="204" t="s">
        <v>125</v>
      </c>
      <c r="X28" s="59"/>
      <c r="Y28" s="59"/>
      <c r="Z28" s="59"/>
      <c r="AA28" s="40" t="s">
        <v>6</v>
      </c>
      <c r="AB28" s="15"/>
      <c r="AC28" s="59"/>
      <c r="AD28" s="59"/>
      <c r="AE28" s="204" t="s">
        <v>125</v>
      </c>
      <c r="AF28" s="59"/>
      <c r="AG28" s="59"/>
      <c r="AH28" s="59"/>
      <c r="AI28" s="40" t="s">
        <v>6</v>
      </c>
      <c r="AJ28" s="15"/>
      <c r="AK28" s="59"/>
      <c r="AL28" s="59"/>
      <c r="AM28" s="59"/>
      <c r="AN28" s="59"/>
      <c r="AO28" s="59"/>
      <c r="AP28" s="59"/>
      <c r="AQ28" s="59"/>
      <c r="AR28" s="59"/>
      <c r="AS28" s="59"/>
      <c r="AT28" s="59"/>
      <c r="AU28" s="59"/>
      <c r="AV28" s="59"/>
      <c r="AW28" s="18"/>
    </row>
    <row r="29" spans="1:87" s="20" customFormat="1" ht="26.4">
      <c r="A29" s="40">
        <v>16</v>
      </c>
      <c r="B29" s="59"/>
      <c r="C29" s="59"/>
      <c r="D29" s="59"/>
      <c r="E29" s="59"/>
      <c r="F29" s="59"/>
      <c r="G29" s="59"/>
      <c r="H29" s="59"/>
      <c r="I29" s="59"/>
      <c r="J29" s="218" t="s">
        <v>5569</v>
      </c>
      <c r="K29" s="204" t="s">
        <v>117</v>
      </c>
      <c r="L29" s="204" t="s">
        <v>3994</v>
      </c>
      <c r="M29" s="204"/>
      <c r="N29" s="126" t="s">
        <v>504</v>
      </c>
      <c r="O29" s="126"/>
      <c r="P29" s="126"/>
      <c r="Q29" s="40" t="s">
        <v>6</v>
      </c>
      <c r="R29" s="40" t="s">
        <v>6</v>
      </c>
      <c r="S29" s="40" t="s">
        <v>6</v>
      </c>
      <c r="T29" s="40"/>
      <c r="U29" s="204" t="s">
        <v>4919</v>
      </c>
      <c r="V29" s="206"/>
      <c r="W29" s="204" t="s">
        <v>125</v>
      </c>
      <c r="X29" s="59"/>
      <c r="Y29" s="59"/>
      <c r="Z29" s="59"/>
      <c r="AA29" s="40" t="s">
        <v>6</v>
      </c>
      <c r="AB29" s="15"/>
      <c r="AC29" s="59"/>
      <c r="AD29" s="59"/>
      <c r="AE29" s="204" t="s">
        <v>125</v>
      </c>
      <c r="AF29" s="59"/>
      <c r="AG29" s="59"/>
      <c r="AH29" s="59"/>
      <c r="AI29" s="40" t="s">
        <v>6</v>
      </c>
      <c r="AJ29" s="15"/>
      <c r="AK29" s="59"/>
      <c r="AL29" s="59"/>
      <c r="AM29" s="59"/>
      <c r="AN29" s="59"/>
      <c r="AO29" s="59"/>
      <c r="AP29" s="59"/>
      <c r="AQ29" s="59"/>
      <c r="AR29" s="59"/>
      <c r="AS29" s="59"/>
      <c r="AT29" s="59"/>
      <c r="AU29" s="59"/>
      <c r="AV29" s="59"/>
      <c r="AW29" s="18"/>
    </row>
    <row r="30" spans="1:87" s="20" customFormat="1" ht="26.4">
      <c r="A30" s="40">
        <v>17</v>
      </c>
      <c r="B30" s="59"/>
      <c r="C30" s="59"/>
      <c r="D30" s="59"/>
      <c r="E30" s="59"/>
      <c r="F30" s="59"/>
      <c r="G30" s="59"/>
      <c r="H30" s="59"/>
      <c r="I30" s="59"/>
      <c r="J30" s="218" t="s">
        <v>5570</v>
      </c>
      <c r="K30" s="204" t="s">
        <v>117</v>
      </c>
      <c r="L30" s="204" t="s">
        <v>3998</v>
      </c>
      <c r="M30" s="204"/>
      <c r="N30" s="126" t="s">
        <v>504</v>
      </c>
      <c r="O30" s="126"/>
      <c r="P30" s="126"/>
      <c r="Q30" s="40" t="s">
        <v>6</v>
      </c>
      <c r="R30" s="40" t="s">
        <v>6</v>
      </c>
      <c r="S30" s="40" t="s">
        <v>6</v>
      </c>
      <c r="T30" s="40"/>
      <c r="U30" s="204" t="s">
        <v>4919</v>
      </c>
      <c r="V30" s="206"/>
      <c r="W30" s="204" t="s">
        <v>125</v>
      </c>
      <c r="X30" s="59"/>
      <c r="Y30" s="59"/>
      <c r="Z30" s="59"/>
      <c r="AA30" s="40" t="s">
        <v>6</v>
      </c>
      <c r="AB30" s="15"/>
      <c r="AC30" s="59"/>
      <c r="AD30" s="59"/>
      <c r="AE30" s="204" t="s">
        <v>125</v>
      </c>
      <c r="AF30" s="59"/>
      <c r="AG30" s="59"/>
      <c r="AH30" s="59"/>
      <c r="AI30" s="40" t="s">
        <v>6</v>
      </c>
      <c r="AJ30" s="15"/>
      <c r="AK30" s="59"/>
      <c r="AL30" s="59"/>
      <c r="AM30" s="59"/>
      <c r="AN30" s="59"/>
      <c r="AO30" s="59"/>
      <c r="AP30" s="59"/>
      <c r="AQ30" s="59"/>
      <c r="AR30" s="59"/>
      <c r="AS30" s="59"/>
      <c r="AT30" s="59"/>
      <c r="AU30" s="59"/>
      <c r="AV30" s="59"/>
      <c r="AW30" s="18"/>
    </row>
    <row r="31" spans="1:87" s="20" customFormat="1" ht="39.6">
      <c r="A31" s="40">
        <v>18</v>
      </c>
      <c r="B31" s="59"/>
      <c r="C31" s="59"/>
      <c r="D31" s="59"/>
      <c r="E31" s="59"/>
      <c r="F31" s="59"/>
      <c r="G31" s="59"/>
      <c r="H31" s="59"/>
      <c r="I31" s="59"/>
      <c r="J31" s="218" t="s">
        <v>5571</v>
      </c>
      <c r="K31" s="204" t="s">
        <v>117</v>
      </c>
      <c r="L31" s="204" t="s">
        <v>4025</v>
      </c>
      <c r="M31" s="204"/>
      <c r="N31" s="126" t="s">
        <v>504</v>
      </c>
      <c r="O31" s="126"/>
      <c r="P31" s="126"/>
      <c r="Q31" s="40"/>
      <c r="R31" s="40" t="s">
        <v>6</v>
      </c>
      <c r="S31" s="40" t="s">
        <v>6</v>
      </c>
      <c r="T31" s="40"/>
      <c r="U31" s="204" t="s">
        <v>4787</v>
      </c>
      <c r="V31" s="206"/>
      <c r="W31" s="215" t="s">
        <v>125</v>
      </c>
      <c r="X31" s="59"/>
      <c r="Y31" s="59"/>
      <c r="Z31" s="40"/>
      <c r="AA31" s="40" t="s">
        <v>6</v>
      </c>
      <c r="AB31" s="218"/>
      <c r="AC31" s="59"/>
      <c r="AD31" s="59"/>
      <c r="AE31" s="215" t="s">
        <v>125</v>
      </c>
      <c r="AF31" s="59"/>
      <c r="AG31" s="59"/>
      <c r="AH31" s="40"/>
      <c r="AI31" s="40" t="s">
        <v>6</v>
      </c>
      <c r="AJ31" s="218"/>
      <c r="AK31" s="59"/>
      <c r="AL31" s="59"/>
      <c r="AM31" s="59"/>
      <c r="AN31" s="59"/>
      <c r="AO31" s="59"/>
      <c r="AP31" s="59"/>
      <c r="AQ31" s="59"/>
      <c r="AR31" s="59"/>
      <c r="AS31" s="59"/>
      <c r="AT31" s="59"/>
      <c r="AU31" s="59"/>
      <c r="AV31" s="59"/>
      <c r="AW31" s="18"/>
    </row>
    <row r="32" spans="1:87" s="20" customFormat="1" ht="15">
      <c r="A32" s="40">
        <v>19</v>
      </c>
      <c r="B32" s="59"/>
      <c r="C32" s="59"/>
      <c r="D32" s="59"/>
      <c r="E32" s="59"/>
      <c r="F32" s="59"/>
      <c r="G32" s="59"/>
      <c r="H32" s="59"/>
      <c r="I32" s="59"/>
      <c r="J32" s="218" t="s">
        <v>5572</v>
      </c>
      <c r="K32" s="204" t="s">
        <v>117</v>
      </c>
      <c r="L32" s="204" t="s">
        <v>5573</v>
      </c>
      <c r="M32" s="204"/>
      <c r="N32" s="126" t="s">
        <v>504</v>
      </c>
      <c r="O32" s="126"/>
      <c r="P32" s="126"/>
      <c r="Q32" s="40" t="s">
        <v>6</v>
      </c>
      <c r="R32" s="40" t="s">
        <v>6</v>
      </c>
      <c r="S32" s="40" t="s">
        <v>6</v>
      </c>
      <c r="T32" s="40"/>
      <c r="U32" s="204" t="s">
        <v>5574</v>
      </c>
      <c r="V32" s="206"/>
      <c r="W32" s="204" t="s">
        <v>133</v>
      </c>
      <c r="X32" s="59"/>
      <c r="Y32" s="59"/>
      <c r="Z32" s="40" t="s">
        <v>6</v>
      </c>
      <c r="AA32" s="40"/>
      <c r="AB32" s="215"/>
      <c r="AC32" s="59"/>
      <c r="AD32" s="59"/>
      <c r="AE32" s="204" t="s">
        <v>133</v>
      </c>
      <c r="AF32" s="59"/>
      <c r="AG32" s="59"/>
      <c r="AH32" s="40" t="s">
        <v>6</v>
      </c>
      <c r="AI32" s="40"/>
      <c r="AJ32" s="215"/>
      <c r="AK32" s="59"/>
      <c r="AL32" s="59"/>
      <c r="AM32" s="59"/>
      <c r="AN32" s="59"/>
      <c r="AO32" s="59"/>
      <c r="AP32" s="59"/>
      <c r="AQ32" s="59"/>
      <c r="AR32" s="59"/>
      <c r="AS32" s="59"/>
      <c r="AT32" s="59"/>
      <c r="AU32" s="59"/>
      <c r="AV32" s="59"/>
      <c r="AW32" s="18"/>
    </row>
    <row r="33" spans="1:87" s="20" customFormat="1" ht="15">
      <c r="A33" s="40">
        <v>20</v>
      </c>
      <c r="B33" s="59"/>
      <c r="C33" s="59"/>
      <c r="D33" s="59"/>
      <c r="E33" s="59"/>
      <c r="F33" s="59"/>
      <c r="G33" s="59"/>
      <c r="H33" s="59"/>
      <c r="I33" s="59"/>
      <c r="J33" s="215" t="s">
        <v>5575</v>
      </c>
      <c r="K33" s="412" t="s">
        <v>140</v>
      </c>
      <c r="L33" s="215" t="s">
        <v>5576</v>
      </c>
      <c r="M33" s="215"/>
      <c r="N33" s="126" t="s">
        <v>504</v>
      </c>
      <c r="O33" s="202"/>
      <c r="P33" s="126"/>
      <c r="Q33" s="126" t="s">
        <v>6</v>
      </c>
      <c r="R33" s="126" t="s">
        <v>6</v>
      </c>
      <c r="S33" s="40"/>
      <c r="T33" s="40"/>
      <c r="U33" s="199"/>
      <c r="V33" s="59"/>
      <c r="W33" s="412" t="s">
        <v>140</v>
      </c>
      <c r="X33" s="202"/>
      <c r="Y33" s="59"/>
      <c r="Z33" s="61" t="s">
        <v>6</v>
      </c>
      <c r="AA33" s="40" t="s">
        <v>6</v>
      </c>
      <c r="AB33" s="59"/>
      <c r="AC33" s="59"/>
      <c r="AD33" s="59"/>
      <c r="AE33" s="412" t="s">
        <v>140</v>
      </c>
      <c r="AF33" s="202"/>
      <c r="AG33" s="59"/>
      <c r="AH33" s="61" t="s">
        <v>6</v>
      </c>
      <c r="AI33" s="40" t="s">
        <v>6</v>
      </c>
      <c r="AJ33" s="59"/>
      <c r="AK33" s="59"/>
      <c r="AL33" s="59"/>
      <c r="AM33" s="59"/>
      <c r="AN33" s="59"/>
      <c r="AO33" s="59"/>
      <c r="AP33" s="59"/>
      <c r="AQ33" s="59"/>
      <c r="AR33" s="59"/>
      <c r="AS33" s="59"/>
      <c r="AT33" s="59"/>
      <c r="AU33" s="59"/>
      <c r="AV33" s="59"/>
      <c r="AW33" s="18"/>
    </row>
    <row r="34" spans="1:87" s="20" customFormat="1" ht="15">
      <c r="A34" s="40">
        <v>23</v>
      </c>
      <c r="B34" s="59"/>
      <c r="C34" s="59"/>
      <c r="D34" s="59"/>
      <c r="E34" s="59"/>
      <c r="F34" s="59"/>
      <c r="G34" s="59"/>
      <c r="H34" s="59"/>
      <c r="I34" s="59"/>
      <c r="J34" s="215" t="s">
        <v>5577</v>
      </c>
      <c r="K34" s="412" t="s">
        <v>140</v>
      </c>
      <c r="L34" s="239" t="s">
        <v>5578</v>
      </c>
      <c r="M34" s="239"/>
      <c r="N34" s="126" t="s">
        <v>504</v>
      </c>
      <c r="O34" s="202"/>
      <c r="P34" s="126"/>
      <c r="Q34" s="126" t="s">
        <v>6</v>
      </c>
      <c r="R34" s="126" t="s">
        <v>6</v>
      </c>
      <c r="S34" s="40" t="s">
        <v>6</v>
      </c>
      <c r="T34" s="126"/>
      <c r="U34" s="199"/>
      <c r="V34" s="59"/>
      <c r="W34" s="412" t="s">
        <v>3220</v>
      </c>
      <c r="X34" s="202"/>
      <c r="Y34" s="59"/>
      <c r="Z34" s="61" t="s">
        <v>6</v>
      </c>
      <c r="AA34" s="40" t="s">
        <v>6</v>
      </c>
      <c r="AB34" s="59"/>
      <c r="AC34" s="59"/>
      <c r="AD34" s="59"/>
      <c r="AE34" s="412" t="s">
        <v>3220</v>
      </c>
      <c r="AF34" s="202"/>
      <c r="AG34" s="59"/>
      <c r="AH34" s="61" t="s">
        <v>6</v>
      </c>
      <c r="AI34" s="40" t="s">
        <v>6</v>
      </c>
      <c r="AJ34" s="59"/>
      <c r="AK34" s="59"/>
      <c r="AL34" s="59"/>
      <c r="AM34" s="59"/>
      <c r="AN34" s="59"/>
      <c r="AO34" s="59"/>
      <c r="AP34" s="59"/>
      <c r="AQ34" s="59"/>
      <c r="AR34" s="59"/>
      <c r="AS34" s="59"/>
      <c r="AT34" s="59"/>
      <c r="AU34" s="59"/>
      <c r="AV34" s="59"/>
      <c r="AW34" s="18"/>
    </row>
    <row r="35" spans="1:87" s="20" customFormat="1" ht="26.4">
      <c r="A35" s="40">
        <v>24</v>
      </c>
      <c r="B35" s="59"/>
      <c r="C35" s="59"/>
      <c r="D35" s="59"/>
      <c r="E35" s="59"/>
      <c r="F35" s="59"/>
      <c r="G35" s="59"/>
      <c r="H35" s="59"/>
      <c r="I35" s="59"/>
      <c r="J35" s="215" t="s">
        <v>5579</v>
      </c>
      <c r="K35" s="412" t="s">
        <v>140</v>
      </c>
      <c r="L35" s="239" t="s">
        <v>5580</v>
      </c>
      <c r="M35" s="239"/>
      <c r="N35" s="126" t="s">
        <v>504</v>
      </c>
      <c r="O35" s="202"/>
      <c r="P35" s="126"/>
      <c r="Q35" s="126" t="s">
        <v>6</v>
      </c>
      <c r="R35" s="126" t="s">
        <v>6</v>
      </c>
      <c r="S35" s="40" t="s">
        <v>6</v>
      </c>
      <c r="T35" s="40"/>
      <c r="U35" s="204" t="s">
        <v>5581</v>
      </c>
      <c r="V35" s="206"/>
      <c r="W35" s="412" t="s">
        <v>137</v>
      </c>
      <c r="X35" s="202"/>
      <c r="Y35" s="59"/>
      <c r="Z35" s="59"/>
      <c r="AA35" s="40" t="s">
        <v>6</v>
      </c>
      <c r="AB35" s="59"/>
      <c r="AC35" s="59"/>
      <c r="AD35" s="59"/>
      <c r="AE35" s="412" t="s">
        <v>137</v>
      </c>
      <c r="AF35" s="202"/>
      <c r="AG35" s="59"/>
      <c r="AH35" s="59"/>
      <c r="AI35" s="40" t="s">
        <v>6</v>
      </c>
      <c r="AJ35" s="59"/>
      <c r="AK35" s="59"/>
      <c r="AL35" s="59"/>
      <c r="AM35" s="59"/>
      <c r="AN35" s="59"/>
      <c r="AO35" s="59"/>
      <c r="AP35" s="59"/>
      <c r="AQ35" s="59"/>
      <c r="AR35" s="59"/>
      <c r="AS35" s="59"/>
      <c r="AT35" s="59"/>
      <c r="AU35" s="59"/>
      <c r="AV35" s="59"/>
      <c r="AW35" s="18"/>
    </row>
    <row r="36" spans="1:87" s="20" customFormat="1" ht="26.4">
      <c r="A36" s="40">
        <v>25</v>
      </c>
      <c r="B36" s="59"/>
      <c r="C36" s="59"/>
      <c r="D36" s="59"/>
      <c r="E36" s="59"/>
      <c r="F36" s="59"/>
      <c r="G36" s="59"/>
      <c r="H36" s="59"/>
      <c r="I36" s="59"/>
      <c r="J36" s="215" t="s">
        <v>5582</v>
      </c>
      <c r="K36" s="412" t="s">
        <v>140</v>
      </c>
      <c r="L36" s="239" t="s">
        <v>5583</v>
      </c>
      <c r="M36" s="239"/>
      <c r="N36" s="126" t="s">
        <v>504</v>
      </c>
      <c r="O36" s="202"/>
      <c r="P36" s="126"/>
      <c r="Q36" s="126" t="s">
        <v>6</v>
      </c>
      <c r="R36" s="126" t="s">
        <v>6</v>
      </c>
      <c r="S36" s="40" t="s">
        <v>6</v>
      </c>
      <c r="T36" s="40"/>
      <c r="U36" s="204" t="s">
        <v>5581</v>
      </c>
      <c r="V36" s="206"/>
      <c r="W36" s="412" t="s">
        <v>137</v>
      </c>
      <c r="X36" s="202"/>
      <c r="Y36" s="59"/>
      <c r="Z36" s="59"/>
      <c r="AA36" s="40" t="s">
        <v>6</v>
      </c>
      <c r="AB36" s="59"/>
      <c r="AC36" s="59"/>
      <c r="AD36" s="59"/>
      <c r="AE36" s="412" t="s">
        <v>137</v>
      </c>
      <c r="AF36" s="202"/>
      <c r="AG36" s="59"/>
      <c r="AH36" s="59"/>
      <c r="AI36" s="40" t="s">
        <v>6</v>
      </c>
      <c r="AJ36" s="59"/>
      <c r="AK36" s="59"/>
      <c r="AL36" s="59"/>
      <c r="AM36" s="59"/>
      <c r="AN36" s="59"/>
      <c r="AO36" s="59"/>
      <c r="AP36" s="59"/>
      <c r="AQ36" s="59"/>
      <c r="AR36" s="59"/>
      <c r="AS36" s="59"/>
      <c r="AT36" s="59"/>
      <c r="AU36" s="59"/>
      <c r="AV36" s="59"/>
      <c r="AW36" s="18"/>
    </row>
    <row r="37" spans="1:87" s="20" customFormat="1" ht="15">
      <c r="A37" s="40">
        <v>27</v>
      </c>
      <c r="B37" s="38"/>
      <c r="C37" s="41"/>
      <c r="D37" s="38"/>
      <c r="E37" s="46"/>
      <c r="F37" s="46"/>
      <c r="G37" s="46"/>
      <c r="H37" s="13"/>
      <c r="I37" s="40"/>
      <c r="J37" s="218" t="s">
        <v>5584</v>
      </c>
      <c r="K37" s="412" t="s">
        <v>128</v>
      </c>
      <c r="L37" s="204" t="s">
        <v>5585</v>
      </c>
      <c r="M37" s="204"/>
      <c r="N37" s="126" t="s">
        <v>504</v>
      </c>
      <c r="O37" s="126"/>
      <c r="P37" s="40"/>
      <c r="Q37" s="126" t="s">
        <v>6</v>
      </c>
      <c r="R37" s="126" t="s">
        <v>6</v>
      </c>
      <c r="S37" s="126" t="s">
        <v>6</v>
      </c>
      <c r="T37" s="126"/>
      <c r="U37" s="204" t="s">
        <v>5586</v>
      </c>
      <c r="V37" s="206"/>
      <c r="W37" s="412" t="s">
        <v>125</v>
      </c>
      <c r="X37" s="59"/>
      <c r="Y37" s="59"/>
      <c r="Z37" s="59"/>
      <c r="AA37" s="61" t="s">
        <v>6</v>
      </c>
      <c r="AB37" s="79"/>
      <c r="AC37" s="59"/>
      <c r="AD37" s="59"/>
      <c r="AE37" s="412" t="s">
        <v>125</v>
      </c>
      <c r="AF37" s="59"/>
      <c r="AG37" s="59"/>
      <c r="AH37" s="59"/>
      <c r="AI37" s="61" t="s">
        <v>6</v>
      </c>
      <c r="AJ37" s="79"/>
      <c r="AK37" s="59"/>
      <c r="AL37" s="59"/>
      <c r="AM37" s="43"/>
      <c r="AN37" s="19"/>
      <c r="AO37" s="13"/>
      <c r="AP37" s="13"/>
      <c r="AQ37" s="13"/>
      <c r="AR37" s="13"/>
      <c r="AS37" s="13"/>
      <c r="AT37" s="13"/>
      <c r="AU37" s="13"/>
      <c r="AV37" s="19"/>
      <c r="AW37" s="18"/>
    </row>
    <row r="38" spans="1:87" s="18" customFormat="1" ht="15">
      <c r="A38" s="40">
        <v>28</v>
      </c>
      <c r="B38" s="38"/>
      <c r="C38" s="42"/>
      <c r="D38" s="38"/>
      <c r="E38" s="46"/>
      <c r="F38" s="46"/>
      <c r="G38" s="46"/>
      <c r="H38" s="13"/>
      <c r="I38" s="40"/>
      <c r="J38" s="218" t="s">
        <v>5587</v>
      </c>
      <c r="K38" s="412" t="s">
        <v>117</v>
      </c>
      <c r="L38" s="204" t="s">
        <v>794</v>
      </c>
      <c r="M38" s="204"/>
      <c r="N38" s="126" t="s">
        <v>504</v>
      </c>
      <c r="O38" s="126"/>
      <c r="P38" s="126"/>
      <c r="Q38" s="416" t="s">
        <v>6</v>
      </c>
      <c r="R38" s="416" t="s">
        <v>6</v>
      </c>
      <c r="S38" s="40" t="s">
        <v>6</v>
      </c>
      <c r="T38" s="40"/>
      <c r="U38" s="200" t="s">
        <v>5588</v>
      </c>
      <c r="V38" s="206"/>
      <c r="W38" s="412" t="s">
        <v>125</v>
      </c>
      <c r="X38" s="59"/>
      <c r="Y38" s="59"/>
      <c r="Z38" s="59"/>
      <c r="AA38" s="40" t="s">
        <v>6</v>
      </c>
      <c r="AB38" s="413"/>
      <c r="AC38" s="413"/>
      <c r="AD38" s="413"/>
      <c r="AE38" s="412" t="s">
        <v>125</v>
      </c>
      <c r="AF38" s="59"/>
      <c r="AG38" s="59"/>
      <c r="AH38" s="59"/>
      <c r="AI38" s="40" t="s">
        <v>6</v>
      </c>
      <c r="AJ38" s="413"/>
      <c r="AK38" s="413"/>
      <c r="AL38" s="413"/>
      <c r="AM38" s="43"/>
      <c r="AN38" s="19"/>
      <c r="AO38" s="15"/>
      <c r="AP38" s="15"/>
      <c r="AQ38" s="15"/>
      <c r="AR38" s="15"/>
      <c r="AS38" s="15"/>
      <c r="AT38" s="15"/>
      <c r="AU38" s="15"/>
      <c r="AV38" s="13"/>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row>
    <row r="39" spans="1:87" s="18" customFormat="1" ht="15">
      <c r="A39" s="40">
        <v>33</v>
      </c>
      <c r="B39" s="38"/>
      <c r="C39" s="42"/>
      <c r="D39" s="38"/>
      <c r="E39" s="46"/>
      <c r="F39" s="46"/>
      <c r="G39" s="46"/>
      <c r="H39" s="13"/>
      <c r="I39" s="40"/>
      <c r="J39" s="218" t="s">
        <v>5589</v>
      </c>
      <c r="K39" s="412" t="s">
        <v>117</v>
      </c>
      <c r="L39" s="204" t="s">
        <v>5590</v>
      </c>
      <c r="M39" s="204"/>
      <c r="N39" s="126" t="s">
        <v>504</v>
      </c>
      <c r="O39" s="126"/>
      <c r="P39" s="126"/>
      <c r="Q39" s="416" t="s">
        <v>6</v>
      </c>
      <c r="R39" s="416" t="s">
        <v>6</v>
      </c>
      <c r="S39" s="40" t="s">
        <v>6</v>
      </c>
      <c r="T39" s="40"/>
      <c r="U39" s="204" t="s">
        <v>768</v>
      </c>
      <c r="V39" s="206"/>
      <c r="W39" s="412" t="s">
        <v>125</v>
      </c>
      <c r="X39" s="59"/>
      <c r="Y39" s="59"/>
      <c r="Z39" s="59"/>
      <c r="AA39" s="40" t="s">
        <v>6</v>
      </c>
      <c r="AB39" s="413"/>
      <c r="AC39" s="413"/>
      <c r="AD39" s="413"/>
      <c r="AE39" s="412" t="s">
        <v>125</v>
      </c>
      <c r="AF39" s="59"/>
      <c r="AG39" s="59"/>
      <c r="AH39" s="59"/>
      <c r="AI39" s="40" t="s">
        <v>6</v>
      </c>
      <c r="AJ39" s="413"/>
      <c r="AK39" s="413"/>
      <c r="AL39" s="413"/>
      <c r="AM39" s="43"/>
      <c r="AN39" s="19"/>
      <c r="AO39" s="15"/>
      <c r="AP39" s="15"/>
      <c r="AQ39" s="15"/>
      <c r="AR39" s="15"/>
      <c r="AS39" s="15"/>
      <c r="AT39" s="15"/>
      <c r="AU39" s="15"/>
      <c r="AV39" s="13"/>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row>
    <row r="40" spans="1:87" s="236" customFormat="1" ht="15">
      <c r="A40" s="40">
        <v>34</v>
      </c>
      <c r="B40" s="199"/>
      <c r="C40" s="199"/>
      <c r="D40" s="199"/>
      <c r="E40" s="199"/>
      <c r="F40" s="199"/>
      <c r="G40" s="199"/>
      <c r="H40" s="199"/>
      <c r="I40" s="199"/>
      <c r="J40" s="215" t="s">
        <v>5591</v>
      </c>
      <c r="K40" s="199" t="s">
        <v>117</v>
      </c>
      <c r="L40" s="204" t="s">
        <v>3970</v>
      </c>
      <c r="M40" s="204"/>
      <c r="N40" s="126" t="s">
        <v>504</v>
      </c>
      <c r="O40" s="369"/>
      <c r="P40" s="126"/>
      <c r="Q40" s="226" t="s">
        <v>6</v>
      </c>
      <c r="R40" s="226" t="s">
        <v>6</v>
      </c>
      <c r="S40" s="226" t="s">
        <v>6</v>
      </c>
      <c r="T40" s="226"/>
      <c r="U40" s="204" t="s">
        <v>3963</v>
      </c>
      <c r="V40" s="204"/>
      <c r="W40" s="199" t="s">
        <v>133</v>
      </c>
      <c r="X40" s="199"/>
      <c r="Y40" s="199"/>
      <c r="Z40" s="226" t="s">
        <v>6</v>
      </c>
      <c r="AA40" s="226" t="s">
        <v>6</v>
      </c>
      <c r="AB40" s="199" t="s">
        <v>1100</v>
      </c>
      <c r="AC40" s="199"/>
      <c r="AD40" s="199"/>
      <c r="AE40" s="412" t="s">
        <v>125</v>
      </c>
      <c r="AF40" s="199"/>
      <c r="AG40" s="199"/>
      <c r="AH40" s="226"/>
      <c r="AI40" s="226"/>
      <c r="AJ40" s="199"/>
      <c r="AK40" s="199"/>
      <c r="AL40" s="199"/>
      <c r="AM40" s="199"/>
      <c r="AN40" s="199"/>
      <c r="AO40" s="199"/>
      <c r="AP40" s="199"/>
      <c r="AQ40" s="199"/>
      <c r="AR40" s="199"/>
      <c r="AS40" s="199"/>
      <c r="AT40" s="199"/>
      <c r="AU40" s="199"/>
      <c r="AV40" s="199"/>
      <c r="AW40" s="155"/>
    </row>
    <row r="41" spans="1:87" s="236" customFormat="1" ht="26.4">
      <c r="A41" s="40">
        <v>35</v>
      </c>
      <c r="B41" s="199"/>
      <c r="C41" s="199"/>
      <c r="D41" s="199"/>
      <c r="E41" s="199"/>
      <c r="F41" s="199"/>
      <c r="G41" s="199"/>
      <c r="H41" s="199"/>
      <c r="I41" s="199"/>
      <c r="J41" s="215" t="s">
        <v>5592</v>
      </c>
      <c r="K41" s="199" t="s">
        <v>117</v>
      </c>
      <c r="L41" s="204" t="s">
        <v>1990</v>
      </c>
      <c r="M41" s="204"/>
      <c r="N41" s="126" t="s">
        <v>504</v>
      </c>
      <c r="O41" s="369"/>
      <c r="P41" s="126"/>
      <c r="Q41" s="226" t="s">
        <v>6</v>
      </c>
      <c r="R41" s="226" t="s">
        <v>6</v>
      </c>
      <c r="S41" s="226" t="s">
        <v>6</v>
      </c>
      <c r="T41" s="126"/>
      <c r="U41" s="204" t="s">
        <v>2670</v>
      </c>
      <c r="V41" s="204"/>
      <c r="W41" s="199" t="s">
        <v>133</v>
      </c>
      <c r="X41" s="199"/>
      <c r="Y41" s="199"/>
      <c r="Z41" s="226" t="s">
        <v>6</v>
      </c>
      <c r="AA41" s="226" t="s">
        <v>6</v>
      </c>
      <c r="AB41" s="199" t="s">
        <v>1100</v>
      </c>
      <c r="AC41" s="199"/>
      <c r="AD41" s="199"/>
      <c r="AE41" s="412" t="s">
        <v>125</v>
      </c>
      <c r="AF41" s="199"/>
      <c r="AG41" s="199"/>
      <c r="AH41" s="226"/>
      <c r="AI41" s="226"/>
      <c r="AJ41" s="199"/>
      <c r="AK41" s="199"/>
      <c r="AL41" s="199"/>
      <c r="AM41" s="199"/>
      <c r="AN41" s="199"/>
      <c r="AO41" s="199"/>
      <c r="AP41" s="199"/>
      <c r="AQ41" s="199"/>
      <c r="AR41" s="199"/>
      <c r="AS41" s="199"/>
      <c r="AT41" s="199"/>
      <c r="AU41" s="199"/>
      <c r="AV41" s="199"/>
      <c r="AW41" s="155"/>
    </row>
    <row r="42" spans="1:87" s="236" customFormat="1" ht="26.4">
      <c r="A42" s="40">
        <v>36</v>
      </c>
      <c r="B42" s="199"/>
      <c r="C42" s="199"/>
      <c r="D42" s="199"/>
      <c r="E42" s="199"/>
      <c r="F42" s="199"/>
      <c r="G42" s="199"/>
      <c r="H42" s="199"/>
      <c r="I42" s="199"/>
      <c r="J42" s="215" t="s">
        <v>5593</v>
      </c>
      <c r="K42" s="199" t="s">
        <v>117</v>
      </c>
      <c r="L42" s="204" t="s">
        <v>1990</v>
      </c>
      <c r="M42" s="204"/>
      <c r="N42" s="126" t="s">
        <v>504</v>
      </c>
      <c r="O42" s="369"/>
      <c r="P42" s="126"/>
      <c r="Q42" s="226" t="s">
        <v>6</v>
      </c>
      <c r="R42" s="226" t="s">
        <v>6</v>
      </c>
      <c r="S42" s="226" t="s">
        <v>6</v>
      </c>
      <c r="T42" s="226"/>
      <c r="U42" s="204" t="s">
        <v>2670</v>
      </c>
      <c r="V42" s="204"/>
      <c r="W42" s="199" t="s">
        <v>133</v>
      </c>
      <c r="X42" s="199"/>
      <c r="Y42" s="199"/>
      <c r="Z42" s="226" t="s">
        <v>6</v>
      </c>
      <c r="AA42" s="226" t="s">
        <v>6</v>
      </c>
      <c r="AB42" s="199" t="s">
        <v>1100</v>
      </c>
      <c r="AC42" s="199"/>
      <c r="AD42" s="199"/>
      <c r="AE42" s="412" t="s">
        <v>125</v>
      </c>
      <c r="AF42" s="199"/>
      <c r="AG42" s="199"/>
      <c r="AH42" s="226"/>
      <c r="AI42" s="226"/>
      <c r="AJ42" s="199"/>
      <c r="AK42" s="199"/>
      <c r="AL42" s="199"/>
      <c r="AM42" s="199"/>
      <c r="AN42" s="199"/>
      <c r="AO42" s="199"/>
      <c r="AP42" s="199"/>
      <c r="AQ42" s="199"/>
      <c r="AR42" s="199"/>
      <c r="AS42" s="199"/>
      <c r="AT42" s="199"/>
      <c r="AU42" s="199"/>
      <c r="AV42" s="199"/>
      <c r="AW42" s="155"/>
    </row>
    <row r="43" spans="1:87" s="236" customFormat="1" ht="15">
      <c r="A43" s="40">
        <v>37</v>
      </c>
      <c r="B43" s="199"/>
      <c r="C43" s="199"/>
      <c r="D43" s="199"/>
      <c r="E43" s="199"/>
      <c r="F43" s="199"/>
      <c r="G43" s="199"/>
      <c r="H43" s="199"/>
      <c r="I43" s="199"/>
      <c r="J43" s="215" t="s">
        <v>5594</v>
      </c>
      <c r="K43" s="199" t="s">
        <v>117</v>
      </c>
      <c r="L43" s="204" t="s">
        <v>5472</v>
      </c>
      <c r="M43" s="204"/>
      <c r="N43" s="126" t="s">
        <v>504</v>
      </c>
      <c r="O43" s="369"/>
      <c r="P43" s="126"/>
      <c r="Q43" s="226" t="s">
        <v>6</v>
      </c>
      <c r="R43" s="226" t="s">
        <v>6</v>
      </c>
      <c r="S43" s="226" t="s">
        <v>6</v>
      </c>
      <c r="T43" s="226"/>
      <c r="U43" s="218" t="s">
        <v>768</v>
      </c>
      <c r="V43" s="201"/>
      <c r="W43" s="199" t="s">
        <v>133</v>
      </c>
      <c r="X43" s="199"/>
      <c r="Y43" s="199"/>
      <c r="Z43" s="226" t="s">
        <v>6</v>
      </c>
      <c r="AA43" s="226" t="s">
        <v>6</v>
      </c>
      <c r="AB43" s="199" t="s">
        <v>1100</v>
      </c>
      <c r="AC43" s="199"/>
      <c r="AD43" s="199"/>
      <c r="AE43" s="412" t="s">
        <v>125</v>
      </c>
      <c r="AF43" s="199"/>
      <c r="AG43" s="199"/>
      <c r="AH43" s="226"/>
      <c r="AI43" s="226"/>
      <c r="AJ43" s="199"/>
      <c r="AK43" s="199"/>
      <c r="AL43" s="199"/>
      <c r="AM43" s="199"/>
      <c r="AN43" s="199"/>
      <c r="AO43" s="199"/>
      <c r="AP43" s="199"/>
      <c r="AQ43" s="199"/>
      <c r="AR43" s="199"/>
      <c r="AS43" s="199"/>
      <c r="AT43" s="199"/>
      <c r="AU43" s="199"/>
      <c r="AV43" s="199"/>
      <c r="AW43" s="155"/>
    </row>
    <row r="44" spans="1:87" s="236" customFormat="1" ht="26.4">
      <c r="A44" s="40">
        <v>38</v>
      </c>
      <c r="B44" s="199"/>
      <c r="C44" s="199"/>
      <c r="D44" s="199"/>
      <c r="E44" s="199"/>
      <c r="F44" s="199"/>
      <c r="G44" s="199"/>
      <c r="H44" s="199"/>
      <c r="I44" s="199"/>
      <c r="J44" s="215" t="s">
        <v>5595</v>
      </c>
      <c r="K44" s="199" t="s">
        <v>117</v>
      </c>
      <c r="L44" s="204" t="s">
        <v>5476</v>
      </c>
      <c r="M44" s="204"/>
      <c r="N44" s="126" t="s">
        <v>504</v>
      </c>
      <c r="O44" s="369"/>
      <c r="P44" s="126"/>
      <c r="Q44" s="226" t="s">
        <v>6</v>
      </c>
      <c r="R44" s="226" t="s">
        <v>6</v>
      </c>
      <c r="S44" s="226" t="s">
        <v>6</v>
      </c>
      <c r="T44" s="126"/>
      <c r="U44" s="218" t="s">
        <v>2653</v>
      </c>
      <c r="V44" s="201"/>
      <c r="W44" s="199" t="s">
        <v>133</v>
      </c>
      <c r="X44" s="199"/>
      <c r="Y44" s="199"/>
      <c r="Z44" s="226" t="s">
        <v>6</v>
      </c>
      <c r="AA44" s="226" t="s">
        <v>6</v>
      </c>
      <c r="AB44" s="199" t="s">
        <v>1100</v>
      </c>
      <c r="AC44" s="199"/>
      <c r="AD44" s="199"/>
      <c r="AE44" s="412" t="s">
        <v>125</v>
      </c>
      <c r="AF44" s="199"/>
      <c r="AG44" s="199"/>
      <c r="AH44" s="226"/>
      <c r="AI44" s="226"/>
      <c r="AJ44" s="199"/>
      <c r="AK44" s="199"/>
      <c r="AL44" s="199"/>
      <c r="AM44" s="199"/>
      <c r="AN44" s="199"/>
      <c r="AO44" s="199"/>
      <c r="AP44" s="199"/>
      <c r="AQ44" s="199"/>
      <c r="AR44" s="199"/>
      <c r="AS44" s="199"/>
      <c r="AT44" s="199"/>
      <c r="AU44" s="199"/>
      <c r="AV44" s="199"/>
      <c r="AW44" s="155"/>
    </row>
    <row r="45" spans="1:87" s="236" customFormat="1" ht="26.4">
      <c r="A45" s="40">
        <v>39</v>
      </c>
      <c r="B45" s="199"/>
      <c r="C45" s="199"/>
      <c r="D45" s="199"/>
      <c r="E45" s="199"/>
      <c r="F45" s="199"/>
      <c r="G45" s="199"/>
      <c r="H45" s="199"/>
      <c r="I45" s="199"/>
      <c r="J45" s="215" t="s">
        <v>5596</v>
      </c>
      <c r="K45" s="199" t="s">
        <v>117</v>
      </c>
      <c r="L45" s="204" t="s">
        <v>5476</v>
      </c>
      <c r="M45" s="204"/>
      <c r="N45" s="126" t="s">
        <v>504</v>
      </c>
      <c r="O45" s="369"/>
      <c r="P45" s="126"/>
      <c r="Q45" s="226" t="s">
        <v>6</v>
      </c>
      <c r="R45" s="226" t="s">
        <v>6</v>
      </c>
      <c r="S45" s="226" t="s">
        <v>6</v>
      </c>
      <c r="T45" s="226"/>
      <c r="U45" s="218" t="s">
        <v>2653</v>
      </c>
      <c r="V45" s="201"/>
      <c r="W45" s="199" t="s">
        <v>133</v>
      </c>
      <c r="X45" s="199"/>
      <c r="Y45" s="199"/>
      <c r="Z45" s="226" t="s">
        <v>6</v>
      </c>
      <c r="AA45" s="226" t="s">
        <v>6</v>
      </c>
      <c r="AB45" s="199" t="s">
        <v>1100</v>
      </c>
      <c r="AC45" s="199"/>
      <c r="AD45" s="199"/>
      <c r="AE45" s="412" t="s">
        <v>125</v>
      </c>
      <c r="AF45" s="199"/>
      <c r="AG45" s="199"/>
      <c r="AH45" s="226"/>
      <c r="AI45" s="226"/>
      <c r="AJ45" s="199"/>
      <c r="AK45" s="199"/>
      <c r="AL45" s="199"/>
      <c r="AM45" s="199"/>
      <c r="AN45" s="199"/>
      <c r="AO45" s="199"/>
      <c r="AP45" s="199"/>
      <c r="AQ45" s="199"/>
      <c r="AR45" s="199"/>
      <c r="AS45" s="199"/>
      <c r="AT45" s="199"/>
      <c r="AU45" s="199"/>
      <c r="AV45" s="199"/>
      <c r="AW45" s="155"/>
    </row>
    <row r="46" spans="1:87" s="236" customFormat="1" ht="26.4">
      <c r="A46" s="40">
        <v>40</v>
      </c>
      <c r="B46" s="199"/>
      <c r="C46" s="199"/>
      <c r="D46" s="199"/>
      <c r="E46" s="199"/>
      <c r="F46" s="199"/>
      <c r="G46" s="199"/>
      <c r="H46" s="199"/>
      <c r="I46" s="199"/>
      <c r="J46" s="218" t="s">
        <v>5597</v>
      </c>
      <c r="K46" s="204" t="s">
        <v>117</v>
      </c>
      <c r="L46" s="204" t="s">
        <v>793</v>
      </c>
      <c r="M46" s="204"/>
      <c r="N46" s="126" t="s">
        <v>504</v>
      </c>
      <c r="O46" s="126"/>
      <c r="P46" s="126"/>
      <c r="Q46" s="40" t="s">
        <v>6</v>
      </c>
      <c r="R46" s="40" t="s">
        <v>6</v>
      </c>
      <c r="S46" s="40" t="s">
        <v>6</v>
      </c>
      <c r="T46" s="126"/>
      <c r="U46" s="204" t="s">
        <v>1891</v>
      </c>
      <c r="V46" s="204"/>
      <c r="W46" s="215" t="s">
        <v>125</v>
      </c>
      <c r="X46" s="199"/>
      <c r="Y46" s="199"/>
      <c r="Z46" s="40"/>
      <c r="AA46" s="40" t="s">
        <v>6</v>
      </c>
      <c r="AB46" s="218"/>
      <c r="AC46" s="199"/>
      <c r="AD46" s="199"/>
      <c r="AE46" s="215" t="s">
        <v>125</v>
      </c>
      <c r="AF46" s="199"/>
      <c r="AG46" s="199"/>
      <c r="AH46" s="40"/>
      <c r="AI46" s="40" t="s">
        <v>6</v>
      </c>
      <c r="AJ46" s="218"/>
      <c r="AK46" s="199"/>
      <c r="AL46" s="199"/>
      <c r="AM46" s="199"/>
      <c r="AN46" s="199"/>
      <c r="AO46" s="199"/>
      <c r="AP46" s="199"/>
      <c r="AQ46" s="199"/>
      <c r="AR46" s="199"/>
      <c r="AS46" s="199"/>
      <c r="AT46" s="199"/>
      <c r="AU46" s="199"/>
      <c r="AV46" s="199"/>
      <c r="AW46" s="155"/>
    </row>
    <row r="47" spans="1:87" s="18" customFormat="1" ht="15">
      <c r="A47" s="40">
        <v>41</v>
      </c>
      <c r="B47" s="19"/>
      <c r="C47" s="41"/>
      <c r="D47" s="19"/>
      <c r="E47" s="19"/>
      <c r="F47" s="19"/>
      <c r="G47" s="19"/>
      <c r="H47" s="13"/>
      <c r="I47" s="13"/>
      <c r="J47" s="218" t="s">
        <v>5598</v>
      </c>
      <c r="K47" s="412" t="s">
        <v>117</v>
      </c>
      <c r="L47" s="204" t="s">
        <v>3943</v>
      </c>
      <c r="M47" s="204"/>
      <c r="N47" s="126" t="s">
        <v>504</v>
      </c>
      <c r="O47" s="126"/>
      <c r="P47" s="40"/>
      <c r="Q47" s="126" t="s">
        <v>6</v>
      </c>
      <c r="R47" s="126" t="s">
        <v>6</v>
      </c>
      <c r="S47" s="126" t="s">
        <v>6</v>
      </c>
      <c r="T47" s="40"/>
      <c r="U47" s="204"/>
      <c r="V47" s="206"/>
      <c r="W47" s="412" t="s">
        <v>125</v>
      </c>
      <c r="X47" s="59"/>
      <c r="Y47" s="59"/>
      <c r="Z47" s="59"/>
      <c r="AA47" s="61" t="s">
        <v>6</v>
      </c>
      <c r="AB47" s="79"/>
      <c r="AC47" s="59"/>
      <c r="AD47" s="218" t="s">
        <v>809</v>
      </c>
      <c r="AE47" s="412" t="s">
        <v>125</v>
      </c>
      <c r="AF47" s="59"/>
      <c r="AG47" s="59"/>
      <c r="AH47" s="59"/>
      <c r="AI47" s="61" t="s">
        <v>6</v>
      </c>
      <c r="AJ47" s="79"/>
      <c r="AK47" s="59"/>
      <c r="AL47" s="218" t="s">
        <v>809</v>
      </c>
      <c r="AM47" s="43"/>
      <c r="AN47" s="19"/>
      <c r="AO47" s="15"/>
      <c r="AP47" s="15"/>
      <c r="AQ47" s="15"/>
      <c r="AR47" s="15"/>
      <c r="AS47" s="15"/>
      <c r="AT47" s="15"/>
      <c r="AU47" s="13"/>
      <c r="AV47" s="15"/>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row>
    <row r="48" spans="1:87" s="18" customFormat="1" ht="15">
      <c r="A48" s="40">
        <v>42</v>
      </c>
      <c r="B48" s="19"/>
      <c r="C48" s="41"/>
      <c r="D48" s="19"/>
      <c r="E48" s="19"/>
      <c r="F48" s="19"/>
      <c r="G48" s="19"/>
      <c r="H48" s="13"/>
      <c r="I48" s="13"/>
      <c r="J48" s="310" t="s">
        <v>3231</v>
      </c>
      <c r="K48" s="493" t="s">
        <v>117</v>
      </c>
      <c r="L48" s="361" t="s">
        <v>759</v>
      </c>
      <c r="M48" s="361"/>
      <c r="N48" s="213" t="s">
        <v>504</v>
      </c>
      <c r="O48" s="213"/>
      <c r="P48" s="415"/>
      <c r="Q48" s="213" t="s">
        <v>6</v>
      </c>
      <c r="R48" s="213" t="s">
        <v>6</v>
      </c>
      <c r="S48" s="213" t="s">
        <v>6</v>
      </c>
      <c r="T48" s="415"/>
      <c r="U48" s="361"/>
      <c r="V48" s="481"/>
      <c r="W48" s="493" t="s">
        <v>125</v>
      </c>
      <c r="X48" s="260"/>
      <c r="Y48" s="260"/>
      <c r="Z48" s="260"/>
      <c r="AA48" s="598" t="s">
        <v>6</v>
      </c>
      <c r="AB48" s="309"/>
      <c r="AC48" s="260"/>
      <c r="AD48" s="310" t="s">
        <v>809</v>
      </c>
      <c r="AE48" s="493" t="s">
        <v>125</v>
      </c>
      <c r="AF48" s="260"/>
      <c r="AG48" s="260"/>
      <c r="AH48" s="260"/>
      <c r="AI48" s="598" t="s">
        <v>6</v>
      </c>
      <c r="AJ48" s="309"/>
      <c r="AK48" s="260"/>
      <c r="AL48" s="310" t="s">
        <v>809</v>
      </c>
      <c r="AM48" s="45"/>
      <c r="AN48" s="53"/>
      <c r="AO48" s="266"/>
      <c r="AP48" s="266"/>
      <c r="AQ48" s="266"/>
      <c r="AR48" s="266"/>
      <c r="AS48" s="266"/>
      <c r="AT48" s="266"/>
      <c r="AU48" s="413"/>
      <c r="AV48" s="266"/>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row>
    <row r="49" spans="1:49" ht="15">
      <c r="A49" s="416">
        <f t="shared" si="1"/>
        <v>43</v>
      </c>
      <c r="B49" s="62"/>
      <c r="C49" s="62"/>
      <c r="D49" s="62"/>
      <c r="E49" s="62"/>
      <c r="F49" s="62"/>
      <c r="G49" s="62"/>
      <c r="H49" s="62"/>
      <c r="I49" s="62"/>
      <c r="J49" s="62" t="s">
        <v>858</v>
      </c>
      <c r="K49" s="63"/>
      <c r="L49" s="63"/>
      <c r="M49" s="63"/>
      <c r="N49" s="139"/>
      <c r="O49" s="139"/>
      <c r="P49" s="139"/>
      <c r="Q49" s="139"/>
      <c r="R49" s="139"/>
      <c r="S49" s="139"/>
      <c r="T49" s="139"/>
      <c r="U49" s="354"/>
      <c r="V49" s="311"/>
      <c r="W49" s="63"/>
      <c r="X49" s="63"/>
      <c r="Y49" s="63"/>
      <c r="Z49" s="63"/>
      <c r="AA49" s="63"/>
      <c r="AB49" s="312"/>
      <c r="AC49" s="63"/>
      <c r="AD49" s="63"/>
      <c r="AE49" s="63"/>
      <c r="AF49" s="63"/>
      <c r="AG49" s="63"/>
      <c r="AH49" s="63"/>
      <c r="AI49" s="63"/>
      <c r="AJ49" s="312"/>
      <c r="AK49" s="63"/>
      <c r="AL49" s="63"/>
      <c r="AM49" s="63"/>
      <c r="AN49" s="63"/>
      <c r="AO49" s="63"/>
      <c r="AP49" s="63"/>
      <c r="AQ49" s="63"/>
      <c r="AR49" s="63"/>
      <c r="AS49" s="63"/>
      <c r="AT49" s="63"/>
      <c r="AU49" s="63"/>
      <c r="AV49" s="63"/>
      <c r="AW49" s="18">
        <f t="shared" si="2"/>
        <v>0</v>
      </c>
    </row>
    <row r="50" spans="1:49" s="20" customFormat="1" ht="26.4">
      <c r="A50" s="40">
        <f t="shared" si="1"/>
        <v>44</v>
      </c>
      <c r="B50" s="59"/>
      <c r="C50" s="59"/>
      <c r="D50" s="59"/>
      <c r="E50" s="59"/>
      <c r="F50" s="59"/>
      <c r="G50" s="59"/>
      <c r="H50" s="59"/>
      <c r="I50" s="59"/>
      <c r="J50" s="215" t="s">
        <v>3232</v>
      </c>
      <c r="K50" s="215"/>
      <c r="L50" s="239" t="s">
        <v>3233</v>
      </c>
      <c r="M50" s="239"/>
      <c r="N50" s="126" t="s">
        <v>438</v>
      </c>
      <c r="O50" s="202" t="s">
        <v>861</v>
      </c>
      <c r="P50" s="126"/>
      <c r="Q50" s="126"/>
      <c r="R50" s="126"/>
      <c r="S50" s="126"/>
      <c r="T50" s="126" t="s">
        <v>6</v>
      </c>
      <c r="U50" s="218" t="s">
        <v>3234</v>
      </c>
      <c r="V50" s="59"/>
      <c r="W50" s="215"/>
      <c r="X50" s="202"/>
      <c r="Y50" s="59"/>
      <c r="Z50" s="59"/>
      <c r="AA50" s="13"/>
      <c r="AB50" s="59"/>
      <c r="AC50" s="59"/>
      <c r="AD50" s="59"/>
      <c r="AE50" s="215"/>
      <c r="AF50" s="202"/>
      <c r="AG50" s="59"/>
      <c r="AH50" s="59"/>
      <c r="AI50" s="13"/>
      <c r="AJ50" s="59"/>
      <c r="AK50" s="59"/>
      <c r="AL50" s="59"/>
      <c r="AM50" s="59"/>
      <c r="AN50" s="59"/>
      <c r="AO50" s="59"/>
      <c r="AP50" s="59"/>
      <c r="AQ50" s="59"/>
      <c r="AR50" s="59"/>
      <c r="AS50" s="59"/>
      <c r="AT50" s="59"/>
      <c r="AU50" s="59"/>
      <c r="AV50" s="59"/>
      <c r="AW50" s="18">
        <f>LEN(L50)</f>
        <v>31</v>
      </c>
    </row>
    <row r="51" spans="1:49" s="20" customFormat="1" ht="26.4">
      <c r="A51" s="40">
        <f t="shared" si="1"/>
        <v>45</v>
      </c>
      <c r="B51" s="59"/>
      <c r="C51" s="59"/>
      <c r="D51" s="59"/>
      <c r="E51" s="59"/>
      <c r="F51" s="59"/>
      <c r="G51" s="59"/>
      <c r="H51" s="59"/>
      <c r="I51" s="59"/>
      <c r="J51" s="215" t="s">
        <v>5599</v>
      </c>
      <c r="K51" s="215"/>
      <c r="L51" s="239" t="s">
        <v>3233</v>
      </c>
      <c r="M51" s="239"/>
      <c r="N51" s="126" t="s">
        <v>438</v>
      </c>
      <c r="O51" s="202" t="s">
        <v>861</v>
      </c>
      <c r="P51" s="126"/>
      <c r="Q51" s="126"/>
      <c r="R51" s="126"/>
      <c r="S51" s="126"/>
      <c r="T51" s="126"/>
      <c r="U51" s="218" t="s">
        <v>3234</v>
      </c>
      <c r="V51" s="59"/>
      <c r="W51" s="215"/>
      <c r="X51" s="202"/>
      <c r="Y51" s="59"/>
      <c r="Z51" s="59"/>
      <c r="AA51" s="13"/>
      <c r="AB51" s="59"/>
      <c r="AC51" s="59"/>
      <c r="AD51" s="59"/>
      <c r="AE51" s="215"/>
      <c r="AF51" s="202"/>
      <c r="AG51" s="59"/>
      <c r="AH51" s="59"/>
      <c r="AI51" s="13"/>
      <c r="AJ51" s="59"/>
      <c r="AK51" s="59"/>
      <c r="AL51" s="59"/>
      <c r="AM51" s="59"/>
      <c r="AN51" s="59"/>
      <c r="AO51" s="59"/>
      <c r="AP51" s="59"/>
      <c r="AQ51" s="59"/>
      <c r="AR51" s="59"/>
      <c r="AS51" s="59"/>
      <c r="AT51" s="59"/>
      <c r="AU51" s="59"/>
      <c r="AV51" s="59"/>
      <c r="AW51" s="18"/>
    </row>
    <row r="52" spans="1:49" s="20" customFormat="1" ht="79.2">
      <c r="A52" s="40">
        <f t="shared" si="1"/>
        <v>46</v>
      </c>
      <c r="B52" s="59"/>
      <c r="C52" s="59"/>
      <c r="D52" s="59"/>
      <c r="E52" s="59"/>
      <c r="F52" s="59"/>
      <c r="G52" s="59"/>
      <c r="H52" s="59"/>
      <c r="I52" s="59"/>
      <c r="J52" s="215" t="s">
        <v>5600</v>
      </c>
      <c r="K52" s="313"/>
      <c r="L52" s="239" t="s">
        <v>5601</v>
      </c>
      <c r="M52" s="239"/>
      <c r="N52" s="202" t="s">
        <v>435</v>
      </c>
      <c r="O52" s="202" t="s">
        <v>861</v>
      </c>
      <c r="P52" s="126"/>
      <c r="Q52" s="126"/>
      <c r="R52" s="126"/>
      <c r="S52" s="126"/>
      <c r="T52" s="126"/>
      <c r="U52" s="204" t="s">
        <v>5602</v>
      </c>
      <c r="V52" s="206"/>
      <c r="W52" s="215"/>
      <c r="X52" s="202"/>
      <c r="Y52" s="59"/>
      <c r="Z52" s="59"/>
      <c r="AA52" s="13"/>
      <c r="AB52" s="59"/>
      <c r="AC52" s="59"/>
      <c r="AD52" s="59"/>
      <c r="AE52" s="215"/>
      <c r="AF52" s="202"/>
      <c r="AG52" s="59"/>
      <c r="AH52" s="59"/>
      <c r="AI52" s="13"/>
      <c r="AJ52" s="59"/>
      <c r="AK52" s="59"/>
      <c r="AL52" s="59"/>
      <c r="AM52" s="59"/>
      <c r="AN52" s="59"/>
      <c r="AO52" s="59"/>
      <c r="AP52" s="59"/>
      <c r="AQ52" s="59"/>
      <c r="AR52" s="59"/>
      <c r="AS52" s="59"/>
      <c r="AT52" s="59"/>
      <c r="AU52" s="59"/>
      <c r="AV52" s="59"/>
      <c r="AW52" s="18"/>
    </row>
    <row r="53" spans="1:49" ht="15">
      <c r="J53" s="398"/>
      <c r="K53" s="54"/>
      <c r="L53" s="398"/>
      <c r="M53" s="590"/>
      <c r="N53" s="68"/>
      <c r="O53" s="68"/>
      <c r="P53" s="68"/>
      <c r="Q53" s="68"/>
      <c r="R53" s="68"/>
      <c r="S53" s="68"/>
      <c r="T53" s="68"/>
      <c r="U53" s="161"/>
      <c r="V53" s="54"/>
      <c r="W53" s="54"/>
      <c r="X53" s="54"/>
      <c r="Y53" s="54"/>
      <c r="Z53" s="54"/>
      <c r="AA53" s="55"/>
      <c r="AB53" s="55"/>
      <c r="AC53" s="55"/>
      <c r="AD53" s="55"/>
      <c r="AE53" s="54"/>
      <c r="AF53" s="54"/>
      <c r="AG53" s="54"/>
      <c r="AH53" s="54"/>
      <c r="AI53" s="55"/>
      <c r="AJ53" s="54"/>
      <c r="AW53" s="18">
        <f t="shared" si="2"/>
        <v>0</v>
      </c>
    </row>
    <row r="54" spans="1:49" ht="15">
      <c r="J54" s="398"/>
      <c r="K54" s="54"/>
      <c r="L54" s="398"/>
      <c r="M54" s="590"/>
      <c r="N54" s="68"/>
      <c r="O54" s="68"/>
      <c r="P54" s="68"/>
      <c r="Q54" s="68"/>
      <c r="R54" s="68"/>
      <c r="S54" s="68"/>
      <c r="T54" s="68"/>
      <c r="U54" s="161"/>
      <c r="V54" s="54"/>
      <c r="W54" s="54"/>
      <c r="X54" s="54"/>
      <c r="Y54" s="54"/>
      <c r="Z54" s="54"/>
      <c r="AA54" s="55"/>
      <c r="AB54" s="55"/>
      <c r="AC54" s="55"/>
      <c r="AD54" s="55"/>
      <c r="AE54" s="54"/>
      <c r="AF54" s="54"/>
      <c r="AG54" s="54"/>
      <c r="AH54" s="54"/>
      <c r="AI54" s="55"/>
      <c r="AJ54" s="54"/>
      <c r="AW54" s="18">
        <f t="shared" si="2"/>
        <v>0</v>
      </c>
    </row>
    <row r="55" spans="1:49" ht="15">
      <c r="J55" s="398"/>
      <c r="K55" s="54"/>
      <c r="L55" s="398"/>
      <c r="M55" s="590"/>
      <c r="N55" s="68"/>
      <c r="O55" s="68"/>
      <c r="P55" s="68"/>
      <c r="Q55" s="68"/>
      <c r="R55" s="68"/>
      <c r="S55" s="68"/>
      <c r="T55" s="68"/>
      <c r="U55" s="161"/>
      <c r="V55" s="54"/>
      <c r="W55" s="54"/>
      <c r="X55" s="54"/>
      <c r="Y55" s="54"/>
      <c r="Z55" s="54"/>
      <c r="AA55" s="55"/>
      <c r="AB55" s="55"/>
      <c r="AC55" s="55"/>
      <c r="AD55" s="55"/>
      <c r="AE55" s="54"/>
      <c r="AF55" s="54"/>
      <c r="AG55" s="54"/>
      <c r="AH55" s="54"/>
      <c r="AI55" s="55"/>
      <c r="AJ55" s="54"/>
      <c r="AW55" s="18">
        <f t="shared" si="2"/>
        <v>0</v>
      </c>
    </row>
    <row r="56" spans="1:49" ht="15">
      <c r="J56" s="398"/>
      <c r="K56" s="54"/>
      <c r="L56" s="398"/>
      <c r="M56" s="590"/>
      <c r="N56" s="68"/>
      <c r="O56" s="68"/>
      <c r="P56" s="68"/>
      <c r="Q56" s="68"/>
      <c r="R56" s="68"/>
      <c r="S56" s="68"/>
      <c r="T56" s="68"/>
      <c r="U56" s="161"/>
      <c r="V56" s="54"/>
      <c r="W56" s="54"/>
      <c r="X56" s="54"/>
      <c r="Y56" s="54"/>
      <c r="Z56" s="54"/>
      <c r="AA56" s="55"/>
      <c r="AB56" s="55"/>
      <c r="AC56" s="55"/>
      <c r="AD56" s="55"/>
      <c r="AE56" s="54"/>
      <c r="AF56" s="54"/>
      <c r="AG56" s="54"/>
      <c r="AH56" s="54"/>
      <c r="AI56" s="55"/>
      <c r="AJ56" s="54"/>
      <c r="AW56" s="18">
        <f t="shared" si="2"/>
        <v>0</v>
      </c>
    </row>
    <row r="57" spans="1:49" ht="15">
      <c r="J57" s="398"/>
      <c r="K57" s="54"/>
      <c r="L57" s="398"/>
      <c r="M57" s="590"/>
      <c r="N57" s="68"/>
      <c r="O57" s="68"/>
      <c r="P57" s="68"/>
      <c r="Q57" s="68"/>
      <c r="R57" s="68"/>
      <c r="S57" s="68"/>
      <c r="T57" s="68"/>
      <c r="U57" s="161"/>
      <c r="V57" s="54"/>
      <c r="W57" s="54"/>
      <c r="X57" s="54"/>
      <c r="Y57" s="54"/>
      <c r="Z57" s="54"/>
      <c r="AA57" s="55"/>
      <c r="AB57" s="55"/>
      <c r="AC57" s="55"/>
      <c r="AD57" s="55"/>
      <c r="AE57" s="54"/>
      <c r="AF57" s="54"/>
      <c r="AG57" s="54"/>
      <c r="AH57" s="54"/>
      <c r="AI57" s="55"/>
      <c r="AJ57" s="54"/>
      <c r="AW57" s="18">
        <f t="shared" si="2"/>
        <v>0</v>
      </c>
    </row>
    <row r="58" spans="1:49" ht="15">
      <c r="J58" s="398"/>
      <c r="K58" s="54"/>
      <c r="L58" s="398"/>
      <c r="M58" s="590"/>
      <c r="N58" s="68"/>
      <c r="O58" s="68"/>
      <c r="P58" s="68"/>
      <c r="Q58" s="68"/>
      <c r="R58" s="68"/>
      <c r="S58" s="68"/>
      <c r="T58" s="68"/>
      <c r="U58" s="161"/>
      <c r="V58" s="54"/>
      <c r="W58" s="54"/>
      <c r="X58" s="54"/>
      <c r="Y58" s="54"/>
      <c r="Z58" s="54"/>
      <c r="AA58" s="55"/>
      <c r="AB58" s="55"/>
      <c r="AC58" s="55"/>
      <c r="AD58" s="55"/>
      <c r="AE58" s="54"/>
      <c r="AF58" s="54"/>
      <c r="AG58" s="54"/>
      <c r="AH58" s="54"/>
      <c r="AI58" s="55"/>
      <c r="AJ58" s="54"/>
      <c r="AW58" s="18">
        <f t="shared" si="2"/>
        <v>0</v>
      </c>
    </row>
    <row r="59" spans="1:49" ht="15">
      <c r="J59" s="398"/>
      <c r="K59" s="54"/>
      <c r="L59" s="398"/>
      <c r="M59" s="590"/>
      <c r="N59" s="68"/>
      <c r="O59" s="68"/>
      <c r="P59" s="68"/>
      <c r="Q59" s="68"/>
      <c r="R59" s="68"/>
      <c r="S59" s="68"/>
      <c r="T59" s="68"/>
      <c r="U59" s="161"/>
      <c r="V59" s="54"/>
      <c r="W59" s="54"/>
      <c r="X59" s="54"/>
      <c r="Y59" s="54"/>
      <c r="Z59" s="54"/>
      <c r="AA59" s="55"/>
      <c r="AB59" s="55"/>
      <c r="AC59" s="55"/>
      <c r="AD59" s="55"/>
      <c r="AE59" s="54"/>
      <c r="AF59" s="54"/>
      <c r="AG59" s="54"/>
      <c r="AH59" s="54"/>
      <c r="AI59" s="55"/>
      <c r="AJ59" s="54"/>
      <c r="AW59" s="18">
        <f t="shared" si="2"/>
        <v>0</v>
      </c>
    </row>
    <row r="60" spans="1:49" ht="15">
      <c r="J60" s="398"/>
      <c r="K60" s="54"/>
      <c r="L60" s="398"/>
      <c r="M60" s="590"/>
      <c r="N60" s="68"/>
      <c r="O60" s="68"/>
      <c r="P60" s="68"/>
      <c r="Q60" s="68"/>
      <c r="R60" s="68"/>
      <c r="S60" s="68"/>
      <c r="T60" s="68"/>
      <c r="U60" s="161"/>
      <c r="V60" s="54"/>
      <c r="W60" s="54"/>
      <c r="X60" s="54"/>
      <c r="Y60" s="54"/>
      <c r="Z60" s="54"/>
      <c r="AA60" s="55"/>
      <c r="AB60" s="55"/>
      <c r="AC60" s="55"/>
      <c r="AD60" s="55"/>
      <c r="AE60" s="54"/>
      <c r="AF60" s="54"/>
      <c r="AG60" s="54"/>
      <c r="AH60" s="54"/>
      <c r="AI60" s="55"/>
      <c r="AJ60" s="54"/>
      <c r="AW60" s="18">
        <f t="shared" si="2"/>
        <v>0</v>
      </c>
    </row>
    <row r="61" spans="1:49" ht="15">
      <c r="J61" s="398"/>
      <c r="K61" s="54"/>
      <c r="L61" s="398"/>
      <c r="M61" s="590"/>
      <c r="N61" s="68"/>
      <c r="O61" s="68"/>
      <c r="P61" s="68"/>
      <c r="Q61" s="68"/>
      <c r="R61" s="68"/>
      <c r="S61" s="68"/>
      <c r="T61" s="68"/>
      <c r="U61" s="161"/>
      <c r="V61" s="54"/>
      <c r="W61" s="54"/>
      <c r="X61" s="54"/>
      <c r="Y61" s="54"/>
      <c r="Z61" s="54"/>
      <c r="AA61" s="55"/>
      <c r="AB61" s="55"/>
      <c r="AC61" s="55"/>
      <c r="AD61" s="55"/>
      <c r="AE61" s="54"/>
      <c r="AF61" s="54"/>
      <c r="AG61" s="54"/>
      <c r="AH61" s="54"/>
      <c r="AI61" s="55"/>
      <c r="AJ61" s="54"/>
      <c r="AW61" s="18">
        <f t="shared" si="2"/>
        <v>0</v>
      </c>
    </row>
    <row r="62" spans="1:49" ht="15">
      <c r="J62" s="398"/>
      <c r="K62" s="54"/>
      <c r="L62" s="398"/>
      <c r="M62" s="590"/>
      <c r="N62" s="68"/>
      <c r="O62" s="68"/>
      <c r="P62" s="68"/>
      <c r="Q62" s="68"/>
      <c r="R62" s="68"/>
      <c r="S62" s="68"/>
      <c r="T62" s="68"/>
      <c r="U62" s="161"/>
      <c r="V62" s="54"/>
      <c r="W62" s="54"/>
      <c r="X62" s="54"/>
      <c r="Y62" s="54"/>
      <c r="Z62" s="54"/>
      <c r="AA62" s="55"/>
      <c r="AB62" s="55"/>
      <c r="AC62" s="55"/>
      <c r="AD62" s="55"/>
      <c r="AE62" s="54"/>
      <c r="AF62" s="54"/>
      <c r="AG62" s="54"/>
      <c r="AH62" s="54"/>
      <c r="AI62" s="55"/>
      <c r="AJ62" s="54"/>
      <c r="AW62" s="18">
        <f t="shared" si="2"/>
        <v>0</v>
      </c>
    </row>
    <row r="63" spans="1:49" ht="15">
      <c r="J63" s="398"/>
      <c r="K63" s="54"/>
      <c r="L63" s="398"/>
      <c r="M63" s="590"/>
      <c r="N63" s="68"/>
      <c r="O63" s="68"/>
      <c r="P63" s="68"/>
      <c r="Q63" s="68"/>
      <c r="R63" s="68"/>
      <c r="S63" s="68"/>
      <c r="T63" s="68"/>
      <c r="U63" s="161"/>
      <c r="V63" s="54"/>
      <c r="W63" s="54"/>
      <c r="X63" s="54"/>
      <c r="Y63" s="54"/>
      <c r="Z63" s="54"/>
      <c r="AA63" s="55"/>
      <c r="AB63" s="55"/>
      <c r="AC63" s="55"/>
      <c r="AD63" s="55"/>
      <c r="AE63" s="54"/>
      <c r="AF63" s="54"/>
      <c r="AG63" s="54"/>
      <c r="AH63" s="54"/>
      <c r="AI63" s="55"/>
      <c r="AJ63" s="54"/>
      <c r="AW63" s="18">
        <f t="shared" si="2"/>
        <v>0</v>
      </c>
    </row>
    <row r="64" spans="1:49" ht="15">
      <c r="J64" s="398"/>
      <c r="K64" s="54"/>
      <c r="L64" s="398"/>
      <c r="M64" s="590"/>
      <c r="N64" s="68"/>
      <c r="O64" s="68"/>
      <c r="P64" s="68"/>
      <c r="Q64" s="68"/>
      <c r="R64" s="68"/>
      <c r="S64" s="68"/>
      <c r="T64" s="68"/>
      <c r="U64" s="161"/>
      <c r="V64" s="54"/>
      <c r="W64" s="54"/>
      <c r="X64" s="54"/>
      <c r="Y64" s="54"/>
      <c r="Z64" s="54"/>
      <c r="AA64" s="55"/>
      <c r="AB64" s="55"/>
      <c r="AC64" s="55"/>
      <c r="AD64" s="55"/>
      <c r="AE64" s="54"/>
      <c r="AF64" s="54"/>
      <c r="AG64" s="54"/>
      <c r="AH64" s="54"/>
      <c r="AI64" s="55"/>
      <c r="AJ64" s="54"/>
      <c r="AW64" s="18">
        <f t="shared" si="2"/>
        <v>0</v>
      </c>
    </row>
    <row r="65" spans="10:49" ht="15">
      <c r="J65" s="398"/>
      <c r="K65" s="54"/>
      <c r="L65" s="398"/>
      <c r="M65" s="590"/>
      <c r="N65" s="68"/>
      <c r="O65" s="68"/>
      <c r="P65" s="68"/>
      <c r="Q65" s="68"/>
      <c r="R65" s="68"/>
      <c r="S65" s="68"/>
      <c r="T65" s="68"/>
      <c r="U65" s="161"/>
      <c r="V65" s="54"/>
      <c r="W65" s="54"/>
      <c r="X65" s="54"/>
      <c r="Y65" s="54"/>
      <c r="Z65" s="54"/>
      <c r="AA65" s="55"/>
      <c r="AB65" s="55"/>
      <c r="AC65" s="55"/>
      <c r="AD65" s="55"/>
      <c r="AE65" s="54"/>
      <c r="AF65" s="54"/>
      <c r="AG65" s="54"/>
      <c r="AH65" s="54"/>
      <c r="AI65" s="55"/>
      <c r="AJ65" s="54"/>
      <c r="AW65" s="18">
        <f t="shared" si="2"/>
        <v>0</v>
      </c>
    </row>
    <row r="66" spans="10:49" ht="15">
      <c r="J66" s="398"/>
      <c r="K66" s="54"/>
      <c r="L66" s="398"/>
      <c r="M66" s="590"/>
      <c r="N66" s="68"/>
      <c r="O66" s="68"/>
      <c r="P66" s="68"/>
      <c r="Q66" s="68"/>
      <c r="R66" s="68"/>
      <c r="S66" s="68"/>
      <c r="T66" s="68"/>
      <c r="U66" s="161"/>
      <c r="V66" s="54"/>
      <c r="W66" s="54"/>
      <c r="X66" s="54"/>
      <c r="Y66" s="54"/>
      <c r="Z66" s="54"/>
      <c r="AA66" s="55"/>
      <c r="AB66" s="55"/>
      <c r="AC66" s="55"/>
      <c r="AD66" s="55"/>
      <c r="AE66" s="54"/>
      <c r="AF66" s="54"/>
      <c r="AG66" s="54"/>
      <c r="AH66" s="54"/>
      <c r="AI66" s="55"/>
      <c r="AJ66" s="54"/>
      <c r="AW66" s="18">
        <f t="shared" si="2"/>
        <v>0</v>
      </c>
    </row>
    <row r="67" spans="10:49" ht="15">
      <c r="J67" s="314"/>
      <c r="K67" s="80"/>
      <c r="L67" s="314"/>
      <c r="M67" s="314"/>
      <c r="N67" s="140"/>
      <c r="O67" s="140"/>
      <c r="P67" s="140"/>
      <c r="Q67" s="140"/>
      <c r="R67" s="140"/>
      <c r="S67" s="140"/>
      <c r="T67" s="68"/>
      <c r="U67" s="161"/>
      <c r="V67" s="54"/>
      <c r="W67" s="54"/>
      <c r="X67" s="54"/>
      <c r="Y67" s="54"/>
      <c r="Z67" s="54"/>
      <c r="AA67" s="55"/>
      <c r="AB67" s="55"/>
      <c r="AC67" s="55"/>
      <c r="AD67" s="55"/>
      <c r="AE67" s="54"/>
      <c r="AF67" s="54"/>
      <c r="AG67" s="54"/>
      <c r="AH67" s="54"/>
      <c r="AI67" s="55"/>
      <c r="AJ67" s="54"/>
      <c r="AW67" s="18">
        <f t="shared" si="2"/>
        <v>0</v>
      </c>
    </row>
    <row r="68" spans="10:49" ht="15">
      <c r="J68" s="314"/>
      <c r="K68" s="80"/>
      <c r="L68" s="314"/>
      <c r="M68" s="314"/>
      <c r="N68" s="140"/>
      <c r="O68" s="140"/>
      <c r="P68" s="140"/>
      <c r="Q68" s="140"/>
      <c r="R68" s="140"/>
      <c r="S68" s="140"/>
      <c r="T68" s="68"/>
      <c r="U68" s="161"/>
      <c r="V68" s="54"/>
      <c r="W68" s="54"/>
      <c r="X68" s="54"/>
      <c r="Y68" s="54"/>
      <c r="Z68" s="54"/>
      <c r="AA68" s="55"/>
      <c r="AB68" s="55"/>
      <c r="AC68" s="55"/>
      <c r="AD68" s="55"/>
      <c r="AE68" s="54"/>
      <c r="AF68" s="54"/>
      <c r="AG68" s="54"/>
      <c r="AH68" s="54"/>
      <c r="AI68" s="55"/>
      <c r="AJ68" s="54"/>
      <c r="AW68" s="18">
        <f t="shared" si="2"/>
        <v>0</v>
      </c>
    </row>
    <row r="69" spans="10:49" ht="15">
      <c r="J69" s="314"/>
      <c r="K69" s="80"/>
      <c r="L69" s="314"/>
      <c r="M69" s="314"/>
      <c r="N69" s="140"/>
      <c r="O69" s="140"/>
      <c r="P69" s="140"/>
      <c r="Q69" s="140"/>
      <c r="R69" s="140"/>
      <c r="S69" s="140"/>
      <c r="T69" s="68"/>
      <c r="U69" s="161"/>
      <c r="V69" s="54"/>
      <c r="W69" s="54"/>
      <c r="X69" s="54"/>
      <c r="Y69" s="54"/>
      <c r="Z69" s="54"/>
      <c r="AA69" s="55"/>
      <c r="AB69" s="55"/>
      <c r="AC69" s="55"/>
      <c r="AD69" s="55"/>
      <c r="AE69" s="54"/>
      <c r="AF69" s="54"/>
      <c r="AG69" s="54"/>
      <c r="AH69" s="54"/>
      <c r="AI69" s="55"/>
      <c r="AJ69" s="54"/>
      <c r="AW69" s="18">
        <f t="shared" si="2"/>
        <v>0</v>
      </c>
    </row>
    <row r="70" spans="10:49" ht="15">
      <c r="J70" s="314"/>
      <c r="K70" s="80"/>
      <c r="L70" s="222"/>
      <c r="M70" s="222"/>
      <c r="N70" s="140"/>
      <c r="O70" s="140"/>
      <c r="P70" s="140"/>
      <c r="Q70" s="140"/>
      <c r="R70" s="140"/>
      <c r="S70" s="140"/>
      <c r="T70" s="68"/>
      <c r="U70" s="161"/>
      <c r="V70" s="54"/>
      <c r="W70" s="54"/>
      <c r="X70" s="54"/>
      <c r="Y70" s="54"/>
      <c r="Z70" s="54"/>
      <c r="AA70" s="55"/>
      <c r="AB70" s="55"/>
      <c r="AC70" s="55"/>
      <c r="AD70" s="55"/>
      <c r="AE70" s="54"/>
      <c r="AF70" s="54"/>
      <c r="AG70" s="54"/>
      <c r="AH70" s="54"/>
      <c r="AI70" s="55"/>
      <c r="AJ70" s="54"/>
      <c r="AW70" s="18">
        <f t="shared" si="2"/>
        <v>0</v>
      </c>
    </row>
    <row r="71" spans="10:49" ht="15">
      <c r="J71" s="314"/>
      <c r="K71" s="80"/>
      <c r="L71" s="222"/>
      <c r="M71" s="222"/>
      <c r="N71" s="140"/>
      <c r="O71" s="140"/>
      <c r="P71" s="140"/>
      <c r="Q71" s="140"/>
      <c r="R71" s="140"/>
      <c r="S71" s="140"/>
      <c r="T71" s="68"/>
      <c r="U71" s="161"/>
      <c r="V71" s="54"/>
      <c r="W71" s="54"/>
      <c r="X71" s="54"/>
      <c r="Y71" s="54"/>
      <c r="Z71" s="54"/>
      <c r="AA71" s="55"/>
      <c r="AB71" s="55"/>
      <c r="AC71" s="55"/>
      <c r="AD71" s="55"/>
      <c r="AE71" s="54"/>
      <c r="AF71" s="54"/>
      <c r="AG71" s="54"/>
      <c r="AH71" s="54"/>
      <c r="AI71" s="55"/>
      <c r="AJ71" s="54"/>
      <c r="AW71" s="18">
        <f t="shared" si="2"/>
        <v>0</v>
      </c>
    </row>
    <row r="72" spans="10:49" ht="15">
      <c r="J72" s="314"/>
      <c r="K72" s="80"/>
      <c r="L72" s="314"/>
      <c r="M72" s="314"/>
      <c r="N72" s="140"/>
      <c r="O72" s="140"/>
      <c r="P72" s="140"/>
      <c r="Q72" s="140"/>
      <c r="R72" s="140"/>
      <c r="S72" s="140"/>
      <c r="T72" s="68"/>
      <c r="U72" s="161"/>
      <c r="V72" s="54"/>
      <c r="W72" s="54"/>
      <c r="X72" s="54"/>
      <c r="Y72" s="54"/>
      <c r="Z72" s="54"/>
      <c r="AA72" s="55"/>
      <c r="AB72" s="55"/>
      <c r="AC72" s="55"/>
      <c r="AD72" s="55"/>
      <c r="AE72" s="54"/>
      <c r="AF72" s="54"/>
      <c r="AG72" s="54"/>
      <c r="AH72" s="54"/>
      <c r="AI72" s="55"/>
      <c r="AJ72" s="54"/>
      <c r="AW72" s="18">
        <f t="shared" si="2"/>
        <v>0</v>
      </c>
    </row>
    <row r="73" spans="10:49" ht="15">
      <c r="J73" s="314"/>
      <c r="K73" s="80"/>
      <c r="L73" s="314"/>
      <c r="M73" s="314"/>
      <c r="N73" s="140"/>
      <c r="O73" s="140"/>
      <c r="P73" s="140"/>
      <c r="Q73" s="140"/>
      <c r="R73" s="140"/>
      <c r="S73" s="140"/>
      <c r="T73" s="68"/>
      <c r="U73" s="161"/>
      <c r="V73" s="54"/>
      <c r="W73" s="54"/>
      <c r="X73" s="54"/>
      <c r="Y73" s="54"/>
      <c r="Z73" s="54"/>
      <c r="AA73" s="55"/>
      <c r="AB73" s="55"/>
      <c r="AC73" s="55"/>
      <c r="AD73" s="55"/>
      <c r="AE73" s="54"/>
      <c r="AF73" s="54"/>
      <c r="AG73" s="54"/>
      <c r="AH73" s="54"/>
      <c r="AI73" s="55"/>
      <c r="AJ73" s="54"/>
      <c r="AW73" s="18">
        <f t="shared" si="2"/>
        <v>0</v>
      </c>
    </row>
    <row r="74" spans="10:49" ht="15">
      <c r="J74" s="314"/>
      <c r="K74" s="80"/>
      <c r="L74" s="314"/>
      <c r="M74" s="314"/>
      <c r="N74" s="140"/>
      <c r="O74" s="140"/>
      <c r="P74" s="140"/>
      <c r="Q74" s="140"/>
      <c r="R74" s="140"/>
      <c r="S74" s="140"/>
      <c r="T74" s="68"/>
      <c r="U74" s="161"/>
      <c r="V74" s="54"/>
      <c r="W74" s="54"/>
      <c r="X74" s="54"/>
      <c r="Y74" s="54"/>
      <c r="Z74" s="54"/>
      <c r="AA74" s="55"/>
      <c r="AB74" s="55"/>
      <c r="AC74" s="55"/>
      <c r="AD74" s="55"/>
      <c r="AE74" s="54"/>
      <c r="AF74" s="54"/>
      <c r="AG74" s="54"/>
      <c r="AH74" s="54"/>
      <c r="AI74" s="55"/>
      <c r="AJ74" s="54"/>
      <c r="AW74" s="18">
        <f t="shared" si="2"/>
        <v>0</v>
      </c>
    </row>
    <row r="75" spans="10:49" ht="15">
      <c r="J75" s="314"/>
      <c r="K75" s="80"/>
      <c r="L75" s="314"/>
      <c r="M75" s="314"/>
      <c r="N75" s="140"/>
      <c r="O75" s="140"/>
      <c r="P75" s="140"/>
      <c r="Q75" s="140"/>
      <c r="R75" s="140"/>
      <c r="S75" s="140"/>
      <c r="T75" s="68"/>
      <c r="U75" s="161"/>
      <c r="V75" s="54"/>
      <c r="W75" s="54"/>
      <c r="X75" s="54"/>
      <c r="Y75" s="54"/>
      <c r="Z75" s="54"/>
      <c r="AA75" s="55"/>
      <c r="AB75" s="55"/>
      <c r="AC75" s="55"/>
      <c r="AD75" s="55"/>
      <c r="AE75" s="54"/>
      <c r="AF75" s="54"/>
      <c r="AG75" s="54"/>
      <c r="AH75" s="54"/>
      <c r="AI75" s="55"/>
      <c r="AJ75" s="54"/>
      <c r="AW75" s="18">
        <f t="shared" si="2"/>
        <v>0</v>
      </c>
    </row>
    <row r="76" spans="10:49" ht="15">
      <c r="J76" s="314"/>
      <c r="K76" s="80"/>
      <c r="L76" s="314"/>
      <c r="M76" s="314"/>
      <c r="N76" s="140"/>
      <c r="O76" s="140"/>
      <c r="P76" s="140"/>
      <c r="Q76" s="140"/>
      <c r="R76" s="140"/>
      <c r="S76" s="140"/>
      <c r="T76" s="68"/>
      <c r="U76" s="161"/>
      <c r="V76" s="54"/>
      <c r="W76" s="54"/>
      <c r="X76" s="54"/>
      <c r="Y76" s="54"/>
      <c r="Z76" s="54"/>
      <c r="AA76" s="55"/>
      <c r="AB76" s="55"/>
      <c r="AC76" s="55"/>
      <c r="AD76" s="55"/>
      <c r="AE76" s="54"/>
      <c r="AF76" s="54"/>
      <c r="AG76" s="54"/>
      <c r="AH76" s="54"/>
      <c r="AI76" s="55"/>
      <c r="AJ76" s="54"/>
      <c r="AW76" s="18">
        <f t="shared" si="2"/>
        <v>0</v>
      </c>
    </row>
    <row r="77" spans="10:49" ht="15">
      <c r="J77" s="314"/>
      <c r="K77" s="80"/>
      <c r="L77" s="314"/>
      <c r="M77" s="314"/>
      <c r="N77" s="140"/>
      <c r="O77" s="140"/>
      <c r="P77" s="140"/>
      <c r="Q77" s="140"/>
      <c r="R77" s="140"/>
      <c r="S77" s="140"/>
      <c r="T77" s="68"/>
      <c r="U77" s="161"/>
      <c r="V77" s="54"/>
      <c r="W77" s="54"/>
      <c r="X77" s="54"/>
      <c r="Y77" s="54"/>
      <c r="Z77" s="54"/>
      <c r="AA77" s="55"/>
      <c r="AB77" s="55"/>
      <c r="AC77" s="55"/>
      <c r="AD77" s="55"/>
      <c r="AE77" s="54"/>
      <c r="AF77" s="54"/>
      <c r="AG77" s="54"/>
      <c r="AH77" s="54"/>
      <c r="AI77" s="55"/>
      <c r="AJ77" s="54"/>
      <c r="AW77" s="18">
        <f t="shared" si="2"/>
        <v>0</v>
      </c>
    </row>
    <row r="78" spans="10:49" ht="15">
      <c r="J78" s="314"/>
      <c r="K78" s="80"/>
      <c r="L78" s="314"/>
      <c r="M78" s="314"/>
      <c r="N78" s="140"/>
      <c r="O78" s="140"/>
      <c r="P78" s="140"/>
      <c r="Q78" s="140"/>
      <c r="R78" s="140"/>
      <c r="S78" s="140"/>
      <c r="T78" s="68"/>
      <c r="U78" s="161"/>
      <c r="V78" s="54"/>
      <c r="W78" s="54"/>
      <c r="X78" s="54"/>
      <c r="Y78" s="54"/>
      <c r="Z78" s="54"/>
      <c r="AA78" s="55"/>
      <c r="AB78" s="55"/>
      <c r="AC78" s="55"/>
      <c r="AD78" s="55"/>
      <c r="AE78" s="54"/>
      <c r="AF78" s="54"/>
      <c r="AG78" s="54"/>
      <c r="AH78" s="54"/>
      <c r="AI78" s="55"/>
      <c r="AJ78" s="54"/>
      <c r="AW78" s="18">
        <f t="shared" si="2"/>
        <v>0</v>
      </c>
    </row>
    <row r="79" spans="10:49" ht="15">
      <c r="J79" s="314"/>
      <c r="K79" s="80"/>
      <c r="L79" s="314"/>
      <c r="M79" s="314"/>
      <c r="N79" s="140"/>
      <c r="O79" s="140"/>
      <c r="P79" s="140"/>
      <c r="Q79" s="140"/>
      <c r="R79" s="140"/>
      <c r="S79" s="140"/>
      <c r="T79" s="68"/>
      <c r="U79" s="161"/>
      <c r="V79" s="54"/>
      <c r="W79" s="54"/>
      <c r="X79" s="54"/>
      <c r="Y79" s="54"/>
      <c r="Z79" s="54"/>
      <c r="AA79" s="55"/>
      <c r="AB79" s="55"/>
      <c r="AC79" s="55"/>
      <c r="AD79" s="55"/>
      <c r="AE79" s="54"/>
      <c r="AF79" s="54"/>
      <c r="AG79" s="54"/>
      <c r="AH79" s="54"/>
      <c r="AI79" s="55"/>
      <c r="AJ79" s="54"/>
      <c r="AW79" s="18">
        <f t="shared" si="2"/>
        <v>0</v>
      </c>
    </row>
    <row r="80" spans="10:49" ht="15">
      <c r="J80" s="314"/>
      <c r="K80" s="80"/>
      <c r="L80" s="314"/>
      <c r="M80" s="314"/>
      <c r="N80" s="140"/>
      <c r="O80" s="140"/>
      <c r="P80" s="140"/>
      <c r="Q80" s="140"/>
      <c r="R80" s="140"/>
      <c r="S80" s="140"/>
      <c r="T80" s="68"/>
      <c r="U80" s="161"/>
      <c r="V80" s="54"/>
      <c r="W80" s="54"/>
      <c r="X80" s="54"/>
      <c r="Y80" s="54"/>
      <c r="Z80" s="54"/>
      <c r="AA80" s="55"/>
      <c r="AB80" s="55"/>
      <c r="AC80" s="55"/>
      <c r="AD80" s="55"/>
      <c r="AE80" s="54"/>
      <c r="AF80" s="54"/>
      <c r="AG80" s="54"/>
      <c r="AH80" s="54"/>
      <c r="AI80" s="55"/>
      <c r="AJ80" s="54"/>
      <c r="AW80" s="18">
        <f t="shared" si="2"/>
        <v>0</v>
      </c>
    </row>
    <row r="81" spans="10:49" ht="15">
      <c r="J81" s="314"/>
      <c r="K81" s="80"/>
      <c r="L81" s="314"/>
      <c r="M81" s="314"/>
      <c r="N81" s="140"/>
      <c r="O81" s="140"/>
      <c r="P81" s="140"/>
      <c r="Q81" s="140"/>
      <c r="R81" s="140"/>
      <c r="S81" s="140"/>
      <c r="T81" s="68"/>
      <c r="U81" s="161"/>
      <c r="V81" s="54"/>
      <c r="W81" s="54"/>
      <c r="X81" s="54"/>
      <c r="Y81" s="54"/>
      <c r="Z81" s="54"/>
      <c r="AA81" s="55"/>
      <c r="AB81" s="55"/>
      <c r="AC81" s="55"/>
      <c r="AD81" s="55"/>
      <c r="AE81" s="54"/>
      <c r="AF81" s="54"/>
      <c r="AG81" s="54"/>
      <c r="AH81" s="54"/>
      <c r="AI81" s="55"/>
      <c r="AJ81" s="54"/>
      <c r="AW81" s="18">
        <f t="shared" si="2"/>
        <v>0</v>
      </c>
    </row>
    <row r="82" spans="10:49" ht="15">
      <c r="J82" s="314"/>
      <c r="K82" s="80"/>
      <c r="L82" s="314"/>
      <c r="M82" s="314"/>
      <c r="N82" s="140"/>
      <c r="O82" s="140"/>
      <c r="P82" s="140"/>
      <c r="Q82" s="140"/>
      <c r="R82" s="140"/>
      <c r="S82" s="140"/>
      <c r="T82" s="68"/>
      <c r="U82" s="161"/>
      <c r="V82" s="54"/>
      <c r="W82" s="54"/>
      <c r="X82" s="54"/>
      <c r="Y82" s="54"/>
      <c r="Z82" s="54"/>
      <c r="AA82" s="55"/>
      <c r="AB82" s="55"/>
      <c r="AC82" s="55"/>
      <c r="AD82" s="55"/>
      <c r="AE82" s="54"/>
      <c r="AF82" s="54"/>
      <c r="AG82" s="54"/>
      <c r="AH82" s="54"/>
      <c r="AI82" s="55"/>
      <c r="AJ82" s="54"/>
      <c r="AW82" s="18">
        <f t="shared" si="2"/>
        <v>0</v>
      </c>
    </row>
    <row r="83" spans="10:49" ht="15">
      <c r="J83" s="314"/>
      <c r="K83" s="80"/>
      <c r="L83" s="314"/>
      <c r="M83" s="314"/>
      <c r="N83" s="140"/>
      <c r="O83" s="140"/>
      <c r="P83" s="140"/>
      <c r="Q83" s="140"/>
      <c r="R83" s="140"/>
      <c r="S83" s="140"/>
      <c r="T83" s="68"/>
      <c r="U83" s="161"/>
      <c r="V83" s="54"/>
      <c r="W83" s="54"/>
      <c r="X83" s="54"/>
      <c r="Y83" s="54"/>
      <c r="Z83" s="54"/>
      <c r="AA83" s="55"/>
      <c r="AB83" s="55"/>
      <c r="AC83" s="55"/>
      <c r="AD83" s="55"/>
      <c r="AE83" s="54"/>
      <c r="AF83" s="54"/>
      <c r="AG83" s="54"/>
      <c r="AH83" s="54"/>
      <c r="AI83" s="55"/>
      <c r="AJ83" s="54"/>
      <c r="AW83" s="18">
        <f t="shared" si="2"/>
        <v>0</v>
      </c>
    </row>
    <row r="84" spans="10:49" ht="15">
      <c r="J84" s="314"/>
      <c r="K84" s="80"/>
      <c r="L84" s="314"/>
      <c r="M84" s="314"/>
      <c r="N84" s="140"/>
      <c r="O84" s="140"/>
      <c r="P84" s="140"/>
      <c r="Q84" s="140"/>
      <c r="R84" s="140"/>
      <c r="S84" s="140"/>
      <c r="T84" s="68"/>
      <c r="U84" s="161"/>
      <c r="V84" s="54"/>
      <c r="W84" s="54"/>
      <c r="X84" s="54"/>
      <c r="Y84" s="54"/>
      <c r="Z84" s="54"/>
      <c r="AA84" s="55"/>
      <c r="AB84" s="55"/>
      <c r="AC84" s="55"/>
      <c r="AD84" s="55"/>
      <c r="AE84" s="54"/>
      <c r="AF84" s="54"/>
      <c r="AG84" s="54"/>
      <c r="AH84" s="54"/>
      <c r="AI84" s="55"/>
      <c r="AJ84" s="54"/>
      <c r="AW84" s="18">
        <f t="shared" si="2"/>
        <v>0</v>
      </c>
    </row>
    <row r="85" spans="10:49" ht="15">
      <c r="J85" s="314"/>
      <c r="K85" s="80"/>
      <c r="L85" s="314"/>
      <c r="M85" s="314"/>
      <c r="N85" s="140"/>
      <c r="O85" s="140"/>
      <c r="P85" s="140"/>
      <c r="Q85" s="140"/>
      <c r="R85" s="140"/>
      <c r="S85" s="140"/>
      <c r="T85" s="68"/>
      <c r="U85" s="161"/>
      <c r="V85" s="54"/>
      <c r="W85" s="54"/>
      <c r="X85" s="54"/>
      <c r="Y85" s="54"/>
      <c r="Z85" s="54"/>
      <c r="AA85" s="55"/>
      <c r="AB85" s="55"/>
      <c r="AC85" s="55"/>
      <c r="AD85" s="55"/>
      <c r="AE85" s="54"/>
      <c r="AF85" s="54"/>
      <c r="AG85" s="54"/>
      <c r="AH85" s="54"/>
      <c r="AI85" s="55"/>
      <c r="AJ85" s="54"/>
      <c r="AW85" s="18">
        <f t="shared" si="2"/>
        <v>0</v>
      </c>
    </row>
    <row r="86" spans="10:49" ht="15">
      <c r="J86" s="398"/>
      <c r="K86" s="54"/>
      <c r="L86" s="398"/>
      <c r="M86" s="590"/>
      <c r="N86" s="68"/>
      <c r="O86" s="68"/>
      <c r="P86" s="68"/>
      <c r="Q86" s="68"/>
      <c r="R86" s="68"/>
      <c r="S86" s="68"/>
      <c r="T86" s="68"/>
      <c r="U86" s="161"/>
      <c r="V86" s="54"/>
      <c r="W86" s="54"/>
      <c r="X86" s="54"/>
      <c r="Y86" s="54"/>
      <c r="Z86" s="54"/>
      <c r="AA86" s="55"/>
      <c r="AB86" s="55"/>
      <c r="AC86" s="55"/>
      <c r="AD86" s="55"/>
      <c r="AE86" s="54"/>
      <c r="AF86" s="54"/>
      <c r="AG86" s="54"/>
      <c r="AH86" s="54"/>
      <c r="AI86" s="55"/>
      <c r="AJ86" s="54"/>
      <c r="AW86" s="18">
        <f t="shared" si="2"/>
        <v>0</v>
      </c>
    </row>
    <row r="87" spans="10:49" ht="15">
      <c r="J87" s="398"/>
      <c r="K87" s="54"/>
      <c r="L87" s="398"/>
      <c r="M87" s="590"/>
      <c r="N87" s="68"/>
      <c r="O87" s="68"/>
      <c r="P87" s="68"/>
      <c r="Q87" s="68"/>
      <c r="R87" s="68"/>
      <c r="S87" s="68"/>
      <c r="T87" s="68"/>
      <c r="U87" s="161"/>
      <c r="V87" s="54"/>
      <c r="W87" s="54"/>
      <c r="X87" s="54"/>
      <c r="Y87" s="54"/>
      <c r="Z87" s="54"/>
      <c r="AA87" s="55"/>
      <c r="AB87" s="55"/>
      <c r="AC87" s="55"/>
      <c r="AD87" s="55"/>
      <c r="AE87" s="54"/>
      <c r="AF87" s="54"/>
      <c r="AG87" s="54"/>
      <c r="AH87" s="54"/>
      <c r="AI87" s="55"/>
      <c r="AJ87" s="54"/>
      <c r="AW87" s="18">
        <f t="shared" si="2"/>
        <v>0</v>
      </c>
    </row>
    <row r="88" spans="10:49" ht="15">
      <c r="J88" s="398"/>
      <c r="K88" s="54"/>
      <c r="L88" s="398"/>
      <c r="M88" s="590"/>
      <c r="N88" s="68"/>
      <c r="O88" s="68"/>
      <c r="P88" s="68"/>
      <c r="Q88" s="68"/>
      <c r="R88" s="68"/>
      <c r="S88" s="68"/>
      <c r="T88" s="68"/>
      <c r="U88" s="161"/>
      <c r="V88" s="54"/>
      <c r="W88" s="54"/>
      <c r="X88" s="54"/>
      <c r="Y88" s="54"/>
      <c r="Z88" s="54"/>
      <c r="AA88" s="55"/>
      <c r="AB88" s="55"/>
      <c r="AC88" s="55"/>
      <c r="AD88" s="55"/>
      <c r="AE88" s="54"/>
      <c r="AF88" s="54"/>
      <c r="AG88" s="54"/>
      <c r="AH88" s="54"/>
      <c r="AI88" s="55"/>
      <c r="AJ88" s="54"/>
      <c r="AW88" s="18">
        <f t="shared" si="2"/>
        <v>0</v>
      </c>
    </row>
    <row r="89" spans="10:49" ht="15">
      <c r="J89" s="398"/>
      <c r="K89" s="54"/>
      <c r="L89" s="398"/>
      <c r="M89" s="590"/>
      <c r="N89" s="68"/>
      <c r="O89" s="68"/>
      <c r="P89" s="68"/>
      <c r="Q89" s="68"/>
      <c r="R89" s="68"/>
      <c r="S89" s="68"/>
      <c r="T89" s="68"/>
      <c r="U89" s="161"/>
      <c r="V89" s="54"/>
      <c r="W89" s="54"/>
      <c r="X89" s="54"/>
      <c r="Y89" s="54"/>
      <c r="Z89" s="54"/>
      <c r="AA89" s="55"/>
      <c r="AB89" s="55"/>
      <c r="AC89" s="55"/>
      <c r="AD89" s="55"/>
      <c r="AE89" s="54"/>
      <c r="AF89" s="54"/>
      <c r="AG89" s="54"/>
      <c r="AH89" s="54"/>
      <c r="AI89" s="55"/>
      <c r="AJ89" s="54"/>
      <c r="AW89" s="18">
        <f t="shared" si="2"/>
        <v>0</v>
      </c>
    </row>
    <row r="90" spans="10:49" ht="15">
      <c r="J90" s="398"/>
      <c r="K90" s="54"/>
      <c r="L90" s="398"/>
      <c r="M90" s="590"/>
      <c r="N90" s="68"/>
      <c r="O90" s="68"/>
      <c r="P90" s="68"/>
      <c r="Q90" s="68"/>
      <c r="R90" s="68"/>
      <c r="S90" s="68"/>
      <c r="T90" s="68"/>
      <c r="U90" s="161"/>
      <c r="V90" s="54"/>
      <c r="W90" s="54"/>
      <c r="X90" s="54"/>
      <c r="Y90" s="54"/>
      <c r="Z90" s="54"/>
      <c r="AA90" s="55"/>
      <c r="AB90" s="55"/>
      <c r="AC90" s="55"/>
      <c r="AD90" s="55"/>
      <c r="AE90" s="54"/>
      <c r="AF90" s="54"/>
      <c r="AG90" s="54"/>
      <c r="AH90" s="54"/>
      <c r="AI90" s="55"/>
      <c r="AJ90" s="54"/>
      <c r="AW90" s="18">
        <f t="shared" si="2"/>
        <v>0</v>
      </c>
    </row>
    <row r="91" spans="10:49" ht="15">
      <c r="J91" s="398"/>
      <c r="K91" s="54"/>
      <c r="L91" s="398"/>
      <c r="M91" s="590"/>
      <c r="N91" s="68"/>
      <c r="O91" s="68"/>
      <c r="P91" s="68"/>
      <c r="Q91" s="68"/>
      <c r="R91" s="68"/>
      <c r="S91" s="68"/>
      <c r="T91" s="68"/>
      <c r="U91" s="161"/>
      <c r="V91" s="54"/>
      <c r="W91" s="54"/>
      <c r="X91" s="54"/>
      <c r="Y91" s="54"/>
      <c r="Z91" s="54"/>
      <c r="AA91" s="55"/>
      <c r="AB91" s="55"/>
      <c r="AC91" s="55"/>
      <c r="AD91" s="55"/>
      <c r="AE91" s="54"/>
      <c r="AF91" s="54"/>
      <c r="AG91" s="54"/>
      <c r="AH91" s="54"/>
      <c r="AI91" s="55"/>
      <c r="AJ91" s="54"/>
      <c r="AW91" s="18">
        <f t="shared" si="2"/>
        <v>0</v>
      </c>
    </row>
    <row r="92" spans="10:49" ht="15">
      <c r="J92" s="398"/>
      <c r="K92" s="54"/>
      <c r="L92" s="398"/>
      <c r="M92" s="590"/>
      <c r="N92" s="68"/>
      <c r="O92" s="68"/>
      <c r="P92" s="68"/>
      <c r="Q92" s="68"/>
      <c r="R92" s="68"/>
      <c r="S92" s="68"/>
      <c r="T92" s="68"/>
      <c r="U92" s="161"/>
      <c r="V92" s="54"/>
      <c r="W92" s="54"/>
      <c r="X92" s="54"/>
      <c r="Y92" s="54"/>
      <c r="Z92" s="54"/>
      <c r="AA92" s="55"/>
      <c r="AB92" s="55"/>
      <c r="AC92" s="55"/>
      <c r="AD92" s="55"/>
      <c r="AE92" s="54"/>
      <c r="AF92" s="54"/>
      <c r="AG92" s="54"/>
      <c r="AH92" s="54"/>
      <c r="AI92" s="55"/>
      <c r="AJ92" s="54"/>
      <c r="AW92" s="18">
        <f t="shared" ref="AW92:AW155" si="4">LEN(L92)</f>
        <v>0</v>
      </c>
    </row>
    <row r="93" spans="10:49" ht="15">
      <c r="J93" s="398"/>
      <c r="K93" s="54"/>
      <c r="L93" s="398"/>
      <c r="M93" s="590"/>
      <c r="N93" s="68"/>
      <c r="O93" s="68"/>
      <c r="P93" s="68"/>
      <c r="Q93" s="68"/>
      <c r="R93" s="68"/>
      <c r="S93" s="68"/>
      <c r="T93" s="68"/>
      <c r="U93" s="161"/>
      <c r="V93" s="54"/>
      <c r="W93" s="54"/>
      <c r="X93" s="54"/>
      <c r="Y93" s="54"/>
      <c r="Z93" s="54"/>
      <c r="AA93" s="55"/>
      <c r="AB93" s="55"/>
      <c r="AC93" s="55"/>
      <c r="AD93" s="55"/>
      <c r="AE93" s="54"/>
      <c r="AF93" s="54"/>
      <c r="AG93" s="54"/>
      <c r="AH93" s="54"/>
      <c r="AI93" s="55"/>
      <c r="AJ93" s="54"/>
      <c r="AW93" s="18">
        <f t="shared" si="4"/>
        <v>0</v>
      </c>
    </row>
    <row r="94" spans="10:49" ht="15">
      <c r="J94" s="398"/>
      <c r="K94" s="54"/>
      <c r="L94" s="56"/>
      <c r="M94" s="56"/>
      <c r="N94" s="68"/>
      <c r="O94" s="68"/>
      <c r="P94" s="68"/>
      <c r="Q94" s="68"/>
      <c r="R94" s="68"/>
      <c r="S94" s="68"/>
      <c r="T94" s="68"/>
      <c r="U94" s="161"/>
      <c r="V94" s="54"/>
      <c r="W94" s="54"/>
      <c r="X94" s="54"/>
      <c r="Y94" s="54"/>
      <c r="Z94" s="54"/>
      <c r="AA94" s="55"/>
      <c r="AB94" s="55"/>
      <c r="AC94" s="55"/>
      <c r="AD94" s="55"/>
      <c r="AE94" s="54"/>
      <c r="AF94" s="54"/>
      <c r="AG94" s="54"/>
      <c r="AH94" s="54"/>
      <c r="AI94" s="55"/>
      <c r="AJ94" s="54"/>
      <c r="AW94" s="18">
        <f t="shared" si="4"/>
        <v>0</v>
      </c>
    </row>
    <row r="95" spans="10:49" ht="15">
      <c r="J95" s="398"/>
      <c r="K95" s="54"/>
      <c r="L95" s="56"/>
      <c r="M95" s="56"/>
      <c r="N95" s="68"/>
      <c r="O95" s="68"/>
      <c r="P95" s="68"/>
      <c r="Q95" s="68"/>
      <c r="R95" s="68"/>
      <c r="S95" s="68"/>
      <c r="T95" s="68"/>
      <c r="U95" s="161"/>
      <c r="V95" s="54"/>
      <c r="W95" s="54"/>
      <c r="X95" s="54"/>
      <c r="Y95" s="54"/>
      <c r="Z95" s="54"/>
      <c r="AA95" s="55"/>
      <c r="AB95" s="55"/>
      <c r="AC95" s="55"/>
      <c r="AD95" s="55"/>
      <c r="AE95" s="54"/>
      <c r="AF95" s="54"/>
      <c r="AG95" s="54"/>
      <c r="AH95" s="54"/>
      <c r="AI95" s="55"/>
      <c r="AJ95" s="54"/>
      <c r="AW95" s="18">
        <f t="shared" si="4"/>
        <v>0</v>
      </c>
    </row>
    <row r="96" spans="10:49" ht="15">
      <c r="J96" s="398"/>
      <c r="K96" s="54"/>
      <c r="L96" s="398"/>
      <c r="M96" s="590"/>
      <c r="N96" s="68"/>
      <c r="O96" s="68"/>
      <c r="P96" s="68"/>
      <c r="Q96" s="68"/>
      <c r="R96" s="68"/>
      <c r="S96" s="68"/>
      <c r="T96" s="68"/>
      <c r="U96" s="161"/>
      <c r="V96" s="54"/>
      <c r="W96" s="54"/>
      <c r="X96" s="54"/>
      <c r="Y96" s="54"/>
      <c r="Z96" s="54"/>
      <c r="AA96" s="55"/>
      <c r="AB96" s="55"/>
      <c r="AC96" s="55"/>
      <c r="AD96" s="55"/>
      <c r="AE96" s="54"/>
      <c r="AF96" s="54"/>
      <c r="AG96" s="54"/>
      <c r="AH96" s="54"/>
      <c r="AI96" s="55"/>
      <c r="AJ96" s="54"/>
      <c r="AW96" s="18">
        <f t="shared" si="4"/>
        <v>0</v>
      </c>
    </row>
    <row r="97" spans="10:49" ht="15">
      <c r="J97" s="687"/>
      <c r="K97" s="54"/>
      <c r="L97" s="687"/>
      <c r="M97" s="590"/>
      <c r="N97" s="68"/>
      <c r="O97" s="68"/>
      <c r="P97" s="68"/>
      <c r="Q97" s="68"/>
      <c r="R97" s="68"/>
      <c r="S97" s="68"/>
      <c r="T97" s="68"/>
      <c r="U97" s="161"/>
      <c r="V97" s="54"/>
      <c r="W97" s="54"/>
      <c r="X97" s="54"/>
      <c r="Y97" s="54"/>
      <c r="Z97" s="54"/>
      <c r="AA97" s="54"/>
      <c r="AB97" s="54"/>
      <c r="AC97" s="54"/>
      <c r="AD97" s="54"/>
      <c r="AE97" s="54"/>
      <c r="AF97" s="54"/>
      <c r="AG97" s="54"/>
      <c r="AH97" s="54"/>
      <c r="AI97" s="54"/>
      <c r="AJ97" s="54"/>
      <c r="AW97" s="18">
        <f t="shared" si="4"/>
        <v>0</v>
      </c>
    </row>
    <row r="98" spans="10:49" ht="15">
      <c r="J98" s="687"/>
      <c r="K98" s="54"/>
      <c r="L98" s="687"/>
      <c r="M98" s="590"/>
      <c r="N98" s="68"/>
      <c r="O98" s="68"/>
      <c r="P98" s="68"/>
      <c r="Q98" s="68"/>
      <c r="R98" s="68"/>
      <c r="S98" s="68"/>
      <c r="T98" s="68"/>
      <c r="U98" s="161"/>
      <c r="V98" s="54"/>
      <c r="W98" s="54"/>
      <c r="X98" s="54"/>
      <c r="Y98" s="54"/>
      <c r="Z98" s="54"/>
      <c r="AA98" s="54"/>
      <c r="AB98" s="54"/>
      <c r="AC98" s="54"/>
      <c r="AD98" s="54"/>
      <c r="AE98" s="54"/>
      <c r="AF98" s="54"/>
      <c r="AG98" s="54"/>
      <c r="AH98" s="54"/>
      <c r="AI98" s="54"/>
      <c r="AJ98" s="54"/>
      <c r="AW98" s="18">
        <f t="shared" si="4"/>
        <v>0</v>
      </c>
    </row>
    <row r="99" spans="10:49" ht="15">
      <c r="J99" s="687"/>
      <c r="K99" s="54"/>
      <c r="L99" s="687"/>
      <c r="M99" s="590"/>
      <c r="N99" s="68"/>
      <c r="O99" s="68"/>
      <c r="P99" s="68"/>
      <c r="Q99" s="68"/>
      <c r="R99" s="68"/>
      <c r="S99" s="68"/>
      <c r="T99" s="68"/>
      <c r="U99" s="161"/>
      <c r="V99" s="54"/>
      <c r="W99" s="54"/>
      <c r="X99" s="54"/>
      <c r="Y99" s="54"/>
      <c r="Z99" s="54"/>
      <c r="AA99" s="54"/>
      <c r="AB99" s="54"/>
      <c r="AC99" s="54"/>
      <c r="AD99" s="54"/>
      <c r="AE99" s="54"/>
      <c r="AF99" s="54"/>
      <c r="AG99" s="54"/>
      <c r="AH99" s="54"/>
      <c r="AI99" s="54"/>
      <c r="AJ99" s="54"/>
      <c r="AW99" s="18">
        <f t="shared" si="4"/>
        <v>0</v>
      </c>
    </row>
    <row r="100" spans="10:49" ht="15">
      <c r="J100" s="687"/>
      <c r="K100" s="54"/>
      <c r="L100" s="687"/>
      <c r="M100" s="590"/>
      <c r="N100" s="68"/>
      <c r="O100" s="68"/>
      <c r="P100" s="68"/>
      <c r="Q100" s="68"/>
      <c r="R100" s="68"/>
      <c r="S100" s="68"/>
      <c r="T100" s="68"/>
      <c r="U100" s="161"/>
      <c r="V100" s="54"/>
      <c r="W100" s="54"/>
      <c r="X100" s="54"/>
      <c r="Y100" s="54"/>
      <c r="Z100" s="54"/>
      <c r="AA100" s="54"/>
      <c r="AB100" s="54"/>
      <c r="AC100" s="54"/>
      <c r="AD100" s="54"/>
      <c r="AE100" s="54"/>
      <c r="AF100" s="54"/>
      <c r="AG100" s="54"/>
      <c r="AH100" s="54"/>
      <c r="AI100" s="54"/>
      <c r="AJ100" s="54"/>
      <c r="AW100" s="18">
        <f t="shared" si="4"/>
        <v>0</v>
      </c>
    </row>
    <row r="101" spans="10:49" ht="15">
      <c r="J101" s="687"/>
      <c r="K101" s="54"/>
      <c r="L101" s="687"/>
      <c r="M101" s="590"/>
      <c r="N101" s="68"/>
      <c r="O101" s="68"/>
      <c r="P101" s="68"/>
      <c r="Q101" s="68"/>
      <c r="R101" s="68"/>
      <c r="S101" s="68"/>
      <c r="T101" s="68"/>
      <c r="U101" s="161"/>
      <c r="V101" s="54"/>
      <c r="W101" s="54"/>
      <c r="X101" s="54"/>
      <c r="Y101" s="54"/>
      <c r="Z101" s="54"/>
      <c r="AA101" s="54"/>
      <c r="AB101" s="54"/>
      <c r="AC101" s="54"/>
      <c r="AD101" s="54"/>
      <c r="AE101" s="54"/>
      <c r="AF101" s="54"/>
      <c r="AG101" s="54"/>
      <c r="AH101" s="54"/>
      <c r="AI101" s="54"/>
      <c r="AJ101" s="54"/>
      <c r="AW101" s="18">
        <f t="shared" si="4"/>
        <v>0</v>
      </c>
    </row>
    <row r="102" spans="10:49" ht="15">
      <c r="J102" s="687"/>
      <c r="K102" s="54"/>
      <c r="L102" s="687"/>
      <c r="M102" s="590"/>
      <c r="N102" s="68"/>
      <c r="O102" s="68"/>
      <c r="P102" s="68"/>
      <c r="Q102" s="68"/>
      <c r="R102" s="68"/>
      <c r="S102" s="68"/>
      <c r="T102" s="68"/>
      <c r="U102" s="161"/>
      <c r="V102" s="54"/>
      <c r="W102" s="54"/>
      <c r="X102" s="54"/>
      <c r="Y102" s="54"/>
      <c r="Z102" s="54"/>
      <c r="AA102" s="54"/>
      <c r="AB102" s="54"/>
      <c r="AC102" s="54"/>
      <c r="AD102" s="54"/>
      <c r="AE102" s="54"/>
      <c r="AF102" s="54"/>
      <c r="AG102" s="54"/>
      <c r="AH102" s="54"/>
      <c r="AI102" s="54"/>
      <c r="AJ102" s="54"/>
      <c r="AW102" s="18">
        <f t="shared" si="4"/>
        <v>0</v>
      </c>
    </row>
    <row r="103" spans="10:49" ht="15">
      <c r="J103" s="687"/>
      <c r="K103" s="54"/>
      <c r="L103" s="687"/>
      <c r="M103" s="590"/>
      <c r="N103" s="68"/>
      <c r="O103" s="68"/>
      <c r="P103" s="68"/>
      <c r="Q103" s="68"/>
      <c r="R103" s="68"/>
      <c r="S103" s="68"/>
      <c r="T103" s="68"/>
      <c r="U103" s="161"/>
      <c r="V103" s="54"/>
      <c r="W103" s="54"/>
      <c r="X103" s="54"/>
      <c r="Y103" s="54"/>
      <c r="Z103" s="54"/>
      <c r="AA103" s="54"/>
      <c r="AB103" s="54"/>
      <c r="AC103" s="54"/>
      <c r="AD103" s="54"/>
      <c r="AE103" s="54"/>
      <c r="AF103" s="54"/>
      <c r="AG103" s="54"/>
      <c r="AH103" s="54"/>
      <c r="AI103" s="54"/>
      <c r="AJ103" s="54"/>
      <c r="AW103" s="18">
        <f t="shared" si="4"/>
        <v>0</v>
      </c>
    </row>
    <row r="104" spans="10:49" ht="15">
      <c r="J104" s="687"/>
      <c r="K104" s="54"/>
      <c r="L104" s="687"/>
      <c r="M104" s="590"/>
      <c r="N104" s="68"/>
      <c r="O104" s="68"/>
      <c r="P104" s="68"/>
      <c r="Q104" s="68"/>
      <c r="R104" s="68"/>
      <c r="S104" s="68"/>
      <c r="T104" s="68"/>
      <c r="U104" s="161"/>
      <c r="V104" s="54"/>
      <c r="W104" s="54"/>
      <c r="X104" s="54"/>
      <c r="Y104" s="54"/>
      <c r="Z104" s="54"/>
      <c r="AA104" s="54"/>
      <c r="AB104" s="54"/>
      <c r="AC104" s="54"/>
      <c r="AD104" s="54"/>
      <c r="AE104" s="54"/>
      <c r="AF104" s="54"/>
      <c r="AG104" s="54"/>
      <c r="AH104" s="54"/>
      <c r="AI104" s="54"/>
      <c r="AJ104" s="54"/>
      <c r="AW104" s="18">
        <f t="shared" si="4"/>
        <v>0</v>
      </c>
    </row>
    <row r="105" spans="10:49" ht="15">
      <c r="J105" s="687"/>
      <c r="K105" s="54"/>
      <c r="L105" s="687"/>
      <c r="M105" s="590"/>
      <c r="N105" s="68"/>
      <c r="O105" s="68"/>
      <c r="P105" s="68"/>
      <c r="Q105" s="68"/>
      <c r="R105" s="68"/>
      <c r="S105" s="68"/>
      <c r="T105" s="68"/>
      <c r="U105" s="161"/>
      <c r="V105" s="54"/>
      <c r="W105" s="54"/>
      <c r="X105" s="54"/>
      <c r="Y105" s="54"/>
      <c r="Z105" s="54"/>
      <c r="AA105" s="54"/>
      <c r="AB105" s="54"/>
      <c r="AC105" s="54"/>
      <c r="AD105" s="54"/>
      <c r="AE105" s="54"/>
      <c r="AF105" s="54"/>
      <c r="AG105" s="54"/>
      <c r="AH105" s="54"/>
      <c r="AI105" s="54"/>
      <c r="AJ105" s="54"/>
      <c r="AW105" s="18">
        <f t="shared" si="4"/>
        <v>0</v>
      </c>
    </row>
    <row r="106" spans="10:49" ht="15">
      <c r="J106" s="687"/>
      <c r="K106" s="54"/>
      <c r="L106" s="687"/>
      <c r="M106" s="590"/>
      <c r="N106" s="68"/>
      <c r="O106" s="68"/>
      <c r="P106" s="68"/>
      <c r="Q106" s="68"/>
      <c r="R106" s="68"/>
      <c r="S106" s="68"/>
      <c r="T106" s="68"/>
      <c r="U106" s="161"/>
      <c r="V106" s="54"/>
      <c r="W106" s="54"/>
      <c r="X106" s="54"/>
      <c r="Y106" s="54"/>
      <c r="Z106" s="54"/>
      <c r="AA106" s="54"/>
      <c r="AB106" s="54"/>
      <c r="AC106" s="54"/>
      <c r="AD106" s="54"/>
      <c r="AE106" s="54"/>
      <c r="AF106" s="54"/>
      <c r="AG106" s="54"/>
      <c r="AH106" s="54"/>
      <c r="AI106" s="54"/>
      <c r="AJ106" s="54"/>
      <c r="AW106" s="18">
        <f t="shared" si="4"/>
        <v>0</v>
      </c>
    </row>
    <row r="107" spans="10:49" ht="15">
      <c r="J107" s="687"/>
      <c r="K107" s="54"/>
      <c r="L107" s="687"/>
      <c r="M107" s="590"/>
      <c r="N107" s="68"/>
      <c r="O107" s="68"/>
      <c r="P107" s="68"/>
      <c r="Q107" s="68"/>
      <c r="R107" s="68"/>
      <c r="S107" s="68"/>
      <c r="T107" s="68"/>
      <c r="U107" s="161"/>
      <c r="V107" s="54"/>
      <c r="W107" s="54"/>
      <c r="X107" s="54"/>
      <c r="Y107" s="54"/>
      <c r="Z107" s="54"/>
      <c r="AA107" s="54"/>
      <c r="AB107" s="54"/>
      <c r="AC107" s="54"/>
      <c r="AD107" s="54"/>
      <c r="AE107" s="54"/>
      <c r="AF107" s="54"/>
      <c r="AG107" s="54"/>
      <c r="AH107" s="54"/>
      <c r="AI107" s="54"/>
      <c r="AJ107" s="54"/>
      <c r="AW107" s="18">
        <f t="shared" si="4"/>
        <v>0</v>
      </c>
    </row>
    <row r="108" spans="10:49" ht="15">
      <c r="J108" s="687"/>
      <c r="K108" s="54"/>
      <c r="L108" s="687"/>
      <c r="M108" s="590"/>
      <c r="N108" s="68"/>
      <c r="O108" s="68"/>
      <c r="P108" s="68"/>
      <c r="Q108" s="68"/>
      <c r="R108" s="68"/>
      <c r="S108" s="68"/>
      <c r="T108" s="68"/>
      <c r="U108" s="161"/>
      <c r="V108" s="54"/>
      <c r="W108" s="54"/>
      <c r="X108" s="54"/>
      <c r="Y108" s="54"/>
      <c r="Z108" s="54"/>
      <c r="AA108" s="54"/>
      <c r="AB108" s="54"/>
      <c r="AC108" s="54"/>
      <c r="AD108" s="54"/>
      <c r="AE108" s="54"/>
      <c r="AF108" s="54"/>
      <c r="AG108" s="54"/>
      <c r="AH108" s="54"/>
      <c r="AI108" s="54"/>
      <c r="AJ108" s="54"/>
      <c r="AW108" s="18">
        <f t="shared" si="4"/>
        <v>0</v>
      </c>
    </row>
    <row r="109" spans="10:49" ht="15">
      <c r="J109" s="687"/>
      <c r="K109" s="54"/>
      <c r="L109" s="687"/>
      <c r="M109" s="590"/>
      <c r="N109" s="68"/>
      <c r="O109" s="68"/>
      <c r="P109" s="68"/>
      <c r="Q109" s="68"/>
      <c r="R109" s="68"/>
      <c r="S109" s="68"/>
      <c r="T109" s="68"/>
      <c r="U109" s="161"/>
      <c r="V109" s="54"/>
      <c r="W109" s="54"/>
      <c r="X109" s="54"/>
      <c r="Y109" s="54"/>
      <c r="Z109" s="54"/>
      <c r="AA109" s="54"/>
      <c r="AB109" s="54"/>
      <c r="AC109" s="54"/>
      <c r="AD109" s="54"/>
      <c r="AE109" s="54"/>
      <c r="AF109" s="54"/>
      <c r="AG109" s="54"/>
      <c r="AH109" s="54"/>
      <c r="AI109" s="54"/>
      <c r="AJ109" s="54"/>
      <c r="AW109" s="18">
        <f t="shared" si="4"/>
        <v>0</v>
      </c>
    </row>
    <row r="110" spans="10:49" ht="15">
      <c r="J110" s="687"/>
      <c r="K110" s="54"/>
      <c r="L110" s="687"/>
      <c r="M110" s="590"/>
      <c r="N110" s="68"/>
      <c r="O110" s="68"/>
      <c r="P110" s="68"/>
      <c r="Q110" s="68"/>
      <c r="R110" s="68"/>
      <c r="S110" s="68"/>
      <c r="T110" s="68"/>
      <c r="U110" s="161"/>
      <c r="V110" s="54"/>
      <c r="W110" s="54"/>
      <c r="X110" s="54"/>
      <c r="Y110" s="54"/>
      <c r="Z110" s="54"/>
      <c r="AA110" s="54"/>
      <c r="AB110" s="54"/>
      <c r="AC110" s="54"/>
      <c r="AD110" s="54"/>
      <c r="AE110" s="54"/>
      <c r="AF110" s="54"/>
      <c r="AG110" s="54"/>
      <c r="AH110" s="54"/>
      <c r="AI110" s="54"/>
      <c r="AJ110" s="54"/>
      <c r="AW110" s="18">
        <f t="shared" si="4"/>
        <v>0</v>
      </c>
    </row>
    <row r="111" spans="10:49" ht="15">
      <c r="J111" s="687"/>
      <c r="K111" s="54"/>
      <c r="L111" s="687"/>
      <c r="M111" s="590"/>
      <c r="N111" s="68"/>
      <c r="O111" s="68"/>
      <c r="P111" s="68"/>
      <c r="Q111" s="68"/>
      <c r="R111" s="68"/>
      <c r="S111" s="68"/>
      <c r="T111" s="68"/>
      <c r="U111" s="161"/>
      <c r="V111" s="54"/>
      <c r="W111" s="54"/>
      <c r="X111" s="54"/>
      <c r="Y111" s="54"/>
      <c r="Z111" s="54"/>
      <c r="AA111" s="54"/>
      <c r="AB111" s="54"/>
      <c r="AC111" s="54"/>
      <c r="AD111" s="54"/>
      <c r="AE111" s="54"/>
      <c r="AF111" s="54"/>
      <c r="AG111" s="54"/>
      <c r="AH111" s="54"/>
      <c r="AI111" s="54"/>
      <c r="AJ111" s="54"/>
      <c r="AW111" s="18">
        <f t="shared" si="4"/>
        <v>0</v>
      </c>
    </row>
    <row r="112" spans="10:49" ht="15">
      <c r="J112" s="687"/>
      <c r="K112" s="54"/>
      <c r="L112" s="687"/>
      <c r="M112" s="590"/>
      <c r="N112" s="68"/>
      <c r="O112" s="68"/>
      <c r="P112" s="68"/>
      <c r="Q112" s="68"/>
      <c r="R112" s="68"/>
      <c r="S112" s="68"/>
      <c r="T112" s="68"/>
      <c r="U112" s="161"/>
      <c r="V112" s="54"/>
      <c r="W112" s="54"/>
      <c r="X112" s="54"/>
      <c r="Y112" s="54"/>
      <c r="Z112" s="54"/>
      <c r="AA112" s="54"/>
      <c r="AB112" s="54"/>
      <c r="AC112" s="54"/>
      <c r="AD112" s="54"/>
      <c r="AE112" s="54"/>
      <c r="AF112" s="54"/>
      <c r="AG112" s="54"/>
      <c r="AH112" s="54"/>
      <c r="AI112" s="54"/>
      <c r="AJ112" s="54"/>
      <c r="AW112" s="18">
        <f t="shared" si="4"/>
        <v>0</v>
      </c>
    </row>
    <row r="113" spans="10:49" ht="15">
      <c r="J113" s="687"/>
      <c r="K113" s="54"/>
      <c r="L113" s="687"/>
      <c r="M113" s="590"/>
      <c r="N113" s="68"/>
      <c r="O113" s="68"/>
      <c r="P113" s="68"/>
      <c r="Q113" s="68"/>
      <c r="R113" s="68"/>
      <c r="S113" s="68"/>
      <c r="T113" s="68"/>
      <c r="U113" s="161"/>
      <c r="V113" s="54"/>
      <c r="W113" s="54"/>
      <c r="X113" s="54"/>
      <c r="Y113" s="54"/>
      <c r="Z113" s="54"/>
      <c r="AA113" s="54"/>
      <c r="AB113" s="54"/>
      <c r="AC113" s="54"/>
      <c r="AD113" s="54"/>
      <c r="AE113" s="54"/>
      <c r="AF113" s="54"/>
      <c r="AG113" s="54"/>
      <c r="AH113" s="54"/>
      <c r="AI113" s="54"/>
      <c r="AJ113" s="54"/>
      <c r="AW113" s="18">
        <f t="shared" si="4"/>
        <v>0</v>
      </c>
    </row>
    <row r="114" spans="10:49" ht="15">
      <c r="J114" s="687"/>
      <c r="K114" s="54"/>
      <c r="L114" s="687"/>
      <c r="M114" s="590"/>
      <c r="N114" s="68"/>
      <c r="O114" s="68"/>
      <c r="P114" s="68"/>
      <c r="Q114" s="68"/>
      <c r="R114" s="68"/>
      <c r="S114" s="68"/>
      <c r="T114" s="68"/>
      <c r="U114" s="161"/>
      <c r="V114" s="54"/>
      <c r="W114" s="54"/>
      <c r="X114" s="54"/>
      <c r="Y114" s="54"/>
      <c r="Z114" s="54"/>
      <c r="AA114" s="54"/>
      <c r="AB114" s="54"/>
      <c r="AC114" s="54"/>
      <c r="AD114" s="54"/>
      <c r="AE114" s="54"/>
      <c r="AF114" s="54"/>
      <c r="AG114" s="54"/>
      <c r="AH114" s="54"/>
      <c r="AI114" s="54"/>
      <c r="AJ114" s="54"/>
      <c r="AW114" s="18">
        <f t="shared" si="4"/>
        <v>0</v>
      </c>
    </row>
    <row r="115" spans="10:49" ht="15">
      <c r="J115" s="687"/>
      <c r="K115" s="54"/>
      <c r="L115" s="687"/>
      <c r="M115" s="590"/>
      <c r="N115" s="68"/>
      <c r="O115" s="68"/>
      <c r="P115" s="68"/>
      <c r="Q115" s="68"/>
      <c r="R115" s="68"/>
      <c r="S115" s="68"/>
      <c r="T115" s="68"/>
      <c r="U115" s="161"/>
      <c r="V115" s="54"/>
      <c r="W115" s="54"/>
      <c r="X115" s="54"/>
      <c r="Y115" s="54"/>
      <c r="Z115" s="54"/>
      <c r="AA115" s="54"/>
      <c r="AB115" s="54"/>
      <c r="AC115" s="54"/>
      <c r="AD115" s="54"/>
      <c r="AE115" s="54"/>
      <c r="AF115" s="54"/>
      <c r="AG115" s="54"/>
      <c r="AH115" s="54"/>
      <c r="AI115" s="54"/>
      <c r="AJ115" s="54"/>
      <c r="AW115" s="18">
        <f t="shared" si="4"/>
        <v>0</v>
      </c>
    </row>
    <row r="116" spans="10:49" ht="15">
      <c r="J116" s="687"/>
      <c r="K116" s="54"/>
      <c r="L116" s="687"/>
      <c r="M116" s="590"/>
      <c r="N116" s="68"/>
      <c r="O116" s="68"/>
      <c r="P116" s="68"/>
      <c r="Q116" s="68"/>
      <c r="R116" s="68"/>
      <c r="S116" s="68"/>
      <c r="T116" s="68"/>
      <c r="U116" s="161"/>
      <c r="V116" s="54"/>
      <c r="W116" s="54"/>
      <c r="X116" s="54"/>
      <c r="Y116" s="54"/>
      <c r="Z116" s="54"/>
      <c r="AA116" s="54"/>
      <c r="AB116" s="54"/>
      <c r="AC116" s="54"/>
      <c r="AD116" s="54"/>
      <c r="AE116" s="54"/>
      <c r="AF116" s="54"/>
      <c r="AG116" s="54"/>
      <c r="AH116" s="54"/>
      <c r="AI116" s="54"/>
      <c r="AJ116" s="54"/>
      <c r="AW116" s="18">
        <f t="shared" si="4"/>
        <v>0</v>
      </c>
    </row>
    <row r="117" spans="10:49" ht="15">
      <c r="J117" s="687"/>
      <c r="K117" s="54"/>
      <c r="L117" s="687"/>
      <c r="M117" s="590"/>
      <c r="N117" s="68"/>
      <c r="O117" s="68"/>
      <c r="P117" s="68"/>
      <c r="Q117" s="68"/>
      <c r="R117" s="68"/>
      <c r="S117" s="68"/>
      <c r="T117" s="68"/>
      <c r="U117" s="161"/>
      <c r="V117" s="54"/>
      <c r="W117" s="54"/>
      <c r="X117" s="54"/>
      <c r="Y117" s="54"/>
      <c r="Z117" s="54"/>
      <c r="AA117" s="54"/>
      <c r="AB117" s="54"/>
      <c r="AC117" s="54"/>
      <c r="AD117" s="54"/>
      <c r="AE117" s="54"/>
      <c r="AF117" s="54"/>
      <c r="AG117" s="54"/>
      <c r="AH117" s="54"/>
      <c r="AI117" s="54"/>
      <c r="AJ117" s="54"/>
      <c r="AW117" s="18">
        <f t="shared" si="4"/>
        <v>0</v>
      </c>
    </row>
    <row r="118" spans="10:49" ht="15">
      <c r="J118" s="687"/>
      <c r="K118" s="54"/>
      <c r="L118" s="687"/>
      <c r="M118" s="590"/>
      <c r="N118" s="68"/>
      <c r="O118" s="68"/>
      <c r="P118" s="68"/>
      <c r="Q118" s="68"/>
      <c r="R118" s="68"/>
      <c r="S118" s="68"/>
      <c r="T118" s="68"/>
      <c r="U118" s="161"/>
      <c r="V118" s="54"/>
      <c r="W118" s="54"/>
      <c r="X118" s="54"/>
      <c r="Y118" s="54"/>
      <c r="Z118" s="54"/>
      <c r="AA118" s="54"/>
      <c r="AB118" s="54"/>
      <c r="AC118" s="54"/>
      <c r="AD118" s="54"/>
      <c r="AE118" s="54"/>
      <c r="AF118" s="54"/>
      <c r="AG118" s="54"/>
      <c r="AH118" s="54"/>
      <c r="AI118" s="54"/>
      <c r="AJ118" s="54"/>
      <c r="AW118" s="18">
        <f t="shared" si="4"/>
        <v>0</v>
      </c>
    </row>
    <row r="119" spans="10:49" ht="15">
      <c r="J119" s="687"/>
      <c r="K119" s="54"/>
      <c r="L119" s="687"/>
      <c r="M119" s="590"/>
      <c r="N119" s="68"/>
      <c r="O119" s="68"/>
      <c r="P119" s="68"/>
      <c r="Q119" s="68"/>
      <c r="R119" s="68"/>
      <c r="S119" s="68"/>
      <c r="T119" s="68"/>
      <c r="U119" s="161"/>
      <c r="V119" s="54"/>
      <c r="W119" s="54"/>
      <c r="X119" s="54"/>
      <c r="Y119" s="54"/>
      <c r="Z119" s="54"/>
      <c r="AA119" s="54"/>
      <c r="AB119" s="54"/>
      <c r="AC119" s="54"/>
      <c r="AD119" s="54"/>
      <c r="AE119" s="54"/>
      <c r="AF119" s="54"/>
      <c r="AG119" s="54"/>
      <c r="AH119" s="54"/>
      <c r="AI119" s="54"/>
      <c r="AJ119" s="54"/>
      <c r="AW119" s="18">
        <f t="shared" si="4"/>
        <v>0</v>
      </c>
    </row>
    <row r="120" spans="10:49" ht="15">
      <c r="J120" s="687"/>
      <c r="K120" s="54"/>
      <c r="L120" s="687"/>
      <c r="M120" s="590"/>
      <c r="N120" s="68"/>
      <c r="O120" s="68"/>
      <c r="P120" s="68"/>
      <c r="Q120" s="68"/>
      <c r="R120" s="68"/>
      <c r="S120" s="68"/>
      <c r="T120" s="68"/>
      <c r="U120" s="161"/>
      <c r="V120" s="54"/>
      <c r="W120" s="54"/>
      <c r="X120" s="54"/>
      <c r="Y120" s="54"/>
      <c r="Z120" s="54"/>
      <c r="AA120" s="54"/>
      <c r="AB120" s="54"/>
      <c r="AC120" s="54"/>
      <c r="AD120" s="54"/>
      <c r="AE120" s="54"/>
      <c r="AF120" s="54"/>
      <c r="AG120" s="54"/>
      <c r="AH120" s="54"/>
      <c r="AI120" s="54"/>
      <c r="AJ120" s="54"/>
      <c r="AW120" s="18">
        <f t="shared" si="4"/>
        <v>0</v>
      </c>
    </row>
    <row r="121" spans="10:49" ht="15">
      <c r="J121" s="687"/>
      <c r="K121" s="54"/>
      <c r="L121" s="687"/>
      <c r="M121" s="590"/>
      <c r="N121" s="68"/>
      <c r="O121" s="68"/>
      <c r="P121" s="68"/>
      <c r="Q121" s="68"/>
      <c r="R121" s="68"/>
      <c r="S121" s="68"/>
      <c r="T121" s="68"/>
      <c r="U121" s="161"/>
      <c r="V121" s="54"/>
      <c r="W121" s="54"/>
      <c r="X121" s="54"/>
      <c r="Y121" s="54"/>
      <c r="Z121" s="54"/>
      <c r="AA121" s="54"/>
      <c r="AB121" s="54"/>
      <c r="AC121" s="54"/>
      <c r="AD121" s="54"/>
      <c r="AE121" s="54"/>
      <c r="AF121" s="54"/>
      <c r="AG121" s="54"/>
      <c r="AH121" s="54"/>
      <c r="AI121" s="54"/>
      <c r="AJ121" s="54"/>
      <c r="AW121" s="18">
        <f t="shared" si="4"/>
        <v>0</v>
      </c>
    </row>
    <row r="122" spans="10:49" ht="15">
      <c r="J122" s="687"/>
      <c r="K122" s="54"/>
      <c r="L122" s="687"/>
      <c r="M122" s="590"/>
      <c r="N122" s="68"/>
      <c r="O122" s="68"/>
      <c r="P122" s="68"/>
      <c r="Q122" s="68"/>
      <c r="R122" s="68"/>
      <c r="S122" s="68"/>
      <c r="T122" s="68"/>
      <c r="U122" s="161"/>
      <c r="V122" s="54"/>
      <c r="W122" s="54"/>
      <c r="X122" s="54"/>
      <c r="Y122" s="54"/>
      <c r="Z122" s="54"/>
      <c r="AA122" s="54"/>
      <c r="AB122" s="54"/>
      <c r="AC122" s="54"/>
      <c r="AD122" s="54"/>
      <c r="AE122" s="54"/>
      <c r="AF122" s="54"/>
      <c r="AG122" s="54"/>
      <c r="AH122" s="54"/>
      <c r="AI122" s="54"/>
      <c r="AJ122" s="54"/>
      <c r="AW122" s="18">
        <f t="shared" si="4"/>
        <v>0</v>
      </c>
    </row>
    <row r="123" spans="10:49" ht="15">
      <c r="J123" s="687"/>
      <c r="K123" s="54"/>
      <c r="L123" s="687"/>
      <c r="M123" s="590"/>
      <c r="N123" s="68"/>
      <c r="O123" s="68"/>
      <c r="P123" s="68"/>
      <c r="Q123" s="68"/>
      <c r="R123" s="68"/>
      <c r="S123" s="68"/>
      <c r="T123" s="68"/>
      <c r="U123" s="161"/>
      <c r="V123" s="54"/>
      <c r="W123" s="54"/>
      <c r="X123" s="54"/>
      <c r="Y123" s="54"/>
      <c r="Z123" s="54"/>
      <c r="AA123" s="54"/>
      <c r="AB123" s="54"/>
      <c r="AC123" s="54"/>
      <c r="AD123" s="54"/>
      <c r="AE123" s="54"/>
      <c r="AF123" s="54"/>
      <c r="AG123" s="54"/>
      <c r="AH123" s="54"/>
      <c r="AI123" s="54"/>
      <c r="AJ123" s="54"/>
      <c r="AW123" s="18">
        <f t="shared" si="4"/>
        <v>0</v>
      </c>
    </row>
    <row r="124" spans="10:49" ht="15">
      <c r="J124" s="687"/>
      <c r="K124" s="54"/>
      <c r="L124" s="687"/>
      <c r="M124" s="590"/>
      <c r="N124" s="68"/>
      <c r="O124" s="68"/>
      <c r="P124" s="68"/>
      <c r="Q124" s="68"/>
      <c r="R124" s="68"/>
      <c r="S124" s="68"/>
      <c r="T124" s="68"/>
      <c r="U124" s="161"/>
      <c r="V124" s="54"/>
      <c r="W124" s="54"/>
      <c r="X124" s="54"/>
      <c r="Y124" s="54"/>
      <c r="Z124" s="54"/>
      <c r="AA124" s="54"/>
      <c r="AB124" s="54"/>
      <c r="AC124" s="54"/>
      <c r="AD124" s="54"/>
      <c r="AE124" s="54"/>
      <c r="AF124" s="54"/>
      <c r="AG124" s="54"/>
      <c r="AH124" s="54"/>
      <c r="AI124" s="54"/>
      <c r="AJ124" s="54"/>
      <c r="AW124" s="18">
        <f t="shared" si="4"/>
        <v>0</v>
      </c>
    </row>
    <row r="125" spans="10:49" ht="15">
      <c r="J125" s="687"/>
      <c r="K125" s="54"/>
      <c r="L125" s="687"/>
      <c r="M125" s="590"/>
      <c r="N125" s="68"/>
      <c r="O125" s="68"/>
      <c r="P125" s="68"/>
      <c r="Q125" s="68"/>
      <c r="R125" s="68"/>
      <c r="S125" s="68"/>
      <c r="T125" s="68"/>
      <c r="U125" s="161"/>
      <c r="V125" s="54"/>
      <c r="W125" s="54"/>
      <c r="X125" s="54"/>
      <c r="Y125" s="54"/>
      <c r="Z125" s="54"/>
      <c r="AA125" s="54"/>
      <c r="AB125" s="54"/>
      <c r="AC125" s="54"/>
      <c r="AD125" s="54"/>
      <c r="AE125" s="54"/>
      <c r="AF125" s="54"/>
      <c r="AG125" s="54"/>
      <c r="AH125" s="54"/>
      <c r="AI125" s="54"/>
      <c r="AJ125" s="54"/>
      <c r="AW125" s="18">
        <f t="shared" si="4"/>
        <v>0</v>
      </c>
    </row>
    <row r="126" spans="10:49" ht="15">
      <c r="J126" s="687"/>
      <c r="K126" s="54"/>
      <c r="L126" s="687"/>
      <c r="M126" s="590"/>
      <c r="N126" s="68"/>
      <c r="O126" s="68"/>
      <c r="P126" s="68"/>
      <c r="Q126" s="68"/>
      <c r="R126" s="68"/>
      <c r="S126" s="68"/>
      <c r="T126" s="68"/>
      <c r="U126" s="161"/>
      <c r="V126" s="54"/>
      <c r="W126" s="54"/>
      <c r="X126" s="54"/>
      <c r="Y126" s="54"/>
      <c r="Z126" s="54"/>
      <c r="AA126" s="54"/>
      <c r="AB126" s="54"/>
      <c r="AC126" s="54"/>
      <c r="AD126" s="54"/>
      <c r="AE126" s="54"/>
      <c r="AF126" s="54"/>
      <c r="AG126" s="54"/>
      <c r="AH126" s="54"/>
      <c r="AI126" s="54"/>
      <c r="AJ126" s="54"/>
      <c r="AW126" s="18">
        <f t="shared" si="4"/>
        <v>0</v>
      </c>
    </row>
    <row r="127" spans="10:49" ht="15">
      <c r="J127" s="687"/>
      <c r="K127" s="54"/>
      <c r="L127" s="687"/>
      <c r="M127" s="590"/>
      <c r="N127" s="68"/>
      <c r="O127" s="68"/>
      <c r="P127" s="68"/>
      <c r="Q127" s="68"/>
      <c r="R127" s="68"/>
      <c r="S127" s="68"/>
      <c r="T127" s="68"/>
      <c r="U127" s="161"/>
      <c r="V127" s="54"/>
      <c r="W127" s="54"/>
      <c r="X127" s="54"/>
      <c r="Y127" s="54"/>
      <c r="Z127" s="54"/>
      <c r="AA127" s="54"/>
      <c r="AB127" s="54"/>
      <c r="AC127" s="54"/>
      <c r="AD127" s="54"/>
      <c r="AE127" s="54"/>
      <c r="AF127" s="54"/>
      <c r="AG127" s="54"/>
      <c r="AH127" s="54"/>
      <c r="AI127" s="54"/>
      <c r="AJ127" s="54"/>
      <c r="AW127" s="18">
        <f t="shared" si="4"/>
        <v>0</v>
      </c>
    </row>
    <row r="128" spans="10:49" ht="15">
      <c r="J128" s="687"/>
      <c r="K128" s="54"/>
      <c r="L128" s="687"/>
      <c r="M128" s="590"/>
      <c r="N128" s="68"/>
      <c r="O128" s="68"/>
      <c r="P128" s="68"/>
      <c r="Q128" s="68"/>
      <c r="R128" s="68"/>
      <c r="S128" s="68"/>
      <c r="T128" s="68"/>
      <c r="U128" s="161"/>
      <c r="V128" s="54"/>
      <c r="W128" s="54"/>
      <c r="X128" s="54"/>
      <c r="Y128" s="54"/>
      <c r="Z128" s="54"/>
      <c r="AA128" s="54"/>
      <c r="AB128" s="54"/>
      <c r="AC128" s="54"/>
      <c r="AD128" s="54"/>
      <c r="AE128" s="54"/>
      <c r="AF128" s="54"/>
      <c r="AG128" s="54"/>
      <c r="AH128" s="54"/>
      <c r="AI128" s="54"/>
      <c r="AJ128" s="54"/>
      <c r="AW128" s="18">
        <f t="shared" si="4"/>
        <v>0</v>
      </c>
    </row>
    <row r="129" spans="10:49" ht="15">
      <c r="J129" s="687"/>
      <c r="K129" s="54"/>
      <c r="L129" s="687"/>
      <c r="M129" s="590"/>
      <c r="N129" s="68"/>
      <c r="O129" s="68"/>
      <c r="P129" s="68"/>
      <c r="Q129" s="68"/>
      <c r="R129" s="68"/>
      <c r="S129" s="68"/>
      <c r="T129" s="68"/>
      <c r="U129" s="161"/>
      <c r="V129" s="54"/>
      <c r="W129" s="54"/>
      <c r="X129" s="54"/>
      <c r="Y129" s="54"/>
      <c r="Z129" s="54"/>
      <c r="AA129" s="54"/>
      <c r="AB129" s="54"/>
      <c r="AC129" s="54"/>
      <c r="AD129" s="54"/>
      <c r="AE129" s="54"/>
      <c r="AF129" s="54"/>
      <c r="AG129" s="54"/>
      <c r="AH129" s="54"/>
      <c r="AI129" s="54"/>
      <c r="AJ129" s="54"/>
      <c r="AW129" s="18">
        <f t="shared" si="4"/>
        <v>0</v>
      </c>
    </row>
    <row r="130" spans="10:49" ht="15">
      <c r="J130" s="687"/>
      <c r="K130" s="54"/>
      <c r="L130" s="687"/>
      <c r="M130" s="590"/>
      <c r="N130" s="68"/>
      <c r="O130" s="68"/>
      <c r="P130" s="68"/>
      <c r="Q130" s="68"/>
      <c r="R130" s="68"/>
      <c r="S130" s="68"/>
      <c r="T130" s="68"/>
      <c r="U130" s="161"/>
      <c r="V130" s="54"/>
      <c r="W130" s="54"/>
      <c r="X130" s="54"/>
      <c r="Y130" s="54"/>
      <c r="Z130" s="54"/>
      <c r="AA130" s="54"/>
      <c r="AB130" s="54"/>
      <c r="AC130" s="54"/>
      <c r="AD130" s="54"/>
      <c r="AE130" s="54"/>
      <c r="AF130" s="54"/>
      <c r="AG130" s="54"/>
      <c r="AH130" s="54"/>
      <c r="AI130" s="54"/>
      <c r="AJ130" s="54"/>
      <c r="AW130" s="18">
        <f t="shared" si="4"/>
        <v>0</v>
      </c>
    </row>
    <row r="131" spans="10:49" ht="15">
      <c r="J131" s="687"/>
      <c r="K131" s="54"/>
      <c r="L131" s="687"/>
      <c r="M131" s="590"/>
      <c r="N131" s="68"/>
      <c r="O131" s="68"/>
      <c r="P131" s="68"/>
      <c r="Q131" s="68"/>
      <c r="R131" s="68"/>
      <c r="S131" s="68"/>
      <c r="T131" s="68"/>
      <c r="U131" s="161"/>
      <c r="V131" s="54"/>
      <c r="W131" s="54"/>
      <c r="X131" s="54"/>
      <c r="Y131" s="54"/>
      <c r="Z131" s="54"/>
      <c r="AA131" s="54"/>
      <c r="AB131" s="54"/>
      <c r="AC131" s="54"/>
      <c r="AD131" s="54"/>
      <c r="AE131" s="54"/>
      <c r="AF131" s="54"/>
      <c r="AG131" s="54"/>
      <c r="AH131" s="54"/>
      <c r="AI131" s="54"/>
      <c r="AJ131" s="54"/>
      <c r="AW131" s="18">
        <f t="shared" si="4"/>
        <v>0</v>
      </c>
    </row>
    <row r="132" spans="10:49" ht="15">
      <c r="J132" s="687"/>
      <c r="K132" s="54"/>
      <c r="L132" s="687"/>
      <c r="M132" s="590"/>
      <c r="N132" s="68"/>
      <c r="O132" s="68"/>
      <c r="P132" s="68"/>
      <c r="Q132" s="68"/>
      <c r="R132" s="68"/>
      <c r="S132" s="68"/>
      <c r="T132" s="68"/>
      <c r="U132" s="161"/>
      <c r="V132" s="54"/>
      <c r="W132" s="54"/>
      <c r="X132" s="54"/>
      <c r="Y132" s="54"/>
      <c r="Z132" s="54"/>
      <c r="AA132" s="54"/>
      <c r="AB132" s="54"/>
      <c r="AC132" s="54"/>
      <c r="AD132" s="54"/>
      <c r="AE132" s="54"/>
      <c r="AF132" s="54"/>
      <c r="AG132" s="54"/>
      <c r="AH132" s="54"/>
      <c r="AI132" s="54"/>
      <c r="AJ132" s="54"/>
      <c r="AW132" s="18">
        <f t="shared" si="4"/>
        <v>0</v>
      </c>
    </row>
    <row r="133" spans="10:49" ht="15">
      <c r="J133" s="687"/>
      <c r="K133" s="54"/>
      <c r="L133" s="687"/>
      <c r="M133" s="590"/>
      <c r="N133" s="68"/>
      <c r="O133" s="68"/>
      <c r="P133" s="68"/>
      <c r="Q133" s="68"/>
      <c r="R133" s="68"/>
      <c r="S133" s="68"/>
      <c r="T133" s="68"/>
      <c r="U133" s="161"/>
      <c r="V133" s="54"/>
      <c r="W133" s="54"/>
      <c r="X133" s="54"/>
      <c r="Y133" s="54"/>
      <c r="Z133" s="54"/>
      <c r="AA133" s="54"/>
      <c r="AB133" s="54"/>
      <c r="AC133" s="54"/>
      <c r="AD133" s="54"/>
      <c r="AE133" s="54"/>
      <c r="AF133" s="54"/>
      <c r="AG133" s="54"/>
      <c r="AH133" s="54"/>
      <c r="AI133" s="54"/>
      <c r="AJ133" s="54"/>
      <c r="AW133" s="18">
        <f t="shared" si="4"/>
        <v>0</v>
      </c>
    </row>
    <row r="134" spans="10:49" ht="15">
      <c r="J134" s="687"/>
      <c r="K134" s="54"/>
      <c r="L134" s="687"/>
      <c r="M134" s="590"/>
      <c r="N134" s="68"/>
      <c r="O134" s="68"/>
      <c r="P134" s="68"/>
      <c r="Q134" s="68"/>
      <c r="R134" s="68"/>
      <c r="S134" s="68"/>
      <c r="T134" s="68"/>
      <c r="U134" s="161"/>
      <c r="V134" s="54"/>
      <c r="W134" s="54"/>
      <c r="X134" s="54"/>
      <c r="Y134" s="54"/>
      <c r="Z134" s="54"/>
      <c r="AA134" s="54"/>
      <c r="AB134" s="54"/>
      <c r="AC134" s="54"/>
      <c r="AD134" s="54"/>
      <c r="AE134" s="54"/>
      <c r="AF134" s="54"/>
      <c r="AG134" s="54"/>
      <c r="AH134" s="54"/>
      <c r="AI134" s="54"/>
      <c r="AJ134" s="54"/>
      <c r="AW134" s="18">
        <f t="shared" si="4"/>
        <v>0</v>
      </c>
    </row>
    <row r="135" spans="10:49" ht="15">
      <c r="J135" s="687"/>
      <c r="K135" s="54"/>
      <c r="L135" s="687"/>
      <c r="M135" s="590"/>
      <c r="N135" s="68"/>
      <c r="O135" s="68"/>
      <c r="P135" s="68"/>
      <c r="Q135" s="68"/>
      <c r="R135" s="68"/>
      <c r="S135" s="68"/>
      <c r="T135" s="68"/>
      <c r="U135" s="161"/>
      <c r="V135" s="54"/>
      <c r="W135" s="54"/>
      <c r="X135" s="54"/>
      <c r="Y135" s="54"/>
      <c r="Z135" s="54"/>
      <c r="AA135" s="54"/>
      <c r="AB135" s="54"/>
      <c r="AC135" s="54"/>
      <c r="AD135" s="54"/>
      <c r="AE135" s="54"/>
      <c r="AF135" s="54"/>
      <c r="AG135" s="54"/>
      <c r="AH135" s="54"/>
      <c r="AI135" s="54"/>
      <c r="AJ135" s="54"/>
      <c r="AW135" s="18">
        <f t="shared" si="4"/>
        <v>0</v>
      </c>
    </row>
    <row r="136" spans="10:49" ht="15">
      <c r="J136" s="687"/>
      <c r="K136" s="54"/>
      <c r="L136" s="687"/>
      <c r="M136" s="590"/>
      <c r="N136" s="68"/>
      <c r="O136" s="68"/>
      <c r="P136" s="68"/>
      <c r="Q136" s="68"/>
      <c r="R136" s="68"/>
      <c r="S136" s="68"/>
      <c r="T136" s="68"/>
      <c r="U136" s="161"/>
      <c r="V136" s="54"/>
      <c r="W136" s="54"/>
      <c r="X136" s="54"/>
      <c r="Y136" s="54"/>
      <c r="Z136" s="54"/>
      <c r="AA136" s="54"/>
      <c r="AB136" s="54"/>
      <c r="AC136" s="54"/>
      <c r="AD136" s="54"/>
      <c r="AE136" s="54"/>
      <c r="AF136" s="54"/>
      <c r="AG136" s="54"/>
      <c r="AH136" s="54"/>
      <c r="AI136" s="54"/>
      <c r="AJ136" s="54"/>
      <c r="AW136" s="18">
        <f t="shared" si="4"/>
        <v>0</v>
      </c>
    </row>
    <row r="137" spans="10:49" ht="15">
      <c r="J137" s="687"/>
      <c r="K137" s="54"/>
      <c r="L137" s="687"/>
      <c r="M137" s="590"/>
      <c r="N137" s="68"/>
      <c r="O137" s="68"/>
      <c r="P137" s="68"/>
      <c r="Q137" s="68"/>
      <c r="R137" s="68"/>
      <c r="S137" s="68"/>
      <c r="T137" s="68"/>
      <c r="U137" s="161"/>
      <c r="V137" s="54"/>
      <c r="W137" s="54"/>
      <c r="X137" s="54"/>
      <c r="Y137" s="54"/>
      <c r="Z137" s="54"/>
      <c r="AA137" s="54"/>
      <c r="AB137" s="54"/>
      <c r="AC137" s="54"/>
      <c r="AD137" s="54"/>
      <c r="AE137" s="54"/>
      <c r="AF137" s="54"/>
      <c r="AG137" s="54"/>
      <c r="AH137" s="54"/>
      <c r="AI137" s="54"/>
      <c r="AJ137" s="54"/>
      <c r="AW137" s="18">
        <f t="shared" si="4"/>
        <v>0</v>
      </c>
    </row>
    <row r="138" spans="10:49" ht="15">
      <c r="J138" s="687"/>
      <c r="K138" s="54"/>
      <c r="L138" s="687"/>
      <c r="M138" s="590"/>
      <c r="N138" s="68"/>
      <c r="O138" s="68"/>
      <c r="P138" s="68"/>
      <c r="Q138" s="68"/>
      <c r="R138" s="68"/>
      <c r="S138" s="68"/>
      <c r="T138" s="68"/>
      <c r="U138" s="161"/>
      <c r="V138" s="54"/>
      <c r="W138" s="54"/>
      <c r="X138" s="54"/>
      <c r="Y138" s="54"/>
      <c r="Z138" s="54"/>
      <c r="AA138" s="54"/>
      <c r="AB138" s="54"/>
      <c r="AC138" s="54"/>
      <c r="AD138" s="54"/>
      <c r="AE138" s="54"/>
      <c r="AF138" s="54"/>
      <c r="AG138" s="54"/>
      <c r="AH138" s="54"/>
      <c r="AI138" s="54"/>
      <c r="AJ138" s="54"/>
      <c r="AW138" s="18">
        <f t="shared" si="4"/>
        <v>0</v>
      </c>
    </row>
    <row r="139" spans="10:49" ht="15">
      <c r="J139" s="687"/>
      <c r="K139" s="54"/>
      <c r="L139" s="687"/>
      <c r="M139" s="590"/>
      <c r="N139" s="68"/>
      <c r="O139" s="68"/>
      <c r="P139" s="68"/>
      <c r="Q139" s="68"/>
      <c r="R139" s="68"/>
      <c r="S139" s="68"/>
      <c r="T139" s="68"/>
      <c r="U139" s="161"/>
      <c r="V139" s="54"/>
      <c r="W139" s="54"/>
      <c r="X139" s="54"/>
      <c r="Y139" s="54"/>
      <c r="Z139" s="54"/>
      <c r="AA139" s="54"/>
      <c r="AB139" s="54"/>
      <c r="AC139" s="54"/>
      <c r="AD139" s="54"/>
      <c r="AE139" s="54"/>
      <c r="AF139" s="54"/>
      <c r="AG139" s="54"/>
      <c r="AH139" s="54"/>
      <c r="AI139" s="54"/>
      <c r="AJ139" s="54"/>
      <c r="AW139" s="18">
        <f t="shared" si="4"/>
        <v>0</v>
      </c>
    </row>
    <row r="140" spans="10:49" ht="15">
      <c r="J140" s="687"/>
      <c r="K140" s="54"/>
      <c r="L140" s="687"/>
      <c r="M140" s="590"/>
      <c r="N140" s="68"/>
      <c r="O140" s="68"/>
      <c r="P140" s="68"/>
      <c r="Q140" s="68"/>
      <c r="R140" s="68"/>
      <c r="S140" s="68"/>
      <c r="T140" s="68"/>
      <c r="U140" s="161"/>
      <c r="V140" s="54"/>
      <c r="W140" s="54"/>
      <c r="X140" s="54"/>
      <c r="Y140" s="54"/>
      <c r="Z140" s="54"/>
      <c r="AA140" s="54"/>
      <c r="AB140" s="54"/>
      <c r="AC140" s="54"/>
      <c r="AD140" s="54"/>
      <c r="AE140" s="54"/>
      <c r="AF140" s="54"/>
      <c r="AG140" s="54"/>
      <c r="AH140" s="54"/>
      <c r="AI140" s="54"/>
      <c r="AJ140" s="54"/>
      <c r="AW140" s="18">
        <f t="shared" si="4"/>
        <v>0</v>
      </c>
    </row>
    <row r="141" spans="10:49" ht="15">
      <c r="J141" s="687"/>
      <c r="K141" s="54"/>
      <c r="L141" s="687"/>
      <c r="M141" s="590"/>
      <c r="N141" s="68"/>
      <c r="O141" s="68"/>
      <c r="P141" s="68"/>
      <c r="Q141" s="68"/>
      <c r="R141" s="68"/>
      <c r="S141" s="68"/>
      <c r="T141" s="68"/>
      <c r="U141" s="161"/>
      <c r="V141" s="54"/>
      <c r="W141" s="54"/>
      <c r="X141" s="54"/>
      <c r="Y141" s="54"/>
      <c r="Z141" s="54"/>
      <c r="AA141" s="54"/>
      <c r="AB141" s="54"/>
      <c r="AC141" s="54"/>
      <c r="AD141" s="54"/>
      <c r="AE141" s="54"/>
      <c r="AF141" s="54"/>
      <c r="AG141" s="54"/>
      <c r="AH141" s="54"/>
      <c r="AI141" s="54"/>
      <c r="AJ141" s="54"/>
      <c r="AW141" s="18">
        <f t="shared" si="4"/>
        <v>0</v>
      </c>
    </row>
    <row r="142" spans="10:49" ht="15">
      <c r="J142" s="687"/>
      <c r="K142" s="54"/>
      <c r="L142" s="687"/>
      <c r="M142" s="590"/>
      <c r="N142" s="68"/>
      <c r="O142" s="68"/>
      <c r="P142" s="68"/>
      <c r="Q142" s="68"/>
      <c r="R142" s="68"/>
      <c r="S142" s="68"/>
      <c r="T142" s="68"/>
      <c r="U142" s="161"/>
      <c r="V142" s="54"/>
      <c r="W142" s="54"/>
      <c r="X142" s="54"/>
      <c r="Y142" s="54"/>
      <c r="Z142" s="54"/>
      <c r="AA142" s="54"/>
      <c r="AB142" s="54"/>
      <c r="AC142" s="54"/>
      <c r="AD142" s="54"/>
      <c r="AE142" s="54"/>
      <c r="AF142" s="54"/>
      <c r="AG142" s="54"/>
      <c r="AH142" s="54"/>
      <c r="AI142" s="54"/>
      <c r="AJ142" s="54"/>
      <c r="AW142" s="18">
        <f t="shared" si="4"/>
        <v>0</v>
      </c>
    </row>
    <row r="143" spans="10:49" ht="15">
      <c r="J143" s="687"/>
      <c r="K143" s="54"/>
      <c r="L143" s="687"/>
      <c r="M143" s="590"/>
      <c r="N143" s="68"/>
      <c r="O143" s="68"/>
      <c r="P143" s="68"/>
      <c r="Q143" s="68"/>
      <c r="R143" s="68"/>
      <c r="S143" s="68"/>
      <c r="T143" s="68"/>
      <c r="U143" s="161"/>
      <c r="V143" s="54"/>
      <c r="W143" s="54"/>
      <c r="X143" s="54"/>
      <c r="Y143" s="54"/>
      <c r="Z143" s="54"/>
      <c r="AA143" s="54"/>
      <c r="AB143" s="54"/>
      <c r="AC143" s="54"/>
      <c r="AD143" s="54"/>
      <c r="AE143" s="54"/>
      <c r="AF143" s="54"/>
      <c r="AG143" s="54"/>
      <c r="AH143" s="54"/>
      <c r="AI143" s="54"/>
      <c r="AJ143" s="54"/>
      <c r="AW143" s="18">
        <f t="shared" si="4"/>
        <v>0</v>
      </c>
    </row>
    <row r="144" spans="10:49" ht="15">
      <c r="J144" s="687"/>
      <c r="K144" s="54"/>
      <c r="L144" s="687"/>
      <c r="M144" s="590"/>
      <c r="N144" s="68"/>
      <c r="O144" s="68"/>
      <c r="P144" s="68"/>
      <c r="Q144" s="68"/>
      <c r="R144" s="68"/>
      <c r="S144" s="68"/>
      <c r="T144" s="68"/>
      <c r="U144" s="161"/>
      <c r="V144" s="54"/>
      <c r="W144" s="54"/>
      <c r="X144" s="54"/>
      <c r="Y144" s="54"/>
      <c r="Z144" s="54"/>
      <c r="AA144" s="54"/>
      <c r="AB144" s="54"/>
      <c r="AC144" s="54"/>
      <c r="AD144" s="54"/>
      <c r="AE144" s="54"/>
      <c r="AF144" s="54"/>
      <c r="AG144" s="54"/>
      <c r="AH144" s="54"/>
      <c r="AI144" s="54"/>
      <c r="AJ144" s="54"/>
      <c r="AW144" s="18">
        <f t="shared" si="4"/>
        <v>0</v>
      </c>
    </row>
    <row r="145" spans="10:49" ht="15">
      <c r="J145" s="687"/>
      <c r="K145" s="54"/>
      <c r="L145" s="687"/>
      <c r="M145" s="590"/>
      <c r="N145" s="68"/>
      <c r="O145" s="68"/>
      <c r="P145" s="68"/>
      <c r="Q145" s="68"/>
      <c r="R145" s="68"/>
      <c r="S145" s="68"/>
      <c r="T145" s="68"/>
      <c r="U145" s="161"/>
      <c r="V145" s="54"/>
      <c r="W145" s="54"/>
      <c r="X145" s="54"/>
      <c r="Y145" s="54"/>
      <c r="Z145" s="54"/>
      <c r="AA145" s="54"/>
      <c r="AB145" s="54"/>
      <c r="AC145" s="54"/>
      <c r="AD145" s="54"/>
      <c r="AE145" s="54"/>
      <c r="AF145" s="54"/>
      <c r="AG145" s="54"/>
      <c r="AH145" s="54"/>
      <c r="AI145" s="54"/>
      <c r="AJ145" s="54"/>
      <c r="AW145" s="18">
        <f t="shared" si="4"/>
        <v>0</v>
      </c>
    </row>
    <row r="146" spans="10:49" ht="15">
      <c r="J146" s="687"/>
      <c r="K146" s="54"/>
      <c r="L146" s="687"/>
      <c r="M146" s="590"/>
      <c r="N146" s="68"/>
      <c r="O146" s="68"/>
      <c r="P146" s="68"/>
      <c r="Q146" s="68"/>
      <c r="R146" s="68"/>
      <c r="S146" s="68"/>
      <c r="T146" s="68"/>
      <c r="U146" s="161"/>
      <c r="V146" s="54"/>
      <c r="W146" s="54"/>
      <c r="X146" s="54"/>
      <c r="Y146" s="54"/>
      <c r="Z146" s="54"/>
      <c r="AA146" s="54"/>
      <c r="AB146" s="54"/>
      <c r="AC146" s="54"/>
      <c r="AD146" s="54"/>
      <c r="AE146" s="54"/>
      <c r="AF146" s="54"/>
      <c r="AG146" s="54"/>
      <c r="AH146" s="54"/>
      <c r="AI146" s="54"/>
      <c r="AJ146" s="54"/>
      <c r="AW146" s="18">
        <f t="shared" si="4"/>
        <v>0</v>
      </c>
    </row>
    <row r="147" spans="10:49" ht="15">
      <c r="J147" s="687"/>
      <c r="K147" s="54"/>
      <c r="L147" s="687"/>
      <c r="M147" s="590"/>
      <c r="N147" s="68"/>
      <c r="O147" s="68"/>
      <c r="P147" s="68"/>
      <c r="Q147" s="68"/>
      <c r="R147" s="68"/>
      <c r="S147" s="68"/>
      <c r="T147" s="68"/>
      <c r="U147" s="161"/>
      <c r="V147" s="54"/>
      <c r="W147" s="54"/>
      <c r="X147" s="54"/>
      <c r="Y147" s="54"/>
      <c r="Z147" s="54"/>
      <c r="AA147" s="54"/>
      <c r="AB147" s="54"/>
      <c r="AC147" s="54"/>
      <c r="AD147" s="54"/>
      <c r="AE147" s="54"/>
      <c r="AF147" s="54"/>
      <c r="AG147" s="54"/>
      <c r="AH147" s="54"/>
      <c r="AI147" s="54"/>
      <c r="AJ147" s="54"/>
      <c r="AW147" s="18">
        <f t="shared" si="4"/>
        <v>0</v>
      </c>
    </row>
    <row r="148" spans="10:49" ht="15">
      <c r="J148" s="687"/>
      <c r="K148" s="54"/>
      <c r="L148" s="687"/>
      <c r="M148" s="590"/>
      <c r="N148" s="68"/>
      <c r="O148" s="68"/>
      <c r="P148" s="68"/>
      <c r="Q148" s="68"/>
      <c r="R148" s="68"/>
      <c r="S148" s="68"/>
      <c r="T148" s="68"/>
      <c r="U148" s="161"/>
      <c r="V148" s="54"/>
      <c r="W148" s="54"/>
      <c r="X148" s="54"/>
      <c r="Y148" s="54"/>
      <c r="Z148" s="54"/>
      <c r="AA148" s="54"/>
      <c r="AB148" s="54"/>
      <c r="AC148" s="54"/>
      <c r="AD148" s="54"/>
      <c r="AE148" s="54"/>
      <c r="AF148" s="54"/>
      <c r="AG148" s="54"/>
      <c r="AH148" s="54"/>
      <c r="AI148" s="54"/>
      <c r="AJ148" s="54"/>
      <c r="AW148" s="18">
        <f t="shared" si="4"/>
        <v>0</v>
      </c>
    </row>
    <row r="149" spans="10:49" ht="15">
      <c r="J149" s="687"/>
      <c r="K149" s="54"/>
      <c r="L149" s="687"/>
      <c r="M149" s="590"/>
      <c r="N149" s="68"/>
      <c r="O149" s="68"/>
      <c r="P149" s="68"/>
      <c r="Q149" s="68"/>
      <c r="R149" s="68"/>
      <c r="S149" s="68"/>
      <c r="T149" s="68"/>
      <c r="U149" s="161"/>
      <c r="V149" s="54"/>
      <c r="W149" s="54"/>
      <c r="X149" s="54"/>
      <c r="Y149" s="54"/>
      <c r="Z149" s="54"/>
      <c r="AA149" s="54"/>
      <c r="AB149" s="54"/>
      <c r="AC149" s="54"/>
      <c r="AD149" s="54"/>
      <c r="AE149" s="54"/>
      <c r="AF149" s="54"/>
      <c r="AG149" s="54"/>
      <c r="AH149" s="54"/>
      <c r="AI149" s="54"/>
      <c r="AJ149" s="54"/>
      <c r="AW149" s="18">
        <f t="shared" si="4"/>
        <v>0</v>
      </c>
    </row>
    <row r="150" spans="10:49" ht="15">
      <c r="J150" s="687"/>
      <c r="K150" s="54"/>
      <c r="L150" s="687"/>
      <c r="M150" s="590"/>
      <c r="N150" s="68"/>
      <c r="O150" s="68"/>
      <c r="P150" s="68"/>
      <c r="Q150" s="68"/>
      <c r="R150" s="68"/>
      <c r="S150" s="68"/>
      <c r="T150" s="68"/>
      <c r="U150" s="161"/>
      <c r="V150" s="54"/>
      <c r="W150" s="54"/>
      <c r="X150" s="54"/>
      <c r="Y150" s="54"/>
      <c r="Z150" s="54"/>
      <c r="AA150" s="54"/>
      <c r="AB150" s="54"/>
      <c r="AC150" s="54"/>
      <c r="AD150" s="54"/>
      <c r="AE150" s="54"/>
      <c r="AF150" s="54"/>
      <c r="AG150" s="54"/>
      <c r="AH150" s="54"/>
      <c r="AI150" s="54"/>
      <c r="AJ150" s="54"/>
      <c r="AW150" s="18">
        <f t="shared" si="4"/>
        <v>0</v>
      </c>
    </row>
    <row r="151" spans="10:49" ht="15">
      <c r="J151" s="687"/>
      <c r="K151" s="54"/>
      <c r="L151" s="687"/>
      <c r="M151" s="590"/>
      <c r="N151" s="68"/>
      <c r="O151" s="68"/>
      <c r="P151" s="68"/>
      <c r="Q151" s="68"/>
      <c r="R151" s="68"/>
      <c r="S151" s="68"/>
      <c r="T151" s="68"/>
      <c r="U151" s="161"/>
      <c r="V151" s="54"/>
      <c r="W151" s="54"/>
      <c r="X151" s="54"/>
      <c r="Y151" s="54"/>
      <c r="Z151" s="54"/>
      <c r="AA151" s="54"/>
      <c r="AB151" s="54"/>
      <c r="AC151" s="54"/>
      <c r="AD151" s="54"/>
      <c r="AE151" s="54"/>
      <c r="AF151" s="54"/>
      <c r="AG151" s="54"/>
      <c r="AH151" s="54"/>
      <c r="AI151" s="54"/>
      <c r="AJ151" s="54"/>
      <c r="AW151" s="18">
        <f t="shared" si="4"/>
        <v>0</v>
      </c>
    </row>
    <row r="152" spans="10:49" ht="15">
      <c r="J152" s="687"/>
      <c r="K152" s="54"/>
      <c r="L152" s="687"/>
      <c r="M152" s="590"/>
      <c r="N152" s="68"/>
      <c r="O152" s="68"/>
      <c r="P152" s="68"/>
      <c r="Q152" s="68"/>
      <c r="R152" s="68"/>
      <c r="S152" s="68"/>
      <c r="T152" s="68"/>
      <c r="U152" s="161"/>
      <c r="V152" s="54"/>
      <c r="W152" s="54"/>
      <c r="X152" s="54"/>
      <c r="Y152" s="54"/>
      <c r="Z152" s="54"/>
      <c r="AA152" s="54"/>
      <c r="AB152" s="54"/>
      <c r="AC152" s="54"/>
      <c r="AD152" s="54"/>
      <c r="AE152" s="54"/>
      <c r="AF152" s="54"/>
      <c r="AG152" s="54"/>
      <c r="AH152" s="54"/>
      <c r="AI152" s="54"/>
      <c r="AJ152" s="54"/>
      <c r="AW152" s="18">
        <f t="shared" si="4"/>
        <v>0</v>
      </c>
    </row>
    <row r="153" spans="10:49" ht="15">
      <c r="J153" s="687"/>
      <c r="K153" s="54"/>
      <c r="L153" s="687"/>
      <c r="M153" s="590"/>
      <c r="N153" s="68"/>
      <c r="O153" s="68"/>
      <c r="P153" s="68"/>
      <c r="Q153" s="68"/>
      <c r="R153" s="68"/>
      <c r="S153" s="68"/>
      <c r="T153" s="68"/>
      <c r="U153" s="161"/>
      <c r="V153" s="54"/>
      <c r="W153" s="54"/>
      <c r="X153" s="54"/>
      <c r="Y153" s="54"/>
      <c r="Z153" s="54"/>
      <c r="AA153" s="54"/>
      <c r="AB153" s="54"/>
      <c r="AC153" s="54"/>
      <c r="AD153" s="54"/>
      <c r="AE153" s="54"/>
      <c r="AF153" s="54"/>
      <c r="AG153" s="54"/>
      <c r="AH153" s="54"/>
      <c r="AI153" s="54"/>
      <c r="AJ153" s="54"/>
      <c r="AW153" s="18">
        <f t="shared" si="4"/>
        <v>0</v>
      </c>
    </row>
    <row r="154" spans="10:49" ht="15">
      <c r="J154" s="687"/>
      <c r="K154" s="54"/>
      <c r="L154" s="687"/>
      <c r="M154" s="590"/>
      <c r="N154" s="68"/>
      <c r="O154" s="68"/>
      <c r="P154" s="68"/>
      <c r="Q154" s="68"/>
      <c r="R154" s="68"/>
      <c r="S154" s="68"/>
      <c r="T154" s="68"/>
      <c r="U154" s="161"/>
      <c r="V154" s="54"/>
      <c r="W154" s="54"/>
      <c r="X154" s="54"/>
      <c r="Y154" s="54"/>
      <c r="Z154" s="54"/>
      <c r="AA154" s="54"/>
      <c r="AB154" s="54"/>
      <c r="AC154" s="54"/>
      <c r="AD154" s="54"/>
      <c r="AE154" s="54"/>
      <c r="AF154" s="54"/>
      <c r="AG154" s="54"/>
      <c r="AH154" s="54"/>
      <c r="AI154" s="54"/>
      <c r="AJ154" s="54"/>
      <c r="AW154" s="18">
        <f t="shared" si="4"/>
        <v>0</v>
      </c>
    </row>
    <row r="155" spans="10:49" ht="15">
      <c r="J155" s="687"/>
      <c r="K155" s="54"/>
      <c r="L155" s="687"/>
      <c r="M155" s="590"/>
      <c r="N155" s="68"/>
      <c r="O155" s="68"/>
      <c r="P155" s="68"/>
      <c r="Q155" s="68"/>
      <c r="R155" s="68"/>
      <c r="S155" s="68"/>
      <c r="T155" s="68"/>
      <c r="U155" s="161"/>
      <c r="V155" s="54"/>
      <c r="W155" s="54"/>
      <c r="X155" s="54"/>
      <c r="Y155" s="54"/>
      <c r="Z155" s="54"/>
      <c r="AA155" s="54"/>
      <c r="AB155" s="54"/>
      <c r="AC155" s="54"/>
      <c r="AD155" s="54"/>
      <c r="AE155" s="54"/>
      <c r="AF155" s="54"/>
      <c r="AG155" s="54"/>
      <c r="AH155" s="54"/>
      <c r="AI155" s="54"/>
      <c r="AJ155" s="54"/>
      <c r="AW155" s="18">
        <f t="shared" si="4"/>
        <v>0</v>
      </c>
    </row>
    <row r="156" spans="10:49" ht="15">
      <c r="J156" s="687"/>
      <c r="K156" s="54"/>
      <c r="L156" s="687"/>
      <c r="M156" s="590"/>
      <c r="N156" s="68"/>
      <c r="O156" s="68"/>
      <c r="P156" s="68"/>
      <c r="Q156" s="68"/>
      <c r="R156" s="68"/>
      <c r="S156" s="68"/>
      <c r="T156" s="68"/>
      <c r="U156" s="161"/>
      <c r="V156" s="54"/>
      <c r="W156" s="54"/>
      <c r="X156" s="54"/>
      <c r="Y156" s="54"/>
      <c r="Z156" s="54"/>
      <c r="AA156" s="54"/>
      <c r="AB156" s="54"/>
      <c r="AC156" s="54"/>
      <c r="AD156" s="54"/>
      <c r="AE156" s="54"/>
      <c r="AF156" s="54"/>
      <c r="AG156" s="54"/>
      <c r="AH156" s="54"/>
      <c r="AI156" s="54"/>
      <c r="AJ156" s="54"/>
      <c r="AW156" s="18">
        <f t="shared" ref="AW156:AW219" si="5">LEN(L156)</f>
        <v>0</v>
      </c>
    </row>
    <row r="157" spans="10:49" ht="15">
      <c r="J157" s="687"/>
      <c r="K157" s="54"/>
      <c r="L157" s="687"/>
      <c r="M157" s="590"/>
      <c r="N157" s="68"/>
      <c r="O157" s="68"/>
      <c r="P157" s="68"/>
      <c r="Q157" s="68"/>
      <c r="R157" s="68"/>
      <c r="S157" s="68"/>
      <c r="T157" s="68"/>
      <c r="U157" s="161"/>
      <c r="V157" s="54"/>
      <c r="W157" s="54"/>
      <c r="X157" s="54"/>
      <c r="Y157" s="54"/>
      <c r="Z157" s="54"/>
      <c r="AA157" s="54"/>
      <c r="AB157" s="54"/>
      <c r="AC157" s="54"/>
      <c r="AD157" s="54"/>
      <c r="AE157" s="54"/>
      <c r="AF157" s="54"/>
      <c r="AG157" s="54"/>
      <c r="AH157" s="54"/>
      <c r="AI157" s="54"/>
      <c r="AJ157" s="54"/>
      <c r="AW157" s="18">
        <f t="shared" si="5"/>
        <v>0</v>
      </c>
    </row>
    <row r="158" spans="10:49" ht="15">
      <c r="J158" s="687"/>
      <c r="K158" s="54"/>
      <c r="L158" s="687"/>
      <c r="M158" s="590"/>
      <c r="N158" s="68"/>
      <c r="O158" s="68"/>
      <c r="P158" s="68"/>
      <c r="Q158" s="68"/>
      <c r="R158" s="68"/>
      <c r="S158" s="68"/>
      <c r="T158" s="68"/>
      <c r="U158" s="161"/>
      <c r="V158" s="54"/>
      <c r="W158" s="54"/>
      <c r="X158" s="54"/>
      <c r="Y158" s="54"/>
      <c r="Z158" s="54"/>
      <c r="AA158" s="54"/>
      <c r="AB158" s="54"/>
      <c r="AC158" s="54"/>
      <c r="AD158" s="54"/>
      <c r="AE158" s="54"/>
      <c r="AF158" s="54"/>
      <c r="AG158" s="54"/>
      <c r="AH158" s="54"/>
      <c r="AI158" s="54"/>
      <c r="AJ158" s="54"/>
      <c r="AW158" s="18">
        <f t="shared" si="5"/>
        <v>0</v>
      </c>
    </row>
    <row r="159" spans="10:49" ht="15">
      <c r="J159" s="687"/>
      <c r="K159" s="54"/>
      <c r="L159" s="687"/>
      <c r="M159" s="590"/>
      <c r="N159" s="68"/>
      <c r="O159" s="68"/>
      <c r="P159" s="68"/>
      <c r="Q159" s="68"/>
      <c r="R159" s="68"/>
      <c r="S159" s="68"/>
      <c r="T159" s="68"/>
      <c r="U159" s="161"/>
      <c r="V159" s="54"/>
      <c r="W159" s="54"/>
      <c r="X159" s="54"/>
      <c r="Y159" s="54"/>
      <c r="Z159" s="54"/>
      <c r="AA159" s="54"/>
      <c r="AB159" s="54"/>
      <c r="AC159" s="54"/>
      <c r="AD159" s="54"/>
      <c r="AE159" s="54"/>
      <c r="AF159" s="54"/>
      <c r="AG159" s="54"/>
      <c r="AH159" s="54"/>
      <c r="AI159" s="54"/>
      <c r="AJ159" s="54"/>
      <c r="AW159" s="18">
        <f t="shared" si="5"/>
        <v>0</v>
      </c>
    </row>
    <row r="160" spans="10:49" ht="15">
      <c r="J160" s="687"/>
      <c r="K160" s="54"/>
      <c r="L160" s="687"/>
      <c r="M160" s="590"/>
      <c r="N160" s="68"/>
      <c r="O160" s="68"/>
      <c r="P160" s="68"/>
      <c r="Q160" s="68"/>
      <c r="R160" s="68"/>
      <c r="S160" s="68"/>
      <c r="T160" s="68"/>
      <c r="U160" s="161"/>
      <c r="V160" s="54"/>
      <c r="W160" s="54"/>
      <c r="X160" s="54"/>
      <c r="Y160" s="54"/>
      <c r="Z160" s="54"/>
      <c r="AA160" s="54"/>
      <c r="AB160" s="54"/>
      <c r="AC160" s="54"/>
      <c r="AD160" s="54"/>
      <c r="AE160" s="54"/>
      <c r="AF160" s="54"/>
      <c r="AG160" s="54"/>
      <c r="AH160" s="54"/>
      <c r="AI160" s="54"/>
      <c r="AJ160" s="54"/>
      <c r="AW160" s="18">
        <f t="shared" si="5"/>
        <v>0</v>
      </c>
    </row>
    <row r="161" spans="10:49" ht="15">
      <c r="J161" s="687"/>
      <c r="K161" s="54"/>
      <c r="L161" s="687"/>
      <c r="M161" s="590"/>
      <c r="N161" s="68"/>
      <c r="O161" s="68"/>
      <c r="P161" s="68"/>
      <c r="Q161" s="68"/>
      <c r="R161" s="68"/>
      <c r="S161" s="68"/>
      <c r="T161" s="68"/>
      <c r="U161" s="161"/>
      <c r="V161" s="54"/>
      <c r="W161" s="54"/>
      <c r="X161" s="54"/>
      <c r="Y161" s="54"/>
      <c r="Z161" s="54"/>
      <c r="AA161" s="54"/>
      <c r="AB161" s="54"/>
      <c r="AC161" s="54"/>
      <c r="AD161" s="54"/>
      <c r="AE161" s="54"/>
      <c r="AF161" s="54"/>
      <c r="AG161" s="54"/>
      <c r="AH161" s="54"/>
      <c r="AI161" s="54"/>
      <c r="AJ161" s="54"/>
      <c r="AW161" s="18">
        <f t="shared" si="5"/>
        <v>0</v>
      </c>
    </row>
    <row r="162" spans="10:49" ht="15">
      <c r="J162" s="685"/>
      <c r="L162" s="685"/>
      <c r="M162" s="590"/>
      <c r="AW162" s="18">
        <f t="shared" si="5"/>
        <v>0</v>
      </c>
    </row>
    <row r="163" spans="10:49" ht="15">
      <c r="J163" s="686"/>
      <c r="L163" s="686"/>
      <c r="M163" s="590"/>
      <c r="AW163" s="18">
        <f t="shared" si="5"/>
        <v>0</v>
      </c>
    </row>
    <row r="164" spans="10:49" ht="15">
      <c r="J164" s="686"/>
      <c r="L164" s="686"/>
      <c r="M164" s="590"/>
      <c r="AW164" s="18">
        <f t="shared" si="5"/>
        <v>0</v>
      </c>
    </row>
    <row r="165" spans="10:49" ht="15">
      <c r="J165" s="686"/>
      <c r="L165" s="686"/>
      <c r="M165" s="590"/>
      <c r="AW165" s="18">
        <f t="shared" si="5"/>
        <v>0</v>
      </c>
    </row>
    <row r="166" spans="10:49" ht="15">
      <c r="J166" s="686"/>
      <c r="L166" s="686"/>
      <c r="M166" s="590"/>
      <c r="AW166" s="18">
        <f t="shared" si="5"/>
        <v>0</v>
      </c>
    </row>
    <row r="167" spans="10:49" ht="15">
      <c r="J167" s="686"/>
      <c r="L167" s="686"/>
      <c r="M167" s="590"/>
      <c r="AW167" s="18">
        <f t="shared" si="5"/>
        <v>0</v>
      </c>
    </row>
    <row r="168" spans="10:49" ht="15">
      <c r="J168" s="686"/>
      <c r="L168" s="686"/>
      <c r="M168" s="590"/>
      <c r="AW168" s="18">
        <f t="shared" si="5"/>
        <v>0</v>
      </c>
    </row>
    <row r="169" spans="10:49" ht="15">
      <c r="J169" s="686"/>
      <c r="L169" s="686"/>
      <c r="M169" s="590"/>
      <c r="AW169" s="18">
        <f t="shared" si="5"/>
        <v>0</v>
      </c>
    </row>
    <row r="170" spans="10:49" ht="15">
      <c r="J170" s="686"/>
      <c r="L170" s="686"/>
      <c r="M170" s="590"/>
      <c r="AW170" s="18">
        <f t="shared" si="5"/>
        <v>0</v>
      </c>
    </row>
    <row r="171" spans="10:49" ht="15">
      <c r="J171" s="686"/>
      <c r="L171" s="686"/>
      <c r="M171" s="590"/>
      <c r="AW171" s="18">
        <f t="shared" si="5"/>
        <v>0</v>
      </c>
    </row>
    <row r="172" spans="10:49" ht="15">
      <c r="J172" s="686"/>
      <c r="L172" s="686"/>
      <c r="M172" s="590"/>
      <c r="AW172" s="18">
        <f t="shared" si="5"/>
        <v>0</v>
      </c>
    </row>
    <row r="173" spans="10:49" ht="15">
      <c r="J173" s="686"/>
      <c r="L173" s="686"/>
      <c r="M173" s="590"/>
      <c r="AW173" s="18">
        <f t="shared" si="5"/>
        <v>0</v>
      </c>
    </row>
    <row r="174" spans="10:49" ht="15">
      <c r="J174" s="686"/>
      <c r="L174" s="686"/>
      <c r="M174" s="590"/>
      <c r="AW174" s="18">
        <f t="shared" si="5"/>
        <v>0</v>
      </c>
    </row>
    <row r="175" spans="10:49" ht="15">
      <c r="J175" s="397"/>
      <c r="L175" s="397"/>
      <c r="M175" s="590"/>
      <c r="AW175" s="18">
        <f t="shared" si="5"/>
        <v>0</v>
      </c>
    </row>
    <row r="176" spans="10:49" ht="15">
      <c r="AW176" s="18">
        <f t="shared" si="5"/>
        <v>0</v>
      </c>
    </row>
    <row r="177" spans="49:49" ht="15">
      <c r="AW177" s="18">
        <f t="shared" si="5"/>
        <v>0</v>
      </c>
    </row>
    <row r="178" spans="49:49" ht="15">
      <c r="AW178" s="18">
        <f t="shared" si="5"/>
        <v>0</v>
      </c>
    </row>
    <row r="179" spans="49:49" ht="15">
      <c r="AW179" s="18">
        <f t="shared" si="5"/>
        <v>0</v>
      </c>
    </row>
    <row r="180" spans="49:49" ht="15">
      <c r="AW180" s="18">
        <f t="shared" si="5"/>
        <v>0</v>
      </c>
    </row>
    <row r="181" spans="49:49" ht="15">
      <c r="AW181" s="18">
        <f t="shared" si="5"/>
        <v>0</v>
      </c>
    </row>
    <row r="182" spans="49:49" ht="15">
      <c r="AW182" s="18">
        <f t="shared" si="5"/>
        <v>0</v>
      </c>
    </row>
    <row r="183" spans="49:49" ht="15">
      <c r="AW183" s="18">
        <f t="shared" si="5"/>
        <v>0</v>
      </c>
    </row>
    <row r="184" spans="49:49" ht="15">
      <c r="AW184" s="18">
        <f t="shared" si="5"/>
        <v>0</v>
      </c>
    </row>
    <row r="185" spans="49:49" ht="15">
      <c r="AW185" s="18">
        <f t="shared" si="5"/>
        <v>0</v>
      </c>
    </row>
    <row r="186" spans="49:49" ht="15">
      <c r="AW186" s="18">
        <f t="shared" si="5"/>
        <v>0</v>
      </c>
    </row>
    <row r="187" spans="49:49" ht="15">
      <c r="AW187" s="18">
        <f t="shared" si="5"/>
        <v>0</v>
      </c>
    </row>
    <row r="188" spans="49:49" ht="15">
      <c r="AW188" s="18">
        <f t="shared" si="5"/>
        <v>0</v>
      </c>
    </row>
    <row r="189" spans="49:49" ht="15">
      <c r="AW189" s="18">
        <f t="shared" si="5"/>
        <v>0</v>
      </c>
    </row>
    <row r="190" spans="49:49" ht="15">
      <c r="AW190" s="18">
        <f t="shared" si="5"/>
        <v>0</v>
      </c>
    </row>
    <row r="191" spans="49:49" ht="15">
      <c r="AW191" s="18">
        <f t="shared" si="5"/>
        <v>0</v>
      </c>
    </row>
    <row r="192" spans="49:49" ht="15">
      <c r="AW192" s="18">
        <f t="shared" si="5"/>
        <v>0</v>
      </c>
    </row>
    <row r="193" spans="49:49" ht="15">
      <c r="AW193" s="18">
        <f t="shared" si="5"/>
        <v>0</v>
      </c>
    </row>
    <row r="194" spans="49:49" ht="15">
      <c r="AW194" s="18">
        <f t="shared" si="5"/>
        <v>0</v>
      </c>
    </row>
    <row r="195" spans="49:49" ht="15">
      <c r="AW195" s="18">
        <f t="shared" si="5"/>
        <v>0</v>
      </c>
    </row>
    <row r="196" spans="49:49" ht="15">
      <c r="AW196" s="18">
        <f t="shared" si="5"/>
        <v>0</v>
      </c>
    </row>
    <row r="197" spans="49:49" ht="15">
      <c r="AW197" s="18">
        <f t="shared" si="5"/>
        <v>0</v>
      </c>
    </row>
    <row r="198" spans="49:49" ht="15">
      <c r="AW198" s="18">
        <f t="shared" si="5"/>
        <v>0</v>
      </c>
    </row>
    <row r="199" spans="49:49" ht="15">
      <c r="AW199" s="18">
        <f t="shared" si="5"/>
        <v>0</v>
      </c>
    </row>
    <row r="200" spans="49:49" ht="15">
      <c r="AW200" s="18">
        <f t="shared" si="5"/>
        <v>0</v>
      </c>
    </row>
    <row r="201" spans="49:49" ht="15">
      <c r="AW201" s="18">
        <f t="shared" si="5"/>
        <v>0</v>
      </c>
    </row>
    <row r="202" spans="49:49" ht="15">
      <c r="AW202" s="18">
        <f t="shared" si="5"/>
        <v>0</v>
      </c>
    </row>
    <row r="203" spans="49:49" ht="15">
      <c r="AW203" s="18">
        <f t="shared" si="5"/>
        <v>0</v>
      </c>
    </row>
    <row r="204" spans="49:49" ht="15">
      <c r="AW204" s="18">
        <f t="shared" si="5"/>
        <v>0</v>
      </c>
    </row>
    <row r="205" spans="49:49" ht="15">
      <c r="AW205" s="18">
        <f t="shared" si="5"/>
        <v>0</v>
      </c>
    </row>
    <row r="206" spans="49:49" ht="15">
      <c r="AW206" s="18">
        <f t="shared" si="5"/>
        <v>0</v>
      </c>
    </row>
    <row r="207" spans="49:49" ht="15">
      <c r="AW207" s="18">
        <f t="shared" si="5"/>
        <v>0</v>
      </c>
    </row>
    <row r="208" spans="49:49" ht="15">
      <c r="AW208" s="18">
        <f t="shared" si="5"/>
        <v>0</v>
      </c>
    </row>
    <row r="209" spans="49:49" ht="15">
      <c r="AW209" s="18">
        <f t="shared" si="5"/>
        <v>0</v>
      </c>
    </row>
    <row r="210" spans="49:49" ht="15">
      <c r="AW210" s="18">
        <f t="shared" si="5"/>
        <v>0</v>
      </c>
    </row>
    <row r="211" spans="49:49" ht="15">
      <c r="AW211" s="18">
        <f t="shared" si="5"/>
        <v>0</v>
      </c>
    </row>
    <row r="212" spans="49:49" ht="15">
      <c r="AW212" s="18">
        <f t="shared" si="5"/>
        <v>0</v>
      </c>
    </row>
    <row r="213" spans="49:49" ht="15">
      <c r="AW213" s="18">
        <f t="shared" si="5"/>
        <v>0</v>
      </c>
    </row>
    <row r="214" spans="49:49" ht="15">
      <c r="AW214" s="18">
        <f t="shared" si="5"/>
        <v>0</v>
      </c>
    </row>
    <row r="215" spans="49:49" ht="15">
      <c r="AW215" s="18">
        <f t="shared" si="5"/>
        <v>0</v>
      </c>
    </row>
    <row r="216" spans="49:49" ht="15">
      <c r="AW216" s="18">
        <f t="shared" si="5"/>
        <v>0</v>
      </c>
    </row>
    <row r="217" spans="49:49" ht="15">
      <c r="AW217" s="18">
        <f t="shared" si="5"/>
        <v>0</v>
      </c>
    </row>
    <row r="218" spans="49:49" ht="15">
      <c r="AW218" s="18">
        <f t="shared" si="5"/>
        <v>0</v>
      </c>
    </row>
    <row r="219" spans="49:49" ht="15">
      <c r="AW219" s="18">
        <f t="shared" si="5"/>
        <v>0</v>
      </c>
    </row>
    <row r="220" spans="49:49" ht="15">
      <c r="AW220" s="18">
        <f t="shared" ref="AW220:AW283" si="6">LEN(L220)</f>
        <v>0</v>
      </c>
    </row>
    <row r="221" spans="49:49" ht="15">
      <c r="AW221" s="18">
        <f t="shared" si="6"/>
        <v>0</v>
      </c>
    </row>
    <row r="222" spans="49:49" ht="15">
      <c r="AW222" s="18">
        <f t="shared" si="6"/>
        <v>0</v>
      </c>
    </row>
    <row r="223" spans="49:49" ht="15">
      <c r="AW223" s="18">
        <f t="shared" si="6"/>
        <v>0</v>
      </c>
    </row>
    <row r="224" spans="49:49" ht="15">
      <c r="AW224" s="18">
        <f t="shared" si="6"/>
        <v>0</v>
      </c>
    </row>
    <row r="225" spans="49:49" ht="15">
      <c r="AW225" s="18">
        <f t="shared" si="6"/>
        <v>0</v>
      </c>
    </row>
    <row r="226" spans="49:49" ht="15">
      <c r="AW226" s="18">
        <f t="shared" si="6"/>
        <v>0</v>
      </c>
    </row>
    <row r="227" spans="49:49" ht="15">
      <c r="AW227" s="18">
        <f t="shared" si="6"/>
        <v>0</v>
      </c>
    </row>
    <row r="228" spans="49:49" ht="15">
      <c r="AW228" s="18">
        <f t="shared" si="6"/>
        <v>0</v>
      </c>
    </row>
    <row r="229" spans="49:49" ht="15">
      <c r="AW229" s="18">
        <f t="shared" si="6"/>
        <v>0</v>
      </c>
    </row>
    <row r="230" spans="49:49" ht="15">
      <c r="AW230" s="18">
        <f t="shared" si="6"/>
        <v>0</v>
      </c>
    </row>
    <row r="231" spans="49:49" ht="15">
      <c r="AW231" s="18">
        <f t="shared" si="6"/>
        <v>0</v>
      </c>
    </row>
    <row r="232" spans="49:49" ht="15">
      <c r="AW232" s="18">
        <f t="shared" si="6"/>
        <v>0</v>
      </c>
    </row>
    <row r="233" spans="49:49" ht="15">
      <c r="AW233" s="18">
        <f t="shared" si="6"/>
        <v>0</v>
      </c>
    </row>
    <row r="234" spans="49:49" ht="15">
      <c r="AW234" s="18">
        <f t="shared" si="6"/>
        <v>0</v>
      </c>
    </row>
    <row r="235" spans="49:49" ht="15">
      <c r="AW235" s="18">
        <f t="shared" si="6"/>
        <v>0</v>
      </c>
    </row>
    <row r="236" spans="49:49" ht="15">
      <c r="AW236" s="18">
        <f t="shared" si="6"/>
        <v>0</v>
      </c>
    </row>
    <row r="237" spans="49:49" ht="15">
      <c r="AW237" s="18">
        <f t="shared" si="6"/>
        <v>0</v>
      </c>
    </row>
    <row r="238" spans="49:49" ht="15">
      <c r="AW238" s="18">
        <f t="shared" si="6"/>
        <v>0</v>
      </c>
    </row>
    <row r="239" spans="49:49" ht="15">
      <c r="AW239" s="18">
        <f t="shared" si="6"/>
        <v>0</v>
      </c>
    </row>
    <row r="240" spans="49:49" ht="15">
      <c r="AW240" s="18">
        <f t="shared" si="6"/>
        <v>0</v>
      </c>
    </row>
    <row r="241" spans="49:49" ht="15">
      <c r="AW241" s="18">
        <f t="shared" si="6"/>
        <v>0</v>
      </c>
    </row>
    <row r="242" spans="49:49" ht="15">
      <c r="AW242" s="18">
        <f t="shared" si="6"/>
        <v>0</v>
      </c>
    </row>
    <row r="243" spans="49:49" ht="15">
      <c r="AW243" s="18">
        <f t="shared" si="6"/>
        <v>0</v>
      </c>
    </row>
    <row r="244" spans="49:49" ht="15">
      <c r="AW244" s="18">
        <f t="shared" si="6"/>
        <v>0</v>
      </c>
    </row>
    <row r="245" spans="49:49" ht="15">
      <c r="AW245" s="18">
        <f t="shared" si="6"/>
        <v>0</v>
      </c>
    </row>
    <row r="246" spans="49:49" ht="15">
      <c r="AW246" s="18">
        <f t="shared" si="6"/>
        <v>0</v>
      </c>
    </row>
    <row r="247" spans="49:49" ht="15">
      <c r="AW247" s="18">
        <f t="shared" si="6"/>
        <v>0</v>
      </c>
    </row>
    <row r="248" spans="49:49" ht="15">
      <c r="AW248" s="18">
        <f t="shared" si="6"/>
        <v>0</v>
      </c>
    </row>
    <row r="249" spans="49:49" ht="15">
      <c r="AW249" s="18">
        <f t="shared" si="6"/>
        <v>0</v>
      </c>
    </row>
    <row r="250" spans="49:49" ht="15">
      <c r="AW250" s="18">
        <f t="shared" si="6"/>
        <v>0</v>
      </c>
    </row>
    <row r="251" spans="49:49" ht="15">
      <c r="AW251" s="18">
        <f t="shared" si="6"/>
        <v>0</v>
      </c>
    </row>
    <row r="252" spans="49:49" ht="15">
      <c r="AW252" s="18">
        <f t="shared" si="6"/>
        <v>0</v>
      </c>
    </row>
    <row r="253" spans="49:49" ht="15">
      <c r="AW253" s="18">
        <f t="shared" si="6"/>
        <v>0</v>
      </c>
    </row>
    <row r="254" spans="49:49" ht="15">
      <c r="AW254" s="18">
        <f t="shared" si="6"/>
        <v>0</v>
      </c>
    </row>
    <row r="255" spans="49:49" ht="15">
      <c r="AW255" s="18">
        <f t="shared" si="6"/>
        <v>0</v>
      </c>
    </row>
    <row r="256" spans="49:49" ht="15">
      <c r="AW256" s="18">
        <f t="shared" si="6"/>
        <v>0</v>
      </c>
    </row>
    <row r="257" spans="49:49" ht="15">
      <c r="AW257" s="18">
        <f t="shared" si="6"/>
        <v>0</v>
      </c>
    </row>
    <row r="258" spans="49:49" ht="15">
      <c r="AW258" s="18">
        <f t="shared" si="6"/>
        <v>0</v>
      </c>
    </row>
    <row r="259" spans="49:49" ht="15">
      <c r="AW259" s="18">
        <f t="shared" si="6"/>
        <v>0</v>
      </c>
    </row>
    <row r="260" spans="49:49" ht="15">
      <c r="AW260" s="18">
        <f t="shared" si="6"/>
        <v>0</v>
      </c>
    </row>
    <row r="261" spans="49:49" ht="15">
      <c r="AW261" s="18">
        <f t="shared" si="6"/>
        <v>0</v>
      </c>
    </row>
    <row r="262" spans="49:49" ht="15">
      <c r="AW262" s="18">
        <f t="shared" si="6"/>
        <v>0</v>
      </c>
    </row>
    <row r="263" spans="49:49" ht="15">
      <c r="AW263" s="18">
        <f t="shared" si="6"/>
        <v>0</v>
      </c>
    </row>
    <row r="264" spans="49:49" ht="15">
      <c r="AW264" s="18">
        <f t="shared" si="6"/>
        <v>0</v>
      </c>
    </row>
    <row r="265" spans="49:49" ht="15">
      <c r="AW265" s="18">
        <f t="shared" si="6"/>
        <v>0</v>
      </c>
    </row>
    <row r="266" spans="49:49" ht="15">
      <c r="AW266" s="18">
        <f t="shared" si="6"/>
        <v>0</v>
      </c>
    </row>
    <row r="267" spans="49:49" ht="15">
      <c r="AW267" s="18">
        <f t="shared" si="6"/>
        <v>0</v>
      </c>
    </row>
    <row r="268" spans="49:49" ht="15">
      <c r="AW268" s="18">
        <f t="shared" si="6"/>
        <v>0</v>
      </c>
    </row>
    <row r="269" spans="49:49" ht="15">
      <c r="AW269" s="18">
        <f t="shared" si="6"/>
        <v>0</v>
      </c>
    </row>
    <row r="270" spans="49:49" ht="15">
      <c r="AW270" s="18">
        <f t="shared" si="6"/>
        <v>0</v>
      </c>
    </row>
    <row r="271" spans="49:49" ht="15">
      <c r="AW271" s="18">
        <f t="shared" si="6"/>
        <v>0</v>
      </c>
    </row>
    <row r="272" spans="49:49" ht="15">
      <c r="AW272" s="18">
        <f t="shared" si="6"/>
        <v>0</v>
      </c>
    </row>
    <row r="273" spans="49:49" ht="15">
      <c r="AW273" s="18">
        <f t="shared" si="6"/>
        <v>0</v>
      </c>
    </row>
    <row r="274" spans="49:49" ht="15">
      <c r="AW274" s="18">
        <f t="shared" si="6"/>
        <v>0</v>
      </c>
    </row>
    <row r="275" spans="49:49" ht="15">
      <c r="AW275" s="18">
        <f t="shared" si="6"/>
        <v>0</v>
      </c>
    </row>
    <row r="276" spans="49:49" ht="15">
      <c r="AW276" s="18">
        <f t="shared" si="6"/>
        <v>0</v>
      </c>
    </row>
    <row r="277" spans="49:49" ht="15">
      <c r="AW277" s="18">
        <f t="shared" si="6"/>
        <v>0</v>
      </c>
    </row>
    <row r="278" spans="49:49" ht="15">
      <c r="AW278" s="18">
        <f t="shared" si="6"/>
        <v>0</v>
      </c>
    </row>
    <row r="279" spans="49:49" ht="15">
      <c r="AW279" s="18">
        <f t="shared" si="6"/>
        <v>0</v>
      </c>
    </row>
    <row r="280" spans="49:49" ht="15">
      <c r="AW280" s="18">
        <f t="shared" si="6"/>
        <v>0</v>
      </c>
    </row>
    <row r="281" spans="49:49" ht="15">
      <c r="AW281" s="18">
        <f t="shared" si="6"/>
        <v>0</v>
      </c>
    </row>
    <row r="282" spans="49:49" ht="15">
      <c r="AW282" s="18">
        <f t="shared" si="6"/>
        <v>0</v>
      </c>
    </row>
    <row r="283" spans="49:49" ht="15">
      <c r="AW283" s="18">
        <f t="shared" si="6"/>
        <v>0</v>
      </c>
    </row>
    <row r="284" spans="49:49" ht="15">
      <c r="AW284" s="18">
        <f t="shared" ref="AW284:AW347" si="7">LEN(L284)</f>
        <v>0</v>
      </c>
    </row>
    <row r="285" spans="49:49" ht="15">
      <c r="AW285" s="18">
        <f t="shared" si="7"/>
        <v>0</v>
      </c>
    </row>
    <row r="286" spans="49:49" ht="15">
      <c r="AW286" s="18">
        <f t="shared" si="7"/>
        <v>0</v>
      </c>
    </row>
    <row r="287" spans="49:49" ht="15">
      <c r="AW287" s="18">
        <f t="shared" si="7"/>
        <v>0</v>
      </c>
    </row>
    <row r="288" spans="49:49" ht="15">
      <c r="AW288" s="18">
        <f t="shared" si="7"/>
        <v>0</v>
      </c>
    </row>
    <row r="289" spans="49:49" ht="15">
      <c r="AW289" s="18">
        <f t="shared" si="7"/>
        <v>0</v>
      </c>
    </row>
    <row r="290" spans="49:49" ht="15">
      <c r="AW290" s="18">
        <f t="shared" si="7"/>
        <v>0</v>
      </c>
    </row>
    <row r="291" spans="49:49" ht="15">
      <c r="AW291" s="18">
        <f t="shared" si="7"/>
        <v>0</v>
      </c>
    </row>
    <row r="292" spans="49:49" ht="15">
      <c r="AW292" s="18">
        <f t="shared" si="7"/>
        <v>0</v>
      </c>
    </row>
    <row r="293" spans="49:49" ht="15">
      <c r="AW293" s="18">
        <f t="shared" si="7"/>
        <v>0</v>
      </c>
    </row>
    <row r="294" spans="49:49" ht="15">
      <c r="AW294" s="18">
        <f t="shared" si="7"/>
        <v>0</v>
      </c>
    </row>
    <row r="295" spans="49:49" ht="15">
      <c r="AW295" s="18">
        <f t="shared" si="7"/>
        <v>0</v>
      </c>
    </row>
    <row r="296" spans="49:49" ht="15">
      <c r="AW296" s="18">
        <f t="shared" si="7"/>
        <v>0</v>
      </c>
    </row>
    <row r="297" spans="49:49" ht="15">
      <c r="AW297" s="18">
        <f t="shared" si="7"/>
        <v>0</v>
      </c>
    </row>
    <row r="298" spans="49:49" ht="15">
      <c r="AW298" s="18">
        <f t="shared" si="7"/>
        <v>0</v>
      </c>
    </row>
    <row r="299" spans="49:49" ht="15">
      <c r="AW299" s="18">
        <f t="shared" si="7"/>
        <v>0</v>
      </c>
    </row>
    <row r="300" spans="49:49" ht="15">
      <c r="AW300" s="18">
        <f t="shared" si="7"/>
        <v>0</v>
      </c>
    </row>
    <row r="301" spans="49:49" ht="15">
      <c r="AW301" s="18">
        <f t="shared" si="7"/>
        <v>0</v>
      </c>
    </row>
    <row r="302" spans="49:49" ht="15">
      <c r="AW302" s="18">
        <f t="shared" si="7"/>
        <v>0</v>
      </c>
    </row>
    <row r="303" spans="49:49" ht="15">
      <c r="AW303" s="18">
        <f t="shared" si="7"/>
        <v>0</v>
      </c>
    </row>
    <row r="304" spans="49:49" ht="15">
      <c r="AW304" s="18">
        <f t="shared" si="7"/>
        <v>0</v>
      </c>
    </row>
    <row r="305" spans="49:49" ht="15">
      <c r="AW305" s="18">
        <f t="shared" si="7"/>
        <v>0</v>
      </c>
    </row>
    <row r="306" spans="49:49" ht="15">
      <c r="AW306" s="18">
        <f t="shared" si="7"/>
        <v>0</v>
      </c>
    </row>
    <row r="307" spans="49:49" ht="15">
      <c r="AW307" s="18">
        <f t="shared" si="7"/>
        <v>0</v>
      </c>
    </row>
    <row r="308" spans="49:49" ht="15">
      <c r="AW308" s="18">
        <f t="shared" si="7"/>
        <v>0</v>
      </c>
    </row>
    <row r="309" spans="49:49" ht="15">
      <c r="AW309" s="18">
        <f t="shared" si="7"/>
        <v>0</v>
      </c>
    </row>
    <row r="310" spans="49:49" ht="15">
      <c r="AW310" s="18">
        <f t="shared" si="7"/>
        <v>0</v>
      </c>
    </row>
    <row r="311" spans="49:49" ht="15">
      <c r="AW311" s="18">
        <f t="shared" si="7"/>
        <v>0</v>
      </c>
    </row>
    <row r="312" spans="49:49" ht="15">
      <c r="AW312" s="18">
        <f t="shared" si="7"/>
        <v>0</v>
      </c>
    </row>
    <row r="313" spans="49:49" ht="15">
      <c r="AW313" s="18">
        <f t="shared" si="7"/>
        <v>0</v>
      </c>
    </row>
    <row r="314" spans="49:49" ht="15">
      <c r="AW314" s="18">
        <f t="shared" si="7"/>
        <v>0</v>
      </c>
    </row>
    <row r="315" spans="49:49" ht="15">
      <c r="AW315" s="18">
        <f t="shared" si="7"/>
        <v>0</v>
      </c>
    </row>
    <row r="316" spans="49:49" ht="15">
      <c r="AW316" s="18">
        <f t="shared" si="7"/>
        <v>0</v>
      </c>
    </row>
    <row r="317" spans="49:49" ht="15">
      <c r="AW317" s="18">
        <f t="shared" si="7"/>
        <v>0</v>
      </c>
    </row>
    <row r="318" spans="49:49" ht="15">
      <c r="AW318" s="18">
        <f t="shared" si="7"/>
        <v>0</v>
      </c>
    </row>
    <row r="319" spans="49:49" ht="15">
      <c r="AW319" s="18">
        <f t="shared" si="7"/>
        <v>0</v>
      </c>
    </row>
    <row r="320" spans="49:49" ht="15">
      <c r="AW320" s="18">
        <f t="shared" si="7"/>
        <v>0</v>
      </c>
    </row>
    <row r="321" spans="49:49" ht="15">
      <c r="AW321" s="18">
        <f t="shared" si="7"/>
        <v>0</v>
      </c>
    </row>
    <row r="322" spans="49:49" ht="15">
      <c r="AW322" s="18">
        <f t="shared" si="7"/>
        <v>0</v>
      </c>
    </row>
    <row r="323" spans="49:49" ht="15">
      <c r="AW323" s="18">
        <f t="shared" si="7"/>
        <v>0</v>
      </c>
    </row>
    <row r="324" spans="49:49" ht="15">
      <c r="AW324" s="18">
        <f t="shared" si="7"/>
        <v>0</v>
      </c>
    </row>
    <row r="325" spans="49:49" ht="15">
      <c r="AW325" s="18">
        <f t="shared" si="7"/>
        <v>0</v>
      </c>
    </row>
    <row r="326" spans="49:49" ht="15">
      <c r="AW326" s="18">
        <f t="shared" si="7"/>
        <v>0</v>
      </c>
    </row>
    <row r="327" spans="49:49" ht="15">
      <c r="AW327" s="18">
        <f t="shared" si="7"/>
        <v>0</v>
      </c>
    </row>
    <row r="328" spans="49:49" ht="15">
      <c r="AW328" s="18">
        <f t="shared" si="7"/>
        <v>0</v>
      </c>
    </row>
    <row r="329" spans="49:49" ht="15">
      <c r="AW329" s="18">
        <f t="shared" si="7"/>
        <v>0</v>
      </c>
    </row>
    <row r="330" spans="49:49" ht="15">
      <c r="AW330" s="18">
        <f t="shared" si="7"/>
        <v>0</v>
      </c>
    </row>
    <row r="331" spans="49:49" ht="15">
      <c r="AW331" s="18">
        <f t="shared" si="7"/>
        <v>0</v>
      </c>
    </row>
    <row r="332" spans="49:49" ht="15">
      <c r="AW332" s="18">
        <f t="shared" si="7"/>
        <v>0</v>
      </c>
    </row>
    <row r="333" spans="49:49" ht="15">
      <c r="AW333" s="18">
        <f t="shared" si="7"/>
        <v>0</v>
      </c>
    </row>
    <row r="334" spans="49:49" ht="15">
      <c r="AW334" s="18">
        <f t="shared" si="7"/>
        <v>0</v>
      </c>
    </row>
    <row r="335" spans="49:49" ht="15">
      <c r="AW335" s="18">
        <f t="shared" si="7"/>
        <v>0</v>
      </c>
    </row>
    <row r="336" spans="49:49" ht="15">
      <c r="AW336" s="18">
        <f t="shared" si="7"/>
        <v>0</v>
      </c>
    </row>
    <row r="337" spans="49:49" ht="15">
      <c r="AW337" s="18">
        <f t="shared" si="7"/>
        <v>0</v>
      </c>
    </row>
    <row r="338" spans="49:49" ht="15">
      <c r="AW338" s="18">
        <f t="shared" si="7"/>
        <v>0</v>
      </c>
    </row>
    <row r="339" spans="49:49" ht="15">
      <c r="AW339" s="18">
        <f t="shared" si="7"/>
        <v>0</v>
      </c>
    </row>
    <row r="340" spans="49:49" ht="15">
      <c r="AW340" s="18">
        <f t="shared" si="7"/>
        <v>0</v>
      </c>
    </row>
    <row r="341" spans="49:49" ht="15">
      <c r="AW341" s="18">
        <f t="shared" si="7"/>
        <v>0</v>
      </c>
    </row>
    <row r="342" spans="49:49" ht="15">
      <c r="AW342" s="18">
        <f t="shared" si="7"/>
        <v>0</v>
      </c>
    </row>
    <row r="343" spans="49:49" ht="15">
      <c r="AW343" s="18">
        <f t="shared" si="7"/>
        <v>0</v>
      </c>
    </row>
    <row r="344" spans="49:49" ht="15">
      <c r="AW344" s="18">
        <f t="shared" si="7"/>
        <v>0</v>
      </c>
    </row>
    <row r="345" spans="49:49" ht="15">
      <c r="AW345" s="18">
        <f t="shared" si="7"/>
        <v>0</v>
      </c>
    </row>
    <row r="346" spans="49:49" ht="15">
      <c r="AW346" s="18">
        <f t="shared" si="7"/>
        <v>0</v>
      </c>
    </row>
    <row r="347" spans="49:49" ht="15">
      <c r="AW347" s="18">
        <f t="shared" si="7"/>
        <v>0</v>
      </c>
    </row>
    <row r="348" spans="49:49" ht="15">
      <c r="AW348" s="18">
        <f t="shared" ref="AW348:AW411" si="8">LEN(L348)</f>
        <v>0</v>
      </c>
    </row>
    <row r="349" spans="49:49" ht="15">
      <c r="AW349" s="18">
        <f t="shared" si="8"/>
        <v>0</v>
      </c>
    </row>
    <row r="350" spans="49:49" ht="15">
      <c r="AW350" s="18">
        <f t="shared" si="8"/>
        <v>0</v>
      </c>
    </row>
    <row r="351" spans="49:49" ht="15">
      <c r="AW351" s="18">
        <f t="shared" si="8"/>
        <v>0</v>
      </c>
    </row>
    <row r="352" spans="49:49" ht="15">
      <c r="AW352" s="18">
        <f t="shared" si="8"/>
        <v>0</v>
      </c>
    </row>
    <row r="353" spans="49:49" ht="15">
      <c r="AW353" s="18">
        <f t="shared" si="8"/>
        <v>0</v>
      </c>
    </row>
    <row r="354" spans="49:49" ht="15">
      <c r="AW354" s="18">
        <f t="shared" si="8"/>
        <v>0</v>
      </c>
    </row>
    <row r="355" spans="49:49" ht="15">
      <c r="AW355" s="18">
        <f t="shared" si="8"/>
        <v>0</v>
      </c>
    </row>
    <row r="356" spans="49:49" ht="15">
      <c r="AW356" s="18">
        <f t="shared" si="8"/>
        <v>0</v>
      </c>
    </row>
    <row r="357" spans="49:49" ht="15">
      <c r="AW357" s="18">
        <f t="shared" si="8"/>
        <v>0</v>
      </c>
    </row>
    <row r="358" spans="49:49" ht="15">
      <c r="AW358" s="18">
        <f t="shared" si="8"/>
        <v>0</v>
      </c>
    </row>
    <row r="359" spans="49:49" ht="15">
      <c r="AW359" s="18">
        <f t="shared" si="8"/>
        <v>0</v>
      </c>
    </row>
    <row r="360" spans="49:49" ht="15">
      <c r="AW360" s="18">
        <f t="shared" si="8"/>
        <v>0</v>
      </c>
    </row>
    <row r="361" spans="49:49" ht="15">
      <c r="AW361" s="18">
        <f t="shared" si="8"/>
        <v>0</v>
      </c>
    </row>
    <row r="362" spans="49:49" ht="15">
      <c r="AW362" s="18">
        <f t="shared" si="8"/>
        <v>0</v>
      </c>
    </row>
    <row r="363" spans="49:49" ht="15">
      <c r="AW363" s="18">
        <f t="shared" si="8"/>
        <v>0</v>
      </c>
    </row>
    <row r="364" spans="49:49" ht="15">
      <c r="AW364" s="18">
        <f t="shared" si="8"/>
        <v>0</v>
      </c>
    </row>
    <row r="365" spans="49:49" ht="15">
      <c r="AW365" s="18">
        <f t="shared" si="8"/>
        <v>0</v>
      </c>
    </row>
    <row r="366" spans="49:49" ht="15">
      <c r="AW366" s="18">
        <f t="shared" si="8"/>
        <v>0</v>
      </c>
    </row>
    <row r="367" spans="49:49" ht="15">
      <c r="AW367" s="18">
        <f t="shared" si="8"/>
        <v>0</v>
      </c>
    </row>
    <row r="368" spans="49:49" ht="15">
      <c r="AW368" s="18">
        <f t="shared" si="8"/>
        <v>0</v>
      </c>
    </row>
    <row r="369" spans="49:49" ht="15">
      <c r="AW369" s="18">
        <f t="shared" si="8"/>
        <v>0</v>
      </c>
    </row>
    <row r="370" spans="49:49" ht="15">
      <c r="AW370" s="18">
        <f t="shared" si="8"/>
        <v>0</v>
      </c>
    </row>
    <row r="371" spans="49:49" ht="15">
      <c r="AW371" s="18">
        <f t="shared" si="8"/>
        <v>0</v>
      </c>
    </row>
    <row r="372" spans="49:49" ht="15">
      <c r="AW372" s="18">
        <f t="shared" si="8"/>
        <v>0</v>
      </c>
    </row>
    <row r="373" spans="49:49" ht="15">
      <c r="AW373" s="18">
        <f t="shared" si="8"/>
        <v>0</v>
      </c>
    </row>
    <row r="374" spans="49:49" ht="15">
      <c r="AW374" s="18">
        <f t="shared" si="8"/>
        <v>0</v>
      </c>
    </row>
    <row r="375" spans="49:49" ht="15">
      <c r="AW375" s="18">
        <f t="shared" si="8"/>
        <v>0</v>
      </c>
    </row>
    <row r="376" spans="49:49" ht="15">
      <c r="AW376" s="18">
        <f t="shared" si="8"/>
        <v>0</v>
      </c>
    </row>
    <row r="377" spans="49:49" ht="15">
      <c r="AW377" s="18">
        <f t="shared" si="8"/>
        <v>0</v>
      </c>
    </row>
    <row r="378" spans="49:49" ht="15">
      <c r="AW378" s="18">
        <f t="shared" si="8"/>
        <v>0</v>
      </c>
    </row>
    <row r="379" spans="49:49" ht="15">
      <c r="AW379" s="18">
        <f t="shared" si="8"/>
        <v>0</v>
      </c>
    </row>
    <row r="380" spans="49:49" ht="15">
      <c r="AW380" s="18">
        <f t="shared" si="8"/>
        <v>0</v>
      </c>
    </row>
    <row r="381" spans="49:49" ht="15">
      <c r="AW381" s="18">
        <f t="shared" si="8"/>
        <v>0</v>
      </c>
    </row>
    <row r="382" spans="49:49" ht="15">
      <c r="AW382" s="18">
        <f t="shared" si="8"/>
        <v>0</v>
      </c>
    </row>
    <row r="383" spans="49:49" ht="15">
      <c r="AW383" s="18">
        <f t="shared" si="8"/>
        <v>0</v>
      </c>
    </row>
    <row r="384" spans="49:49" ht="15">
      <c r="AW384" s="18">
        <f t="shared" si="8"/>
        <v>0</v>
      </c>
    </row>
    <row r="385" spans="49:49" ht="15">
      <c r="AW385" s="18">
        <f t="shared" si="8"/>
        <v>0</v>
      </c>
    </row>
    <row r="386" spans="49:49" ht="15">
      <c r="AW386" s="18">
        <f t="shared" si="8"/>
        <v>0</v>
      </c>
    </row>
    <row r="387" spans="49:49" ht="15">
      <c r="AW387" s="18">
        <f t="shared" si="8"/>
        <v>0</v>
      </c>
    </row>
    <row r="388" spans="49:49" ht="15">
      <c r="AW388" s="18">
        <f t="shared" si="8"/>
        <v>0</v>
      </c>
    </row>
    <row r="389" spans="49:49" ht="15">
      <c r="AW389" s="18">
        <f t="shared" si="8"/>
        <v>0</v>
      </c>
    </row>
    <row r="390" spans="49:49" ht="15">
      <c r="AW390" s="18">
        <f t="shared" si="8"/>
        <v>0</v>
      </c>
    </row>
    <row r="391" spans="49:49" ht="15">
      <c r="AW391" s="18">
        <f t="shared" si="8"/>
        <v>0</v>
      </c>
    </row>
    <row r="392" spans="49:49" ht="15">
      <c r="AW392" s="18">
        <f t="shared" si="8"/>
        <v>0</v>
      </c>
    </row>
    <row r="393" spans="49:49" ht="15">
      <c r="AW393" s="18">
        <f t="shared" si="8"/>
        <v>0</v>
      </c>
    </row>
    <row r="394" spans="49:49" ht="15">
      <c r="AW394" s="18">
        <f t="shared" si="8"/>
        <v>0</v>
      </c>
    </row>
    <row r="395" spans="49:49" ht="15">
      <c r="AW395" s="18">
        <f t="shared" si="8"/>
        <v>0</v>
      </c>
    </row>
    <row r="396" spans="49:49" ht="15">
      <c r="AW396" s="18">
        <f t="shared" si="8"/>
        <v>0</v>
      </c>
    </row>
    <row r="397" spans="49:49" ht="15">
      <c r="AW397" s="18">
        <f t="shared" si="8"/>
        <v>0</v>
      </c>
    </row>
    <row r="398" spans="49:49" ht="15">
      <c r="AW398" s="18">
        <f t="shared" si="8"/>
        <v>0</v>
      </c>
    </row>
    <row r="399" spans="49:49" ht="15">
      <c r="AW399" s="18">
        <f t="shared" si="8"/>
        <v>0</v>
      </c>
    </row>
    <row r="400" spans="49:49" ht="15">
      <c r="AW400" s="18">
        <f t="shared" si="8"/>
        <v>0</v>
      </c>
    </row>
    <row r="401" spans="49:49" ht="15">
      <c r="AW401" s="18">
        <f t="shared" si="8"/>
        <v>0</v>
      </c>
    </row>
    <row r="402" spans="49:49" ht="15">
      <c r="AW402" s="18">
        <f t="shared" si="8"/>
        <v>0</v>
      </c>
    </row>
    <row r="403" spans="49:49" ht="15">
      <c r="AW403" s="18">
        <f t="shared" si="8"/>
        <v>0</v>
      </c>
    </row>
    <row r="404" spans="49:49" ht="15">
      <c r="AW404" s="18">
        <f t="shared" si="8"/>
        <v>0</v>
      </c>
    </row>
    <row r="405" spans="49:49" ht="15">
      <c r="AW405" s="18">
        <f t="shared" si="8"/>
        <v>0</v>
      </c>
    </row>
    <row r="406" spans="49:49" ht="15">
      <c r="AW406" s="18">
        <f t="shared" si="8"/>
        <v>0</v>
      </c>
    </row>
    <row r="407" spans="49:49" ht="15">
      <c r="AW407" s="18">
        <f t="shared" si="8"/>
        <v>0</v>
      </c>
    </row>
    <row r="408" spans="49:49" ht="15">
      <c r="AW408" s="18">
        <f t="shared" si="8"/>
        <v>0</v>
      </c>
    </row>
    <row r="409" spans="49:49" ht="15">
      <c r="AW409" s="18">
        <f t="shared" si="8"/>
        <v>0</v>
      </c>
    </row>
    <row r="410" spans="49:49" ht="15">
      <c r="AW410" s="18">
        <f t="shared" si="8"/>
        <v>0</v>
      </c>
    </row>
    <row r="411" spans="49:49" ht="15">
      <c r="AW411" s="18">
        <f t="shared" si="8"/>
        <v>0</v>
      </c>
    </row>
    <row r="412" spans="49:49" ht="15">
      <c r="AW412" s="18">
        <f t="shared" ref="AW412:AW466" si="9">LEN(L412)</f>
        <v>0</v>
      </c>
    </row>
    <row r="413" spans="49:49" ht="15">
      <c r="AW413" s="18">
        <f t="shared" si="9"/>
        <v>0</v>
      </c>
    </row>
    <row r="414" spans="49:49" ht="15">
      <c r="AW414" s="18">
        <f t="shared" si="9"/>
        <v>0</v>
      </c>
    </row>
    <row r="415" spans="49:49" ht="15">
      <c r="AW415" s="18">
        <f t="shared" si="9"/>
        <v>0</v>
      </c>
    </row>
    <row r="416" spans="49:49" ht="15">
      <c r="AW416" s="18">
        <f t="shared" si="9"/>
        <v>0</v>
      </c>
    </row>
    <row r="417" spans="49:49" ht="15">
      <c r="AW417" s="18">
        <f t="shared" si="9"/>
        <v>0</v>
      </c>
    </row>
    <row r="418" spans="49:49" ht="15">
      <c r="AW418" s="18">
        <f t="shared" si="9"/>
        <v>0</v>
      </c>
    </row>
    <row r="419" spans="49:49" ht="15">
      <c r="AW419" s="18">
        <f t="shared" si="9"/>
        <v>0</v>
      </c>
    </row>
    <row r="420" spans="49:49" ht="15">
      <c r="AW420" s="18">
        <f t="shared" si="9"/>
        <v>0</v>
      </c>
    </row>
    <row r="421" spans="49:49" ht="15">
      <c r="AW421" s="18">
        <f t="shared" si="9"/>
        <v>0</v>
      </c>
    </row>
    <row r="422" spans="49:49" ht="15">
      <c r="AW422" s="18">
        <f t="shared" si="9"/>
        <v>0</v>
      </c>
    </row>
    <row r="423" spans="49:49" ht="15">
      <c r="AW423" s="18">
        <f t="shared" si="9"/>
        <v>0</v>
      </c>
    </row>
    <row r="424" spans="49:49" ht="15">
      <c r="AW424" s="18">
        <f t="shared" si="9"/>
        <v>0</v>
      </c>
    </row>
    <row r="425" spans="49:49" ht="15">
      <c r="AW425" s="18">
        <f t="shared" si="9"/>
        <v>0</v>
      </c>
    </row>
    <row r="426" spans="49:49" ht="15">
      <c r="AW426" s="18">
        <f t="shared" si="9"/>
        <v>0</v>
      </c>
    </row>
    <row r="427" spans="49:49" ht="15">
      <c r="AW427" s="18">
        <f t="shared" si="9"/>
        <v>0</v>
      </c>
    </row>
    <row r="428" spans="49:49" ht="15">
      <c r="AW428" s="18">
        <f t="shared" si="9"/>
        <v>0</v>
      </c>
    </row>
    <row r="429" spans="49:49" ht="15">
      <c r="AW429" s="18">
        <f t="shared" si="9"/>
        <v>0</v>
      </c>
    </row>
    <row r="430" spans="49:49" ht="15">
      <c r="AW430" s="18">
        <f t="shared" si="9"/>
        <v>0</v>
      </c>
    </row>
    <row r="431" spans="49:49" ht="15">
      <c r="AW431" s="18">
        <f t="shared" si="9"/>
        <v>0</v>
      </c>
    </row>
    <row r="432" spans="49:49" ht="15">
      <c r="AW432" s="18">
        <f t="shared" si="9"/>
        <v>0</v>
      </c>
    </row>
    <row r="433" spans="49:49" ht="15">
      <c r="AW433" s="18">
        <f t="shared" si="9"/>
        <v>0</v>
      </c>
    </row>
    <row r="434" spans="49:49" ht="15">
      <c r="AW434" s="18">
        <f t="shared" si="9"/>
        <v>0</v>
      </c>
    </row>
    <row r="435" spans="49:49" ht="15">
      <c r="AW435" s="18">
        <f t="shared" si="9"/>
        <v>0</v>
      </c>
    </row>
    <row r="436" spans="49:49" ht="15">
      <c r="AW436" s="18">
        <f t="shared" si="9"/>
        <v>0</v>
      </c>
    </row>
    <row r="437" spans="49:49" ht="15">
      <c r="AW437" s="18">
        <f t="shared" si="9"/>
        <v>0</v>
      </c>
    </row>
    <row r="438" spans="49:49" ht="15">
      <c r="AW438" s="18">
        <f t="shared" si="9"/>
        <v>0</v>
      </c>
    </row>
    <row r="439" spans="49:49" ht="15">
      <c r="AW439" s="18">
        <f t="shared" si="9"/>
        <v>0</v>
      </c>
    </row>
    <row r="440" spans="49:49" ht="15">
      <c r="AW440" s="18">
        <f t="shared" si="9"/>
        <v>0</v>
      </c>
    </row>
    <row r="441" spans="49:49" ht="15">
      <c r="AW441" s="18">
        <f t="shared" si="9"/>
        <v>0</v>
      </c>
    </row>
    <row r="442" spans="49:49" ht="15">
      <c r="AW442" s="18">
        <f t="shared" si="9"/>
        <v>0</v>
      </c>
    </row>
    <row r="443" spans="49:49" ht="15">
      <c r="AW443" s="18">
        <f t="shared" si="9"/>
        <v>0</v>
      </c>
    </row>
    <row r="444" spans="49:49" ht="15">
      <c r="AW444" s="18">
        <f t="shared" si="9"/>
        <v>0</v>
      </c>
    </row>
    <row r="445" spans="49:49" ht="15">
      <c r="AW445" s="18">
        <f t="shared" si="9"/>
        <v>0</v>
      </c>
    </row>
    <row r="446" spans="49:49" ht="15">
      <c r="AW446" s="18">
        <f t="shared" si="9"/>
        <v>0</v>
      </c>
    </row>
    <row r="447" spans="49:49" ht="15">
      <c r="AW447" s="18">
        <f t="shared" si="9"/>
        <v>0</v>
      </c>
    </row>
    <row r="448" spans="49:49" ht="15">
      <c r="AW448" s="18">
        <f t="shared" si="9"/>
        <v>0</v>
      </c>
    </row>
    <row r="449" spans="49:49" ht="15">
      <c r="AW449" s="18">
        <f t="shared" si="9"/>
        <v>0</v>
      </c>
    </row>
    <row r="450" spans="49:49" ht="15">
      <c r="AW450" s="18">
        <f t="shared" si="9"/>
        <v>0</v>
      </c>
    </row>
    <row r="451" spans="49:49" ht="15">
      <c r="AW451" s="18">
        <f t="shared" si="9"/>
        <v>0</v>
      </c>
    </row>
    <row r="452" spans="49:49" ht="15">
      <c r="AW452" s="18">
        <f t="shared" si="9"/>
        <v>0</v>
      </c>
    </row>
    <row r="453" spans="49:49" ht="15">
      <c r="AW453" s="18">
        <f t="shared" si="9"/>
        <v>0</v>
      </c>
    </row>
    <row r="454" spans="49:49" ht="15">
      <c r="AW454" s="18">
        <f t="shared" si="9"/>
        <v>0</v>
      </c>
    </row>
    <row r="455" spans="49:49" ht="15">
      <c r="AW455" s="18">
        <f t="shared" si="9"/>
        <v>0</v>
      </c>
    </row>
    <row r="456" spans="49:49" ht="15">
      <c r="AW456" s="18">
        <f t="shared" si="9"/>
        <v>0</v>
      </c>
    </row>
    <row r="457" spans="49:49" ht="15">
      <c r="AW457" s="18">
        <f t="shared" si="9"/>
        <v>0</v>
      </c>
    </row>
    <row r="458" spans="49:49" ht="15">
      <c r="AW458" s="18">
        <f t="shared" si="9"/>
        <v>0</v>
      </c>
    </row>
    <row r="459" spans="49:49" ht="15">
      <c r="AW459" s="18">
        <f t="shared" si="9"/>
        <v>0</v>
      </c>
    </row>
    <row r="460" spans="49:49" ht="15">
      <c r="AW460" s="18">
        <f t="shared" si="9"/>
        <v>0</v>
      </c>
    </row>
    <row r="461" spans="49:49" ht="15">
      <c r="AW461" s="18">
        <f t="shared" si="9"/>
        <v>0</v>
      </c>
    </row>
    <row r="462" spans="49:49" ht="15">
      <c r="AW462" s="18">
        <f t="shared" si="9"/>
        <v>0</v>
      </c>
    </row>
    <row r="463" spans="49:49" ht="15">
      <c r="AW463" s="18">
        <f t="shared" si="9"/>
        <v>0</v>
      </c>
    </row>
    <row r="464" spans="49:49" ht="15">
      <c r="AW464" s="18">
        <f t="shared" si="9"/>
        <v>0</v>
      </c>
    </row>
    <row r="465" spans="49:49" ht="15">
      <c r="AW465" s="18">
        <f t="shared" si="9"/>
        <v>0</v>
      </c>
    </row>
    <row r="466" spans="49:49" ht="15">
      <c r="AW466" s="18">
        <f t="shared" si="9"/>
        <v>0</v>
      </c>
    </row>
  </sheetData>
  <mergeCells count="60">
    <mergeCell ref="J172:J174"/>
    <mergeCell ref="L172:L174"/>
    <mergeCell ref="J97:J161"/>
    <mergeCell ref="L97:L161"/>
    <mergeCell ref="J162:J171"/>
    <mergeCell ref="L162:L171"/>
    <mergeCell ref="BZ5:CB5"/>
    <mergeCell ref="CC5:CD5"/>
    <mergeCell ref="AL5:AL6"/>
    <mergeCell ref="AE4:AL4"/>
    <mergeCell ref="AH5:AH6"/>
    <mergeCell ref="AI5:AI6"/>
    <mergeCell ref="AU5:AU6"/>
    <mergeCell ref="AV5:AV6"/>
    <mergeCell ref="AS5:AS6"/>
    <mergeCell ref="AT5:AT6"/>
    <mergeCell ref="BT5:BW5"/>
    <mergeCell ref="BX5:BY5"/>
    <mergeCell ref="AO5:AO6"/>
    <mergeCell ref="AP5:AP6"/>
    <mergeCell ref="AQ5:AQ6"/>
    <mergeCell ref="AR5:AR6"/>
    <mergeCell ref="AX5:AX6"/>
    <mergeCell ref="AZ5:AZ6"/>
    <mergeCell ref="BA5:BE5"/>
    <mergeCell ref="BF5:BS5"/>
    <mergeCell ref="AJ5:AJ6"/>
    <mergeCell ref="AK5:AK6"/>
    <mergeCell ref="AE5:AE6"/>
    <mergeCell ref="AF5:AF6"/>
    <mergeCell ref="AG5:AG6"/>
    <mergeCell ref="V5:V6"/>
    <mergeCell ref="W5:W6"/>
    <mergeCell ref="X5:X6"/>
    <mergeCell ref="Y5:Y6"/>
    <mergeCell ref="Z5:Z6"/>
    <mergeCell ref="AO4:AU4"/>
    <mergeCell ref="B5:B6"/>
    <mergeCell ref="C5:C6"/>
    <mergeCell ref="D5:D6"/>
    <mergeCell ref="E5:E6"/>
    <mergeCell ref="H5:H6"/>
    <mergeCell ref="I5:I6"/>
    <mergeCell ref="J5:J6"/>
    <mergeCell ref="K5:K6"/>
    <mergeCell ref="L5:L6"/>
    <mergeCell ref="N5:N6"/>
    <mergeCell ref="O5:O6"/>
    <mergeCell ref="P5:P6"/>
    <mergeCell ref="Q5:Q6"/>
    <mergeCell ref="R5:R6"/>
    <mergeCell ref="S5:S6"/>
    <mergeCell ref="W4:AD4"/>
    <mergeCell ref="AB5:AB6"/>
    <mergeCell ref="AC5:AC6"/>
    <mergeCell ref="AD5:AD6"/>
    <mergeCell ref="B4:C4"/>
    <mergeCell ref="AA5:AA6"/>
    <mergeCell ref="T5:T6"/>
    <mergeCell ref="U5:U6"/>
  </mergeCells>
  <phoneticPr fontId="13" type="noConversion"/>
  <conditionalFormatting sqref="AW1:AW65533">
    <cfRule type="cellIs" dxfId="36" priority="38" stopIfTrue="1" operator="greaterThan">
      <formula>42</formula>
    </cfRule>
  </conditionalFormatting>
  <conditionalFormatting sqref="AW20:AW48">
    <cfRule type="cellIs" dxfId="35" priority="15" stopIfTrue="1" operator="greaterThan">
      <formula>42</formula>
    </cfRule>
  </conditionalFormatting>
  <conditionalFormatting sqref="AW20:AW44">
    <cfRule type="cellIs" dxfId="34" priority="14" stopIfTrue="1" operator="greaterThan">
      <formula>42</formula>
    </cfRule>
  </conditionalFormatting>
  <conditionalFormatting sqref="AW45:AW48">
    <cfRule type="cellIs" dxfId="33" priority="13" stopIfTrue="1" operator="greaterThan">
      <formula>42</formula>
    </cfRule>
  </conditionalFormatting>
  <conditionalFormatting sqref="AW44">
    <cfRule type="cellIs" dxfId="32" priority="12" stopIfTrue="1" operator="greaterThan">
      <formula>42</formula>
    </cfRule>
  </conditionalFormatting>
  <conditionalFormatting sqref="AW46:AW48">
    <cfRule type="cellIs" dxfId="31" priority="11" stopIfTrue="1" operator="greaterThan">
      <formula>42</formula>
    </cfRule>
  </conditionalFormatting>
  <conditionalFormatting sqref="AW46:AW48">
    <cfRule type="cellIs" dxfId="30" priority="10" stopIfTrue="1" operator="greaterThan">
      <formula>42</formula>
    </cfRule>
  </conditionalFormatting>
  <conditionalFormatting sqref="AW46:AW48">
    <cfRule type="cellIs" dxfId="29" priority="9" stopIfTrue="1" operator="greaterThan">
      <formula>42</formula>
    </cfRule>
  </conditionalFormatting>
  <conditionalFormatting sqref="AW46:AW48">
    <cfRule type="cellIs" dxfId="28" priority="8" stopIfTrue="1" operator="greaterThan">
      <formula>42</formula>
    </cfRule>
  </conditionalFormatting>
  <conditionalFormatting sqref="AW47:AW48">
    <cfRule type="cellIs" dxfId="27" priority="7" stopIfTrue="1" operator="greaterThan">
      <formula>42</formula>
    </cfRule>
  </conditionalFormatting>
  <conditionalFormatting sqref="AW47:AW48">
    <cfRule type="cellIs" dxfId="26" priority="6" stopIfTrue="1" operator="greaterThan">
      <formula>42</formula>
    </cfRule>
  </conditionalFormatting>
  <conditionalFormatting sqref="AW47:AW48">
    <cfRule type="cellIs" dxfId="25" priority="5" stopIfTrue="1" operator="greaterThan">
      <formula>42</formula>
    </cfRule>
  </conditionalFormatting>
  <conditionalFormatting sqref="AW47:AW48">
    <cfRule type="cellIs" dxfId="24" priority="4" stopIfTrue="1" operator="greaterThan">
      <formula>42</formula>
    </cfRule>
  </conditionalFormatting>
  <conditionalFormatting sqref="AW47:AW48">
    <cfRule type="cellIs" dxfId="23" priority="3" stopIfTrue="1" operator="greaterThan">
      <formula>42</formula>
    </cfRule>
  </conditionalFormatting>
  <conditionalFormatting sqref="AW51:AW52">
    <cfRule type="cellIs" dxfId="22" priority="2" stopIfTrue="1" operator="greaterThan">
      <formula>42</formula>
    </cfRule>
  </conditionalFormatting>
  <conditionalFormatting sqref="AW51:AW52">
    <cfRule type="cellIs" dxfId="21" priority="1" stopIfTrue="1" operator="greaterThan">
      <formula>42</formula>
    </cfRule>
  </conditionalFormatting>
  <dataValidations count="2">
    <dataValidation type="textLength" allowBlank="1" showInputMessage="1" showErrorMessage="1" sqref="AO23:AT27 AO37:AT39" xr:uid="{00000000-0002-0000-1100-000000000000}">
      <formula1>0</formula1>
      <formula2>4</formula2>
    </dataValidation>
    <dataValidation type="textLength" operator="lessThan" allowBlank="1" showInputMessage="1" showErrorMessage="1" error="text length exceeded" prompt="max. 64 charcters" sqref="B23:C27 C38 B37:B38 L41:M45 B39:C39" xr:uid="{00000000-0002-0000-1100-000001000000}">
      <formula1>65</formula1>
    </dataValidation>
  </dataValidations>
  <pageMargins left="0.78740157499999996" right="0.78740157499999996" top="0.984251969" bottom="0.984251969" header="0.49212598499999999" footer="0.49212598499999999"/>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CH459"/>
  <sheetViews>
    <sheetView showGridLines="0" topLeftCell="A4" zoomScale="60" zoomScaleNormal="60" workbookViewId="0">
      <pane ySplit="3" topLeftCell="A7" activePane="bottomLeft" state="frozenSplit"/>
      <selection activeCell="A4" sqref="A4"/>
      <selection pane="bottomLeft" activeCell="L51" sqref="L51"/>
    </sheetView>
  </sheetViews>
  <sheetFormatPr defaultColWidth="8.88671875" defaultRowHeight="13.2"/>
  <cols>
    <col min="1" max="1" width="5.6640625" customWidth="1"/>
    <col min="2" max="2" width="46.44140625" hidden="1" customWidth="1"/>
    <col min="3" max="3" width="8.6640625" hidden="1" customWidth="1"/>
    <col min="4" max="4" width="0" hidden="1" customWidth="1"/>
    <col min="5" max="7" width="10" hidden="1" customWidth="1"/>
    <col min="8" max="9" width="0" hidden="1" customWidth="1"/>
    <col min="10" max="10" width="35.5546875" style="431" customWidth="1"/>
    <col min="11" max="11" width="38.5546875" customWidth="1"/>
    <col min="12" max="12" width="65" customWidth="1"/>
    <col min="13" max="13" width="53.5546875" customWidth="1"/>
    <col min="14" max="14" width="12.109375" style="138" bestFit="1" customWidth="1"/>
    <col min="15" max="15" width="6.5546875" style="138" bestFit="1" customWidth="1"/>
    <col min="16" max="16" width="7" style="138" bestFit="1" customWidth="1"/>
    <col min="17" max="20" width="4.6640625" style="138" customWidth="1"/>
    <col min="21" max="21" width="50.5546875" customWidth="1"/>
    <col min="22" max="22" width="32.6640625" customWidth="1"/>
    <col min="23" max="23" width="19.109375" customWidth="1"/>
    <col min="24" max="25" width="5.6640625" customWidth="1"/>
    <col min="26" max="27" width="4.6640625" customWidth="1"/>
    <col min="28" max="28" width="19.109375" customWidth="1"/>
    <col min="29" max="29" width="16.109375" customWidth="1"/>
    <col min="30" max="30" width="22.109375" customWidth="1"/>
    <col min="31" max="31" width="19.109375" customWidth="1"/>
    <col min="32" max="33" width="5.6640625" customWidth="1"/>
    <col min="34" max="35" width="4.6640625" customWidth="1"/>
    <col min="36" max="36" width="33.6640625" customWidth="1"/>
    <col min="37" max="37" width="8.88671875" customWidth="1"/>
    <col min="38" max="38" width="24.44140625" customWidth="1"/>
    <col min="39" max="39" width="8.88671875" customWidth="1"/>
    <col min="40" max="40" width="30.6640625" customWidth="1"/>
    <col min="48" max="48" width="30.6640625" customWidth="1"/>
    <col min="49" max="49" width="0" hidden="1" customWidth="1"/>
  </cols>
  <sheetData>
    <row r="1" spans="1:86" hidden="1"/>
    <row r="2" spans="1:86" hidden="1"/>
    <row r="3" spans="1:86" s="1" customFormat="1" ht="13.8" hidden="1" thickBot="1">
      <c r="C3" s="2"/>
      <c r="E3" s="3"/>
      <c r="F3" s="3"/>
      <c r="G3" s="3"/>
      <c r="H3" s="3"/>
      <c r="I3" s="3"/>
      <c r="J3" s="3"/>
      <c r="K3" s="3"/>
      <c r="L3" s="3"/>
      <c r="M3" s="3"/>
      <c r="N3" s="136"/>
      <c r="O3" s="136"/>
      <c r="P3" s="136"/>
      <c r="Q3" s="136"/>
      <c r="R3" s="136"/>
      <c r="S3" s="136"/>
      <c r="T3" s="136"/>
      <c r="U3" s="3"/>
      <c r="V3" s="3"/>
      <c r="W3" s="3"/>
      <c r="X3" s="4"/>
      <c r="Y3" s="5"/>
      <c r="Z3" s="5"/>
      <c r="AA3" s="3"/>
      <c r="AB3" s="3"/>
      <c r="AC3" s="3"/>
      <c r="AD3" s="3"/>
      <c r="AE3" s="3"/>
      <c r="AF3" s="4"/>
      <c r="AG3" s="5"/>
      <c r="AH3" s="5"/>
      <c r="AI3" s="3"/>
      <c r="AJ3" s="3"/>
      <c r="AK3" s="2"/>
      <c r="AL3" s="2"/>
      <c r="AM3" s="2"/>
      <c r="AN3" s="2"/>
      <c r="AO3" s="2"/>
      <c r="AP3" s="2"/>
      <c r="AQ3" s="2"/>
    </row>
    <row r="4" spans="1:86" s="1" customFormat="1" ht="16.2" thickBot="1">
      <c r="A4" s="21"/>
      <c r="B4" s="679" t="s">
        <v>462</v>
      </c>
      <c r="C4" s="680"/>
      <c r="D4" s="22" t="s">
        <v>463</v>
      </c>
      <c r="E4" s="23"/>
      <c r="F4" s="23"/>
      <c r="G4" s="23"/>
      <c r="H4" s="23"/>
      <c r="I4" s="23"/>
      <c r="J4" s="421"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18" thickBot="1">
      <c r="A5" s="29"/>
      <c r="B5" s="654" t="s">
        <v>469</v>
      </c>
      <c r="C5" s="654" t="s">
        <v>470</v>
      </c>
      <c r="D5" s="637" t="s">
        <v>471</v>
      </c>
      <c r="E5" s="637" t="s">
        <v>472</v>
      </c>
      <c r="F5" s="390"/>
      <c r="G5" s="390"/>
      <c r="H5" s="637" t="s">
        <v>475</v>
      </c>
      <c r="I5" s="646" t="s">
        <v>476</v>
      </c>
      <c r="J5" s="683" t="s">
        <v>477</v>
      </c>
      <c r="K5" s="648" t="s">
        <v>478</v>
      </c>
      <c r="L5" s="648" t="s">
        <v>479</v>
      </c>
      <c r="M5" s="588"/>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87.5" customHeight="1" thickBot="1">
      <c r="A6" s="58" t="s">
        <v>501</v>
      </c>
      <c r="B6" s="655"/>
      <c r="C6" s="655"/>
      <c r="D6" s="638"/>
      <c r="E6" s="638"/>
      <c r="F6" s="396" t="s">
        <v>473</v>
      </c>
      <c r="G6" s="396" t="s">
        <v>474</v>
      </c>
      <c r="H6" s="638"/>
      <c r="I6" s="647"/>
      <c r="J6" s="684"/>
      <c r="K6" s="649"/>
      <c r="L6" s="649"/>
      <c r="M6" s="589" t="s">
        <v>3506</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484">
        <f>ROW() - 6</f>
        <v>1</v>
      </c>
      <c r="B7" s="65"/>
      <c r="C7" s="65"/>
      <c r="D7" s="65"/>
      <c r="E7" s="65"/>
      <c r="F7" s="65"/>
      <c r="G7" s="65"/>
      <c r="H7" s="65"/>
      <c r="I7" s="65"/>
      <c r="J7" s="599" t="s">
        <v>503</v>
      </c>
      <c r="K7" s="65"/>
      <c r="L7" s="65"/>
      <c r="M7" s="65"/>
      <c r="N7" s="137"/>
      <c r="O7" s="137"/>
      <c r="P7" s="137"/>
      <c r="Q7" s="137"/>
      <c r="R7" s="137"/>
      <c r="S7" s="137"/>
      <c r="T7" s="137"/>
      <c r="U7" s="73"/>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65"/>
      <c r="AW7" s="18">
        <f>LEN(L7)</f>
        <v>0</v>
      </c>
    </row>
    <row r="8" spans="1:86" s="20" customFormat="1" ht="15">
      <c r="A8" s="13">
        <f t="shared" ref="A8:A46" si="0">ROW() - 6</f>
        <v>2</v>
      </c>
      <c r="B8" s="59"/>
      <c r="C8" s="59"/>
      <c r="D8" s="59"/>
      <c r="E8" s="59"/>
      <c r="F8" s="59"/>
      <c r="G8" s="59"/>
      <c r="H8" s="59"/>
      <c r="I8" s="59"/>
      <c r="J8" s="275" t="s">
        <v>2727</v>
      </c>
      <c r="K8" s="399" t="s">
        <v>134</v>
      </c>
      <c r="L8" s="204" t="s">
        <v>744</v>
      </c>
      <c r="M8" s="204"/>
      <c r="N8" s="126" t="s">
        <v>504</v>
      </c>
      <c r="O8" s="126"/>
      <c r="P8" s="126"/>
      <c r="Q8" s="40" t="s">
        <v>6</v>
      </c>
      <c r="R8" s="40" t="s">
        <v>6</v>
      </c>
      <c r="S8" s="40" t="s">
        <v>6</v>
      </c>
      <c r="T8" s="40"/>
      <c r="U8" s="206"/>
      <c r="V8" s="206"/>
      <c r="W8" s="399"/>
      <c r="X8" s="59"/>
      <c r="Y8" s="59"/>
      <c r="Z8" s="59"/>
      <c r="AA8" s="40"/>
      <c r="AB8" s="15"/>
      <c r="AC8" s="59"/>
      <c r="AD8" s="59"/>
      <c r="AE8" s="399"/>
      <c r="AF8" s="59"/>
      <c r="AG8" s="59"/>
      <c r="AH8" s="59"/>
      <c r="AI8" s="40"/>
      <c r="AJ8" s="15"/>
      <c r="AK8" s="59"/>
      <c r="AL8" s="59"/>
      <c r="AM8" s="59"/>
      <c r="AN8" s="59"/>
      <c r="AO8" s="59"/>
      <c r="AP8" s="59"/>
      <c r="AQ8" s="59"/>
      <c r="AR8" s="59"/>
      <c r="AS8" s="59"/>
      <c r="AT8" s="59"/>
      <c r="AU8" s="59"/>
      <c r="AV8" s="59"/>
      <c r="AW8" s="18"/>
    </row>
    <row r="9" spans="1:86" s="20" customFormat="1" ht="15">
      <c r="A9" s="13">
        <f t="shared" si="0"/>
        <v>3</v>
      </c>
      <c r="B9" s="59"/>
      <c r="C9" s="59"/>
      <c r="D9" s="59"/>
      <c r="E9" s="59"/>
      <c r="F9" s="59"/>
      <c r="G9" s="59"/>
      <c r="H9" s="59"/>
      <c r="I9" s="59"/>
      <c r="J9" s="275" t="s">
        <v>2728</v>
      </c>
      <c r="K9" s="399" t="s">
        <v>117</v>
      </c>
      <c r="L9" s="204" t="s">
        <v>703</v>
      </c>
      <c r="M9" s="204"/>
      <c r="N9" s="126" t="s">
        <v>504</v>
      </c>
      <c r="O9" s="126"/>
      <c r="P9" s="126"/>
      <c r="Q9" s="40" t="s">
        <v>6</v>
      </c>
      <c r="R9" s="40" t="s">
        <v>6</v>
      </c>
      <c r="S9" s="40" t="s">
        <v>6</v>
      </c>
      <c r="T9" s="40"/>
      <c r="U9" s="206"/>
      <c r="V9" s="206"/>
      <c r="W9" s="399"/>
      <c r="X9" s="59"/>
      <c r="Y9" s="59"/>
      <c r="Z9" s="59"/>
      <c r="AA9" s="40"/>
      <c r="AB9" s="15"/>
      <c r="AC9" s="59"/>
      <c r="AD9" s="59"/>
      <c r="AE9" s="399"/>
      <c r="AF9" s="59"/>
      <c r="AG9" s="59"/>
      <c r="AH9" s="59"/>
      <c r="AI9" s="40"/>
      <c r="AJ9" s="15"/>
      <c r="AK9" s="59"/>
      <c r="AL9" s="59"/>
      <c r="AM9" s="59"/>
      <c r="AN9" s="59"/>
      <c r="AO9" s="59"/>
      <c r="AP9" s="59"/>
      <c r="AQ9" s="59"/>
      <c r="AR9" s="59"/>
      <c r="AS9" s="59"/>
      <c r="AT9" s="59"/>
      <c r="AU9" s="59"/>
      <c r="AV9" s="59"/>
      <c r="AW9" s="18"/>
    </row>
    <row r="10" spans="1:86" s="20" customFormat="1" ht="15">
      <c r="A10" s="13">
        <f t="shared" si="0"/>
        <v>4</v>
      </c>
      <c r="B10" s="59"/>
      <c r="C10" s="59"/>
      <c r="D10" s="59"/>
      <c r="E10" s="59"/>
      <c r="F10" s="59"/>
      <c r="G10" s="59"/>
      <c r="H10" s="59"/>
      <c r="I10" s="59"/>
      <c r="J10" s="275" t="s">
        <v>2729</v>
      </c>
      <c r="K10" s="399" t="s">
        <v>134</v>
      </c>
      <c r="L10" s="204" t="s">
        <v>754</v>
      </c>
      <c r="M10" s="204"/>
      <c r="N10" s="126" t="s">
        <v>504</v>
      </c>
      <c r="O10" s="126"/>
      <c r="P10" s="126"/>
      <c r="Q10" s="40" t="s">
        <v>6</v>
      </c>
      <c r="R10" s="40" t="s">
        <v>6</v>
      </c>
      <c r="S10" s="40" t="s">
        <v>6</v>
      </c>
      <c r="T10" s="40"/>
      <c r="U10" s="206"/>
      <c r="V10" s="206"/>
      <c r="W10" s="399"/>
      <c r="X10" s="59"/>
      <c r="Y10" s="59"/>
      <c r="Z10" s="59"/>
      <c r="AA10" s="40"/>
      <c r="AB10" s="15"/>
      <c r="AC10" s="59"/>
      <c r="AD10" s="59"/>
      <c r="AE10" s="399"/>
      <c r="AF10" s="59"/>
      <c r="AG10" s="59"/>
      <c r="AH10" s="59"/>
      <c r="AI10" s="40"/>
      <c r="AJ10" s="15"/>
      <c r="AK10" s="59"/>
      <c r="AL10" s="59"/>
      <c r="AM10" s="59"/>
      <c r="AN10" s="59"/>
      <c r="AO10" s="59"/>
      <c r="AP10" s="59"/>
      <c r="AQ10" s="59"/>
      <c r="AR10" s="59"/>
      <c r="AS10" s="59"/>
      <c r="AT10" s="59"/>
      <c r="AU10" s="59"/>
      <c r="AV10" s="59"/>
      <c r="AW10" s="18"/>
    </row>
    <row r="11" spans="1:86" s="20" customFormat="1" ht="15">
      <c r="A11" s="13">
        <f t="shared" si="0"/>
        <v>5</v>
      </c>
      <c r="B11" s="59"/>
      <c r="C11" s="59"/>
      <c r="D11" s="59"/>
      <c r="E11" s="59"/>
      <c r="F11" s="59"/>
      <c r="G11" s="59"/>
      <c r="H11" s="59"/>
      <c r="I11" s="59"/>
      <c r="J11" s="275" t="s">
        <v>2730</v>
      </c>
      <c r="K11" s="399" t="s">
        <v>65</v>
      </c>
      <c r="L11" s="204" t="s">
        <v>2731</v>
      </c>
      <c r="M11" s="204"/>
      <c r="N11" s="126" t="s">
        <v>504</v>
      </c>
      <c r="O11" s="126"/>
      <c r="P11" s="126"/>
      <c r="Q11" s="40" t="s">
        <v>6</v>
      </c>
      <c r="R11" s="40" t="s">
        <v>6</v>
      </c>
      <c r="S11" s="40" t="s">
        <v>6</v>
      </c>
      <c r="T11" s="40"/>
      <c r="U11" s="206"/>
      <c r="V11" s="206"/>
      <c r="W11" s="399"/>
      <c r="X11" s="59"/>
      <c r="Y11" s="59"/>
      <c r="Z11" s="59"/>
      <c r="AA11" s="40"/>
      <c r="AB11" s="15"/>
      <c r="AC11" s="59"/>
      <c r="AD11" s="59"/>
      <c r="AE11" s="399"/>
      <c r="AF11" s="59"/>
      <c r="AG11" s="59"/>
      <c r="AH11" s="59"/>
      <c r="AI11" s="40"/>
      <c r="AJ11" s="15"/>
      <c r="AK11" s="59"/>
      <c r="AL11" s="59"/>
      <c r="AM11" s="59"/>
      <c r="AN11" s="59"/>
      <c r="AO11" s="59"/>
      <c r="AP11" s="59"/>
      <c r="AQ11" s="59"/>
      <c r="AR11" s="59"/>
      <c r="AS11" s="59"/>
      <c r="AT11" s="59"/>
      <c r="AU11" s="59"/>
      <c r="AV11" s="59"/>
      <c r="AW11" s="18"/>
    </row>
    <row r="12" spans="1:86" s="20" customFormat="1" ht="15">
      <c r="A12" s="13">
        <f t="shared" si="0"/>
        <v>6</v>
      </c>
      <c r="B12" s="59"/>
      <c r="C12" s="59"/>
      <c r="D12" s="59"/>
      <c r="E12" s="59"/>
      <c r="F12" s="59"/>
      <c r="G12" s="59"/>
      <c r="H12" s="59"/>
      <c r="I12" s="59"/>
      <c r="J12" s="275" t="s">
        <v>2732</v>
      </c>
      <c r="K12" s="399" t="s">
        <v>117</v>
      </c>
      <c r="L12" s="204" t="s">
        <v>2733</v>
      </c>
      <c r="M12" s="204"/>
      <c r="N12" s="126" t="s">
        <v>504</v>
      </c>
      <c r="O12" s="126"/>
      <c r="P12" s="126"/>
      <c r="Q12" s="40" t="s">
        <v>6</v>
      </c>
      <c r="R12" s="40" t="s">
        <v>6</v>
      </c>
      <c r="S12" s="40" t="s">
        <v>6</v>
      </c>
      <c r="T12" s="40"/>
      <c r="U12" s="206"/>
      <c r="V12" s="206"/>
      <c r="W12" s="399"/>
      <c r="X12" s="59"/>
      <c r="Y12" s="59"/>
      <c r="Z12" s="59"/>
      <c r="AA12" s="40"/>
      <c r="AB12" s="15"/>
      <c r="AC12" s="59"/>
      <c r="AD12" s="59"/>
      <c r="AE12" s="399"/>
      <c r="AF12" s="59"/>
      <c r="AG12" s="59"/>
      <c r="AH12" s="59"/>
      <c r="AI12" s="40"/>
      <c r="AJ12" s="15"/>
      <c r="AK12" s="59"/>
      <c r="AL12" s="59"/>
      <c r="AM12" s="59"/>
      <c r="AN12" s="59"/>
      <c r="AO12" s="59"/>
      <c r="AP12" s="59"/>
      <c r="AQ12" s="59"/>
      <c r="AR12" s="59"/>
      <c r="AS12" s="59"/>
      <c r="AT12" s="59"/>
      <c r="AU12" s="59"/>
      <c r="AV12" s="59"/>
      <c r="AW12" s="18"/>
    </row>
    <row r="13" spans="1:86" s="387" customFormat="1" ht="15">
      <c r="A13" s="562">
        <f t="shared" si="0"/>
        <v>7</v>
      </c>
      <c r="B13" s="379"/>
      <c r="C13" s="379"/>
      <c r="D13" s="379"/>
      <c r="E13" s="379"/>
      <c r="F13" s="379"/>
      <c r="G13" s="379"/>
      <c r="H13" s="379"/>
      <c r="I13" s="379"/>
      <c r="J13" s="600" t="s">
        <v>2734</v>
      </c>
      <c r="K13" s="380" t="s">
        <v>117</v>
      </c>
      <c r="L13" s="381" t="s">
        <v>2735</v>
      </c>
      <c r="M13" s="381"/>
      <c r="N13" s="382" t="s">
        <v>504</v>
      </c>
      <c r="O13" s="382"/>
      <c r="P13" s="382"/>
      <c r="Q13" s="383" t="s">
        <v>6</v>
      </c>
      <c r="R13" s="383" t="s">
        <v>6</v>
      </c>
      <c r="S13" s="383" t="s">
        <v>6</v>
      </c>
      <c r="T13" s="383"/>
      <c r="U13" s="384"/>
      <c r="V13" s="384"/>
      <c r="W13" s="380"/>
      <c r="X13" s="379"/>
      <c r="Y13" s="379"/>
      <c r="Z13" s="379"/>
      <c r="AA13" s="383"/>
      <c r="AB13" s="385"/>
      <c r="AC13" s="379"/>
      <c r="AD13" s="379"/>
      <c r="AE13" s="380"/>
      <c r="AF13" s="379"/>
      <c r="AG13" s="379"/>
      <c r="AH13" s="379"/>
      <c r="AI13" s="383"/>
      <c r="AJ13" s="385"/>
      <c r="AK13" s="379"/>
      <c r="AL13" s="379"/>
      <c r="AM13" s="379"/>
      <c r="AN13" s="379"/>
      <c r="AO13" s="379"/>
      <c r="AP13" s="379"/>
      <c r="AQ13" s="379"/>
      <c r="AR13" s="379"/>
      <c r="AS13" s="379"/>
      <c r="AT13" s="379"/>
      <c r="AU13" s="379"/>
      <c r="AV13" s="379"/>
      <c r="AW13" s="386"/>
    </row>
    <row r="14" spans="1:86" s="20" customFormat="1" ht="15">
      <c r="A14" s="13">
        <f t="shared" si="0"/>
        <v>8</v>
      </c>
      <c r="B14" s="59"/>
      <c r="C14" s="59"/>
      <c r="D14" s="59"/>
      <c r="E14" s="59"/>
      <c r="F14" s="59"/>
      <c r="G14" s="59"/>
      <c r="H14" s="59"/>
      <c r="I14" s="59"/>
      <c r="J14" s="275" t="s">
        <v>2736</v>
      </c>
      <c r="K14" s="399" t="s">
        <v>117</v>
      </c>
      <c r="L14" s="204" t="s">
        <v>746</v>
      </c>
      <c r="M14" s="204"/>
      <c r="N14" s="126" t="s">
        <v>504</v>
      </c>
      <c r="O14" s="126"/>
      <c r="P14" s="126"/>
      <c r="Q14" s="40" t="s">
        <v>6</v>
      </c>
      <c r="R14" s="40" t="s">
        <v>6</v>
      </c>
      <c r="S14" s="40" t="s">
        <v>6</v>
      </c>
      <c r="T14" s="40"/>
      <c r="U14" s="206"/>
      <c r="V14" s="206"/>
      <c r="W14" s="399"/>
      <c r="X14" s="59"/>
      <c r="Y14" s="59"/>
      <c r="Z14" s="59"/>
      <c r="AA14" s="40"/>
      <c r="AB14" s="15"/>
      <c r="AC14" s="59"/>
      <c r="AD14" s="59"/>
      <c r="AE14" s="399"/>
      <c r="AF14" s="59"/>
      <c r="AG14" s="59"/>
      <c r="AH14" s="59"/>
      <c r="AI14" s="40"/>
      <c r="AJ14" s="15"/>
      <c r="AK14" s="59"/>
      <c r="AL14" s="59"/>
      <c r="AM14" s="59"/>
      <c r="AN14" s="59"/>
      <c r="AO14" s="59"/>
      <c r="AP14" s="59"/>
      <c r="AQ14" s="59"/>
      <c r="AR14" s="59"/>
      <c r="AS14" s="59"/>
      <c r="AT14" s="59"/>
      <c r="AU14" s="59"/>
      <c r="AV14" s="59"/>
      <c r="AW14" s="18"/>
    </row>
    <row r="15" spans="1:86" s="20" customFormat="1" ht="15">
      <c r="A15" s="13">
        <f t="shared" si="0"/>
        <v>9</v>
      </c>
      <c r="B15" s="59"/>
      <c r="C15" s="59"/>
      <c r="D15" s="59"/>
      <c r="E15" s="59"/>
      <c r="F15" s="59"/>
      <c r="G15" s="59"/>
      <c r="H15" s="59"/>
      <c r="I15" s="59"/>
      <c r="J15" s="275" t="s">
        <v>2737</v>
      </c>
      <c r="K15" s="399" t="s">
        <v>117</v>
      </c>
      <c r="L15" s="204" t="s">
        <v>735</v>
      </c>
      <c r="M15" s="204"/>
      <c r="N15" s="126" t="s">
        <v>504</v>
      </c>
      <c r="O15" s="126"/>
      <c r="P15" s="126"/>
      <c r="Q15" s="40" t="s">
        <v>6</v>
      </c>
      <c r="R15" s="40" t="s">
        <v>6</v>
      </c>
      <c r="S15" s="40" t="s">
        <v>6</v>
      </c>
      <c r="T15" s="40"/>
      <c r="U15" s="206"/>
      <c r="V15" s="206"/>
      <c r="W15" s="399"/>
      <c r="X15" s="59"/>
      <c r="Y15" s="59"/>
      <c r="Z15" s="59"/>
      <c r="AA15" s="40"/>
      <c r="AB15" s="15"/>
      <c r="AC15" s="59"/>
      <c r="AD15" s="59"/>
      <c r="AE15" s="399"/>
      <c r="AF15" s="59"/>
      <c r="AG15" s="59"/>
      <c r="AH15" s="59"/>
      <c r="AI15" s="40"/>
      <c r="AJ15" s="15"/>
      <c r="AK15" s="59"/>
      <c r="AL15" s="59"/>
      <c r="AM15" s="59"/>
      <c r="AN15" s="59"/>
      <c r="AO15" s="59"/>
      <c r="AP15" s="59"/>
      <c r="AQ15" s="59"/>
      <c r="AR15" s="59"/>
      <c r="AS15" s="59"/>
      <c r="AT15" s="59"/>
      <c r="AU15" s="59"/>
      <c r="AV15" s="59"/>
      <c r="AW15" s="18"/>
    </row>
    <row r="16" spans="1:86" s="20" customFormat="1" ht="15">
      <c r="A16" s="13">
        <f t="shared" si="0"/>
        <v>10</v>
      </c>
      <c r="B16" s="59"/>
      <c r="C16" s="59"/>
      <c r="D16" s="59"/>
      <c r="E16" s="59"/>
      <c r="F16" s="59"/>
      <c r="G16" s="59"/>
      <c r="H16" s="59"/>
      <c r="I16" s="59"/>
      <c r="J16" s="275" t="s">
        <v>2738</v>
      </c>
      <c r="K16" s="399" t="s">
        <v>117</v>
      </c>
      <c r="L16" s="204" t="s">
        <v>740</v>
      </c>
      <c r="M16" s="204"/>
      <c r="N16" s="126" t="s">
        <v>504</v>
      </c>
      <c r="O16" s="126"/>
      <c r="P16" s="126"/>
      <c r="Q16" s="40" t="s">
        <v>6</v>
      </c>
      <c r="R16" s="40" t="s">
        <v>6</v>
      </c>
      <c r="S16" s="40" t="s">
        <v>6</v>
      </c>
      <c r="T16" s="40"/>
      <c r="U16" s="206"/>
      <c r="V16" s="206"/>
      <c r="W16" s="399"/>
      <c r="X16" s="59"/>
      <c r="Y16" s="59"/>
      <c r="Z16" s="59"/>
      <c r="AA16" s="40"/>
      <c r="AB16" s="15"/>
      <c r="AC16" s="59"/>
      <c r="AD16" s="59"/>
      <c r="AE16" s="399"/>
      <c r="AF16" s="59"/>
      <c r="AG16" s="59"/>
      <c r="AH16" s="59"/>
      <c r="AI16" s="40"/>
      <c r="AJ16" s="15"/>
      <c r="AK16" s="59"/>
      <c r="AL16" s="59"/>
      <c r="AM16" s="59"/>
      <c r="AN16" s="59"/>
      <c r="AO16" s="59"/>
      <c r="AP16" s="59"/>
      <c r="AQ16" s="59"/>
      <c r="AR16" s="59"/>
      <c r="AS16" s="59"/>
      <c r="AT16" s="59"/>
      <c r="AU16" s="59"/>
      <c r="AV16" s="59"/>
      <c r="AW16" s="18"/>
    </row>
    <row r="17" spans="1:49" s="387" customFormat="1" ht="15">
      <c r="A17" s="562">
        <f t="shared" si="0"/>
        <v>11</v>
      </c>
      <c r="B17" s="379"/>
      <c r="C17" s="379"/>
      <c r="D17" s="379"/>
      <c r="E17" s="379"/>
      <c r="F17" s="379"/>
      <c r="G17" s="379"/>
      <c r="H17" s="379"/>
      <c r="I17" s="379"/>
      <c r="J17" s="600" t="s">
        <v>2739</v>
      </c>
      <c r="K17" s="380" t="s">
        <v>117</v>
      </c>
      <c r="L17" s="381" t="s">
        <v>740</v>
      </c>
      <c r="M17" s="381"/>
      <c r="N17" s="382" t="s">
        <v>504</v>
      </c>
      <c r="O17" s="382"/>
      <c r="P17" s="382"/>
      <c r="Q17" s="383" t="s">
        <v>6</v>
      </c>
      <c r="R17" s="383" t="s">
        <v>6</v>
      </c>
      <c r="S17" s="383" t="s">
        <v>6</v>
      </c>
      <c r="T17" s="383"/>
      <c r="U17" s="384"/>
      <c r="V17" s="384"/>
      <c r="W17" s="380"/>
      <c r="X17" s="379"/>
      <c r="Y17" s="379"/>
      <c r="Z17" s="379"/>
      <c r="AA17" s="383"/>
      <c r="AB17" s="385"/>
      <c r="AC17" s="379"/>
      <c r="AD17" s="379"/>
      <c r="AE17" s="380"/>
      <c r="AF17" s="379"/>
      <c r="AG17" s="379"/>
      <c r="AH17" s="379"/>
      <c r="AI17" s="383"/>
      <c r="AJ17" s="385"/>
      <c r="AK17" s="379"/>
      <c r="AL17" s="379"/>
      <c r="AM17" s="379"/>
      <c r="AN17" s="379"/>
      <c r="AO17" s="379"/>
      <c r="AP17" s="379"/>
      <c r="AQ17" s="379"/>
      <c r="AR17" s="379"/>
      <c r="AS17" s="379"/>
      <c r="AT17" s="379"/>
      <c r="AU17" s="379"/>
      <c r="AV17" s="379"/>
      <c r="AW17" s="386"/>
    </row>
    <row r="18" spans="1:49" s="20" customFormat="1" ht="15">
      <c r="A18" s="13">
        <f t="shared" si="0"/>
        <v>12</v>
      </c>
      <c r="B18" s="59"/>
      <c r="C18" s="59"/>
      <c r="D18" s="59"/>
      <c r="E18" s="59"/>
      <c r="F18" s="59"/>
      <c r="G18" s="59"/>
      <c r="H18" s="59"/>
      <c r="I18" s="59"/>
      <c r="J18" s="275" t="s">
        <v>2740</v>
      </c>
      <c r="K18" s="399" t="s">
        <v>117</v>
      </c>
      <c r="L18" s="204" t="s">
        <v>737</v>
      </c>
      <c r="M18" s="204"/>
      <c r="N18" s="126" t="s">
        <v>504</v>
      </c>
      <c r="O18" s="126"/>
      <c r="P18" s="126"/>
      <c r="Q18" s="40" t="s">
        <v>6</v>
      </c>
      <c r="R18" s="40" t="s">
        <v>6</v>
      </c>
      <c r="S18" s="40" t="s">
        <v>6</v>
      </c>
      <c r="T18" s="40"/>
      <c r="U18" s="206"/>
      <c r="V18" s="206"/>
      <c r="W18" s="399"/>
      <c r="X18" s="59"/>
      <c r="Y18" s="59"/>
      <c r="Z18" s="59"/>
      <c r="AA18" s="40"/>
      <c r="AB18" s="15"/>
      <c r="AC18" s="59"/>
      <c r="AD18" s="59"/>
      <c r="AE18" s="399"/>
      <c r="AF18" s="59"/>
      <c r="AG18" s="59"/>
      <c r="AH18" s="59"/>
      <c r="AI18" s="40"/>
      <c r="AJ18" s="15"/>
      <c r="AK18" s="59"/>
      <c r="AL18" s="59"/>
      <c r="AM18" s="59"/>
      <c r="AN18" s="59"/>
      <c r="AO18" s="59"/>
      <c r="AP18" s="59"/>
      <c r="AQ18" s="59"/>
      <c r="AR18" s="59"/>
      <c r="AS18" s="59"/>
      <c r="AT18" s="59"/>
      <c r="AU18" s="59"/>
      <c r="AV18" s="59"/>
      <c r="AW18" s="18"/>
    </row>
    <row r="19" spans="1:49" s="20" customFormat="1" ht="15">
      <c r="A19" s="13">
        <f t="shared" si="0"/>
        <v>13</v>
      </c>
      <c r="B19" s="59"/>
      <c r="C19" s="59"/>
      <c r="D19" s="59"/>
      <c r="E19" s="59"/>
      <c r="F19" s="59"/>
      <c r="G19" s="59"/>
      <c r="H19" s="59"/>
      <c r="I19" s="59"/>
      <c r="J19" s="275" t="s">
        <v>2741</v>
      </c>
      <c r="K19" s="399" t="s">
        <v>117</v>
      </c>
      <c r="L19" s="204" t="s">
        <v>2742</v>
      </c>
      <c r="M19" s="204"/>
      <c r="N19" s="126" t="s">
        <v>504</v>
      </c>
      <c r="O19" s="126"/>
      <c r="P19" s="126"/>
      <c r="Q19" s="40" t="s">
        <v>6</v>
      </c>
      <c r="R19" s="40" t="s">
        <v>6</v>
      </c>
      <c r="S19" s="40" t="s">
        <v>6</v>
      </c>
      <c r="T19" s="40"/>
      <c r="U19" s="206"/>
      <c r="V19" s="206"/>
      <c r="W19" s="399"/>
      <c r="X19" s="59"/>
      <c r="Y19" s="59"/>
      <c r="Z19" s="59"/>
      <c r="AA19" s="40"/>
      <c r="AB19" s="15"/>
      <c r="AC19" s="59"/>
      <c r="AD19" s="59"/>
      <c r="AE19" s="399"/>
      <c r="AF19" s="59"/>
      <c r="AG19" s="59"/>
      <c r="AH19" s="59"/>
      <c r="AI19" s="40"/>
      <c r="AJ19" s="15"/>
      <c r="AK19" s="59"/>
      <c r="AL19" s="59"/>
      <c r="AM19" s="59"/>
      <c r="AN19" s="59"/>
      <c r="AO19" s="59"/>
      <c r="AP19" s="59"/>
      <c r="AQ19" s="59"/>
      <c r="AR19" s="59"/>
      <c r="AS19" s="59"/>
      <c r="AT19" s="59"/>
      <c r="AU19" s="59"/>
      <c r="AV19" s="59"/>
      <c r="AW19" s="18"/>
    </row>
    <row r="20" spans="1:49" s="20" customFormat="1" ht="15">
      <c r="A20" s="13">
        <f t="shared" si="0"/>
        <v>14</v>
      </c>
      <c r="B20" s="59"/>
      <c r="C20" s="59"/>
      <c r="D20" s="59"/>
      <c r="E20" s="59"/>
      <c r="F20" s="59"/>
      <c r="G20" s="59"/>
      <c r="H20" s="59"/>
      <c r="I20" s="59"/>
      <c r="J20" s="275" t="s">
        <v>2743</v>
      </c>
      <c r="K20" s="399" t="s">
        <v>117</v>
      </c>
      <c r="L20" s="204" t="s">
        <v>2744</v>
      </c>
      <c r="M20" s="204"/>
      <c r="N20" s="126" t="s">
        <v>504</v>
      </c>
      <c r="O20" s="126"/>
      <c r="P20" s="126"/>
      <c r="Q20" s="40" t="s">
        <v>6</v>
      </c>
      <c r="R20" s="40" t="s">
        <v>6</v>
      </c>
      <c r="S20" s="40" t="s">
        <v>6</v>
      </c>
      <c r="T20" s="40"/>
      <c r="U20" s="206"/>
      <c r="V20" s="206"/>
      <c r="W20" s="399"/>
      <c r="X20" s="59"/>
      <c r="Y20" s="59"/>
      <c r="Z20" s="59"/>
      <c r="AA20" s="40"/>
      <c r="AB20" s="15"/>
      <c r="AC20" s="59"/>
      <c r="AD20" s="59"/>
      <c r="AE20" s="399"/>
      <c r="AF20" s="59"/>
      <c r="AG20" s="59"/>
      <c r="AH20" s="59"/>
      <c r="AI20" s="40"/>
      <c r="AJ20" s="15"/>
      <c r="AK20" s="59"/>
      <c r="AL20" s="59"/>
      <c r="AM20" s="59"/>
      <c r="AN20" s="59"/>
      <c r="AO20" s="59"/>
      <c r="AP20" s="59"/>
      <c r="AQ20" s="59"/>
      <c r="AR20" s="59"/>
      <c r="AS20" s="59"/>
      <c r="AT20" s="59"/>
      <c r="AU20" s="59"/>
      <c r="AV20" s="59"/>
      <c r="AW20" s="18"/>
    </row>
    <row r="21" spans="1:49" s="20" customFormat="1" ht="15">
      <c r="A21" s="13">
        <f t="shared" si="0"/>
        <v>15</v>
      </c>
      <c r="B21" s="59"/>
      <c r="C21" s="59"/>
      <c r="D21" s="59"/>
      <c r="E21" s="59"/>
      <c r="F21" s="59"/>
      <c r="G21" s="59"/>
      <c r="H21" s="59"/>
      <c r="I21" s="59"/>
      <c r="J21" s="275" t="s">
        <v>2745</v>
      </c>
      <c r="K21" s="399" t="s">
        <v>117</v>
      </c>
      <c r="L21" s="204" t="s">
        <v>765</v>
      </c>
      <c r="M21" s="204"/>
      <c r="N21" s="126" t="s">
        <v>504</v>
      </c>
      <c r="O21" s="126"/>
      <c r="P21" s="126"/>
      <c r="Q21" s="40" t="s">
        <v>6</v>
      </c>
      <c r="R21" s="40" t="s">
        <v>6</v>
      </c>
      <c r="S21" s="40" t="s">
        <v>6</v>
      </c>
      <c r="T21" s="40"/>
      <c r="U21" s="206"/>
      <c r="V21" s="206"/>
      <c r="W21" s="399"/>
      <c r="X21" s="59"/>
      <c r="Y21" s="59"/>
      <c r="Z21" s="59"/>
      <c r="AA21" s="40"/>
      <c r="AB21" s="15"/>
      <c r="AC21" s="59"/>
      <c r="AD21" s="59"/>
      <c r="AE21" s="399"/>
      <c r="AF21" s="59"/>
      <c r="AG21" s="59"/>
      <c r="AH21" s="59"/>
      <c r="AI21" s="40"/>
      <c r="AJ21" s="15"/>
      <c r="AK21" s="59"/>
      <c r="AL21" s="59"/>
      <c r="AM21" s="59"/>
      <c r="AN21" s="59"/>
      <c r="AO21" s="59"/>
      <c r="AP21" s="59"/>
      <c r="AQ21" s="59"/>
      <c r="AR21" s="59"/>
      <c r="AS21" s="59"/>
      <c r="AT21" s="59"/>
      <c r="AU21" s="59"/>
      <c r="AV21" s="59"/>
      <c r="AW21" s="18"/>
    </row>
    <row r="22" spans="1:49" s="20" customFormat="1" ht="15">
      <c r="A22" s="13">
        <f t="shared" si="0"/>
        <v>16</v>
      </c>
      <c r="B22" s="59"/>
      <c r="C22" s="59"/>
      <c r="D22" s="59"/>
      <c r="E22" s="59"/>
      <c r="F22" s="59"/>
      <c r="G22" s="59"/>
      <c r="H22" s="59"/>
      <c r="I22" s="59"/>
      <c r="J22" s="275" t="s">
        <v>2746</v>
      </c>
      <c r="K22" s="399" t="s">
        <v>117</v>
      </c>
      <c r="L22" s="204" t="s">
        <v>767</v>
      </c>
      <c r="M22" s="204"/>
      <c r="N22" s="126" t="s">
        <v>504</v>
      </c>
      <c r="O22" s="126"/>
      <c r="P22" s="126"/>
      <c r="Q22" s="40" t="s">
        <v>6</v>
      </c>
      <c r="R22" s="40" t="s">
        <v>6</v>
      </c>
      <c r="S22" s="40" t="s">
        <v>6</v>
      </c>
      <c r="T22" s="40"/>
      <c r="U22" s="206"/>
      <c r="V22" s="206"/>
      <c r="W22" s="399"/>
      <c r="X22" s="59"/>
      <c r="Y22" s="59"/>
      <c r="Z22" s="59"/>
      <c r="AA22" s="40"/>
      <c r="AB22" s="15"/>
      <c r="AC22" s="59"/>
      <c r="AD22" s="59"/>
      <c r="AE22" s="399"/>
      <c r="AF22" s="59"/>
      <c r="AG22" s="59"/>
      <c r="AH22" s="59"/>
      <c r="AI22" s="40"/>
      <c r="AJ22" s="15"/>
      <c r="AK22" s="59"/>
      <c r="AL22" s="59"/>
      <c r="AM22" s="59"/>
      <c r="AN22" s="59"/>
      <c r="AO22" s="59"/>
      <c r="AP22" s="59"/>
      <c r="AQ22" s="59"/>
      <c r="AR22" s="59"/>
      <c r="AS22" s="59"/>
      <c r="AT22" s="59"/>
      <c r="AU22" s="59"/>
      <c r="AV22" s="59"/>
      <c r="AW22" s="18"/>
    </row>
    <row r="23" spans="1:49" s="20" customFormat="1" ht="15">
      <c r="A23" s="13">
        <f t="shared" si="0"/>
        <v>17</v>
      </c>
      <c r="B23" s="59"/>
      <c r="C23" s="59"/>
      <c r="D23" s="59"/>
      <c r="E23" s="59"/>
      <c r="F23" s="59"/>
      <c r="G23" s="59"/>
      <c r="H23" s="59"/>
      <c r="I23" s="59"/>
      <c r="J23" s="275" t="s">
        <v>2747</v>
      </c>
      <c r="K23" s="399" t="s">
        <v>117</v>
      </c>
      <c r="L23" s="204" t="s">
        <v>729</v>
      </c>
      <c r="M23" s="204"/>
      <c r="N23" s="126" t="s">
        <v>504</v>
      </c>
      <c r="O23" s="126"/>
      <c r="P23" s="126"/>
      <c r="Q23" s="40" t="s">
        <v>6</v>
      </c>
      <c r="R23" s="40" t="s">
        <v>6</v>
      </c>
      <c r="S23" s="40" t="s">
        <v>6</v>
      </c>
      <c r="T23" s="40"/>
      <c r="U23" s="206"/>
      <c r="V23" s="206"/>
      <c r="W23" s="399"/>
      <c r="X23" s="59"/>
      <c r="Y23" s="59"/>
      <c r="Z23" s="59"/>
      <c r="AA23" s="40"/>
      <c r="AB23" s="15"/>
      <c r="AC23" s="59"/>
      <c r="AD23" s="59"/>
      <c r="AE23" s="399"/>
      <c r="AF23" s="59"/>
      <c r="AG23" s="59"/>
      <c r="AH23" s="59"/>
      <c r="AI23" s="40"/>
      <c r="AJ23" s="15"/>
      <c r="AK23" s="59"/>
      <c r="AL23" s="59"/>
      <c r="AM23" s="59"/>
      <c r="AN23" s="59"/>
      <c r="AO23" s="59"/>
      <c r="AP23" s="59"/>
      <c r="AQ23" s="59"/>
      <c r="AR23" s="59"/>
      <c r="AS23" s="59"/>
      <c r="AT23" s="59"/>
      <c r="AU23" s="59"/>
      <c r="AV23" s="59"/>
      <c r="AW23" s="18"/>
    </row>
    <row r="24" spans="1:49" s="20" customFormat="1" ht="15">
      <c r="A24" s="13">
        <f t="shared" si="0"/>
        <v>18</v>
      </c>
      <c r="B24" s="59"/>
      <c r="C24" s="59"/>
      <c r="D24" s="59"/>
      <c r="E24" s="59"/>
      <c r="F24" s="59"/>
      <c r="G24" s="59"/>
      <c r="H24" s="59"/>
      <c r="I24" s="59"/>
      <c r="J24" s="275" t="s">
        <v>2748</v>
      </c>
      <c r="K24" s="399" t="s">
        <v>117</v>
      </c>
      <c r="L24" s="204" t="s">
        <v>763</v>
      </c>
      <c r="M24" s="204"/>
      <c r="N24" s="126" t="s">
        <v>504</v>
      </c>
      <c r="O24" s="126"/>
      <c r="P24" s="126"/>
      <c r="Q24" s="40" t="s">
        <v>6</v>
      </c>
      <c r="R24" s="40" t="s">
        <v>6</v>
      </c>
      <c r="S24" s="40" t="s">
        <v>6</v>
      </c>
      <c r="T24" s="40"/>
      <c r="U24" s="206"/>
      <c r="V24" s="206"/>
      <c r="W24" s="399"/>
      <c r="X24" s="59"/>
      <c r="Y24" s="59"/>
      <c r="Z24" s="59"/>
      <c r="AA24" s="40"/>
      <c r="AB24" s="15"/>
      <c r="AC24" s="59"/>
      <c r="AD24" s="59"/>
      <c r="AE24" s="399"/>
      <c r="AF24" s="59"/>
      <c r="AG24" s="59"/>
      <c r="AH24" s="59"/>
      <c r="AI24" s="40"/>
      <c r="AJ24" s="15"/>
      <c r="AK24" s="59"/>
      <c r="AL24" s="59"/>
      <c r="AM24" s="59"/>
      <c r="AN24" s="59"/>
      <c r="AO24" s="59"/>
      <c r="AP24" s="59"/>
      <c r="AQ24" s="59"/>
      <c r="AR24" s="59"/>
      <c r="AS24" s="59"/>
      <c r="AT24" s="59"/>
      <c r="AU24" s="59"/>
      <c r="AV24" s="59"/>
      <c r="AW24" s="18"/>
    </row>
    <row r="25" spans="1:49" s="20" customFormat="1" ht="15">
      <c r="A25" s="13">
        <f t="shared" si="0"/>
        <v>19</v>
      </c>
      <c r="B25" s="59"/>
      <c r="C25" s="59"/>
      <c r="D25" s="59"/>
      <c r="E25" s="59"/>
      <c r="F25" s="59"/>
      <c r="G25" s="59"/>
      <c r="H25" s="59"/>
      <c r="I25" s="59"/>
      <c r="J25" s="275" t="s">
        <v>2749</v>
      </c>
      <c r="K25" s="399" t="s">
        <v>117</v>
      </c>
      <c r="L25" s="204" t="s">
        <v>719</v>
      </c>
      <c r="M25" s="204"/>
      <c r="N25" s="126" t="s">
        <v>504</v>
      </c>
      <c r="O25" s="126"/>
      <c r="P25" s="126"/>
      <c r="Q25" s="40" t="s">
        <v>6</v>
      </c>
      <c r="R25" s="40" t="s">
        <v>6</v>
      </c>
      <c r="S25" s="40" t="s">
        <v>6</v>
      </c>
      <c r="T25" s="40"/>
      <c r="U25" s="206"/>
      <c r="V25" s="206"/>
      <c r="W25" s="399"/>
      <c r="X25" s="59"/>
      <c r="Y25" s="59"/>
      <c r="Z25" s="59"/>
      <c r="AA25" s="40"/>
      <c r="AB25" s="15"/>
      <c r="AC25" s="59"/>
      <c r="AD25" s="59"/>
      <c r="AE25" s="399"/>
      <c r="AF25" s="59"/>
      <c r="AG25" s="59"/>
      <c r="AH25" s="59"/>
      <c r="AI25" s="40"/>
      <c r="AJ25" s="15"/>
      <c r="AK25" s="59"/>
      <c r="AL25" s="59"/>
      <c r="AM25" s="59"/>
      <c r="AN25" s="59"/>
      <c r="AO25" s="59"/>
      <c r="AP25" s="59"/>
      <c r="AQ25" s="59"/>
      <c r="AR25" s="59"/>
      <c r="AS25" s="59"/>
      <c r="AT25" s="59"/>
      <c r="AU25" s="59"/>
      <c r="AV25" s="59"/>
      <c r="AW25" s="18"/>
    </row>
    <row r="26" spans="1:49" s="20" customFormat="1" ht="15">
      <c r="A26" s="13">
        <f t="shared" si="0"/>
        <v>20</v>
      </c>
      <c r="B26" s="59"/>
      <c r="C26" s="59"/>
      <c r="D26" s="59"/>
      <c r="E26" s="59"/>
      <c r="F26" s="59"/>
      <c r="G26" s="59"/>
      <c r="H26" s="59"/>
      <c r="I26" s="59"/>
      <c r="J26" s="275" t="s">
        <v>2750</v>
      </c>
      <c r="K26" s="399" t="s">
        <v>132</v>
      </c>
      <c r="L26" s="204" t="s">
        <v>2751</v>
      </c>
      <c r="M26" s="204"/>
      <c r="N26" s="126" t="s">
        <v>504</v>
      </c>
      <c r="O26" s="126"/>
      <c r="P26" s="126"/>
      <c r="Q26" s="40" t="s">
        <v>6</v>
      </c>
      <c r="R26" s="40" t="s">
        <v>6</v>
      </c>
      <c r="S26" s="40" t="s">
        <v>6</v>
      </c>
      <c r="T26" s="40"/>
      <c r="U26" s="206"/>
      <c r="V26" s="206"/>
      <c r="W26" s="399"/>
      <c r="X26" s="59"/>
      <c r="Y26" s="59"/>
      <c r="Z26" s="59"/>
      <c r="AA26" s="40"/>
      <c r="AB26" s="15"/>
      <c r="AC26" s="59"/>
      <c r="AD26" s="59"/>
      <c r="AE26" s="399"/>
      <c r="AF26" s="59"/>
      <c r="AG26" s="59"/>
      <c r="AH26" s="59"/>
      <c r="AI26" s="40"/>
      <c r="AJ26" s="15"/>
      <c r="AK26" s="59"/>
      <c r="AL26" s="59"/>
      <c r="AM26" s="59"/>
      <c r="AN26" s="59"/>
      <c r="AO26" s="59"/>
      <c r="AP26" s="59"/>
      <c r="AQ26" s="59"/>
      <c r="AR26" s="59"/>
      <c r="AS26" s="59"/>
      <c r="AT26" s="59"/>
      <c r="AU26" s="59"/>
      <c r="AV26" s="59"/>
      <c r="AW26" s="18"/>
    </row>
    <row r="27" spans="1:49" s="20" customFormat="1" ht="15">
      <c r="A27" s="13">
        <f t="shared" si="0"/>
        <v>21</v>
      </c>
      <c r="B27" s="59"/>
      <c r="C27" s="59"/>
      <c r="D27" s="59"/>
      <c r="E27" s="59"/>
      <c r="F27" s="59"/>
      <c r="G27" s="59"/>
      <c r="H27" s="59"/>
      <c r="I27" s="59"/>
      <c r="J27" s="275" t="s">
        <v>2752</v>
      </c>
      <c r="K27" s="399" t="s">
        <v>132</v>
      </c>
      <c r="L27" s="204" t="s">
        <v>2753</v>
      </c>
      <c r="M27" s="204"/>
      <c r="N27" s="126" t="s">
        <v>504</v>
      </c>
      <c r="O27" s="126"/>
      <c r="P27" s="126"/>
      <c r="Q27" s="40" t="s">
        <v>6</v>
      </c>
      <c r="R27" s="40" t="s">
        <v>6</v>
      </c>
      <c r="S27" s="40" t="s">
        <v>6</v>
      </c>
      <c r="T27" s="40"/>
      <c r="U27" s="206"/>
      <c r="V27" s="206"/>
      <c r="W27" s="399"/>
      <c r="X27" s="59"/>
      <c r="Y27" s="59"/>
      <c r="Z27" s="59"/>
      <c r="AA27" s="40"/>
      <c r="AB27" s="15"/>
      <c r="AC27" s="59"/>
      <c r="AD27" s="59"/>
      <c r="AE27" s="399"/>
      <c r="AF27" s="59"/>
      <c r="AG27" s="59"/>
      <c r="AH27" s="59"/>
      <c r="AI27" s="40"/>
      <c r="AJ27" s="15"/>
      <c r="AK27" s="59"/>
      <c r="AL27" s="59"/>
      <c r="AM27" s="59"/>
      <c r="AN27" s="59"/>
      <c r="AO27" s="59"/>
      <c r="AP27" s="59"/>
      <c r="AQ27" s="59"/>
      <c r="AR27" s="59"/>
      <c r="AS27" s="59"/>
      <c r="AT27" s="59"/>
      <c r="AU27" s="59"/>
      <c r="AV27" s="59"/>
      <c r="AW27" s="18"/>
    </row>
    <row r="28" spans="1:49" s="20" customFormat="1" ht="15">
      <c r="A28" s="13">
        <f t="shared" si="0"/>
        <v>22</v>
      </c>
      <c r="B28" s="59"/>
      <c r="C28" s="59"/>
      <c r="D28" s="59"/>
      <c r="E28" s="59"/>
      <c r="F28" s="59"/>
      <c r="G28" s="59"/>
      <c r="H28" s="59"/>
      <c r="I28" s="59"/>
      <c r="J28" s="275" t="s">
        <v>2754</v>
      </c>
      <c r="K28" s="399" t="s">
        <v>132</v>
      </c>
      <c r="L28" s="204" t="s">
        <v>2755</v>
      </c>
      <c r="M28" s="204"/>
      <c r="N28" s="126" t="s">
        <v>504</v>
      </c>
      <c r="O28" s="126"/>
      <c r="P28" s="126"/>
      <c r="Q28" s="40" t="s">
        <v>6</v>
      </c>
      <c r="R28" s="40" t="s">
        <v>6</v>
      </c>
      <c r="S28" s="40" t="s">
        <v>6</v>
      </c>
      <c r="T28" s="40"/>
      <c r="U28" s="206"/>
      <c r="V28" s="206"/>
      <c r="W28" s="399"/>
      <c r="X28" s="59"/>
      <c r="Y28" s="59"/>
      <c r="Z28" s="59"/>
      <c r="AA28" s="40"/>
      <c r="AB28" s="15"/>
      <c r="AC28" s="59"/>
      <c r="AD28" s="59"/>
      <c r="AE28" s="399"/>
      <c r="AF28" s="59"/>
      <c r="AG28" s="59"/>
      <c r="AH28" s="59"/>
      <c r="AI28" s="40"/>
      <c r="AJ28" s="15"/>
      <c r="AK28" s="59"/>
      <c r="AL28" s="59"/>
      <c r="AM28" s="59"/>
      <c r="AN28" s="59"/>
      <c r="AO28" s="59"/>
      <c r="AP28" s="59"/>
      <c r="AQ28" s="59"/>
      <c r="AR28" s="59"/>
      <c r="AS28" s="59"/>
      <c r="AT28" s="59"/>
      <c r="AU28" s="59"/>
      <c r="AV28" s="59"/>
      <c r="AW28" s="18"/>
    </row>
    <row r="29" spans="1:49" s="20" customFormat="1" ht="15">
      <c r="A29" s="13">
        <f t="shared" si="0"/>
        <v>23</v>
      </c>
      <c r="B29" s="59"/>
      <c r="C29" s="59"/>
      <c r="D29" s="59"/>
      <c r="E29" s="59"/>
      <c r="F29" s="59"/>
      <c r="G29" s="59"/>
      <c r="H29" s="59"/>
      <c r="I29" s="59"/>
      <c r="J29" s="275" t="s">
        <v>2756</v>
      </c>
      <c r="K29" s="399" t="s">
        <v>117</v>
      </c>
      <c r="L29" s="204" t="s">
        <v>2757</v>
      </c>
      <c r="M29" s="204"/>
      <c r="N29" s="126" t="s">
        <v>504</v>
      </c>
      <c r="O29" s="126"/>
      <c r="P29" s="126"/>
      <c r="Q29" s="40" t="s">
        <v>6</v>
      </c>
      <c r="R29" s="40" t="s">
        <v>6</v>
      </c>
      <c r="S29" s="40" t="s">
        <v>6</v>
      </c>
      <c r="T29" s="40"/>
      <c r="U29" s="206"/>
      <c r="V29" s="206"/>
      <c r="W29" s="399"/>
      <c r="X29" s="59"/>
      <c r="Y29" s="59"/>
      <c r="Z29" s="59"/>
      <c r="AA29" s="40"/>
      <c r="AB29" s="15"/>
      <c r="AC29" s="59"/>
      <c r="AD29" s="59"/>
      <c r="AE29" s="399"/>
      <c r="AF29" s="59"/>
      <c r="AG29" s="59"/>
      <c r="AH29" s="59"/>
      <c r="AI29" s="40"/>
      <c r="AJ29" s="15"/>
      <c r="AK29" s="59"/>
      <c r="AL29" s="59"/>
      <c r="AM29" s="59"/>
      <c r="AN29" s="59"/>
      <c r="AO29" s="59"/>
      <c r="AP29" s="59"/>
      <c r="AQ29" s="59"/>
      <c r="AR29" s="59"/>
      <c r="AS29" s="59"/>
      <c r="AT29" s="59"/>
      <c r="AU29" s="59"/>
      <c r="AV29" s="59"/>
      <c r="AW29" s="18"/>
    </row>
    <row r="30" spans="1:49" s="20" customFormat="1" ht="15">
      <c r="A30" s="13">
        <f t="shared" si="0"/>
        <v>24</v>
      </c>
      <c r="B30" s="59"/>
      <c r="C30" s="59"/>
      <c r="D30" s="59"/>
      <c r="E30" s="59"/>
      <c r="F30" s="59"/>
      <c r="G30" s="59"/>
      <c r="H30" s="59"/>
      <c r="I30" s="59"/>
      <c r="J30" s="275" t="s">
        <v>2758</v>
      </c>
      <c r="K30" s="399" t="s">
        <v>132</v>
      </c>
      <c r="L30" s="204" t="s">
        <v>2759</v>
      </c>
      <c r="M30" s="204"/>
      <c r="N30" s="126" t="s">
        <v>504</v>
      </c>
      <c r="O30" s="126"/>
      <c r="P30" s="126"/>
      <c r="Q30" s="40" t="s">
        <v>6</v>
      </c>
      <c r="R30" s="40" t="s">
        <v>6</v>
      </c>
      <c r="S30" s="40"/>
      <c r="T30" s="40"/>
      <c r="U30" s="206"/>
      <c r="V30" s="206"/>
      <c r="W30" s="399"/>
      <c r="X30" s="59"/>
      <c r="Y30" s="59"/>
      <c r="Z30" s="59"/>
      <c r="AA30" s="40"/>
      <c r="AB30" s="15"/>
      <c r="AC30" s="59"/>
      <c r="AD30" s="59"/>
      <c r="AE30" s="399"/>
      <c r="AF30" s="59"/>
      <c r="AG30" s="59"/>
      <c r="AH30" s="59"/>
      <c r="AI30" s="40"/>
      <c r="AJ30" s="15"/>
      <c r="AK30" s="59"/>
      <c r="AL30" s="59"/>
      <c r="AM30" s="59"/>
      <c r="AN30" s="59"/>
      <c r="AO30" s="59"/>
      <c r="AP30" s="59"/>
      <c r="AQ30" s="59"/>
      <c r="AR30" s="59"/>
      <c r="AS30" s="59"/>
      <c r="AT30" s="59"/>
      <c r="AU30" s="59"/>
      <c r="AV30" s="59"/>
      <c r="AW30" s="18"/>
    </row>
    <row r="31" spans="1:49" s="387" customFormat="1" ht="15">
      <c r="A31" s="562">
        <f t="shared" si="0"/>
        <v>25</v>
      </c>
      <c r="B31" s="379"/>
      <c r="C31" s="379"/>
      <c r="D31" s="379"/>
      <c r="E31" s="379"/>
      <c r="F31" s="379"/>
      <c r="G31" s="379"/>
      <c r="H31" s="379"/>
      <c r="I31" s="379"/>
      <c r="J31" s="600" t="s">
        <v>2760</v>
      </c>
      <c r="K31" s="380" t="s">
        <v>132</v>
      </c>
      <c r="L31" s="381" t="s">
        <v>2759</v>
      </c>
      <c r="M31" s="381"/>
      <c r="N31" s="382" t="s">
        <v>504</v>
      </c>
      <c r="O31" s="382"/>
      <c r="P31" s="382"/>
      <c r="Q31" s="383" t="s">
        <v>6</v>
      </c>
      <c r="R31" s="383" t="s">
        <v>6</v>
      </c>
      <c r="S31" s="383"/>
      <c r="T31" s="383"/>
      <c r="U31" s="384"/>
      <c r="V31" s="384"/>
      <c r="W31" s="380"/>
      <c r="X31" s="379"/>
      <c r="Y31" s="379"/>
      <c r="Z31" s="379"/>
      <c r="AA31" s="383"/>
      <c r="AB31" s="385"/>
      <c r="AC31" s="379"/>
      <c r="AD31" s="379"/>
      <c r="AE31" s="380"/>
      <c r="AF31" s="379"/>
      <c r="AG31" s="379"/>
      <c r="AH31" s="379"/>
      <c r="AI31" s="383"/>
      <c r="AJ31" s="385"/>
      <c r="AK31" s="379"/>
      <c r="AL31" s="379"/>
      <c r="AM31" s="379"/>
      <c r="AN31" s="379"/>
      <c r="AO31" s="379"/>
      <c r="AP31" s="379"/>
      <c r="AQ31" s="379"/>
      <c r="AR31" s="379"/>
      <c r="AS31" s="379"/>
      <c r="AT31" s="379"/>
      <c r="AU31" s="379"/>
      <c r="AV31" s="379"/>
      <c r="AW31" s="386"/>
    </row>
    <row r="32" spans="1:49" s="20" customFormat="1" ht="15">
      <c r="A32" s="13">
        <f t="shared" si="0"/>
        <v>26</v>
      </c>
      <c r="B32" s="59"/>
      <c r="C32" s="59"/>
      <c r="D32" s="59"/>
      <c r="E32" s="59"/>
      <c r="F32" s="59"/>
      <c r="G32" s="59"/>
      <c r="H32" s="59"/>
      <c r="I32" s="59"/>
      <c r="J32" s="275" t="s">
        <v>2761</v>
      </c>
      <c r="K32" s="399" t="s">
        <v>132</v>
      </c>
      <c r="L32" s="204" t="s">
        <v>2757</v>
      </c>
      <c r="M32" s="204"/>
      <c r="N32" s="126" t="s">
        <v>504</v>
      </c>
      <c r="O32" s="126"/>
      <c r="P32" s="126"/>
      <c r="Q32" s="40" t="s">
        <v>6</v>
      </c>
      <c r="R32" s="40" t="s">
        <v>6</v>
      </c>
      <c r="S32" s="40"/>
      <c r="T32" s="40"/>
      <c r="U32" s="206"/>
      <c r="V32" s="206"/>
      <c r="W32" s="399"/>
      <c r="X32" s="59"/>
      <c r="Y32" s="59"/>
      <c r="Z32" s="59"/>
      <c r="AA32" s="40"/>
      <c r="AB32" s="15"/>
      <c r="AC32" s="59"/>
      <c r="AD32" s="59"/>
      <c r="AE32" s="399"/>
      <c r="AF32" s="59"/>
      <c r="AG32" s="59"/>
      <c r="AH32" s="59"/>
      <c r="AI32" s="40"/>
      <c r="AJ32" s="15"/>
      <c r="AK32" s="59"/>
      <c r="AL32" s="59"/>
      <c r="AM32" s="59"/>
      <c r="AN32" s="59"/>
      <c r="AO32" s="59"/>
      <c r="AP32" s="59"/>
      <c r="AQ32" s="59"/>
      <c r="AR32" s="59"/>
      <c r="AS32" s="59"/>
      <c r="AT32" s="59"/>
      <c r="AU32" s="59"/>
      <c r="AV32" s="59"/>
      <c r="AW32" s="18"/>
    </row>
    <row r="33" spans="1:49" s="387" customFormat="1" ht="15">
      <c r="A33" s="562">
        <f t="shared" si="0"/>
        <v>27</v>
      </c>
      <c r="B33" s="379"/>
      <c r="C33" s="379"/>
      <c r="D33" s="379"/>
      <c r="E33" s="379"/>
      <c r="F33" s="379"/>
      <c r="G33" s="379"/>
      <c r="H33" s="379"/>
      <c r="I33" s="379"/>
      <c r="J33" s="600" t="s">
        <v>2762</v>
      </c>
      <c r="K33" s="380" t="s">
        <v>132</v>
      </c>
      <c r="L33" s="381" t="s">
        <v>2757</v>
      </c>
      <c r="M33" s="381"/>
      <c r="N33" s="382" t="s">
        <v>504</v>
      </c>
      <c r="O33" s="382"/>
      <c r="P33" s="382"/>
      <c r="Q33" s="383" t="s">
        <v>6</v>
      </c>
      <c r="R33" s="383" t="s">
        <v>6</v>
      </c>
      <c r="S33" s="383"/>
      <c r="T33" s="383"/>
      <c r="U33" s="384"/>
      <c r="V33" s="384"/>
      <c r="W33" s="380"/>
      <c r="X33" s="379"/>
      <c r="Y33" s="379"/>
      <c r="Z33" s="379"/>
      <c r="AA33" s="383"/>
      <c r="AB33" s="385"/>
      <c r="AC33" s="379"/>
      <c r="AD33" s="379"/>
      <c r="AE33" s="380"/>
      <c r="AF33" s="379"/>
      <c r="AG33" s="379"/>
      <c r="AH33" s="379"/>
      <c r="AI33" s="383"/>
      <c r="AJ33" s="385"/>
      <c r="AK33" s="379"/>
      <c r="AL33" s="379"/>
      <c r="AM33" s="379"/>
      <c r="AN33" s="379"/>
      <c r="AO33" s="379"/>
      <c r="AP33" s="379"/>
      <c r="AQ33" s="379"/>
      <c r="AR33" s="379"/>
      <c r="AS33" s="379"/>
      <c r="AT33" s="379"/>
      <c r="AU33" s="379"/>
      <c r="AV33" s="379"/>
      <c r="AW33" s="386"/>
    </row>
    <row r="34" spans="1:49" s="20" customFormat="1" ht="15">
      <c r="A34" s="13">
        <f t="shared" si="0"/>
        <v>28</v>
      </c>
      <c r="B34" s="59"/>
      <c r="C34" s="59"/>
      <c r="D34" s="59"/>
      <c r="E34" s="59"/>
      <c r="F34" s="59"/>
      <c r="G34" s="59"/>
      <c r="H34" s="59"/>
      <c r="I34" s="59"/>
      <c r="J34" s="275" t="s">
        <v>2763</v>
      </c>
      <c r="K34" s="399" t="s">
        <v>117</v>
      </c>
      <c r="L34" s="204" t="s">
        <v>2764</v>
      </c>
      <c r="M34" s="204"/>
      <c r="N34" s="126" t="s">
        <v>504</v>
      </c>
      <c r="O34" s="126"/>
      <c r="P34" s="126"/>
      <c r="Q34" s="40" t="s">
        <v>6</v>
      </c>
      <c r="R34" s="40" t="s">
        <v>6</v>
      </c>
      <c r="S34" s="40" t="s">
        <v>6</v>
      </c>
      <c r="T34" s="40"/>
      <c r="U34" s="206"/>
      <c r="V34" s="206"/>
      <c r="W34" s="399"/>
      <c r="X34" s="59"/>
      <c r="Y34" s="59"/>
      <c r="Z34" s="59"/>
      <c r="AA34" s="40"/>
      <c r="AB34" s="15"/>
      <c r="AC34" s="59"/>
      <c r="AD34" s="59"/>
      <c r="AE34" s="399"/>
      <c r="AF34" s="59"/>
      <c r="AG34" s="59"/>
      <c r="AH34" s="59"/>
      <c r="AI34" s="40"/>
      <c r="AJ34" s="15"/>
      <c r="AK34" s="59"/>
      <c r="AL34" s="59"/>
      <c r="AM34" s="59"/>
      <c r="AN34" s="59"/>
      <c r="AO34" s="59"/>
      <c r="AP34" s="59"/>
      <c r="AQ34" s="59"/>
      <c r="AR34" s="59"/>
      <c r="AS34" s="59"/>
      <c r="AT34" s="59"/>
      <c r="AU34" s="59"/>
      <c r="AV34" s="59"/>
      <c r="AW34" s="18"/>
    </row>
    <row r="35" spans="1:49" s="387" customFormat="1" ht="15">
      <c r="A35" s="562">
        <f t="shared" si="0"/>
        <v>29</v>
      </c>
      <c r="B35" s="379"/>
      <c r="C35" s="379"/>
      <c r="D35" s="379"/>
      <c r="E35" s="379"/>
      <c r="F35" s="379"/>
      <c r="G35" s="379"/>
      <c r="H35" s="379"/>
      <c r="I35" s="379"/>
      <c r="J35" s="600" t="s">
        <v>2765</v>
      </c>
      <c r="K35" s="380" t="s">
        <v>117</v>
      </c>
      <c r="L35" s="381" t="s">
        <v>2764</v>
      </c>
      <c r="M35" s="381"/>
      <c r="N35" s="382" t="s">
        <v>504</v>
      </c>
      <c r="O35" s="382"/>
      <c r="P35" s="382"/>
      <c r="Q35" s="383" t="s">
        <v>6</v>
      </c>
      <c r="R35" s="383" t="s">
        <v>6</v>
      </c>
      <c r="S35" s="383" t="s">
        <v>6</v>
      </c>
      <c r="T35" s="383"/>
      <c r="U35" s="384"/>
      <c r="V35" s="384"/>
      <c r="W35" s="380"/>
      <c r="X35" s="379"/>
      <c r="Y35" s="379"/>
      <c r="Z35" s="379"/>
      <c r="AA35" s="383"/>
      <c r="AB35" s="385"/>
      <c r="AC35" s="379"/>
      <c r="AD35" s="379"/>
      <c r="AE35" s="380"/>
      <c r="AF35" s="379"/>
      <c r="AG35" s="379"/>
      <c r="AH35" s="379"/>
      <c r="AI35" s="383"/>
      <c r="AJ35" s="385"/>
      <c r="AK35" s="379"/>
      <c r="AL35" s="379"/>
      <c r="AM35" s="379"/>
      <c r="AN35" s="379"/>
      <c r="AO35" s="379"/>
      <c r="AP35" s="379"/>
      <c r="AQ35" s="379"/>
      <c r="AR35" s="379"/>
      <c r="AS35" s="379"/>
      <c r="AT35" s="379"/>
      <c r="AU35" s="379"/>
      <c r="AV35" s="379"/>
      <c r="AW35" s="386"/>
    </row>
    <row r="36" spans="1:49" s="20" customFormat="1" ht="15">
      <c r="A36" s="13">
        <f t="shared" si="0"/>
        <v>30</v>
      </c>
      <c r="B36" s="59"/>
      <c r="C36" s="59"/>
      <c r="D36" s="59"/>
      <c r="E36" s="59"/>
      <c r="F36" s="59"/>
      <c r="G36" s="59"/>
      <c r="H36" s="59"/>
      <c r="I36" s="59"/>
      <c r="J36" s="275" t="s">
        <v>2766</v>
      </c>
      <c r="K36" s="399" t="s">
        <v>117</v>
      </c>
      <c r="L36" s="204" t="s">
        <v>2767</v>
      </c>
      <c r="M36" s="204"/>
      <c r="N36" s="126" t="s">
        <v>504</v>
      </c>
      <c r="O36" s="126"/>
      <c r="P36" s="126"/>
      <c r="Q36" s="40" t="s">
        <v>6</v>
      </c>
      <c r="R36" s="40" t="s">
        <v>6</v>
      </c>
      <c r="S36" s="40" t="s">
        <v>6</v>
      </c>
      <c r="T36" s="40"/>
      <c r="U36" s="206"/>
      <c r="V36" s="206"/>
      <c r="W36" s="399"/>
      <c r="X36" s="59"/>
      <c r="Y36" s="59"/>
      <c r="Z36" s="59"/>
      <c r="AA36" s="40"/>
      <c r="AB36" s="15"/>
      <c r="AC36" s="59"/>
      <c r="AD36" s="59"/>
      <c r="AE36" s="399"/>
      <c r="AF36" s="59"/>
      <c r="AG36" s="59"/>
      <c r="AH36" s="59"/>
      <c r="AI36" s="40"/>
      <c r="AJ36" s="15"/>
      <c r="AK36" s="59"/>
      <c r="AL36" s="59"/>
      <c r="AM36" s="59"/>
      <c r="AN36" s="59"/>
      <c r="AO36" s="59"/>
      <c r="AP36" s="59"/>
      <c r="AQ36" s="59"/>
      <c r="AR36" s="59"/>
      <c r="AS36" s="59"/>
      <c r="AT36" s="59"/>
      <c r="AU36" s="59"/>
      <c r="AV36" s="59"/>
      <c r="AW36" s="18"/>
    </row>
    <row r="37" spans="1:49" s="20" customFormat="1" ht="15">
      <c r="A37" s="13">
        <f t="shared" si="0"/>
        <v>31</v>
      </c>
      <c r="B37" s="59"/>
      <c r="C37" s="59"/>
      <c r="D37" s="59"/>
      <c r="E37" s="59"/>
      <c r="F37" s="59"/>
      <c r="G37" s="59"/>
      <c r="H37" s="59"/>
      <c r="I37" s="59"/>
      <c r="J37" s="275" t="s">
        <v>2768</v>
      </c>
      <c r="K37" s="399" t="s">
        <v>65</v>
      </c>
      <c r="L37" s="399" t="s">
        <v>2769</v>
      </c>
      <c r="M37" s="412"/>
      <c r="N37" s="40" t="s">
        <v>504</v>
      </c>
      <c r="O37" s="126"/>
      <c r="P37" s="126"/>
      <c r="Q37" s="40"/>
      <c r="R37" s="40"/>
      <c r="S37" s="40"/>
      <c r="T37" s="40"/>
      <c r="U37" s="206"/>
      <c r="V37" s="206"/>
      <c r="W37" s="399"/>
      <c r="X37" s="59"/>
      <c r="Y37" s="59"/>
      <c r="Z37" s="59"/>
      <c r="AA37" s="40"/>
      <c r="AB37" s="15"/>
      <c r="AC37" s="59"/>
      <c r="AD37" s="59"/>
      <c r="AE37" s="399"/>
      <c r="AF37" s="59"/>
      <c r="AG37" s="59"/>
      <c r="AH37" s="59"/>
      <c r="AI37" s="40"/>
      <c r="AJ37" s="15"/>
      <c r="AK37" s="59"/>
      <c r="AL37" s="59"/>
      <c r="AM37" s="59"/>
      <c r="AN37" s="59"/>
      <c r="AO37" s="59"/>
      <c r="AP37" s="59"/>
      <c r="AQ37" s="59"/>
      <c r="AR37" s="59"/>
      <c r="AS37" s="59"/>
      <c r="AT37" s="59"/>
      <c r="AU37" s="59"/>
      <c r="AV37" s="59"/>
      <c r="AW37" s="18"/>
    </row>
    <row r="38" spans="1:49" s="20" customFormat="1" ht="15">
      <c r="A38" s="13">
        <f t="shared" si="0"/>
        <v>32</v>
      </c>
      <c r="B38" s="59"/>
      <c r="C38" s="59"/>
      <c r="D38" s="59"/>
      <c r="E38" s="59"/>
      <c r="F38" s="59"/>
      <c r="G38" s="59"/>
      <c r="H38" s="59"/>
      <c r="I38" s="59"/>
      <c r="J38" s="275"/>
      <c r="K38" s="399"/>
      <c r="L38" s="204"/>
      <c r="M38" s="204"/>
      <c r="N38" s="126"/>
      <c r="O38" s="126"/>
      <c r="P38" s="126"/>
      <c r="Q38" s="40"/>
      <c r="R38" s="40"/>
      <c r="S38" s="40"/>
      <c r="T38" s="40"/>
      <c r="U38" s="206"/>
      <c r="V38" s="206"/>
      <c r="W38" s="399"/>
      <c r="X38" s="59"/>
      <c r="Y38" s="59"/>
      <c r="Z38" s="59"/>
      <c r="AA38" s="40"/>
      <c r="AB38" s="15"/>
      <c r="AC38" s="59"/>
      <c r="AD38" s="59"/>
      <c r="AE38" s="399"/>
      <c r="AF38" s="59"/>
      <c r="AG38" s="59"/>
      <c r="AH38" s="59"/>
      <c r="AI38" s="40"/>
      <c r="AJ38" s="15"/>
      <c r="AK38" s="59"/>
      <c r="AL38" s="59"/>
      <c r="AM38" s="59"/>
      <c r="AN38" s="59"/>
      <c r="AO38" s="59"/>
      <c r="AP38" s="59"/>
      <c r="AQ38" s="59"/>
      <c r="AR38" s="59"/>
      <c r="AS38" s="59"/>
      <c r="AT38" s="59"/>
      <c r="AU38" s="59"/>
      <c r="AV38" s="59"/>
      <c r="AW38" s="18"/>
    </row>
    <row r="39" spans="1:49" ht="15">
      <c r="A39" s="484">
        <f t="shared" si="0"/>
        <v>33</v>
      </c>
      <c r="B39" s="65"/>
      <c r="C39" s="65"/>
      <c r="D39" s="65"/>
      <c r="E39" s="65"/>
      <c r="F39" s="65"/>
      <c r="G39" s="65"/>
      <c r="H39" s="65"/>
      <c r="I39" s="65"/>
      <c r="J39" s="599" t="s">
        <v>821</v>
      </c>
      <c r="K39" s="65"/>
      <c r="L39" s="65"/>
      <c r="M39" s="65"/>
      <c r="N39" s="137"/>
      <c r="O39" s="137"/>
      <c r="P39" s="137"/>
      <c r="Q39" s="137"/>
      <c r="R39" s="137"/>
      <c r="S39" s="137"/>
      <c r="T39" s="137"/>
      <c r="U39" s="73"/>
      <c r="V39" s="73"/>
      <c r="W39" s="65"/>
      <c r="X39" s="65"/>
      <c r="Y39" s="65"/>
      <c r="Z39" s="65"/>
      <c r="AA39" s="65"/>
      <c r="AB39" s="65"/>
      <c r="AC39" s="65"/>
      <c r="AD39" s="65"/>
      <c r="AE39" s="65"/>
      <c r="AF39" s="65"/>
      <c r="AG39" s="65"/>
      <c r="AH39" s="65"/>
      <c r="AI39" s="65"/>
      <c r="AJ39" s="73"/>
      <c r="AK39" s="65"/>
      <c r="AL39" s="65"/>
      <c r="AM39" s="65"/>
      <c r="AN39" s="65"/>
      <c r="AO39" s="65"/>
      <c r="AP39" s="65"/>
      <c r="AQ39" s="65"/>
      <c r="AR39" s="65"/>
      <c r="AS39" s="65"/>
      <c r="AT39" s="65"/>
      <c r="AU39" s="65"/>
      <c r="AV39" s="65"/>
      <c r="AW39" s="18">
        <f>LEN(L39)</f>
        <v>0</v>
      </c>
    </row>
    <row r="40" spans="1:49" s="236" customFormat="1" ht="15">
      <c r="A40" s="13">
        <f t="shared" si="0"/>
        <v>34</v>
      </c>
      <c r="B40" s="199"/>
      <c r="C40" s="199"/>
      <c r="D40" s="199"/>
      <c r="E40" s="199"/>
      <c r="F40" s="199"/>
      <c r="G40" s="199"/>
      <c r="H40" s="199"/>
      <c r="I40" s="199"/>
      <c r="J40" s="275"/>
      <c r="K40" s="399"/>
      <c r="L40" s="204"/>
      <c r="M40" s="204"/>
      <c r="N40" s="126"/>
      <c r="O40" s="126"/>
      <c r="P40" s="126"/>
      <c r="Q40" s="40"/>
      <c r="R40" s="40"/>
      <c r="S40" s="40"/>
      <c r="T40" s="40"/>
      <c r="U40" s="206"/>
      <c r="V40" s="204"/>
      <c r="W40" s="232"/>
      <c r="X40" s="199"/>
      <c r="Y40" s="199"/>
      <c r="Z40" s="199"/>
      <c r="AA40" s="126"/>
      <c r="AB40" s="198"/>
      <c r="AC40" s="199"/>
      <c r="AD40" s="199"/>
      <c r="AE40" s="232"/>
      <c r="AF40" s="199"/>
      <c r="AG40" s="199"/>
      <c r="AH40" s="199"/>
      <c r="AI40" s="126"/>
      <c r="AJ40" s="198"/>
      <c r="AK40" s="199"/>
      <c r="AL40" s="199"/>
      <c r="AM40" s="199"/>
      <c r="AN40" s="199"/>
      <c r="AO40" s="126"/>
      <c r="AP40" s="126"/>
      <c r="AQ40" s="126"/>
      <c r="AR40" s="126"/>
      <c r="AS40" s="126"/>
      <c r="AT40" s="126"/>
      <c r="AU40" s="126"/>
      <c r="AV40" s="199"/>
      <c r="AW40" s="155">
        <f>LEN(L40)</f>
        <v>0</v>
      </c>
    </row>
    <row r="41" spans="1:49" ht="15">
      <c r="A41" s="484">
        <f t="shared" si="0"/>
        <v>35</v>
      </c>
      <c r="B41" s="65"/>
      <c r="C41" s="65"/>
      <c r="D41" s="65"/>
      <c r="E41" s="65"/>
      <c r="F41" s="65"/>
      <c r="G41" s="65"/>
      <c r="H41" s="65"/>
      <c r="I41" s="65"/>
      <c r="J41" s="599" t="s">
        <v>2770</v>
      </c>
      <c r="K41" s="65"/>
      <c r="L41" s="65"/>
      <c r="M41" s="65"/>
      <c r="N41" s="137"/>
      <c r="O41" s="137"/>
      <c r="P41" s="137"/>
      <c r="Q41" s="137"/>
      <c r="R41" s="137"/>
      <c r="S41" s="137"/>
      <c r="T41" s="137"/>
      <c r="U41" s="73"/>
      <c r="V41" s="73"/>
      <c r="W41" s="65"/>
      <c r="X41" s="65"/>
      <c r="Y41" s="65"/>
      <c r="Z41" s="65"/>
      <c r="AA41" s="65"/>
      <c r="AB41" s="65"/>
      <c r="AC41" s="65"/>
      <c r="AD41" s="65"/>
      <c r="AE41" s="65"/>
      <c r="AF41" s="65"/>
      <c r="AG41" s="65"/>
      <c r="AH41" s="65"/>
      <c r="AI41" s="65"/>
      <c r="AJ41" s="73"/>
      <c r="AK41" s="65"/>
      <c r="AL41" s="65"/>
      <c r="AM41" s="65"/>
      <c r="AN41" s="65"/>
      <c r="AO41" s="65"/>
      <c r="AP41" s="65"/>
      <c r="AQ41" s="65"/>
      <c r="AR41" s="65"/>
      <c r="AS41" s="65"/>
      <c r="AT41" s="65"/>
      <c r="AU41" s="65"/>
      <c r="AV41" s="65"/>
      <c r="AW41" s="18">
        <f>LEN(L41)</f>
        <v>0</v>
      </c>
    </row>
    <row r="42" spans="1:49" s="236" customFormat="1" ht="15">
      <c r="A42" s="13">
        <f t="shared" si="0"/>
        <v>36</v>
      </c>
      <c r="B42" s="199"/>
      <c r="C42" s="199"/>
      <c r="D42" s="199"/>
      <c r="E42" s="199"/>
      <c r="F42" s="199"/>
      <c r="G42" s="199"/>
      <c r="H42" s="199"/>
      <c r="I42" s="199"/>
      <c r="J42" s="275"/>
      <c r="K42" s="399"/>
      <c r="L42" s="204"/>
      <c r="M42" s="204"/>
      <c r="N42" s="40"/>
      <c r="O42" s="126"/>
      <c r="P42" s="40"/>
      <c r="Q42" s="40"/>
      <c r="R42" s="40"/>
      <c r="S42" s="40"/>
      <c r="T42" s="40"/>
      <c r="U42" s="206"/>
      <c r="V42" s="204"/>
      <c r="W42" s="232"/>
      <c r="X42" s="199"/>
      <c r="Y42" s="199"/>
      <c r="Z42" s="199"/>
      <c r="AA42" s="126"/>
      <c r="AB42" s="198"/>
      <c r="AC42" s="199"/>
      <c r="AD42" s="199"/>
      <c r="AE42" s="232"/>
      <c r="AF42" s="199"/>
      <c r="AG42" s="199"/>
      <c r="AH42" s="199"/>
      <c r="AI42" s="126"/>
      <c r="AJ42" s="198"/>
      <c r="AK42" s="199"/>
      <c r="AL42" s="199"/>
      <c r="AM42" s="199"/>
      <c r="AN42" s="199"/>
      <c r="AO42" s="126"/>
      <c r="AP42" s="126"/>
      <c r="AQ42" s="126"/>
      <c r="AR42" s="199"/>
      <c r="AS42" s="199"/>
      <c r="AT42" s="199"/>
      <c r="AU42" s="199"/>
      <c r="AV42" s="199"/>
      <c r="AW42" s="155">
        <f>LEN(L42)</f>
        <v>0</v>
      </c>
    </row>
    <row r="43" spans="1:49" ht="15">
      <c r="A43" s="484">
        <f t="shared" si="0"/>
        <v>37</v>
      </c>
      <c r="B43" s="62"/>
      <c r="C43" s="62"/>
      <c r="D43" s="62"/>
      <c r="E43" s="62"/>
      <c r="F43" s="62"/>
      <c r="G43" s="62"/>
      <c r="H43" s="62"/>
      <c r="I43" s="62"/>
      <c r="J43" s="499" t="s">
        <v>858</v>
      </c>
      <c r="K43" s="63"/>
      <c r="L43" s="63"/>
      <c r="M43" s="63"/>
      <c r="N43" s="139"/>
      <c r="O43" s="139"/>
      <c r="P43" s="139"/>
      <c r="Q43" s="139"/>
      <c r="R43" s="139"/>
      <c r="S43" s="139"/>
      <c r="T43" s="139"/>
      <c r="U43" s="311"/>
      <c r="V43" s="311"/>
      <c r="W43" s="63"/>
      <c r="X43" s="63"/>
      <c r="Y43" s="63"/>
      <c r="Z43" s="63"/>
      <c r="AA43" s="63"/>
      <c r="AB43" s="312"/>
      <c r="AC43" s="63"/>
      <c r="AD43" s="63"/>
      <c r="AE43" s="63"/>
      <c r="AF43" s="63"/>
      <c r="AG43" s="63"/>
      <c r="AH43" s="63"/>
      <c r="AI43" s="63"/>
      <c r="AJ43" s="312"/>
      <c r="AK43" s="63"/>
      <c r="AL43" s="63"/>
      <c r="AM43" s="63"/>
      <c r="AN43" s="63"/>
      <c r="AO43" s="63"/>
      <c r="AP43" s="63"/>
      <c r="AQ43" s="63"/>
      <c r="AR43" s="63"/>
      <c r="AS43" s="63"/>
      <c r="AT43" s="63"/>
      <c r="AU43" s="63"/>
      <c r="AV43" s="63"/>
      <c r="AW43" s="18">
        <f t="shared" ref="AW43:AW95" si="1">LEN(L43)</f>
        <v>0</v>
      </c>
    </row>
    <row r="44" spans="1:49" s="20" customFormat="1" ht="15">
      <c r="A44" s="13">
        <f t="shared" si="0"/>
        <v>38</v>
      </c>
      <c r="B44" s="59"/>
      <c r="C44" s="59"/>
      <c r="D44" s="59"/>
      <c r="E44" s="59"/>
      <c r="F44" s="59"/>
      <c r="G44" s="59"/>
      <c r="H44" s="59"/>
      <c r="I44" s="59"/>
      <c r="J44" s="275" t="s">
        <v>2768</v>
      </c>
      <c r="K44" s="399"/>
      <c r="L44" s="399" t="s">
        <v>2769</v>
      </c>
      <c r="M44" s="412"/>
      <c r="N44" s="40" t="s">
        <v>407</v>
      </c>
      <c r="O44" s="40" t="s">
        <v>861</v>
      </c>
      <c r="P44" s="126"/>
      <c r="Q44" s="40" t="s">
        <v>6</v>
      </c>
      <c r="R44" s="40"/>
      <c r="S44" s="40"/>
      <c r="T44" s="40"/>
      <c r="U44" s="204"/>
      <c r="V44" s="59"/>
      <c r="W44" s="215"/>
      <c r="X44" s="202"/>
      <c r="Y44" s="59"/>
      <c r="Z44" s="59"/>
      <c r="AA44" s="13"/>
      <c r="AB44" s="59"/>
      <c r="AC44" s="59"/>
      <c r="AD44" s="59"/>
      <c r="AE44" s="215"/>
      <c r="AF44" s="202"/>
      <c r="AG44" s="59"/>
      <c r="AH44" s="59"/>
      <c r="AI44" s="13"/>
      <c r="AJ44" s="59"/>
      <c r="AK44" s="59"/>
      <c r="AL44" s="59"/>
      <c r="AM44" s="59"/>
      <c r="AN44" s="59"/>
      <c r="AO44" s="59"/>
      <c r="AP44" s="59"/>
      <c r="AQ44" s="59"/>
      <c r="AR44" s="59"/>
      <c r="AS44" s="59"/>
      <c r="AT44" s="59"/>
      <c r="AU44" s="59"/>
      <c r="AV44" s="59"/>
      <c r="AW44" s="18"/>
    </row>
    <row r="45" spans="1:49" s="20" customFormat="1" ht="15">
      <c r="A45" s="13">
        <f t="shared" si="0"/>
        <v>39</v>
      </c>
      <c r="B45" s="59"/>
      <c r="C45" s="59"/>
      <c r="D45" s="59"/>
      <c r="E45" s="59"/>
      <c r="F45" s="59"/>
      <c r="G45" s="59"/>
      <c r="H45" s="59"/>
      <c r="I45" s="59"/>
      <c r="J45" s="368"/>
      <c r="K45" s="313"/>
      <c r="L45" s="215"/>
      <c r="M45" s="215"/>
      <c r="N45" s="40"/>
      <c r="O45" s="202"/>
      <c r="P45" s="126"/>
      <c r="Q45" s="126"/>
      <c r="R45" s="126"/>
      <c r="S45" s="126"/>
      <c r="T45" s="126"/>
      <c r="U45" s="206"/>
      <c r="V45" s="206"/>
      <c r="W45" s="215"/>
      <c r="X45" s="202"/>
      <c r="Y45" s="59"/>
      <c r="Z45" s="59"/>
      <c r="AA45" s="13"/>
      <c r="AB45" s="59"/>
      <c r="AC45" s="59"/>
      <c r="AD45" s="59"/>
      <c r="AE45" s="215"/>
      <c r="AF45" s="202"/>
      <c r="AG45" s="59"/>
      <c r="AH45" s="59"/>
      <c r="AI45" s="13"/>
      <c r="AJ45" s="59"/>
      <c r="AK45" s="59"/>
      <c r="AL45" s="59"/>
      <c r="AM45" s="59"/>
      <c r="AN45" s="59"/>
      <c r="AO45" s="59"/>
      <c r="AP45" s="59"/>
      <c r="AQ45" s="59"/>
      <c r="AR45" s="59"/>
      <c r="AS45" s="59"/>
      <c r="AT45" s="59"/>
      <c r="AU45" s="59"/>
      <c r="AV45" s="59"/>
      <c r="AW45" s="18"/>
    </row>
    <row r="46" spans="1:49" ht="15">
      <c r="A46" s="13">
        <f t="shared" si="0"/>
        <v>40</v>
      </c>
      <c r="B46" s="59"/>
      <c r="C46" s="59"/>
      <c r="D46" s="59"/>
      <c r="E46" s="59"/>
      <c r="F46" s="59"/>
      <c r="G46" s="59"/>
      <c r="H46" s="59"/>
      <c r="I46" s="59"/>
      <c r="J46" s="368"/>
      <c r="K46" s="313"/>
      <c r="L46" s="215"/>
      <c r="M46" s="215"/>
      <c r="N46" s="202"/>
      <c r="O46" s="202"/>
      <c r="P46" s="126"/>
      <c r="Q46" s="126"/>
      <c r="R46" s="126"/>
      <c r="S46" s="126"/>
      <c r="T46" s="126"/>
      <c r="U46" s="206"/>
      <c r="V46" s="206"/>
      <c r="W46" s="215"/>
      <c r="X46" s="202"/>
      <c r="Y46" s="59"/>
      <c r="Z46" s="59"/>
      <c r="AA46" s="13"/>
      <c r="AB46" s="59"/>
      <c r="AC46" s="59"/>
      <c r="AD46" s="59"/>
      <c r="AE46" s="215"/>
      <c r="AF46" s="202"/>
      <c r="AG46" s="59"/>
      <c r="AH46" s="59"/>
      <c r="AI46" s="13"/>
      <c r="AJ46" s="59"/>
      <c r="AK46" s="59"/>
      <c r="AL46" s="59"/>
      <c r="AM46" s="59"/>
      <c r="AN46" s="59"/>
      <c r="AO46" s="59"/>
      <c r="AP46" s="59"/>
      <c r="AQ46" s="59"/>
      <c r="AR46" s="59"/>
      <c r="AS46" s="59"/>
      <c r="AT46" s="59"/>
      <c r="AU46" s="59"/>
      <c r="AV46" s="59"/>
      <c r="AW46" s="18"/>
    </row>
    <row r="47" spans="1:49" ht="15">
      <c r="J47" s="601"/>
      <c r="K47" s="54"/>
      <c r="L47" s="398"/>
      <c r="M47" s="590"/>
      <c r="N47" s="68"/>
      <c r="O47" s="68"/>
      <c r="P47" s="68"/>
      <c r="Q47" s="68"/>
      <c r="R47" s="68"/>
      <c r="S47" s="68"/>
      <c r="T47" s="68"/>
      <c r="U47" s="54"/>
      <c r="V47" s="54"/>
      <c r="W47" s="54"/>
      <c r="X47" s="54"/>
      <c r="Y47" s="54"/>
      <c r="Z47" s="54"/>
      <c r="AA47" s="55"/>
      <c r="AB47" s="55"/>
      <c r="AC47" s="55"/>
      <c r="AD47" s="55"/>
      <c r="AE47" s="54"/>
      <c r="AF47" s="54"/>
      <c r="AG47" s="54"/>
      <c r="AH47" s="54"/>
      <c r="AI47" s="55"/>
      <c r="AJ47" s="54"/>
      <c r="AW47" s="18">
        <f t="shared" si="1"/>
        <v>0</v>
      </c>
    </row>
    <row r="48" spans="1:49" ht="15">
      <c r="J48" s="601"/>
      <c r="K48" s="54"/>
      <c r="L48" s="398"/>
      <c r="M48" s="590"/>
      <c r="N48" s="68"/>
      <c r="O48" s="68"/>
      <c r="P48" s="68"/>
      <c r="Q48" s="68"/>
      <c r="R48" s="68"/>
      <c r="S48" s="68"/>
      <c r="T48" s="68"/>
      <c r="U48" s="54"/>
      <c r="V48" s="54"/>
      <c r="W48" s="54"/>
      <c r="X48" s="54"/>
      <c r="Y48" s="54"/>
      <c r="Z48" s="54"/>
      <c r="AA48" s="55"/>
      <c r="AB48" s="55"/>
      <c r="AC48" s="55"/>
      <c r="AD48" s="55"/>
      <c r="AE48" s="54"/>
      <c r="AF48" s="54"/>
      <c r="AG48" s="54"/>
      <c r="AH48" s="54"/>
      <c r="AI48" s="55"/>
      <c r="AJ48" s="54"/>
      <c r="AW48" s="18">
        <f t="shared" si="1"/>
        <v>0</v>
      </c>
    </row>
    <row r="49" spans="10:49" ht="15">
      <c r="J49" s="601"/>
      <c r="K49" s="54"/>
      <c r="L49" s="398"/>
      <c r="M49" s="590"/>
      <c r="N49" s="68"/>
      <c r="O49" s="68"/>
      <c r="P49" s="68"/>
      <c r="Q49" s="68"/>
      <c r="R49" s="68"/>
      <c r="S49" s="68"/>
      <c r="T49" s="68"/>
      <c r="U49" s="54"/>
      <c r="V49" s="54"/>
      <c r="W49" s="54"/>
      <c r="X49" s="54"/>
      <c r="Y49" s="54"/>
      <c r="Z49" s="54"/>
      <c r="AA49" s="55"/>
      <c r="AB49" s="55"/>
      <c r="AC49" s="55"/>
      <c r="AD49" s="55"/>
      <c r="AE49" s="54"/>
      <c r="AF49" s="54"/>
      <c r="AG49" s="54"/>
      <c r="AH49" s="54"/>
      <c r="AI49" s="55"/>
      <c r="AJ49" s="54"/>
      <c r="AW49" s="18">
        <f t="shared" si="1"/>
        <v>0</v>
      </c>
    </row>
    <row r="50" spans="10:49" ht="15">
      <c r="J50" s="601"/>
      <c r="K50" s="54"/>
      <c r="L50" s="398"/>
      <c r="M50" s="590"/>
      <c r="N50" s="68"/>
      <c r="O50" s="68"/>
      <c r="P50" s="68"/>
      <c r="Q50" s="68"/>
      <c r="R50" s="68"/>
      <c r="S50" s="68"/>
      <c r="T50" s="68"/>
      <c r="U50" s="54"/>
      <c r="V50" s="54"/>
      <c r="W50" s="54"/>
      <c r="X50" s="54"/>
      <c r="Y50" s="54"/>
      <c r="Z50" s="54"/>
      <c r="AA50" s="55"/>
      <c r="AB50" s="55"/>
      <c r="AC50" s="55"/>
      <c r="AD50" s="55"/>
      <c r="AE50" s="54"/>
      <c r="AF50" s="54"/>
      <c r="AG50" s="54"/>
      <c r="AH50" s="54"/>
      <c r="AI50" s="55"/>
      <c r="AJ50" s="54"/>
      <c r="AW50" s="18">
        <f t="shared" si="1"/>
        <v>0</v>
      </c>
    </row>
    <row r="51" spans="10:49" ht="15">
      <c r="J51" s="601"/>
      <c r="K51" s="54"/>
      <c r="L51" s="398"/>
      <c r="M51" s="590"/>
      <c r="N51" s="68"/>
      <c r="O51" s="68"/>
      <c r="P51" s="68"/>
      <c r="Q51" s="68"/>
      <c r="R51" s="68"/>
      <c r="S51" s="68"/>
      <c r="T51" s="68"/>
      <c r="U51" s="54"/>
      <c r="V51" s="54"/>
      <c r="W51" s="54"/>
      <c r="X51" s="54"/>
      <c r="Y51" s="54"/>
      <c r="Z51" s="54"/>
      <c r="AA51" s="55"/>
      <c r="AB51" s="55"/>
      <c r="AC51" s="55"/>
      <c r="AD51" s="55"/>
      <c r="AE51" s="54"/>
      <c r="AF51" s="54"/>
      <c r="AG51" s="54"/>
      <c r="AH51" s="54"/>
      <c r="AI51" s="55"/>
      <c r="AJ51" s="54"/>
      <c r="AW51" s="18">
        <f t="shared" si="1"/>
        <v>0</v>
      </c>
    </row>
    <row r="52" spans="10:49" ht="15">
      <c r="J52" s="601"/>
      <c r="K52" s="54"/>
      <c r="L52" s="398"/>
      <c r="M52" s="590"/>
      <c r="N52" s="68"/>
      <c r="O52" s="68"/>
      <c r="P52" s="68"/>
      <c r="Q52" s="68"/>
      <c r="R52" s="68"/>
      <c r="S52" s="68"/>
      <c r="T52" s="68"/>
      <c r="U52" s="54"/>
      <c r="V52" s="54"/>
      <c r="W52" s="54"/>
      <c r="X52" s="54"/>
      <c r="Y52" s="54"/>
      <c r="Z52" s="54"/>
      <c r="AA52" s="55"/>
      <c r="AB52" s="55"/>
      <c r="AC52" s="55"/>
      <c r="AD52" s="55"/>
      <c r="AE52" s="54"/>
      <c r="AF52" s="54"/>
      <c r="AG52" s="54"/>
      <c r="AH52" s="54"/>
      <c r="AI52" s="55"/>
      <c r="AJ52" s="54"/>
      <c r="AW52" s="18">
        <f t="shared" si="1"/>
        <v>0</v>
      </c>
    </row>
    <row r="53" spans="10:49" ht="15">
      <c r="J53" s="601"/>
      <c r="K53" s="54"/>
      <c r="L53" s="398"/>
      <c r="M53" s="590"/>
      <c r="N53" s="68"/>
      <c r="O53" s="68"/>
      <c r="P53" s="68"/>
      <c r="Q53" s="68"/>
      <c r="R53" s="68"/>
      <c r="S53" s="68"/>
      <c r="T53" s="68"/>
      <c r="U53" s="54"/>
      <c r="V53" s="54"/>
      <c r="W53" s="54"/>
      <c r="X53" s="54"/>
      <c r="Y53" s="54"/>
      <c r="Z53" s="54"/>
      <c r="AA53" s="55"/>
      <c r="AB53" s="55"/>
      <c r="AC53" s="55"/>
      <c r="AD53" s="55"/>
      <c r="AE53" s="54"/>
      <c r="AF53" s="54"/>
      <c r="AG53" s="54"/>
      <c r="AH53" s="54"/>
      <c r="AI53" s="55"/>
      <c r="AJ53" s="54"/>
      <c r="AW53" s="18">
        <f t="shared" si="1"/>
        <v>0</v>
      </c>
    </row>
    <row r="54" spans="10:49" ht="15">
      <c r="J54" s="601"/>
      <c r="K54" s="54"/>
      <c r="L54" s="398"/>
      <c r="M54" s="590"/>
      <c r="N54" s="68"/>
      <c r="O54" s="68"/>
      <c r="P54" s="68"/>
      <c r="Q54" s="68"/>
      <c r="R54" s="68"/>
      <c r="S54" s="68"/>
      <c r="T54" s="68"/>
      <c r="U54" s="54"/>
      <c r="V54" s="54"/>
      <c r="W54" s="54"/>
      <c r="X54" s="54"/>
      <c r="Y54" s="54"/>
      <c r="Z54" s="54"/>
      <c r="AA54" s="55"/>
      <c r="AB54" s="55"/>
      <c r="AC54" s="55"/>
      <c r="AD54" s="55"/>
      <c r="AE54" s="54"/>
      <c r="AF54" s="54"/>
      <c r="AG54" s="54"/>
      <c r="AH54" s="54"/>
      <c r="AI54" s="55"/>
      <c r="AJ54" s="54"/>
      <c r="AW54" s="18">
        <f t="shared" si="1"/>
        <v>0</v>
      </c>
    </row>
    <row r="55" spans="10:49" ht="15">
      <c r="J55" s="601"/>
      <c r="K55" s="54"/>
      <c r="L55" s="398"/>
      <c r="M55" s="590"/>
      <c r="N55" s="68"/>
      <c r="O55" s="68"/>
      <c r="P55" s="68"/>
      <c r="Q55" s="68"/>
      <c r="R55" s="68"/>
      <c r="S55" s="68"/>
      <c r="T55" s="68"/>
      <c r="U55" s="54"/>
      <c r="V55" s="54"/>
      <c r="W55" s="54"/>
      <c r="X55" s="54"/>
      <c r="Y55" s="54"/>
      <c r="Z55" s="54"/>
      <c r="AA55" s="55"/>
      <c r="AB55" s="55"/>
      <c r="AC55" s="55"/>
      <c r="AD55" s="55"/>
      <c r="AE55" s="54"/>
      <c r="AF55" s="54"/>
      <c r="AG55" s="54"/>
      <c r="AH55" s="54"/>
      <c r="AI55" s="55"/>
      <c r="AJ55" s="54"/>
      <c r="AW55" s="18">
        <f t="shared" si="1"/>
        <v>0</v>
      </c>
    </row>
    <row r="56" spans="10:49" ht="15">
      <c r="J56" s="601"/>
      <c r="K56" s="54"/>
      <c r="L56" s="398"/>
      <c r="M56" s="590"/>
      <c r="N56" s="68"/>
      <c r="O56" s="68"/>
      <c r="P56" s="68"/>
      <c r="Q56" s="68"/>
      <c r="R56" s="68"/>
      <c r="S56" s="68"/>
      <c r="T56" s="68"/>
      <c r="U56" s="54"/>
      <c r="V56" s="54"/>
      <c r="W56" s="54"/>
      <c r="X56" s="54"/>
      <c r="Y56" s="54"/>
      <c r="Z56" s="54"/>
      <c r="AA56" s="55"/>
      <c r="AB56" s="55"/>
      <c r="AC56" s="55"/>
      <c r="AD56" s="55"/>
      <c r="AE56" s="54"/>
      <c r="AF56" s="54"/>
      <c r="AG56" s="54"/>
      <c r="AH56" s="54"/>
      <c r="AI56" s="55"/>
      <c r="AJ56" s="54"/>
      <c r="AW56" s="18">
        <f t="shared" si="1"/>
        <v>0</v>
      </c>
    </row>
    <row r="57" spans="10:49" ht="15">
      <c r="J57" s="601"/>
      <c r="K57" s="54"/>
      <c r="L57" s="398"/>
      <c r="M57" s="590"/>
      <c r="N57" s="68"/>
      <c r="O57" s="68"/>
      <c r="P57" s="68"/>
      <c r="Q57" s="68"/>
      <c r="R57" s="68"/>
      <c r="S57" s="68"/>
      <c r="T57" s="68"/>
      <c r="U57" s="54"/>
      <c r="V57" s="54"/>
      <c r="W57" s="54"/>
      <c r="X57" s="54"/>
      <c r="Y57" s="54"/>
      <c r="Z57" s="54"/>
      <c r="AA57" s="55"/>
      <c r="AB57" s="55"/>
      <c r="AC57" s="55"/>
      <c r="AD57" s="55"/>
      <c r="AE57" s="54"/>
      <c r="AF57" s="54"/>
      <c r="AG57" s="54"/>
      <c r="AH57" s="54"/>
      <c r="AI57" s="55"/>
      <c r="AJ57" s="54"/>
      <c r="AW57" s="18">
        <f t="shared" si="1"/>
        <v>0</v>
      </c>
    </row>
    <row r="58" spans="10:49" ht="15">
      <c r="J58" s="601"/>
      <c r="K58" s="54"/>
      <c r="L58" s="398"/>
      <c r="M58" s="590"/>
      <c r="N58" s="68"/>
      <c r="O58" s="68"/>
      <c r="P58" s="68"/>
      <c r="Q58" s="68"/>
      <c r="R58" s="68"/>
      <c r="S58" s="68"/>
      <c r="T58" s="68"/>
      <c r="U58" s="54"/>
      <c r="V58" s="54"/>
      <c r="W58" s="54"/>
      <c r="X58" s="54"/>
      <c r="Y58" s="54"/>
      <c r="Z58" s="54"/>
      <c r="AA58" s="55"/>
      <c r="AB58" s="55"/>
      <c r="AC58" s="55"/>
      <c r="AD58" s="55"/>
      <c r="AE58" s="54"/>
      <c r="AF58" s="54"/>
      <c r="AG58" s="54"/>
      <c r="AH58" s="54"/>
      <c r="AI58" s="55"/>
      <c r="AJ58" s="54"/>
      <c r="AW58" s="18">
        <f t="shared" si="1"/>
        <v>0</v>
      </c>
    </row>
    <row r="59" spans="10:49" ht="15">
      <c r="J59" s="601"/>
      <c r="K59" s="54"/>
      <c r="L59" s="398"/>
      <c r="M59" s="590"/>
      <c r="N59" s="68"/>
      <c r="O59" s="68"/>
      <c r="P59" s="68"/>
      <c r="Q59" s="68"/>
      <c r="R59" s="68"/>
      <c r="S59" s="68"/>
      <c r="T59" s="68"/>
      <c r="U59" s="54"/>
      <c r="V59" s="54"/>
      <c r="W59" s="54"/>
      <c r="X59" s="54"/>
      <c r="Y59" s="54"/>
      <c r="Z59" s="54"/>
      <c r="AA59" s="55"/>
      <c r="AB59" s="55"/>
      <c r="AC59" s="55"/>
      <c r="AD59" s="55"/>
      <c r="AE59" s="54"/>
      <c r="AF59" s="54"/>
      <c r="AG59" s="54"/>
      <c r="AH59" s="54"/>
      <c r="AI59" s="55"/>
      <c r="AJ59" s="54"/>
      <c r="AW59" s="18">
        <f t="shared" si="1"/>
        <v>0</v>
      </c>
    </row>
    <row r="60" spans="10:49" ht="15">
      <c r="J60" s="602"/>
      <c r="K60" s="80"/>
      <c r="L60" s="314"/>
      <c r="M60" s="314"/>
      <c r="N60" s="140"/>
      <c r="O60" s="140"/>
      <c r="P60" s="140"/>
      <c r="Q60" s="140"/>
      <c r="R60" s="140"/>
      <c r="S60" s="140"/>
      <c r="T60" s="68"/>
      <c r="U60" s="54"/>
      <c r="V60" s="54"/>
      <c r="W60" s="54"/>
      <c r="X60" s="54"/>
      <c r="Y60" s="54"/>
      <c r="Z60" s="54"/>
      <c r="AA60" s="55"/>
      <c r="AB60" s="55"/>
      <c r="AC60" s="55"/>
      <c r="AD60" s="55"/>
      <c r="AE60" s="54"/>
      <c r="AF60" s="54"/>
      <c r="AG60" s="54"/>
      <c r="AH60" s="54"/>
      <c r="AI60" s="55"/>
      <c r="AJ60" s="54"/>
      <c r="AW60" s="18">
        <f t="shared" si="1"/>
        <v>0</v>
      </c>
    </row>
    <row r="61" spans="10:49" ht="15">
      <c r="J61" s="602"/>
      <c r="K61" s="80"/>
      <c r="L61" s="314"/>
      <c r="M61" s="314"/>
      <c r="N61" s="140"/>
      <c r="O61" s="140"/>
      <c r="P61" s="140"/>
      <c r="Q61" s="140"/>
      <c r="R61" s="140"/>
      <c r="S61" s="140"/>
      <c r="T61" s="68"/>
      <c r="U61" s="54"/>
      <c r="V61" s="54"/>
      <c r="W61" s="54"/>
      <c r="X61" s="54"/>
      <c r="Y61" s="54"/>
      <c r="Z61" s="54"/>
      <c r="AA61" s="55"/>
      <c r="AB61" s="55"/>
      <c r="AC61" s="55"/>
      <c r="AD61" s="55"/>
      <c r="AE61" s="54"/>
      <c r="AF61" s="54"/>
      <c r="AG61" s="54"/>
      <c r="AH61" s="54"/>
      <c r="AI61" s="55"/>
      <c r="AJ61" s="54"/>
      <c r="AW61" s="18">
        <f t="shared" si="1"/>
        <v>0</v>
      </c>
    </row>
    <row r="62" spans="10:49" ht="15">
      <c r="J62" s="602"/>
      <c r="K62" s="80"/>
      <c r="L62" s="314"/>
      <c r="M62" s="314"/>
      <c r="N62" s="140"/>
      <c r="O62" s="140"/>
      <c r="P62" s="140"/>
      <c r="Q62" s="140"/>
      <c r="R62" s="140"/>
      <c r="S62" s="140"/>
      <c r="T62" s="68"/>
      <c r="U62" s="54"/>
      <c r="V62" s="54"/>
      <c r="W62" s="54"/>
      <c r="X62" s="54"/>
      <c r="Y62" s="54"/>
      <c r="Z62" s="54"/>
      <c r="AA62" s="55"/>
      <c r="AB62" s="55"/>
      <c r="AC62" s="55"/>
      <c r="AD62" s="55"/>
      <c r="AE62" s="54"/>
      <c r="AF62" s="54"/>
      <c r="AG62" s="54"/>
      <c r="AH62" s="54"/>
      <c r="AI62" s="55"/>
      <c r="AJ62" s="54"/>
      <c r="AW62" s="18">
        <f t="shared" si="1"/>
        <v>0</v>
      </c>
    </row>
    <row r="63" spans="10:49" ht="15">
      <c r="J63" s="602"/>
      <c r="K63" s="80"/>
      <c r="L63" s="222"/>
      <c r="M63" s="222"/>
      <c r="N63" s="140"/>
      <c r="O63" s="140"/>
      <c r="P63" s="140"/>
      <c r="Q63" s="140"/>
      <c r="R63" s="140"/>
      <c r="S63" s="140"/>
      <c r="T63" s="68"/>
      <c r="U63" s="54"/>
      <c r="V63" s="54"/>
      <c r="W63" s="54"/>
      <c r="X63" s="54"/>
      <c r="Y63" s="54"/>
      <c r="Z63" s="54"/>
      <c r="AA63" s="55"/>
      <c r="AB63" s="55"/>
      <c r="AC63" s="55"/>
      <c r="AD63" s="55"/>
      <c r="AE63" s="54"/>
      <c r="AF63" s="54"/>
      <c r="AG63" s="54"/>
      <c r="AH63" s="54"/>
      <c r="AI63" s="55"/>
      <c r="AJ63" s="54"/>
      <c r="AW63" s="18">
        <f t="shared" si="1"/>
        <v>0</v>
      </c>
    </row>
    <row r="64" spans="10:49" ht="15">
      <c r="J64" s="602"/>
      <c r="K64" s="80"/>
      <c r="L64" s="222"/>
      <c r="M64" s="222"/>
      <c r="N64" s="140"/>
      <c r="O64" s="140"/>
      <c r="P64" s="140"/>
      <c r="Q64" s="140"/>
      <c r="R64" s="140"/>
      <c r="S64" s="140"/>
      <c r="T64" s="68"/>
      <c r="U64" s="54"/>
      <c r="V64" s="54"/>
      <c r="W64" s="54"/>
      <c r="X64" s="54"/>
      <c r="Y64" s="54"/>
      <c r="Z64" s="54"/>
      <c r="AA64" s="55"/>
      <c r="AB64" s="55"/>
      <c r="AC64" s="55"/>
      <c r="AD64" s="55"/>
      <c r="AE64" s="54"/>
      <c r="AF64" s="54"/>
      <c r="AG64" s="54"/>
      <c r="AH64" s="54"/>
      <c r="AI64" s="55"/>
      <c r="AJ64" s="54"/>
      <c r="AW64" s="18">
        <f t="shared" si="1"/>
        <v>0</v>
      </c>
    </row>
    <row r="65" spans="10:49" ht="15">
      <c r="J65" s="602"/>
      <c r="K65" s="80"/>
      <c r="L65" s="314"/>
      <c r="M65" s="314"/>
      <c r="N65" s="140"/>
      <c r="O65" s="140"/>
      <c r="P65" s="140"/>
      <c r="Q65" s="140"/>
      <c r="R65" s="140"/>
      <c r="S65" s="140"/>
      <c r="T65" s="68"/>
      <c r="U65" s="54"/>
      <c r="V65" s="54"/>
      <c r="W65" s="54"/>
      <c r="X65" s="54"/>
      <c r="Y65" s="54"/>
      <c r="Z65" s="54"/>
      <c r="AA65" s="55"/>
      <c r="AB65" s="55"/>
      <c r="AC65" s="55"/>
      <c r="AD65" s="55"/>
      <c r="AE65" s="54"/>
      <c r="AF65" s="54"/>
      <c r="AG65" s="54"/>
      <c r="AH65" s="54"/>
      <c r="AI65" s="55"/>
      <c r="AJ65" s="54"/>
      <c r="AW65" s="18">
        <f t="shared" si="1"/>
        <v>0</v>
      </c>
    </row>
    <row r="66" spans="10:49" ht="15">
      <c r="J66" s="602"/>
      <c r="K66" s="80"/>
      <c r="L66" s="314"/>
      <c r="M66" s="314"/>
      <c r="N66" s="140"/>
      <c r="O66" s="140"/>
      <c r="P66" s="140"/>
      <c r="Q66" s="140"/>
      <c r="R66" s="140"/>
      <c r="S66" s="140"/>
      <c r="T66" s="68"/>
      <c r="U66" s="54"/>
      <c r="V66" s="54"/>
      <c r="W66" s="54"/>
      <c r="X66" s="54"/>
      <c r="Y66" s="54"/>
      <c r="Z66" s="54"/>
      <c r="AA66" s="55"/>
      <c r="AB66" s="55"/>
      <c r="AC66" s="55"/>
      <c r="AD66" s="55"/>
      <c r="AE66" s="54"/>
      <c r="AF66" s="54"/>
      <c r="AG66" s="54"/>
      <c r="AH66" s="54"/>
      <c r="AI66" s="55"/>
      <c r="AJ66" s="54"/>
      <c r="AW66" s="18">
        <f t="shared" si="1"/>
        <v>0</v>
      </c>
    </row>
    <row r="67" spans="10:49" ht="15">
      <c r="J67" s="602"/>
      <c r="K67" s="80"/>
      <c r="L67" s="314"/>
      <c r="M67" s="314"/>
      <c r="N67" s="140"/>
      <c r="O67" s="140"/>
      <c r="P67" s="140"/>
      <c r="Q67" s="140"/>
      <c r="R67" s="140"/>
      <c r="S67" s="140"/>
      <c r="T67" s="68"/>
      <c r="U67" s="54"/>
      <c r="V67" s="54"/>
      <c r="W67" s="54"/>
      <c r="X67" s="54"/>
      <c r="Y67" s="54"/>
      <c r="Z67" s="54"/>
      <c r="AA67" s="55"/>
      <c r="AB67" s="55"/>
      <c r="AC67" s="55"/>
      <c r="AD67" s="55"/>
      <c r="AE67" s="54"/>
      <c r="AF67" s="54"/>
      <c r="AG67" s="54"/>
      <c r="AH67" s="54"/>
      <c r="AI67" s="55"/>
      <c r="AJ67" s="54"/>
      <c r="AW67" s="18">
        <f t="shared" si="1"/>
        <v>0</v>
      </c>
    </row>
    <row r="68" spans="10:49" ht="15">
      <c r="J68" s="602"/>
      <c r="K68" s="80"/>
      <c r="L68" s="314"/>
      <c r="M68" s="314"/>
      <c r="N68" s="140"/>
      <c r="O68" s="140"/>
      <c r="P68" s="140"/>
      <c r="Q68" s="140"/>
      <c r="R68" s="140"/>
      <c r="S68" s="140"/>
      <c r="T68" s="68"/>
      <c r="U68" s="54"/>
      <c r="V68" s="54"/>
      <c r="W68" s="54"/>
      <c r="X68" s="54"/>
      <c r="Y68" s="54"/>
      <c r="Z68" s="54"/>
      <c r="AA68" s="55"/>
      <c r="AB68" s="55"/>
      <c r="AC68" s="55"/>
      <c r="AD68" s="55"/>
      <c r="AE68" s="54"/>
      <c r="AF68" s="54"/>
      <c r="AG68" s="54"/>
      <c r="AH68" s="54"/>
      <c r="AI68" s="55"/>
      <c r="AJ68" s="54"/>
      <c r="AW68" s="18">
        <f t="shared" si="1"/>
        <v>0</v>
      </c>
    </row>
    <row r="69" spans="10:49" ht="15">
      <c r="J69" s="602"/>
      <c r="K69" s="80"/>
      <c r="L69" s="314"/>
      <c r="M69" s="314"/>
      <c r="N69" s="140"/>
      <c r="O69" s="140"/>
      <c r="P69" s="140"/>
      <c r="Q69" s="140"/>
      <c r="R69" s="140"/>
      <c r="S69" s="140"/>
      <c r="T69" s="68"/>
      <c r="U69" s="54"/>
      <c r="V69" s="54"/>
      <c r="W69" s="54"/>
      <c r="X69" s="54"/>
      <c r="Y69" s="54"/>
      <c r="Z69" s="54"/>
      <c r="AA69" s="55"/>
      <c r="AB69" s="55"/>
      <c r="AC69" s="55"/>
      <c r="AD69" s="55"/>
      <c r="AE69" s="54"/>
      <c r="AF69" s="54"/>
      <c r="AG69" s="54"/>
      <c r="AH69" s="54"/>
      <c r="AI69" s="55"/>
      <c r="AJ69" s="54"/>
      <c r="AW69" s="18">
        <f t="shared" si="1"/>
        <v>0</v>
      </c>
    </row>
    <row r="70" spans="10:49" ht="15">
      <c r="J70" s="602"/>
      <c r="K70" s="80"/>
      <c r="L70" s="314"/>
      <c r="M70" s="314"/>
      <c r="N70" s="140"/>
      <c r="O70" s="140"/>
      <c r="P70" s="140"/>
      <c r="Q70" s="140"/>
      <c r="R70" s="140"/>
      <c r="S70" s="140"/>
      <c r="T70" s="68"/>
      <c r="U70" s="54"/>
      <c r="V70" s="54"/>
      <c r="W70" s="54"/>
      <c r="X70" s="54"/>
      <c r="Y70" s="54"/>
      <c r="Z70" s="54"/>
      <c r="AA70" s="55"/>
      <c r="AB70" s="55"/>
      <c r="AC70" s="55"/>
      <c r="AD70" s="55"/>
      <c r="AE70" s="54"/>
      <c r="AF70" s="54"/>
      <c r="AG70" s="54"/>
      <c r="AH70" s="54"/>
      <c r="AI70" s="55"/>
      <c r="AJ70" s="54"/>
      <c r="AW70" s="18">
        <f t="shared" si="1"/>
        <v>0</v>
      </c>
    </row>
    <row r="71" spans="10:49" ht="15">
      <c r="J71" s="602"/>
      <c r="K71" s="80"/>
      <c r="L71" s="314"/>
      <c r="M71" s="314"/>
      <c r="N71" s="140"/>
      <c r="O71" s="140"/>
      <c r="P71" s="140"/>
      <c r="Q71" s="140"/>
      <c r="R71" s="140"/>
      <c r="S71" s="140"/>
      <c r="T71" s="68"/>
      <c r="U71" s="54"/>
      <c r="V71" s="54"/>
      <c r="W71" s="54"/>
      <c r="X71" s="54"/>
      <c r="Y71" s="54"/>
      <c r="Z71" s="54"/>
      <c r="AA71" s="55"/>
      <c r="AB71" s="55"/>
      <c r="AC71" s="55"/>
      <c r="AD71" s="55"/>
      <c r="AE71" s="54"/>
      <c r="AF71" s="54"/>
      <c r="AG71" s="54"/>
      <c r="AH71" s="54"/>
      <c r="AI71" s="55"/>
      <c r="AJ71" s="54"/>
      <c r="AW71" s="18">
        <f t="shared" si="1"/>
        <v>0</v>
      </c>
    </row>
    <row r="72" spans="10:49" ht="15">
      <c r="J72" s="602"/>
      <c r="K72" s="80"/>
      <c r="L72" s="314"/>
      <c r="M72" s="314"/>
      <c r="N72" s="140"/>
      <c r="O72" s="140"/>
      <c r="P72" s="140"/>
      <c r="Q72" s="140"/>
      <c r="R72" s="140"/>
      <c r="S72" s="140"/>
      <c r="T72" s="68"/>
      <c r="U72" s="54"/>
      <c r="V72" s="54"/>
      <c r="W72" s="54"/>
      <c r="X72" s="54"/>
      <c r="Y72" s="54"/>
      <c r="Z72" s="54"/>
      <c r="AA72" s="55"/>
      <c r="AB72" s="55"/>
      <c r="AC72" s="55"/>
      <c r="AD72" s="55"/>
      <c r="AE72" s="54"/>
      <c r="AF72" s="54"/>
      <c r="AG72" s="54"/>
      <c r="AH72" s="54"/>
      <c r="AI72" s="55"/>
      <c r="AJ72" s="54"/>
      <c r="AW72" s="18">
        <f t="shared" si="1"/>
        <v>0</v>
      </c>
    </row>
    <row r="73" spans="10:49" ht="15">
      <c r="J73" s="602"/>
      <c r="K73" s="80"/>
      <c r="L73" s="314"/>
      <c r="M73" s="314"/>
      <c r="N73" s="140"/>
      <c r="O73" s="140"/>
      <c r="P73" s="140"/>
      <c r="Q73" s="140"/>
      <c r="R73" s="140"/>
      <c r="S73" s="140"/>
      <c r="T73" s="68"/>
      <c r="U73" s="54"/>
      <c r="V73" s="54"/>
      <c r="W73" s="54"/>
      <c r="X73" s="54"/>
      <c r="Y73" s="54"/>
      <c r="Z73" s="54"/>
      <c r="AA73" s="55"/>
      <c r="AB73" s="55"/>
      <c r="AC73" s="55"/>
      <c r="AD73" s="55"/>
      <c r="AE73" s="54"/>
      <c r="AF73" s="54"/>
      <c r="AG73" s="54"/>
      <c r="AH73" s="54"/>
      <c r="AI73" s="55"/>
      <c r="AJ73" s="54"/>
      <c r="AW73" s="18">
        <f t="shared" si="1"/>
        <v>0</v>
      </c>
    </row>
    <row r="74" spans="10:49" ht="15">
      <c r="J74" s="602"/>
      <c r="K74" s="80"/>
      <c r="L74" s="314"/>
      <c r="M74" s="314"/>
      <c r="N74" s="140"/>
      <c r="O74" s="140"/>
      <c r="P74" s="140"/>
      <c r="Q74" s="140"/>
      <c r="R74" s="140"/>
      <c r="S74" s="140"/>
      <c r="T74" s="68"/>
      <c r="U74" s="54"/>
      <c r="V74" s="54"/>
      <c r="W74" s="54"/>
      <c r="X74" s="54"/>
      <c r="Y74" s="54"/>
      <c r="Z74" s="54"/>
      <c r="AA74" s="55"/>
      <c r="AB74" s="55"/>
      <c r="AC74" s="55"/>
      <c r="AD74" s="55"/>
      <c r="AE74" s="54"/>
      <c r="AF74" s="54"/>
      <c r="AG74" s="54"/>
      <c r="AH74" s="54"/>
      <c r="AI74" s="55"/>
      <c r="AJ74" s="54"/>
      <c r="AW74" s="18">
        <f t="shared" si="1"/>
        <v>0</v>
      </c>
    </row>
    <row r="75" spans="10:49" ht="15">
      <c r="J75" s="602"/>
      <c r="K75" s="80"/>
      <c r="L75" s="314"/>
      <c r="M75" s="314"/>
      <c r="N75" s="140"/>
      <c r="O75" s="140"/>
      <c r="P75" s="140"/>
      <c r="Q75" s="140"/>
      <c r="R75" s="140"/>
      <c r="S75" s="140"/>
      <c r="T75" s="68"/>
      <c r="U75" s="54"/>
      <c r="V75" s="54"/>
      <c r="W75" s="54"/>
      <c r="X75" s="54"/>
      <c r="Y75" s="54"/>
      <c r="Z75" s="54"/>
      <c r="AA75" s="55"/>
      <c r="AB75" s="55"/>
      <c r="AC75" s="55"/>
      <c r="AD75" s="55"/>
      <c r="AE75" s="54"/>
      <c r="AF75" s="54"/>
      <c r="AG75" s="54"/>
      <c r="AH75" s="54"/>
      <c r="AI75" s="55"/>
      <c r="AJ75" s="54"/>
      <c r="AW75" s="18">
        <f t="shared" si="1"/>
        <v>0</v>
      </c>
    </row>
    <row r="76" spans="10:49" ht="15">
      <c r="J76" s="602"/>
      <c r="K76" s="80"/>
      <c r="L76" s="314"/>
      <c r="M76" s="314"/>
      <c r="N76" s="140"/>
      <c r="O76" s="140"/>
      <c r="P76" s="140"/>
      <c r="Q76" s="140"/>
      <c r="R76" s="140"/>
      <c r="S76" s="140"/>
      <c r="T76" s="68"/>
      <c r="U76" s="54"/>
      <c r="V76" s="54"/>
      <c r="W76" s="54"/>
      <c r="X76" s="54"/>
      <c r="Y76" s="54"/>
      <c r="Z76" s="54"/>
      <c r="AA76" s="55"/>
      <c r="AB76" s="55"/>
      <c r="AC76" s="55"/>
      <c r="AD76" s="55"/>
      <c r="AE76" s="54"/>
      <c r="AF76" s="54"/>
      <c r="AG76" s="54"/>
      <c r="AH76" s="54"/>
      <c r="AI76" s="55"/>
      <c r="AJ76" s="54"/>
      <c r="AW76" s="18">
        <f t="shared" si="1"/>
        <v>0</v>
      </c>
    </row>
    <row r="77" spans="10:49" ht="15">
      <c r="J77" s="602"/>
      <c r="K77" s="80"/>
      <c r="L77" s="314"/>
      <c r="M77" s="314"/>
      <c r="N77" s="140"/>
      <c r="O77" s="140"/>
      <c r="P77" s="140"/>
      <c r="Q77" s="140"/>
      <c r="R77" s="140"/>
      <c r="S77" s="140"/>
      <c r="T77" s="68"/>
      <c r="U77" s="54"/>
      <c r="V77" s="54"/>
      <c r="W77" s="54"/>
      <c r="X77" s="54"/>
      <c r="Y77" s="54"/>
      <c r="Z77" s="54"/>
      <c r="AA77" s="55"/>
      <c r="AB77" s="55"/>
      <c r="AC77" s="55"/>
      <c r="AD77" s="55"/>
      <c r="AE77" s="54"/>
      <c r="AF77" s="54"/>
      <c r="AG77" s="54"/>
      <c r="AH77" s="54"/>
      <c r="AI77" s="55"/>
      <c r="AJ77" s="54"/>
      <c r="AW77" s="18">
        <f t="shared" si="1"/>
        <v>0</v>
      </c>
    </row>
    <row r="78" spans="10:49" ht="15">
      <c r="J78" s="602"/>
      <c r="K78" s="80"/>
      <c r="L78" s="314"/>
      <c r="M78" s="314"/>
      <c r="N78" s="140"/>
      <c r="O78" s="140"/>
      <c r="P78" s="140"/>
      <c r="Q78" s="140"/>
      <c r="R78" s="140"/>
      <c r="S78" s="140"/>
      <c r="T78" s="68"/>
      <c r="U78" s="54"/>
      <c r="V78" s="54"/>
      <c r="W78" s="54"/>
      <c r="X78" s="54"/>
      <c r="Y78" s="54"/>
      <c r="Z78" s="54"/>
      <c r="AA78" s="55"/>
      <c r="AB78" s="55"/>
      <c r="AC78" s="55"/>
      <c r="AD78" s="55"/>
      <c r="AE78" s="54"/>
      <c r="AF78" s="54"/>
      <c r="AG78" s="54"/>
      <c r="AH78" s="54"/>
      <c r="AI78" s="55"/>
      <c r="AJ78" s="54"/>
      <c r="AW78" s="18">
        <f t="shared" si="1"/>
        <v>0</v>
      </c>
    </row>
    <row r="79" spans="10:49" ht="15">
      <c r="J79" s="601"/>
      <c r="K79" s="54"/>
      <c r="L79" s="398"/>
      <c r="M79" s="590"/>
      <c r="N79" s="68"/>
      <c r="O79" s="68"/>
      <c r="P79" s="68"/>
      <c r="Q79" s="68"/>
      <c r="R79" s="68"/>
      <c r="S79" s="68"/>
      <c r="T79" s="68"/>
      <c r="U79" s="54"/>
      <c r="V79" s="54"/>
      <c r="W79" s="54"/>
      <c r="X79" s="54"/>
      <c r="Y79" s="54"/>
      <c r="Z79" s="54"/>
      <c r="AA79" s="55"/>
      <c r="AB79" s="55"/>
      <c r="AC79" s="55"/>
      <c r="AD79" s="55"/>
      <c r="AE79" s="54"/>
      <c r="AF79" s="54"/>
      <c r="AG79" s="54"/>
      <c r="AH79" s="54"/>
      <c r="AI79" s="55"/>
      <c r="AJ79" s="54"/>
      <c r="AW79" s="18">
        <f t="shared" si="1"/>
        <v>0</v>
      </c>
    </row>
    <row r="80" spans="10:49" ht="15">
      <c r="J80" s="601"/>
      <c r="K80" s="54"/>
      <c r="L80" s="398"/>
      <c r="M80" s="590"/>
      <c r="N80" s="68"/>
      <c r="O80" s="68"/>
      <c r="P80" s="68"/>
      <c r="Q80" s="68"/>
      <c r="R80" s="68"/>
      <c r="S80" s="68"/>
      <c r="T80" s="68"/>
      <c r="U80" s="54"/>
      <c r="V80" s="54"/>
      <c r="W80" s="54"/>
      <c r="X80" s="54"/>
      <c r="Y80" s="54"/>
      <c r="Z80" s="54"/>
      <c r="AA80" s="55"/>
      <c r="AB80" s="55"/>
      <c r="AC80" s="55"/>
      <c r="AD80" s="55"/>
      <c r="AE80" s="54"/>
      <c r="AF80" s="54"/>
      <c r="AG80" s="54"/>
      <c r="AH80" s="54"/>
      <c r="AI80" s="55"/>
      <c r="AJ80" s="54"/>
      <c r="AW80" s="18">
        <f t="shared" si="1"/>
        <v>0</v>
      </c>
    </row>
    <row r="81" spans="10:49" ht="15">
      <c r="J81" s="601"/>
      <c r="K81" s="54"/>
      <c r="L81" s="398"/>
      <c r="M81" s="590"/>
      <c r="N81" s="68"/>
      <c r="O81" s="68"/>
      <c r="P81" s="68"/>
      <c r="Q81" s="68"/>
      <c r="R81" s="68"/>
      <c r="S81" s="68"/>
      <c r="T81" s="68"/>
      <c r="U81" s="54"/>
      <c r="V81" s="54"/>
      <c r="W81" s="54"/>
      <c r="X81" s="54"/>
      <c r="Y81" s="54"/>
      <c r="Z81" s="54"/>
      <c r="AA81" s="55"/>
      <c r="AB81" s="55"/>
      <c r="AC81" s="55"/>
      <c r="AD81" s="55"/>
      <c r="AE81" s="54"/>
      <c r="AF81" s="54"/>
      <c r="AG81" s="54"/>
      <c r="AH81" s="54"/>
      <c r="AI81" s="55"/>
      <c r="AJ81" s="54"/>
      <c r="AW81" s="18">
        <f t="shared" si="1"/>
        <v>0</v>
      </c>
    </row>
    <row r="82" spans="10:49" ht="15">
      <c r="J82" s="601"/>
      <c r="K82" s="54"/>
      <c r="L82" s="398"/>
      <c r="M82" s="590"/>
      <c r="N82" s="68"/>
      <c r="O82" s="68"/>
      <c r="P82" s="68"/>
      <c r="Q82" s="68"/>
      <c r="R82" s="68"/>
      <c r="S82" s="68"/>
      <c r="T82" s="68"/>
      <c r="U82" s="54"/>
      <c r="V82" s="54"/>
      <c r="W82" s="54"/>
      <c r="X82" s="54"/>
      <c r="Y82" s="54"/>
      <c r="Z82" s="54"/>
      <c r="AA82" s="55"/>
      <c r="AB82" s="55"/>
      <c r="AC82" s="55"/>
      <c r="AD82" s="55"/>
      <c r="AE82" s="54"/>
      <c r="AF82" s="54"/>
      <c r="AG82" s="54"/>
      <c r="AH82" s="54"/>
      <c r="AI82" s="55"/>
      <c r="AJ82" s="54"/>
      <c r="AW82" s="18">
        <f t="shared" si="1"/>
        <v>0</v>
      </c>
    </row>
    <row r="83" spans="10:49" ht="15">
      <c r="J83" s="601"/>
      <c r="K83" s="54"/>
      <c r="L83" s="398"/>
      <c r="M83" s="590"/>
      <c r="N83" s="68"/>
      <c r="O83" s="68"/>
      <c r="P83" s="68"/>
      <c r="Q83" s="68"/>
      <c r="R83" s="68"/>
      <c r="S83" s="68"/>
      <c r="T83" s="68"/>
      <c r="U83" s="54"/>
      <c r="V83" s="54"/>
      <c r="W83" s="54"/>
      <c r="X83" s="54"/>
      <c r="Y83" s="54"/>
      <c r="Z83" s="54"/>
      <c r="AA83" s="55"/>
      <c r="AB83" s="55"/>
      <c r="AC83" s="55"/>
      <c r="AD83" s="55"/>
      <c r="AE83" s="54"/>
      <c r="AF83" s="54"/>
      <c r="AG83" s="54"/>
      <c r="AH83" s="54"/>
      <c r="AI83" s="55"/>
      <c r="AJ83" s="54"/>
      <c r="AW83" s="18">
        <f t="shared" si="1"/>
        <v>0</v>
      </c>
    </row>
    <row r="84" spans="10:49" ht="15">
      <c r="J84" s="601"/>
      <c r="K84" s="54"/>
      <c r="L84" s="398"/>
      <c r="M84" s="590"/>
      <c r="N84" s="68"/>
      <c r="O84" s="68"/>
      <c r="P84" s="68"/>
      <c r="Q84" s="68"/>
      <c r="R84" s="68"/>
      <c r="S84" s="68"/>
      <c r="T84" s="68"/>
      <c r="U84" s="54"/>
      <c r="V84" s="54"/>
      <c r="W84" s="54"/>
      <c r="X84" s="54"/>
      <c r="Y84" s="54"/>
      <c r="Z84" s="54"/>
      <c r="AA84" s="55"/>
      <c r="AB84" s="55"/>
      <c r="AC84" s="55"/>
      <c r="AD84" s="55"/>
      <c r="AE84" s="54"/>
      <c r="AF84" s="54"/>
      <c r="AG84" s="54"/>
      <c r="AH84" s="54"/>
      <c r="AI84" s="55"/>
      <c r="AJ84" s="54"/>
      <c r="AW84" s="18">
        <f t="shared" si="1"/>
        <v>0</v>
      </c>
    </row>
    <row r="85" spans="10:49" ht="15">
      <c r="J85" s="601"/>
      <c r="K85" s="54"/>
      <c r="L85" s="398"/>
      <c r="M85" s="590"/>
      <c r="N85" s="68"/>
      <c r="O85" s="68"/>
      <c r="P85" s="68"/>
      <c r="Q85" s="68"/>
      <c r="R85" s="68"/>
      <c r="S85" s="68"/>
      <c r="T85" s="68"/>
      <c r="U85" s="54"/>
      <c r="V85" s="54"/>
      <c r="W85" s="54"/>
      <c r="X85" s="54"/>
      <c r="Y85" s="54"/>
      <c r="Z85" s="54"/>
      <c r="AA85" s="55"/>
      <c r="AB85" s="55"/>
      <c r="AC85" s="55"/>
      <c r="AD85" s="55"/>
      <c r="AE85" s="54"/>
      <c r="AF85" s="54"/>
      <c r="AG85" s="54"/>
      <c r="AH85" s="54"/>
      <c r="AI85" s="55"/>
      <c r="AJ85" s="54"/>
      <c r="AW85" s="18">
        <f t="shared" si="1"/>
        <v>0</v>
      </c>
    </row>
    <row r="86" spans="10:49" ht="15">
      <c r="J86" s="601"/>
      <c r="K86" s="54"/>
      <c r="L86" s="398"/>
      <c r="M86" s="590"/>
      <c r="N86" s="68"/>
      <c r="O86" s="68"/>
      <c r="P86" s="68"/>
      <c r="Q86" s="68"/>
      <c r="R86" s="68"/>
      <c r="S86" s="68"/>
      <c r="T86" s="68"/>
      <c r="U86" s="54"/>
      <c r="V86" s="54"/>
      <c r="W86" s="54"/>
      <c r="X86" s="54"/>
      <c r="Y86" s="54"/>
      <c r="Z86" s="54"/>
      <c r="AA86" s="55"/>
      <c r="AB86" s="55"/>
      <c r="AC86" s="55"/>
      <c r="AD86" s="55"/>
      <c r="AE86" s="54"/>
      <c r="AF86" s="54"/>
      <c r="AG86" s="54"/>
      <c r="AH86" s="54"/>
      <c r="AI86" s="55"/>
      <c r="AJ86" s="54"/>
      <c r="AW86" s="18">
        <f t="shared" si="1"/>
        <v>0</v>
      </c>
    </row>
    <row r="87" spans="10:49" ht="15">
      <c r="J87" s="601"/>
      <c r="K87" s="54"/>
      <c r="L87" s="56"/>
      <c r="M87" s="56"/>
      <c r="N87" s="68"/>
      <c r="O87" s="68"/>
      <c r="P87" s="68"/>
      <c r="Q87" s="68"/>
      <c r="R87" s="68"/>
      <c r="S87" s="68"/>
      <c r="T87" s="68"/>
      <c r="U87" s="54"/>
      <c r="V87" s="54"/>
      <c r="W87" s="54"/>
      <c r="X87" s="54"/>
      <c r="Y87" s="54"/>
      <c r="Z87" s="54"/>
      <c r="AA87" s="55"/>
      <c r="AB87" s="55"/>
      <c r="AC87" s="55"/>
      <c r="AD87" s="55"/>
      <c r="AE87" s="54"/>
      <c r="AF87" s="54"/>
      <c r="AG87" s="54"/>
      <c r="AH87" s="54"/>
      <c r="AI87" s="55"/>
      <c r="AJ87" s="54"/>
      <c r="AW87" s="18">
        <f t="shared" si="1"/>
        <v>0</v>
      </c>
    </row>
    <row r="88" spans="10:49" ht="15">
      <c r="J88" s="601"/>
      <c r="K88" s="54"/>
      <c r="L88" s="56"/>
      <c r="M88" s="56"/>
      <c r="N88" s="68"/>
      <c r="O88" s="68"/>
      <c r="P88" s="68"/>
      <c r="Q88" s="68"/>
      <c r="R88" s="68"/>
      <c r="S88" s="68"/>
      <c r="T88" s="68"/>
      <c r="U88" s="54"/>
      <c r="V88" s="54"/>
      <c r="W88" s="54"/>
      <c r="X88" s="54"/>
      <c r="Y88" s="54"/>
      <c r="Z88" s="54"/>
      <c r="AA88" s="55"/>
      <c r="AB88" s="55"/>
      <c r="AC88" s="55"/>
      <c r="AD88" s="55"/>
      <c r="AE88" s="54"/>
      <c r="AF88" s="54"/>
      <c r="AG88" s="54"/>
      <c r="AH88" s="54"/>
      <c r="AI88" s="55"/>
      <c r="AJ88" s="54"/>
      <c r="AW88" s="18">
        <f t="shared" si="1"/>
        <v>0</v>
      </c>
    </row>
    <row r="89" spans="10:49" ht="15">
      <c r="J89" s="601"/>
      <c r="K89" s="54"/>
      <c r="L89" s="398"/>
      <c r="M89" s="590"/>
      <c r="N89" s="68"/>
      <c r="O89" s="68"/>
      <c r="P89" s="68"/>
      <c r="Q89" s="68"/>
      <c r="R89" s="68"/>
      <c r="S89" s="68"/>
      <c r="T89" s="68"/>
      <c r="U89" s="54"/>
      <c r="V89" s="54"/>
      <c r="W89" s="54"/>
      <c r="X89" s="54"/>
      <c r="Y89" s="54"/>
      <c r="Z89" s="54"/>
      <c r="AA89" s="55"/>
      <c r="AB89" s="55"/>
      <c r="AC89" s="55"/>
      <c r="AD89" s="55"/>
      <c r="AE89" s="54"/>
      <c r="AF89" s="54"/>
      <c r="AG89" s="54"/>
      <c r="AH89" s="54"/>
      <c r="AI89" s="55"/>
      <c r="AJ89" s="54"/>
      <c r="AW89" s="18">
        <f t="shared" si="1"/>
        <v>0</v>
      </c>
    </row>
    <row r="90" spans="10:49" ht="15">
      <c r="J90" s="692"/>
      <c r="K90" s="54"/>
      <c r="L90" s="687"/>
      <c r="M90" s="590"/>
      <c r="N90" s="68"/>
      <c r="O90" s="68"/>
      <c r="P90" s="68"/>
      <c r="Q90" s="68"/>
      <c r="R90" s="68"/>
      <c r="S90" s="68"/>
      <c r="T90" s="68"/>
      <c r="U90" s="54"/>
      <c r="V90" s="54"/>
      <c r="W90" s="54"/>
      <c r="X90" s="54"/>
      <c r="Y90" s="54"/>
      <c r="Z90" s="54"/>
      <c r="AA90" s="54"/>
      <c r="AB90" s="54"/>
      <c r="AC90" s="54"/>
      <c r="AD90" s="54"/>
      <c r="AE90" s="54"/>
      <c r="AF90" s="54"/>
      <c r="AG90" s="54"/>
      <c r="AH90" s="54"/>
      <c r="AI90" s="54"/>
      <c r="AJ90" s="54"/>
      <c r="AW90" s="18">
        <f t="shared" si="1"/>
        <v>0</v>
      </c>
    </row>
    <row r="91" spans="10:49" ht="15">
      <c r="J91" s="692"/>
      <c r="K91" s="54"/>
      <c r="L91" s="687"/>
      <c r="M91" s="590"/>
      <c r="N91" s="68"/>
      <c r="O91" s="68"/>
      <c r="P91" s="68"/>
      <c r="Q91" s="68"/>
      <c r="R91" s="68"/>
      <c r="S91" s="68"/>
      <c r="T91" s="68"/>
      <c r="U91" s="54"/>
      <c r="V91" s="54"/>
      <c r="W91" s="54"/>
      <c r="X91" s="54"/>
      <c r="Y91" s="54"/>
      <c r="Z91" s="54"/>
      <c r="AA91" s="54"/>
      <c r="AB91" s="54"/>
      <c r="AC91" s="54"/>
      <c r="AD91" s="54"/>
      <c r="AE91" s="54"/>
      <c r="AF91" s="54"/>
      <c r="AG91" s="54"/>
      <c r="AH91" s="54"/>
      <c r="AI91" s="54"/>
      <c r="AJ91" s="54"/>
      <c r="AW91" s="18">
        <f t="shared" si="1"/>
        <v>0</v>
      </c>
    </row>
    <row r="92" spans="10:49" ht="15">
      <c r="J92" s="692"/>
      <c r="K92" s="54"/>
      <c r="L92" s="687"/>
      <c r="M92" s="590"/>
      <c r="N92" s="68"/>
      <c r="O92" s="68"/>
      <c r="P92" s="68"/>
      <c r="Q92" s="68"/>
      <c r="R92" s="68"/>
      <c r="S92" s="68"/>
      <c r="T92" s="68"/>
      <c r="U92" s="54"/>
      <c r="V92" s="54"/>
      <c r="W92" s="54"/>
      <c r="X92" s="54"/>
      <c r="Y92" s="54"/>
      <c r="Z92" s="54"/>
      <c r="AA92" s="54"/>
      <c r="AB92" s="54"/>
      <c r="AC92" s="54"/>
      <c r="AD92" s="54"/>
      <c r="AE92" s="54"/>
      <c r="AF92" s="54"/>
      <c r="AG92" s="54"/>
      <c r="AH92" s="54"/>
      <c r="AI92" s="54"/>
      <c r="AJ92" s="54"/>
      <c r="AW92" s="18">
        <f t="shared" si="1"/>
        <v>0</v>
      </c>
    </row>
    <row r="93" spans="10:49" ht="15">
      <c r="J93" s="692"/>
      <c r="K93" s="54"/>
      <c r="L93" s="687"/>
      <c r="M93" s="590"/>
      <c r="N93" s="68"/>
      <c r="O93" s="68"/>
      <c r="P93" s="68"/>
      <c r="Q93" s="68"/>
      <c r="R93" s="68"/>
      <c r="S93" s="68"/>
      <c r="T93" s="68"/>
      <c r="U93" s="54"/>
      <c r="V93" s="54"/>
      <c r="W93" s="54"/>
      <c r="X93" s="54"/>
      <c r="Y93" s="54"/>
      <c r="Z93" s="54"/>
      <c r="AA93" s="54"/>
      <c r="AB93" s="54"/>
      <c r="AC93" s="54"/>
      <c r="AD93" s="54"/>
      <c r="AE93" s="54"/>
      <c r="AF93" s="54"/>
      <c r="AG93" s="54"/>
      <c r="AH93" s="54"/>
      <c r="AI93" s="54"/>
      <c r="AJ93" s="54"/>
      <c r="AW93" s="18">
        <f t="shared" si="1"/>
        <v>0</v>
      </c>
    </row>
    <row r="94" spans="10:49" ht="15">
      <c r="J94" s="692"/>
      <c r="K94" s="54"/>
      <c r="L94" s="687"/>
      <c r="M94" s="590"/>
      <c r="N94" s="68"/>
      <c r="O94" s="68"/>
      <c r="P94" s="68"/>
      <c r="Q94" s="68"/>
      <c r="R94" s="68"/>
      <c r="S94" s="68"/>
      <c r="T94" s="68"/>
      <c r="U94" s="54"/>
      <c r="V94" s="54"/>
      <c r="W94" s="54"/>
      <c r="X94" s="54"/>
      <c r="Y94" s="54"/>
      <c r="Z94" s="54"/>
      <c r="AA94" s="54"/>
      <c r="AB94" s="54"/>
      <c r="AC94" s="54"/>
      <c r="AD94" s="54"/>
      <c r="AE94" s="54"/>
      <c r="AF94" s="54"/>
      <c r="AG94" s="54"/>
      <c r="AH94" s="54"/>
      <c r="AI94" s="54"/>
      <c r="AJ94" s="54"/>
      <c r="AW94" s="18">
        <f t="shared" si="1"/>
        <v>0</v>
      </c>
    </row>
    <row r="95" spans="10:49" ht="15">
      <c r="J95" s="692"/>
      <c r="K95" s="54"/>
      <c r="L95" s="687"/>
      <c r="M95" s="590"/>
      <c r="N95" s="68"/>
      <c r="O95" s="68"/>
      <c r="P95" s="68"/>
      <c r="Q95" s="68"/>
      <c r="R95" s="68"/>
      <c r="S95" s="68"/>
      <c r="T95" s="68"/>
      <c r="U95" s="54"/>
      <c r="V95" s="54"/>
      <c r="W95" s="54"/>
      <c r="X95" s="54"/>
      <c r="Y95" s="54"/>
      <c r="Z95" s="54"/>
      <c r="AA95" s="54"/>
      <c r="AB95" s="54"/>
      <c r="AC95" s="54"/>
      <c r="AD95" s="54"/>
      <c r="AE95" s="54"/>
      <c r="AF95" s="54"/>
      <c r="AG95" s="54"/>
      <c r="AH95" s="54"/>
      <c r="AI95" s="54"/>
      <c r="AJ95" s="54"/>
      <c r="AW95" s="18">
        <f t="shared" si="1"/>
        <v>0</v>
      </c>
    </row>
    <row r="96" spans="10:49" ht="15">
      <c r="J96" s="692"/>
      <c r="K96" s="54"/>
      <c r="L96" s="687"/>
      <c r="M96" s="590"/>
      <c r="N96" s="68"/>
      <c r="O96" s="68"/>
      <c r="P96" s="68"/>
      <c r="Q96" s="68"/>
      <c r="R96" s="68"/>
      <c r="S96" s="68"/>
      <c r="T96" s="68"/>
      <c r="U96" s="54"/>
      <c r="V96" s="54"/>
      <c r="W96" s="54"/>
      <c r="X96" s="54"/>
      <c r="Y96" s="54"/>
      <c r="Z96" s="54"/>
      <c r="AA96" s="54"/>
      <c r="AB96" s="54"/>
      <c r="AC96" s="54"/>
      <c r="AD96" s="54"/>
      <c r="AE96" s="54"/>
      <c r="AF96" s="54"/>
      <c r="AG96" s="54"/>
      <c r="AH96" s="54"/>
      <c r="AI96" s="54"/>
      <c r="AJ96" s="54"/>
      <c r="AW96" s="18">
        <f t="shared" ref="AW96:AW159" si="2">LEN(L96)</f>
        <v>0</v>
      </c>
    </row>
    <row r="97" spans="10:49" ht="15">
      <c r="J97" s="692"/>
      <c r="K97" s="54"/>
      <c r="L97" s="687"/>
      <c r="M97" s="590"/>
      <c r="N97" s="68"/>
      <c r="O97" s="68"/>
      <c r="P97" s="68"/>
      <c r="Q97" s="68"/>
      <c r="R97" s="68"/>
      <c r="S97" s="68"/>
      <c r="T97" s="68"/>
      <c r="U97" s="54"/>
      <c r="V97" s="54"/>
      <c r="W97" s="54"/>
      <c r="X97" s="54"/>
      <c r="Y97" s="54"/>
      <c r="Z97" s="54"/>
      <c r="AA97" s="54"/>
      <c r="AB97" s="54"/>
      <c r="AC97" s="54"/>
      <c r="AD97" s="54"/>
      <c r="AE97" s="54"/>
      <c r="AF97" s="54"/>
      <c r="AG97" s="54"/>
      <c r="AH97" s="54"/>
      <c r="AI97" s="54"/>
      <c r="AJ97" s="54"/>
      <c r="AW97" s="18">
        <f t="shared" si="2"/>
        <v>0</v>
      </c>
    </row>
    <row r="98" spans="10:49" ht="15">
      <c r="J98" s="692"/>
      <c r="K98" s="54"/>
      <c r="L98" s="687"/>
      <c r="M98" s="590"/>
      <c r="N98" s="68"/>
      <c r="O98" s="68"/>
      <c r="P98" s="68"/>
      <c r="Q98" s="68"/>
      <c r="R98" s="68"/>
      <c r="S98" s="68"/>
      <c r="T98" s="68"/>
      <c r="U98" s="54"/>
      <c r="V98" s="54"/>
      <c r="W98" s="54"/>
      <c r="X98" s="54"/>
      <c r="Y98" s="54"/>
      <c r="Z98" s="54"/>
      <c r="AA98" s="54"/>
      <c r="AB98" s="54"/>
      <c r="AC98" s="54"/>
      <c r="AD98" s="54"/>
      <c r="AE98" s="54"/>
      <c r="AF98" s="54"/>
      <c r="AG98" s="54"/>
      <c r="AH98" s="54"/>
      <c r="AI98" s="54"/>
      <c r="AJ98" s="54"/>
      <c r="AW98" s="18">
        <f t="shared" si="2"/>
        <v>0</v>
      </c>
    </row>
    <row r="99" spans="10:49" ht="15">
      <c r="J99" s="692"/>
      <c r="K99" s="54"/>
      <c r="L99" s="687"/>
      <c r="M99" s="590"/>
      <c r="N99" s="68"/>
      <c r="O99" s="68"/>
      <c r="P99" s="68"/>
      <c r="Q99" s="68"/>
      <c r="R99" s="68"/>
      <c r="S99" s="68"/>
      <c r="T99" s="68"/>
      <c r="U99" s="54"/>
      <c r="V99" s="54"/>
      <c r="W99" s="54"/>
      <c r="X99" s="54"/>
      <c r="Y99" s="54"/>
      <c r="Z99" s="54"/>
      <c r="AA99" s="54"/>
      <c r="AB99" s="54"/>
      <c r="AC99" s="54"/>
      <c r="AD99" s="54"/>
      <c r="AE99" s="54"/>
      <c r="AF99" s="54"/>
      <c r="AG99" s="54"/>
      <c r="AH99" s="54"/>
      <c r="AI99" s="54"/>
      <c r="AJ99" s="54"/>
      <c r="AW99" s="18">
        <f t="shared" si="2"/>
        <v>0</v>
      </c>
    </row>
    <row r="100" spans="10:49" ht="15">
      <c r="J100" s="692"/>
      <c r="K100" s="54"/>
      <c r="L100" s="687"/>
      <c r="M100" s="590"/>
      <c r="N100" s="68"/>
      <c r="O100" s="68"/>
      <c r="P100" s="68"/>
      <c r="Q100" s="68"/>
      <c r="R100" s="68"/>
      <c r="S100" s="68"/>
      <c r="T100" s="68"/>
      <c r="U100" s="54"/>
      <c r="V100" s="54"/>
      <c r="W100" s="54"/>
      <c r="X100" s="54"/>
      <c r="Y100" s="54"/>
      <c r="Z100" s="54"/>
      <c r="AA100" s="54"/>
      <c r="AB100" s="54"/>
      <c r="AC100" s="54"/>
      <c r="AD100" s="54"/>
      <c r="AE100" s="54"/>
      <c r="AF100" s="54"/>
      <c r="AG100" s="54"/>
      <c r="AH100" s="54"/>
      <c r="AI100" s="54"/>
      <c r="AJ100" s="54"/>
      <c r="AW100" s="18">
        <f t="shared" si="2"/>
        <v>0</v>
      </c>
    </row>
    <row r="101" spans="10:49" ht="15">
      <c r="J101" s="692"/>
      <c r="K101" s="54"/>
      <c r="L101" s="687"/>
      <c r="M101" s="590"/>
      <c r="N101" s="68"/>
      <c r="O101" s="68"/>
      <c r="P101" s="68"/>
      <c r="Q101" s="68"/>
      <c r="R101" s="68"/>
      <c r="S101" s="68"/>
      <c r="T101" s="68"/>
      <c r="U101" s="54"/>
      <c r="V101" s="54"/>
      <c r="W101" s="54"/>
      <c r="X101" s="54"/>
      <c r="Y101" s="54"/>
      <c r="Z101" s="54"/>
      <c r="AA101" s="54"/>
      <c r="AB101" s="54"/>
      <c r="AC101" s="54"/>
      <c r="AD101" s="54"/>
      <c r="AE101" s="54"/>
      <c r="AF101" s="54"/>
      <c r="AG101" s="54"/>
      <c r="AH101" s="54"/>
      <c r="AI101" s="54"/>
      <c r="AJ101" s="54"/>
      <c r="AW101" s="18">
        <f t="shared" si="2"/>
        <v>0</v>
      </c>
    </row>
    <row r="102" spans="10:49" ht="15">
      <c r="J102" s="692"/>
      <c r="K102" s="54"/>
      <c r="L102" s="687"/>
      <c r="M102" s="590"/>
      <c r="N102" s="68"/>
      <c r="O102" s="68"/>
      <c r="P102" s="68"/>
      <c r="Q102" s="68"/>
      <c r="R102" s="68"/>
      <c r="S102" s="68"/>
      <c r="T102" s="68"/>
      <c r="U102" s="54"/>
      <c r="V102" s="54"/>
      <c r="W102" s="54"/>
      <c r="X102" s="54"/>
      <c r="Y102" s="54"/>
      <c r="Z102" s="54"/>
      <c r="AA102" s="54"/>
      <c r="AB102" s="54"/>
      <c r="AC102" s="54"/>
      <c r="AD102" s="54"/>
      <c r="AE102" s="54"/>
      <c r="AF102" s="54"/>
      <c r="AG102" s="54"/>
      <c r="AH102" s="54"/>
      <c r="AI102" s="54"/>
      <c r="AJ102" s="54"/>
      <c r="AW102" s="18">
        <f t="shared" si="2"/>
        <v>0</v>
      </c>
    </row>
    <row r="103" spans="10:49" ht="15">
      <c r="J103" s="692"/>
      <c r="K103" s="54"/>
      <c r="L103" s="687"/>
      <c r="M103" s="590"/>
      <c r="N103" s="68"/>
      <c r="O103" s="68"/>
      <c r="P103" s="68"/>
      <c r="Q103" s="68"/>
      <c r="R103" s="68"/>
      <c r="S103" s="68"/>
      <c r="T103" s="68"/>
      <c r="U103" s="54"/>
      <c r="V103" s="54"/>
      <c r="W103" s="54"/>
      <c r="X103" s="54"/>
      <c r="Y103" s="54"/>
      <c r="Z103" s="54"/>
      <c r="AA103" s="54"/>
      <c r="AB103" s="54"/>
      <c r="AC103" s="54"/>
      <c r="AD103" s="54"/>
      <c r="AE103" s="54"/>
      <c r="AF103" s="54"/>
      <c r="AG103" s="54"/>
      <c r="AH103" s="54"/>
      <c r="AI103" s="54"/>
      <c r="AJ103" s="54"/>
      <c r="AW103" s="18">
        <f t="shared" si="2"/>
        <v>0</v>
      </c>
    </row>
    <row r="104" spans="10:49" ht="15">
      <c r="J104" s="692"/>
      <c r="K104" s="54"/>
      <c r="L104" s="687"/>
      <c r="M104" s="590"/>
      <c r="N104" s="68"/>
      <c r="O104" s="68"/>
      <c r="P104" s="68"/>
      <c r="Q104" s="68"/>
      <c r="R104" s="68"/>
      <c r="S104" s="68"/>
      <c r="T104" s="68"/>
      <c r="U104" s="54"/>
      <c r="V104" s="54"/>
      <c r="W104" s="54"/>
      <c r="X104" s="54"/>
      <c r="Y104" s="54"/>
      <c r="Z104" s="54"/>
      <c r="AA104" s="54"/>
      <c r="AB104" s="54"/>
      <c r="AC104" s="54"/>
      <c r="AD104" s="54"/>
      <c r="AE104" s="54"/>
      <c r="AF104" s="54"/>
      <c r="AG104" s="54"/>
      <c r="AH104" s="54"/>
      <c r="AI104" s="54"/>
      <c r="AJ104" s="54"/>
      <c r="AW104" s="18">
        <f t="shared" si="2"/>
        <v>0</v>
      </c>
    </row>
    <row r="105" spans="10:49" ht="15">
      <c r="J105" s="692"/>
      <c r="K105" s="54"/>
      <c r="L105" s="687"/>
      <c r="M105" s="590"/>
      <c r="N105" s="68"/>
      <c r="O105" s="68"/>
      <c r="P105" s="68"/>
      <c r="Q105" s="68"/>
      <c r="R105" s="68"/>
      <c r="S105" s="68"/>
      <c r="T105" s="68"/>
      <c r="U105" s="54"/>
      <c r="V105" s="54"/>
      <c r="W105" s="54"/>
      <c r="X105" s="54"/>
      <c r="Y105" s="54"/>
      <c r="Z105" s="54"/>
      <c r="AA105" s="54"/>
      <c r="AB105" s="54"/>
      <c r="AC105" s="54"/>
      <c r="AD105" s="54"/>
      <c r="AE105" s="54"/>
      <c r="AF105" s="54"/>
      <c r="AG105" s="54"/>
      <c r="AH105" s="54"/>
      <c r="AI105" s="54"/>
      <c r="AJ105" s="54"/>
      <c r="AW105" s="18">
        <f t="shared" si="2"/>
        <v>0</v>
      </c>
    </row>
    <row r="106" spans="10:49" ht="15">
      <c r="J106" s="692"/>
      <c r="K106" s="54"/>
      <c r="L106" s="687"/>
      <c r="M106" s="590"/>
      <c r="N106" s="68"/>
      <c r="O106" s="68"/>
      <c r="P106" s="68"/>
      <c r="Q106" s="68"/>
      <c r="R106" s="68"/>
      <c r="S106" s="68"/>
      <c r="T106" s="68"/>
      <c r="U106" s="54"/>
      <c r="V106" s="54"/>
      <c r="W106" s="54"/>
      <c r="X106" s="54"/>
      <c r="Y106" s="54"/>
      <c r="Z106" s="54"/>
      <c r="AA106" s="54"/>
      <c r="AB106" s="54"/>
      <c r="AC106" s="54"/>
      <c r="AD106" s="54"/>
      <c r="AE106" s="54"/>
      <c r="AF106" s="54"/>
      <c r="AG106" s="54"/>
      <c r="AH106" s="54"/>
      <c r="AI106" s="54"/>
      <c r="AJ106" s="54"/>
      <c r="AW106" s="18">
        <f t="shared" si="2"/>
        <v>0</v>
      </c>
    </row>
    <row r="107" spans="10:49" ht="15">
      <c r="J107" s="692"/>
      <c r="K107" s="54"/>
      <c r="L107" s="687"/>
      <c r="M107" s="590"/>
      <c r="N107" s="68"/>
      <c r="O107" s="68"/>
      <c r="P107" s="68"/>
      <c r="Q107" s="68"/>
      <c r="R107" s="68"/>
      <c r="S107" s="68"/>
      <c r="T107" s="68"/>
      <c r="U107" s="54"/>
      <c r="V107" s="54"/>
      <c r="W107" s="54"/>
      <c r="X107" s="54"/>
      <c r="Y107" s="54"/>
      <c r="Z107" s="54"/>
      <c r="AA107" s="54"/>
      <c r="AB107" s="54"/>
      <c r="AC107" s="54"/>
      <c r="AD107" s="54"/>
      <c r="AE107" s="54"/>
      <c r="AF107" s="54"/>
      <c r="AG107" s="54"/>
      <c r="AH107" s="54"/>
      <c r="AI107" s="54"/>
      <c r="AJ107" s="54"/>
      <c r="AW107" s="18">
        <f t="shared" si="2"/>
        <v>0</v>
      </c>
    </row>
    <row r="108" spans="10:49" ht="15">
      <c r="J108" s="692"/>
      <c r="K108" s="54"/>
      <c r="L108" s="687"/>
      <c r="M108" s="590"/>
      <c r="N108" s="68"/>
      <c r="O108" s="68"/>
      <c r="P108" s="68"/>
      <c r="Q108" s="68"/>
      <c r="R108" s="68"/>
      <c r="S108" s="68"/>
      <c r="T108" s="68"/>
      <c r="U108" s="54"/>
      <c r="V108" s="54"/>
      <c r="W108" s="54"/>
      <c r="X108" s="54"/>
      <c r="Y108" s="54"/>
      <c r="Z108" s="54"/>
      <c r="AA108" s="54"/>
      <c r="AB108" s="54"/>
      <c r="AC108" s="54"/>
      <c r="AD108" s="54"/>
      <c r="AE108" s="54"/>
      <c r="AF108" s="54"/>
      <c r="AG108" s="54"/>
      <c r="AH108" s="54"/>
      <c r="AI108" s="54"/>
      <c r="AJ108" s="54"/>
      <c r="AW108" s="18">
        <f t="shared" si="2"/>
        <v>0</v>
      </c>
    </row>
    <row r="109" spans="10:49" ht="15">
      <c r="J109" s="692"/>
      <c r="K109" s="54"/>
      <c r="L109" s="687"/>
      <c r="M109" s="590"/>
      <c r="N109" s="68"/>
      <c r="O109" s="68"/>
      <c r="P109" s="68"/>
      <c r="Q109" s="68"/>
      <c r="R109" s="68"/>
      <c r="S109" s="68"/>
      <c r="T109" s="68"/>
      <c r="U109" s="54"/>
      <c r="V109" s="54"/>
      <c r="W109" s="54"/>
      <c r="X109" s="54"/>
      <c r="Y109" s="54"/>
      <c r="Z109" s="54"/>
      <c r="AA109" s="54"/>
      <c r="AB109" s="54"/>
      <c r="AC109" s="54"/>
      <c r="AD109" s="54"/>
      <c r="AE109" s="54"/>
      <c r="AF109" s="54"/>
      <c r="AG109" s="54"/>
      <c r="AH109" s="54"/>
      <c r="AI109" s="54"/>
      <c r="AJ109" s="54"/>
      <c r="AW109" s="18">
        <f t="shared" si="2"/>
        <v>0</v>
      </c>
    </row>
    <row r="110" spans="10:49" ht="15">
      <c r="J110" s="692"/>
      <c r="K110" s="54"/>
      <c r="L110" s="687"/>
      <c r="M110" s="590"/>
      <c r="N110" s="68"/>
      <c r="O110" s="68"/>
      <c r="P110" s="68"/>
      <c r="Q110" s="68"/>
      <c r="R110" s="68"/>
      <c r="S110" s="68"/>
      <c r="T110" s="68"/>
      <c r="U110" s="54"/>
      <c r="V110" s="54"/>
      <c r="W110" s="54"/>
      <c r="X110" s="54"/>
      <c r="Y110" s="54"/>
      <c r="Z110" s="54"/>
      <c r="AA110" s="54"/>
      <c r="AB110" s="54"/>
      <c r="AC110" s="54"/>
      <c r="AD110" s="54"/>
      <c r="AE110" s="54"/>
      <c r="AF110" s="54"/>
      <c r="AG110" s="54"/>
      <c r="AH110" s="54"/>
      <c r="AI110" s="54"/>
      <c r="AJ110" s="54"/>
      <c r="AW110" s="18">
        <f t="shared" si="2"/>
        <v>0</v>
      </c>
    </row>
    <row r="111" spans="10:49" ht="15">
      <c r="J111" s="692"/>
      <c r="K111" s="54"/>
      <c r="L111" s="687"/>
      <c r="M111" s="590"/>
      <c r="N111" s="68"/>
      <c r="O111" s="68"/>
      <c r="P111" s="68"/>
      <c r="Q111" s="68"/>
      <c r="R111" s="68"/>
      <c r="S111" s="68"/>
      <c r="T111" s="68"/>
      <c r="U111" s="54"/>
      <c r="V111" s="54"/>
      <c r="W111" s="54"/>
      <c r="X111" s="54"/>
      <c r="Y111" s="54"/>
      <c r="Z111" s="54"/>
      <c r="AA111" s="54"/>
      <c r="AB111" s="54"/>
      <c r="AC111" s="54"/>
      <c r="AD111" s="54"/>
      <c r="AE111" s="54"/>
      <c r="AF111" s="54"/>
      <c r="AG111" s="54"/>
      <c r="AH111" s="54"/>
      <c r="AI111" s="54"/>
      <c r="AJ111" s="54"/>
      <c r="AW111" s="18">
        <f t="shared" si="2"/>
        <v>0</v>
      </c>
    </row>
    <row r="112" spans="10:49" ht="15">
      <c r="J112" s="692"/>
      <c r="K112" s="54"/>
      <c r="L112" s="687"/>
      <c r="M112" s="590"/>
      <c r="N112" s="68"/>
      <c r="O112" s="68"/>
      <c r="P112" s="68"/>
      <c r="Q112" s="68"/>
      <c r="R112" s="68"/>
      <c r="S112" s="68"/>
      <c r="T112" s="68"/>
      <c r="U112" s="54"/>
      <c r="V112" s="54"/>
      <c r="W112" s="54"/>
      <c r="X112" s="54"/>
      <c r="Y112" s="54"/>
      <c r="Z112" s="54"/>
      <c r="AA112" s="54"/>
      <c r="AB112" s="54"/>
      <c r="AC112" s="54"/>
      <c r="AD112" s="54"/>
      <c r="AE112" s="54"/>
      <c r="AF112" s="54"/>
      <c r="AG112" s="54"/>
      <c r="AH112" s="54"/>
      <c r="AI112" s="54"/>
      <c r="AJ112" s="54"/>
      <c r="AW112" s="18">
        <f t="shared" si="2"/>
        <v>0</v>
      </c>
    </row>
    <row r="113" spans="10:49" ht="15">
      <c r="J113" s="692"/>
      <c r="K113" s="54"/>
      <c r="L113" s="687"/>
      <c r="M113" s="590"/>
      <c r="N113" s="68"/>
      <c r="O113" s="68"/>
      <c r="P113" s="68"/>
      <c r="Q113" s="68"/>
      <c r="R113" s="68"/>
      <c r="S113" s="68"/>
      <c r="T113" s="68"/>
      <c r="U113" s="54"/>
      <c r="V113" s="54"/>
      <c r="W113" s="54"/>
      <c r="X113" s="54"/>
      <c r="Y113" s="54"/>
      <c r="Z113" s="54"/>
      <c r="AA113" s="54"/>
      <c r="AB113" s="54"/>
      <c r="AC113" s="54"/>
      <c r="AD113" s="54"/>
      <c r="AE113" s="54"/>
      <c r="AF113" s="54"/>
      <c r="AG113" s="54"/>
      <c r="AH113" s="54"/>
      <c r="AI113" s="54"/>
      <c r="AJ113" s="54"/>
      <c r="AW113" s="18">
        <f t="shared" si="2"/>
        <v>0</v>
      </c>
    </row>
    <row r="114" spans="10:49" ht="15">
      <c r="J114" s="692"/>
      <c r="K114" s="54"/>
      <c r="L114" s="687"/>
      <c r="M114" s="590"/>
      <c r="N114" s="68"/>
      <c r="O114" s="68"/>
      <c r="P114" s="68"/>
      <c r="Q114" s="68"/>
      <c r="R114" s="68"/>
      <c r="S114" s="68"/>
      <c r="T114" s="68"/>
      <c r="U114" s="54"/>
      <c r="V114" s="54"/>
      <c r="W114" s="54"/>
      <c r="X114" s="54"/>
      <c r="Y114" s="54"/>
      <c r="Z114" s="54"/>
      <c r="AA114" s="54"/>
      <c r="AB114" s="54"/>
      <c r="AC114" s="54"/>
      <c r="AD114" s="54"/>
      <c r="AE114" s="54"/>
      <c r="AF114" s="54"/>
      <c r="AG114" s="54"/>
      <c r="AH114" s="54"/>
      <c r="AI114" s="54"/>
      <c r="AJ114" s="54"/>
      <c r="AW114" s="18">
        <f t="shared" si="2"/>
        <v>0</v>
      </c>
    </row>
    <row r="115" spans="10:49" ht="15">
      <c r="J115" s="692"/>
      <c r="K115" s="54"/>
      <c r="L115" s="687"/>
      <c r="M115" s="590"/>
      <c r="N115" s="68"/>
      <c r="O115" s="68"/>
      <c r="P115" s="68"/>
      <c r="Q115" s="68"/>
      <c r="R115" s="68"/>
      <c r="S115" s="68"/>
      <c r="T115" s="68"/>
      <c r="U115" s="54"/>
      <c r="V115" s="54"/>
      <c r="W115" s="54"/>
      <c r="X115" s="54"/>
      <c r="Y115" s="54"/>
      <c r="Z115" s="54"/>
      <c r="AA115" s="54"/>
      <c r="AB115" s="54"/>
      <c r="AC115" s="54"/>
      <c r="AD115" s="54"/>
      <c r="AE115" s="54"/>
      <c r="AF115" s="54"/>
      <c r="AG115" s="54"/>
      <c r="AH115" s="54"/>
      <c r="AI115" s="54"/>
      <c r="AJ115" s="54"/>
      <c r="AW115" s="18">
        <f t="shared" si="2"/>
        <v>0</v>
      </c>
    </row>
    <row r="116" spans="10:49" ht="15">
      <c r="J116" s="692"/>
      <c r="K116" s="54"/>
      <c r="L116" s="687"/>
      <c r="M116" s="590"/>
      <c r="N116" s="68"/>
      <c r="O116" s="68"/>
      <c r="P116" s="68"/>
      <c r="Q116" s="68"/>
      <c r="R116" s="68"/>
      <c r="S116" s="68"/>
      <c r="T116" s="68"/>
      <c r="U116" s="54"/>
      <c r="V116" s="54"/>
      <c r="W116" s="54"/>
      <c r="X116" s="54"/>
      <c r="Y116" s="54"/>
      <c r="Z116" s="54"/>
      <c r="AA116" s="54"/>
      <c r="AB116" s="54"/>
      <c r="AC116" s="54"/>
      <c r="AD116" s="54"/>
      <c r="AE116" s="54"/>
      <c r="AF116" s="54"/>
      <c r="AG116" s="54"/>
      <c r="AH116" s="54"/>
      <c r="AI116" s="54"/>
      <c r="AJ116" s="54"/>
      <c r="AW116" s="18">
        <f t="shared" si="2"/>
        <v>0</v>
      </c>
    </row>
    <row r="117" spans="10:49" ht="15">
      <c r="J117" s="692"/>
      <c r="K117" s="54"/>
      <c r="L117" s="687"/>
      <c r="M117" s="590"/>
      <c r="N117" s="68"/>
      <c r="O117" s="68"/>
      <c r="P117" s="68"/>
      <c r="Q117" s="68"/>
      <c r="R117" s="68"/>
      <c r="S117" s="68"/>
      <c r="T117" s="68"/>
      <c r="U117" s="54"/>
      <c r="V117" s="54"/>
      <c r="W117" s="54"/>
      <c r="X117" s="54"/>
      <c r="Y117" s="54"/>
      <c r="Z117" s="54"/>
      <c r="AA117" s="54"/>
      <c r="AB117" s="54"/>
      <c r="AC117" s="54"/>
      <c r="AD117" s="54"/>
      <c r="AE117" s="54"/>
      <c r="AF117" s="54"/>
      <c r="AG117" s="54"/>
      <c r="AH117" s="54"/>
      <c r="AI117" s="54"/>
      <c r="AJ117" s="54"/>
      <c r="AW117" s="18">
        <f t="shared" si="2"/>
        <v>0</v>
      </c>
    </row>
    <row r="118" spans="10:49" ht="15">
      <c r="J118" s="692"/>
      <c r="K118" s="54"/>
      <c r="L118" s="687"/>
      <c r="M118" s="590"/>
      <c r="N118" s="68"/>
      <c r="O118" s="68"/>
      <c r="P118" s="68"/>
      <c r="Q118" s="68"/>
      <c r="R118" s="68"/>
      <c r="S118" s="68"/>
      <c r="T118" s="68"/>
      <c r="U118" s="54"/>
      <c r="V118" s="54"/>
      <c r="W118" s="54"/>
      <c r="X118" s="54"/>
      <c r="Y118" s="54"/>
      <c r="Z118" s="54"/>
      <c r="AA118" s="54"/>
      <c r="AB118" s="54"/>
      <c r="AC118" s="54"/>
      <c r="AD118" s="54"/>
      <c r="AE118" s="54"/>
      <c r="AF118" s="54"/>
      <c r="AG118" s="54"/>
      <c r="AH118" s="54"/>
      <c r="AI118" s="54"/>
      <c r="AJ118" s="54"/>
      <c r="AW118" s="18">
        <f t="shared" si="2"/>
        <v>0</v>
      </c>
    </row>
    <row r="119" spans="10:49" ht="15">
      <c r="J119" s="692"/>
      <c r="K119" s="54"/>
      <c r="L119" s="687"/>
      <c r="M119" s="590"/>
      <c r="N119" s="68"/>
      <c r="O119" s="68"/>
      <c r="P119" s="68"/>
      <c r="Q119" s="68"/>
      <c r="R119" s="68"/>
      <c r="S119" s="68"/>
      <c r="T119" s="68"/>
      <c r="U119" s="54"/>
      <c r="V119" s="54"/>
      <c r="W119" s="54"/>
      <c r="X119" s="54"/>
      <c r="Y119" s="54"/>
      <c r="Z119" s="54"/>
      <c r="AA119" s="54"/>
      <c r="AB119" s="54"/>
      <c r="AC119" s="54"/>
      <c r="AD119" s="54"/>
      <c r="AE119" s="54"/>
      <c r="AF119" s="54"/>
      <c r="AG119" s="54"/>
      <c r="AH119" s="54"/>
      <c r="AI119" s="54"/>
      <c r="AJ119" s="54"/>
      <c r="AW119" s="18">
        <f t="shared" si="2"/>
        <v>0</v>
      </c>
    </row>
    <row r="120" spans="10:49" ht="15">
      <c r="J120" s="692"/>
      <c r="K120" s="54"/>
      <c r="L120" s="687"/>
      <c r="M120" s="590"/>
      <c r="N120" s="68"/>
      <c r="O120" s="68"/>
      <c r="P120" s="68"/>
      <c r="Q120" s="68"/>
      <c r="R120" s="68"/>
      <c r="S120" s="68"/>
      <c r="T120" s="68"/>
      <c r="U120" s="54"/>
      <c r="V120" s="54"/>
      <c r="W120" s="54"/>
      <c r="X120" s="54"/>
      <c r="Y120" s="54"/>
      <c r="Z120" s="54"/>
      <c r="AA120" s="54"/>
      <c r="AB120" s="54"/>
      <c r="AC120" s="54"/>
      <c r="AD120" s="54"/>
      <c r="AE120" s="54"/>
      <c r="AF120" s="54"/>
      <c r="AG120" s="54"/>
      <c r="AH120" s="54"/>
      <c r="AI120" s="54"/>
      <c r="AJ120" s="54"/>
      <c r="AW120" s="18">
        <f t="shared" si="2"/>
        <v>0</v>
      </c>
    </row>
    <row r="121" spans="10:49" ht="15">
      <c r="J121" s="692"/>
      <c r="K121" s="54"/>
      <c r="L121" s="687"/>
      <c r="M121" s="590"/>
      <c r="N121" s="68"/>
      <c r="O121" s="68"/>
      <c r="P121" s="68"/>
      <c r="Q121" s="68"/>
      <c r="R121" s="68"/>
      <c r="S121" s="68"/>
      <c r="T121" s="68"/>
      <c r="U121" s="54"/>
      <c r="V121" s="54"/>
      <c r="W121" s="54"/>
      <c r="X121" s="54"/>
      <c r="Y121" s="54"/>
      <c r="Z121" s="54"/>
      <c r="AA121" s="54"/>
      <c r="AB121" s="54"/>
      <c r="AC121" s="54"/>
      <c r="AD121" s="54"/>
      <c r="AE121" s="54"/>
      <c r="AF121" s="54"/>
      <c r="AG121" s="54"/>
      <c r="AH121" s="54"/>
      <c r="AI121" s="54"/>
      <c r="AJ121" s="54"/>
      <c r="AW121" s="18">
        <f t="shared" si="2"/>
        <v>0</v>
      </c>
    </row>
    <row r="122" spans="10:49" ht="15">
      <c r="J122" s="692"/>
      <c r="K122" s="54"/>
      <c r="L122" s="687"/>
      <c r="M122" s="590"/>
      <c r="N122" s="68"/>
      <c r="O122" s="68"/>
      <c r="P122" s="68"/>
      <c r="Q122" s="68"/>
      <c r="R122" s="68"/>
      <c r="S122" s="68"/>
      <c r="T122" s="68"/>
      <c r="U122" s="54"/>
      <c r="V122" s="54"/>
      <c r="W122" s="54"/>
      <c r="X122" s="54"/>
      <c r="Y122" s="54"/>
      <c r="Z122" s="54"/>
      <c r="AA122" s="54"/>
      <c r="AB122" s="54"/>
      <c r="AC122" s="54"/>
      <c r="AD122" s="54"/>
      <c r="AE122" s="54"/>
      <c r="AF122" s="54"/>
      <c r="AG122" s="54"/>
      <c r="AH122" s="54"/>
      <c r="AI122" s="54"/>
      <c r="AJ122" s="54"/>
      <c r="AW122" s="18">
        <f t="shared" si="2"/>
        <v>0</v>
      </c>
    </row>
    <row r="123" spans="10:49" ht="15">
      <c r="J123" s="692"/>
      <c r="K123" s="54"/>
      <c r="L123" s="687"/>
      <c r="M123" s="590"/>
      <c r="N123" s="68"/>
      <c r="O123" s="68"/>
      <c r="P123" s="68"/>
      <c r="Q123" s="68"/>
      <c r="R123" s="68"/>
      <c r="S123" s="68"/>
      <c r="T123" s="68"/>
      <c r="U123" s="54"/>
      <c r="V123" s="54"/>
      <c r="W123" s="54"/>
      <c r="X123" s="54"/>
      <c r="Y123" s="54"/>
      <c r="Z123" s="54"/>
      <c r="AA123" s="54"/>
      <c r="AB123" s="54"/>
      <c r="AC123" s="54"/>
      <c r="AD123" s="54"/>
      <c r="AE123" s="54"/>
      <c r="AF123" s="54"/>
      <c r="AG123" s="54"/>
      <c r="AH123" s="54"/>
      <c r="AI123" s="54"/>
      <c r="AJ123" s="54"/>
      <c r="AW123" s="18">
        <f t="shared" si="2"/>
        <v>0</v>
      </c>
    </row>
    <row r="124" spans="10:49" ht="15">
      <c r="J124" s="692"/>
      <c r="K124" s="54"/>
      <c r="L124" s="687"/>
      <c r="M124" s="590"/>
      <c r="N124" s="68"/>
      <c r="O124" s="68"/>
      <c r="P124" s="68"/>
      <c r="Q124" s="68"/>
      <c r="R124" s="68"/>
      <c r="S124" s="68"/>
      <c r="T124" s="68"/>
      <c r="U124" s="54"/>
      <c r="V124" s="54"/>
      <c r="W124" s="54"/>
      <c r="X124" s="54"/>
      <c r="Y124" s="54"/>
      <c r="Z124" s="54"/>
      <c r="AA124" s="54"/>
      <c r="AB124" s="54"/>
      <c r="AC124" s="54"/>
      <c r="AD124" s="54"/>
      <c r="AE124" s="54"/>
      <c r="AF124" s="54"/>
      <c r="AG124" s="54"/>
      <c r="AH124" s="54"/>
      <c r="AI124" s="54"/>
      <c r="AJ124" s="54"/>
      <c r="AW124" s="18">
        <f t="shared" si="2"/>
        <v>0</v>
      </c>
    </row>
    <row r="125" spans="10:49" ht="15">
      <c r="J125" s="692"/>
      <c r="K125" s="54"/>
      <c r="L125" s="687"/>
      <c r="M125" s="590"/>
      <c r="N125" s="68"/>
      <c r="O125" s="68"/>
      <c r="P125" s="68"/>
      <c r="Q125" s="68"/>
      <c r="R125" s="68"/>
      <c r="S125" s="68"/>
      <c r="T125" s="68"/>
      <c r="U125" s="54"/>
      <c r="V125" s="54"/>
      <c r="W125" s="54"/>
      <c r="X125" s="54"/>
      <c r="Y125" s="54"/>
      <c r="Z125" s="54"/>
      <c r="AA125" s="54"/>
      <c r="AB125" s="54"/>
      <c r="AC125" s="54"/>
      <c r="AD125" s="54"/>
      <c r="AE125" s="54"/>
      <c r="AF125" s="54"/>
      <c r="AG125" s="54"/>
      <c r="AH125" s="54"/>
      <c r="AI125" s="54"/>
      <c r="AJ125" s="54"/>
      <c r="AW125" s="18">
        <f t="shared" si="2"/>
        <v>0</v>
      </c>
    </row>
    <row r="126" spans="10:49" ht="15">
      <c r="J126" s="692"/>
      <c r="K126" s="54"/>
      <c r="L126" s="687"/>
      <c r="M126" s="590"/>
      <c r="N126" s="68"/>
      <c r="O126" s="68"/>
      <c r="P126" s="68"/>
      <c r="Q126" s="68"/>
      <c r="R126" s="68"/>
      <c r="S126" s="68"/>
      <c r="T126" s="68"/>
      <c r="U126" s="54"/>
      <c r="V126" s="54"/>
      <c r="W126" s="54"/>
      <c r="X126" s="54"/>
      <c r="Y126" s="54"/>
      <c r="Z126" s="54"/>
      <c r="AA126" s="54"/>
      <c r="AB126" s="54"/>
      <c r="AC126" s="54"/>
      <c r="AD126" s="54"/>
      <c r="AE126" s="54"/>
      <c r="AF126" s="54"/>
      <c r="AG126" s="54"/>
      <c r="AH126" s="54"/>
      <c r="AI126" s="54"/>
      <c r="AJ126" s="54"/>
      <c r="AW126" s="18">
        <f t="shared" si="2"/>
        <v>0</v>
      </c>
    </row>
    <row r="127" spans="10:49" ht="15">
      <c r="J127" s="692"/>
      <c r="K127" s="54"/>
      <c r="L127" s="687"/>
      <c r="M127" s="590"/>
      <c r="N127" s="68"/>
      <c r="O127" s="68"/>
      <c r="P127" s="68"/>
      <c r="Q127" s="68"/>
      <c r="R127" s="68"/>
      <c r="S127" s="68"/>
      <c r="T127" s="68"/>
      <c r="U127" s="54"/>
      <c r="V127" s="54"/>
      <c r="W127" s="54"/>
      <c r="X127" s="54"/>
      <c r="Y127" s="54"/>
      <c r="Z127" s="54"/>
      <c r="AA127" s="54"/>
      <c r="AB127" s="54"/>
      <c r="AC127" s="54"/>
      <c r="AD127" s="54"/>
      <c r="AE127" s="54"/>
      <c r="AF127" s="54"/>
      <c r="AG127" s="54"/>
      <c r="AH127" s="54"/>
      <c r="AI127" s="54"/>
      <c r="AJ127" s="54"/>
      <c r="AW127" s="18">
        <f t="shared" si="2"/>
        <v>0</v>
      </c>
    </row>
    <row r="128" spans="10:49" ht="15">
      <c r="J128" s="692"/>
      <c r="K128" s="54"/>
      <c r="L128" s="687"/>
      <c r="M128" s="590"/>
      <c r="N128" s="68"/>
      <c r="O128" s="68"/>
      <c r="P128" s="68"/>
      <c r="Q128" s="68"/>
      <c r="R128" s="68"/>
      <c r="S128" s="68"/>
      <c r="T128" s="68"/>
      <c r="U128" s="54"/>
      <c r="V128" s="54"/>
      <c r="W128" s="54"/>
      <c r="X128" s="54"/>
      <c r="Y128" s="54"/>
      <c r="Z128" s="54"/>
      <c r="AA128" s="54"/>
      <c r="AB128" s="54"/>
      <c r="AC128" s="54"/>
      <c r="AD128" s="54"/>
      <c r="AE128" s="54"/>
      <c r="AF128" s="54"/>
      <c r="AG128" s="54"/>
      <c r="AH128" s="54"/>
      <c r="AI128" s="54"/>
      <c r="AJ128" s="54"/>
      <c r="AW128" s="18">
        <f t="shared" si="2"/>
        <v>0</v>
      </c>
    </row>
    <row r="129" spans="10:49" ht="15">
      <c r="J129" s="692"/>
      <c r="K129" s="54"/>
      <c r="L129" s="687"/>
      <c r="M129" s="590"/>
      <c r="N129" s="68"/>
      <c r="O129" s="68"/>
      <c r="P129" s="68"/>
      <c r="Q129" s="68"/>
      <c r="R129" s="68"/>
      <c r="S129" s="68"/>
      <c r="T129" s="68"/>
      <c r="U129" s="54"/>
      <c r="V129" s="54"/>
      <c r="W129" s="54"/>
      <c r="X129" s="54"/>
      <c r="Y129" s="54"/>
      <c r="Z129" s="54"/>
      <c r="AA129" s="54"/>
      <c r="AB129" s="54"/>
      <c r="AC129" s="54"/>
      <c r="AD129" s="54"/>
      <c r="AE129" s="54"/>
      <c r="AF129" s="54"/>
      <c r="AG129" s="54"/>
      <c r="AH129" s="54"/>
      <c r="AI129" s="54"/>
      <c r="AJ129" s="54"/>
      <c r="AW129" s="18">
        <f t="shared" si="2"/>
        <v>0</v>
      </c>
    </row>
    <row r="130" spans="10:49" ht="15">
      <c r="J130" s="692"/>
      <c r="K130" s="54"/>
      <c r="L130" s="687"/>
      <c r="M130" s="590"/>
      <c r="N130" s="68"/>
      <c r="O130" s="68"/>
      <c r="P130" s="68"/>
      <c r="Q130" s="68"/>
      <c r="R130" s="68"/>
      <c r="S130" s="68"/>
      <c r="T130" s="68"/>
      <c r="U130" s="54"/>
      <c r="V130" s="54"/>
      <c r="W130" s="54"/>
      <c r="X130" s="54"/>
      <c r="Y130" s="54"/>
      <c r="Z130" s="54"/>
      <c r="AA130" s="54"/>
      <c r="AB130" s="54"/>
      <c r="AC130" s="54"/>
      <c r="AD130" s="54"/>
      <c r="AE130" s="54"/>
      <c r="AF130" s="54"/>
      <c r="AG130" s="54"/>
      <c r="AH130" s="54"/>
      <c r="AI130" s="54"/>
      <c r="AJ130" s="54"/>
      <c r="AW130" s="18">
        <f t="shared" si="2"/>
        <v>0</v>
      </c>
    </row>
    <row r="131" spans="10:49" ht="15">
      <c r="J131" s="692"/>
      <c r="K131" s="54"/>
      <c r="L131" s="687"/>
      <c r="M131" s="590"/>
      <c r="N131" s="68"/>
      <c r="O131" s="68"/>
      <c r="P131" s="68"/>
      <c r="Q131" s="68"/>
      <c r="R131" s="68"/>
      <c r="S131" s="68"/>
      <c r="T131" s="68"/>
      <c r="U131" s="54"/>
      <c r="V131" s="54"/>
      <c r="W131" s="54"/>
      <c r="X131" s="54"/>
      <c r="Y131" s="54"/>
      <c r="Z131" s="54"/>
      <c r="AA131" s="54"/>
      <c r="AB131" s="54"/>
      <c r="AC131" s="54"/>
      <c r="AD131" s="54"/>
      <c r="AE131" s="54"/>
      <c r="AF131" s="54"/>
      <c r="AG131" s="54"/>
      <c r="AH131" s="54"/>
      <c r="AI131" s="54"/>
      <c r="AJ131" s="54"/>
      <c r="AW131" s="18">
        <f t="shared" si="2"/>
        <v>0</v>
      </c>
    </row>
    <row r="132" spans="10:49" ht="15">
      <c r="J132" s="692"/>
      <c r="K132" s="54"/>
      <c r="L132" s="687"/>
      <c r="M132" s="590"/>
      <c r="N132" s="68"/>
      <c r="O132" s="68"/>
      <c r="P132" s="68"/>
      <c r="Q132" s="68"/>
      <c r="R132" s="68"/>
      <c r="S132" s="68"/>
      <c r="T132" s="68"/>
      <c r="U132" s="54"/>
      <c r="V132" s="54"/>
      <c r="W132" s="54"/>
      <c r="X132" s="54"/>
      <c r="Y132" s="54"/>
      <c r="Z132" s="54"/>
      <c r="AA132" s="54"/>
      <c r="AB132" s="54"/>
      <c r="AC132" s="54"/>
      <c r="AD132" s="54"/>
      <c r="AE132" s="54"/>
      <c r="AF132" s="54"/>
      <c r="AG132" s="54"/>
      <c r="AH132" s="54"/>
      <c r="AI132" s="54"/>
      <c r="AJ132" s="54"/>
      <c r="AW132" s="18">
        <f t="shared" si="2"/>
        <v>0</v>
      </c>
    </row>
    <row r="133" spans="10:49" ht="15">
      <c r="J133" s="692"/>
      <c r="K133" s="54"/>
      <c r="L133" s="687"/>
      <c r="M133" s="590"/>
      <c r="N133" s="68"/>
      <c r="O133" s="68"/>
      <c r="P133" s="68"/>
      <c r="Q133" s="68"/>
      <c r="R133" s="68"/>
      <c r="S133" s="68"/>
      <c r="T133" s="68"/>
      <c r="U133" s="54"/>
      <c r="V133" s="54"/>
      <c r="W133" s="54"/>
      <c r="X133" s="54"/>
      <c r="Y133" s="54"/>
      <c r="Z133" s="54"/>
      <c r="AA133" s="54"/>
      <c r="AB133" s="54"/>
      <c r="AC133" s="54"/>
      <c r="AD133" s="54"/>
      <c r="AE133" s="54"/>
      <c r="AF133" s="54"/>
      <c r="AG133" s="54"/>
      <c r="AH133" s="54"/>
      <c r="AI133" s="54"/>
      <c r="AJ133" s="54"/>
      <c r="AW133" s="18">
        <f t="shared" si="2"/>
        <v>0</v>
      </c>
    </row>
    <row r="134" spans="10:49" ht="15">
      <c r="J134" s="692"/>
      <c r="K134" s="54"/>
      <c r="L134" s="687"/>
      <c r="M134" s="590"/>
      <c r="N134" s="68"/>
      <c r="O134" s="68"/>
      <c r="P134" s="68"/>
      <c r="Q134" s="68"/>
      <c r="R134" s="68"/>
      <c r="S134" s="68"/>
      <c r="T134" s="68"/>
      <c r="U134" s="54"/>
      <c r="V134" s="54"/>
      <c r="W134" s="54"/>
      <c r="X134" s="54"/>
      <c r="Y134" s="54"/>
      <c r="Z134" s="54"/>
      <c r="AA134" s="54"/>
      <c r="AB134" s="54"/>
      <c r="AC134" s="54"/>
      <c r="AD134" s="54"/>
      <c r="AE134" s="54"/>
      <c r="AF134" s="54"/>
      <c r="AG134" s="54"/>
      <c r="AH134" s="54"/>
      <c r="AI134" s="54"/>
      <c r="AJ134" s="54"/>
      <c r="AW134" s="18">
        <f t="shared" si="2"/>
        <v>0</v>
      </c>
    </row>
    <row r="135" spans="10:49" ht="15">
      <c r="J135" s="692"/>
      <c r="K135" s="54"/>
      <c r="L135" s="687"/>
      <c r="M135" s="590"/>
      <c r="N135" s="68"/>
      <c r="O135" s="68"/>
      <c r="P135" s="68"/>
      <c r="Q135" s="68"/>
      <c r="R135" s="68"/>
      <c r="S135" s="68"/>
      <c r="T135" s="68"/>
      <c r="U135" s="54"/>
      <c r="V135" s="54"/>
      <c r="W135" s="54"/>
      <c r="X135" s="54"/>
      <c r="Y135" s="54"/>
      <c r="Z135" s="54"/>
      <c r="AA135" s="54"/>
      <c r="AB135" s="54"/>
      <c r="AC135" s="54"/>
      <c r="AD135" s="54"/>
      <c r="AE135" s="54"/>
      <c r="AF135" s="54"/>
      <c r="AG135" s="54"/>
      <c r="AH135" s="54"/>
      <c r="AI135" s="54"/>
      <c r="AJ135" s="54"/>
      <c r="AW135" s="18">
        <f t="shared" si="2"/>
        <v>0</v>
      </c>
    </row>
    <row r="136" spans="10:49" ht="15">
      <c r="J136" s="692"/>
      <c r="K136" s="54"/>
      <c r="L136" s="687"/>
      <c r="M136" s="590"/>
      <c r="N136" s="68"/>
      <c r="O136" s="68"/>
      <c r="P136" s="68"/>
      <c r="Q136" s="68"/>
      <c r="R136" s="68"/>
      <c r="S136" s="68"/>
      <c r="T136" s="68"/>
      <c r="U136" s="54"/>
      <c r="V136" s="54"/>
      <c r="W136" s="54"/>
      <c r="X136" s="54"/>
      <c r="Y136" s="54"/>
      <c r="Z136" s="54"/>
      <c r="AA136" s="54"/>
      <c r="AB136" s="54"/>
      <c r="AC136" s="54"/>
      <c r="AD136" s="54"/>
      <c r="AE136" s="54"/>
      <c r="AF136" s="54"/>
      <c r="AG136" s="54"/>
      <c r="AH136" s="54"/>
      <c r="AI136" s="54"/>
      <c r="AJ136" s="54"/>
      <c r="AW136" s="18">
        <f t="shared" si="2"/>
        <v>0</v>
      </c>
    </row>
    <row r="137" spans="10:49" ht="15">
      <c r="J137" s="692"/>
      <c r="K137" s="54"/>
      <c r="L137" s="687"/>
      <c r="M137" s="590"/>
      <c r="N137" s="68"/>
      <c r="O137" s="68"/>
      <c r="P137" s="68"/>
      <c r="Q137" s="68"/>
      <c r="R137" s="68"/>
      <c r="S137" s="68"/>
      <c r="T137" s="68"/>
      <c r="U137" s="54"/>
      <c r="V137" s="54"/>
      <c r="W137" s="54"/>
      <c r="X137" s="54"/>
      <c r="Y137" s="54"/>
      <c r="Z137" s="54"/>
      <c r="AA137" s="54"/>
      <c r="AB137" s="54"/>
      <c r="AC137" s="54"/>
      <c r="AD137" s="54"/>
      <c r="AE137" s="54"/>
      <c r="AF137" s="54"/>
      <c r="AG137" s="54"/>
      <c r="AH137" s="54"/>
      <c r="AI137" s="54"/>
      <c r="AJ137" s="54"/>
      <c r="AW137" s="18">
        <f t="shared" si="2"/>
        <v>0</v>
      </c>
    </row>
    <row r="138" spans="10:49" ht="15">
      <c r="J138" s="692"/>
      <c r="K138" s="54"/>
      <c r="L138" s="687"/>
      <c r="M138" s="590"/>
      <c r="N138" s="68"/>
      <c r="O138" s="68"/>
      <c r="P138" s="68"/>
      <c r="Q138" s="68"/>
      <c r="R138" s="68"/>
      <c r="S138" s="68"/>
      <c r="T138" s="68"/>
      <c r="U138" s="54"/>
      <c r="V138" s="54"/>
      <c r="W138" s="54"/>
      <c r="X138" s="54"/>
      <c r="Y138" s="54"/>
      <c r="Z138" s="54"/>
      <c r="AA138" s="54"/>
      <c r="AB138" s="54"/>
      <c r="AC138" s="54"/>
      <c r="AD138" s="54"/>
      <c r="AE138" s="54"/>
      <c r="AF138" s="54"/>
      <c r="AG138" s="54"/>
      <c r="AH138" s="54"/>
      <c r="AI138" s="54"/>
      <c r="AJ138" s="54"/>
      <c r="AW138" s="18">
        <f t="shared" si="2"/>
        <v>0</v>
      </c>
    </row>
    <row r="139" spans="10:49" ht="15">
      <c r="J139" s="692"/>
      <c r="K139" s="54"/>
      <c r="L139" s="687"/>
      <c r="M139" s="590"/>
      <c r="N139" s="68"/>
      <c r="O139" s="68"/>
      <c r="P139" s="68"/>
      <c r="Q139" s="68"/>
      <c r="R139" s="68"/>
      <c r="S139" s="68"/>
      <c r="T139" s="68"/>
      <c r="U139" s="54"/>
      <c r="V139" s="54"/>
      <c r="W139" s="54"/>
      <c r="X139" s="54"/>
      <c r="Y139" s="54"/>
      <c r="Z139" s="54"/>
      <c r="AA139" s="54"/>
      <c r="AB139" s="54"/>
      <c r="AC139" s="54"/>
      <c r="AD139" s="54"/>
      <c r="AE139" s="54"/>
      <c r="AF139" s="54"/>
      <c r="AG139" s="54"/>
      <c r="AH139" s="54"/>
      <c r="AI139" s="54"/>
      <c r="AJ139" s="54"/>
      <c r="AW139" s="18">
        <f t="shared" si="2"/>
        <v>0</v>
      </c>
    </row>
    <row r="140" spans="10:49" ht="15">
      <c r="J140" s="692"/>
      <c r="K140" s="54"/>
      <c r="L140" s="687"/>
      <c r="M140" s="590"/>
      <c r="N140" s="68"/>
      <c r="O140" s="68"/>
      <c r="P140" s="68"/>
      <c r="Q140" s="68"/>
      <c r="R140" s="68"/>
      <c r="S140" s="68"/>
      <c r="T140" s="68"/>
      <c r="U140" s="54"/>
      <c r="V140" s="54"/>
      <c r="W140" s="54"/>
      <c r="X140" s="54"/>
      <c r="Y140" s="54"/>
      <c r="Z140" s="54"/>
      <c r="AA140" s="54"/>
      <c r="AB140" s="54"/>
      <c r="AC140" s="54"/>
      <c r="AD140" s="54"/>
      <c r="AE140" s="54"/>
      <c r="AF140" s="54"/>
      <c r="AG140" s="54"/>
      <c r="AH140" s="54"/>
      <c r="AI140" s="54"/>
      <c r="AJ140" s="54"/>
      <c r="AW140" s="18">
        <f t="shared" si="2"/>
        <v>0</v>
      </c>
    </row>
    <row r="141" spans="10:49" ht="15">
      <c r="J141" s="692"/>
      <c r="K141" s="54"/>
      <c r="L141" s="687"/>
      <c r="M141" s="590"/>
      <c r="N141" s="68"/>
      <c r="O141" s="68"/>
      <c r="P141" s="68"/>
      <c r="Q141" s="68"/>
      <c r="R141" s="68"/>
      <c r="S141" s="68"/>
      <c r="T141" s="68"/>
      <c r="U141" s="54"/>
      <c r="V141" s="54"/>
      <c r="W141" s="54"/>
      <c r="X141" s="54"/>
      <c r="Y141" s="54"/>
      <c r="Z141" s="54"/>
      <c r="AA141" s="54"/>
      <c r="AB141" s="54"/>
      <c r="AC141" s="54"/>
      <c r="AD141" s="54"/>
      <c r="AE141" s="54"/>
      <c r="AF141" s="54"/>
      <c r="AG141" s="54"/>
      <c r="AH141" s="54"/>
      <c r="AI141" s="54"/>
      <c r="AJ141" s="54"/>
      <c r="AW141" s="18">
        <f t="shared" si="2"/>
        <v>0</v>
      </c>
    </row>
    <row r="142" spans="10:49" ht="15">
      <c r="J142" s="692"/>
      <c r="K142" s="54"/>
      <c r="L142" s="687"/>
      <c r="M142" s="590"/>
      <c r="N142" s="68"/>
      <c r="O142" s="68"/>
      <c r="P142" s="68"/>
      <c r="Q142" s="68"/>
      <c r="R142" s="68"/>
      <c r="S142" s="68"/>
      <c r="T142" s="68"/>
      <c r="U142" s="54"/>
      <c r="V142" s="54"/>
      <c r="W142" s="54"/>
      <c r="X142" s="54"/>
      <c r="Y142" s="54"/>
      <c r="Z142" s="54"/>
      <c r="AA142" s="54"/>
      <c r="AB142" s="54"/>
      <c r="AC142" s="54"/>
      <c r="AD142" s="54"/>
      <c r="AE142" s="54"/>
      <c r="AF142" s="54"/>
      <c r="AG142" s="54"/>
      <c r="AH142" s="54"/>
      <c r="AI142" s="54"/>
      <c r="AJ142" s="54"/>
      <c r="AW142" s="18">
        <f t="shared" si="2"/>
        <v>0</v>
      </c>
    </row>
    <row r="143" spans="10:49" ht="15">
      <c r="J143" s="692"/>
      <c r="K143" s="54"/>
      <c r="L143" s="687"/>
      <c r="M143" s="590"/>
      <c r="N143" s="68"/>
      <c r="O143" s="68"/>
      <c r="P143" s="68"/>
      <c r="Q143" s="68"/>
      <c r="R143" s="68"/>
      <c r="S143" s="68"/>
      <c r="T143" s="68"/>
      <c r="U143" s="54"/>
      <c r="V143" s="54"/>
      <c r="W143" s="54"/>
      <c r="X143" s="54"/>
      <c r="Y143" s="54"/>
      <c r="Z143" s="54"/>
      <c r="AA143" s="54"/>
      <c r="AB143" s="54"/>
      <c r="AC143" s="54"/>
      <c r="AD143" s="54"/>
      <c r="AE143" s="54"/>
      <c r="AF143" s="54"/>
      <c r="AG143" s="54"/>
      <c r="AH143" s="54"/>
      <c r="AI143" s="54"/>
      <c r="AJ143" s="54"/>
      <c r="AW143" s="18">
        <f t="shared" si="2"/>
        <v>0</v>
      </c>
    </row>
    <row r="144" spans="10:49" ht="15">
      <c r="J144" s="692"/>
      <c r="K144" s="54"/>
      <c r="L144" s="687"/>
      <c r="M144" s="590"/>
      <c r="N144" s="68"/>
      <c r="O144" s="68"/>
      <c r="P144" s="68"/>
      <c r="Q144" s="68"/>
      <c r="R144" s="68"/>
      <c r="S144" s="68"/>
      <c r="T144" s="68"/>
      <c r="U144" s="54"/>
      <c r="V144" s="54"/>
      <c r="W144" s="54"/>
      <c r="X144" s="54"/>
      <c r="Y144" s="54"/>
      <c r="Z144" s="54"/>
      <c r="AA144" s="54"/>
      <c r="AB144" s="54"/>
      <c r="AC144" s="54"/>
      <c r="AD144" s="54"/>
      <c r="AE144" s="54"/>
      <c r="AF144" s="54"/>
      <c r="AG144" s="54"/>
      <c r="AH144" s="54"/>
      <c r="AI144" s="54"/>
      <c r="AJ144" s="54"/>
      <c r="AW144" s="18">
        <f t="shared" si="2"/>
        <v>0</v>
      </c>
    </row>
    <row r="145" spans="10:49" ht="15">
      <c r="J145" s="692"/>
      <c r="K145" s="54"/>
      <c r="L145" s="687"/>
      <c r="M145" s="590"/>
      <c r="N145" s="68"/>
      <c r="O145" s="68"/>
      <c r="P145" s="68"/>
      <c r="Q145" s="68"/>
      <c r="R145" s="68"/>
      <c r="S145" s="68"/>
      <c r="T145" s="68"/>
      <c r="U145" s="54"/>
      <c r="V145" s="54"/>
      <c r="W145" s="54"/>
      <c r="X145" s="54"/>
      <c r="Y145" s="54"/>
      <c r="Z145" s="54"/>
      <c r="AA145" s="54"/>
      <c r="AB145" s="54"/>
      <c r="AC145" s="54"/>
      <c r="AD145" s="54"/>
      <c r="AE145" s="54"/>
      <c r="AF145" s="54"/>
      <c r="AG145" s="54"/>
      <c r="AH145" s="54"/>
      <c r="AI145" s="54"/>
      <c r="AJ145" s="54"/>
      <c r="AW145" s="18">
        <f t="shared" si="2"/>
        <v>0</v>
      </c>
    </row>
    <row r="146" spans="10:49" ht="15">
      <c r="J146" s="692"/>
      <c r="K146" s="54"/>
      <c r="L146" s="687"/>
      <c r="M146" s="590"/>
      <c r="N146" s="68"/>
      <c r="O146" s="68"/>
      <c r="P146" s="68"/>
      <c r="Q146" s="68"/>
      <c r="R146" s="68"/>
      <c r="S146" s="68"/>
      <c r="T146" s="68"/>
      <c r="U146" s="54"/>
      <c r="V146" s="54"/>
      <c r="W146" s="54"/>
      <c r="X146" s="54"/>
      <c r="Y146" s="54"/>
      <c r="Z146" s="54"/>
      <c r="AA146" s="54"/>
      <c r="AB146" s="54"/>
      <c r="AC146" s="54"/>
      <c r="AD146" s="54"/>
      <c r="AE146" s="54"/>
      <c r="AF146" s="54"/>
      <c r="AG146" s="54"/>
      <c r="AH146" s="54"/>
      <c r="AI146" s="54"/>
      <c r="AJ146" s="54"/>
      <c r="AW146" s="18">
        <f t="shared" si="2"/>
        <v>0</v>
      </c>
    </row>
    <row r="147" spans="10:49" ht="15">
      <c r="J147" s="692"/>
      <c r="K147" s="54"/>
      <c r="L147" s="687"/>
      <c r="M147" s="590"/>
      <c r="N147" s="68"/>
      <c r="O147" s="68"/>
      <c r="P147" s="68"/>
      <c r="Q147" s="68"/>
      <c r="R147" s="68"/>
      <c r="S147" s="68"/>
      <c r="T147" s="68"/>
      <c r="U147" s="54"/>
      <c r="V147" s="54"/>
      <c r="W147" s="54"/>
      <c r="X147" s="54"/>
      <c r="Y147" s="54"/>
      <c r="Z147" s="54"/>
      <c r="AA147" s="54"/>
      <c r="AB147" s="54"/>
      <c r="AC147" s="54"/>
      <c r="AD147" s="54"/>
      <c r="AE147" s="54"/>
      <c r="AF147" s="54"/>
      <c r="AG147" s="54"/>
      <c r="AH147" s="54"/>
      <c r="AI147" s="54"/>
      <c r="AJ147" s="54"/>
      <c r="AW147" s="18">
        <f t="shared" si="2"/>
        <v>0</v>
      </c>
    </row>
    <row r="148" spans="10:49" ht="15">
      <c r="J148" s="692"/>
      <c r="K148" s="54"/>
      <c r="L148" s="687"/>
      <c r="M148" s="590"/>
      <c r="N148" s="68"/>
      <c r="O148" s="68"/>
      <c r="P148" s="68"/>
      <c r="Q148" s="68"/>
      <c r="R148" s="68"/>
      <c r="S148" s="68"/>
      <c r="T148" s="68"/>
      <c r="U148" s="54"/>
      <c r="V148" s="54"/>
      <c r="W148" s="54"/>
      <c r="X148" s="54"/>
      <c r="Y148" s="54"/>
      <c r="Z148" s="54"/>
      <c r="AA148" s="54"/>
      <c r="AB148" s="54"/>
      <c r="AC148" s="54"/>
      <c r="AD148" s="54"/>
      <c r="AE148" s="54"/>
      <c r="AF148" s="54"/>
      <c r="AG148" s="54"/>
      <c r="AH148" s="54"/>
      <c r="AI148" s="54"/>
      <c r="AJ148" s="54"/>
      <c r="AW148" s="18">
        <f t="shared" si="2"/>
        <v>0</v>
      </c>
    </row>
    <row r="149" spans="10:49" ht="15">
      <c r="J149" s="692"/>
      <c r="K149" s="54"/>
      <c r="L149" s="687"/>
      <c r="M149" s="590"/>
      <c r="N149" s="68"/>
      <c r="O149" s="68"/>
      <c r="P149" s="68"/>
      <c r="Q149" s="68"/>
      <c r="R149" s="68"/>
      <c r="S149" s="68"/>
      <c r="T149" s="68"/>
      <c r="U149" s="54"/>
      <c r="V149" s="54"/>
      <c r="W149" s="54"/>
      <c r="X149" s="54"/>
      <c r="Y149" s="54"/>
      <c r="Z149" s="54"/>
      <c r="AA149" s="54"/>
      <c r="AB149" s="54"/>
      <c r="AC149" s="54"/>
      <c r="AD149" s="54"/>
      <c r="AE149" s="54"/>
      <c r="AF149" s="54"/>
      <c r="AG149" s="54"/>
      <c r="AH149" s="54"/>
      <c r="AI149" s="54"/>
      <c r="AJ149" s="54"/>
      <c r="AW149" s="18">
        <f t="shared" si="2"/>
        <v>0</v>
      </c>
    </row>
    <row r="150" spans="10:49" ht="15">
      <c r="J150" s="692"/>
      <c r="K150" s="54"/>
      <c r="L150" s="687"/>
      <c r="M150" s="590"/>
      <c r="N150" s="68"/>
      <c r="O150" s="68"/>
      <c r="P150" s="68"/>
      <c r="Q150" s="68"/>
      <c r="R150" s="68"/>
      <c r="S150" s="68"/>
      <c r="T150" s="68"/>
      <c r="U150" s="54"/>
      <c r="V150" s="54"/>
      <c r="W150" s="54"/>
      <c r="X150" s="54"/>
      <c r="Y150" s="54"/>
      <c r="Z150" s="54"/>
      <c r="AA150" s="54"/>
      <c r="AB150" s="54"/>
      <c r="AC150" s="54"/>
      <c r="AD150" s="54"/>
      <c r="AE150" s="54"/>
      <c r="AF150" s="54"/>
      <c r="AG150" s="54"/>
      <c r="AH150" s="54"/>
      <c r="AI150" s="54"/>
      <c r="AJ150" s="54"/>
      <c r="AW150" s="18">
        <f t="shared" si="2"/>
        <v>0</v>
      </c>
    </row>
    <row r="151" spans="10:49" ht="15">
      <c r="J151" s="692"/>
      <c r="K151" s="54"/>
      <c r="L151" s="687"/>
      <c r="M151" s="590"/>
      <c r="N151" s="68"/>
      <c r="O151" s="68"/>
      <c r="P151" s="68"/>
      <c r="Q151" s="68"/>
      <c r="R151" s="68"/>
      <c r="S151" s="68"/>
      <c r="T151" s="68"/>
      <c r="U151" s="54"/>
      <c r="V151" s="54"/>
      <c r="W151" s="54"/>
      <c r="X151" s="54"/>
      <c r="Y151" s="54"/>
      <c r="Z151" s="54"/>
      <c r="AA151" s="54"/>
      <c r="AB151" s="54"/>
      <c r="AC151" s="54"/>
      <c r="AD151" s="54"/>
      <c r="AE151" s="54"/>
      <c r="AF151" s="54"/>
      <c r="AG151" s="54"/>
      <c r="AH151" s="54"/>
      <c r="AI151" s="54"/>
      <c r="AJ151" s="54"/>
      <c r="AW151" s="18">
        <f t="shared" si="2"/>
        <v>0</v>
      </c>
    </row>
    <row r="152" spans="10:49" ht="15">
      <c r="J152" s="692"/>
      <c r="K152" s="54"/>
      <c r="L152" s="687"/>
      <c r="M152" s="590"/>
      <c r="N152" s="68"/>
      <c r="O152" s="68"/>
      <c r="P152" s="68"/>
      <c r="Q152" s="68"/>
      <c r="R152" s="68"/>
      <c r="S152" s="68"/>
      <c r="T152" s="68"/>
      <c r="U152" s="54"/>
      <c r="V152" s="54"/>
      <c r="W152" s="54"/>
      <c r="X152" s="54"/>
      <c r="Y152" s="54"/>
      <c r="Z152" s="54"/>
      <c r="AA152" s="54"/>
      <c r="AB152" s="54"/>
      <c r="AC152" s="54"/>
      <c r="AD152" s="54"/>
      <c r="AE152" s="54"/>
      <c r="AF152" s="54"/>
      <c r="AG152" s="54"/>
      <c r="AH152" s="54"/>
      <c r="AI152" s="54"/>
      <c r="AJ152" s="54"/>
      <c r="AW152" s="18">
        <f t="shared" si="2"/>
        <v>0</v>
      </c>
    </row>
    <row r="153" spans="10:49" ht="15">
      <c r="J153" s="692"/>
      <c r="K153" s="54"/>
      <c r="L153" s="687"/>
      <c r="M153" s="590"/>
      <c r="N153" s="68"/>
      <c r="O153" s="68"/>
      <c r="P153" s="68"/>
      <c r="Q153" s="68"/>
      <c r="R153" s="68"/>
      <c r="S153" s="68"/>
      <c r="T153" s="68"/>
      <c r="U153" s="54"/>
      <c r="V153" s="54"/>
      <c r="W153" s="54"/>
      <c r="X153" s="54"/>
      <c r="Y153" s="54"/>
      <c r="Z153" s="54"/>
      <c r="AA153" s="54"/>
      <c r="AB153" s="54"/>
      <c r="AC153" s="54"/>
      <c r="AD153" s="54"/>
      <c r="AE153" s="54"/>
      <c r="AF153" s="54"/>
      <c r="AG153" s="54"/>
      <c r="AH153" s="54"/>
      <c r="AI153" s="54"/>
      <c r="AJ153" s="54"/>
      <c r="AW153" s="18">
        <f t="shared" si="2"/>
        <v>0</v>
      </c>
    </row>
    <row r="154" spans="10:49" ht="15">
      <c r="J154" s="692"/>
      <c r="K154" s="54"/>
      <c r="L154" s="687"/>
      <c r="M154" s="590"/>
      <c r="N154" s="68"/>
      <c r="O154" s="68"/>
      <c r="P154" s="68"/>
      <c r="Q154" s="68"/>
      <c r="R154" s="68"/>
      <c r="S154" s="68"/>
      <c r="T154" s="68"/>
      <c r="U154" s="54"/>
      <c r="V154" s="54"/>
      <c r="W154" s="54"/>
      <c r="X154" s="54"/>
      <c r="Y154" s="54"/>
      <c r="Z154" s="54"/>
      <c r="AA154" s="54"/>
      <c r="AB154" s="54"/>
      <c r="AC154" s="54"/>
      <c r="AD154" s="54"/>
      <c r="AE154" s="54"/>
      <c r="AF154" s="54"/>
      <c r="AG154" s="54"/>
      <c r="AH154" s="54"/>
      <c r="AI154" s="54"/>
      <c r="AJ154" s="54"/>
      <c r="AW154" s="18">
        <f t="shared" si="2"/>
        <v>0</v>
      </c>
    </row>
    <row r="155" spans="10:49" ht="15">
      <c r="J155" s="693"/>
      <c r="L155" s="685"/>
      <c r="M155" s="590"/>
      <c r="AW155" s="18">
        <f t="shared" si="2"/>
        <v>0</v>
      </c>
    </row>
    <row r="156" spans="10:49" ht="15">
      <c r="J156" s="691"/>
      <c r="L156" s="686"/>
      <c r="M156" s="590"/>
      <c r="AW156" s="18">
        <f t="shared" si="2"/>
        <v>0</v>
      </c>
    </row>
    <row r="157" spans="10:49" ht="15">
      <c r="J157" s="691"/>
      <c r="L157" s="686"/>
      <c r="M157" s="590"/>
      <c r="AW157" s="18">
        <f t="shared" si="2"/>
        <v>0</v>
      </c>
    </row>
    <row r="158" spans="10:49" ht="15">
      <c r="J158" s="691"/>
      <c r="L158" s="686"/>
      <c r="M158" s="590"/>
      <c r="AW158" s="18">
        <f t="shared" si="2"/>
        <v>0</v>
      </c>
    </row>
    <row r="159" spans="10:49" ht="15">
      <c r="J159" s="691"/>
      <c r="L159" s="686"/>
      <c r="M159" s="590"/>
      <c r="AW159" s="18">
        <f t="shared" si="2"/>
        <v>0</v>
      </c>
    </row>
    <row r="160" spans="10:49" ht="15">
      <c r="J160" s="691"/>
      <c r="L160" s="686"/>
      <c r="M160" s="590"/>
      <c r="AW160" s="18">
        <f t="shared" ref="AW160:AW223" si="3">LEN(L160)</f>
        <v>0</v>
      </c>
    </row>
    <row r="161" spans="10:49" ht="15">
      <c r="J161" s="691"/>
      <c r="L161" s="686"/>
      <c r="M161" s="590"/>
      <c r="AW161" s="18">
        <f t="shared" si="3"/>
        <v>0</v>
      </c>
    </row>
    <row r="162" spans="10:49" ht="15">
      <c r="J162" s="691"/>
      <c r="L162" s="686"/>
      <c r="M162" s="590"/>
      <c r="AW162" s="18">
        <f t="shared" si="3"/>
        <v>0</v>
      </c>
    </row>
    <row r="163" spans="10:49" ht="15">
      <c r="J163" s="691"/>
      <c r="L163" s="686"/>
      <c r="M163" s="590"/>
      <c r="AW163" s="18">
        <f t="shared" si="3"/>
        <v>0</v>
      </c>
    </row>
    <row r="164" spans="10:49" ht="15">
      <c r="J164" s="691"/>
      <c r="L164" s="686"/>
      <c r="M164" s="590"/>
      <c r="AW164" s="18">
        <f t="shared" si="3"/>
        <v>0</v>
      </c>
    </row>
    <row r="165" spans="10:49" ht="15">
      <c r="J165" s="691"/>
      <c r="L165" s="686"/>
      <c r="M165" s="590"/>
      <c r="AW165" s="18">
        <f t="shared" si="3"/>
        <v>0</v>
      </c>
    </row>
    <row r="166" spans="10:49" ht="15">
      <c r="J166" s="691"/>
      <c r="L166" s="686"/>
      <c r="M166" s="590"/>
      <c r="AW166" s="18">
        <f t="shared" si="3"/>
        <v>0</v>
      </c>
    </row>
    <row r="167" spans="10:49" ht="15">
      <c r="J167" s="691"/>
      <c r="L167" s="686"/>
      <c r="M167" s="590"/>
      <c r="AW167" s="18">
        <f t="shared" si="3"/>
        <v>0</v>
      </c>
    </row>
    <row r="168" spans="10:49" ht="15">
      <c r="J168" s="603"/>
      <c r="L168" s="397"/>
      <c r="M168" s="590"/>
      <c r="AW168" s="18">
        <f t="shared" si="3"/>
        <v>0</v>
      </c>
    </row>
    <row r="169" spans="10:49" ht="15">
      <c r="AW169" s="18">
        <f t="shared" si="3"/>
        <v>0</v>
      </c>
    </row>
    <row r="170" spans="10:49" ht="15">
      <c r="AW170" s="18">
        <f t="shared" si="3"/>
        <v>0</v>
      </c>
    </row>
    <row r="171" spans="10:49" ht="15">
      <c r="AW171" s="18">
        <f t="shared" si="3"/>
        <v>0</v>
      </c>
    </row>
    <row r="172" spans="10:49" ht="15">
      <c r="AW172" s="18">
        <f t="shared" si="3"/>
        <v>0</v>
      </c>
    </row>
    <row r="173" spans="10:49" ht="15">
      <c r="AW173" s="18">
        <f t="shared" si="3"/>
        <v>0</v>
      </c>
    </row>
    <row r="174" spans="10:49" ht="15">
      <c r="AW174" s="18">
        <f t="shared" si="3"/>
        <v>0</v>
      </c>
    </row>
    <row r="175" spans="10:49" ht="15">
      <c r="AW175" s="18">
        <f t="shared" si="3"/>
        <v>0</v>
      </c>
    </row>
    <row r="176" spans="10:49" ht="15">
      <c r="AW176" s="18">
        <f t="shared" si="3"/>
        <v>0</v>
      </c>
    </row>
    <row r="177" spans="49:49" ht="15">
      <c r="AW177" s="18">
        <f t="shared" si="3"/>
        <v>0</v>
      </c>
    </row>
    <row r="178" spans="49:49" ht="15">
      <c r="AW178" s="18">
        <f t="shared" si="3"/>
        <v>0</v>
      </c>
    </row>
    <row r="179" spans="49:49" ht="15">
      <c r="AW179" s="18">
        <f t="shared" si="3"/>
        <v>0</v>
      </c>
    </row>
    <row r="180" spans="49:49" ht="15">
      <c r="AW180" s="18">
        <f t="shared" si="3"/>
        <v>0</v>
      </c>
    </row>
    <row r="181" spans="49:49" ht="15">
      <c r="AW181" s="18">
        <f t="shared" si="3"/>
        <v>0</v>
      </c>
    </row>
    <row r="182" spans="49:49" ht="15">
      <c r="AW182" s="18">
        <f t="shared" si="3"/>
        <v>0</v>
      </c>
    </row>
    <row r="183" spans="49:49" ht="15">
      <c r="AW183" s="18">
        <f t="shared" si="3"/>
        <v>0</v>
      </c>
    </row>
    <row r="184" spans="49:49" ht="15">
      <c r="AW184" s="18">
        <f t="shared" si="3"/>
        <v>0</v>
      </c>
    </row>
    <row r="185" spans="49:49" ht="15">
      <c r="AW185" s="18">
        <f t="shared" si="3"/>
        <v>0</v>
      </c>
    </row>
    <row r="186" spans="49:49" ht="15">
      <c r="AW186" s="18">
        <f t="shared" si="3"/>
        <v>0</v>
      </c>
    </row>
    <row r="187" spans="49:49" ht="15">
      <c r="AW187" s="18">
        <f t="shared" si="3"/>
        <v>0</v>
      </c>
    </row>
    <row r="188" spans="49:49" ht="15">
      <c r="AW188" s="18">
        <f t="shared" si="3"/>
        <v>0</v>
      </c>
    </row>
    <row r="189" spans="49:49" ht="15">
      <c r="AW189" s="18">
        <f t="shared" si="3"/>
        <v>0</v>
      </c>
    </row>
    <row r="190" spans="49:49" ht="15">
      <c r="AW190" s="18">
        <f t="shared" si="3"/>
        <v>0</v>
      </c>
    </row>
    <row r="191" spans="49:49" ht="15">
      <c r="AW191" s="18">
        <f t="shared" si="3"/>
        <v>0</v>
      </c>
    </row>
    <row r="192" spans="49:49" ht="15">
      <c r="AW192" s="18">
        <f t="shared" si="3"/>
        <v>0</v>
      </c>
    </row>
    <row r="193" spans="49:49" ht="15">
      <c r="AW193" s="18">
        <f t="shared" si="3"/>
        <v>0</v>
      </c>
    </row>
    <row r="194" spans="49:49" ht="15">
      <c r="AW194" s="18">
        <f t="shared" si="3"/>
        <v>0</v>
      </c>
    </row>
    <row r="195" spans="49:49" ht="15">
      <c r="AW195" s="18">
        <f t="shared" si="3"/>
        <v>0</v>
      </c>
    </row>
    <row r="196" spans="49:49" ht="15">
      <c r="AW196" s="18">
        <f t="shared" si="3"/>
        <v>0</v>
      </c>
    </row>
    <row r="197" spans="49:49" ht="15">
      <c r="AW197" s="18">
        <f t="shared" si="3"/>
        <v>0</v>
      </c>
    </row>
    <row r="198" spans="49:49" ht="15">
      <c r="AW198" s="18">
        <f t="shared" si="3"/>
        <v>0</v>
      </c>
    </row>
    <row r="199" spans="49:49" ht="15">
      <c r="AW199" s="18">
        <f t="shared" si="3"/>
        <v>0</v>
      </c>
    </row>
    <row r="200" spans="49:49" ht="15">
      <c r="AW200" s="18">
        <f t="shared" si="3"/>
        <v>0</v>
      </c>
    </row>
    <row r="201" spans="49:49" ht="15">
      <c r="AW201" s="18">
        <f t="shared" si="3"/>
        <v>0</v>
      </c>
    </row>
    <row r="202" spans="49:49" ht="15">
      <c r="AW202" s="18">
        <f t="shared" si="3"/>
        <v>0</v>
      </c>
    </row>
    <row r="203" spans="49:49" ht="15">
      <c r="AW203" s="18">
        <f t="shared" si="3"/>
        <v>0</v>
      </c>
    </row>
    <row r="204" spans="49:49" ht="15">
      <c r="AW204" s="18">
        <f t="shared" si="3"/>
        <v>0</v>
      </c>
    </row>
    <row r="205" spans="49:49" ht="15">
      <c r="AW205" s="18">
        <f t="shared" si="3"/>
        <v>0</v>
      </c>
    </row>
    <row r="206" spans="49:49" ht="15">
      <c r="AW206" s="18">
        <f t="shared" si="3"/>
        <v>0</v>
      </c>
    </row>
    <row r="207" spans="49:49" ht="15">
      <c r="AW207" s="18">
        <f t="shared" si="3"/>
        <v>0</v>
      </c>
    </row>
    <row r="208" spans="49:49" ht="15">
      <c r="AW208" s="18">
        <f t="shared" si="3"/>
        <v>0</v>
      </c>
    </row>
    <row r="209" spans="49:49" ht="15">
      <c r="AW209" s="18">
        <f t="shared" si="3"/>
        <v>0</v>
      </c>
    </row>
    <row r="210" spans="49:49" ht="15">
      <c r="AW210" s="18">
        <f t="shared" si="3"/>
        <v>0</v>
      </c>
    </row>
    <row r="211" spans="49:49" ht="15">
      <c r="AW211" s="18">
        <f t="shared" si="3"/>
        <v>0</v>
      </c>
    </row>
    <row r="212" spans="49:49" ht="15">
      <c r="AW212" s="18">
        <f t="shared" si="3"/>
        <v>0</v>
      </c>
    </row>
    <row r="213" spans="49:49" ht="15">
      <c r="AW213" s="18">
        <f t="shared" si="3"/>
        <v>0</v>
      </c>
    </row>
    <row r="214" spans="49:49" ht="15">
      <c r="AW214" s="18">
        <f t="shared" si="3"/>
        <v>0</v>
      </c>
    </row>
    <row r="215" spans="49:49" ht="15">
      <c r="AW215" s="18">
        <f t="shared" si="3"/>
        <v>0</v>
      </c>
    </row>
    <row r="216" spans="49:49" ht="15">
      <c r="AW216" s="18">
        <f t="shared" si="3"/>
        <v>0</v>
      </c>
    </row>
    <row r="217" spans="49:49" ht="15">
      <c r="AW217" s="18">
        <f t="shared" si="3"/>
        <v>0</v>
      </c>
    </row>
    <row r="218" spans="49:49" ht="15">
      <c r="AW218" s="18">
        <f t="shared" si="3"/>
        <v>0</v>
      </c>
    </row>
    <row r="219" spans="49:49" ht="15">
      <c r="AW219" s="18">
        <f t="shared" si="3"/>
        <v>0</v>
      </c>
    </row>
    <row r="220" spans="49:49" ht="15">
      <c r="AW220" s="18">
        <f t="shared" si="3"/>
        <v>0</v>
      </c>
    </row>
    <row r="221" spans="49:49" ht="15">
      <c r="AW221" s="18">
        <f t="shared" si="3"/>
        <v>0</v>
      </c>
    </row>
    <row r="222" spans="49:49" ht="15">
      <c r="AW222" s="18">
        <f t="shared" si="3"/>
        <v>0</v>
      </c>
    </row>
    <row r="223" spans="49:49" ht="15">
      <c r="AW223" s="18">
        <f t="shared" si="3"/>
        <v>0</v>
      </c>
    </row>
    <row r="224" spans="49:49" ht="15">
      <c r="AW224" s="18">
        <f t="shared" ref="AW224:AW287" si="4">LEN(L224)</f>
        <v>0</v>
      </c>
    </row>
    <row r="225" spans="49:49" ht="15">
      <c r="AW225" s="18">
        <f t="shared" si="4"/>
        <v>0</v>
      </c>
    </row>
    <row r="226" spans="49:49" ht="15">
      <c r="AW226" s="18">
        <f t="shared" si="4"/>
        <v>0</v>
      </c>
    </row>
    <row r="227" spans="49:49" ht="15">
      <c r="AW227" s="18">
        <f t="shared" si="4"/>
        <v>0</v>
      </c>
    </row>
    <row r="228" spans="49:49" ht="15">
      <c r="AW228" s="18">
        <f t="shared" si="4"/>
        <v>0</v>
      </c>
    </row>
    <row r="229" spans="49:49" ht="15">
      <c r="AW229" s="18">
        <f t="shared" si="4"/>
        <v>0</v>
      </c>
    </row>
    <row r="230" spans="49:49" ht="15">
      <c r="AW230" s="18">
        <f t="shared" si="4"/>
        <v>0</v>
      </c>
    </row>
    <row r="231" spans="49:49" ht="15">
      <c r="AW231" s="18">
        <f t="shared" si="4"/>
        <v>0</v>
      </c>
    </row>
    <row r="232" spans="49:49" ht="15">
      <c r="AW232" s="18">
        <f t="shared" si="4"/>
        <v>0</v>
      </c>
    </row>
    <row r="233" spans="49:49" ht="15">
      <c r="AW233" s="18">
        <f t="shared" si="4"/>
        <v>0</v>
      </c>
    </row>
    <row r="234" spans="49:49" ht="15">
      <c r="AW234" s="18">
        <f t="shared" si="4"/>
        <v>0</v>
      </c>
    </row>
    <row r="235" spans="49:49" ht="15">
      <c r="AW235" s="18">
        <f t="shared" si="4"/>
        <v>0</v>
      </c>
    </row>
    <row r="236" spans="49:49" ht="15">
      <c r="AW236" s="18">
        <f t="shared" si="4"/>
        <v>0</v>
      </c>
    </row>
    <row r="237" spans="49:49" ht="15">
      <c r="AW237" s="18">
        <f t="shared" si="4"/>
        <v>0</v>
      </c>
    </row>
    <row r="238" spans="49:49" ht="15">
      <c r="AW238" s="18">
        <f t="shared" si="4"/>
        <v>0</v>
      </c>
    </row>
    <row r="239" spans="49:49" ht="15">
      <c r="AW239" s="18">
        <f t="shared" si="4"/>
        <v>0</v>
      </c>
    </row>
    <row r="240" spans="49:49" ht="15">
      <c r="AW240" s="18">
        <f t="shared" si="4"/>
        <v>0</v>
      </c>
    </row>
    <row r="241" spans="49:49" ht="15">
      <c r="AW241" s="18">
        <f t="shared" si="4"/>
        <v>0</v>
      </c>
    </row>
    <row r="242" spans="49:49" ht="15">
      <c r="AW242" s="18">
        <f t="shared" si="4"/>
        <v>0</v>
      </c>
    </row>
    <row r="243" spans="49:49" ht="15">
      <c r="AW243" s="18">
        <f t="shared" si="4"/>
        <v>0</v>
      </c>
    </row>
    <row r="244" spans="49:49" ht="15">
      <c r="AW244" s="18">
        <f t="shared" si="4"/>
        <v>0</v>
      </c>
    </row>
    <row r="245" spans="49:49" ht="15">
      <c r="AW245" s="18">
        <f t="shared" si="4"/>
        <v>0</v>
      </c>
    </row>
    <row r="246" spans="49:49" ht="15">
      <c r="AW246" s="18">
        <f t="shared" si="4"/>
        <v>0</v>
      </c>
    </row>
    <row r="247" spans="49:49" ht="15">
      <c r="AW247" s="18">
        <f t="shared" si="4"/>
        <v>0</v>
      </c>
    </row>
    <row r="248" spans="49:49" ht="15">
      <c r="AW248" s="18">
        <f t="shared" si="4"/>
        <v>0</v>
      </c>
    </row>
    <row r="249" spans="49:49" ht="15">
      <c r="AW249" s="18">
        <f t="shared" si="4"/>
        <v>0</v>
      </c>
    </row>
    <row r="250" spans="49:49" ht="15">
      <c r="AW250" s="18">
        <f t="shared" si="4"/>
        <v>0</v>
      </c>
    </row>
    <row r="251" spans="49:49" ht="15">
      <c r="AW251" s="18">
        <f t="shared" si="4"/>
        <v>0</v>
      </c>
    </row>
    <row r="252" spans="49:49" ht="15">
      <c r="AW252" s="18">
        <f t="shared" si="4"/>
        <v>0</v>
      </c>
    </row>
    <row r="253" spans="49:49" ht="15">
      <c r="AW253" s="18">
        <f t="shared" si="4"/>
        <v>0</v>
      </c>
    </row>
    <row r="254" spans="49:49" ht="15">
      <c r="AW254" s="18">
        <f t="shared" si="4"/>
        <v>0</v>
      </c>
    </row>
    <row r="255" spans="49:49" ht="15">
      <c r="AW255" s="18">
        <f t="shared" si="4"/>
        <v>0</v>
      </c>
    </row>
    <row r="256" spans="49:49" ht="15">
      <c r="AW256" s="18">
        <f t="shared" si="4"/>
        <v>0</v>
      </c>
    </row>
    <row r="257" spans="49:49" ht="15">
      <c r="AW257" s="18">
        <f t="shared" si="4"/>
        <v>0</v>
      </c>
    </row>
    <row r="258" spans="49:49" ht="15">
      <c r="AW258" s="18">
        <f t="shared" si="4"/>
        <v>0</v>
      </c>
    </row>
    <row r="259" spans="49:49" ht="15">
      <c r="AW259" s="18">
        <f t="shared" si="4"/>
        <v>0</v>
      </c>
    </row>
    <row r="260" spans="49:49" ht="15">
      <c r="AW260" s="18">
        <f t="shared" si="4"/>
        <v>0</v>
      </c>
    </row>
    <row r="261" spans="49:49" ht="15">
      <c r="AW261" s="18">
        <f t="shared" si="4"/>
        <v>0</v>
      </c>
    </row>
    <row r="262" spans="49:49" ht="15">
      <c r="AW262" s="18">
        <f t="shared" si="4"/>
        <v>0</v>
      </c>
    </row>
    <row r="263" spans="49:49" ht="15">
      <c r="AW263" s="18">
        <f t="shared" si="4"/>
        <v>0</v>
      </c>
    </row>
    <row r="264" spans="49:49" ht="15">
      <c r="AW264" s="18">
        <f t="shared" si="4"/>
        <v>0</v>
      </c>
    </row>
    <row r="265" spans="49:49" ht="15">
      <c r="AW265" s="18">
        <f t="shared" si="4"/>
        <v>0</v>
      </c>
    </row>
    <row r="266" spans="49:49" ht="15">
      <c r="AW266" s="18">
        <f t="shared" si="4"/>
        <v>0</v>
      </c>
    </row>
    <row r="267" spans="49:49" ht="15">
      <c r="AW267" s="18">
        <f t="shared" si="4"/>
        <v>0</v>
      </c>
    </row>
    <row r="268" spans="49:49" ht="15">
      <c r="AW268" s="18">
        <f t="shared" si="4"/>
        <v>0</v>
      </c>
    </row>
    <row r="269" spans="49:49" ht="15">
      <c r="AW269" s="18">
        <f t="shared" si="4"/>
        <v>0</v>
      </c>
    </row>
    <row r="270" spans="49:49" ht="15">
      <c r="AW270" s="18">
        <f t="shared" si="4"/>
        <v>0</v>
      </c>
    </row>
    <row r="271" spans="49:49" ht="15">
      <c r="AW271" s="18">
        <f t="shared" si="4"/>
        <v>0</v>
      </c>
    </row>
    <row r="272" spans="49:49" ht="15">
      <c r="AW272" s="18">
        <f t="shared" si="4"/>
        <v>0</v>
      </c>
    </row>
    <row r="273" spans="49:49" ht="15">
      <c r="AW273" s="18">
        <f t="shared" si="4"/>
        <v>0</v>
      </c>
    </row>
    <row r="274" spans="49:49" ht="15">
      <c r="AW274" s="18">
        <f t="shared" si="4"/>
        <v>0</v>
      </c>
    </row>
    <row r="275" spans="49:49" ht="15">
      <c r="AW275" s="18">
        <f t="shared" si="4"/>
        <v>0</v>
      </c>
    </row>
    <row r="276" spans="49:49" ht="15">
      <c r="AW276" s="18">
        <f t="shared" si="4"/>
        <v>0</v>
      </c>
    </row>
    <row r="277" spans="49:49" ht="15">
      <c r="AW277" s="18">
        <f t="shared" si="4"/>
        <v>0</v>
      </c>
    </row>
    <row r="278" spans="49:49" ht="15">
      <c r="AW278" s="18">
        <f t="shared" si="4"/>
        <v>0</v>
      </c>
    </row>
    <row r="279" spans="49:49" ht="15">
      <c r="AW279" s="18">
        <f t="shared" si="4"/>
        <v>0</v>
      </c>
    </row>
    <row r="280" spans="49:49" ht="15">
      <c r="AW280" s="18">
        <f t="shared" si="4"/>
        <v>0</v>
      </c>
    </row>
    <row r="281" spans="49:49" ht="15">
      <c r="AW281" s="18">
        <f t="shared" si="4"/>
        <v>0</v>
      </c>
    </row>
    <row r="282" spans="49:49" ht="15">
      <c r="AW282" s="18">
        <f t="shared" si="4"/>
        <v>0</v>
      </c>
    </row>
    <row r="283" spans="49:49" ht="15">
      <c r="AW283" s="18">
        <f t="shared" si="4"/>
        <v>0</v>
      </c>
    </row>
    <row r="284" spans="49:49" ht="15">
      <c r="AW284" s="18">
        <f t="shared" si="4"/>
        <v>0</v>
      </c>
    </row>
    <row r="285" spans="49:49" ht="15">
      <c r="AW285" s="18">
        <f t="shared" si="4"/>
        <v>0</v>
      </c>
    </row>
    <row r="286" spans="49:49" ht="15">
      <c r="AW286" s="18">
        <f t="shared" si="4"/>
        <v>0</v>
      </c>
    </row>
    <row r="287" spans="49:49" ht="15">
      <c r="AW287" s="18">
        <f t="shared" si="4"/>
        <v>0</v>
      </c>
    </row>
    <row r="288" spans="49:49" ht="15">
      <c r="AW288" s="18">
        <f t="shared" ref="AW288:AW351" si="5">LEN(L288)</f>
        <v>0</v>
      </c>
    </row>
    <row r="289" spans="49:49" ht="15">
      <c r="AW289" s="18">
        <f t="shared" si="5"/>
        <v>0</v>
      </c>
    </row>
    <row r="290" spans="49:49" ht="15">
      <c r="AW290" s="18">
        <f t="shared" si="5"/>
        <v>0</v>
      </c>
    </row>
    <row r="291" spans="49:49" ht="15">
      <c r="AW291" s="18">
        <f t="shared" si="5"/>
        <v>0</v>
      </c>
    </row>
    <row r="292" spans="49:49" ht="15">
      <c r="AW292" s="18">
        <f t="shared" si="5"/>
        <v>0</v>
      </c>
    </row>
    <row r="293" spans="49:49" ht="15">
      <c r="AW293" s="18">
        <f t="shared" si="5"/>
        <v>0</v>
      </c>
    </row>
    <row r="294" spans="49:49" ht="15">
      <c r="AW294" s="18">
        <f t="shared" si="5"/>
        <v>0</v>
      </c>
    </row>
    <row r="295" spans="49:49" ht="15">
      <c r="AW295" s="18">
        <f t="shared" si="5"/>
        <v>0</v>
      </c>
    </row>
    <row r="296" spans="49:49" ht="15">
      <c r="AW296" s="18">
        <f t="shared" si="5"/>
        <v>0</v>
      </c>
    </row>
    <row r="297" spans="49:49" ht="15">
      <c r="AW297" s="18">
        <f t="shared" si="5"/>
        <v>0</v>
      </c>
    </row>
    <row r="298" spans="49:49" ht="15">
      <c r="AW298" s="18">
        <f t="shared" si="5"/>
        <v>0</v>
      </c>
    </row>
    <row r="299" spans="49:49" ht="15">
      <c r="AW299" s="18">
        <f t="shared" si="5"/>
        <v>0</v>
      </c>
    </row>
    <row r="300" spans="49:49" ht="15">
      <c r="AW300" s="18">
        <f t="shared" si="5"/>
        <v>0</v>
      </c>
    </row>
    <row r="301" spans="49:49" ht="15">
      <c r="AW301" s="18">
        <f t="shared" si="5"/>
        <v>0</v>
      </c>
    </row>
    <row r="302" spans="49:49" ht="15">
      <c r="AW302" s="18">
        <f t="shared" si="5"/>
        <v>0</v>
      </c>
    </row>
    <row r="303" spans="49:49" ht="15">
      <c r="AW303" s="18">
        <f t="shared" si="5"/>
        <v>0</v>
      </c>
    </row>
    <row r="304" spans="49:49" ht="15">
      <c r="AW304" s="18">
        <f t="shared" si="5"/>
        <v>0</v>
      </c>
    </row>
    <row r="305" spans="49:49" ht="15">
      <c r="AW305" s="18">
        <f t="shared" si="5"/>
        <v>0</v>
      </c>
    </row>
    <row r="306" spans="49:49" ht="15">
      <c r="AW306" s="18">
        <f t="shared" si="5"/>
        <v>0</v>
      </c>
    </row>
    <row r="307" spans="49:49" ht="15">
      <c r="AW307" s="18">
        <f t="shared" si="5"/>
        <v>0</v>
      </c>
    </row>
    <row r="308" spans="49:49" ht="15">
      <c r="AW308" s="18">
        <f t="shared" si="5"/>
        <v>0</v>
      </c>
    </row>
    <row r="309" spans="49:49" ht="15">
      <c r="AW309" s="18">
        <f t="shared" si="5"/>
        <v>0</v>
      </c>
    </row>
    <row r="310" spans="49:49" ht="15">
      <c r="AW310" s="18">
        <f t="shared" si="5"/>
        <v>0</v>
      </c>
    </row>
    <row r="311" spans="49:49" ht="15">
      <c r="AW311" s="18">
        <f t="shared" si="5"/>
        <v>0</v>
      </c>
    </row>
    <row r="312" spans="49:49" ht="15">
      <c r="AW312" s="18">
        <f t="shared" si="5"/>
        <v>0</v>
      </c>
    </row>
    <row r="313" spans="49:49" ht="15">
      <c r="AW313" s="18">
        <f t="shared" si="5"/>
        <v>0</v>
      </c>
    </row>
    <row r="314" spans="49:49" ht="15">
      <c r="AW314" s="18">
        <f t="shared" si="5"/>
        <v>0</v>
      </c>
    </row>
    <row r="315" spans="49:49" ht="15">
      <c r="AW315" s="18">
        <f t="shared" si="5"/>
        <v>0</v>
      </c>
    </row>
    <row r="316" spans="49:49" ht="15">
      <c r="AW316" s="18">
        <f t="shared" si="5"/>
        <v>0</v>
      </c>
    </row>
    <row r="317" spans="49:49" ht="15">
      <c r="AW317" s="18">
        <f t="shared" si="5"/>
        <v>0</v>
      </c>
    </row>
    <row r="318" spans="49:49" ht="15">
      <c r="AW318" s="18">
        <f t="shared" si="5"/>
        <v>0</v>
      </c>
    </row>
    <row r="319" spans="49:49" ht="15">
      <c r="AW319" s="18">
        <f t="shared" si="5"/>
        <v>0</v>
      </c>
    </row>
    <row r="320" spans="49:49" ht="15">
      <c r="AW320" s="18">
        <f t="shared" si="5"/>
        <v>0</v>
      </c>
    </row>
    <row r="321" spans="49:49" ht="15">
      <c r="AW321" s="18">
        <f t="shared" si="5"/>
        <v>0</v>
      </c>
    </row>
    <row r="322" spans="49:49" ht="15">
      <c r="AW322" s="18">
        <f t="shared" si="5"/>
        <v>0</v>
      </c>
    </row>
    <row r="323" spans="49:49" ht="15">
      <c r="AW323" s="18">
        <f t="shared" si="5"/>
        <v>0</v>
      </c>
    </row>
    <row r="324" spans="49:49" ht="15">
      <c r="AW324" s="18">
        <f t="shared" si="5"/>
        <v>0</v>
      </c>
    </row>
    <row r="325" spans="49:49" ht="15">
      <c r="AW325" s="18">
        <f t="shared" si="5"/>
        <v>0</v>
      </c>
    </row>
    <row r="326" spans="49:49" ht="15">
      <c r="AW326" s="18">
        <f t="shared" si="5"/>
        <v>0</v>
      </c>
    </row>
    <row r="327" spans="49:49" ht="15">
      <c r="AW327" s="18">
        <f t="shared" si="5"/>
        <v>0</v>
      </c>
    </row>
    <row r="328" spans="49:49" ht="15">
      <c r="AW328" s="18">
        <f t="shared" si="5"/>
        <v>0</v>
      </c>
    </row>
    <row r="329" spans="49:49" ht="15">
      <c r="AW329" s="18">
        <f t="shared" si="5"/>
        <v>0</v>
      </c>
    </row>
    <row r="330" spans="49:49" ht="15">
      <c r="AW330" s="18">
        <f t="shared" si="5"/>
        <v>0</v>
      </c>
    </row>
    <row r="331" spans="49:49" ht="15">
      <c r="AW331" s="18">
        <f t="shared" si="5"/>
        <v>0</v>
      </c>
    </row>
    <row r="332" spans="49:49" ht="15">
      <c r="AW332" s="18">
        <f t="shared" si="5"/>
        <v>0</v>
      </c>
    </row>
    <row r="333" spans="49:49" ht="15">
      <c r="AW333" s="18">
        <f t="shared" si="5"/>
        <v>0</v>
      </c>
    </row>
    <row r="334" spans="49:49" ht="15">
      <c r="AW334" s="18">
        <f t="shared" si="5"/>
        <v>0</v>
      </c>
    </row>
    <row r="335" spans="49:49" ht="15">
      <c r="AW335" s="18">
        <f t="shared" si="5"/>
        <v>0</v>
      </c>
    </row>
    <row r="336" spans="49:49" ht="15">
      <c r="AW336" s="18">
        <f t="shared" si="5"/>
        <v>0</v>
      </c>
    </row>
    <row r="337" spans="49:49" ht="15">
      <c r="AW337" s="18">
        <f t="shared" si="5"/>
        <v>0</v>
      </c>
    </row>
    <row r="338" spans="49:49" ht="15">
      <c r="AW338" s="18">
        <f t="shared" si="5"/>
        <v>0</v>
      </c>
    </row>
    <row r="339" spans="49:49" ht="15">
      <c r="AW339" s="18">
        <f t="shared" si="5"/>
        <v>0</v>
      </c>
    </row>
    <row r="340" spans="49:49" ht="15">
      <c r="AW340" s="18">
        <f t="shared" si="5"/>
        <v>0</v>
      </c>
    </row>
    <row r="341" spans="49:49" ht="15">
      <c r="AW341" s="18">
        <f t="shared" si="5"/>
        <v>0</v>
      </c>
    </row>
    <row r="342" spans="49:49" ht="15">
      <c r="AW342" s="18">
        <f t="shared" si="5"/>
        <v>0</v>
      </c>
    </row>
    <row r="343" spans="49:49" ht="15">
      <c r="AW343" s="18">
        <f t="shared" si="5"/>
        <v>0</v>
      </c>
    </row>
    <row r="344" spans="49:49" ht="15">
      <c r="AW344" s="18">
        <f t="shared" si="5"/>
        <v>0</v>
      </c>
    </row>
    <row r="345" spans="49:49" ht="15">
      <c r="AW345" s="18">
        <f t="shared" si="5"/>
        <v>0</v>
      </c>
    </row>
    <row r="346" spans="49:49" ht="15">
      <c r="AW346" s="18">
        <f t="shared" si="5"/>
        <v>0</v>
      </c>
    </row>
    <row r="347" spans="49:49" ht="15">
      <c r="AW347" s="18">
        <f t="shared" si="5"/>
        <v>0</v>
      </c>
    </row>
    <row r="348" spans="49:49" ht="15">
      <c r="AW348" s="18">
        <f t="shared" si="5"/>
        <v>0</v>
      </c>
    </row>
    <row r="349" spans="49:49" ht="15">
      <c r="AW349" s="18">
        <f t="shared" si="5"/>
        <v>0</v>
      </c>
    </row>
    <row r="350" spans="49:49" ht="15">
      <c r="AW350" s="18">
        <f t="shared" si="5"/>
        <v>0</v>
      </c>
    </row>
    <row r="351" spans="49:49" ht="15">
      <c r="AW351" s="18">
        <f t="shared" si="5"/>
        <v>0</v>
      </c>
    </row>
    <row r="352" spans="49:49" ht="15">
      <c r="AW352" s="18">
        <f t="shared" ref="AW352:AW415" si="6">LEN(L352)</f>
        <v>0</v>
      </c>
    </row>
    <row r="353" spans="49:49" ht="15">
      <c r="AW353" s="18">
        <f t="shared" si="6"/>
        <v>0</v>
      </c>
    </row>
    <row r="354" spans="49:49" ht="15">
      <c r="AW354" s="18">
        <f t="shared" si="6"/>
        <v>0</v>
      </c>
    </row>
    <row r="355" spans="49:49" ht="15">
      <c r="AW355" s="18">
        <f t="shared" si="6"/>
        <v>0</v>
      </c>
    </row>
    <row r="356" spans="49:49" ht="15">
      <c r="AW356" s="18">
        <f t="shared" si="6"/>
        <v>0</v>
      </c>
    </row>
    <row r="357" spans="49:49" ht="15">
      <c r="AW357" s="18">
        <f t="shared" si="6"/>
        <v>0</v>
      </c>
    </row>
    <row r="358" spans="49:49" ht="15">
      <c r="AW358" s="18">
        <f t="shared" si="6"/>
        <v>0</v>
      </c>
    </row>
    <row r="359" spans="49:49" ht="15">
      <c r="AW359" s="18">
        <f t="shared" si="6"/>
        <v>0</v>
      </c>
    </row>
    <row r="360" spans="49:49" ht="15">
      <c r="AW360" s="18">
        <f t="shared" si="6"/>
        <v>0</v>
      </c>
    </row>
    <row r="361" spans="49:49" ht="15">
      <c r="AW361" s="18">
        <f t="shared" si="6"/>
        <v>0</v>
      </c>
    </row>
    <row r="362" spans="49:49" ht="15">
      <c r="AW362" s="18">
        <f t="shared" si="6"/>
        <v>0</v>
      </c>
    </row>
    <row r="363" spans="49:49" ht="15">
      <c r="AW363" s="18">
        <f t="shared" si="6"/>
        <v>0</v>
      </c>
    </row>
    <row r="364" spans="49:49" ht="15">
      <c r="AW364" s="18">
        <f t="shared" si="6"/>
        <v>0</v>
      </c>
    </row>
    <row r="365" spans="49:49" ht="15">
      <c r="AW365" s="18">
        <f t="shared" si="6"/>
        <v>0</v>
      </c>
    </row>
    <row r="366" spans="49:49" ht="15">
      <c r="AW366" s="18">
        <f t="shared" si="6"/>
        <v>0</v>
      </c>
    </row>
    <row r="367" spans="49:49" ht="15">
      <c r="AW367" s="18">
        <f t="shared" si="6"/>
        <v>0</v>
      </c>
    </row>
    <row r="368" spans="49:49" ht="15">
      <c r="AW368" s="18">
        <f t="shared" si="6"/>
        <v>0</v>
      </c>
    </row>
    <row r="369" spans="49:49" ht="15">
      <c r="AW369" s="18">
        <f t="shared" si="6"/>
        <v>0</v>
      </c>
    </row>
    <row r="370" spans="49:49" ht="15">
      <c r="AW370" s="18">
        <f t="shared" si="6"/>
        <v>0</v>
      </c>
    </row>
    <row r="371" spans="49:49" ht="15">
      <c r="AW371" s="18">
        <f t="shared" si="6"/>
        <v>0</v>
      </c>
    </row>
    <row r="372" spans="49:49" ht="15">
      <c r="AW372" s="18">
        <f t="shared" si="6"/>
        <v>0</v>
      </c>
    </row>
    <row r="373" spans="49:49" ht="15">
      <c r="AW373" s="18">
        <f t="shared" si="6"/>
        <v>0</v>
      </c>
    </row>
    <row r="374" spans="49:49" ht="15">
      <c r="AW374" s="18">
        <f t="shared" si="6"/>
        <v>0</v>
      </c>
    </row>
    <row r="375" spans="49:49" ht="15">
      <c r="AW375" s="18">
        <f t="shared" si="6"/>
        <v>0</v>
      </c>
    </row>
    <row r="376" spans="49:49" ht="15">
      <c r="AW376" s="18">
        <f t="shared" si="6"/>
        <v>0</v>
      </c>
    </row>
    <row r="377" spans="49:49" ht="15">
      <c r="AW377" s="18">
        <f t="shared" si="6"/>
        <v>0</v>
      </c>
    </row>
    <row r="378" spans="49:49" ht="15">
      <c r="AW378" s="18">
        <f t="shared" si="6"/>
        <v>0</v>
      </c>
    </row>
    <row r="379" spans="49:49" ht="15">
      <c r="AW379" s="18">
        <f t="shared" si="6"/>
        <v>0</v>
      </c>
    </row>
    <row r="380" spans="49:49" ht="15">
      <c r="AW380" s="18">
        <f t="shared" si="6"/>
        <v>0</v>
      </c>
    </row>
    <row r="381" spans="49:49" ht="15">
      <c r="AW381" s="18">
        <f t="shared" si="6"/>
        <v>0</v>
      </c>
    </row>
    <row r="382" spans="49:49" ht="15">
      <c r="AW382" s="18">
        <f t="shared" si="6"/>
        <v>0</v>
      </c>
    </row>
    <row r="383" spans="49:49" ht="15">
      <c r="AW383" s="18">
        <f t="shared" si="6"/>
        <v>0</v>
      </c>
    </row>
    <row r="384" spans="49:49" ht="15">
      <c r="AW384" s="18">
        <f t="shared" si="6"/>
        <v>0</v>
      </c>
    </row>
    <row r="385" spans="49:49" ht="15">
      <c r="AW385" s="18">
        <f t="shared" si="6"/>
        <v>0</v>
      </c>
    </row>
    <row r="386" spans="49:49" ht="15">
      <c r="AW386" s="18">
        <f t="shared" si="6"/>
        <v>0</v>
      </c>
    </row>
    <row r="387" spans="49:49" ht="15">
      <c r="AW387" s="18">
        <f t="shared" si="6"/>
        <v>0</v>
      </c>
    </row>
    <row r="388" spans="49:49" ht="15">
      <c r="AW388" s="18">
        <f t="shared" si="6"/>
        <v>0</v>
      </c>
    </row>
    <row r="389" spans="49:49" ht="15">
      <c r="AW389" s="18">
        <f t="shared" si="6"/>
        <v>0</v>
      </c>
    </row>
    <row r="390" spans="49:49" ht="15">
      <c r="AW390" s="18">
        <f t="shared" si="6"/>
        <v>0</v>
      </c>
    </row>
    <row r="391" spans="49:49" ht="15">
      <c r="AW391" s="18">
        <f t="shared" si="6"/>
        <v>0</v>
      </c>
    </row>
    <row r="392" spans="49:49" ht="15">
      <c r="AW392" s="18">
        <f t="shared" si="6"/>
        <v>0</v>
      </c>
    </row>
    <row r="393" spans="49:49" ht="15">
      <c r="AW393" s="18">
        <f t="shared" si="6"/>
        <v>0</v>
      </c>
    </row>
    <row r="394" spans="49:49" ht="15">
      <c r="AW394" s="18">
        <f t="shared" si="6"/>
        <v>0</v>
      </c>
    </row>
    <row r="395" spans="49:49" ht="15">
      <c r="AW395" s="18">
        <f t="shared" si="6"/>
        <v>0</v>
      </c>
    </row>
    <row r="396" spans="49:49" ht="15">
      <c r="AW396" s="18">
        <f t="shared" si="6"/>
        <v>0</v>
      </c>
    </row>
    <row r="397" spans="49:49" ht="15">
      <c r="AW397" s="18">
        <f t="shared" si="6"/>
        <v>0</v>
      </c>
    </row>
    <row r="398" spans="49:49" ht="15">
      <c r="AW398" s="18">
        <f t="shared" si="6"/>
        <v>0</v>
      </c>
    </row>
    <row r="399" spans="49:49" ht="15">
      <c r="AW399" s="18">
        <f t="shared" si="6"/>
        <v>0</v>
      </c>
    </row>
    <row r="400" spans="49:49" ht="15">
      <c r="AW400" s="18">
        <f t="shared" si="6"/>
        <v>0</v>
      </c>
    </row>
    <row r="401" spans="49:49" ht="15">
      <c r="AW401" s="18">
        <f t="shared" si="6"/>
        <v>0</v>
      </c>
    </row>
    <row r="402" spans="49:49" ht="15">
      <c r="AW402" s="18">
        <f t="shared" si="6"/>
        <v>0</v>
      </c>
    </row>
    <row r="403" spans="49:49" ht="15">
      <c r="AW403" s="18">
        <f t="shared" si="6"/>
        <v>0</v>
      </c>
    </row>
    <row r="404" spans="49:49" ht="15">
      <c r="AW404" s="18">
        <f t="shared" si="6"/>
        <v>0</v>
      </c>
    </row>
    <row r="405" spans="49:49" ht="15">
      <c r="AW405" s="18">
        <f t="shared" si="6"/>
        <v>0</v>
      </c>
    </row>
    <row r="406" spans="49:49" ht="15">
      <c r="AW406" s="18">
        <f t="shared" si="6"/>
        <v>0</v>
      </c>
    </row>
    <row r="407" spans="49:49" ht="15">
      <c r="AW407" s="18">
        <f t="shared" si="6"/>
        <v>0</v>
      </c>
    </row>
    <row r="408" spans="49:49" ht="15">
      <c r="AW408" s="18">
        <f t="shared" si="6"/>
        <v>0</v>
      </c>
    </row>
    <row r="409" spans="49:49" ht="15">
      <c r="AW409" s="18">
        <f t="shared" si="6"/>
        <v>0</v>
      </c>
    </row>
    <row r="410" spans="49:49" ht="15">
      <c r="AW410" s="18">
        <f t="shared" si="6"/>
        <v>0</v>
      </c>
    </row>
    <row r="411" spans="49:49" ht="15">
      <c r="AW411" s="18">
        <f t="shared" si="6"/>
        <v>0</v>
      </c>
    </row>
    <row r="412" spans="49:49" ht="15">
      <c r="AW412" s="18">
        <f t="shared" si="6"/>
        <v>0</v>
      </c>
    </row>
    <row r="413" spans="49:49" ht="15">
      <c r="AW413" s="18">
        <f t="shared" si="6"/>
        <v>0</v>
      </c>
    </row>
    <row r="414" spans="49:49" ht="15">
      <c r="AW414" s="18">
        <f t="shared" si="6"/>
        <v>0</v>
      </c>
    </row>
    <row r="415" spans="49:49" ht="15">
      <c r="AW415" s="18">
        <f t="shared" si="6"/>
        <v>0</v>
      </c>
    </row>
    <row r="416" spans="49:49" ht="15">
      <c r="AW416" s="18">
        <f t="shared" ref="AW416:AW459" si="7">LEN(L416)</f>
        <v>0</v>
      </c>
    </row>
    <row r="417" spans="49:49" ht="15">
      <c r="AW417" s="18">
        <f t="shared" si="7"/>
        <v>0</v>
      </c>
    </row>
    <row r="418" spans="49:49" ht="15">
      <c r="AW418" s="18">
        <f t="shared" si="7"/>
        <v>0</v>
      </c>
    </row>
    <row r="419" spans="49:49" ht="15">
      <c r="AW419" s="18">
        <f t="shared" si="7"/>
        <v>0</v>
      </c>
    </row>
    <row r="420" spans="49:49" ht="15">
      <c r="AW420" s="18">
        <f t="shared" si="7"/>
        <v>0</v>
      </c>
    </row>
    <row r="421" spans="49:49" ht="15">
      <c r="AW421" s="18">
        <f t="shared" si="7"/>
        <v>0</v>
      </c>
    </row>
    <row r="422" spans="49:49" ht="15">
      <c r="AW422" s="18">
        <f t="shared" si="7"/>
        <v>0</v>
      </c>
    </row>
    <row r="423" spans="49:49" ht="15">
      <c r="AW423" s="18">
        <f t="shared" si="7"/>
        <v>0</v>
      </c>
    </row>
    <row r="424" spans="49:49" ht="15">
      <c r="AW424" s="18">
        <f t="shared" si="7"/>
        <v>0</v>
      </c>
    </row>
    <row r="425" spans="49:49" ht="15">
      <c r="AW425" s="18">
        <f t="shared" si="7"/>
        <v>0</v>
      </c>
    </row>
    <row r="426" spans="49:49" ht="15">
      <c r="AW426" s="18">
        <f t="shared" si="7"/>
        <v>0</v>
      </c>
    </row>
    <row r="427" spans="49:49" ht="15">
      <c r="AW427" s="18">
        <f t="shared" si="7"/>
        <v>0</v>
      </c>
    </row>
    <row r="428" spans="49:49" ht="15">
      <c r="AW428" s="18">
        <f t="shared" si="7"/>
        <v>0</v>
      </c>
    </row>
    <row r="429" spans="49:49" ht="15">
      <c r="AW429" s="18">
        <f t="shared" si="7"/>
        <v>0</v>
      </c>
    </row>
    <row r="430" spans="49:49" ht="15">
      <c r="AW430" s="18">
        <f t="shared" si="7"/>
        <v>0</v>
      </c>
    </row>
    <row r="431" spans="49:49" ht="15">
      <c r="AW431" s="18">
        <f t="shared" si="7"/>
        <v>0</v>
      </c>
    </row>
    <row r="432" spans="49:49" ht="15">
      <c r="AW432" s="18">
        <f t="shared" si="7"/>
        <v>0</v>
      </c>
    </row>
    <row r="433" spans="49:49" ht="15">
      <c r="AW433" s="18">
        <f t="shared" si="7"/>
        <v>0</v>
      </c>
    </row>
    <row r="434" spans="49:49" ht="15">
      <c r="AW434" s="18">
        <f t="shared" si="7"/>
        <v>0</v>
      </c>
    </row>
    <row r="435" spans="49:49" ht="15">
      <c r="AW435" s="18">
        <f t="shared" si="7"/>
        <v>0</v>
      </c>
    </row>
    <row r="436" spans="49:49" ht="15">
      <c r="AW436" s="18">
        <f t="shared" si="7"/>
        <v>0</v>
      </c>
    </row>
    <row r="437" spans="49:49" ht="15">
      <c r="AW437" s="18">
        <f t="shared" si="7"/>
        <v>0</v>
      </c>
    </row>
    <row r="438" spans="49:49" ht="15">
      <c r="AW438" s="18">
        <f t="shared" si="7"/>
        <v>0</v>
      </c>
    </row>
    <row r="439" spans="49:49" ht="15">
      <c r="AW439" s="18">
        <f t="shared" si="7"/>
        <v>0</v>
      </c>
    </row>
    <row r="440" spans="49:49" ht="15">
      <c r="AW440" s="18">
        <f t="shared" si="7"/>
        <v>0</v>
      </c>
    </row>
    <row r="441" spans="49:49" ht="15">
      <c r="AW441" s="18">
        <f t="shared" si="7"/>
        <v>0</v>
      </c>
    </row>
    <row r="442" spans="49:49" ht="15">
      <c r="AW442" s="18">
        <f t="shared" si="7"/>
        <v>0</v>
      </c>
    </row>
    <row r="443" spans="49:49" ht="15">
      <c r="AW443" s="18">
        <f t="shared" si="7"/>
        <v>0</v>
      </c>
    </row>
    <row r="444" spans="49:49" ht="15">
      <c r="AW444" s="18">
        <f t="shared" si="7"/>
        <v>0</v>
      </c>
    </row>
    <row r="445" spans="49:49" ht="15">
      <c r="AW445" s="18">
        <f t="shared" si="7"/>
        <v>0</v>
      </c>
    </row>
    <row r="446" spans="49:49" ht="15">
      <c r="AW446" s="18">
        <f t="shared" si="7"/>
        <v>0</v>
      </c>
    </row>
    <row r="447" spans="49:49" ht="15">
      <c r="AW447" s="18">
        <f t="shared" si="7"/>
        <v>0</v>
      </c>
    </row>
    <row r="448" spans="49:49" ht="15">
      <c r="AW448" s="18">
        <f t="shared" si="7"/>
        <v>0</v>
      </c>
    </row>
    <row r="449" spans="49:49" ht="15">
      <c r="AW449" s="18">
        <f t="shared" si="7"/>
        <v>0</v>
      </c>
    </row>
    <row r="450" spans="49:49" ht="15">
      <c r="AW450" s="18">
        <f t="shared" si="7"/>
        <v>0</v>
      </c>
    </row>
    <row r="451" spans="49:49" ht="15">
      <c r="AW451" s="18">
        <f t="shared" si="7"/>
        <v>0</v>
      </c>
    </row>
    <row r="452" spans="49:49" ht="15">
      <c r="AW452" s="18">
        <f t="shared" si="7"/>
        <v>0</v>
      </c>
    </row>
    <row r="453" spans="49:49" ht="15">
      <c r="AW453" s="18">
        <f t="shared" si="7"/>
        <v>0</v>
      </c>
    </row>
    <row r="454" spans="49:49" ht="15">
      <c r="AW454" s="18">
        <f t="shared" si="7"/>
        <v>0</v>
      </c>
    </row>
    <row r="455" spans="49:49" ht="15">
      <c r="AW455" s="18">
        <f t="shared" si="7"/>
        <v>0</v>
      </c>
    </row>
    <row r="456" spans="49:49" ht="15">
      <c r="AW456" s="18">
        <f t="shared" si="7"/>
        <v>0</v>
      </c>
    </row>
    <row r="457" spans="49:49" ht="15">
      <c r="AW457" s="18">
        <f t="shared" si="7"/>
        <v>0</v>
      </c>
    </row>
    <row r="458" spans="49:49" ht="15">
      <c r="AW458" s="18">
        <f t="shared" si="7"/>
        <v>0</v>
      </c>
    </row>
    <row r="459" spans="49:49" ht="15">
      <c r="AW459" s="18">
        <f t="shared" si="7"/>
        <v>0</v>
      </c>
    </row>
  </sheetData>
  <mergeCells count="60">
    <mergeCell ref="J165:J167"/>
    <mergeCell ref="L165:L167"/>
    <mergeCell ref="BZ5:CB5"/>
    <mergeCell ref="CC5:CD5"/>
    <mergeCell ref="J90:J154"/>
    <mergeCell ref="L90:L154"/>
    <mergeCell ref="J155:J164"/>
    <mergeCell ref="L155:L164"/>
    <mergeCell ref="AX5:AX6"/>
    <mergeCell ref="AZ5:AZ6"/>
    <mergeCell ref="BA5:BE5"/>
    <mergeCell ref="BF5:BS5"/>
    <mergeCell ref="BT5:BW5"/>
    <mergeCell ref="BX5:BY5"/>
    <mergeCell ref="AQ5:AQ6"/>
    <mergeCell ref="AR5:AR6"/>
    <mergeCell ref="AS5:AS6"/>
    <mergeCell ref="AT5:AT6"/>
    <mergeCell ref="AU5:AU6"/>
    <mergeCell ref="AV5:AV6"/>
    <mergeCell ref="AI5:AI6"/>
    <mergeCell ref="AJ5:AJ6"/>
    <mergeCell ref="AK5:AK6"/>
    <mergeCell ref="AL5:AL6"/>
    <mergeCell ref="AO5:AO6"/>
    <mergeCell ref="AP5:AP6"/>
    <mergeCell ref="U5:U6"/>
    <mergeCell ref="AH5:AH6"/>
    <mergeCell ref="W5:W6"/>
    <mergeCell ref="X5:X6"/>
    <mergeCell ref="Y5:Y6"/>
    <mergeCell ref="Z5:Z6"/>
    <mergeCell ref="AA5:AA6"/>
    <mergeCell ref="AB5:AB6"/>
    <mergeCell ref="AC5:AC6"/>
    <mergeCell ref="AD5:AD6"/>
    <mergeCell ref="AE5:AE6"/>
    <mergeCell ref="AF5:AF6"/>
    <mergeCell ref="AG5:AG6"/>
    <mergeCell ref="P5:P6"/>
    <mergeCell ref="Q5:Q6"/>
    <mergeCell ref="R5:R6"/>
    <mergeCell ref="S5:S6"/>
    <mergeCell ref="T5:T6"/>
    <mergeCell ref="B4:C4"/>
    <mergeCell ref="W4:AD4"/>
    <mergeCell ref="AE4:AL4"/>
    <mergeCell ref="AO4:AU4"/>
    <mergeCell ref="B5:B6"/>
    <mergeCell ref="C5:C6"/>
    <mergeCell ref="D5:D6"/>
    <mergeCell ref="E5:E6"/>
    <mergeCell ref="H5:H6"/>
    <mergeCell ref="I5:I6"/>
    <mergeCell ref="V5:V6"/>
    <mergeCell ref="J5:J6"/>
    <mergeCell ref="K5:K6"/>
    <mergeCell ref="L5:L6"/>
    <mergeCell ref="N5:N6"/>
    <mergeCell ref="O5:O6"/>
  </mergeCells>
  <conditionalFormatting sqref="AW1:AW65526">
    <cfRule type="cellIs" dxfId="20" priority="1" stopIfTrue="1" operator="greaterThan">
      <formula>42</formula>
    </cfRule>
  </conditionalFormatting>
  <pageMargins left="0.511811024" right="0.511811024" top="0.78740157499999996" bottom="0.78740157499999996" header="0.31496062000000002" footer="0.3149606200000000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I515"/>
  <sheetViews>
    <sheetView showGridLines="0" topLeftCell="A4" zoomScale="60" zoomScaleNormal="60" workbookViewId="0">
      <pane ySplit="3" topLeftCell="A7" activePane="bottomLeft" state="frozenSplit"/>
      <selection activeCell="AL4" sqref="AL4:AM4"/>
      <selection pane="bottomLeft" activeCell="U15" sqref="U15"/>
    </sheetView>
  </sheetViews>
  <sheetFormatPr defaultColWidth="8.88671875" defaultRowHeight="13.2"/>
  <cols>
    <col min="1" max="1" width="5.6640625" customWidth="1"/>
    <col min="2" max="2" width="46.44140625" hidden="1" customWidth="1"/>
    <col min="3" max="3" width="8.6640625" hidden="1" customWidth="1"/>
    <col min="4" max="4" width="0" hidden="1" customWidth="1"/>
    <col min="5" max="7" width="10" hidden="1" customWidth="1"/>
    <col min="8" max="9" width="0" hidden="1" customWidth="1"/>
    <col min="10" max="10" width="28.109375" customWidth="1"/>
    <col min="11" max="11" width="36.44140625" customWidth="1"/>
    <col min="12" max="12" width="54.33203125" customWidth="1"/>
    <col min="13" max="13" width="42.44140625" customWidth="1"/>
    <col min="14" max="14" width="12.109375" style="138" bestFit="1" customWidth="1"/>
    <col min="15" max="15" width="6.5546875" style="138" bestFit="1" customWidth="1"/>
    <col min="16" max="16" width="7" style="138" bestFit="1" customWidth="1"/>
    <col min="17" max="20" width="4.6640625" style="138" customWidth="1"/>
    <col min="21" max="21" width="44.44140625" customWidth="1"/>
    <col min="22" max="22" width="32.6640625" customWidth="1"/>
    <col min="23" max="23" width="19.109375" customWidth="1"/>
    <col min="24" max="25" width="5.6640625" customWidth="1"/>
    <col min="26" max="27" width="4.6640625" customWidth="1"/>
    <col min="28" max="28" width="19.109375" customWidth="1"/>
    <col min="29" max="29" width="16.109375" customWidth="1"/>
    <col min="30" max="30" width="22.109375" customWidth="1"/>
    <col min="31" max="31" width="19.109375" customWidth="1"/>
    <col min="32" max="33" width="5.6640625" customWidth="1"/>
    <col min="34" max="35" width="4.6640625" customWidth="1"/>
    <col min="36" max="36" width="33.6640625" customWidth="1"/>
    <col min="37" max="37" width="8.88671875" customWidth="1"/>
    <col min="38" max="38" width="24.44140625" customWidth="1"/>
    <col min="39" max="39" width="8.88671875" customWidth="1"/>
    <col min="40" max="40" width="30.6640625" customWidth="1"/>
    <col min="48" max="48" width="30.6640625" customWidth="1"/>
    <col min="49" max="49" width="0" hidden="1" customWidth="1"/>
  </cols>
  <sheetData>
    <row r="1" spans="1:86" hidden="1"/>
    <row r="2" spans="1:86" hidden="1"/>
    <row r="3" spans="1:86" s="1" customFormat="1" ht="13.8" hidden="1" thickBot="1">
      <c r="C3" s="2"/>
      <c r="E3" s="3"/>
      <c r="F3" s="3"/>
      <c r="G3" s="3"/>
      <c r="H3" s="3"/>
      <c r="I3" s="3"/>
      <c r="J3" s="3"/>
      <c r="K3" s="3"/>
      <c r="L3" s="3"/>
      <c r="M3" s="3"/>
      <c r="N3" s="136"/>
      <c r="O3" s="136"/>
      <c r="P3" s="136"/>
      <c r="Q3" s="136"/>
      <c r="R3" s="136"/>
      <c r="S3" s="136"/>
      <c r="T3" s="136"/>
      <c r="U3" s="3"/>
      <c r="V3" s="3"/>
      <c r="W3" s="3"/>
      <c r="X3" s="4"/>
      <c r="Y3" s="5"/>
      <c r="Z3" s="5"/>
      <c r="AA3" s="3"/>
      <c r="AB3" s="3"/>
      <c r="AC3" s="3"/>
      <c r="AD3" s="3"/>
      <c r="AE3" s="3"/>
      <c r="AF3" s="4"/>
      <c r="AG3" s="5"/>
      <c r="AH3" s="5"/>
      <c r="AI3" s="3"/>
      <c r="AJ3" s="3"/>
      <c r="AK3" s="2"/>
      <c r="AL3" s="2"/>
      <c r="AM3" s="2"/>
      <c r="AN3" s="2"/>
      <c r="AO3" s="2"/>
      <c r="AP3" s="2"/>
      <c r="AQ3" s="2"/>
    </row>
    <row r="4" spans="1:86" s="1" customFormat="1" ht="16.2" thickBot="1">
      <c r="A4" s="21"/>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6" s="1" customFormat="1" ht="18" thickBot="1">
      <c r="A5" s="29"/>
      <c r="B5" s="654" t="s">
        <v>469</v>
      </c>
      <c r="C5" s="654" t="s">
        <v>470</v>
      </c>
      <c r="D5" s="637" t="s">
        <v>471</v>
      </c>
      <c r="E5" s="637" t="s">
        <v>472</v>
      </c>
      <c r="F5" s="390"/>
      <c r="G5" s="390"/>
      <c r="H5" s="637" t="s">
        <v>475</v>
      </c>
      <c r="I5" s="646" t="s">
        <v>476</v>
      </c>
      <c r="J5" s="648" t="s">
        <v>477</v>
      </c>
      <c r="K5" s="648" t="s">
        <v>478</v>
      </c>
      <c r="L5" s="648" t="s">
        <v>479</v>
      </c>
      <c r="M5" s="593"/>
      <c r="N5" s="648" t="s">
        <v>480</v>
      </c>
      <c r="O5" s="648" t="s">
        <v>481</v>
      </c>
      <c r="P5" s="648" t="s">
        <v>482</v>
      </c>
      <c r="Q5" s="648" t="s">
        <v>483</v>
      </c>
      <c r="R5" s="648" t="s">
        <v>484</v>
      </c>
      <c r="S5" s="648" t="s">
        <v>485</v>
      </c>
      <c r="T5" s="648" t="s">
        <v>486</v>
      </c>
      <c r="U5" s="648" t="s">
        <v>487</v>
      </c>
      <c r="V5" s="648" t="s">
        <v>488</v>
      </c>
      <c r="W5" s="682" t="s">
        <v>478</v>
      </c>
      <c r="X5" s="682" t="s">
        <v>489</v>
      </c>
      <c r="Y5" s="682" t="s">
        <v>482</v>
      </c>
      <c r="Z5" s="681" t="s">
        <v>490</v>
      </c>
      <c r="AA5" s="682" t="s">
        <v>485</v>
      </c>
      <c r="AB5" s="682" t="s">
        <v>487</v>
      </c>
      <c r="AC5" s="682" t="s">
        <v>491</v>
      </c>
      <c r="AD5" s="68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6" s="7" customFormat="1" ht="175.5" customHeight="1" thickBot="1">
      <c r="A6" s="58" t="s">
        <v>501</v>
      </c>
      <c r="B6" s="655"/>
      <c r="C6" s="655"/>
      <c r="D6" s="638"/>
      <c r="E6" s="638"/>
      <c r="F6" s="396" t="s">
        <v>473</v>
      </c>
      <c r="G6" s="396" t="s">
        <v>474</v>
      </c>
      <c r="H6" s="638"/>
      <c r="I6" s="647"/>
      <c r="J6" s="649"/>
      <c r="K6" s="649"/>
      <c r="L6" s="649"/>
      <c r="M6" s="594" t="s">
        <v>3506</v>
      </c>
      <c r="N6" s="649"/>
      <c r="O6" s="649"/>
      <c r="P6" s="649"/>
      <c r="Q6" s="649"/>
      <c r="R6" s="649"/>
      <c r="S6" s="649"/>
      <c r="T6" s="649"/>
      <c r="U6" s="649"/>
      <c r="V6" s="649"/>
      <c r="W6" s="682"/>
      <c r="X6" s="682"/>
      <c r="Y6" s="682"/>
      <c r="Z6" s="681"/>
      <c r="AA6" s="682"/>
      <c r="AB6" s="682"/>
      <c r="AC6" s="682"/>
      <c r="AD6" s="682"/>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6" ht="15">
      <c r="A7" s="13">
        <f>ROW() - 6</f>
        <v>1</v>
      </c>
      <c r="B7" s="65"/>
      <c r="C7" s="65"/>
      <c r="D7" s="65"/>
      <c r="E7" s="65"/>
      <c r="F7" s="65"/>
      <c r="G7" s="65"/>
      <c r="H7" s="65"/>
      <c r="I7" s="65"/>
      <c r="J7" s="65" t="s">
        <v>503</v>
      </c>
      <c r="K7" s="65"/>
      <c r="L7" s="65"/>
      <c r="M7" s="65"/>
      <c r="N7" s="137"/>
      <c r="O7" s="137"/>
      <c r="P7" s="137"/>
      <c r="Q7" s="137"/>
      <c r="R7" s="137"/>
      <c r="S7" s="137"/>
      <c r="T7" s="137"/>
      <c r="U7" s="73"/>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65"/>
      <c r="AW7" s="18">
        <f>LEN(L7)</f>
        <v>0</v>
      </c>
    </row>
    <row r="8" spans="1:86" s="20" customFormat="1" ht="15">
      <c r="A8" s="13"/>
      <c r="B8" s="59"/>
      <c r="C8" s="59"/>
      <c r="D8" s="59"/>
      <c r="E8" s="59"/>
      <c r="F8" s="59"/>
      <c r="G8" s="59"/>
      <c r="H8" s="59"/>
      <c r="I8" s="59"/>
      <c r="J8" s="298" t="s">
        <v>2771</v>
      </c>
      <c r="K8" s="297" t="s">
        <v>128</v>
      </c>
      <c r="L8" s="231" t="s">
        <v>2772</v>
      </c>
      <c r="M8" s="231"/>
      <c r="N8" s="295" t="s">
        <v>504</v>
      </c>
      <c r="O8" s="295"/>
      <c r="P8" s="295"/>
      <c r="Q8" s="292" t="s">
        <v>6</v>
      </c>
      <c r="R8" s="292" t="s">
        <v>6</v>
      </c>
      <c r="S8" s="292"/>
      <c r="T8" s="292"/>
      <c r="U8" s="315"/>
      <c r="V8" s="206"/>
      <c r="W8" s="399"/>
      <c r="X8" s="59"/>
      <c r="Y8" s="59"/>
      <c r="Z8" s="59"/>
      <c r="AA8" s="40"/>
      <c r="AB8" s="15"/>
      <c r="AC8" s="59"/>
      <c r="AD8" s="59"/>
      <c r="AE8" s="399"/>
      <c r="AF8" s="59"/>
      <c r="AG8" s="59"/>
      <c r="AH8" s="59"/>
      <c r="AI8" s="40"/>
      <c r="AJ8" s="15"/>
      <c r="AK8" s="59"/>
      <c r="AL8" s="59"/>
      <c r="AM8" s="59"/>
      <c r="AN8" s="59"/>
      <c r="AO8" s="59"/>
      <c r="AP8" s="59"/>
      <c r="AQ8" s="59"/>
      <c r="AR8" s="59"/>
      <c r="AS8" s="59"/>
      <c r="AT8" s="59"/>
      <c r="AU8" s="59"/>
      <c r="AV8" s="59"/>
      <c r="AW8" s="18"/>
    </row>
    <row r="9" spans="1:86" s="20" customFormat="1" ht="15">
      <c r="A9" s="13"/>
      <c r="B9" s="59"/>
      <c r="C9" s="59"/>
      <c r="D9" s="59"/>
      <c r="E9" s="59"/>
      <c r="F9" s="59"/>
      <c r="G9" s="59"/>
      <c r="H9" s="59"/>
      <c r="I9" s="59"/>
      <c r="J9" s="298" t="s">
        <v>2773</v>
      </c>
      <c r="K9" s="297" t="s">
        <v>128</v>
      </c>
      <c r="L9" s="231" t="s">
        <v>2774</v>
      </c>
      <c r="M9" s="231"/>
      <c r="N9" s="295" t="s">
        <v>504</v>
      </c>
      <c r="O9" s="295"/>
      <c r="P9" s="295"/>
      <c r="Q9" s="292" t="s">
        <v>6</v>
      </c>
      <c r="R9" s="292" t="s">
        <v>6</v>
      </c>
      <c r="S9" s="292"/>
      <c r="T9" s="292"/>
      <c r="U9" s="315"/>
      <c r="V9" s="206"/>
      <c r="W9" s="399"/>
      <c r="X9" s="59"/>
      <c r="Y9" s="59"/>
      <c r="Z9" s="59"/>
      <c r="AA9" s="40"/>
      <c r="AB9" s="15"/>
      <c r="AC9" s="59"/>
      <c r="AD9" s="59"/>
      <c r="AE9" s="399"/>
      <c r="AF9" s="59"/>
      <c r="AG9" s="59"/>
      <c r="AH9" s="59"/>
      <c r="AI9" s="40"/>
      <c r="AJ9" s="15"/>
      <c r="AK9" s="59"/>
      <c r="AL9" s="59"/>
      <c r="AM9" s="59"/>
      <c r="AN9" s="59"/>
      <c r="AO9" s="59"/>
      <c r="AP9" s="59"/>
      <c r="AQ9" s="59"/>
      <c r="AR9" s="59"/>
      <c r="AS9" s="59"/>
      <c r="AT9" s="59"/>
      <c r="AU9" s="59"/>
      <c r="AV9" s="59"/>
      <c r="AW9" s="18"/>
    </row>
    <row r="10" spans="1:86" s="20" customFormat="1" ht="15">
      <c r="A10" s="13"/>
      <c r="B10" s="59"/>
      <c r="C10" s="59"/>
      <c r="D10" s="59"/>
      <c r="E10" s="59"/>
      <c r="F10" s="59"/>
      <c r="G10" s="59"/>
      <c r="H10" s="59"/>
      <c r="I10" s="59"/>
      <c r="J10" s="298" t="s">
        <v>2775</v>
      </c>
      <c r="K10" s="297" t="s">
        <v>128</v>
      </c>
      <c r="L10" s="231" t="s">
        <v>2776</v>
      </c>
      <c r="M10" s="231"/>
      <c r="N10" s="295" t="s">
        <v>504</v>
      </c>
      <c r="O10" s="295"/>
      <c r="P10" s="295"/>
      <c r="Q10" s="292" t="s">
        <v>6</v>
      </c>
      <c r="R10" s="292" t="s">
        <v>6</v>
      </c>
      <c r="S10" s="292"/>
      <c r="T10" s="292"/>
      <c r="U10" s="315"/>
      <c r="V10" s="206"/>
      <c r="W10" s="399"/>
      <c r="X10" s="59"/>
      <c r="Y10" s="59"/>
      <c r="Z10" s="59"/>
      <c r="AA10" s="40"/>
      <c r="AB10" s="15"/>
      <c r="AC10" s="59"/>
      <c r="AD10" s="59"/>
      <c r="AE10" s="399"/>
      <c r="AF10" s="59"/>
      <c r="AG10" s="59"/>
      <c r="AH10" s="59"/>
      <c r="AI10" s="40"/>
      <c r="AJ10" s="15"/>
      <c r="AK10" s="59"/>
      <c r="AL10" s="59"/>
      <c r="AM10" s="59"/>
      <c r="AN10" s="59"/>
      <c r="AO10" s="59"/>
      <c r="AP10" s="59"/>
      <c r="AQ10" s="59"/>
      <c r="AR10" s="59"/>
      <c r="AS10" s="59"/>
      <c r="AT10" s="59"/>
      <c r="AU10" s="59"/>
      <c r="AV10" s="59"/>
      <c r="AW10" s="18"/>
    </row>
    <row r="11" spans="1:86" s="20" customFormat="1" ht="15">
      <c r="A11" s="13"/>
      <c r="B11" s="59"/>
      <c r="C11" s="59"/>
      <c r="D11" s="59"/>
      <c r="E11" s="59"/>
      <c r="F11" s="59"/>
      <c r="G11" s="59"/>
      <c r="H11" s="59"/>
      <c r="I11" s="59"/>
      <c r="J11" s="298" t="s">
        <v>2777</v>
      </c>
      <c r="K11" s="297" t="s">
        <v>128</v>
      </c>
      <c r="L11" s="231" t="s">
        <v>2778</v>
      </c>
      <c r="M11" s="231"/>
      <c r="N11" s="295" t="s">
        <v>504</v>
      </c>
      <c r="O11" s="295"/>
      <c r="P11" s="295"/>
      <c r="Q11" s="292" t="s">
        <v>6</v>
      </c>
      <c r="R11" s="292" t="s">
        <v>6</v>
      </c>
      <c r="S11" s="292"/>
      <c r="T11" s="292"/>
      <c r="U11" s="315"/>
      <c r="V11" s="206"/>
      <c r="W11" s="399"/>
      <c r="X11" s="59"/>
      <c r="Y11" s="59"/>
      <c r="Z11" s="59"/>
      <c r="AA11" s="40"/>
      <c r="AB11" s="15"/>
      <c r="AC11" s="59"/>
      <c r="AD11" s="59"/>
      <c r="AE11" s="399"/>
      <c r="AF11" s="59"/>
      <c r="AG11" s="59"/>
      <c r="AH11" s="59"/>
      <c r="AI11" s="40"/>
      <c r="AJ11" s="15"/>
      <c r="AK11" s="59"/>
      <c r="AL11" s="59"/>
      <c r="AM11" s="59"/>
      <c r="AN11" s="59"/>
      <c r="AO11" s="59"/>
      <c r="AP11" s="59"/>
      <c r="AQ11" s="59"/>
      <c r="AR11" s="59"/>
      <c r="AS11" s="59"/>
      <c r="AT11" s="59"/>
      <c r="AU11" s="59"/>
      <c r="AV11" s="59"/>
      <c r="AW11" s="18"/>
    </row>
    <row r="12" spans="1:86" s="20" customFormat="1" ht="15">
      <c r="A12" s="13"/>
      <c r="B12" s="59"/>
      <c r="C12" s="59"/>
      <c r="D12" s="59"/>
      <c r="E12" s="59"/>
      <c r="F12" s="59"/>
      <c r="G12" s="59"/>
      <c r="H12" s="59"/>
      <c r="I12" s="59"/>
      <c r="J12" s="298" t="s">
        <v>2779</v>
      </c>
      <c r="K12" s="297" t="s">
        <v>132</v>
      </c>
      <c r="L12" s="231" t="s">
        <v>2780</v>
      </c>
      <c r="M12" s="231"/>
      <c r="N12" s="295" t="s">
        <v>504</v>
      </c>
      <c r="O12" s="295"/>
      <c r="P12" s="295"/>
      <c r="Q12" s="292" t="s">
        <v>6</v>
      </c>
      <c r="R12" s="292" t="s">
        <v>6</v>
      </c>
      <c r="S12" s="292" t="s">
        <v>6</v>
      </c>
      <c r="T12" s="292"/>
      <c r="U12" s="315"/>
      <c r="V12" s="206"/>
      <c r="W12" s="399"/>
      <c r="X12" s="59"/>
      <c r="Y12" s="59"/>
      <c r="Z12" s="59"/>
      <c r="AA12" s="40"/>
      <c r="AB12" s="15"/>
      <c r="AC12" s="59"/>
      <c r="AD12" s="59"/>
      <c r="AE12" s="399"/>
      <c r="AF12" s="59"/>
      <c r="AG12" s="59"/>
      <c r="AH12" s="59"/>
      <c r="AI12" s="40"/>
      <c r="AJ12" s="15"/>
      <c r="AK12" s="59"/>
      <c r="AL12" s="59"/>
      <c r="AM12" s="59"/>
      <c r="AN12" s="59"/>
      <c r="AO12" s="59"/>
      <c r="AP12" s="59"/>
      <c r="AQ12" s="59"/>
      <c r="AR12" s="59"/>
      <c r="AS12" s="59"/>
      <c r="AT12" s="59"/>
      <c r="AU12" s="59"/>
      <c r="AV12" s="59"/>
      <c r="AW12" s="18"/>
    </row>
    <row r="13" spans="1:86" s="20" customFormat="1" ht="15">
      <c r="A13" s="13"/>
      <c r="B13" s="59"/>
      <c r="C13" s="59"/>
      <c r="D13" s="59"/>
      <c r="E13" s="59"/>
      <c r="F13" s="59"/>
      <c r="G13" s="59"/>
      <c r="H13" s="59"/>
      <c r="I13" s="59"/>
      <c r="J13" s="298" t="s">
        <v>2781</v>
      </c>
      <c r="K13" s="297" t="s">
        <v>132</v>
      </c>
      <c r="L13" s="231" t="s">
        <v>2782</v>
      </c>
      <c r="M13" s="231"/>
      <c r="N13" s="295" t="s">
        <v>504</v>
      </c>
      <c r="O13" s="295"/>
      <c r="P13" s="295"/>
      <c r="Q13" s="292"/>
      <c r="R13" s="292" t="s">
        <v>6</v>
      </c>
      <c r="S13" s="292"/>
      <c r="T13" s="292"/>
      <c r="U13" s="315"/>
      <c r="V13" s="206"/>
      <c r="W13" s="399"/>
      <c r="X13" s="59"/>
      <c r="Y13" s="59"/>
      <c r="Z13" s="59"/>
      <c r="AA13" s="40"/>
      <c r="AB13" s="15"/>
      <c r="AC13" s="59"/>
      <c r="AD13" s="59"/>
      <c r="AE13" s="399"/>
      <c r="AF13" s="59"/>
      <c r="AG13" s="59"/>
      <c r="AH13" s="59"/>
      <c r="AI13" s="40"/>
      <c r="AJ13" s="15"/>
      <c r="AK13" s="59"/>
      <c r="AL13" s="59"/>
      <c r="AM13" s="59"/>
      <c r="AN13" s="59"/>
      <c r="AO13" s="59"/>
      <c r="AP13" s="59"/>
      <c r="AQ13" s="59"/>
      <c r="AR13" s="59"/>
      <c r="AS13" s="59"/>
      <c r="AT13" s="59"/>
      <c r="AU13" s="59"/>
      <c r="AV13" s="59"/>
      <c r="AW13" s="18"/>
    </row>
    <row r="14" spans="1:86" s="20" customFormat="1" ht="15">
      <c r="A14" s="13"/>
      <c r="B14" s="59"/>
      <c r="C14" s="59"/>
      <c r="D14" s="59"/>
      <c r="E14" s="59"/>
      <c r="F14" s="59"/>
      <c r="G14" s="59"/>
      <c r="H14" s="59"/>
      <c r="I14" s="59"/>
      <c r="J14" s="298" t="s">
        <v>2783</v>
      </c>
      <c r="K14" s="297" t="s">
        <v>117</v>
      </c>
      <c r="L14" s="231" t="s">
        <v>2784</v>
      </c>
      <c r="M14" s="231"/>
      <c r="N14" s="295" t="s">
        <v>504</v>
      </c>
      <c r="O14" s="295"/>
      <c r="P14" s="295"/>
      <c r="Q14" s="292"/>
      <c r="R14" s="292" t="s">
        <v>6</v>
      </c>
      <c r="S14" s="292"/>
      <c r="T14" s="292"/>
      <c r="U14" s="315"/>
      <c r="V14" s="206"/>
      <c r="W14" s="399"/>
      <c r="X14" s="59"/>
      <c r="Y14" s="59"/>
      <c r="Z14" s="59"/>
      <c r="AA14" s="40"/>
      <c r="AB14" s="15"/>
      <c r="AC14" s="59"/>
      <c r="AD14" s="59"/>
      <c r="AE14" s="399"/>
      <c r="AF14" s="59"/>
      <c r="AG14" s="59"/>
      <c r="AH14" s="59"/>
      <c r="AI14" s="40"/>
      <c r="AJ14" s="15"/>
      <c r="AK14" s="59"/>
      <c r="AL14" s="59"/>
      <c r="AM14" s="59"/>
      <c r="AN14" s="59"/>
      <c r="AO14" s="59"/>
      <c r="AP14" s="59"/>
      <c r="AQ14" s="59"/>
      <c r="AR14" s="59"/>
      <c r="AS14" s="59"/>
      <c r="AT14" s="59"/>
      <c r="AU14" s="59"/>
      <c r="AV14" s="59"/>
      <c r="AW14" s="18"/>
    </row>
    <row r="15" spans="1:86" s="20" customFormat="1" ht="15">
      <c r="A15" s="13"/>
      <c r="B15" s="59"/>
      <c r="C15" s="59"/>
      <c r="D15" s="59"/>
      <c r="E15" s="59"/>
      <c r="F15" s="59"/>
      <c r="G15" s="59"/>
      <c r="H15" s="59"/>
      <c r="I15" s="59"/>
      <c r="J15" s="298" t="s">
        <v>2785</v>
      </c>
      <c r="K15" s="297" t="s">
        <v>117</v>
      </c>
      <c r="L15" s="231" t="s">
        <v>2786</v>
      </c>
      <c r="M15" s="231"/>
      <c r="N15" s="295" t="s">
        <v>504</v>
      </c>
      <c r="O15" s="295"/>
      <c r="P15" s="295"/>
      <c r="Q15" s="292"/>
      <c r="R15" s="292" t="s">
        <v>6</v>
      </c>
      <c r="S15" s="292"/>
      <c r="T15" s="292"/>
      <c r="U15" s="315"/>
      <c r="V15" s="206"/>
      <c r="W15" s="399"/>
      <c r="X15" s="59"/>
      <c r="Y15" s="59"/>
      <c r="Z15" s="59"/>
      <c r="AA15" s="40"/>
      <c r="AB15" s="15"/>
      <c r="AC15" s="59"/>
      <c r="AD15" s="59"/>
      <c r="AE15" s="399"/>
      <c r="AF15" s="59"/>
      <c r="AG15" s="59"/>
      <c r="AH15" s="59"/>
      <c r="AI15" s="40"/>
      <c r="AJ15" s="15"/>
      <c r="AK15" s="59"/>
      <c r="AL15" s="59"/>
      <c r="AM15" s="59"/>
      <c r="AN15" s="59"/>
      <c r="AO15" s="59"/>
      <c r="AP15" s="59"/>
      <c r="AQ15" s="59"/>
      <c r="AR15" s="59"/>
      <c r="AS15" s="59"/>
      <c r="AT15" s="59"/>
      <c r="AU15" s="59"/>
      <c r="AV15" s="59"/>
      <c r="AW15" s="18"/>
    </row>
    <row r="16" spans="1:86" s="20" customFormat="1" ht="15">
      <c r="A16" s="13"/>
      <c r="B16" s="59"/>
      <c r="C16" s="59"/>
      <c r="D16" s="59"/>
      <c r="E16" s="59"/>
      <c r="F16" s="59"/>
      <c r="G16" s="59"/>
      <c r="H16" s="59"/>
      <c r="I16" s="59"/>
      <c r="J16" s="298" t="s">
        <v>2787</v>
      </c>
      <c r="K16" s="297" t="s">
        <v>117</v>
      </c>
      <c r="L16" s="231" t="s">
        <v>2788</v>
      </c>
      <c r="M16" s="231"/>
      <c r="N16" s="295" t="s">
        <v>504</v>
      </c>
      <c r="O16" s="295"/>
      <c r="P16" s="295"/>
      <c r="Q16" s="292"/>
      <c r="R16" s="292" t="s">
        <v>6</v>
      </c>
      <c r="S16" s="292"/>
      <c r="T16" s="292"/>
      <c r="U16" s="315"/>
      <c r="V16" s="206"/>
      <c r="W16" s="399"/>
      <c r="X16" s="59"/>
      <c r="Y16" s="59"/>
      <c r="Z16" s="59"/>
      <c r="AA16" s="40"/>
      <c r="AB16" s="15"/>
      <c r="AC16" s="59"/>
      <c r="AD16" s="59"/>
      <c r="AE16" s="399"/>
      <c r="AF16" s="59"/>
      <c r="AG16" s="59"/>
      <c r="AH16" s="59"/>
      <c r="AI16" s="40"/>
      <c r="AJ16" s="15"/>
      <c r="AK16" s="59"/>
      <c r="AL16" s="59"/>
      <c r="AM16" s="59"/>
      <c r="AN16" s="59"/>
      <c r="AO16" s="59"/>
      <c r="AP16" s="59"/>
      <c r="AQ16" s="59"/>
      <c r="AR16" s="59"/>
      <c r="AS16" s="59"/>
      <c r="AT16" s="59"/>
      <c r="AU16" s="59"/>
      <c r="AV16" s="59"/>
      <c r="AW16" s="18"/>
    </row>
    <row r="17" spans="1:49" s="20" customFormat="1" ht="15">
      <c r="A17" s="13"/>
      <c r="B17" s="59"/>
      <c r="C17" s="59"/>
      <c r="D17" s="59"/>
      <c r="E17" s="59"/>
      <c r="F17" s="59"/>
      <c r="G17" s="59"/>
      <c r="H17" s="59"/>
      <c r="I17" s="59"/>
      <c r="J17" s="298" t="s">
        <v>2789</v>
      </c>
      <c r="K17" s="297" t="s">
        <v>132</v>
      </c>
      <c r="L17" s="231" t="s">
        <v>2790</v>
      </c>
      <c r="M17" s="231"/>
      <c r="N17" s="295" t="s">
        <v>504</v>
      </c>
      <c r="O17" s="295"/>
      <c r="P17" s="295"/>
      <c r="Q17" s="292"/>
      <c r="R17" s="292" t="s">
        <v>6</v>
      </c>
      <c r="S17" s="292"/>
      <c r="T17" s="292"/>
      <c r="U17" s="315"/>
      <c r="V17" s="206"/>
      <c r="W17" s="399"/>
      <c r="X17" s="59"/>
      <c r="Y17" s="59"/>
      <c r="Z17" s="59"/>
      <c r="AA17" s="40"/>
      <c r="AB17" s="15"/>
      <c r="AC17" s="59"/>
      <c r="AD17" s="59"/>
      <c r="AE17" s="399"/>
      <c r="AF17" s="59"/>
      <c r="AG17" s="59"/>
      <c r="AH17" s="59"/>
      <c r="AI17" s="40"/>
      <c r="AJ17" s="15"/>
      <c r="AK17" s="59"/>
      <c r="AL17" s="59"/>
      <c r="AM17" s="59"/>
      <c r="AN17" s="59"/>
      <c r="AO17" s="59"/>
      <c r="AP17" s="59"/>
      <c r="AQ17" s="59"/>
      <c r="AR17" s="59"/>
      <c r="AS17" s="59"/>
      <c r="AT17" s="59"/>
      <c r="AU17" s="59"/>
      <c r="AV17" s="59"/>
      <c r="AW17" s="18"/>
    </row>
    <row r="18" spans="1:49" s="20" customFormat="1" ht="15">
      <c r="A18" s="13"/>
      <c r="B18" s="59"/>
      <c r="C18" s="59"/>
      <c r="D18" s="59"/>
      <c r="E18" s="59"/>
      <c r="F18" s="59"/>
      <c r="G18" s="59"/>
      <c r="H18" s="59"/>
      <c r="I18" s="59"/>
      <c r="J18" s="298" t="s">
        <v>2791</v>
      </c>
      <c r="K18" s="297" t="s">
        <v>128</v>
      </c>
      <c r="L18" s="231" t="s">
        <v>2792</v>
      </c>
      <c r="M18" s="231"/>
      <c r="N18" s="295" t="s">
        <v>504</v>
      </c>
      <c r="O18" s="295"/>
      <c r="P18" s="295"/>
      <c r="Q18" s="292"/>
      <c r="R18" s="292" t="s">
        <v>6</v>
      </c>
      <c r="S18" s="292"/>
      <c r="T18" s="292"/>
      <c r="U18" s="315"/>
      <c r="V18" s="206"/>
      <c r="W18" s="399"/>
      <c r="X18" s="59"/>
      <c r="Y18" s="59"/>
      <c r="Z18" s="59"/>
      <c r="AA18" s="40"/>
      <c r="AB18" s="15"/>
      <c r="AC18" s="59"/>
      <c r="AD18" s="59"/>
      <c r="AE18" s="399"/>
      <c r="AF18" s="59"/>
      <c r="AG18" s="59"/>
      <c r="AH18" s="59"/>
      <c r="AI18" s="40"/>
      <c r="AJ18" s="15"/>
      <c r="AK18" s="59"/>
      <c r="AL18" s="59"/>
      <c r="AM18" s="59"/>
      <c r="AN18" s="59"/>
      <c r="AO18" s="59"/>
      <c r="AP18" s="59"/>
      <c r="AQ18" s="59"/>
      <c r="AR18" s="59"/>
      <c r="AS18" s="59"/>
      <c r="AT18" s="59"/>
      <c r="AU18" s="59"/>
      <c r="AV18" s="59"/>
      <c r="AW18" s="18"/>
    </row>
    <row r="19" spans="1:49" s="20" customFormat="1" ht="15">
      <c r="A19" s="13"/>
      <c r="B19" s="59"/>
      <c r="C19" s="59"/>
      <c r="D19" s="59"/>
      <c r="E19" s="59"/>
      <c r="F19" s="59"/>
      <c r="G19" s="59"/>
      <c r="H19" s="59"/>
      <c r="I19" s="59"/>
      <c r="J19" s="298" t="s">
        <v>2793</v>
      </c>
      <c r="K19" s="297" t="s">
        <v>132</v>
      </c>
      <c r="L19" s="231" t="s">
        <v>2794</v>
      </c>
      <c r="M19" s="231"/>
      <c r="N19" s="295" t="s">
        <v>504</v>
      </c>
      <c r="O19" s="295"/>
      <c r="P19" s="295"/>
      <c r="Q19" s="292"/>
      <c r="R19" s="292" t="s">
        <v>6</v>
      </c>
      <c r="S19" s="292"/>
      <c r="T19" s="292"/>
      <c r="U19" s="315"/>
      <c r="V19" s="206"/>
      <c r="W19" s="399"/>
      <c r="X19" s="59"/>
      <c r="Y19" s="59"/>
      <c r="Z19" s="59"/>
      <c r="AA19" s="40"/>
      <c r="AB19" s="15"/>
      <c r="AC19" s="59"/>
      <c r="AD19" s="59"/>
      <c r="AE19" s="399"/>
      <c r="AF19" s="59"/>
      <c r="AG19" s="59"/>
      <c r="AH19" s="59"/>
      <c r="AI19" s="40"/>
      <c r="AJ19" s="15"/>
      <c r="AK19" s="59"/>
      <c r="AL19" s="59"/>
      <c r="AM19" s="59"/>
      <c r="AN19" s="59"/>
      <c r="AO19" s="59"/>
      <c r="AP19" s="59"/>
      <c r="AQ19" s="59"/>
      <c r="AR19" s="59"/>
      <c r="AS19" s="59"/>
      <c r="AT19" s="59"/>
      <c r="AU19" s="59"/>
      <c r="AV19" s="59"/>
      <c r="AW19" s="18"/>
    </row>
    <row r="20" spans="1:49" s="20" customFormat="1" ht="15">
      <c r="A20" s="13"/>
      <c r="B20" s="59"/>
      <c r="C20" s="59"/>
      <c r="D20" s="59"/>
      <c r="E20" s="59"/>
      <c r="F20" s="59"/>
      <c r="G20" s="59"/>
      <c r="H20" s="59"/>
      <c r="I20" s="59"/>
      <c r="J20" s="298" t="s">
        <v>2795</v>
      </c>
      <c r="K20" s="297" t="s">
        <v>132</v>
      </c>
      <c r="L20" s="231" t="s">
        <v>2796</v>
      </c>
      <c r="M20" s="231"/>
      <c r="N20" s="295" t="s">
        <v>504</v>
      </c>
      <c r="O20" s="295"/>
      <c r="P20" s="295"/>
      <c r="Q20" s="292"/>
      <c r="R20" s="292" t="s">
        <v>6</v>
      </c>
      <c r="S20" s="292"/>
      <c r="T20" s="292"/>
      <c r="U20" s="315"/>
      <c r="V20" s="206"/>
      <c r="W20" s="399"/>
      <c r="X20" s="59"/>
      <c r="Y20" s="59"/>
      <c r="Z20" s="59"/>
      <c r="AA20" s="40"/>
      <c r="AB20" s="15"/>
      <c r="AC20" s="59"/>
      <c r="AD20" s="59"/>
      <c r="AE20" s="399"/>
      <c r="AF20" s="59"/>
      <c r="AG20" s="59"/>
      <c r="AH20" s="59"/>
      <c r="AI20" s="40"/>
      <c r="AJ20" s="15"/>
      <c r="AK20" s="59"/>
      <c r="AL20" s="59"/>
      <c r="AM20" s="59"/>
      <c r="AN20" s="59"/>
      <c r="AO20" s="59"/>
      <c r="AP20" s="59"/>
      <c r="AQ20" s="59"/>
      <c r="AR20" s="59"/>
      <c r="AS20" s="59"/>
      <c r="AT20" s="59"/>
      <c r="AU20" s="59"/>
      <c r="AV20" s="59"/>
      <c r="AW20" s="18"/>
    </row>
    <row r="21" spans="1:49" s="20" customFormat="1" ht="15">
      <c r="A21" s="13"/>
      <c r="B21" s="59"/>
      <c r="C21" s="59"/>
      <c r="D21" s="59"/>
      <c r="E21" s="59"/>
      <c r="F21" s="59"/>
      <c r="G21" s="59"/>
      <c r="H21" s="59"/>
      <c r="I21" s="59"/>
      <c r="J21" s="298" t="s">
        <v>2797</v>
      </c>
      <c r="K21" s="297" t="s">
        <v>132</v>
      </c>
      <c r="L21" s="231" t="s">
        <v>2798</v>
      </c>
      <c r="M21" s="231"/>
      <c r="N21" s="295" t="s">
        <v>504</v>
      </c>
      <c r="O21" s="295"/>
      <c r="P21" s="295"/>
      <c r="Q21" s="292"/>
      <c r="R21" s="292" t="s">
        <v>6</v>
      </c>
      <c r="S21" s="292"/>
      <c r="T21" s="292"/>
      <c r="U21" s="315"/>
      <c r="V21" s="206"/>
      <c r="W21" s="399"/>
      <c r="X21" s="59"/>
      <c r="Y21" s="59"/>
      <c r="Z21" s="59"/>
      <c r="AA21" s="40"/>
      <c r="AB21" s="15"/>
      <c r="AC21" s="59"/>
      <c r="AD21" s="59"/>
      <c r="AE21" s="399"/>
      <c r="AF21" s="59"/>
      <c r="AG21" s="59"/>
      <c r="AH21" s="59"/>
      <c r="AI21" s="40"/>
      <c r="AJ21" s="15"/>
      <c r="AK21" s="59"/>
      <c r="AL21" s="59"/>
      <c r="AM21" s="59"/>
      <c r="AN21" s="59"/>
      <c r="AO21" s="59"/>
      <c r="AP21" s="59"/>
      <c r="AQ21" s="59"/>
      <c r="AR21" s="59"/>
      <c r="AS21" s="59"/>
      <c r="AT21" s="59"/>
      <c r="AU21" s="59"/>
      <c r="AV21" s="59"/>
      <c r="AW21" s="18"/>
    </row>
    <row r="22" spans="1:49" s="20" customFormat="1" ht="15">
      <c r="A22" s="13"/>
      <c r="B22" s="59"/>
      <c r="C22" s="59"/>
      <c r="D22" s="59"/>
      <c r="E22" s="59"/>
      <c r="F22" s="59"/>
      <c r="G22" s="59"/>
      <c r="H22" s="59"/>
      <c r="I22" s="59"/>
      <c r="J22" s="298" t="s">
        <v>2799</v>
      </c>
      <c r="K22" s="297" t="s">
        <v>132</v>
      </c>
      <c r="L22" s="231" t="s">
        <v>2800</v>
      </c>
      <c r="M22" s="231"/>
      <c r="N22" s="295" t="s">
        <v>504</v>
      </c>
      <c r="O22" s="295"/>
      <c r="P22" s="295"/>
      <c r="Q22" s="292"/>
      <c r="R22" s="292" t="s">
        <v>6</v>
      </c>
      <c r="S22" s="292"/>
      <c r="T22" s="292"/>
      <c r="U22" s="315"/>
      <c r="V22" s="206"/>
      <c r="W22" s="399"/>
      <c r="X22" s="59"/>
      <c r="Y22" s="59"/>
      <c r="Z22" s="59"/>
      <c r="AA22" s="40"/>
      <c r="AB22" s="15"/>
      <c r="AC22" s="59"/>
      <c r="AD22" s="59"/>
      <c r="AE22" s="399"/>
      <c r="AF22" s="59"/>
      <c r="AG22" s="59"/>
      <c r="AH22" s="59"/>
      <c r="AI22" s="40"/>
      <c r="AJ22" s="15"/>
      <c r="AK22" s="59"/>
      <c r="AL22" s="59"/>
      <c r="AM22" s="59"/>
      <c r="AN22" s="59"/>
      <c r="AO22" s="59"/>
      <c r="AP22" s="59"/>
      <c r="AQ22" s="59"/>
      <c r="AR22" s="59"/>
      <c r="AS22" s="59"/>
      <c r="AT22" s="59"/>
      <c r="AU22" s="59"/>
      <c r="AV22" s="59"/>
      <c r="AW22" s="18"/>
    </row>
    <row r="23" spans="1:49" s="20" customFormat="1" ht="15">
      <c r="A23" s="13"/>
      <c r="B23" s="59"/>
      <c r="C23" s="59"/>
      <c r="D23" s="59"/>
      <c r="E23" s="59"/>
      <c r="F23" s="59"/>
      <c r="G23" s="59"/>
      <c r="H23" s="59"/>
      <c r="I23" s="59"/>
      <c r="J23" s="298" t="s">
        <v>2801</v>
      </c>
      <c r="K23" s="297" t="s">
        <v>117</v>
      </c>
      <c r="L23" s="231" t="s">
        <v>2802</v>
      </c>
      <c r="M23" s="231"/>
      <c r="N23" s="295" t="s">
        <v>504</v>
      </c>
      <c r="O23" s="295"/>
      <c r="P23" s="295"/>
      <c r="Q23" s="292"/>
      <c r="R23" s="292" t="s">
        <v>6</v>
      </c>
      <c r="S23" s="292"/>
      <c r="T23" s="292"/>
      <c r="U23" s="315"/>
      <c r="V23" s="206"/>
      <c r="W23" s="399"/>
      <c r="X23" s="59"/>
      <c r="Y23" s="59"/>
      <c r="Z23" s="59"/>
      <c r="AA23" s="40"/>
      <c r="AB23" s="15"/>
      <c r="AC23" s="59"/>
      <c r="AD23" s="59"/>
      <c r="AE23" s="399"/>
      <c r="AF23" s="59"/>
      <c r="AG23" s="59"/>
      <c r="AH23" s="59"/>
      <c r="AI23" s="40"/>
      <c r="AJ23" s="15"/>
      <c r="AK23" s="59"/>
      <c r="AL23" s="59"/>
      <c r="AM23" s="59"/>
      <c r="AN23" s="59"/>
      <c r="AO23" s="59"/>
      <c r="AP23" s="59"/>
      <c r="AQ23" s="59"/>
      <c r="AR23" s="59"/>
      <c r="AS23" s="59"/>
      <c r="AT23" s="59"/>
      <c r="AU23" s="59"/>
      <c r="AV23" s="59"/>
      <c r="AW23" s="18"/>
    </row>
    <row r="24" spans="1:49" s="20" customFormat="1" ht="15">
      <c r="A24" s="13"/>
      <c r="B24" s="59"/>
      <c r="C24" s="59"/>
      <c r="D24" s="59"/>
      <c r="E24" s="59"/>
      <c r="F24" s="59"/>
      <c r="G24" s="59"/>
      <c r="H24" s="59"/>
      <c r="I24" s="59"/>
      <c r="J24" s="298" t="s">
        <v>2803</v>
      </c>
      <c r="K24" s="297" t="s">
        <v>132</v>
      </c>
      <c r="L24" s="231" t="s">
        <v>2804</v>
      </c>
      <c r="M24" s="231"/>
      <c r="N24" s="295" t="s">
        <v>504</v>
      </c>
      <c r="O24" s="295"/>
      <c r="P24" s="295"/>
      <c r="Q24" s="292"/>
      <c r="R24" s="292" t="s">
        <v>6</v>
      </c>
      <c r="S24" s="292"/>
      <c r="T24" s="292"/>
      <c r="U24" s="315"/>
      <c r="V24" s="206"/>
      <c r="W24" s="399"/>
      <c r="X24" s="59"/>
      <c r="Y24" s="59"/>
      <c r="Z24" s="59"/>
      <c r="AA24" s="40"/>
      <c r="AB24" s="15"/>
      <c r="AC24" s="59"/>
      <c r="AD24" s="59"/>
      <c r="AE24" s="399"/>
      <c r="AF24" s="59"/>
      <c r="AG24" s="59"/>
      <c r="AH24" s="59"/>
      <c r="AI24" s="40"/>
      <c r="AJ24" s="15"/>
      <c r="AK24" s="59"/>
      <c r="AL24" s="59"/>
      <c r="AM24" s="59"/>
      <c r="AN24" s="59"/>
      <c r="AO24" s="59"/>
      <c r="AP24" s="59"/>
      <c r="AQ24" s="59"/>
      <c r="AR24" s="59"/>
      <c r="AS24" s="59"/>
      <c r="AT24" s="59"/>
      <c r="AU24" s="59"/>
      <c r="AV24" s="59"/>
      <c r="AW24" s="18"/>
    </row>
    <row r="25" spans="1:49" s="20" customFormat="1" ht="15">
      <c r="A25" s="13"/>
      <c r="B25" s="59"/>
      <c r="C25" s="59"/>
      <c r="D25" s="59"/>
      <c r="E25" s="59"/>
      <c r="F25" s="59"/>
      <c r="G25" s="59"/>
      <c r="H25" s="59"/>
      <c r="I25" s="59"/>
      <c r="J25" s="298" t="s">
        <v>2805</v>
      </c>
      <c r="K25" s="297" t="s">
        <v>132</v>
      </c>
      <c r="L25" s="231" t="s">
        <v>2806</v>
      </c>
      <c r="M25" s="231"/>
      <c r="N25" s="295" t="s">
        <v>504</v>
      </c>
      <c r="O25" s="295"/>
      <c r="P25" s="295"/>
      <c r="Q25" s="292"/>
      <c r="R25" s="292" t="s">
        <v>6</v>
      </c>
      <c r="S25" s="292"/>
      <c r="T25" s="292"/>
      <c r="U25" s="315"/>
      <c r="V25" s="206"/>
      <c r="W25" s="399"/>
      <c r="X25" s="59"/>
      <c r="Y25" s="59"/>
      <c r="Z25" s="59"/>
      <c r="AA25" s="40"/>
      <c r="AB25" s="15"/>
      <c r="AC25" s="59"/>
      <c r="AD25" s="59"/>
      <c r="AE25" s="399"/>
      <c r="AF25" s="59"/>
      <c r="AG25" s="59"/>
      <c r="AH25" s="59"/>
      <c r="AI25" s="40"/>
      <c r="AJ25" s="15"/>
      <c r="AK25" s="59"/>
      <c r="AL25" s="59"/>
      <c r="AM25" s="59"/>
      <c r="AN25" s="59"/>
      <c r="AO25" s="59"/>
      <c r="AP25" s="59"/>
      <c r="AQ25" s="59"/>
      <c r="AR25" s="59"/>
      <c r="AS25" s="59"/>
      <c r="AT25" s="59"/>
      <c r="AU25" s="59"/>
      <c r="AV25" s="59"/>
      <c r="AW25" s="18"/>
    </row>
    <row r="26" spans="1:49" s="20" customFormat="1" ht="15">
      <c r="A26" s="13"/>
      <c r="B26" s="59"/>
      <c r="C26" s="59"/>
      <c r="D26" s="59"/>
      <c r="E26" s="59"/>
      <c r="F26" s="59"/>
      <c r="G26" s="59"/>
      <c r="H26" s="59"/>
      <c r="I26" s="59"/>
      <c r="J26" s="298" t="s">
        <v>2807</v>
      </c>
      <c r="K26" s="297" t="s">
        <v>132</v>
      </c>
      <c r="L26" s="231" t="s">
        <v>2808</v>
      </c>
      <c r="M26" s="231"/>
      <c r="N26" s="295" t="s">
        <v>504</v>
      </c>
      <c r="O26" s="295"/>
      <c r="P26" s="295"/>
      <c r="Q26" s="292"/>
      <c r="R26" s="292" t="s">
        <v>6</v>
      </c>
      <c r="S26" s="292"/>
      <c r="T26" s="292"/>
      <c r="U26" s="315"/>
      <c r="V26" s="206"/>
      <c r="W26" s="399"/>
      <c r="X26" s="59"/>
      <c r="Y26" s="59"/>
      <c r="Z26" s="59"/>
      <c r="AA26" s="40"/>
      <c r="AB26" s="15"/>
      <c r="AC26" s="59"/>
      <c r="AD26" s="59"/>
      <c r="AE26" s="399"/>
      <c r="AF26" s="59"/>
      <c r="AG26" s="59"/>
      <c r="AH26" s="59"/>
      <c r="AI26" s="40"/>
      <c r="AJ26" s="15"/>
      <c r="AK26" s="59"/>
      <c r="AL26" s="59"/>
      <c r="AM26" s="59"/>
      <c r="AN26" s="59"/>
      <c r="AO26" s="59"/>
      <c r="AP26" s="59"/>
      <c r="AQ26" s="59"/>
      <c r="AR26" s="59"/>
      <c r="AS26" s="59"/>
      <c r="AT26" s="59"/>
      <c r="AU26" s="59"/>
      <c r="AV26" s="59"/>
      <c r="AW26" s="18"/>
    </row>
    <row r="27" spans="1:49" s="20" customFormat="1" ht="15">
      <c r="A27" s="13"/>
      <c r="B27" s="59"/>
      <c r="C27" s="59"/>
      <c r="D27" s="59"/>
      <c r="E27" s="59"/>
      <c r="F27" s="59"/>
      <c r="G27" s="59"/>
      <c r="H27" s="59"/>
      <c r="I27" s="59"/>
      <c r="J27" s="298" t="s">
        <v>2809</v>
      </c>
      <c r="K27" s="297" t="s">
        <v>132</v>
      </c>
      <c r="L27" s="231" t="s">
        <v>2810</v>
      </c>
      <c r="M27" s="231"/>
      <c r="N27" s="295" t="s">
        <v>504</v>
      </c>
      <c r="O27" s="295"/>
      <c r="P27" s="295"/>
      <c r="Q27" s="292"/>
      <c r="R27" s="292" t="s">
        <v>6</v>
      </c>
      <c r="S27" s="292"/>
      <c r="T27" s="292"/>
      <c r="U27" s="315"/>
      <c r="V27" s="206"/>
      <c r="W27" s="399"/>
      <c r="X27" s="59"/>
      <c r="Y27" s="59"/>
      <c r="Z27" s="59"/>
      <c r="AA27" s="40"/>
      <c r="AB27" s="15"/>
      <c r="AC27" s="59"/>
      <c r="AD27" s="59"/>
      <c r="AE27" s="399"/>
      <c r="AF27" s="59"/>
      <c r="AG27" s="59"/>
      <c r="AH27" s="59"/>
      <c r="AI27" s="40"/>
      <c r="AJ27" s="15"/>
      <c r="AK27" s="59"/>
      <c r="AL27" s="59"/>
      <c r="AM27" s="59"/>
      <c r="AN27" s="59"/>
      <c r="AO27" s="59"/>
      <c r="AP27" s="59"/>
      <c r="AQ27" s="59"/>
      <c r="AR27" s="59"/>
      <c r="AS27" s="59"/>
      <c r="AT27" s="59"/>
      <c r="AU27" s="59"/>
      <c r="AV27" s="59"/>
      <c r="AW27" s="18"/>
    </row>
    <row r="28" spans="1:49" s="20" customFormat="1" ht="15">
      <c r="A28" s="13"/>
      <c r="B28" s="59"/>
      <c r="C28" s="59"/>
      <c r="D28" s="59"/>
      <c r="E28" s="59"/>
      <c r="F28" s="59"/>
      <c r="G28" s="59"/>
      <c r="H28" s="59"/>
      <c r="I28" s="59"/>
      <c r="J28" s="298" t="s">
        <v>2811</v>
      </c>
      <c r="K28" s="297" t="s">
        <v>132</v>
      </c>
      <c r="L28" s="231" t="s">
        <v>2812</v>
      </c>
      <c r="M28" s="231"/>
      <c r="N28" s="295" t="s">
        <v>504</v>
      </c>
      <c r="O28" s="295"/>
      <c r="P28" s="295"/>
      <c r="Q28" s="292"/>
      <c r="R28" s="292" t="s">
        <v>6</v>
      </c>
      <c r="S28" s="292"/>
      <c r="T28" s="292"/>
      <c r="U28" s="315"/>
      <c r="V28" s="206"/>
      <c r="W28" s="399"/>
      <c r="X28" s="59"/>
      <c r="Y28" s="59"/>
      <c r="Z28" s="59"/>
      <c r="AA28" s="40"/>
      <c r="AB28" s="15"/>
      <c r="AC28" s="59"/>
      <c r="AD28" s="59"/>
      <c r="AE28" s="399"/>
      <c r="AF28" s="59"/>
      <c r="AG28" s="59"/>
      <c r="AH28" s="59"/>
      <c r="AI28" s="40"/>
      <c r="AJ28" s="15"/>
      <c r="AK28" s="59"/>
      <c r="AL28" s="59"/>
      <c r="AM28" s="59"/>
      <c r="AN28" s="59"/>
      <c r="AO28" s="59"/>
      <c r="AP28" s="59"/>
      <c r="AQ28" s="59"/>
      <c r="AR28" s="59"/>
      <c r="AS28" s="59"/>
      <c r="AT28" s="59"/>
      <c r="AU28" s="59"/>
      <c r="AV28" s="59"/>
      <c r="AW28" s="18"/>
    </row>
    <row r="29" spans="1:49" s="20" customFormat="1" ht="15">
      <c r="A29" s="13"/>
      <c r="B29" s="59"/>
      <c r="C29" s="59"/>
      <c r="D29" s="59"/>
      <c r="E29" s="59"/>
      <c r="F29" s="59"/>
      <c r="G29" s="59"/>
      <c r="H29" s="59"/>
      <c r="I29" s="59"/>
      <c r="J29" s="298" t="s">
        <v>2813</v>
      </c>
      <c r="K29" s="297" t="s">
        <v>132</v>
      </c>
      <c r="L29" s="231" t="s">
        <v>2814</v>
      </c>
      <c r="M29" s="231"/>
      <c r="N29" s="295" t="s">
        <v>504</v>
      </c>
      <c r="O29" s="295"/>
      <c r="P29" s="295"/>
      <c r="Q29" s="292"/>
      <c r="R29" s="292" t="s">
        <v>6</v>
      </c>
      <c r="S29" s="292"/>
      <c r="T29" s="292"/>
      <c r="U29" s="315"/>
      <c r="V29" s="206"/>
      <c r="W29" s="399"/>
      <c r="X29" s="59"/>
      <c r="Y29" s="59"/>
      <c r="Z29" s="59"/>
      <c r="AA29" s="40"/>
      <c r="AB29" s="15"/>
      <c r="AC29" s="59"/>
      <c r="AD29" s="59"/>
      <c r="AE29" s="399"/>
      <c r="AF29" s="59"/>
      <c r="AG29" s="59"/>
      <c r="AH29" s="59"/>
      <c r="AI29" s="40"/>
      <c r="AJ29" s="15"/>
      <c r="AK29" s="59"/>
      <c r="AL29" s="59"/>
      <c r="AM29" s="59"/>
      <c r="AN29" s="59"/>
      <c r="AO29" s="59"/>
      <c r="AP29" s="59"/>
      <c r="AQ29" s="59"/>
      <c r="AR29" s="59"/>
      <c r="AS29" s="59"/>
      <c r="AT29" s="59"/>
      <c r="AU29" s="59"/>
      <c r="AV29" s="59"/>
      <c r="AW29" s="18"/>
    </row>
    <row r="30" spans="1:49" s="20" customFormat="1" ht="15">
      <c r="A30" s="13"/>
      <c r="B30" s="59"/>
      <c r="C30" s="59"/>
      <c r="D30" s="59"/>
      <c r="E30" s="59"/>
      <c r="F30" s="59"/>
      <c r="G30" s="59"/>
      <c r="H30" s="59"/>
      <c r="I30" s="59"/>
      <c r="J30" s="298" t="s">
        <v>2815</v>
      </c>
      <c r="K30" s="297" t="s">
        <v>132</v>
      </c>
      <c r="L30" s="231" t="s">
        <v>2816</v>
      </c>
      <c r="M30" s="231"/>
      <c r="N30" s="295" t="s">
        <v>504</v>
      </c>
      <c r="O30" s="295"/>
      <c r="P30" s="295"/>
      <c r="Q30" s="292"/>
      <c r="R30" s="292" t="s">
        <v>6</v>
      </c>
      <c r="S30" s="292"/>
      <c r="T30" s="292"/>
      <c r="U30" s="315"/>
      <c r="V30" s="206"/>
      <c r="W30" s="399"/>
      <c r="X30" s="59"/>
      <c r="Y30" s="59"/>
      <c r="Z30" s="59"/>
      <c r="AA30" s="40"/>
      <c r="AB30" s="15"/>
      <c r="AC30" s="59"/>
      <c r="AD30" s="59"/>
      <c r="AE30" s="399"/>
      <c r="AF30" s="59"/>
      <c r="AG30" s="59"/>
      <c r="AH30" s="59"/>
      <c r="AI30" s="40"/>
      <c r="AJ30" s="15"/>
      <c r="AK30" s="59"/>
      <c r="AL30" s="59"/>
      <c r="AM30" s="59"/>
      <c r="AN30" s="59"/>
      <c r="AO30" s="59"/>
      <c r="AP30" s="59"/>
      <c r="AQ30" s="59"/>
      <c r="AR30" s="59"/>
      <c r="AS30" s="59"/>
      <c r="AT30" s="59"/>
      <c r="AU30" s="59"/>
      <c r="AV30" s="59"/>
      <c r="AW30" s="18"/>
    </row>
    <row r="31" spans="1:49" s="20" customFormat="1" ht="15">
      <c r="A31" s="13"/>
      <c r="B31" s="59"/>
      <c r="C31" s="59"/>
      <c r="D31" s="59"/>
      <c r="E31" s="59"/>
      <c r="F31" s="59"/>
      <c r="G31" s="59"/>
      <c r="H31" s="59"/>
      <c r="I31" s="59"/>
      <c r="J31" s="298" t="s">
        <v>2817</v>
      </c>
      <c r="K31" s="297" t="s">
        <v>132</v>
      </c>
      <c r="L31" s="231" t="s">
        <v>2818</v>
      </c>
      <c r="M31" s="231"/>
      <c r="N31" s="295" t="s">
        <v>504</v>
      </c>
      <c r="O31" s="295"/>
      <c r="P31" s="295"/>
      <c r="Q31" s="292"/>
      <c r="R31" s="292" t="s">
        <v>6</v>
      </c>
      <c r="S31" s="292"/>
      <c r="T31" s="292"/>
      <c r="U31" s="315"/>
      <c r="V31" s="206"/>
      <c r="W31" s="399"/>
      <c r="X31" s="59"/>
      <c r="Y31" s="59"/>
      <c r="Z31" s="59"/>
      <c r="AA31" s="40"/>
      <c r="AB31" s="15"/>
      <c r="AC31" s="59"/>
      <c r="AD31" s="59"/>
      <c r="AE31" s="399"/>
      <c r="AF31" s="59"/>
      <c r="AG31" s="59"/>
      <c r="AH31" s="59"/>
      <c r="AI31" s="40"/>
      <c r="AJ31" s="15"/>
      <c r="AK31" s="59"/>
      <c r="AL31" s="59"/>
      <c r="AM31" s="59"/>
      <c r="AN31" s="59"/>
      <c r="AO31" s="59"/>
      <c r="AP31" s="59"/>
      <c r="AQ31" s="59"/>
      <c r="AR31" s="59"/>
      <c r="AS31" s="59"/>
      <c r="AT31" s="59"/>
      <c r="AU31" s="59"/>
      <c r="AV31" s="59"/>
      <c r="AW31" s="18"/>
    </row>
    <row r="32" spans="1:49" s="20" customFormat="1" ht="15">
      <c r="A32" s="13"/>
      <c r="B32" s="59"/>
      <c r="C32" s="59"/>
      <c r="D32" s="59"/>
      <c r="E32" s="59"/>
      <c r="F32" s="59"/>
      <c r="G32" s="59"/>
      <c r="H32" s="59"/>
      <c r="I32" s="59"/>
      <c r="J32" s="298" t="s">
        <v>2819</v>
      </c>
      <c r="K32" s="297" t="s">
        <v>132</v>
      </c>
      <c r="L32" s="231" t="s">
        <v>2820</v>
      </c>
      <c r="M32" s="231"/>
      <c r="N32" s="295" t="s">
        <v>504</v>
      </c>
      <c r="O32" s="295"/>
      <c r="P32" s="295"/>
      <c r="Q32" s="292"/>
      <c r="R32" s="292" t="s">
        <v>6</v>
      </c>
      <c r="S32" s="292"/>
      <c r="T32" s="292"/>
      <c r="U32" s="315"/>
      <c r="V32" s="206"/>
      <c r="W32" s="399"/>
      <c r="X32" s="59"/>
      <c r="Y32" s="59"/>
      <c r="Z32" s="59"/>
      <c r="AA32" s="40"/>
      <c r="AB32" s="15"/>
      <c r="AC32" s="59"/>
      <c r="AD32" s="59"/>
      <c r="AE32" s="399"/>
      <c r="AF32" s="59"/>
      <c r="AG32" s="59"/>
      <c r="AH32" s="59"/>
      <c r="AI32" s="40"/>
      <c r="AJ32" s="15"/>
      <c r="AK32" s="59"/>
      <c r="AL32" s="59"/>
      <c r="AM32" s="59"/>
      <c r="AN32" s="59"/>
      <c r="AO32" s="59"/>
      <c r="AP32" s="59"/>
      <c r="AQ32" s="59"/>
      <c r="AR32" s="59"/>
      <c r="AS32" s="59"/>
      <c r="AT32" s="59"/>
      <c r="AU32" s="59"/>
      <c r="AV32" s="59"/>
      <c r="AW32" s="18"/>
    </row>
    <row r="33" spans="1:49" s="20" customFormat="1" ht="15">
      <c r="A33" s="13"/>
      <c r="B33" s="59"/>
      <c r="C33" s="59"/>
      <c r="D33" s="59"/>
      <c r="E33" s="59"/>
      <c r="F33" s="59"/>
      <c r="G33" s="59"/>
      <c r="H33" s="59"/>
      <c r="I33" s="59"/>
      <c r="J33" s="298" t="s">
        <v>2821</v>
      </c>
      <c r="K33" s="297" t="s">
        <v>132</v>
      </c>
      <c r="L33" s="231" t="s">
        <v>2822</v>
      </c>
      <c r="M33" s="231"/>
      <c r="N33" s="295" t="s">
        <v>504</v>
      </c>
      <c r="O33" s="295"/>
      <c r="P33" s="295"/>
      <c r="Q33" s="292"/>
      <c r="R33" s="292" t="s">
        <v>6</v>
      </c>
      <c r="S33" s="292"/>
      <c r="T33" s="292"/>
      <c r="U33" s="315"/>
      <c r="V33" s="206"/>
      <c r="W33" s="399"/>
      <c r="X33" s="59"/>
      <c r="Y33" s="59"/>
      <c r="Z33" s="59"/>
      <c r="AA33" s="40"/>
      <c r="AB33" s="15"/>
      <c r="AC33" s="59"/>
      <c r="AD33" s="59"/>
      <c r="AE33" s="399"/>
      <c r="AF33" s="59"/>
      <c r="AG33" s="59"/>
      <c r="AH33" s="59"/>
      <c r="AI33" s="40"/>
      <c r="AJ33" s="15"/>
      <c r="AK33" s="59"/>
      <c r="AL33" s="59"/>
      <c r="AM33" s="59"/>
      <c r="AN33" s="59"/>
      <c r="AO33" s="59"/>
      <c r="AP33" s="59"/>
      <c r="AQ33" s="59"/>
      <c r="AR33" s="59"/>
      <c r="AS33" s="59"/>
      <c r="AT33" s="59"/>
      <c r="AU33" s="59"/>
      <c r="AV33" s="59"/>
      <c r="AW33" s="18"/>
    </row>
    <row r="34" spans="1:49" s="20" customFormat="1" ht="15">
      <c r="A34" s="13"/>
      <c r="B34" s="59"/>
      <c r="C34" s="59"/>
      <c r="D34" s="59"/>
      <c r="E34" s="59"/>
      <c r="F34" s="59"/>
      <c r="G34" s="59"/>
      <c r="H34" s="59"/>
      <c r="I34" s="59"/>
      <c r="J34" s="298" t="s">
        <v>2823</v>
      </c>
      <c r="K34" s="297" t="s">
        <v>132</v>
      </c>
      <c r="L34" s="231" t="s">
        <v>2824</v>
      </c>
      <c r="M34" s="231"/>
      <c r="N34" s="295" t="s">
        <v>504</v>
      </c>
      <c r="O34" s="295"/>
      <c r="P34" s="295"/>
      <c r="Q34" s="292"/>
      <c r="R34" s="292" t="s">
        <v>6</v>
      </c>
      <c r="S34" s="292"/>
      <c r="T34" s="292"/>
      <c r="U34" s="315"/>
      <c r="V34" s="206"/>
      <c r="W34" s="399"/>
      <c r="X34" s="59"/>
      <c r="Y34" s="59"/>
      <c r="Z34" s="59"/>
      <c r="AA34" s="40"/>
      <c r="AB34" s="15"/>
      <c r="AC34" s="59"/>
      <c r="AD34" s="59"/>
      <c r="AE34" s="399"/>
      <c r="AF34" s="59"/>
      <c r="AG34" s="59"/>
      <c r="AH34" s="59"/>
      <c r="AI34" s="40"/>
      <c r="AJ34" s="15"/>
      <c r="AK34" s="59"/>
      <c r="AL34" s="59"/>
      <c r="AM34" s="59"/>
      <c r="AN34" s="59"/>
      <c r="AO34" s="59"/>
      <c r="AP34" s="59"/>
      <c r="AQ34" s="59"/>
      <c r="AR34" s="59"/>
      <c r="AS34" s="59"/>
      <c r="AT34" s="59"/>
      <c r="AU34" s="59"/>
      <c r="AV34" s="59"/>
      <c r="AW34" s="18"/>
    </row>
    <row r="35" spans="1:49" s="20" customFormat="1" ht="15">
      <c r="A35" s="13"/>
      <c r="B35" s="59"/>
      <c r="C35" s="59"/>
      <c r="D35" s="59"/>
      <c r="E35" s="59"/>
      <c r="F35" s="59"/>
      <c r="G35" s="59"/>
      <c r="H35" s="59"/>
      <c r="I35" s="59"/>
      <c r="J35" s="298" t="s">
        <v>2825</v>
      </c>
      <c r="K35" s="297" t="s">
        <v>132</v>
      </c>
      <c r="L35" s="231" t="s">
        <v>2826</v>
      </c>
      <c r="M35" s="231"/>
      <c r="N35" s="295" t="s">
        <v>504</v>
      </c>
      <c r="O35" s="295"/>
      <c r="P35" s="295"/>
      <c r="Q35" s="292"/>
      <c r="R35" s="292" t="s">
        <v>6</v>
      </c>
      <c r="S35" s="292"/>
      <c r="T35" s="292"/>
      <c r="U35" s="315"/>
      <c r="V35" s="206"/>
      <c r="W35" s="399"/>
      <c r="X35" s="59"/>
      <c r="Y35" s="59"/>
      <c r="Z35" s="59"/>
      <c r="AA35" s="40"/>
      <c r="AB35" s="15"/>
      <c r="AC35" s="59"/>
      <c r="AD35" s="59"/>
      <c r="AE35" s="399"/>
      <c r="AF35" s="59"/>
      <c r="AG35" s="59"/>
      <c r="AH35" s="59"/>
      <c r="AI35" s="40"/>
      <c r="AJ35" s="15"/>
      <c r="AK35" s="59"/>
      <c r="AL35" s="59"/>
      <c r="AM35" s="59"/>
      <c r="AN35" s="59"/>
      <c r="AO35" s="59"/>
      <c r="AP35" s="59"/>
      <c r="AQ35" s="59"/>
      <c r="AR35" s="59"/>
      <c r="AS35" s="59"/>
      <c r="AT35" s="59"/>
      <c r="AU35" s="59"/>
      <c r="AV35" s="59"/>
      <c r="AW35" s="18"/>
    </row>
    <row r="36" spans="1:49" s="20" customFormat="1" ht="15">
      <c r="A36" s="13"/>
      <c r="B36" s="59"/>
      <c r="C36" s="59"/>
      <c r="D36" s="59"/>
      <c r="E36" s="59"/>
      <c r="F36" s="59"/>
      <c r="G36" s="59"/>
      <c r="H36" s="59"/>
      <c r="I36" s="59"/>
      <c r="J36" s="298" t="s">
        <v>2827</v>
      </c>
      <c r="K36" s="297" t="s">
        <v>132</v>
      </c>
      <c r="L36" s="231" t="s">
        <v>2828</v>
      </c>
      <c r="M36" s="231"/>
      <c r="N36" s="295" t="s">
        <v>504</v>
      </c>
      <c r="O36" s="295"/>
      <c r="P36" s="295"/>
      <c r="Q36" s="292"/>
      <c r="R36" s="292" t="s">
        <v>6</v>
      </c>
      <c r="S36" s="292"/>
      <c r="T36" s="292"/>
      <c r="U36" s="315"/>
      <c r="V36" s="206"/>
      <c r="W36" s="399"/>
      <c r="X36" s="59"/>
      <c r="Y36" s="59"/>
      <c r="Z36" s="59"/>
      <c r="AA36" s="40"/>
      <c r="AB36" s="15"/>
      <c r="AC36" s="59"/>
      <c r="AD36" s="59"/>
      <c r="AE36" s="399"/>
      <c r="AF36" s="59"/>
      <c r="AG36" s="59"/>
      <c r="AH36" s="59"/>
      <c r="AI36" s="40"/>
      <c r="AJ36" s="15"/>
      <c r="AK36" s="59"/>
      <c r="AL36" s="59"/>
      <c r="AM36" s="59"/>
      <c r="AN36" s="59"/>
      <c r="AO36" s="59"/>
      <c r="AP36" s="59"/>
      <c r="AQ36" s="59"/>
      <c r="AR36" s="59"/>
      <c r="AS36" s="59"/>
      <c r="AT36" s="59"/>
      <c r="AU36" s="59"/>
      <c r="AV36" s="59"/>
      <c r="AW36" s="18"/>
    </row>
    <row r="37" spans="1:49" s="20" customFormat="1" ht="15">
      <c r="A37" s="13"/>
      <c r="B37" s="59"/>
      <c r="C37" s="59"/>
      <c r="D37" s="59"/>
      <c r="E37" s="59"/>
      <c r="F37" s="59"/>
      <c r="G37" s="59"/>
      <c r="H37" s="59"/>
      <c r="I37" s="59"/>
      <c r="J37" s="298" t="s">
        <v>2829</v>
      </c>
      <c r="K37" s="297" t="s">
        <v>132</v>
      </c>
      <c r="L37" s="231" t="s">
        <v>2830</v>
      </c>
      <c r="M37" s="231"/>
      <c r="N37" s="295" t="s">
        <v>504</v>
      </c>
      <c r="O37" s="295"/>
      <c r="P37" s="295"/>
      <c r="Q37" s="292"/>
      <c r="R37" s="292" t="s">
        <v>6</v>
      </c>
      <c r="S37" s="292"/>
      <c r="T37" s="292"/>
      <c r="U37" s="315"/>
      <c r="V37" s="206"/>
      <c r="W37" s="399"/>
      <c r="X37" s="59"/>
      <c r="Y37" s="59"/>
      <c r="Z37" s="59"/>
      <c r="AA37" s="40"/>
      <c r="AB37" s="15"/>
      <c r="AC37" s="59"/>
      <c r="AD37" s="59"/>
      <c r="AE37" s="399"/>
      <c r="AF37" s="59"/>
      <c r="AG37" s="59"/>
      <c r="AH37" s="59"/>
      <c r="AI37" s="40"/>
      <c r="AJ37" s="15"/>
      <c r="AK37" s="59"/>
      <c r="AL37" s="59"/>
      <c r="AM37" s="59"/>
      <c r="AN37" s="59"/>
      <c r="AO37" s="59"/>
      <c r="AP37" s="59"/>
      <c r="AQ37" s="59"/>
      <c r="AR37" s="59"/>
      <c r="AS37" s="59"/>
      <c r="AT37" s="59"/>
      <c r="AU37" s="59"/>
      <c r="AV37" s="59"/>
      <c r="AW37" s="18"/>
    </row>
    <row r="38" spans="1:49" s="20" customFormat="1" ht="15">
      <c r="A38" s="13"/>
      <c r="B38" s="59"/>
      <c r="C38" s="59"/>
      <c r="D38" s="59"/>
      <c r="E38" s="59"/>
      <c r="F38" s="59"/>
      <c r="G38" s="59"/>
      <c r="H38" s="59"/>
      <c r="I38" s="59"/>
      <c r="J38" s="298" t="s">
        <v>2831</v>
      </c>
      <c r="K38" s="297" t="s">
        <v>132</v>
      </c>
      <c r="L38" s="231" t="s">
        <v>2832</v>
      </c>
      <c r="M38" s="231"/>
      <c r="N38" s="295" t="s">
        <v>504</v>
      </c>
      <c r="O38" s="295"/>
      <c r="P38" s="295"/>
      <c r="Q38" s="292"/>
      <c r="R38" s="292" t="s">
        <v>6</v>
      </c>
      <c r="S38" s="292"/>
      <c r="T38" s="292"/>
      <c r="U38" s="315"/>
      <c r="V38" s="206"/>
      <c r="W38" s="399"/>
      <c r="X38" s="59"/>
      <c r="Y38" s="59"/>
      <c r="Z38" s="59"/>
      <c r="AA38" s="40"/>
      <c r="AB38" s="15"/>
      <c r="AC38" s="59"/>
      <c r="AD38" s="59"/>
      <c r="AE38" s="399"/>
      <c r="AF38" s="59"/>
      <c r="AG38" s="59"/>
      <c r="AH38" s="59"/>
      <c r="AI38" s="40"/>
      <c r="AJ38" s="15"/>
      <c r="AK38" s="59"/>
      <c r="AL38" s="59"/>
      <c r="AM38" s="59"/>
      <c r="AN38" s="59"/>
      <c r="AO38" s="59"/>
      <c r="AP38" s="59"/>
      <c r="AQ38" s="59"/>
      <c r="AR38" s="59"/>
      <c r="AS38" s="59"/>
      <c r="AT38" s="59"/>
      <c r="AU38" s="59"/>
      <c r="AV38" s="59"/>
      <c r="AW38" s="18"/>
    </row>
    <row r="39" spans="1:49" s="20" customFormat="1" ht="15">
      <c r="A39" s="13"/>
      <c r="B39" s="59"/>
      <c r="C39" s="59"/>
      <c r="D39" s="59"/>
      <c r="E39" s="59"/>
      <c r="F39" s="59"/>
      <c r="G39" s="59"/>
      <c r="H39" s="59"/>
      <c r="I39" s="59"/>
      <c r="J39" s="298" t="s">
        <v>2833</v>
      </c>
      <c r="K39" s="297" t="s">
        <v>132</v>
      </c>
      <c r="L39" s="231" t="s">
        <v>2834</v>
      </c>
      <c r="M39" s="231"/>
      <c r="N39" s="295" t="s">
        <v>504</v>
      </c>
      <c r="O39" s="295"/>
      <c r="P39" s="295"/>
      <c r="Q39" s="292"/>
      <c r="R39" s="292" t="s">
        <v>6</v>
      </c>
      <c r="S39" s="292"/>
      <c r="T39" s="292"/>
      <c r="U39" s="315"/>
      <c r="V39" s="206"/>
      <c r="W39" s="399"/>
      <c r="X39" s="59"/>
      <c r="Y39" s="59"/>
      <c r="Z39" s="59"/>
      <c r="AA39" s="40"/>
      <c r="AB39" s="15"/>
      <c r="AC39" s="59"/>
      <c r="AD39" s="59"/>
      <c r="AE39" s="399"/>
      <c r="AF39" s="59"/>
      <c r="AG39" s="59"/>
      <c r="AH39" s="59"/>
      <c r="AI39" s="40"/>
      <c r="AJ39" s="15"/>
      <c r="AK39" s="59"/>
      <c r="AL39" s="59"/>
      <c r="AM39" s="59"/>
      <c r="AN39" s="59"/>
      <c r="AO39" s="59"/>
      <c r="AP39" s="59"/>
      <c r="AQ39" s="59"/>
      <c r="AR39" s="59"/>
      <c r="AS39" s="59"/>
      <c r="AT39" s="59"/>
      <c r="AU39" s="59"/>
      <c r="AV39" s="59"/>
      <c r="AW39" s="18"/>
    </row>
    <row r="40" spans="1:49" s="20" customFormat="1" ht="15">
      <c r="A40" s="13"/>
      <c r="B40" s="59"/>
      <c r="C40" s="59"/>
      <c r="D40" s="59"/>
      <c r="E40" s="59"/>
      <c r="F40" s="59"/>
      <c r="G40" s="59"/>
      <c r="H40" s="59"/>
      <c r="I40" s="59"/>
      <c r="J40" s="298" t="s">
        <v>2835</v>
      </c>
      <c r="K40" s="297" t="s">
        <v>132</v>
      </c>
      <c r="L40" s="231" t="s">
        <v>2836</v>
      </c>
      <c r="M40" s="231"/>
      <c r="N40" s="295" t="s">
        <v>504</v>
      </c>
      <c r="O40" s="295"/>
      <c r="P40" s="295"/>
      <c r="Q40" s="292"/>
      <c r="R40" s="292" t="s">
        <v>6</v>
      </c>
      <c r="S40" s="292"/>
      <c r="T40" s="292"/>
      <c r="U40" s="315"/>
      <c r="V40" s="206"/>
      <c r="W40" s="399"/>
      <c r="X40" s="59"/>
      <c r="Y40" s="59"/>
      <c r="Z40" s="59"/>
      <c r="AA40" s="40"/>
      <c r="AB40" s="15"/>
      <c r="AC40" s="59"/>
      <c r="AD40" s="59"/>
      <c r="AE40" s="399"/>
      <c r="AF40" s="59"/>
      <c r="AG40" s="59"/>
      <c r="AH40" s="59"/>
      <c r="AI40" s="40"/>
      <c r="AJ40" s="15"/>
      <c r="AK40" s="59"/>
      <c r="AL40" s="59"/>
      <c r="AM40" s="59"/>
      <c r="AN40" s="59"/>
      <c r="AO40" s="59"/>
      <c r="AP40" s="59"/>
      <c r="AQ40" s="59"/>
      <c r="AR40" s="59"/>
      <c r="AS40" s="59"/>
      <c r="AT40" s="59"/>
      <c r="AU40" s="59"/>
      <c r="AV40" s="59"/>
      <c r="AW40" s="18"/>
    </row>
    <row r="41" spans="1:49" s="20" customFormat="1" ht="15">
      <c r="A41" s="13"/>
      <c r="B41" s="59"/>
      <c r="C41" s="59"/>
      <c r="D41" s="59"/>
      <c r="E41" s="59"/>
      <c r="F41" s="59"/>
      <c r="G41" s="59"/>
      <c r="H41" s="59"/>
      <c r="I41" s="59"/>
      <c r="J41" s="298" t="s">
        <v>2837</v>
      </c>
      <c r="K41" s="297" t="s">
        <v>132</v>
      </c>
      <c r="L41" s="231" t="s">
        <v>2838</v>
      </c>
      <c r="M41" s="231"/>
      <c r="N41" s="295" t="s">
        <v>504</v>
      </c>
      <c r="O41" s="295"/>
      <c r="P41" s="295"/>
      <c r="Q41" s="292"/>
      <c r="R41" s="292" t="s">
        <v>6</v>
      </c>
      <c r="S41" s="292"/>
      <c r="T41" s="292"/>
      <c r="U41" s="315"/>
      <c r="V41" s="206"/>
      <c r="W41" s="399"/>
      <c r="X41" s="59"/>
      <c r="Y41" s="59"/>
      <c r="Z41" s="59"/>
      <c r="AA41" s="40"/>
      <c r="AB41" s="15"/>
      <c r="AC41" s="59"/>
      <c r="AD41" s="59"/>
      <c r="AE41" s="399"/>
      <c r="AF41" s="59"/>
      <c r="AG41" s="59"/>
      <c r="AH41" s="59"/>
      <c r="AI41" s="40"/>
      <c r="AJ41" s="15"/>
      <c r="AK41" s="59"/>
      <c r="AL41" s="59"/>
      <c r="AM41" s="59"/>
      <c r="AN41" s="59"/>
      <c r="AO41" s="59"/>
      <c r="AP41" s="59"/>
      <c r="AQ41" s="59"/>
      <c r="AR41" s="59"/>
      <c r="AS41" s="59"/>
      <c r="AT41" s="59"/>
      <c r="AU41" s="59"/>
      <c r="AV41" s="59"/>
      <c r="AW41" s="18"/>
    </row>
    <row r="42" spans="1:49" s="20" customFormat="1" ht="15">
      <c r="A42" s="13"/>
      <c r="B42" s="59"/>
      <c r="C42" s="59"/>
      <c r="D42" s="59"/>
      <c r="E42" s="59"/>
      <c r="F42" s="59"/>
      <c r="G42" s="59"/>
      <c r="H42" s="59"/>
      <c r="I42" s="59"/>
      <c r="J42" s="298" t="s">
        <v>2839</v>
      </c>
      <c r="K42" s="297" t="s">
        <v>132</v>
      </c>
      <c r="L42" s="231" t="s">
        <v>2840</v>
      </c>
      <c r="M42" s="231"/>
      <c r="N42" s="295" t="s">
        <v>504</v>
      </c>
      <c r="O42" s="295"/>
      <c r="P42" s="295"/>
      <c r="Q42" s="292"/>
      <c r="R42" s="292" t="s">
        <v>6</v>
      </c>
      <c r="S42" s="292"/>
      <c r="T42" s="292"/>
      <c r="U42" s="315"/>
      <c r="V42" s="206"/>
      <c r="W42" s="399"/>
      <c r="X42" s="59"/>
      <c r="Y42" s="59"/>
      <c r="Z42" s="59"/>
      <c r="AA42" s="40"/>
      <c r="AB42" s="15"/>
      <c r="AC42" s="59"/>
      <c r="AD42" s="59"/>
      <c r="AE42" s="399"/>
      <c r="AF42" s="59"/>
      <c r="AG42" s="59"/>
      <c r="AH42" s="59"/>
      <c r="AI42" s="40"/>
      <c r="AJ42" s="15"/>
      <c r="AK42" s="59"/>
      <c r="AL42" s="59"/>
      <c r="AM42" s="59"/>
      <c r="AN42" s="59"/>
      <c r="AO42" s="59"/>
      <c r="AP42" s="59"/>
      <c r="AQ42" s="59"/>
      <c r="AR42" s="59"/>
      <c r="AS42" s="59"/>
      <c r="AT42" s="59"/>
      <c r="AU42" s="59"/>
      <c r="AV42" s="59"/>
      <c r="AW42" s="18"/>
    </row>
    <row r="43" spans="1:49" s="20" customFormat="1" ht="15">
      <c r="A43" s="13"/>
      <c r="B43" s="59"/>
      <c r="C43" s="59"/>
      <c r="D43" s="59"/>
      <c r="E43" s="59"/>
      <c r="F43" s="59"/>
      <c r="G43" s="59"/>
      <c r="H43" s="59"/>
      <c r="I43" s="59"/>
      <c r="J43" s="298" t="s">
        <v>2841</v>
      </c>
      <c r="K43" s="297" t="s">
        <v>128</v>
      </c>
      <c r="L43" s="231" t="s">
        <v>2842</v>
      </c>
      <c r="M43" s="231"/>
      <c r="N43" s="295" t="s">
        <v>504</v>
      </c>
      <c r="O43" s="295"/>
      <c r="P43" s="295"/>
      <c r="Q43" s="292"/>
      <c r="R43" s="292" t="s">
        <v>6</v>
      </c>
      <c r="S43" s="292"/>
      <c r="T43" s="292"/>
      <c r="U43" s="315"/>
      <c r="V43" s="206"/>
      <c r="W43" s="399"/>
      <c r="X43" s="59"/>
      <c r="Y43" s="59"/>
      <c r="Z43" s="59"/>
      <c r="AA43" s="40"/>
      <c r="AB43" s="15"/>
      <c r="AC43" s="59"/>
      <c r="AD43" s="59"/>
      <c r="AE43" s="399"/>
      <c r="AF43" s="59"/>
      <c r="AG43" s="59"/>
      <c r="AH43" s="59"/>
      <c r="AI43" s="40"/>
      <c r="AJ43" s="15"/>
      <c r="AK43" s="59"/>
      <c r="AL43" s="59"/>
      <c r="AM43" s="59"/>
      <c r="AN43" s="59"/>
      <c r="AO43" s="59"/>
      <c r="AP43" s="59"/>
      <c r="AQ43" s="59"/>
      <c r="AR43" s="59"/>
      <c r="AS43" s="59"/>
      <c r="AT43" s="59"/>
      <c r="AU43" s="59"/>
      <c r="AV43" s="59"/>
      <c r="AW43" s="18"/>
    </row>
    <row r="44" spans="1:49" s="20" customFormat="1" ht="15">
      <c r="A44" s="13"/>
      <c r="B44" s="59"/>
      <c r="C44" s="59"/>
      <c r="D44" s="59"/>
      <c r="E44" s="59"/>
      <c r="F44" s="59"/>
      <c r="G44" s="59"/>
      <c r="H44" s="59"/>
      <c r="I44" s="59"/>
      <c r="J44" s="298" t="s">
        <v>2843</v>
      </c>
      <c r="K44" s="297" t="s">
        <v>132</v>
      </c>
      <c r="L44" s="231" t="s">
        <v>2844</v>
      </c>
      <c r="M44" s="231"/>
      <c r="N44" s="295" t="s">
        <v>504</v>
      </c>
      <c r="O44" s="295"/>
      <c r="P44" s="295"/>
      <c r="Q44" s="292"/>
      <c r="R44" s="292" t="s">
        <v>6</v>
      </c>
      <c r="S44" s="292"/>
      <c r="T44" s="292"/>
      <c r="U44" s="315"/>
      <c r="V44" s="206"/>
      <c r="W44" s="399"/>
      <c r="X44" s="59"/>
      <c r="Y44" s="59"/>
      <c r="Z44" s="59"/>
      <c r="AA44" s="40"/>
      <c r="AB44" s="15"/>
      <c r="AC44" s="59"/>
      <c r="AD44" s="59"/>
      <c r="AE44" s="399"/>
      <c r="AF44" s="59"/>
      <c r="AG44" s="59"/>
      <c r="AH44" s="59"/>
      <c r="AI44" s="40"/>
      <c r="AJ44" s="15"/>
      <c r="AK44" s="59"/>
      <c r="AL44" s="59"/>
      <c r="AM44" s="59"/>
      <c r="AN44" s="59"/>
      <c r="AO44" s="59"/>
      <c r="AP44" s="59"/>
      <c r="AQ44" s="59"/>
      <c r="AR44" s="59"/>
      <c r="AS44" s="59"/>
      <c r="AT44" s="59"/>
      <c r="AU44" s="59"/>
      <c r="AV44" s="59"/>
      <c r="AW44" s="18"/>
    </row>
    <row r="45" spans="1:49" s="20" customFormat="1" ht="15">
      <c r="A45" s="13"/>
      <c r="B45" s="59"/>
      <c r="C45" s="59"/>
      <c r="D45" s="59"/>
      <c r="E45" s="59"/>
      <c r="F45" s="59"/>
      <c r="G45" s="59"/>
      <c r="H45" s="59"/>
      <c r="I45" s="59"/>
      <c r="J45" s="298" t="s">
        <v>2845</v>
      </c>
      <c r="K45" s="297" t="s">
        <v>128</v>
      </c>
      <c r="L45" s="231" t="s">
        <v>2846</v>
      </c>
      <c r="M45" s="231"/>
      <c r="N45" s="295" t="s">
        <v>504</v>
      </c>
      <c r="O45" s="295"/>
      <c r="P45" s="295"/>
      <c r="Q45" s="292"/>
      <c r="R45" s="292" t="s">
        <v>6</v>
      </c>
      <c r="S45" s="292"/>
      <c r="T45" s="292"/>
      <c r="U45" s="315"/>
      <c r="V45" s="206"/>
      <c r="W45" s="399"/>
      <c r="X45" s="59"/>
      <c r="Y45" s="59"/>
      <c r="Z45" s="59"/>
      <c r="AA45" s="40"/>
      <c r="AB45" s="15"/>
      <c r="AC45" s="59"/>
      <c r="AD45" s="59"/>
      <c r="AE45" s="399"/>
      <c r="AF45" s="59"/>
      <c r="AG45" s="59"/>
      <c r="AH45" s="59"/>
      <c r="AI45" s="40"/>
      <c r="AJ45" s="15"/>
      <c r="AK45" s="59"/>
      <c r="AL45" s="59"/>
      <c r="AM45" s="59"/>
      <c r="AN45" s="59"/>
      <c r="AO45" s="59"/>
      <c r="AP45" s="59"/>
      <c r="AQ45" s="59"/>
      <c r="AR45" s="59"/>
      <c r="AS45" s="59"/>
      <c r="AT45" s="59"/>
      <c r="AU45" s="59"/>
      <c r="AV45" s="59"/>
      <c r="AW45" s="18"/>
    </row>
    <row r="46" spans="1:49" s="20" customFormat="1" ht="15">
      <c r="A46" s="13"/>
      <c r="B46" s="59"/>
      <c r="C46" s="59"/>
      <c r="D46" s="59"/>
      <c r="E46" s="59"/>
      <c r="F46" s="59"/>
      <c r="G46" s="59"/>
      <c r="H46" s="59"/>
      <c r="I46" s="59"/>
      <c r="J46" s="298" t="s">
        <v>2847</v>
      </c>
      <c r="K46" s="297" t="s">
        <v>132</v>
      </c>
      <c r="L46" s="231" t="s">
        <v>2848</v>
      </c>
      <c r="M46" s="231"/>
      <c r="N46" s="295" t="s">
        <v>504</v>
      </c>
      <c r="O46" s="295"/>
      <c r="P46" s="295"/>
      <c r="Q46" s="292"/>
      <c r="R46" s="292" t="s">
        <v>6</v>
      </c>
      <c r="S46" s="292"/>
      <c r="T46" s="292"/>
      <c r="U46" s="315"/>
      <c r="V46" s="206"/>
      <c r="W46" s="399"/>
      <c r="X46" s="59"/>
      <c r="Y46" s="59"/>
      <c r="Z46" s="59"/>
      <c r="AA46" s="40"/>
      <c r="AB46" s="15"/>
      <c r="AC46" s="59"/>
      <c r="AD46" s="59"/>
      <c r="AE46" s="399"/>
      <c r="AF46" s="59"/>
      <c r="AG46" s="59"/>
      <c r="AH46" s="59"/>
      <c r="AI46" s="40"/>
      <c r="AJ46" s="15"/>
      <c r="AK46" s="59"/>
      <c r="AL46" s="59"/>
      <c r="AM46" s="59"/>
      <c r="AN46" s="59"/>
      <c r="AO46" s="59"/>
      <c r="AP46" s="59"/>
      <c r="AQ46" s="59"/>
      <c r="AR46" s="59"/>
      <c r="AS46" s="59"/>
      <c r="AT46" s="59"/>
      <c r="AU46" s="59"/>
      <c r="AV46" s="59"/>
      <c r="AW46" s="18"/>
    </row>
    <row r="47" spans="1:49" s="20" customFormat="1" ht="15">
      <c r="A47" s="13"/>
      <c r="B47" s="59"/>
      <c r="C47" s="59"/>
      <c r="D47" s="59"/>
      <c r="E47" s="59"/>
      <c r="F47" s="59"/>
      <c r="G47" s="59"/>
      <c r="H47" s="59"/>
      <c r="I47" s="59"/>
      <c r="J47" s="298" t="s">
        <v>2849</v>
      </c>
      <c r="K47" s="297" t="s">
        <v>132</v>
      </c>
      <c r="L47" s="231" t="s">
        <v>2850</v>
      </c>
      <c r="M47" s="231"/>
      <c r="N47" s="295" t="s">
        <v>504</v>
      </c>
      <c r="O47" s="295"/>
      <c r="P47" s="295"/>
      <c r="Q47" s="292"/>
      <c r="R47" s="292" t="s">
        <v>6</v>
      </c>
      <c r="S47" s="292"/>
      <c r="T47" s="292"/>
      <c r="U47" s="315"/>
      <c r="V47" s="206"/>
      <c r="W47" s="399"/>
      <c r="X47" s="59"/>
      <c r="Y47" s="59"/>
      <c r="Z47" s="59"/>
      <c r="AA47" s="40"/>
      <c r="AB47" s="15"/>
      <c r="AC47" s="59"/>
      <c r="AD47" s="59"/>
      <c r="AE47" s="399"/>
      <c r="AF47" s="59"/>
      <c r="AG47" s="59"/>
      <c r="AH47" s="59"/>
      <c r="AI47" s="40"/>
      <c r="AJ47" s="15"/>
      <c r="AK47" s="59"/>
      <c r="AL47" s="59"/>
      <c r="AM47" s="59"/>
      <c r="AN47" s="59"/>
      <c r="AO47" s="59"/>
      <c r="AP47" s="59"/>
      <c r="AQ47" s="59"/>
      <c r="AR47" s="59"/>
      <c r="AS47" s="59"/>
      <c r="AT47" s="59"/>
      <c r="AU47" s="59"/>
      <c r="AV47" s="59"/>
      <c r="AW47" s="18"/>
    </row>
    <row r="48" spans="1:49" s="20" customFormat="1" ht="15">
      <c r="A48" s="13"/>
      <c r="B48" s="59"/>
      <c r="C48" s="59"/>
      <c r="D48" s="59"/>
      <c r="E48" s="59"/>
      <c r="F48" s="59"/>
      <c r="G48" s="59"/>
      <c r="H48" s="59"/>
      <c r="I48" s="59"/>
      <c r="J48" s="298" t="s">
        <v>2851</v>
      </c>
      <c r="K48" s="297" t="s">
        <v>132</v>
      </c>
      <c r="L48" s="231" t="s">
        <v>2852</v>
      </c>
      <c r="M48" s="231"/>
      <c r="N48" s="295" t="s">
        <v>504</v>
      </c>
      <c r="O48" s="295"/>
      <c r="P48" s="295"/>
      <c r="Q48" s="292"/>
      <c r="R48" s="292" t="s">
        <v>6</v>
      </c>
      <c r="S48" s="292"/>
      <c r="T48" s="292"/>
      <c r="U48" s="315"/>
      <c r="V48" s="206"/>
      <c r="W48" s="399"/>
      <c r="X48" s="59"/>
      <c r="Y48" s="59"/>
      <c r="Z48" s="59"/>
      <c r="AA48" s="40"/>
      <c r="AB48" s="15"/>
      <c r="AC48" s="59"/>
      <c r="AD48" s="59"/>
      <c r="AE48" s="399"/>
      <c r="AF48" s="59"/>
      <c r="AG48" s="59"/>
      <c r="AH48" s="59"/>
      <c r="AI48" s="40"/>
      <c r="AJ48" s="15"/>
      <c r="AK48" s="59"/>
      <c r="AL48" s="59"/>
      <c r="AM48" s="59"/>
      <c r="AN48" s="59"/>
      <c r="AO48" s="59"/>
      <c r="AP48" s="59"/>
      <c r="AQ48" s="59"/>
      <c r="AR48" s="59"/>
      <c r="AS48" s="59"/>
      <c r="AT48" s="59"/>
      <c r="AU48" s="59"/>
      <c r="AV48" s="59"/>
      <c r="AW48" s="18"/>
    </row>
    <row r="49" spans="1:49" s="20" customFormat="1" ht="15">
      <c r="A49" s="13"/>
      <c r="B49" s="59"/>
      <c r="C49" s="59"/>
      <c r="D49" s="59"/>
      <c r="E49" s="59"/>
      <c r="F49" s="59"/>
      <c r="G49" s="59"/>
      <c r="H49" s="59"/>
      <c r="I49" s="59"/>
      <c r="J49" s="298" t="s">
        <v>2853</v>
      </c>
      <c r="K49" s="297" t="s">
        <v>132</v>
      </c>
      <c r="L49" s="231" t="s">
        <v>2854</v>
      </c>
      <c r="M49" s="231"/>
      <c r="N49" s="295" t="s">
        <v>504</v>
      </c>
      <c r="O49" s="295"/>
      <c r="P49" s="295"/>
      <c r="Q49" s="292"/>
      <c r="R49" s="292" t="s">
        <v>6</v>
      </c>
      <c r="S49" s="292"/>
      <c r="T49" s="292"/>
      <c r="U49" s="315"/>
      <c r="V49" s="206"/>
      <c r="W49" s="399"/>
      <c r="X49" s="59"/>
      <c r="Y49" s="59"/>
      <c r="Z49" s="59"/>
      <c r="AA49" s="40"/>
      <c r="AB49" s="15"/>
      <c r="AC49" s="59"/>
      <c r="AD49" s="59"/>
      <c r="AE49" s="399"/>
      <c r="AF49" s="59"/>
      <c r="AG49" s="59"/>
      <c r="AH49" s="59"/>
      <c r="AI49" s="40"/>
      <c r="AJ49" s="15"/>
      <c r="AK49" s="59"/>
      <c r="AL49" s="59"/>
      <c r="AM49" s="59"/>
      <c r="AN49" s="59"/>
      <c r="AO49" s="59"/>
      <c r="AP49" s="59"/>
      <c r="AQ49" s="59"/>
      <c r="AR49" s="59"/>
      <c r="AS49" s="59"/>
      <c r="AT49" s="59"/>
      <c r="AU49" s="59"/>
      <c r="AV49" s="59"/>
      <c r="AW49" s="18"/>
    </row>
    <row r="50" spans="1:49" s="20" customFormat="1" ht="15">
      <c r="A50" s="13"/>
      <c r="B50" s="59"/>
      <c r="C50" s="59"/>
      <c r="D50" s="59"/>
      <c r="E50" s="59"/>
      <c r="F50" s="59"/>
      <c r="G50" s="59"/>
      <c r="H50" s="59"/>
      <c r="I50" s="59"/>
      <c r="J50" s="298" t="s">
        <v>2855</v>
      </c>
      <c r="K50" s="297" t="s">
        <v>132</v>
      </c>
      <c r="L50" s="231" t="s">
        <v>2856</v>
      </c>
      <c r="M50" s="231"/>
      <c r="N50" s="295" t="s">
        <v>504</v>
      </c>
      <c r="O50" s="295"/>
      <c r="P50" s="295"/>
      <c r="Q50" s="292"/>
      <c r="R50" s="292" t="s">
        <v>6</v>
      </c>
      <c r="S50" s="292"/>
      <c r="T50" s="292"/>
      <c r="U50" s="315"/>
      <c r="V50" s="206"/>
      <c r="W50" s="399"/>
      <c r="X50" s="59"/>
      <c r="Y50" s="59"/>
      <c r="Z50" s="59"/>
      <c r="AA50" s="40"/>
      <c r="AB50" s="15"/>
      <c r="AC50" s="59"/>
      <c r="AD50" s="59"/>
      <c r="AE50" s="399"/>
      <c r="AF50" s="59"/>
      <c r="AG50" s="59"/>
      <c r="AH50" s="59"/>
      <c r="AI50" s="40"/>
      <c r="AJ50" s="15"/>
      <c r="AK50" s="59"/>
      <c r="AL50" s="59"/>
      <c r="AM50" s="59"/>
      <c r="AN50" s="59"/>
      <c r="AO50" s="59"/>
      <c r="AP50" s="59"/>
      <c r="AQ50" s="59"/>
      <c r="AR50" s="59"/>
      <c r="AS50" s="59"/>
      <c r="AT50" s="59"/>
      <c r="AU50" s="59"/>
      <c r="AV50" s="59"/>
      <c r="AW50" s="18"/>
    </row>
    <row r="51" spans="1:49" s="20" customFormat="1" ht="15">
      <c r="A51" s="13"/>
      <c r="B51" s="59"/>
      <c r="C51" s="59"/>
      <c r="D51" s="59"/>
      <c r="E51" s="59"/>
      <c r="F51" s="59"/>
      <c r="G51" s="59"/>
      <c r="H51" s="59"/>
      <c r="I51" s="59"/>
      <c r="J51" s="298" t="s">
        <v>2857</v>
      </c>
      <c r="K51" s="297" t="s">
        <v>132</v>
      </c>
      <c r="L51" s="231" t="s">
        <v>2858</v>
      </c>
      <c r="M51" s="231"/>
      <c r="N51" s="295" t="s">
        <v>504</v>
      </c>
      <c r="O51" s="295"/>
      <c r="P51" s="295"/>
      <c r="Q51" s="292"/>
      <c r="R51" s="292" t="s">
        <v>6</v>
      </c>
      <c r="S51" s="292"/>
      <c r="T51" s="292"/>
      <c r="U51" s="315"/>
      <c r="V51" s="206"/>
      <c r="W51" s="399"/>
      <c r="X51" s="59"/>
      <c r="Y51" s="59"/>
      <c r="Z51" s="59"/>
      <c r="AA51" s="40"/>
      <c r="AB51" s="15"/>
      <c r="AC51" s="59"/>
      <c r="AD51" s="59"/>
      <c r="AE51" s="399"/>
      <c r="AF51" s="59"/>
      <c r="AG51" s="59"/>
      <c r="AH51" s="59"/>
      <c r="AI51" s="40"/>
      <c r="AJ51" s="15"/>
      <c r="AK51" s="59"/>
      <c r="AL51" s="59"/>
      <c r="AM51" s="59"/>
      <c r="AN51" s="59"/>
      <c r="AO51" s="59"/>
      <c r="AP51" s="59"/>
      <c r="AQ51" s="59"/>
      <c r="AR51" s="59"/>
      <c r="AS51" s="59"/>
      <c r="AT51" s="59"/>
      <c r="AU51" s="59"/>
      <c r="AV51" s="59"/>
      <c r="AW51" s="18"/>
    </row>
    <row r="52" spans="1:49" s="20" customFormat="1" ht="15">
      <c r="A52" s="13"/>
      <c r="B52" s="59"/>
      <c r="C52" s="59"/>
      <c r="D52" s="59"/>
      <c r="E52" s="59"/>
      <c r="F52" s="59"/>
      <c r="G52" s="59"/>
      <c r="H52" s="59"/>
      <c r="I52" s="59"/>
      <c r="J52" s="298" t="s">
        <v>2859</v>
      </c>
      <c r="K52" s="297" t="s">
        <v>132</v>
      </c>
      <c r="L52" s="231" t="s">
        <v>2860</v>
      </c>
      <c r="M52" s="231"/>
      <c r="N52" s="295" t="s">
        <v>504</v>
      </c>
      <c r="O52" s="295"/>
      <c r="P52" s="295"/>
      <c r="Q52" s="292"/>
      <c r="R52" s="292" t="s">
        <v>6</v>
      </c>
      <c r="S52" s="292"/>
      <c r="T52" s="292"/>
      <c r="U52" s="315"/>
      <c r="V52" s="206"/>
      <c r="W52" s="399"/>
      <c r="X52" s="59"/>
      <c r="Y52" s="59"/>
      <c r="Z52" s="59"/>
      <c r="AA52" s="40"/>
      <c r="AB52" s="15"/>
      <c r="AC52" s="59"/>
      <c r="AD52" s="59"/>
      <c r="AE52" s="399"/>
      <c r="AF52" s="59"/>
      <c r="AG52" s="59"/>
      <c r="AH52" s="59"/>
      <c r="AI52" s="40"/>
      <c r="AJ52" s="15"/>
      <c r="AK52" s="59"/>
      <c r="AL52" s="59"/>
      <c r="AM52" s="59"/>
      <c r="AN52" s="59"/>
      <c r="AO52" s="59"/>
      <c r="AP52" s="59"/>
      <c r="AQ52" s="59"/>
      <c r="AR52" s="59"/>
      <c r="AS52" s="59"/>
      <c r="AT52" s="59"/>
      <c r="AU52" s="59"/>
      <c r="AV52" s="59"/>
      <c r="AW52" s="18"/>
    </row>
    <row r="53" spans="1:49" s="20" customFormat="1" ht="15">
      <c r="A53" s="13"/>
      <c r="B53" s="59"/>
      <c r="C53" s="59"/>
      <c r="D53" s="59"/>
      <c r="E53" s="59"/>
      <c r="F53" s="59"/>
      <c r="G53" s="59"/>
      <c r="H53" s="59"/>
      <c r="I53" s="59"/>
      <c r="J53" s="298" t="s">
        <v>2861</v>
      </c>
      <c r="K53" s="297" t="s">
        <v>132</v>
      </c>
      <c r="L53" s="231" t="s">
        <v>2862</v>
      </c>
      <c r="M53" s="231"/>
      <c r="N53" s="295" t="s">
        <v>504</v>
      </c>
      <c r="O53" s="295"/>
      <c r="P53" s="295"/>
      <c r="Q53" s="292"/>
      <c r="R53" s="292" t="s">
        <v>6</v>
      </c>
      <c r="S53" s="292"/>
      <c r="T53" s="292"/>
      <c r="U53" s="315"/>
      <c r="V53" s="206"/>
      <c r="W53" s="399"/>
      <c r="X53" s="59"/>
      <c r="Y53" s="59"/>
      <c r="Z53" s="59"/>
      <c r="AA53" s="40"/>
      <c r="AB53" s="15"/>
      <c r="AC53" s="59"/>
      <c r="AD53" s="59"/>
      <c r="AE53" s="399"/>
      <c r="AF53" s="59"/>
      <c r="AG53" s="59"/>
      <c r="AH53" s="59"/>
      <c r="AI53" s="40"/>
      <c r="AJ53" s="15"/>
      <c r="AK53" s="59"/>
      <c r="AL53" s="59"/>
      <c r="AM53" s="59"/>
      <c r="AN53" s="59"/>
      <c r="AO53" s="59"/>
      <c r="AP53" s="59"/>
      <c r="AQ53" s="59"/>
      <c r="AR53" s="59"/>
      <c r="AS53" s="59"/>
      <c r="AT53" s="59"/>
      <c r="AU53" s="59"/>
      <c r="AV53" s="59"/>
      <c r="AW53" s="18"/>
    </row>
    <row r="54" spans="1:49" s="20" customFormat="1" ht="15">
      <c r="A54" s="13"/>
      <c r="B54" s="59"/>
      <c r="C54" s="59"/>
      <c r="D54" s="59"/>
      <c r="E54" s="59"/>
      <c r="F54" s="59"/>
      <c r="G54" s="59"/>
      <c r="H54" s="59"/>
      <c r="I54" s="59"/>
      <c r="J54" s="298" t="s">
        <v>2863</v>
      </c>
      <c r="K54" s="297" t="s">
        <v>132</v>
      </c>
      <c r="L54" s="231" t="s">
        <v>2864</v>
      </c>
      <c r="M54" s="231"/>
      <c r="N54" s="295" t="s">
        <v>504</v>
      </c>
      <c r="O54" s="295"/>
      <c r="P54" s="295"/>
      <c r="Q54" s="292"/>
      <c r="R54" s="292" t="s">
        <v>6</v>
      </c>
      <c r="S54" s="292"/>
      <c r="T54" s="292"/>
      <c r="U54" s="315"/>
      <c r="V54" s="206"/>
      <c r="W54" s="399"/>
      <c r="X54" s="59"/>
      <c r="Y54" s="59"/>
      <c r="Z54" s="59"/>
      <c r="AA54" s="40"/>
      <c r="AB54" s="15"/>
      <c r="AC54" s="59"/>
      <c r="AD54" s="59"/>
      <c r="AE54" s="399"/>
      <c r="AF54" s="59"/>
      <c r="AG54" s="59"/>
      <c r="AH54" s="59"/>
      <c r="AI54" s="40"/>
      <c r="AJ54" s="15"/>
      <c r="AK54" s="59"/>
      <c r="AL54" s="59"/>
      <c r="AM54" s="59"/>
      <c r="AN54" s="59"/>
      <c r="AO54" s="59"/>
      <c r="AP54" s="59"/>
      <c r="AQ54" s="59"/>
      <c r="AR54" s="59"/>
      <c r="AS54" s="59"/>
      <c r="AT54" s="59"/>
      <c r="AU54" s="59"/>
      <c r="AV54" s="59"/>
      <c r="AW54" s="18"/>
    </row>
    <row r="55" spans="1:49" s="20" customFormat="1" ht="15">
      <c r="A55" s="13"/>
      <c r="B55" s="59"/>
      <c r="C55" s="59"/>
      <c r="D55" s="59"/>
      <c r="E55" s="59"/>
      <c r="F55" s="59"/>
      <c r="G55" s="59"/>
      <c r="H55" s="59"/>
      <c r="I55" s="59"/>
      <c r="J55" s="298" t="s">
        <v>2865</v>
      </c>
      <c r="K55" s="297" t="s">
        <v>132</v>
      </c>
      <c r="L55" s="231" t="s">
        <v>2866</v>
      </c>
      <c r="M55" s="231"/>
      <c r="N55" s="295" t="s">
        <v>504</v>
      </c>
      <c r="O55" s="295"/>
      <c r="P55" s="295"/>
      <c r="Q55" s="292"/>
      <c r="R55" s="292" t="s">
        <v>6</v>
      </c>
      <c r="S55" s="292"/>
      <c r="T55" s="292"/>
      <c r="U55" s="315"/>
      <c r="V55" s="206"/>
      <c r="W55" s="399"/>
      <c r="X55" s="59"/>
      <c r="Y55" s="59"/>
      <c r="Z55" s="59"/>
      <c r="AA55" s="40"/>
      <c r="AB55" s="15"/>
      <c r="AC55" s="59"/>
      <c r="AD55" s="59"/>
      <c r="AE55" s="399"/>
      <c r="AF55" s="59"/>
      <c r="AG55" s="59"/>
      <c r="AH55" s="59"/>
      <c r="AI55" s="40"/>
      <c r="AJ55" s="15"/>
      <c r="AK55" s="59"/>
      <c r="AL55" s="59"/>
      <c r="AM55" s="59"/>
      <c r="AN55" s="59"/>
      <c r="AO55" s="59"/>
      <c r="AP55" s="59"/>
      <c r="AQ55" s="59"/>
      <c r="AR55" s="59"/>
      <c r="AS55" s="59"/>
      <c r="AT55" s="59"/>
      <c r="AU55" s="59"/>
      <c r="AV55" s="59"/>
      <c r="AW55" s="18"/>
    </row>
    <row r="56" spans="1:49" s="20" customFormat="1" ht="15">
      <c r="A56" s="13"/>
      <c r="B56" s="59"/>
      <c r="C56" s="59"/>
      <c r="D56" s="59"/>
      <c r="E56" s="59"/>
      <c r="F56" s="59"/>
      <c r="G56" s="59"/>
      <c r="H56" s="59"/>
      <c r="I56" s="59"/>
      <c r="J56" s="298" t="s">
        <v>2867</v>
      </c>
      <c r="K56" s="297" t="s">
        <v>132</v>
      </c>
      <c r="L56" s="231" t="s">
        <v>2868</v>
      </c>
      <c r="M56" s="231"/>
      <c r="N56" s="295" t="s">
        <v>504</v>
      </c>
      <c r="O56" s="295"/>
      <c r="P56" s="295"/>
      <c r="Q56" s="292"/>
      <c r="R56" s="292" t="s">
        <v>6</v>
      </c>
      <c r="S56" s="292"/>
      <c r="T56" s="292"/>
      <c r="U56" s="315"/>
      <c r="V56" s="206"/>
      <c r="W56" s="399"/>
      <c r="X56" s="59"/>
      <c r="Y56" s="59"/>
      <c r="Z56" s="59"/>
      <c r="AA56" s="40"/>
      <c r="AB56" s="15"/>
      <c r="AC56" s="59"/>
      <c r="AD56" s="59"/>
      <c r="AE56" s="399"/>
      <c r="AF56" s="59"/>
      <c r="AG56" s="59"/>
      <c r="AH56" s="59"/>
      <c r="AI56" s="40"/>
      <c r="AJ56" s="15"/>
      <c r="AK56" s="59"/>
      <c r="AL56" s="59"/>
      <c r="AM56" s="59"/>
      <c r="AN56" s="59"/>
      <c r="AO56" s="59"/>
      <c r="AP56" s="59"/>
      <c r="AQ56" s="59"/>
      <c r="AR56" s="59"/>
      <c r="AS56" s="59"/>
      <c r="AT56" s="59"/>
      <c r="AU56" s="59"/>
      <c r="AV56" s="59"/>
      <c r="AW56" s="18"/>
    </row>
    <row r="57" spans="1:49" s="20" customFormat="1" ht="15">
      <c r="A57" s="13"/>
      <c r="B57" s="59"/>
      <c r="C57" s="59"/>
      <c r="D57" s="59"/>
      <c r="E57" s="59"/>
      <c r="F57" s="59"/>
      <c r="G57" s="59"/>
      <c r="H57" s="59"/>
      <c r="I57" s="59"/>
      <c r="J57" s="218"/>
      <c r="K57" s="399"/>
      <c r="L57" s="204"/>
      <c r="M57" s="204"/>
      <c r="N57" s="126"/>
      <c r="O57" s="126"/>
      <c r="P57" s="126"/>
      <c r="Q57" s="40"/>
      <c r="R57" s="40"/>
      <c r="S57" s="40"/>
      <c r="T57" s="40"/>
      <c r="U57" s="206"/>
      <c r="V57" s="206"/>
      <c r="W57" s="399"/>
      <c r="X57" s="59"/>
      <c r="Y57" s="59"/>
      <c r="Z57" s="59"/>
      <c r="AA57" s="40"/>
      <c r="AB57" s="15"/>
      <c r="AC57" s="59"/>
      <c r="AD57" s="59"/>
      <c r="AE57" s="399"/>
      <c r="AF57" s="59"/>
      <c r="AG57" s="59"/>
      <c r="AH57" s="59"/>
      <c r="AI57" s="40"/>
      <c r="AJ57" s="15"/>
      <c r="AK57" s="59"/>
      <c r="AL57" s="59"/>
      <c r="AM57" s="59"/>
      <c r="AN57" s="59"/>
      <c r="AO57" s="59"/>
      <c r="AP57" s="59"/>
      <c r="AQ57" s="59"/>
      <c r="AR57" s="59"/>
      <c r="AS57" s="59"/>
      <c r="AT57" s="59"/>
      <c r="AU57" s="59"/>
      <c r="AV57" s="59"/>
      <c r="AW57" s="18"/>
    </row>
    <row r="58" spans="1:49" s="20" customFormat="1" ht="15">
      <c r="A58" s="13"/>
      <c r="B58" s="59"/>
      <c r="C58" s="59"/>
      <c r="D58" s="59"/>
      <c r="E58" s="59"/>
      <c r="F58" s="59"/>
      <c r="G58" s="59"/>
      <c r="H58" s="59"/>
      <c r="I58" s="59"/>
      <c r="J58" s="218"/>
      <c r="K58" s="399"/>
      <c r="L58" s="204"/>
      <c r="M58" s="204"/>
      <c r="N58" s="126"/>
      <c r="O58" s="126"/>
      <c r="P58" s="126"/>
      <c r="Q58" s="40"/>
      <c r="R58" s="40"/>
      <c r="S58" s="40"/>
      <c r="T58" s="40"/>
      <c r="U58" s="206"/>
      <c r="V58" s="206"/>
      <c r="W58" s="399"/>
      <c r="X58" s="59"/>
      <c r="Y58" s="59"/>
      <c r="Z58" s="59"/>
      <c r="AA58" s="40"/>
      <c r="AB58" s="15"/>
      <c r="AC58" s="59"/>
      <c r="AD58" s="59"/>
      <c r="AE58" s="399"/>
      <c r="AF58" s="59"/>
      <c r="AG58" s="59"/>
      <c r="AH58" s="59"/>
      <c r="AI58" s="40"/>
      <c r="AJ58" s="15"/>
      <c r="AK58" s="59"/>
      <c r="AL58" s="59"/>
      <c r="AM58" s="59"/>
      <c r="AN58" s="59"/>
      <c r="AO58" s="59"/>
      <c r="AP58" s="59"/>
      <c r="AQ58" s="59"/>
      <c r="AR58" s="59"/>
      <c r="AS58" s="59"/>
      <c r="AT58" s="59"/>
      <c r="AU58" s="59"/>
      <c r="AV58" s="59"/>
      <c r="AW58" s="18"/>
    </row>
    <row r="59" spans="1:49" s="20" customFormat="1" ht="15">
      <c r="A59" s="13">
        <f t="shared" ref="A59:A101" si="0">ROW() - 6</f>
        <v>53</v>
      </c>
      <c r="B59" s="59"/>
      <c r="C59" s="59"/>
      <c r="D59" s="59"/>
      <c r="E59" s="59"/>
      <c r="F59" s="59"/>
      <c r="G59" s="59"/>
      <c r="H59" s="59"/>
      <c r="I59" s="59"/>
      <c r="J59" s="218"/>
      <c r="K59" s="399"/>
      <c r="L59" s="204"/>
      <c r="M59" s="204"/>
      <c r="N59" s="126"/>
      <c r="O59" s="126"/>
      <c r="P59" s="126"/>
      <c r="Q59" s="40"/>
      <c r="R59" s="40"/>
      <c r="S59" s="40"/>
      <c r="T59" s="40"/>
      <c r="U59" s="206"/>
      <c r="V59" s="206"/>
      <c r="W59" s="399"/>
      <c r="X59" s="59"/>
      <c r="Y59" s="59"/>
      <c r="Z59" s="59"/>
      <c r="AA59" s="40"/>
      <c r="AB59" s="15"/>
      <c r="AC59" s="59"/>
      <c r="AD59" s="59"/>
      <c r="AE59" s="399"/>
      <c r="AF59" s="59"/>
      <c r="AG59" s="59"/>
      <c r="AH59" s="59"/>
      <c r="AI59" s="40"/>
      <c r="AJ59" s="15"/>
      <c r="AK59" s="59"/>
      <c r="AL59" s="59"/>
      <c r="AM59" s="59"/>
      <c r="AN59" s="59"/>
      <c r="AO59" s="59"/>
      <c r="AP59" s="59"/>
      <c r="AQ59" s="59"/>
      <c r="AR59" s="59"/>
      <c r="AS59" s="59"/>
      <c r="AT59" s="59"/>
      <c r="AU59" s="59"/>
      <c r="AV59" s="59"/>
      <c r="AW59" s="18"/>
    </row>
    <row r="60" spans="1:49" s="20" customFormat="1" ht="15">
      <c r="A60" s="13"/>
      <c r="B60" s="59"/>
      <c r="C60" s="59"/>
      <c r="D60" s="59"/>
      <c r="E60" s="59"/>
      <c r="F60" s="59"/>
      <c r="G60" s="59"/>
      <c r="H60" s="59"/>
      <c r="I60" s="59"/>
      <c r="J60" s="218"/>
      <c r="K60" s="399"/>
      <c r="L60" s="204"/>
      <c r="M60" s="204"/>
      <c r="N60" s="126"/>
      <c r="O60" s="126"/>
      <c r="P60" s="126"/>
      <c r="Q60" s="40"/>
      <c r="R60" s="40"/>
      <c r="S60" s="40"/>
      <c r="T60" s="40"/>
      <c r="U60" s="206"/>
      <c r="V60" s="206"/>
      <c r="W60" s="399"/>
      <c r="X60" s="59"/>
      <c r="Y60" s="59"/>
      <c r="Z60" s="59"/>
      <c r="AA60" s="40"/>
      <c r="AB60" s="15"/>
      <c r="AC60" s="59"/>
      <c r="AD60" s="59"/>
      <c r="AE60" s="399"/>
      <c r="AF60" s="59"/>
      <c r="AG60" s="59"/>
      <c r="AH60" s="59"/>
      <c r="AI60" s="40"/>
      <c r="AJ60" s="15"/>
      <c r="AK60" s="59"/>
      <c r="AL60" s="59"/>
      <c r="AM60" s="59"/>
      <c r="AN60" s="59"/>
      <c r="AO60" s="59"/>
      <c r="AP60" s="59"/>
      <c r="AQ60" s="59"/>
      <c r="AR60" s="59"/>
      <c r="AS60" s="59"/>
      <c r="AT60" s="59"/>
      <c r="AU60" s="59"/>
      <c r="AV60" s="59"/>
      <c r="AW60" s="18"/>
    </row>
    <row r="61" spans="1:49" s="20" customFormat="1" ht="15">
      <c r="A61" s="13"/>
      <c r="B61" s="59"/>
      <c r="C61" s="59"/>
      <c r="D61" s="59"/>
      <c r="E61" s="59"/>
      <c r="F61" s="59"/>
      <c r="G61" s="59"/>
      <c r="H61" s="59"/>
      <c r="I61" s="59"/>
      <c r="J61" s="218"/>
      <c r="K61" s="399"/>
      <c r="L61" s="204"/>
      <c r="M61" s="204"/>
      <c r="N61" s="126"/>
      <c r="O61" s="126"/>
      <c r="P61" s="126"/>
      <c r="Q61" s="40"/>
      <c r="R61" s="40"/>
      <c r="S61" s="40"/>
      <c r="T61" s="40"/>
      <c r="U61" s="206"/>
      <c r="V61" s="206"/>
      <c r="W61" s="399"/>
      <c r="X61" s="59"/>
      <c r="Y61" s="59"/>
      <c r="Z61" s="59"/>
      <c r="AA61" s="40"/>
      <c r="AB61" s="15"/>
      <c r="AC61" s="59"/>
      <c r="AD61" s="59"/>
      <c r="AE61" s="399"/>
      <c r="AF61" s="59"/>
      <c r="AG61" s="59"/>
      <c r="AH61" s="59"/>
      <c r="AI61" s="40"/>
      <c r="AJ61" s="15"/>
      <c r="AK61" s="59"/>
      <c r="AL61" s="59"/>
      <c r="AM61" s="59"/>
      <c r="AN61" s="59"/>
      <c r="AO61" s="59"/>
      <c r="AP61" s="59"/>
      <c r="AQ61" s="59"/>
      <c r="AR61" s="59"/>
      <c r="AS61" s="59"/>
      <c r="AT61" s="59"/>
      <c r="AU61" s="59"/>
      <c r="AV61" s="59"/>
      <c r="AW61" s="18"/>
    </row>
    <row r="62" spans="1:49" s="20" customFormat="1" ht="15">
      <c r="A62" s="13">
        <f t="shared" si="0"/>
        <v>56</v>
      </c>
      <c r="B62" s="59"/>
      <c r="C62" s="59"/>
      <c r="D62" s="59"/>
      <c r="E62" s="59"/>
      <c r="F62" s="59"/>
      <c r="G62" s="59"/>
      <c r="H62" s="59"/>
      <c r="I62" s="59"/>
      <c r="J62" s="218"/>
      <c r="K62" s="399"/>
      <c r="L62" s="204"/>
      <c r="M62" s="204"/>
      <c r="N62" s="40"/>
      <c r="O62" s="126"/>
      <c r="P62" s="126"/>
      <c r="Q62" s="40"/>
      <c r="R62" s="40"/>
      <c r="S62" s="40"/>
      <c r="T62" s="40"/>
      <c r="U62" s="206"/>
      <c r="V62" s="206"/>
      <c r="W62" s="399"/>
      <c r="X62" s="59"/>
      <c r="Y62" s="59"/>
      <c r="Z62" s="59"/>
      <c r="AA62" s="40"/>
      <c r="AB62" s="15"/>
      <c r="AC62" s="59"/>
      <c r="AD62" s="59"/>
      <c r="AE62" s="399"/>
      <c r="AF62" s="59"/>
      <c r="AG62" s="59"/>
      <c r="AH62" s="59"/>
      <c r="AI62" s="40"/>
      <c r="AJ62" s="15"/>
      <c r="AK62" s="59"/>
      <c r="AL62" s="59"/>
      <c r="AM62" s="59"/>
      <c r="AN62" s="59"/>
      <c r="AO62" s="59"/>
      <c r="AP62" s="59"/>
      <c r="AQ62" s="59"/>
      <c r="AR62" s="59"/>
      <c r="AS62" s="59"/>
      <c r="AT62" s="59"/>
      <c r="AU62" s="59"/>
      <c r="AV62" s="59"/>
      <c r="AW62" s="18"/>
    </row>
    <row r="63" spans="1:49" s="20" customFormat="1" ht="15">
      <c r="A63" s="13">
        <f t="shared" si="0"/>
        <v>57</v>
      </c>
      <c r="B63" s="59"/>
      <c r="C63" s="59"/>
      <c r="D63" s="59"/>
      <c r="E63" s="59"/>
      <c r="F63" s="59"/>
      <c r="G63" s="59"/>
      <c r="H63" s="59"/>
      <c r="I63" s="59"/>
      <c r="J63" s="218"/>
      <c r="K63" s="399"/>
      <c r="L63" s="204"/>
      <c r="M63" s="204"/>
      <c r="N63" s="126"/>
      <c r="O63" s="126"/>
      <c r="P63" s="126"/>
      <c r="Q63" s="40"/>
      <c r="R63" s="40"/>
      <c r="S63" s="40"/>
      <c r="T63" s="40"/>
      <c r="U63" s="206"/>
      <c r="V63" s="206"/>
      <c r="W63" s="399"/>
      <c r="X63" s="59"/>
      <c r="Y63" s="59"/>
      <c r="Z63" s="59"/>
      <c r="AA63" s="40"/>
      <c r="AB63" s="15"/>
      <c r="AC63" s="59"/>
      <c r="AD63" s="59"/>
      <c r="AE63" s="399"/>
      <c r="AF63" s="59"/>
      <c r="AG63" s="59"/>
      <c r="AH63" s="59"/>
      <c r="AI63" s="40"/>
      <c r="AJ63" s="15"/>
      <c r="AK63" s="59"/>
      <c r="AL63" s="59"/>
      <c r="AM63" s="59"/>
      <c r="AN63" s="59"/>
      <c r="AO63" s="59"/>
      <c r="AP63" s="59"/>
      <c r="AQ63" s="59"/>
      <c r="AR63" s="59"/>
      <c r="AS63" s="59"/>
      <c r="AT63" s="59"/>
      <c r="AU63" s="59"/>
      <c r="AV63" s="59"/>
      <c r="AW63" s="18"/>
    </row>
    <row r="64" spans="1:49" s="20" customFormat="1" ht="15">
      <c r="A64" s="13">
        <f t="shared" si="0"/>
        <v>58</v>
      </c>
      <c r="B64" s="59"/>
      <c r="C64" s="59"/>
      <c r="D64" s="59"/>
      <c r="E64" s="59"/>
      <c r="F64" s="59"/>
      <c r="G64" s="59"/>
      <c r="H64" s="59"/>
      <c r="I64" s="59"/>
      <c r="J64" s="218"/>
      <c r="K64" s="399"/>
      <c r="L64" s="204"/>
      <c r="M64" s="204"/>
      <c r="N64" s="126"/>
      <c r="O64" s="126"/>
      <c r="P64" s="126"/>
      <c r="Q64" s="40"/>
      <c r="R64" s="40"/>
      <c r="S64" s="40"/>
      <c r="T64" s="40"/>
      <c r="U64" s="205"/>
      <c r="V64" s="206"/>
      <c r="W64" s="399"/>
      <c r="X64" s="59"/>
      <c r="Y64" s="59"/>
      <c r="Z64" s="59"/>
      <c r="AA64" s="40"/>
      <c r="AB64" s="15"/>
      <c r="AC64" s="59"/>
      <c r="AD64" s="59"/>
      <c r="AE64" s="399"/>
      <c r="AF64" s="59"/>
      <c r="AG64" s="59"/>
      <c r="AH64" s="59"/>
      <c r="AI64" s="40"/>
      <c r="AJ64" s="15"/>
      <c r="AK64" s="59"/>
      <c r="AL64" s="59"/>
      <c r="AM64" s="59"/>
      <c r="AN64" s="59"/>
      <c r="AO64" s="59"/>
      <c r="AP64" s="59"/>
      <c r="AQ64" s="59"/>
      <c r="AR64" s="59"/>
      <c r="AS64" s="59"/>
      <c r="AT64" s="59"/>
      <c r="AU64" s="59"/>
      <c r="AV64" s="59"/>
      <c r="AW64" s="18">
        <f t="shared" ref="AW64:AW140" si="1">LEN(L64)</f>
        <v>0</v>
      </c>
    </row>
    <row r="65" spans="1:87" ht="15">
      <c r="A65" s="13">
        <f t="shared" si="0"/>
        <v>59</v>
      </c>
      <c r="B65" s="65"/>
      <c r="C65" s="65"/>
      <c r="D65" s="65"/>
      <c r="E65" s="65"/>
      <c r="F65" s="65"/>
      <c r="G65" s="65"/>
      <c r="H65" s="65"/>
      <c r="I65" s="65"/>
      <c r="J65" s="65" t="s">
        <v>821</v>
      </c>
      <c r="K65" s="65"/>
      <c r="L65" s="65"/>
      <c r="M65" s="65"/>
      <c r="N65" s="137"/>
      <c r="O65" s="137"/>
      <c r="P65" s="137"/>
      <c r="Q65" s="137"/>
      <c r="R65" s="137"/>
      <c r="S65" s="137"/>
      <c r="T65" s="137"/>
      <c r="U65" s="73"/>
      <c r="V65" s="73"/>
      <c r="W65" s="65"/>
      <c r="X65" s="65"/>
      <c r="Y65" s="65"/>
      <c r="Z65" s="65"/>
      <c r="AA65" s="65"/>
      <c r="AB65" s="65"/>
      <c r="AC65" s="65"/>
      <c r="AD65" s="65"/>
      <c r="AE65" s="65"/>
      <c r="AF65" s="65"/>
      <c r="AG65" s="65"/>
      <c r="AH65" s="65"/>
      <c r="AI65" s="65"/>
      <c r="AJ65" s="73"/>
      <c r="AK65" s="65"/>
      <c r="AL65" s="65"/>
      <c r="AM65" s="65"/>
      <c r="AN65" s="65"/>
      <c r="AO65" s="65"/>
      <c r="AP65" s="65"/>
      <c r="AQ65" s="65"/>
      <c r="AR65" s="65"/>
      <c r="AS65" s="65"/>
      <c r="AT65" s="65"/>
      <c r="AU65" s="65"/>
      <c r="AV65" s="65"/>
      <c r="AW65" s="18">
        <f>LEN(L65)</f>
        <v>0</v>
      </c>
    </row>
    <row r="66" spans="1:87" s="236" customFormat="1" ht="15">
      <c r="A66" s="13">
        <f t="shared" si="0"/>
        <v>60</v>
      </c>
      <c r="B66" s="199"/>
      <c r="C66" s="199"/>
      <c r="D66" s="199"/>
      <c r="E66" s="199"/>
      <c r="F66" s="199"/>
      <c r="G66" s="199"/>
      <c r="H66" s="199"/>
      <c r="I66" s="199"/>
      <c r="J66" s="298" t="s">
        <v>2869</v>
      </c>
      <c r="K66" s="297" t="s">
        <v>163</v>
      </c>
      <c r="L66" s="231" t="s">
        <v>2870</v>
      </c>
      <c r="M66" s="231"/>
      <c r="N66" s="295" t="s">
        <v>2871</v>
      </c>
      <c r="O66" s="295"/>
      <c r="P66" s="295"/>
      <c r="Q66" s="292" t="s">
        <v>6</v>
      </c>
      <c r="R66" s="292"/>
      <c r="S66" s="292"/>
      <c r="T66" s="292"/>
      <c r="U66" s="315"/>
      <c r="V66" s="204"/>
      <c r="W66" s="232"/>
      <c r="X66" s="199"/>
      <c r="Y66" s="199"/>
      <c r="Z66" s="199"/>
      <c r="AA66" s="126"/>
      <c r="AB66" s="198"/>
      <c r="AC66" s="199"/>
      <c r="AD66" s="199"/>
      <c r="AE66" s="232"/>
      <c r="AF66" s="199"/>
      <c r="AG66" s="199"/>
      <c r="AH66" s="199"/>
      <c r="AI66" s="126"/>
      <c r="AJ66" s="198"/>
      <c r="AK66" s="199"/>
      <c r="AL66" s="199"/>
      <c r="AM66" s="199"/>
      <c r="AN66" s="199"/>
      <c r="AO66" s="295">
        <v>99999</v>
      </c>
      <c r="AP66" s="295">
        <v>99999</v>
      </c>
      <c r="AQ66" s="295">
        <v>99999</v>
      </c>
      <c r="AR66" s="295">
        <v>-99999</v>
      </c>
      <c r="AS66" s="295">
        <v>-99999</v>
      </c>
      <c r="AT66" s="295">
        <v>-99999</v>
      </c>
      <c r="AU66" s="295">
        <v>0</v>
      </c>
      <c r="AV66" s="199"/>
      <c r="AW66" s="155">
        <f>LEN(L66)</f>
        <v>31</v>
      </c>
    </row>
    <row r="67" spans="1:87" s="236" customFormat="1" ht="15">
      <c r="A67" s="13"/>
      <c r="B67" s="199"/>
      <c r="C67" s="199"/>
      <c r="D67" s="199"/>
      <c r="E67" s="199"/>
      <c r="F67" s="199"/>
      <c r="G67" s="199"/>
      <c r="H67" s="199"/>
      <c r="I67" s="199"/>
      <c r="J67" s="298" t="s">
        <v>822</v>
      </c>
      <c r="K67" s="297" t="s">
        <v>163</v>
      </c>
      <c r="L67" s="231" t="s">
        <v>2872</v>
      </c>
      <c r="M67" s="231"/>
      <c r="N67" s="295" t="s">
        <v>824</v>
      </c>
      <c r="O67" s="295"/>
      <c r="P67" s="295" t="s">
        <v>824</v>
      </c>
      <c r="Q67" s="292" t="s">
        <v>6</v>
      </c>
      <c r="R67" s="292"/>
      <c r="S67" s="292"/>
      <c r="T67" s="292"/>
      <c r="U67" s="315"/>
      <c r="V67" s="204"/>
      <c r="W67" s="232"/>
      <c r="X67" s="199"/>
      <c r="Y67" s="199"/>
      <c r="Z67" s="199"/>
      <c r="AA67" s="126"/>
      <c r="AB67" s="198"/>
      <c r="AC67" s="199"/>
      <c r="AD67" s="199"/>
      <c r="AE67" s="232"/>
      <c r="AF67" s="199"/>
      <c r="AG67" s="199"/>
      <c r="AH67" s="199"/>
      <c r="AI67" s="126"/>
      <c r="AJ67" s="198"/>
      <c r="AK67" s="199"/>
      <c r="AL67" s="199"/>
      <c r="AM67" s="199"/>
      <c r="AN67" s="199"/>
      <c r="AO67" s="295">
        <v>99999</v>
      </c>
      <c r="AP67" s="295">
        <v>99999</v>
      </c>
      <c r="AQ67" s="295">
        <v>99999</v>
      </c>
      <c r="AR67" s="295">
        <v>-99999</v>
      </c>
      <c r="AS67" s="295">
        <v>-99999</v>
      </c>
      <c r="AT67" s="295">
        <v>-99999</v>
      </c>
      <c r="AU67" s="295">
        <v>0</v>
      </c>
      <c r="AV67" s="199"/>
      <c r="AW67" s="155"/>
    </row>
    <row r="68" spans="1:87" s="236" customFormat="1" ht="15">
      <c r="A68" s="13"/>
      <c r="B68" s="199"/>
      <c r="C68" s="199"/>
      <c r="D68" s="199"/>
      <c r="E68" s="199"/>
      <c r="F68" s="199"/>
      <c r="G68" s="199"/>
      <c r="H68" s="199"/>
      <c r="I68" s="199"/>
      <c r="J68" s="298" t="s">
        <v>827</v>
      </c>
      <c r="K68" s="297" t="s">
        <v>163</v>
      </c>
      <c r="L68" s="231" t="s">
        <v>2873</v>
      </c>
      <c r="M68" s="231"/>
      <c r="N68" s="295" t="s">
        <v>829</v>
      </c>
      <c r="O68" s="295"/>
      <c r="P68" s="295" t="s">
        <v>2874</v>
      </c>
      <c r="Q68" s="292" t="s">
        <v>6</v>
      </c>
      <c r="R68" s="292"/>
      <c r="S68" s="292"/>
      <c r="T68" s="292"/>
      <c r="U68" s="315"/>
      <c r="V68" s="204"/>
      <c r="W68" s="232"/>
      <c r="X68" s="199"/>
      <c r="Y68" s="199"/>
      <c r="Z68" s="199"/>
      <c r="AA68" s="126"/>
      <c r="AB68" s="198"/>
      <c r="AC68" s="199"/>
      <c r="AD68" s="199"/>
      <c r="AE68" s="232"/>
      <c r="AF68" s="199"/>
      <c r="AG68" s="199"/>
      <c r="AH68" s="199"/>
      <c r="AI68" s="126"/>
      <c r="AJ68" s="198"/>
      <c r="AK68" s="199"/>
      <c r="AL68" s="199"/>
      <c r="AM68" s="199"/>
      <c r="AN68" s="199"/>
      <c r="AO68" s="295">
        <v>99999</v>
      </c>
      <c r="AP68" s="295">
        <v>99999</v>
      </c>
      <c r="AQ68" s="295">
        <v>99999</v>
      </c>
      <c r="AR68" s="295">
        <v>-99999</v>
      </c>
      <c r="AS68" s="295">
        <v>-99999</v>
      </c>
      <c r="AT68" s="295">
        <v>-99999</v>
      </c>
      <c r="AU68" s="295">
        <v>0</v>
      </c>
      <c r="AV68" s="199"/>
      <c r="AW68" s="155"/>
    </row>
    <row r="69" spans="1:87" s="20" customFormat="1" ht="15">
      <c r="A69" s="13">
        <f t="shared" si="0"/>
        <v>63</v>
      </c>
      <c r="B69" s="59"/>
      <c r="C69" s="59"/>
      <c r="D69" s="59"/>
      <c r="E69" s="59"/>
      <c r="F69" s="59"/>
      <c r="G69" s="59"/>
      <c r="H69" s="59"/>
      <c r="I69" s="59"/>
      <c r="J69" s="298" t="s">
        <v>2875</v>
      </c>
      <c r="K69" s="297" t="s">
        <v>163</v>
      </c>
      <c r="L69" s="231" t="s">
        <v>2876</v>
      </c>
      <c r="M69" s="231"/>
      <c r="N69" s="295" t="s">
        <v>2877</v>
      </c>
      <c r="O69" s="295"/>
      <c r="P69" s="295"/>
      <c r="Q69" s="292" t="s">
        <v>6</v>
      </c>
      <c r="R69" s="292"/>
      <c r="S69" s="292"/>
      <c r="T69" s="292"/>
      <c r="U69" s="315"/>
      <c r="V69" s="206"/>
      <c r="W69" s="204"/>
      <c r="X69" s="59"/>
      <c r="Y69" s="59"/>
      <c r="Z69" s="59"/>
      <c r="AA69" s="40"/>
      <c r="AB69" s="15"/>
      <c r="AC69" s="59"/>
      <c r="AD69" s="59"/>
      <c r="AE69" s="204"/>
      <c r="AF69" s="59"/>
      <c r="AG69" s="59"/>
      <c r="AH69" s="59"/>
      <c r="AI69" s="40"/>
      <c r="AJ69" s="15"/>
      <c r="AK69" s="59"/>
      <c r="AL69" s="59"/>
      <c r="AM69" s="59"/>
      <c r="AN69" s="59"/>
      <c r="AO69" s="295">
        <v>99999</v>
      </c>
      <c r="AP69" s="295">
        <v>99999</v>
      </c>
      <c r="AQ69" s="295">
        <v>99999</v>
      </c>
      <c r="AR69" s="295">
        <v>-99999</v>
      </c>
      <c r="AS69" s="295">
        <v>-99999</v>
      </c>
      <c r="AT69" s="295">
        <v>-99999</v>
      </c>
      <c r="AU69" s="295">
        <v>0</v>
      </c>
      <c r="AV69" s="59"/>
      <c r="AW69" s="18">
        <f t="shared" ref="AW69:AW74" si="2">LEN(L69)</f>
        <v>36</v>
      </c>
    </row>
    <row r="70" spans="1:87" s="20" customFormat="1" ht="15">
      <c r="A70" s="13">
        <f t="shared" si="0"/>
        <v>64</v>
      </c>
      <c r="B70" s="59"/>
      <c r="C70" s="59"/>
      <c r="D70" s="59"/>
      <c r="E70" s="59"/>
      <c r="F70" s="59"/>
      <c r="G70" s="59"/>
      <c r="H70" s="59"/>
      <c r="I70" s="59"/>
      <c r="J70" s="298" t="s">
        <v>2878</v>
      </c>
      <c r="K70" s="297" t="s">
        <v>163</v>
      </c>
      <c r="L70" s="231" t="s">
        <v>2879</v>
      </c>
      <c r="M70" s="231"/>
      <c r="N70" s="295" t="s">
        <v>824</v>
      </c>
      <c r="O70" s="295"/>
      <c r="P70" s="295" t="s">
        <v>824</v>
      </c>
      <c r="Q70" s="292" t="s">
        <v>6</v>
      </c>
      <c r="R70" s="292"/>
      <c r="S70" s="292"/>
      <c r="T70" s="292"/>
      <c r="U70" s="315"/>
      <c r="V70" s="206"/>
      <c r="W70" s="204"/>
      <c r="X70" s="59"/>
      <c r="Y70" s="59"/>
      <c r="Z70" s="59"/>
      <c r="AA70" s="40"/>
      <c r="AB70" s="15"/>
      <c r="AC70" s="59"/>
      <c r="AD70" s="59"/>
      <c r="AE70" s="204"/>
      <c r="AF70" s="59"/>
      <c r="AG70" s="59"/>
      <c r="AH70" s="59"/>
      <c r="AI70" s="40"/>
      <c r="AJ70" s="15"/>
      <c r="AK70" s="59"/>
      <c r="AL70" s="59"/>
      <c r="AM70" s="59"/>
      <c r="AN70" s="59"/>
      <c r="AO70" s="295">
        <v>99999</v>
      </c>
      <c r="AP70" s="295">
        <v>99999</v>
      </c>
      <c r="AQ70" s="295">
        <v>99999</v>
      </c>
      <c r="AR70" s="295">
        <v>-99999</v>
      </c>
      <c r="AS70" s="295">
        <v>-99999</v>
      </c>
      <c r="AT70" s="295">
        <v>-99999</v>
      </c>
      <c r="AU70" s="295">
        <v>0</v>
      </c>
      <c r="AV70" s="59"/>
      <c r="AW70" s="18">
        <f t="shared" si="2"/>
        <v>37</v>
      </c>
    </row>
    <row r="71" spans="1:87" s="20" customFormat="1" ht="15">
      <c r="A71" s="13">
        <f t="shared" si="0"/>
        <v>65</v>
      </c>
      <c r="B71" s="59"/>
      <c r="C71" s="59"/>
      <c r="D71" s="59"/>
      <c r="E71" s="59"/>
      <c r="F71" s="59"/>
      <c r="G71" s="59"/>
      <c r="H71" s="59"/>
      <c r="I71" s="59"/>
      <c r="J71" s="298" t="s">
        <v>2880</v>
      </c>
      <c r="K71" s="297" t="s">
        <v>163</v>
      </c>
      <c r="L71" s="231" t="s">
        <v>2881</v>
      </c>
      <c r="M71" s="231"/>
      <c r="N71" s="295" t="s">
        <v>2877</v>
      </c>
      <c r="O71" s="295"/>
      <c r="P71" s="295" t="s">
        <v>2882</v>
      </c>
      <c r="Q71" s="292" t="s">
        <v>6</v>
      </c>
      <c r="R71" s="292"/>
      <c r="S71" s="292"/>
      <c r="T71" s="292"/>
      <c r="U71" s="315"/>
      <c r="V71" s="206"/>
      <c r="W71" s="204"/>
      <c r="X71" s="59"/>
      <c r="Y71" s="59"/>
      <c r="Z71" s="59"/>
      <c r="AA71" s="40"/>
      <c r="AB71" s="15"/>
      <c r="AC71" s="59"/>
      <c r="AD71" s="59"/>
      <c r="AE71" s="204"/>
      <c r="AF71" s="59"/>
      <c r="AG71" s="59"/>
      <c r="AH71" s="59"/>
      <c r="AI71" s="40"/>
      <c r="AJ71" s="15"/>
      <c r="AK71" s="59"/>
      <c r="AL71" s="59"/>
      <c r="AM71" s="59"/>
      <c r="AN71" s="59"/>
      <c r="AO71" s="295">
        <v>99999</v>
      </c>
      <c r="AP71" s="295">
        <v>99999</v>
      </c>
      <c r="AQ71" s="295">
        <v>99999</v>
      </c>
      <c r="AR71" s="295">
        <v>-99999</v>
      </c>
      <c r="AS71" s="295">
        <v>-99999</v>
      </c>
      <c r="AT71" s="295">
        <v>-99999</v>
      </c>
      <c r="AU71" s="295">
        <v>0</v>
      </c>
      <c r="AV71" s="59"/>
      <c r="AW71" s="18">
        <f t="shared" si="2"/>
        <v>38</v>
      </c>
    </row>
    <row r="72" spans="1:87" s="20" customFormat="1" ht="15">
      <c r="A72" s="13">
        <f t="shared" si="0"/>
        <v>66</v>
      </c>
      <c r="B72" s="59"/>
      <c r="C72" s="59"/>
      <c r="D72" s="59"/>
      <c r="E72" s="59"/>
      <c r="F72" s="59"/>
      <c r="G72" s="59"/>
      <c r="H72" s="59"/>
      <c r="I72" s="59"/>
      <c r="J72" s="298" t="s">
        <v>2883</v>
      </c>
      <c r="K72" s="297" t="s">
        <v>163</v>
      </c>
      <c r="L72" s="231" t="s">
        <v>2884</v>
      </c>
      <c r="M72" s="231"/>
      <c r="N72" s="295" t="s">
        <v>829</v>
      </c>
      <c r="O72" s="295"/>
      <c r="P72" s="295" t="s">
        <v>2874</v>
      </c>
      <c r="Q72" s="292" t="s">
        <v>6</v>
      </c>
      <c r="R72" s="292"/>
      <c r="S72" s="292"/>
      <c r="T72" s="292"/>
      <c r="U72" s="315"/>
      <c r="V72" s="206"/>
      <c r="W72" s="215"/>
      <c r="X72" s="59"/>
      <c r="Y72" s="59"/>
      <c r="Z72" s="40"/>
      <c r="AA72" s="40"/>
      <c r="AB72" s="218"/>
      <c r="AC72" s="59"/>
      <c r="AD72" s="59"/>
      <c r="AE72" s="215"/>
      <c r="AF72" s="59"/>
      <c r="AG72" s="59"/>
      <c r="AH72" s="40"/>
      <c r="AI72" s="40"/>
      <c r="AJ72" s="218"/>
      <c r="AK72" s="59"/>
      <c r="AL72" s="59"/>
      <c r="AM72" s="59"/>
      <c r="AN72" s="59"/>
      <c r="AO72" s="295">
        <v>99999</v>
      </c>
      <c r="AP72" s="295">
        <v>99999</v>
      </c>
      <c r="AQ72" s="295">
        <v>99999</v>
      </c>
      <c r="AR72" s="295">
        <v>-99999</v>
      </c>
      <c r="AS72" s="295">
        <v>-99999</v>
      </c>
      <c r="AT72" s="295">
        <v>-99999</v>
      </c>
      <c r="AU72" s="295">
        <v>0</v>
      </c>
      <c r="AV72" s="59"/>
      <c r="AW72" s="18">
        <f t="shared" si="2"/>
        <v>41</v>
      </c>
    </row>
    <row r="73" spans="1:87" s="20" customFormat="1" ht="15">
      <c r="A73" s="13">
        <f t="shared" si="0"/>
        <v>67</v>
      </c>
      <c r="B73" s="59"/>
      <c r="C73" s="59"/>
      <c r="D73" s="59"/>
      <c r="E73" s="59"/>
      <c r="F73" s="59"/>
      <c r="G73" s="59"/>
      <c r="H73" s="59"/>
      <c r="I73" s="59"/>
      <c r="J73" s="298" t="s">
        <v>2885</v>
      </c>
      <c r="K73" s="297" t="s">
        <v>163</v>
      </c>
      <c r="L73" s="231" t="s">
        <v>2886</v>
      </c>
      <c r="M73" s="231"/>
      <c r="N73" s="295" t="s">
        <v>2871</v>
      </c>
      <c r="O73" s="295"/>
      <c r="P73" s="295"/>
      <c r="Q73" s="292" t="s">
        <v>6</v>
      </c>
      <c r="R73" s="292"/>
      <c r="S73" s="292"/>
      <c r="T73" s="292"/>
      <c r="U73" s="315"/>
      <c r="V73" s="206"/>
      <c r="W73" s="204"/>
      <c r="X73" s="59"/>
      <c r="Y73" s="59"/>
      <c r="Z73" s="40"/>
      <c r="AA73" s="40"/>
      <c r="AB73" s="215"/>
      <c r="AC73" s="59"/>
      <c r="AD73" s="59"/>
      <c r="AE73" s="204"/>
      <c r="AF73" s="59"/>
      <c r="AG73" s="59"/>
      <c r="AH73" s="40"/>
      <c r="AI73" s="40"/>
      <c r="AJ73" s="215"/>
      <c r="AK73" s="59"/>
      <c r="AL73" s="59"/>
      <c r="AM73" s="59"/>
      <c r="AN73" s="59"/>
      <c r="AO73" s="295">
        <v>99999</v>
      </c>
      <c r="AP73" s="295">
        <v>99999</v>
      </c>
      <c r="AQ73" s="295">
        <v>99999</v>
      </c>
      <c r="AR73" s="295">
        <v>-99999</v>
      </c>
      <c r="AS73" s="295">
        <v>-99999</v>
      </c>
      <c r="AT73" s="295">
        <v>-99999</v>
      </c>
      <c r="AU73" s="295">
        <v>0</v>
      </c>
      <c r="AV73" s="59"/>
      <c r="AW73" s="18">
        <f t="shared" si="2"/>
        <v>37</v>
      </c>
    </row>
    <row r="74" spans="1:87" s="236" customFormat="1" ht="15">
      <c r="A74" s="13">
        <f t="shared" si="0"/>
        <v>68</v>
      </c>
      <c r="B74" s="199"/>
      <c r="C74" s="199"/>
      <c r="D74" s="199"/>
      <c r="E74" s="199"/>
      <c r="F74" s="199"/>
      <c r="G74" s="199"/>
      <c r="H74" s="199"/>
      <c r="I74" s="199"/>
      <c r="J74" s="298" t="s">
        <v>2887</v>
      </c>
      <c r="K74" s="297" t="s">
        <v>163</v>
      </c>
      <c r="L74" s="231" t="s">
        <v>2888</v>
      </c>
      <c r="M74" s="231"/>
      <c r="N74" s="295" t="s">
        <v>2098</v>
      </c>
      <c r="O74" s="295"/>
      <c r="P74" s="295" t="s">
        <v>2889</v>
      </c>
      <c r="Q74" s="292" t="s">
        <v>6</v>
      </c>
      <c r="R74" s="292"/>
      <c r="S74" s="292"/>
      <c r="T74" s="292"/>
      <c r="U74" s="315" t="s">
        <v>2890</v>
      </c>
      <c r="V74" s="204"/>
      <c r="W74" s="232"/>
      <c r="X74" s="199"/>
      <c r="Y74" s="199"/>
      <c r="Z74" s="199"/>
      <c r="AA74" s="126"/>
      <c r="AB74" s="198"/>
      <c r="AC74" s="199"/>
      <c r="AD74" s="199"/>
      <c r="AE74" s="232"/>
      <c r="AF74" s="199"/>
      <c r="AG74" s="199"/>
      <c r="AH74" s="199"/>
      <c r="AI74" s="126"/>
      <c r="AJ74" s="198"/>
      <c r="AK74" s="199"/>
      <c r="AL74" s="199"/>
      <c r="AM74" s="199"/>
      <c r="AN74" s="199"/>
      <c r="AO74" s="295">
        <v>99999</v>
      </c>
      <c r="AP74" s="295">
        <v>99999</v>
      </c>
      <c r="AQ74" s="295">
        <v>99999</v>
      </c>
      <c r="AR74" s="295">
        <v>-99999</v>
      </c>
      <c r="AS74" s="295">
        <v>-99999</v>
      </c>
      <c r="AT74" s="295">
        <v>-99999</v>
      </c>
      <c r="AU74" s="295">
        <v>0</v>
      </c>
      <c r="AV74" s="199"/>
      <c r="AW74" s="155">
        <f t="shared" si="2"/>
        <v>22</v>
      </c>
    </row>
    <row r="75" spans="1:87" s="18" customFormat="1" ht="15">
      <c r="A75" s="13">
        <f t="shared" si="0"/>
        <v>69</v>
      </c>
      <c r="B75" s="19"/>
      <c r="C75" s="41"/>
      <c r="D75" s="19"/>
      <c r="E75" s="19"/>
      <c r="F75" s="19"/>
      <c r="G75" s="19"/>
      <c r="H75" s="13"/>
      <c r="I75" s="13"/>
      <c r="J75" s="298" t="s">
        <v>2891</v>
      </c>
      <c r="K75" s="297" t="s">
        <v>163</v>
      </c>
      <c r="L75" s="231" t="s">
        <v>2892</v>
      </c>
      <c r="M75" s="231"/>
      <c r="N75" s="295" t="s">
        <v>2893</v>
      </c>
      <c r="O75" s="295"/>
      <c r="P75" s="295" t="s">
        <v>2894</v>
      </c>
      <c r="Q75" s="292" t="s">
        <v>6</v>
      </c>
      <c r="R75" s="292"/>
      <c r="S75" s="292"/>
      <c r="T75" s="292"/>
      <c r="U75" s="315" t="s">
        <v>2895</v>
      </c>
      <c r="V75" s="206"/>
      <c r="W75" s="399"/>
      <c r="X75" s="59"/>
      <c r="Y75" s="59"/>
      <c r="Z75" s="59"/>
      <c r="AA75" s="40"/>
      <c r="AB75" s="45"/>
      <c r="AC75" s="403"/>
      <c r="AD75" s="403"/>
      <c r="AE75" s="399"/>
      <c r="AF75" s="59"/>
      <c r="AG75" s="59"/>
      <c r="AH75" s="59"/>
      <c r="AI75" s="40"/>
      <c r="AJ75" s="45"/>
      <c r="AK75" s="403"/>
      <c r="AL75" s="403"/>
      <c r="AM75" s="43"/>
      <c r="AN75" s="13"/>
      <c r="AO75" s="295">
        <v>99999</v>
      </c>
      <c r="AP75" s="295">
        <v>99999</v>
      </c>
      <c r="AQ75" s="295">
        <v>99999</v>
      </c>
      <c r="AR75" s="295">
        <v>-99999</v>
      </c>
      <c r="AS75" s="295">
        <v>-99999</v>
      </c>
      <c r="AT75" s="295">
        <v>-99999</v>
      </c>
      <c r="AU75" s="295">
        <v>0</v>
      </c>
      <c r="AV75" s="15"/>
      <c r="AW75" s="18">
        <f t="shared" si="1"/>
        <v>19</v>
      </c>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row>
    <row r="76" spans="1:87" s="18" customFormat="1" ht="15">
      <c r="A76" s="13">
        <f t="shared" si="0"/>
        <v>70</v>
      </c>
      <c r="B76" s="19"/>
      <c r="C76" s="41"/>
      <c r="D76" s="19"/>
      <c r="E76" s="19"/>
      <c r="F76" s="19"/>
      <c r="G76" s="19"/>
      <c r="H76" s="13"/>
      <c r="I76" s="13"/>
      <c r="J76" s="298" t="s">
        <v>2896</v>
      </c>
      <c r="K76" s="297" t="s">
        <v>163</v>
      </c>
      <c r="L76" s="231" t="s">
        <v>2897</v>
      </c>
      <c r="M76" s="231"/>
      <c r="N76" s="295" t="s">
        <v>2898</v>
      </c>
      <c r="O76" s="295"/>
      <c r="P76" s="295"/>
      <c r="Q76" s="292" t="s">
        <v>6</v>
      </c>
      <c r="R76" s="292"/>
      <c r="S76" s="292"/>
      <c r="T76" s="292"/>
      <c r="U76" s="315"/>
      <c r="V76" s="206"/>
      <c r="W76" s="399"/>
      <c r="X76" s="59"/>
      <c r="Y76" s="59"/>
      <c r="Z76" s="59"/>
      <c r="AA76" s="40"/>
      <c r="AB76" s="45"/>
      <c r="AC76" s="403"/>
      <c r="AD76" s="403"/>
      <c r="AE76" s="399"/>
      <c r="AF76" s="59"/>
      <c r="AG76" s="59"/>
      <c r="AH76" s="59"/>
      <c r="AI76" s="40"/>
      <c r="AJ76" s="45"/>
      <c r="AK76" s="403"/>
      <c r="AL76" s="403"/>
      <c r="AM76" s="43"/>
      <c r="AN76" s="13"/>
      <c r="AO76" s="295">
        <v>99999</v>
      </c>
      <c r="AP76" s="295">
        <v>99999</v>
      </c>
      <c r="AQ76" s="295">
        <v>99999</v>
      </c>
      <c r="AR76" s="295">
        <v>-99999</v>
      </c>
      <c r="AS76" s="295">
        <v>-99999</v>
      </c>
      <c r="AT76" s="295">
        <v>-99999</v>
      </c>
      <c r="AU76" s="295">
        <v>0</v>
      </c>
      <c r="AV76" s="15"/>
      <c r="AW76" s="18">
        <f t="shared" si="1"/>
        <v>23</v>
      </c>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row>
    <row r="77" spans="1:87" s="18" customFormat="1" ht="15">
      <c r="A77" s="13">
        <f t="shared" si="0"/>
        <v>71</v>
      </c>
      <c r="B77" s="19"/>
      <c r="C77" s="41"/>
      <c r="D77" s="19"/>
      <c r="E77" s="19"/>
      <c r="F77" s="19"/>
      <c r="G77" s="19"/>
      <c r="H77" s="13"/>
      <c r="I77" s="13"/>
      <c r="J77" s="298" t="s">
        <v>2899</v>
      </c>
      <c r="K77" s="297" t="s">
        <v>163</v>
      </c>
      <c r="L77" s="231" t="s">
        <v>2900</v>
      </c>
      <c r="M77" s="231"/>
      <c r="N77" s="295" t="s">
        <v>1505</v>
      </c>
      <c r="O77" s="295"/>
      <c r="P77" s="295" t="s">
        <v>2901</v>
      </c>
      <c r="Q77" s="292" t="s">
        <v>6</v>
      </c>
      <c r="R77" s="292"/>
      <c r="S77" s="292"/>
      <c r="T77" s="292"/>
      <c r="U77" s="315"/>
      <c r="V77" s="206"/>
      <c r="W77" s="399"/>
      <c r="X77" s="59"/>
      <c r="Y77" s="59"/>
      <c r="Z77" s="59"/>
      <c r="AA77" s="40"/>
      <c r="AB77" s="45"/>
      <c r="AC77" s="403"/>
      <c r="AD77" s="403"/>
      <c r="AE77" s="399"/>
      <c r="AF77" s="59"/>
      <c r="AG77" s="59"/>
      <c r="AH77" s="59"/>
      <c r="AI77" s="40"/>
      <c r="AJ77" s="45"/>
      <c r="AK77" s="403"/>
      <c r="AL77" s="403"/>
      <c r="AM77" s="43"/>
      <c r="AN77" s="13"/>
      <c r="AO77" s="295">
        <v>99999</v>
      </c>
      <c r="AP77" s="295">
        <v>99999</v>
      </c>
      <c r="AQ77" s="295">
        <v>99999</v>
      </c>
      <c r="AR77" s="295">
        <v>-99999</v>
      </c>
      <c r="AS77" s="295">
        <v>-99999</v>
      </c>
      <c r="AT77" s="295">
        <v>-99999</v>
      </c>
      <c r="AU77" s="295">
        <v>0</v>
      </c>
      <c r="AV77" s="15"/>
      <c r="AW77" s="18">
        <f t="shared" si="1"/>
        <v>15</v>
      </c>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row>
    <row r="78" spans="1:87" s="20" customFormat="1" ht="15">
      <c r="A78" s="13">
        <f t="shared" si="0"/>
        <v>72</v>
      </c>
      <c r="B78" s="59"/>
      <c r="C78" s="59"/>
      <c r="D78" s="59"/>
      <c r="E78" s="59"/>
      <c r="F78" s="59"/>
      <c r="G78" s="59"/>
      <c r="H78" s="59"/>
      <c r="I78" s="59"/>
      <c r="J78" s="298" t="s">
        <v>2902</v>
      </c>
      <c r="K78" s="297" t="s">
        <v>163</v>
      </c>
      <c r="L78" s="231" t="s">
        <v>2903</v>
      </c>
      <c r="M78" s="231"/>
      <c r="N78" s="295" t="s">
        <v>2893</v>
      </c>
      <c r="O78" s="295"/>
      <c r="P78" s="295"/>
      <c r="Q78" s="292" t="s">
        <v>6</v>
      </c>
      <c r="R78" s="292"/>
      <c r="S78" s="292"/>
      <c r="T78" s="292"/>
      <c r="U78" s="315"/>
      <c r="V78" s="59"/>
      <c r="W78" s="399"/>
      <c r="X78" s="202"/>
      <c r="Y78" s="59"/>
      <c r="Z78" s="61"/>
      <c r="AA78" s="40"/>
      <c r="AB78" s="59"/>
      <c r="AC78" s="59"/>
      <c r="AD78" s="59"/>
      <c r="AE78" s="399"/>
      <c r="AF78" s="202"/>
      <c r="AG78" s="59"/>
      <c r="AH78" s="61"/>
      <c r="AI78" s="40"/>
      <c r="AJ78" s="59"/>
      <c r="AK78" s="59"/>
      <c r="AL78" s="59"/>
      <c r="AM78" s="59"/>
      <c r="AN78" s="59"/>
      <c r="AO78" s="295">
        <v>99999</v>
      </c>
      <c r="AP78" s="295">
        <v>99999</v>
      </c>
      <c r="AQ78" s="295">
        <v>99999</v>
      </c>
      <c r="AR78" s="295">
        <v>-99999</v>
      </c>
      <c r="AS78" s="295">
        <v>-99999</v>
      </c>
      <c r="AT78" s="295">
        <v>-99999</v>
      </c>
      <c r="AU78" s="295">
        <v>0</v>
      </c>
      <c r="AV78" s="59"/>
      <c r="AW78" s="18">
        <f t="shared" si="1"/>
        <v>33</v>
      </c>
    </row>
    <row r="79" spans="1:87" s="20" customFormat="1" ht="15">
      <c r="A79" s="13">
        <f t="shared" si="0"/>
        <v>73</v>
      </c>
      <c r="B79" s="59"/>
      <c r="C79" s="59"/>
      <c r="D79" s="59"/>
      <c r="E79" s="59"/>
      <c r="F79" s="59"/>
      <c r="G79" s="59"/>
      <c r="H79" s="59"/>
      <c r="I79" s="59"/>
      <c r="J79" s="298" t="s">
        <v>2904</v>
      </c>
      <c r="K79" s="297" t="s">
        <v>163</v>
      </c>
      <c r="L79" s="231" t="s">
        <v>2905</v>
      </c>
      <c r="M79" s="231"/>
      <c r="N79" s="295" t="s">
        <v>824</v>
      </c>
      <c r="O79" s="295"/>
      <c r="P79" s="295" t="s">
        <v>824</v>
      </c>
      <c r="Q79" s="292" t="s">
        <v>6</v>
      </c>
      <c r="R79" s="292"/>
      <c r="S79" s="292"/>
      <c r="T79" s="292"/>
      <c r="U79" s="315"/>
      <c r="V79" s="59"/>
      <c r="W79" s="399"/>
      <c r="X79" s="202"/>
      <c r="Y79" s="59"/>
      <c r="Z79" s="61"/>
      <c r="AA79" s="40"/>
      <c r="AB79" s="59"/>
      <c r="AC79" s="59"/>
      <c r="AD79" s="59"/>
      <c r="AE79" s="399"/>
      <c r="AF79" s="202"/>
      <c r="AG79" s="59"/>
      <c r="AH79" s="61"/>
      <c r="AI79" s="40"/>
      <c r="AJ79" s="59"/>
      <c r="AK79" s="59"/>
      <c r="AL79" s="59"/>
      <c r="AM79" s="59"/>
      <c r="AN79" s="59"/>
      <c r="AO79" s="295">
        <v>99999</v>
      </c>
      <c r="AP79" s="295">
        <v>99999</v>
      </c>
      <c r="AQ79" s="295">
        <v>99999</v>
      </c>
      <c r="AR79" s="295">
        <v>-99999</v>
      </c>
      <c r="AS79" s="295">
        <v>-99999</v>
      </c>
      <c r="AT79" s="295">
        <v>-99999</v>
      </c>
      <c r="AU79" s="295">
        <v>0</v>
      </c>
      <c r="AV79" s="59"/>
      <c r="AW79" s="18">
        <f>LEN(L79)</f>
        <v>10</v>
      </c>
    </row>
    <row r="80" spans="1:87" s="20" customFormat="1" ht="15">
      <c r="A80" s="13">
        <f t="shared" si="0"/>
        <v>74</v>
      </c>
      <c r="B80" s="59"/>
      <c r="C80" s="59"/>
      <c r="D80" s="59"/>
      <c r="E80" s="59"/>
      <c r="F80" s="59"/>
      <c r="G80" s="59"/>
      <c r="H80" s="59"/>
      <c r="I80" s="59"/>
      <c r="J80" s="298" t="s">
        <v>2906</v>
      </c>
      <c r="K80" s="297" t="s">
        <v>163</v>
      </c>
      <c r="L80" s="231" t="s">
        <v>2907</v>
      </c>
      <c r="M80" s="231"/>
      <c r="N80" s="295" t="s">
        <v>829</v>
      </c>
      <c r="O80" s="295"/>
      <c r="P80" s="295" t="s">
        <v>2874</v>
      </c>
      <c r="Q80" s="292" t="s">
        <v>6</v>
      </c>
      <c r="R80" s="292"/>
      <c r="S80" s="292"/>
      <c r="T80" s="292"/>
      <c r="U80" s="315"/>
      <c r="V80" s="59"/>
      <c r="W80" s="399"/>
      <c r="X80" s="202"/>
      <c r="Y80" s="59"/>
      <c r="Z80" s="61"/>
      <c r="AA80" s="40"/>
      <c r="AB80" s="59"/>
      <c r="AC80" s="59"/>
      <c r="AD80" s="59"/>
      <c r="AE80" s="399"/>
      <c r="AF80" s="202"/>
      <c r="AG80" s="59"/>
      <c r="AH80" s="61"/>
      <c r="AI80" s="40"/>
      <c r="AJ80" s="59"/>
      <c r="AK80" s="59"/>
      <c r="AL80" s="59"/>
      <c r="AM80" s="59"/>
      <c r="AN80" s="59"/>
      <c r="AO80" s="295">
        <v>99999</v>
      </c>
      <c r="AP80" s="295">
        <v>99999</v>
      </c>
      <c r="AQ80" s="295">
        <v>99999</v>
      </c>
      <c r="AR80" s="295">
        <v>-99999</v>
      </c>
      <c r="AS80" s="295">
        <v>-99999</v>
      </c>
      <c r="AT80" s="295">
        <v>-99999</v>
      </c>
      <c r="AU80" s="295">
        <v>0</v>
      </c>
      <c r="AV80" s="59"/>
      <c r="AW80" s="18">
        <f>LEN(L80)</f>
        <v>12</v>
      </c>
    </row>
    <row r="81" spans="1:87" s="20" customFormat="1" ht="15">
      <c r="A81" s="13">
        <f t="shared" si="0"/>
        <v>75</v>
      </c>
      <c r="B81" s="59"/>
      <c r="C81" s="59"/>
      <c r="D81" s="59"/>
      <c r="E81" s="59"/>
      <c r="F81" s="59"/>
      <c r="G81" s="59"/>
      <c r="H81" s="59"/>
      <c r="I81" s="59"/>
      <c r="J81" s="298" t="s">
        <v>2908</v>
      </c>
      <c r="K81" s="297" t="s">
        <v>163</v>
      </c>
      <c r="L81" s="231" t="s">
        <v>2909</v>
      </c>
      <c r="M81" s="231"/>
      <c r="N81" s="295" t="s">
        <v>2871</v>
      </c>
      <c r="O81" s="295"/>
      <c r="P81" s="295"/>
      <c r="Q81" s="292" t="s">
        <v>6</v>
      </c>
      <c r="R81" s="292"/>
      <c r="S81" s="292"/>
      <c r="T81" s="292"/>
      <c r="U81" s="315"/>
      <c r="V81" s="59"/>
      <c r="W81" s="399"/>
      <c r="X81" s="202"/>
      <c r="Y81" s="59"/>
      <c r="Z81" s="61"/>
      <c r="AA81" s="40"/>
      <c r="AB81" s="59"/>
      <c r="AC81" s="59"/>
      <c r="AD81" s="59"/>
      <c r="AE81" s="399"/>
      <c r="AF81" s="202"/>
      <c r="AG81" s="59"/>
      <c r="AH81" s="61"/>
      <c r="AI81" s="40"/>
      <c r="AJ81" s="59"/>
      <c r="AK81" s="59"/>
      <c r="AL81" s="59"/>
      <c r="AM81" s="59"/>
      <c r="AN81" s="59"/>
      <c r="AO81" s="295">
        <v>99999</v>
      </c>
      <c r="AP81" s="295">
        <v>99999</v>
      </c>
      <c r="AQ81" s="295">
        <v>99999</v>
      </c>
      <c r="AR81" s="295">
        <v>-99999</v>
      </c>
      <c r="AS81" s="295">
        <v>-99999</v>
      </c>
      <c r="AT81" s="295">
        <v>-99999</v>
      </c>
      <c r="AU81" s="295">
        <v>0</v>
      </c>
      <c r="AV81" s="59"/>
      <c r="AW81" s="18">
        <f t="shared" si="1"/>
        <v>22</v>
      </c>
    </row>
    <row r="82" spans="1:87" s="20" customFormat="1" ht="15">
      <c r="A82" s="13">
        <f t="shared" si="0"/>
        <v>76</v>
      </c>
      <c r="B82" s="59"/>
      <c r="C82" s="59"/>
      <c r="D82" s="59"/>
      <c r="E82" s="59"/>
      <c r="F82" s="59"/>
      <c r="G82" s="59"/>
      <c r="H82" s="59"/>
      <c r="I82" s="59"/>
      <c r="J82" s="298" t="s">
        <v>2910</v>
      </c>
      <c r="K82" s="297" t="s">
        <v>163</v>
      </c>
      <c r="L82" s="231" t="s">
        <v>2911</v>
      </c>
      <c r="M82" s="231"/>
      <c r="N82" s="295" t="s">
        <v>2912</v>
      </c>
      <c r="O82" s="295"/>
      <c r="P82" s="295" t="s">
        <v>2913</v>
      </c>
      <c r="Q82" s="292" t="s">
        <v>6</v>
      </c>
      <c r="R82" s="292"/>
      <c r="S82" s="292"/>
      <c r="T82" s="292"/>
      <c r="U82" s="315"/>
      <c r="V82" s="206"/>
      <c r="W82" s="399"/>
      <c r="X82" s="202"/>
      <c r="Y82" s="59"/>
      <c r="Z82" s="59"/>
      <c r="AA82" s="40"/>
      <c r="AB82" s="59"/>
      <c r="AC82" s="59"/>
      <c r="AD82" s="59"/>
      <c r="AE82" s="399"/>
      <c r="AF82" s="202"/>
      <c r="AG82" s="59"/>
      <c r="AH82" s="59"/>
      <c r="AI82" s="40"/>
      <c r="AJ82" s="59"/>
      <c r="AK82" s="59"/>
      <c r="AL82" s="59"/>
      <c r="AM82" s="59"/>
      <c r="AN82" s="59"/>
      <c r="AO82" s="295">
        <v>99999</v>
      </c>
      <c r="AP82" s="295">
        <v>99999</v>
      </c>
      <c r="AQ82" s="295">
        <v>99999</v>
      </c>
      <c r="AR82" s="295">
        <v>-99999</v>
      </c>
      <c r="AS82" s="295">
        <v>-99999</v>
      </c>
      <c r="AT82" s="295">
        <v>-99999</v>
      </c>
      <c r="AU82" s="295">
        <v>0</v>
      </c>
      <c r="AV82" s="59"/>
      <c r="AW82" s="18">
        <f t="shared" si="1"/>
        <v>25</v>
      </c>
    </row>
    <row r="83" spans="1:87" s="20" customFormat="1" ht="15">
      <c r="A83" s="13">
        <f t="shared" si="0"/>
        <v>77</v>
      </c>
      <c r="B83" s="59"/>
      <c r="C83" s="59"/>
      <c r="D83" s="59"/>
      <c r="E83" s="59"/>
      <c r="F83" s="59"/>
      <c r="G83" s="59"/>
      <c r="H83" s="59"/>
      <c r="I83" s="59"/>
      <c r="J83" s="298" t="s">
        <v>2914</v>
      </c>
      <c r="K83" s="297" t="s">
        <v>163</v>
      </c>
      <c r="L83" s="231" t="s">
        <v>2915</v>
      </c>
      <c r="M83" s="231"/>
      <c r="N83" s="295" t="s">
        <v>2893</v>
      </c>
      <c r="O83" s="295"/>
      <c r="P83" s="295"/>
      <c r="Q83" s="292" t="s">
        <v>6</v>
      </c>
      <c r="R83" s="292"/>
      <c r="S83" s="292"/>
      <c r="T83" s="292"/>
      <c r="U83" s="315"/>
      <c r="V83" s="206"/>
      <c r="W83" s="399"/>
      <c r="X83" s="202"/>
      <c r="Y83" s="59"/>
      <c r="Z83" s="59"/>
      <c r="AA83" s="40"/>
      <c r="AB83" s="59"/>
      <c r="AC83" s="59"/>
      <c r="AD83" s="59"/>
      <c r="AE83" s="399"/>
      <c r="AF83" s="202"/>
      <c r="AG83" s="59"/>
      <c r="AH83" s="59"/>
      <c r="AI83" s="40"/>
      <c r="AJ83" s="59"/>
      <c r="AK83" s="59"/>
      <c r="AL83" s="59"/>
      <c r="AM83" s="59"/>
      <c r="AN83" s="59"/>
      <c r="AO83" s="295">
        <v>99999</v>
      </c>
      <c r="AP83" s="295">
        <v>99999</v>
      </c>
      <c r="AQ83" s="295">
        <v>99999</v>
      </c>
      <c r="AR83" s="295">
        <v>-99999</v>
      </c>
      <c r="AS83" s="295">
        <v>-99999</v>
      </c>
      <c r="AT83" s="295">
        <v>-99999</v>
      </c>
      <c r="AU83" s="295">
        <v>0</v>
      </c>
      <c r="AV83" s="59"/>
      <c r="AW83" s="18">
        <f t="shared" si="1"/>
        <v>25</v>
      </c>
    </row>
    <row r="84" spans="1:87" s="20" customFormat="1" ht="15">
      <c r="A84" s="13">
        <f t="shared" si="0"/>
        <v>78</v>
      </c>
      <c r="B84" s="38"/>
      <c r="C84" s="41"/>
      <c r="D84" s="38"/>
      <c r="E84" s="46"/>
      <c r="F84" s="46"/>
      <c r="G84" s="46"/>
      <c r="H84" s="13"/>
      <c r="I84" s="40"/>
      <c r="J84" s="298" t="s">
        <v>2916</v>
      </c>
      <c r="K84" s="297" t="s">
        <v>163</v>
      </c>
      <c r="L84" s="231" t="s">
        <v>2917</v>
      </c>
      <c r="M84" s="231"/>
      <c r="N84" s="295" t="s">
        <v>2098</v>
      </c>
      <c r="O84" s="295"/>
      <c r="P84" s="295" t="s">
        <v>2889</v>
      </c>
      <c r="Q84" s="292" t="s">
        <v>6</v>
      </c>
      <c r="R84" s="292"/>
      <c r="S84" s="292"/>
      <c r="T84" s="292"/>
      <c r="U84" s="315"/>
      <c r="V84" s="206"/>
      <c r="W84" s="399"/>
      <c r="X84" s="59"/>
      <c r="Y84" s="59"/>
      <c r="Z84" s="59"/>
      <c r="AA84" s="61"/>
      <c r="AB84" s="79"/>
      <c r="AC84" s="59"/>
      <c r="AD84" s="59"/>
      <c r="AE84" s="399"/>
      <c r="AF84" s="59"/>
      <c r="AG84" s="59"/>
      <c r="AH84" s="59"/>
      <c r="AI84" s="61"/>
      <c r="AJ84" s="79"/>
      <c r="AK84" s="59"/>
      <c r="AL84" s="59"/>
      <c r="AM84" s="43"/>
      <c r="AN84" s="19"/>
      <c r="AO84" s="295">
        <v>99999</v>
      </c>
      <c r="AP84" s="295">
        <v>99999</v>
      </c>
      <c r="AQ84" s="295">
        <v>99999</v>
      </c>
      <c r="AR84" s="295">
        <v>-99999</v>
      </c>
      <c r="AS84" s="295">
        <v>-99999</v>
      </c>
      <c r="AT84" s="295">
        <v>-99999</v>
      </c>
      <c r="AU84" s="295">
        <v>0</v>
      </c>
      <c r="AV84" s="19"/>
      <c r="AW84" s="18">
        <f>LEN(L84)</f>
        <v>37</v>
      </c>
    </row>
    <row r="85" spans="1:87" s="20" customFormat="1" ht="15">
      <c r="A85" s="13">
        <f t="shared" si="0"/>
        <v>79</v>
      </c>
      <c r="B85" s="38"/>
      <c r="C85" s="41"/>
      <c r="D85" s="38"/>
      <c r="E85" s="46"/>
      <c r="F85" s="46"/>
      <c r="G85" s="46"/>
      <c r="H85" s="13"/>
      <c r="I85" s="40"/>
      <c r="J85" s="298" t="s">
        <v>2918</v>
      </c>
      <c r="K85" s="297" t="s">
        <v>163</v>
      </c>
      <c r="L85" s="231" t="s">
        <v>2919</v>
      </c>
      <c r="M85" s="231"/>
      <c r="N85" s="295" t="s">
        <v>2893</v>
      </c>
      <c r="O85" s="295"/>
      <c r="P85" s="295"/>
      <c r="Q85" s="292" t="s">
        <v>6</v>
      </c>
      <c r="R85" s="292"/>
      <c r="S85" s="292"/>
      <c r="T85" s="292"/>
      <c r="U85" s="315"/>
      <c r="V85" s="206"/>
      <c r="W85" s="399"/>
      <c r="X85" s="59"/>
      <c r="Y85" s="59"/>
      <c r="Z85" s="59"/>
      <c r="AA85" s="61"/>
      <c r="AB85" s="79"/>
      <c r="AC85" s="59"/>
      <c r="AD85" s="59"/>
      <c r="AE85" s="399"/>
      <c r="AF85" s="59"/>
      <c r="AG85" s="59"/>
      <c r="AH85" s="59"/>
      <c r="AI85" s="61"/>
      <c r="AJ85" s="79"/>
      <c r="AK85" s="59"/>
      <c r="AL85" s="59"/>
      <c r="AM85" s="43"/>
      <c r="AN85" s="19"/>
      <c r="AO85" s="295">
        <v>99999</v>
      </c>
      <c r="AP85" s="295">
        <v>99999</v>
      </c>
      <c r="AQ85" s="295">
        <v>99999</v>
      </c>
      <c r="AR85" s="295">
        <v>-99999</v>
      </c>
      <c r="AS85" s="295">
        <v>-99999</v>
      </c>
      <c r="AT85" s="295">
        <v>-99999</v>
      </c>
      <c r="AU85" s="295">
        <v>0</v>
      </c>
      <c r="AV85" s="19"/>
      <c r="AW85" s="18">
        <f t="shared" si="1"/>
        <v>24</v>
      </c>
    </row>
    <row r="86" spans="1:87" s="18" customFormat="1" ht="15">
      <c r="A86" s="13">
        <f t="shared" si="0"/>
        <v>80</v>
      </c>
      <c r="B86" s="38"/>
      <c r="C86" s="42"/>
      <c r="D86" s="38"/>
      <c r="E86" s="46"/>
      <c r="F86" s="46"/>
      <c r="G86" s="46"/>
      <c r="H86" s="13"/>
      <c r="I86" s="40"/>
      <c r="J86" s="298" t="s">
        <v>2920</v>
      </c>
      <c r="K86" s="297" t="s">
        <v>163</v>
      </c>
      <c r="L86" s="231" t="s">
        <v>2921</v>
      </c>
      <c r="M86" s="231"/>
      <c r="N86" s="295" t="s">
        <v>2893</v>
      </c>
      <c r="O86" s="295"/>
      <c r="P86" s="295"/>
      <c r="Q86" s="292" t="s">
        <v>6</v>
      </c>
      <c r="R86" s="292"/>
      <c r="S86" s="292"/>
      <c r="T86" s="292"/>
      <c r="U86" s="315"/>
      <c r="V86" s="206"/>
      <c r="W86" s="399"/>
      <c r="X86" s="59"/>
      <c r="Y86" s="59"/>
      <c r="Z86" s="59"/>
      <c r="AA86" s="40"/>
      <c r="AB86" s="400"/>
      <c r="AC86" s="400"/>
      <c r="AD86" s="400"/>
      <c r="AE86" s="399"/>
      <c r="AF86" s="59"/>
      <c r="AG86" s="59"/>
      <c r="AH86" s="59"/>
      <c r="AI86" s="40"/>
      <c r="AJ86" s="400"/>
      <c r="AK86" s="400"/>
      <c r="AL86" s="400"/>
      <c r="AM86" s="43"/>
      <c r="AN86" s="19"/>
      <c r="AO86" s="295">
        <v>99999</v>
      </c>
      <c r="AP86" s="295">
        <v>99999</v>
      </c>
      <c r="AQ86" s="295">
        <v>99999</v>
      </c>
      <c r="AR86" s="295">
        <v>-99999</v>
      </c>
      <c r="AS86" s="295">
        <v>-99999</v>
      </c>
      <c r="AT86" s="295">
        <v>-99999</v>
      </c>
      <c r="AU86" s="295">
        <v>0</v>
      </c>
      <c r="AV86" s="13"/>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row>
    <row r="87" spans="1:87" s="236" customFormat="1" ht="15">
      <c r="A87" s="13">
        <f t="shared" si="0"/>
        <v>81</v>
      </c>
      <c r="B87" s="199"/>
      <c r="C87" s="199"/>
      <c r="D87" s="199"/>
      <c r="E87" s="199"/>
      <c r="F87" s="199"/>
      <c r="G87" s="199"/>
      <c r="H87" s="199"/>
      <c r="I87" s="199"/>
      <c r="J87" s="218"/>
      <c r="K87" s="399"/>
      <c r="L87" s="204"/>
      <c r="M87" s="204"/>
      <c r="N87" s="126"/>
      <c r="O87" s="126"/>
      <c r="P87" s="126"/>
      <c r="Q87" s="40"/>
      <c r="R87" s="40"/>
      <c r="S87" s="40"/>
      <c r="T87" s="40"/>
      <c r="U87" s="206"/>
      <c r="V87" s="198"/>
      <c r="W87" s="204"/>
      <c r="X87" s="199"/>
      <c r="Y87" s="199"/>
      <c r="Z87" s="199"/>
      <c r="AA87" s="40"/>
      <c r="AB87" s="198"/>
      <c r="AC87" s="199"/>
      <c r="AD87" s="199"/>
      <c r="AE87" s="204"/>
      <c r="AF87" s="199"/>
      <c r="AG87" s="199"/>
      <c r="AH87" s="199"/>
      <c r="AI87" s="40"/>
      <c r="AJ87" s="198"/>
      <c r="AK87" s="199"/>
      <c r="AL87" s="199"/>
      <c r="AM87" s="199"/>
      <c r="AN87" s="199"/>
      <c r="AO87" s="199"/>
      <c r="AP87" s="199"/>
      <c r="AQ87" s="199"/>
      <c r="AR87" s="199"/>
      <c r="AS87" s="199"/>
      <c r="AT87" s="199"/>
      <c r="AU87" s="199"/>
      <c r="AV87" s="199"/>
      <c r="AW87" s="155"/>
    </row>
    <row r="88" spans="1:87" ht="15">
      <c r="A88" s="13">
        <f t="shared" si="0"/>
        <v>82</v>
      </c>
      <c r="B88" s="65"/>
      <c r="C88" s="65"/>
      <c r="D88" s="65"/>
      <c r="E88" s="65"/>
      <c r="F88" s="65"/>
      <c r="G88" s="65"/>
      <c r="H88" s="65"/>
      <c r="I88" s="65"/>
      <c r="J88" s="73" t="s">
        <v>2770</v>
      </c>
      <c r="K88" s="65"/>
      <c r="L88" s="65"/>
      <c r="M88" s="65"/>
      <c r="N88" s="137"/>
      <c r="O88" s="137"/>
      <c r="P88" s="137"/>
      <c r="Q88" s="137"/>
      <c r="R88" s="137"/>
      <c r="S88" s="137"/>
      <c r="T88" s="137"/>
      <c r="U88" s="73"/>
      <c r="V88" s="73"/>
      <c r="W88" s="65"/>
      <c r="X88" s="65"/>
      <c r="Y88" s="65"/>
      <c r="Z88" s="65"/>
      <c r="AA88" s="65"/>
      <c r="AB88" s="65"/>
      <c r="AC88" s="65"/>
      <c r="AD88" s="65"/>
      <c r="AE88" s="65"/>
      <c r="AF88" s="65"/>
      <c r="AG88" s="65"/>
      <c r="AH88" s="65"/>
      <c r="AI88" s="65"/>
      <c r="AJ88" s="73"/>
      <c r="AK88" s="65"/>
      <c r="AL88" s="65"/>
      <c r="AM88" s="65"/>
      <c r="AN88" s="65"/>
      <c r="AO88" s="65"/>
      <c r="AP88" s="65"/>
      <c r="AQ88" s="65"/>
      <c r="AR88" s="65"/>
      <c r="AS88" s="65"/>
      <c r="AT88" s="65"/>
      <c r="AU88" s="65"/>
      <c r="AV88" s="65"/>
      <c r="AW88" s="18">
        <f>LEN(L88)</f>
        <v>0</v>
      </c>
    </row>
    <row r="89" spans="1:87" s="236" customFormat="1" ht="15">
      <c r="A89" s="13">
        <f t="shared" si="0"/>
        <v>83</v>
      </c>
      <c r="B89" s="199"/>
      <c r="C89" s="199"/>
      <c r="D89" s="199"/>
      <c r="E89" s="199"/>
      <c r="F89" s="199"/>
      <c r="G89" s="199"/>
      <c r="H89" s="199"/>
      <c r="I89" s="199"/>
      <c r="J89" s="298" t="s">
        <v>2922</v>
      </c>
      <c r="K89" s="297" t="s">
        <v>163</v>
      </c>
      <c r="L89" s="231" t="s">
        <v>2923</v>
      </c>
      <c r="M89" s="231"/>
      <c r="N89" s="292"/>
      <c r="O89" s="295"/>
      <c r="P89" s="292" t="s">
        <v>2924</v>
      </c>
      <c r="Q89" s="292" t="s">
        <v>6</v>
      </c>
      <c r="R89" s="292"/>
      <c r="S89" s="292"/>
      <c r="T89" s="292"/>
      <c r="U89" s="315"/>
      <c r="V89" s="204"/>
      <c r="W89" s="232"/>
      <c r="X89" s="199"/>
      <c r="Y89" s="199"/>
      <c r="Z89" s="199"/>
      <c r="AA89" s="126"/>
      <c r="AB89" s="198"/>
      <c r="AC89" s="199"/>
      <c r="AD89" s="199"/>
      <c r="AE89" s="232"/>
      <c r="AF89" s="199"/>
      <c r="AG89" s="199"/>
      <c r="AH89" s="199"/>
      <c r="AI89" s="126"/>
      <c r="AJ89" s="198"/>
      <c r="AK89" s="199"/>
      <c r="AL89" s="199"/>
      <c r="AM89" s="199"/>
      <c r="AN89" s="199"/>
      <c r="AO89" s="295">
        <v>9999</v>
      </c>
      <c r="AP89" s="295">
        <v>9999</v>
      </c>
      <c r="AQ89" s="295">
        <v>9999</v>
      </c>
      <c r="AR89" s="199"/>
      <c r="AS89" s="199"/>
      <c r="AT89" s="199"/>
      <c r="AU89" s="199"/>
      <c r="AV89" s="199"/>
      <c r="AW89" s="155">
        <f>LEN(L89)</f>
        <v>11</v>
      </c>
    </row>
    <row r="90" spans="1:87" s="236" customFormat="1" ht="15">
      <c r="A90" s="13"/>
      <c r="B90" s="199"/>
      <c r="C90" s="199"/>
      <c r="D90" s="199"/>
      <c r="E90" s="199"/>
      <c r="F90" s="199"/>
      <c r="G90" s="199"/>
      <c r="H90" s="199"/>
      <c r="I90" s="199"/>
      <c r="J90" s="298" t="s">
        <v>2925</v>
      </c>
      <c r="K90" s="297" t="s">
        <v>163</v>
      </c>
      <c r="L90" s="231" t="s">
        <v>2926</v>
      </c>
      <c r="M90" s="231"/>
      <c r="N90" s="292"/>
      <c r="O90" s="295"/>
      <c r="P90" s="292" t="s">
        <v>2927</v>
      </c>
      <c r="Q90" s="292" t="s">
        <v>6</v>
      </c>
      <c r="R90" s="292"/>
      <c r="S90" s="292"/>
      <c r="T90" s="292"/>
      <c r="U90" s="315"/>
      <c r="V90" s="204"/>
      <c r="W90" s="232"/>
      <c r="X90" s="199"/>
      <c r="Y90" s="199"/>
      <c r="Z90" s="199"/>
      <c r="AA90" s="126"/>
      <c r="AB90" s="198"/>
      <c r="AC90" s="199"/>
      <c r="AD90" s="199"/>
      <c r="AE90" s="232"/>
      <c r="AF90" s="199"/>
      <c r="AG90" s="199"/>
      <c r="AH90" s="199"/>
      <c r="AI90" s="126"/>
      <c r="AJ90" s="198"/>
      <c r="AK90" s="199"/>
      <c r="AL90" s="199"/>
      <c r="AM90" s="199"/>
      <c r="AN90" s="199"/>
      <c r="AO90" s="295">
        <v>9999</v>
      </c>
      <c r="AP90" s="295">
        <v>9999</v>
      </c>
      <c r="AQ90" s="295">
        <v>9999</v>
      </c>
      <c r="AR90" s="199"/>
      <c r="AS90" s="199"/>
      <c r="AT90" s="199"/>
      <c r="AU90" s="199"/>
      <c r="AV90" s="199"/>
      <c r="AW90" s="155"/>
    </row>
    <row r="91" spans="1:87" s="18" customFormat="1" ht="15">
      <c r="A91" s="13">
        <f t="shared" si="0"/>
        <v>85</v>
      </c>
      <c r="B91" s="19"/>
      <c r="C91" s="41"/>
      <c r="D91" s="19"/>
      <c r="E91" s="19"/>
      <c r="F91" s="19"/>
      <c r="G91" s="19"/>
      <c r="H91" s="13"/>
      <c r="I91" s="13"/>
      <c r="J91" s="218"/>
      <c r="K91" s="399"/>
      <c r="L91" s="204"/>
      <c r="M91" s="367"/>
      <c r="N91" s="226"/>
      <c r="O91" s="126"/>
      <c r="P91" s="126"/>
      <c r="Q91" s="404"/>
      <c r="R91" s="404"/>
      <c r="S91" s="40"/>
      <c r="T91" s="40"/>
      <c r="U91" s="206"/>
      <c r="V91" s="206"/>
      <c r="W91" s="399"/>
      <c r="X91" s="59"/>
      <c r="Y91" s="59"/>
      <c r="Z91" s="59"/>
      <c r="AA91" s="61"/>
      <c r="AB91" s="309"/>
      <c r="AC91" s="260"/>
      <c r="AD91" s="310"/>
      <c r="AE91" s="399"/>
      <c r="AF91" s="59"/>
      <c r="AG91" s="59"/>
      <c r="AH91" s="59"/>
      <c r="AI91" s="61"/>
      <c r="AJ91" s="309"/>
      <c r="AK91" s="260"/>
      <c r="AL91" s="310"/>
      <c r="AM91" s="43"/>
      <c r="AN91" s="19"/>
      <c r="AO91" s="15"/>
      <c r="AP91" s="15"/>
      <c r="AQ91" s="15"/>
      <c r="AR91" s="15"/>
      <c r="AS91" s="15"/>
      <c r="AT91" s="15"/>
      <c r="AU91" s="13"/>
      <c r="AV91" s="15"/>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row>
    <row r="92" spans="1:87" s="18" customFormat="1" ht="15">
      <c r="A92" s="13">
        <f t="shared" si="0"/>
        <v>86</v>
      </c>
      <c r="B92" s="38"/>
      <c r="C92" s="42"/>
      <c r="D92" s="38"/>
      <c r="E92" s="46"/>
      <c r="F92" s="46"/>
      <c r="G92" s="46"/>
      <c r="H92" s="13"/>
      <c r="I92" s="40"/>
      <c r="J92" s="218"/>
      <c r="K92" s="399"/>
      <c r="L92" s="204"/>
      <c r="M92" s="367"/>
      <c r="N92" s="404"/>
      <c r="O92" s="126"/>
      <c r="P92" s="126"/>
      <c r="Q92" s="404"/>
      <c r="R92" s="404"/>
      <c r="S92" s="40"/>
      <c r="T92" s="40"/>
      <c r="U92" s="206"/>
      <c r="V92" s="206"/>
      <c r="W92" s="399"/>
      <c r="X92" s="59"/>
      <c r="Y92" s="59"/>
      <c r="Z92" s="59"/>
      <c r="AA92" s="40"/>
      <c r="AB92" s="400"/>
      <c r="AC92" s="400"/>
      <c r="AD92" s="400"/>
      <c r="AE92" s="399"/>
      <c r="AF92" s="59"/>
      <c r="AG92" s="59"/>
      <c r="AH92" s="59"/>
      <c r="AI92" s="40"/>
      <c r="AJ92" s="400"/>
      <c r="AK92" s="400"/>
      <c r="AL92" s="400"/>
      <c r="AM92" s="43"/>
      <c r="AN92" s="19"/>
      <c r="AO92" s="15"/>
      <c r="AP92" s="15"/>
      <c r="AQ92" s="15"/>
      <c r="AR92" s="15"/>
      <c r="AS92" s="15"/>
      <c r="AT92" s="15"/>
      <c r="AU92" s="15"/>
      <c r="AV92" s="13"/>
      <c r="AW92" s="18">
        <f t="shared" si="1"/>
        <v>0</v>
      </c>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row>
    <row r="93" spans="1:87" ht="15">
      <c r="A93" s="13">
        <f t="shared" si="0"/>
        <v>87</v>
      </c>
      <c r="B93" s="62"/>
      <c r="C93" s="62"/>
      <c r="D93" s="62"/>
      <c r="E93" s="62"/>
      <c r="F93" s="62"/>
      <c r="G93" s="62"/>
      <c r="H93" s="62"/>
      <c r="I93" s="62"/>
      <c r="J93" s="62" t="s">
        <v>858</v>
      </c>
      <c r="K93" s="63"/>
      <c r="L93" s="63"/>
      <c r="M93" s="63"/>
      <c r="N93" s="139"/>
      <c r="O93" s="139"/>
      <c r="P93" s="139"/>
      <c r="Q93" s="139"/>
      <c r="R93" s="139"/>
      <c r="S93" s="139"/>
      <c r="T93" s="139"/>
      <c r="U93" s="311"/>
      <c r="V93" s="311"/>
      <c r="W93" s="63"/>
      <c r="X93" s="63"/>
      <c r="Y93" s="63"/>
      <c r="Z93" s="63"/>
      <c r="AA93" s="63"/>
      <c r="AB93" s="312"/>
      <c r="AC93" s="63"/>
      <c r="AD93" s="63"/>
      <c r="AE93" s="63"/>
      <c r="AF93" s="63"/>
      <c r="AG93" s="63"/>
      <c r="AH93" s="63"/>
      <c r="AI93" s="63"/>
      <c r="AJ93" s="312"/>
      <c r="AK93" s="63"/>
      <c r="AL93" s="63"/>
      <c r="AM93" s="63"/>
      <c r="AN93" s="63"/>
      <c r="AO93" s="63"/>
      <c r="AP93" s="63"/>
      <c r="AQ93" s="63"/>
      <c r="AR93" s="63"/>
      <c r="AS93" s="63"/>
      <c r="AT93" s="63"/>
      <c r="AU93" s="63"/>
      <c r="AV93" s="63"/>
      <c r="AW93" s="18">
        <f t="shared" si="1"/>
        <v>0</v>
      </c>
    </row>
    <row r="94" spans="1:87" s="20" customFormat="1" ht="15">
      <c r="A94" s="13">
        <f t="shared" si="0"/>
        <v>88</v>
      </c>
      <c r="B94" s="59"/>
      <c r="C94" s="59"/>
      <c r="D94" s="59"/>
      <c r="E94" s="59"/>
      <c r="F94" s="59"/>
      <c r="G94" s="59"/>
      <c r="H94" s="59"/>
      <c r="I94" s="59"/>
      <c r="J94" s="298" t="s">
        <v>2875</v>
      </c>
      <c r="K94" s="297"/>
      <c r="L94" s="297" t="s">
        <v>2928</v>
      </c>
      <c r="M94" s="297"/>
      <c r="N94" s="292" t="s">
        <v>266</v>
      </c>
      <c r="O94" s="292"/>
      <c r="P94" s="295"/>
      <c r="Q94" s="292"/>
      <c r="R94" s="292"/>
      <c r="S94" s="292"/>
      <c r="T94" s="292"/>
      <c r="U94" s="231"/>
      <c r="V94" s="59"/>
      <c r="W94" s="215"/>
      <c r="X94" s="202"/>
      <c r="Y94" s="59"/>
      <c r="Z94" s="59"/>
      <c r="AA94" s="13"/>
      <c r="AB94" s="59"/>
      <c r="AC94" s="59"/>
      <c r="AD94" s="59"/>
      <c r="AE94" s="215"/>
      <c r="AF94" s="202"/>
      <c r="AG94" s="59"/>
      <c r="AH94" s="59"/>
      <c r="AI94" s="13"/>
      <c r="AJ94" s="59"/>
      <c r="AK94" s="59"/>
      <c r="AL94" s="59"/>
      <c r="AM94" s="59"/>
      <c r="AN94" s="59"/>
      <c r="AO94" s="59"/>
      <c r="AP94" s="59"/>
      <c r="AQ94" s="59"/>
      <c r="AR94" s="59"/>
      <c r="AS94" s="59"/>
      <c r="AT94" s="59"/>
      <c r="AU94" s="59"/>
      <c r="AV94" s="59"/>
      <c r="AW94" s="18">
        <f>LEN(L94)</f>
        <v>36</v>
      </c>
    </row>
    <row r="95" spans="1:87" s="20" customFormat="1" ht="15">
      <c r="A95" s="13">
        <f t="shared" si="0"/>
        <v>89</v>
      </c>
      <c r="B95" s="59"/>
      <c r="C95" s="59"/>
      <c r="D95" s="59"/>
      <c r="E95" s="59"/>
      <c r="F95" s="59"/>
      <c r="G95" s="59"/>
      <c r="H95" s="59"/>
      <c r="I95" s="59"/>
      <c r="J95" s="299" t="s">
        <v>2880</v>
      </c>
      <c r="K95" s="299"/>
      <c r="L95" s="299" t="s">
        <v>2929</v>
      </c>
      <c r="M95" s="299"/>
      <c r="N95" s="292" t="s">
        <v>266</v>
      </c>
      <c r="O95" s="296"/>
      <c r="P95" s="295"/>
      <c r="Q95" s="295"/>
      <c r="R95" s="295"/>
      <c r="S95" s="295"/>
      <c r="T95" s="295"/>
      <c r="U95" s="304"/>
      <c r="V95" s="59"/>
      <c r="W95" s="215"/>
      <c r="X95" s="202"/>
      <c r="Y95" s="59"/>
      <c r="Z95" s="59"/>
      <c r="AA95" s="13"/>
      <c r="AB95" s="59"/>
      <c r="AC95" s="59"/>
      <c r="AD95" s="59"/>
      <c r="AE95" s="215"/>
      <c r="AF95" s="202"/>
      <c r="AG95" s="59"/>
      <c r="AH95" s="59"/>
      <c r="AI95" s="13"/>
      <c r="AJ95" s="59"/>
      <c r="AK95" s="59"/>
      <c r="AL95" s="59"/>
      <c r="AM95" s="59"/>
      <c r="AN95" s="59"/>
      <c r="AO95" s="59"/>
      <c r="AP95" s="59"/>
      <c r="AQ95" s="59"/>
      <c r="AR95" s="59"/>
      <c r="AS95" s="59"/>
      <c r="AT95" s="59"/>
      <c r="AU95" s="59"/>
      <c r="AV95" s="59"/>
      <c r="AW95" s="18">
        <f t="shared" si="1"/>
        <v>38</v>
      </c>
    </row>
    <row r="96" spans="1:87" s="20" customFormat="1" ht="15">
      <c r="A96" s="13">
        <f t="shared" si="0"/>
        <v>90</v>
      </c>
      <c r="B96" s="59"/>
      <c r="C96" s="59"/>
      <c r="D96" s="59"/>
      <c r="E96" s="59"/>
      <c r="F96" s="59"/>
      <c r="G96" s="59"/>
      <c r="H96" s="59"/>
      <c r="I96" s="59"/>
      <c r="J96" s="299" t="s">
        <v>2885</v>
      </c>
      <c r="K96" s="316"/>
      <c r="L96" s="299" t="s">
        <v>2930</v>
      </c>
      <c r="M96" s="299"/>
      <c r="N96" s="292" t="s">
        <v>266</v>
      </c>
      <c r="O96" s="296"/>
      <c r="P96" s="295"/>
      <c r="Q96" s="295"/>
      <c r="R96" s="295"/>
      <c r="S96" s="295"/>
      <c r="T96" s="295"/>
      <c r="U96" s="315"/>
      <c r="V96" s="206"/>
      <c r="W96" s="215"/>
      <c r="X96" s="202"/>
      <c r="Y96" s="59"/>
      <c r="Z96" s="59"/>
      <c r="AA96" s="13"/>
      <c r="AB96" s="59"/>
      <c r="AC96" s="59"/>
      <c r="AD96" s="59"/>
      <c r="AE96" s="215"/>
      <c r="AF96" s="202"/>
      <c r="AG96" s="59"/>
      <c r="AH96" s="59"/>
      <c r="AI96" s="13"/>
      <c r="AJ96" s="59"/>
      <c r="AK96" s="59"/>
      <c r="AL96" s="59"/>
      <c r="AM96" s="59"/>
      <c r="AN96" s="59"/>
      <c r="AO96" s="59"/>
      <c r="AP96" s="59"/>
      <c r="AQ96" s="59"/>
      <c r="AR96" s="59"/>
      <c r="AS96" s="59"/>
      <c r="AT96" s="59"/>
      <c r="AU96" s="59"/>
      <c r="AV96" s="59"/>
      <c r="AW96" s="18">
        <f t="shared" si="1"/>
        <v>39</v>
      </c>
    </row>
    <row r="97" spans="1:49" s="20" customFormat="1" ht="15">
      <c r="A97" s="13">
        <f t="shared" si="0"/>
        <v>91</v>
      </c>
      <c r="B97" s="59"/>
      <c r="C97" s="59"/>
      <c r="D97" s="59"/>
      <c r="E97" s="59"/>
      <c r="F97" s="59"/>
      <c r="G97" s="59"/>
      <c r="H97" s="59"/>
      <c r="I97" s="59"/>
      <c r="J97" s="299" t="s">
        <v>2931</v>
      </c>
      <c r="K97" s="316"/>
      <c r="L97" s="299" t="s">
        <v>2932</v>
      </c>
      <c r="M97" s="299"/>
      <c r="N97" s="292" t="s">
        <v>266</v>
      </c>
      <c r="O97" s="296"/>
      <c r="P97" s="295"/>
      <c r="Q97" s="295"/>
      <c r="R97" s="295"/>
      <c r="S97" s="295"/>
      <c r="T97" s="295"/>
      <c r="U97" s="315"/>
      <c r="V97" s="206"/>
      <c r="W97" s="215"/>
      <c r="X97" s="202"/>
      <c r="Y97" s="59"/>
      <c r="Z97" s="59"/>
      <c r="AA97" s="13"/>
      <c r="AB97" s="59"/>
      <c r="AC97" s="59"/>
      <c r="AD97" s="59"/>
      <c r="AE97" s="215"/>
      <c r="AF97" s="202"/>
      <c r="AG97" s="59"/>
      <c r="AH97" s="59"/>
      <c r="AI97" s="13"/>
      <c r="AJ97" s="59"/>
      <c r="AK97" s="59"/>
      <c r="AL97" s="59"/>
      <c r="AM97" s="59"/>
      <c r="AN97" s="59"/>
      <c r="AO97" s="59"/>
      <c r="AP97" s="59"/>
      <c r="AQ97" s="59"/>
      <c r="AR97" s="59"/>
      <c r="AS97" s="59"/>
      <c r="AT97" s="59"/>
      <c r="AU97" s="59"/>
      <c r="AV97" s="59"/>
      <c r="AW97" s="18"/>
    </row>
    <row r="98" spans="1:49" s="20" customFormat="1" ht="15">
      <c r="A98" s="13">
        <f t="shared" si="0"/>
        <v>92</v>
      </c>
      <c r="B98" s="59"/>
      <c r="C98" s="59"/>
      <c r="D98" s="59"/>
      <c r="E98" s="59"/>
      <c r="F98" s="59"/>
      <c r="G98" s="59"/>
      <c r="H98" s="59"/>
      <c r="I98" s="59"/>
      <c r="J98" s="299" t="s">
        <v>2933</v>
      </c>
      <c r="K98" s="316"/>
      <c r="L98" s="299" t="s">
        <v>2934</v>
      </c>
      <c r="M98" s="299"/>
      <c r="N98" s="292" t="s">
        <v>266</v>
      </c>
      <c r="O98" s="296"/>
      <c r="P98" s="295"/>
      <c r="Q98" s="295"/>
      <c r="R98" s="295"/>
      <c r="S98" s="295"/>
      <c r="T98" s="295"/>
      <c r="U98" s="315"/>
      <c r="V98" s="206"/>
      <c r="W98" s="215"/>
      <c r="X98" s="202"/>
      <c r="Y98" s="59"/>
      <c r="Z98" s="59"/>
      <c r="AA98" s="13"/>
      <c r="AB98" s="59"/>
      <c r="AC98" s="59"/>
      <c r="AD98" s="59"/>
      <c r="AE98" s="215"/>
      <c r="AF98" s="202"/>
      <c r="AG98" s="59"/>
      <c r="AH98" s="59"/>
      <c r="AI98" s="13"/>
      <c r="AJ98" s="59"/>
      <c r="AK98" s="59"/>
      <c r="AL98" s="59"/>
      <c r="AM98" s="59"/>
      <c r="AN98" s="59"/>
      <c r="AO98" s="59"/>
      <c r="AP98" s="59"/>
      <c r="AQ98" s="59"/>
      <c r="AR98" s="59"/>
      <c r="AS98" s="59"/>
      <c r="AT98" s="59"/>
      <c r="AU98" s="59"/>
      <c r="AV98" s="59"/>
      <c r="AW98" s="18"/>
    </row>
    <row r="99" spans="1:49" s="20" customFormat="1" ht="15">
      <c r="A99" s="13"/>
      <c r="B99" s="59"/>
      <c r="C99" s="59"/>
      <c r="D99" s="59"/>
      <c r="E99" s="59"/>
      <c r="F99" s="59"/>
      <c r="G99" s="59"/>
      <c r="H99" s="59"/>
      <c r="I99" s="59"/>
      <c r="J99" s="299" t="s">
        <v>2935</v>
      </c>
      <c r="K99" s="316"/>
      <c r="L99" s="299" t="s">
        <v>2936</v>
      </c>
      <c r="M99" s="299"/>
      <c r="N99" s="292" t="s">
        <v>266</v>
      </c>
      <c r="O99" s="296"/>
      <c r="P99" s="295"/>
      <c r="Q99" s="295"/>
      <c r="R99" s="295"/>
      <c r="S99" s="295"/>
      <c r="T99" s="295"/>
      <c r="U99" s="315"/>
      <c r="V99" s="206"/>
      <c r="W99" s="215"/>
      <c r="X99" s="202"/>
      <c r="Y99" s="59"/>
      <c r="Z99" s="59"/>
      <c r="AA99" s="13"/>
      <c r="AB99" s="59"/>
      <c r="AC99" s="59"/>
      <c r="AD99" s="59"/>
      <c r="AE99" s="215"/>
      <c r="AF99" s="202"/>
      <c r="AG99" s="59"/>
      <c r="AH99" s="59"/>
      <c r="AI99" s="13"/>
      <c r="AJ99" s="59"/>
      <c r="AK99" s="59"/>
      <c r="AL99" s="59"/>
      <c r="AM99" s="59"/>
      <c r="AN99" s="59"/>
      <c r="AO99" s="59"/>
      <c r="AP99" s="59"/>
      <c r="AQ99" s="59"/>
      <c r="AR99" s="59"/>
      <c r="AS99" s="59"/>
      <c r="AT99" s="59"/>
      <c r="AU99" s="59"/>
      <c r="AV99" s="59"/>
      <c r="AW99" s="18"/>
    </row>
    <row r="100" spans="1:49" ht="15">
      <c r="A100" s="13">
        <f t="shared" si="0"/>
        <v>94</v>
      </c>
      <c r="B100" s="59"/>
      <c r="C100" s="59"/>
      <c r="D100" s="59"/>
      <c r="E100" s="59"/>
      <c r="F100" s="59"/>
      <c r="G100" s="59"/>
      <c r="H100" s="59"/>
      <c r="I100" s="59"/>
      <c r="J100" s="299" t="s">
        <v>2937</v>
      </c>
      <c r="K100" s="316"/>
      <c r="L100" s="299" t="s">
        <v>2938</v>
      </c>
      <c r="M100" s="299"/>
      <c r="N100" s="292" t="s">
        <v>266</v>
      </c>
      <c r="O100" s="296"/>
      <c r="P100" s="295"/>
      <c r="Q100" s="295"/>
      <c r="R100" s="295"/>
      <c r="S100" s="295"/>
      <c r="T100" s="295"/>
      <c r="U100" s="315"/>
      <c r="V100" s="206"/>
      <c r="W100" s="215"/>
      <c r="X100" s="202"/>
      <c r="Y100" s="59"/>
      <c r="Z100" s="59"/>
      <c r="AA100" s="13"/>
      <c r="AB100" s="59"/>
      <c r="AC100" s="59"/>
      <c r="AD100" s="59"/>
      <c r="AE100" s="215"/>
      <c r="AF100" s="202"/>
      <c r="AG100" s="59"/>
      <c r="AH100" s="59"/>
      <c r="AI100" s="13"/>
      <c r="AJ100" s="59"/>
      <c r="AK100" s="59"/>
      <c r="AL100" s="59"/>
      <c r="AM100" s="59"/>
      <c r="AN100" s="59"/>
      <c r="AO100" s="59"/>
      <c r="AP100" s="59"/>
      <c r="AQ100" s="59"/>
      <c r="AR100" s="59"/>
      <c r="AS100" s="59"/>
      <c r="AT100" s="59"/>
      <c r="AU100" s="59"/>
      <c r="AV100" s="59"/>
      <c r="AW100" s="18">
        <f t="shared" si="1"/>
        <v>33</v>
      </c>
    </row>
    <row r="101" spans="1:49" ht="15">
      <c r="A101" s="13">
        <f t="shared" si="0"/>
        <v>95</v>
      </c>
      <c r="B101" s="59"/>
      <c r="C101" s="59"/>
      <c r="D101" s="59"/>
      <c r="E101" s="59"/>
      <c r="F101" s="59"/>
      <c r="G101" s="59"/>
      <c r="H101" s="59"/>
      <c r="I101" s="59"/>
      <c r="J101" s="299" t="s">
        <v>2939</v>
      </c>
      <c r="K101" s="316"/>
      <c r="L101" s="299" t="s">
        <v>2940</v>
      </c>
      <c r="M101" s="299"/>
      <c r="N101" s="292" t="s">
        <v>266</v>
      </c>
      <c r="O101" s="296"/>
      <c r="P101" s="295"/>
      <c r="Q101" s="295"/>
      <c r="R101" s="295"/>
      <c r="S101" s="295"/>
      <c r="T101" s="295"/>
      <c r="U101" s="315"/>
      <c r="V101" s="206"/>
      <c r="W101" s="215"/>
      <c r="X101" s="202"/>
      <c r="Y101" s="59"/>
      <c r="Z101" s="59"/>
      <c r="AA101" s="13"/>
      <c r="AB101" s="59"/>
      <c r="AC101" s="59"/>
      <c r="AD101" s="59"/>
      <c r="AE101" s="215"/>
      <c r="AF101" s="202"/>
      <c r="AG101" s="59"/>
      <c r="AH101" s="59"/>
      <c r="AI101" s="13"/>
      <c r="AJ101" s="59"/>
      <c r="AK101" s="59"/>
      <c r="AL101" s="59"/>
      <c r="AM101" s="59"/>
      <c r="AN101" s="59"/>
      <c r="AO101" s="59"/>
      <c r="AP101" s="59"/>
      <c r="AQ101" s="59"/>
      <c r="AR101" s="59"/>
      <c r="AS101" s="59"/>
      <c r="AT101" s="59"/>
      <c r="AU101" s="59"/>
      <c r="AV101" s="59"/>
      <c r="AW101" s="18">
        <f t="shared" si="1"/>
        <v>31</v>
      </c>
    </row>
    <row r="102" spans="1:49" ht="15">
      <c r="A102" s="13"/>
      <c r="B102" s="59"/>
      <c r="C102" s="59"/>
      <c r="D102" s="59"/>
      <c r="E102" s="59"/>
      <c r="F102" s="59"/>
      <c r="G102" s="59"/>
      <c r="H102" s="59"/>
      <c r="I102" s="59"/>
      <c r="J102" s="215"/>
      <c r="K102" s="313"/>
      <c r="L102" s="215"/>
      <c r="M102" s="215"/>
      <c r="N102" s="202"/>
      <c r="O102" s="202"/>
      <c r="P102" s="126"/>
      <c r="Q102" s="126"/>
      <c r="R102" s="126"/>
      <c r="S102" s="126"/>
      <c r="T102" s="126"/>
      <c r="U102" s="206"/>
      <c r="V102" s="206"/>
      <c r="W102" s="215"/>
      <c r="X102" s="202"/>
      <c r="Y102" s="59"/>
      <c r="Z102" s="59"/>
      <c r="AA102" s="13"/>
      <c r="AB102" s="59"/>
      <c r="AC102" s="59"/>
      <c r="AD102" s="59"/>
      <c r="AE102" s="215"/>
      <c r="AF102" s="202"/>
      <c r="AG102" s="59"/>
      <c r="AH102" s="59"/>
      <c r="AI102" s="13"/>
      <c r="AJ102" s="59"/>
      <c r="AK102" s="59"/>
      <c r="AL102" s="59"/>
      <c r="AM102" s="59"/>
      <c r="AN102" s="59"/>
      <c r="AO102" s="59"/>
      <c r="AP102" s="59"/>
      <c r="AQ102" s="59"/>
      <c r="AR102" s="59"/>
      <c r="AS102" s="59"/>
      <c r="AT102" s="59"/>
      <c r="AU102" s="59"/>
      <c r="AV102" s="59"/>
      <c r="AW102" s="18"/>
    </row>
    <row r="103" spans="1:49" ht="15">
      <c r="J103" s="398"/>
      <c r="K103" s="54"/>
      <c r="L103" s="398"/>
      <c r="M103" s="596"/>
      <c r="N103" s="68"/>
      <c r="O103" s="68"/>
      <c r="P103" s="68"/>
      <c r="Q103" s="68"/>
      <c r="R103" s="68"/>
      <c r="S103" s="68"/>
      <c r="T103" s="68"/>
      <c r="U103" s="54"/>
      <c r="V103" s="54"/>
      <c r="W103" s="54"/>
      <c r="X103" s="54"/>
      <c r="Y103" s="54"/>
      <c r="Z103" s="54"/>
      <c r="AA103" s="55"/>
      <c r="AB103" s="55"/>
      <c r="AC103" s="55"/>
      <c r="AD103" s="55"/>
      <c r="AE103" s="54"/>
      <c r="AF103" s="54"/>
      <c r="AG103" s="54"/>
      <c r="AH103" s="54"/>
      <c r="AI103" s="55"/>
      <c r="AJ103" s="54"/>
      <c r="AW103" s="18">
        <f t="shared" si="1"/>
        <v>0</v>
      </c>
    </row>
    <row r="104" spans="1:49" ht="15">
      <c r="J104" s="398"/>
      <c r="K104" s="54"/>
      <c r="L104" s="398"/>
      <c r="M104" s="596"/>
      <c r="N104" s="68"/>
      <c r="O104" s="68"/>
      <c r="P104" s="68"/>
      <c r="Q104" s="68"/>
      <c r="R104" s="68"/>
      <c r="S104" s="68"/>
      <c r="T104" s="68"/>
      <c r="U104" s="54"/>
      <c r="V104" s="54"/>
      <c r="W104" s="54"/>
      <c r="X104" s="54"/>
      <c r="Y104" s="54"/>
      <c r="Z104" s="54"/>
      <c r="AA104" s="55"/>
      <c r="AB104" s="55"/>
      <c r="AC104" s="55"/>
      <c r="AD104" s="55"/>
      <c r="AE104" s="54"/>
      <c r="AF104" s="54"/>
      <c r="AG104" s="54"/>
      <c r="AH104" s="54"/>
      <c r="AI104" s="55"/>
      <c r="AJ104" s="54"/>
      <c r="AW104" s="18">
        <f t="shared" si="1"/>
        <v>0</v>
      </c>
    </row>
    <row r="105" spans="1:49" ht="15">
      <c r="J105" s="398"/>
      <c r="K105" s="54"/>
      <c r="L105" s="398"/>
      <c r="M105" s="596"/>
      <c r="N105" s="68"/>
      <c r="O105" s="68"/>
      <c r="P105" s="68"/>
      <c r="Q105" s="68"/>
      <c r="R105" s="68"/>
      <c r="S105" s="68"/>
      <c r="T105" s="68"/>
      <c r="U105" s="54"/>
      <c r="V105" s="54"/>
      <c r="W105" s="54"/>
      <c r="X105" s="54"/>
      <c r="Y105" s="54"/>
      <c r="Z105" s="54"/>
      <c r="AA105" s="55"/>
      <c r="AB105" s="55"/>
      <c r="AC105" s="55"/>
      <c r="AD105" s="55"/>
      <c r="AE105" s="54"/>
      <c r="AF105" s="54"/>
      <c r="AG105" s="54"/>
      <c r="AH105" s="54"/>
      <c r="AI105" s="55"/>
      <c r="AJ105" s="54"/>
      <c r="AW105" s="18">
        <f t="shared" si="1"/>
        <v>0</v>
      </c>
    </row>
    <row r="106" spans="1:49" ht="15">
      <c r="J106" s="398"/>
      <c r="K106" s="54"/>
      <c r="L106" s="398"/>
      <c r="M106" s="596"/>
      <c r="N106" s="68"/>
      <c r="O106" s="68"/>
      <c r="P106" s="68"/>
      <c r="Q106" s="68"/>
      <c r="R106" s="68"/>
      <c r="S106" s="68"/>
      <c r="T106" s="68"/>
      <c r="U106" s="54"/>
      <c r="V106" s="54"/>
      <c r="W106" s="54"/>
      <c r="X106" s="54"/>
      <c r="Y106" s="54"/>
      <c r="Z106" s="54"/>
      <c r="AA106" s="55"/>
      <c r="AB106" s="55"/>
      <c r="AC106" s="55"/>
      <c r="AD106" s="55"/>
      <c r="AE106" s="54"/>
      <c r="AF106" s="54"/>
      <c r="AG106" s="54"/>
      <c r="AH106" s="54"/>
      <c r="AI106" s="55"/>
      <c r="AJ106" s="54"/>
      <c r="AW106" s="18">
        <f t="shared" si="1"/>
        <v>0</v>
      </c>
    </row>
    <row r="107" spans="1:49" ht="15">
      <c r="J107" s="398"/>
      <c r="K107" s="54"/>
      <c r="L107" s="398"/>
      <c r="M107" s="596"/>
      <c r="N107" s="68"/>
      <c r="O107" s="68"/>
      <c r="P107" s="68"/>
      <c r="Q107" s="68"/>
      <c r="R107" s="68"/>
      <c r="S107" s="68"/>
      <c r="T107" s="68"/>
      <c r="U107" s="54"/>
      <c r="V107" s="54"/>
      <c r="W107" s="54"/>
      <c r="X107" s="54"/>
      <c r="Y107" s="54"/>
      <c r="Z107" s="54"/>
      <c r="AA107" s="55"/>
      <c r="AB107" s="55"/>
      <c r="AC107" s="55"/>
      <c r="AD107" s="55"/>
      <c r="AE107" s="54"/>
      <c r="AF107" s="54"/>
      <c r="AG107" s="54"/>
      <c r="AH107" s="54"/>
      <c r="AI107" s="55"/>
      <c r="AJ107" s="54"/>
      <c r="AW107" s="18">
        <f t="shared" si="1"/>
        <v>0</v>
      </c>
    </row>
    <row r="108" spans="1:49" ht="15">
      <c r="J108" s="398"/>
      <c r="K108" s="54"/>
      <c r="L108" s="398"/>
      <c r="M108" s="596"/>
      <c r="N108" s="68"/>
      <c r="O108" s="68"/>
      <c r="P108" s="68"/>
      <c r="Q108" s="68"/>
      <c r="R108" s="68"/>
      <c r="S108" s="68"/>
      <c r="T108" s="68"/>
      <c r="U108" s="54"/>
      <c r="V108" s="54"/>
      <c r="W108" s="54"/>
      <c r="X108" s="54"/>
      <c r="Y108" s="54"/>
      <c r="Z108" s="54"/>
      <c r="AA108" s="55"/>
      <c r="AB108" s="55"/>
      <c r="AC108" s="55"/>
      <c r="AD108" s="55"/>
      <c r="AE108" s="54"/>
      <c r="AF108" s="54"/>
      <c r="AG108" s="54"/>
      <c r="AH108" s="54"/>
      <c r="AI108" s="55"/>
      <c r="AJ108" s="54"/>
      <c r="AW108" s="18">
        <f t="shared" si="1"/>
        <v>0</v>
      </c>
    </row>
    <row r="109" spans="1:49" ht="15">
      <c r="J109" s="398"/>
      <c r="K109" s="54"/>
      <c r="L109" s="398"/>
      <c r="M109" s="596"/>
      <c r="N109" s="68"/>
      <c r="O109" s="68"/>
      <c r="P109" s="68"/>
      <c r="Q109" s="68"/>
      <c r="R109" s="68"/>
      <c r="S109" s="68"/>
      <c r="T109" s="68"/>
      <c r="U109" s="54"/>
      <c r="V109" s="54"/>
      <c r="W109" s="54"/>
      <c r="X109" s="54"/>
      <c r="Y109" s="54"/>
      <c r="Z109" s="54"/>
      <c r="AA109" s="55"/>
      <c r="AB109" s="55"/>
      <c r="AC109" s="55"/>
      <c r="AD109" s="55"/>
      <c r="AE109" s="54"/>
      <c r="AF109" s="54"/>
      <c r="AG109" s="54"/>
      <c r="AH109" s="54"/>
      <c r="AI109" s="55"/>
      <c r="AJ109" s="54"/>
      <c r="AW109" s="18">
        <f t="shared" si="1"/>
        <v>0</v>
      </c>
    </row>
    <row r="110" spans="1:49" ht="15">
      <c r="J110" s="398"/>
      <c r="K110" s="54"/>
      <c r="L110" s="398"/>
      <c r="M110" s="596"/>
      <c r="N110" s="68"/>
      <c r="O110" s="68"/>
      <c r="P110" s="68"/>
      <c r="Q110" s="68"/>
      <c r="R110" s="68"/>
      <c r="S110" s="68"/>
      <c r="T110" s="68"/>
      <c r="U110" s="54"/>
      <c r="V110" s="54"/>
      <c r="W110" s="54"/>
      <c r="X110" s="54"/>
      <c r="Y110" s="54"/>
      <c r="Z110" s="54"/>
      <c r="AA110" s="55"/>
      <c r="AB110" s="55"/>
      <c r="AC110" s="55"/>
      <c r="AD110" s="55"/>
      <c r="AE110" s="54"/>
      <c r="AF110" s="54"/>
      <c r="AG110" s="54"/>
      <c r="AH110" s="54"/>
      <c r="AI110" s="55"/>
      <c r="AJ110" s="54"/>
      <c r="AW110" s="18">
        <f t="shared" si="1"/>
        <v>0</v>
      </c>
    </row>
    <row r="111" spans="1:49" ht="15">
      <c r="J111" s="398"/>
      <c r="K111" s="54"/>
      <c r="L111" s="398"/>
      <c r="M111" s="596"/>
      <c r="N111" s="68"/>
      <c r="O111" s="68"/>
      <c r="P111" s="68"/>
      <c r="Q111" s="68"/>
      <c r="R111" s="68"/>
      <c r="S111" s="68"/>
      <c r="T111" s="68"/>
      <c r="U111" s="54"/>
      <c r="V111" s="54"/>
      <c r="W111" s="54"/>
      <c r="X111" s="54"/>
      <c r="Y111" s="54"/>
      <c r="Z111" s="54"/>
      <c r="AA111" s="55"/>
      <c r="AB111" s="55"/>
      <c r="AC111" s="55"/>
      <c r="AD111" s="55"/>
      <c r="AE111" s="54"/>
      <c r="AF111" s="54"/>
      <c r="AG111" s="54"/>
      <c r="AH111" s="54"/>
      <c r="AI111" s="55"/>
      <c r="AJ111" s="54"/>
      <c r="AW111" s="18">
        <f t="shared" si="1"/>
        <v>0</v>
      </c>
    </row>
    <row r="112" spans="1:49" ht="15">
      <c r="J112" s="398"/>
      <c r="K112" s="54"/>
      <c r="L112" s="398"/>
      <c r="M112" s="596"/>
      <c r="N112" s="68"/>
      <c r="O112" s="68"/>
      <c r="P112" s="68"/>
      <c r="Q112" s="68"/>
      <c r="R112" s="68"/>
      <c r="S112" s="68"/>
      <c r="T112" s="68"/>
      <c r="U112" s="54"/>
      <c r="V112" s="54"/>
      <c r="W112" s="54"/>
      <c r="X112" s="54"/>
      <c r="Y112" s="54"/>
      <c r="Z112" s="54"/>
      <c r="AA112" s="55"/>
      <c r="AB112" s="55"/>
      <c r="AC112" s="55"/>
      <c r="AD112" s="55"/>
      <c r="AE112" s="54"/>
      <c r="AF112" s="54"/>
      <c r="AG112" s="54"/>
      <c r="AH112" s="54"/>
      <c r="AI112" s="55"/>
      <c r="AJ112" s="54"/>
      <c r="AW112" s="18">
        <f t="shared" si="1"/>
        <v>0</v>
      </c>
    </row>
    <row r="113" spans="10:49" ht="15">
      <c r="J113" s="398"/>
      <c r="K113" s="54"/>
      <c r="L113" s="398"/>
      <c r="M113" s="596"/>
      <c r="N113" s="68"/>
      <c r="O113" s="68"/>
      <c r="P113" s="68"/>
      <c r="Q113" s="68"/>
      <c r="R113" s="68"/>
      <c r="S113" s="68"/>
      <c r="T113" s="68"/>
      <c r="U113" s="54"/>
      <c r="V113" s="54"/>
      <c r="W113" s="54"/>
      <c r="X113" s="54"/>
      <c r="Y113" s="54"/>
      <c r="Z113" s="54"/>
      <c r="AA113" s="55"/>
      <c r="AB113" s="55"/>
      <c r="AC113" s="55"/>
      <c r="AD113" s="55"/>
      <c r="AE113" s="54"/>
      <c r="AF113" s="54"/>
      <c r="AG113" s="54"/>
      <c r="AH113" s="54"/>
      <c r="AI113" s="55"/>
      <c r="AJ113" s="54"/>
      <c r="AW113" s="18">
        <f t="shared" si="1"/>
        <v>0</v>
      </c>
    </row>
    <row r="114" spans="10:49" ht="15">
      <c r="J114" s="398"/>
      <c r="K114" s="54"/>
      <c r="L114" s="398"/>
      <c r="M114" s="596"/>
      <c r="N114" s="68"/>
      <c r="O114" s="68"/>
      <c r="P114" s="68"/>
      <c r="Q114" s="68"/>
      <c r="R114" s="68"/>
      <c r="S114" s="68"/>
      <c r="T114" s="68"/>
      <c r="U114" s="54"/>
      <c r="V114" s="54"/>
      <c r="W114" s="54"/>
      <c r="X114" s="54"/>
      <c r="Y114" s="54"/>
      <c r="Z114" s="54"/>
      <c r="AA114" s="55"/>
      <c r="AB114" s="55"/>
      <c r="AC114" s="55"/>
      <c r="AD114" s="55"/>
      <c r="AE114" s="54"/>
      <c r="AF114" s="54"/>
      <c r="AG114" s="54"/>
      <c r="AH114" s="54"/>
      <c r="AI114" s="55"/>
      <c r="AJ114" s="54"/>
      <c r="AW114" s="18">
        <f t="shared" si="1"/>
        <v>0</v>
      </c>
    </row>
    <row r="115" spans="10:49" ht="15">
      <c r="J115" s="398"/>
      <c r="K115" s="54"/>
      <c r="L115" s="398"/>
      <c r="M115" s="596"/>
      <c r="N115" s="68"/>
      <c r="O115" s="68"/>
      <c r="P115" s="68"/>
      <c r="Q115" s="68"/>
      <c r="R115" s="68"/>
      <c r="S115" s="68"/>
      <c r="T115" s="68"/>
      <c r="U115" s="54"/>
      <c r="V115" s="54"/>
      <c r="W115" s="54"/>
      <c r="X115" s="54"/>
      <c r="Y115" s="54"/>
      <c r="Z115" s="54"/>
      <c r="AA115" s="55"/>
      <c r="AB115" s="55"/>
      <c r="AC115" s="55"/>
      <c r="AD115" s="55"/>
      <c r="AE115" s="54"/>
      <c r="AF115" s="54"/>
      <c r="AG115" s="54"/>
      <c r="AH115" s="54"/>
      <c r="AI115" s="55"/>
      <c r="AJ115" s="54"/>
      <c r="AW115" s="18">
        <f t="shared" si="1"/>
        <v>0</v>
      </c>
    </row>
    <row r="116" spans="10:49" ht="15">
      <c r="J116" s="314"/>
      <c r="K116" s="80"/>
      <c r="L116" s="314"/>
      <c r="M116" s="314"/>
      <c r="N116" s="140"/>
      <c r="O116" s="140"/>
      <c r="P116" s="140"/>
      <c r="Q116" s="140"/>
      <c r="R116" s="140"/>
      <c r="S116" s="140"/>
      <c r="T116" s="68"/>
      <c r="U116" s="54"/>
      <c r="V116" s="54"/>
      <c r="W116" s="54"/>
      <c r="X116" s="54"/>
      <c r="Y116" s="54"/>
      <c r="Z116" s="54"/>
      <c r="AA116" s="55"/>
      <c r="AB116" s="55"/>
      <c r="AC116" s="55"/>
      <c r="AD116" s="55"/>
      <c r="AE116" s="54"/>
      <c r="AF116" s="54"/>
      <c r="AG116" s="54"/>
      <c r="AH116" s="54"/>
      <c r="AI116" s="55"/>
      <c r="AJ116" s="54"/>
      <c r="AW116" s="18">
        <f t="shared" si="1"/>
        <v>0</v>
      </c>
    </row>
    <row r="117" spans="10:49" ht="15">
      <c r="J117" s="314"/>
      <c r="K117" s="80"/>
      <c r="L117" s="314"/>
      <c r="M117" s="314"/>
      <c r="N117" s="140"/>
      <c r="O117" s="140"/>
      <c r="P117" s="140"/>
      <c r="Q117" s="140"/>
      <c r="R117" s="140"/>
      <c r="S117" s="140"/>
      <c r="T117" s="68"/>
      <c r="U117" s="54"/>
      <c r="V117" s="54"/>
      <c r="W117" s="54"/>
      <c r="X117" s="54"/>
      <c r="Y117" s="54"/>
      <c r="Z117" s="54"/>
      <c r="AA117" s="55"/>
      <c r="AB117" s="55"/>
      <c r="AC117" s="55"/>
      <c r="AD117" s="55"/>
      <c r="AE117" s="54"/>
      <c r="AF117" s="54"/>
      <c r="AG117" s="54"/>
      <c r="AH117" s="54"/>
      <c r="AI117" s="55"/>
      <c r="AJ117" s="54"/>
      <c r="AW117" s="18">
        <f t="shared" si="1"/>
        <v>0</v>
      </c>
    </row>
    <row r="118" spans="10:49" ht="15">
      <c r="J118" s="314"/>
      <c r="K118" s="80"/>
      <c r="L118" s="314"/>
      <c r="M118" s="314"/>
      <c r="N118" s="140"/>
      <c r="O118" s="140"/>
      <c r="P118" s="140"/>
      <c r="Q118" s="140"/>
      <c r="R118" s="140"/>
      <c r="S118" s="140"/>
      <c r="T118" s="68"/>
      <c r="U118" s="54"/>
      <c r="V118" s="54"/>
      <c r="W118" s="54"/>
      <c r="X118" s="54"/>
      <c r="Y118" s="54"/>
      <c r="Z118" s="54"/>
      <c r="AA118" s="55"/>
      <c r="AB118" s="55"/>
      <c r="AC118" s="55"/>
      <c r="AD118" s="55"/>
      <c r="AE118" s="54"/>
      <c r="AF118" s="54"/>
      <c r="AG118" s="54"/>
      <c r="AH118" s="54"/>
      <c r="AI118" s="55"/>
      <c r="AJ118" s="54"/>
      <c r="AW118" s="18">
        <f t="shared" si="1"/>
        <v>0</v>
      </c>
    </row>
    <row r="119" spans="10:49" ht="15">
      <c r="J119" s="314"/>
      <c r="K119" s="80"/>
      <c r="L119" s="222"/>
      <c r="M119" s="222"/>
      <c r="N119" s="140"/>
      <c r="O119" s="140"/>
      <c r="P119" s="140"/>
      <c r="Q119" s="140"/>
      <c r="R119" s="140"/>
      <c r="S119" s="140"/>
      <c r="T119" s="68"/>
      <c r="U119" s="54"/>
      <c r="V119" s="54"/>
      <c r="W119" s="54"/>
      <c r="X119" s="54"/>
      <c r="Y119" s="54"/>
      <c r="Z119" s="54"/>
      <c r="AA119" s="55"/>
      <c r="AB119" s="55"/>
      <c r="AC119" s="55"/>
      <c r="AD119" s="55"/>
      <c r="AE119" s="54"/>
      <c r="AF119" s="54"/>
      <c r="AG119" s="54"/>
      <c r="AH119" s="54"/>
      <c r="AI119" s="55"/>
      <c r="AJ119" s="54"/>
      <c r="AW119" s="18">
        <f t="shared" si="1"/>
        <v>0</v>
      </c>
    </row>
    <row r="120" spans="10:49" ht="15">
      <c r="J120" s="314"/>
      <c r="K120" s="80"/>
      <c r="L120" s="222"/>
      <c r="M120" s="222"/>
      <c r="N120" s="140"/>
      <c r="O120" s="140"/>
      <c r="P120" s="140"/>
      <c r="Q120" s="140"/>
      <c r="R120" s="140"/>
      <c r="S120" s="140"/>
      <c r="T120" s="68"/>
      <c r="U120" s="54"/>
      <c r="V120" s="54"/>
      <c r="W120" s="54"/>
      <c r="X120" s="54"/>
      <c r="Y120" s="54"/>
      <c r="Z120" s="54"/>
      <c r="AA120" s="55"/>
      <c r="AB120" s="55"/>
      <c r="AC120" s="55"/>
      <c r="AD120" s="55"/>
      <c r="AE120" s="54"/>
      <c r="AF120" s="54"/>
      <c r="AG120" s="54"/>
      <c r="AH120" s="54"/>
      <c r="AI120" s="55"/>
      <c r="AJ120" s="54"/>
      <c r="AW120" s="18">
        <f t="shared" si="1"/>
        <v>0</v>
      </c>
    </row>
    <row r="121" spans="10:49" ht="15">
      <c r="J121" s="314"/>
      <c r="K121" s="80"/>
      <c r="L121" s="314"/>
      <c r="M121" s="314"/>
      <c r="N121" s="140"/>
      <c r="O121" s="140"/>
      <c r="P121" s="140"/>
      <c r="Q121" s="140"/>
      <c r="R121" s="140"/>
      <c r="S121" s="140"/>
      <c r="T121" s="68"/>
      <c r="U121" s="54"/>
      <c r="V121" s="54"/>
      <c r="W121" s="54"/>
      <c r="X121" s="54"/>
      <c r="Y121" s="54"/>
      <c r="Z121" s="54"/>
      <c r="AA121" s="55"/>
      <c r="AB121" s="55"/>
      <c r="AC121" s="55"/>
      <c r="AD121" s="55"/>
      <c r="AE121" s="54"/>
      <c r="AF121" s="54"/>
      <c r="AG121" s="54"/>
      <c r="AH121" s="54"/>
      <c r="AI121" s="55"/>
      <c r="AJ121" s="54"/>
      <c r="AW121" s="18">
        <f t="shared" si="1"/>
        <v>0</v>
      </c>
    </row>
    <row r="122" spans="10:49" ht="15">
      <c r="J122" s="314"/>
      <c r="K122" s="80"/>
      <c r="L122" s="314"/>
      <c r="M122" s="314"/>
      <c r="N122" s="140"/>
      <c r="O122" s="140"/>
      <c r="P122" s="140"/>
      <c r="Q122" s="140"/>
      <c r="R122" s="140"/>
      <c r="S122" s="140"/>
      <c r="T122" s="68"/>
      <c r="U122" s="54"/>
      <c r="V122" s="54"/>
      <c r="W122" s="54"/>
      <c r="X122" s="54"/>
      <c r="Y122" s="54"/>
      <c r="Z122" s="54"/>
      <c r="AA122" s="55"/>
      <c r="AB122" s="55"/>
      <c r="AC122" s="55"/>
      <c r="AD122" s="55"/>
      <c r="AE122" s="54"/>
      <c r="AF122" s="54"/>
      <c r="AG122" s="54"/>
      <c r="AH122" s="54"/>
      <c r="AI122" s="55"/>
      <c r="AJ122" s="54"/>
      <c r="AW122" s="18">
        <f t="shared" si="1"/>
        <v>0</v>
      </c>
    </row>
    <row r="123" spans="10:49" ht="15">
      <c r="J123" s="314"/>
      <c r="K123" s="80"/>
      <c r="L123" s="314"/>
      <c r="M123" s="314"/>
      <c r="N123" s="140"/>
      <c r="O123" s="140"/>
      <c r="P123" s="140"/>
      <c r="Q123" s="140"/>
      <c r="R123" s="140"/>
      <c r="S123" s="140"/>
      <c r="T123" s="68"/>
      <c r="U123" s="54"/>
      <c r="V123" s="54"/>
      <c r="W123" s="54"/>
      <c r="X123" s="54"/>
      <c r="Y123" s="54"/>
      <c r="Z123" s="54"/>
      <c r="AA123" s="55"/>
      <c r="AB123" s="55"/>
      <c r="AC123" s="55"/>
      <c r="AD123" s="55"/>
      <c r="AE123" s="54"/>
      <c r="AF123" s="54"/>
      <c r="AG123" s="54"/>
      <c r="AH123" s="54"/>
      <c r="AI123" s="55"/>
      <c r="AJ123" s="54"/>
      <c r="AW123" s="18">
        <f t="shared" si="1"/>
        <v>0</v>
      </c>
    </row>
    <row r="124" spans="10:49" ht="15">
      <c r="J124" s="314"/>
      <c r="K124" s="80"/>
      <c r="L124" s="314"/>
      <c r="M124" s="314"/>
      <c r="N124" s="140"/>
      <c r="O124" s="140"/>
      <c r="P124" s="140"/>
      <c r="Q124" s="140"/>
      <c r="R124" s="140"/>
      <c r="S124" s="140"/>
      <c r="T124" s="68"/>
      <c r="U124" s="54"/>
      <c r="V124" s="54"/>
      <c r="W124" s="54"/>
      <c r="X124" s="54"/>
      <c r="Y124" s="54"/>
      <c r="Z124" s="54"/>
      <c r="AA124" s="55"/>
      <c r="AB124" s="55"/>
      <c r="AC124" s="55"/>
      <c r="AD124" s="55"/>
      <c r="AE124" s="54"/>
      <c r="AF124" s="54"/>
      <c r="AG124" s="54"/>
      <c r="AH124" s="54"/>
      <c r="AI124" s="55"/>
      <c r="AJ124" s="54"/>
      <c r="AW124" s="18">
        <f t="shared" si="1"/>
        <v>0</v>
      </c>
    </row>
    <row r="125" spans="10:49" ht="15">
      <c r="J125" s="314"/>
      <c r="K125" s="80"/>
      <c r="L125" s="314"/>
      <c r="M125" s="314"/>
      <c r="N125" s="140"/>
      <c r="O125" s="140"/>
      <c r="P125" s="140"/>
      <c r="Q125" s="140"/>
      <c r="R125" s="140"/>
      <c r="S125" s="140"/>
      <c r="T125" s="68"/>
      <c r="U125" s="54"/>
      <c r="V125" s="54"/>
      <c r="W125" s="54"/>
      <c r="X125" s="54"/>
      <c r="Y125" s="54"/>
      <c r="Z125" s="54"/>
      <c r="AA125" s="55"/>
      <c r="AB125" s="55"/>
      <c r="AC125" s="55"/>
      <c r="AD125" s="55"/>
      <c r="AE125" s="54"/>
      <c r="AF125" s="54"/>
      <c r="AG125" s="54"/>
      <c r="AH125" s="54"/>
      <c r="AI125" s="55"/>
      <c r="AJ125" s="54"/>
      <c r="AW125" s="18">
        <f t="shared" si="1"/>
        <v>0</v>
      </c>
    </row>
    <row r="126" spans="10:49" ht="15">
      <c r="J126" s="314"/>
      <c r="K126" s="80"/>
      <c r="L126" s="314"/>
      <c r="M126" s="314"/>
      <c r="N126" s="140"/>
      <c r="O126" s="140"/>
      <c r="P126" s="140"/>
      <c r="Q126" s="140"/>
      <c r="R126" s="140"/>
      <c r="S126" s="140"/>
      <c r="T126" s="68"/>
      <c r="U126" s="54"/>
      <c r="V126" s="54"/>
      <c r="W126" s="54"/>
      <c r="X126" s="54"/>
      <c r="Y126" s="54"/>
      <c r="Z126" s="54"/>
      <c r="AA126" s="55"/>
      <c r="AB126" s="55"/>
      <c r="AC126" s="55"/>
      <c r="AD126" s="55"/>
      <c r="AE126" s="54"/>
      <c r="AF126" s="54"/>
      <c r="AG126" s="54"/>
      <c r="AH126" s="54"/>
      <c r="AI126" s="55"/>
      <c r="AJ126" s="54"/>
      <c r="AW126" s="18">
        <f t="shared" si="1"/>
        <v>0</v>
      </c>
    </row>
    <row r="127" spans="10:49" ht="15">
      <c r="J127" s="314"/>
      <c r="K127" s="80"/>
      <c r="L127" s="314"/>
      <c r="M127" s="314"/>
      <c r="N127" s="140"/>
      <c r="O127" s="140"/>
      <c r="P127" s="140"/>
      <c r="Q127" s="140"/>
      <c r="R127" s="140"/>
      <c r="S127" s="140"/>
      <c r="T127" s="68"/>
      <c r="U127" s="54"/>
      <c r="V127" s="54"/>
      <c r="W127" s="54"/>
      <c r="X127" s="54"/>
      <c r="Y127" s="54"/>
      <c r="Z127" s="54"/>
      <c r="AA127" s="55"/>
      <c r="AB127" s="55"/>
      <c r="AC127" s="55"/>
      <c r="AD127" s="55"/>
      <c r="AE127" s="54"/>
      <c r="AF127" s="54"/>
      <c r="AG127" s="54"/>
      <c r="AH127" s="54"/>
      <c r="AI127" s="55"/>
      <c r="AJ127" s="54"/>
      <c r="AW127" s="18">
        <f t="shared" si="1"/>
        <v>0</v>
      </c>
    </row>
    <row r="128" spans="10:49" ht="15">
      <c r="J128" s="314"/>
      <c r="K128" s="80"/>
      <c r="L128" s="314"/>
      <c r="M128" s="314"/>
      <c r="N128" s="140"/>
      <c r="O128" s="140"/>
      <c r="P128" s="140"/>
      <c r="Q128" s="140"/>
      <c r="R128" s="140"/>
      <c r="S128" s="140"/>
      <c r="T128" s="68"/>
      <c r="U128" s="54"/>
      <c r="V128" s="54"/>
      <c r="W128" s="54"/>
      <c r="X128" s="54"/>
      <c r="Y128" s="54"/>
      <c r="Z128" s="54"/>
      <c r="AA128" s="55"/>
      <c r="AB128" s="55"/>
      <c r="AC128" s="55"/>
      <c r="AD128" s="55"/>
      <c r="AE128" s="54"/>
      <c r="AF128" s="54"/>
      <c r="AG128" s="54"/>
      <c r="AH128" s="54"/>
      <c r="AI128" s="55"/>
      <c r="AJ128" s="54"/>
      <c r="AW128" s="18">
        <f t="shared" si="1"/>
        <v>0</v>
      </c>
    </row>
    <row r="129" spans="10:49" ht="15">
      <c r="J129" s="314"/>
      <c r="K129" s="80"/>
      <c r="L129" s="314"/>
      <c r="M129" s="314"/>
      <c r="N129" s="140"/>
      <c r="O129" s="140"/>
      <c r="P129" s="140"/>
      <c r="Q129" s="140"/>
      <c r="R129" s="140"/>
      <c r="S129" s="140"/>
      <c r="T129" s="68"/>
      <c r="U129" s="54"/>
      <c r="V129" s="54"/>
      <c r="W129" s="54"/>
      <c r="X129" s="54"/>
      <c r="Y129" s="54"/>
      <c r="Z129" s="54"/>
      <c r="AA129" s="55"/>
      <c r="AB129" s="55"/>
      <c r="AC129" s="55"/>
      <c r="AD129" s="55"/>
      <c r="AE129" s="54"/>
      <c r="AF129" s="54"/>
      <c r="AG129" s="54"/>
      <c r="AH129" s="54"/>
      <c r="AI129" s="55"/>
      <c r="AJ129" s="54"/>
      <c r="AW129" s="18">
        <f t="shared" si="1"/>
        <v>0</v>
      </c>
    </row>
    <row r="130" spans="10:49" ht="15">
      <c r="J130" s="314"/>
      <c r="K130" s="80"/>
      <c r="L130" s="314"/>
      <c r="M130" s="314"/>
      <c r="N130" s="140"/>
      <c r="O130" s="140"/>
      <c r="P130" s="140"/>
      <c r="Q130" s="140"/>
      <c r="R130" s="140"/>
      <c r="S130" s="140"/>
      <c r="T130" s="68"/>
      <c r="U130" s="54"/>
      <c r="V130" s="54"/>
      <c r="W130" s="54"/>
      <c r="X130" s="54"/>
      <c r="Y130" s="54"/>
      <c r="Z130" s="54"/>
      <c r="AA130" s="55"/>
      <c r="AB130" s="55"/>
      <c r="AC130" s="55"/>
      <c r="AD130" s="55"/>
      <c r="AE130" s="54"/>
      <c r="AF130" s="54"/>
      <c r="AG130" s="54"/>
      <c r="AH130" s="54"/>
      <c r="AI130" s="55"/>
      <c r="AJ130" s="54"/>
      <c r="AW130" s="18">
        <f t="shared" si="1"/>
        <v>0</v>
      </c>
    </row>
    <row r="131" spans="10:49" ht="15">
      <c r="J131" s="314"/>
      <c r="K131" s="80"/>
      <c r="L131" s="314"/>
      <c r="M131" s="314"/>
      <c r="N131" s="140"/>
      <c r="O131" s="140"/>
      <c r="P131" s="140"/>
      <c r="Q131" s="140"/>
      <c r="R131" s="140"/>
      <c r="S131" s="140"/>
      <c r="T131" s="68"/>
      <c r="U131" s="54"/>
      <c r="V131" s="54"/>
      <c r="W131" s="54"/>
      <c r="X131" s="54"/>
      <c r="Y131" s="54"/>
      <c r="Z131" s="54"/>
      <c r="AA131" s="55"/>
      <c r="AB131" s="55"/>
      <c r="AC131" s="55"/>
      <c r="AD131" s="55"/>
      <c r="AE131" s="54"/>
      <c r="AF131" s="54"/>
      <c r="AG131" s="54"/>
      <c r="AH131" s="54"/>
      <c r="AI131" s="55"/>
      <c r="AJ131" s="54"/>
      <c r="AW131" s="18">
        <f t="shared" si="1"/>
        <v>0</v>
      </c>
    </row>
    <row r="132" spans="10:49" ht="15">
      <c r="J132" s="314"/>
      <c r="K132" s="80"/>
      <c r="L132" s="314"/>
      <c r="M132" s="314"/>
      <c r="N132" s="140"/>
      <c r="O132" s="140"/>
      <c r="P132" s="140"/>
      <c r="Q132" s="140"/>
      <c r="R132" s="140"/>
      <c r="S132" s="140"/>
      <c r="T132" s="68"/>
      <c r="U132" s="54"/>
      <c r="V132" s="54"/>
      <c r="W132" s="54"/>
      <c r="X132" s="54"/>
      <c r="Y132" s="54"/>
      <c r="Z132" s="54"/>
      <c r="AA132" s="55"/>
      <c r="AB132" s="55"/>
      <c r="AC132" s="55"/>
      <c r="AD132" s="55"/>
      <c r="AE132" s="54"/>
      <c r="AF132" s="54"/>
      <c r="AG132" s="54"/>
      <c r="AH132" s="54"/>
      <c r="AI132" s="55"/>
      <c r="AJ132" s="54"/>
      <c r="AW132" s="18">
        <f t="shared" si="1"/>
        <v>0</v>
      </c>
    </row>
    <row r="133" spans="10:49" ht="15">
      <c r="J133" s="314"/>
      <c r="K133" s="80"/>
      <c r="L133" s="314"/>
      <c r="M133" s="314"/>
      <c r="N133" s="140"/>
      <c r="O133" s="140"/>
      <c r="P133" s="140"/>
      <c r="Q133" s="140"/>
      <c r="R133" s="140"/>
      <c r="S133" s="140"/>
      <c r="T133" s="68"/>
      <c r="U133" s="54"/>
      <c r="V133" s="54"/>
      <c r="W133" s="54"/>
      <c r="X133" s="54"/>
      <c r="Y133" s="54"/>
      <c r="Z133" s="54"/>
      <c r="AA133" s="55"/>
      <c r="AB133" s="55"/>
      <c r="AC133" s="55"/>
      <c r="AD133" s="55"/>
      <c r="AE133" s="54"/>
      <c r="AF133" s="54"/>
      <c r="AG133" s="54"/>
      <c r="AH133" s="54"/>
      <c r="AI133" s="55"/>
      <c r="AJ133" s="54"/>
      <c r="AW133" s="18">
        <f t="shared" si="1"/>
        <v>0</v>
      </c>
    </row>
    <row r="134" spans="10:49" ht="15">
      <c r="J134" s="314"/>
      <c r="K134" s="80"/>
      <c r="L134" s="314"/>
      <c r="M134" s="314"/>
      <c r="N134" s="140"/>
      <c r="O134" s="140"/>
      <c r="P134" s="140"/>
      <c r="Q134" s="140"/>
      <c r="R134" s="140"/>
      <c r="S134" s="140"/>
      <c r="T134" s="68"/>
      <c r="U134" s="54"/>
      <c r="V134" s="54"/>
      <c r="W134" s="54"/>
      <c r="X134" s="54"/>
      <c r="Y134" s="54"/>
      <c r="Z134" s="54"/>
      <c r="AA134" s="55"/>
      <c r="AB134" s="55"/>
      <c r="AC134" s="55"/>
      <c r="AD134" s="55"/>
      <c r="AE134" s="54"/>
      <c r="AF134" s="54"/>
      <c r="AG134" s="54"/>
      <c r="AH134" s="54"/>
      <c r="AI134" s="55"/>
      <c r="AJ134" s="54"/>
      <c r="AW134" s="18">
        <f t="shared" si="1"/>
        <v>0</v>
      </c>
    </row>
    <row r="135" spans="10:49" ht="15">
      <c r="J135" s="398"/>
      <c r="K135" s="54"/>
      <c r="L135" s="398"/>
      <c r="M135" s="596"/>
      <c r="N135" s="68"/>
      <c r="O135" s="68"/>
      <c r="P135" s="68"/>
      <c r="Q135" s="68"/>
      <c r="R135" s="68"/>
      <c r="S135" s="68"/>
      <c r="T135" s="68"/>
      <c r="U135" s="54"/>
      <c r="V135" s="54"/>
      <c r="W135" s="54"/>
      <c r="X135" s="54"/>
      <c r="Y135" s="54"/>
      <c r="Z135" s="54"/>
      <c r="AA135" s="55"/>
      <c r="AB135" s="55"/>
      <c r="AC135" s="55"/>
      <c r="AD135" s="55"/>
      <c r="AE135" s="54"/>
      <c r="AF135" s="54"/>
      <c r="AG135" s="54"/>
      <c r="AH135" s="54"/>
      <c r="AI135" s="55"/>
      <c r="AJ135" s="54"/>
      <c r="AW135" s="18">
        <f t="shared" si="1"/>
        <v>0</v>
      </c>
    </row>
    <row r="136" spans="10:49" ht="15">
      <c r="J136" s="398"/>
      <c r="K136" s="54"/>
      <c r="L136" s="398"/>
      <c r="M136" s="596"/>
      <c r="N136" s="68"/>
      <c r="O136" s="68"/>
      <c r="P136" s="68"/>
      <c r="Q136" s="68"/>
      <c r="R136" s="68"/>
      <c r="S136" s="68"/>
      <c r="T136" s="68"/>
      <c r="U136" s="54"/>
      <c r="V136" s="54"/>
      <c r="W136" s="54"/>
      <c r="X136" s="54"/>
      <c r="Y136" s="54"/>
      <c r="Z136" s="54"/>
      <c r="AA136" s="55"/>
      <c r="AB136" s="55"/>
      <c r="AC136" s="55"/>
      <c r="AD136" s="55"/>
      <c r="AE136" s="54"/>
      <c r="AF136" s="54"/>
      <c r="AG136" s="54"/>
      <c r="AH136" s="54"/>
      <c r="AI136" s="55"/>
      <c r="AJ136" s="54"/>
      <c r="AW136" s="18">
        <f t="shared" si="1"/>
        <v>0</v>
      </c>
    </row>
    <row r="137" spans="10:49" ht="15">
      <c r="J137" s="398"/>
      <c r="K137" s="54"/>
      <c r="L137" s="398"/>
      <c r="M137" s="596"/>
      <c r="N137" s="68"/>
      <c r="O137" s="68"/>
      <c r="P137" s="68"/>
      <c r="Q137" s="68"/>
      <c r="R137" s="68"/>
      <c r="S137" s="68"/>
      <c r="T137" s="68"/>
      <c r="U137" s="54"/>
      <c r="V137" s="54"/>
      <c r="W137" s="54"/>
      <c r="X137" s="54"/>
      <c r="Y137" s="54"/>
      <c r="Z137" s="54"/>
      <c r="AA137" s="55"/>
      <c r="AB137" s="55"/>
      <c r="AC137" s="55"/>
      <c r="AD137" s="55"/>
      <c r="AE137" s="54"/>
      <c r="AF137" s="54"/>
      <c r="AG137" s="54"/>
      <c r="AH137" s="54"/>
      <c r="AI137" s="55"/>
      <c r="AJ137" s="54"/>
      <c r="AW137" s="18">
        <f t="shared" si="1"/>
        <v>0</v>
      </c>
    </row>
    <row r="138" spans="10:49" ht="15">
      <c r="J138" s="398"/>
      <c r="K138" s="54"/>
      <c r="L138" s="398"/>
      <c r="M138" s="596"/>
      <c r="N138" s="68"/>
      <c r="O138" s="68"/>
      <c r="P138" s="68"/>
      <c r="Q138" s="68"/>
      <c r="R138" s="68"/>
      <c r="S138" s="68"/>
      <c r="T138" s="68"/>
      <c r="U138" s="54"/>
      <c r="V138" s="54"/>
      <c r="W138" s="54"/>
      <c r="X138" s="54"/>
      <c r="Y138" s="54"/>
      <c r="Z138" s="54"/>
      <c r="AA138" s="55"/>
      <c r="AB138" s="55"/>
      <c r="AC138" s="55"/>
      <c r="AD138" s="55"/>
      <c r="AE138" s="54"/>
      <c r="AF138" s="54"/>
      <c r="AG138" s="54"/>
      <c r="AH138" s="54"/>
      <c r="AI138" s="55"/>
      <c r="AJ138" s="54"/>
      <c r="AW138" s="18">
        <f t="shared" si="1"/>
        <v>0</v>
      </c>
    </row>
    <row r="139" spans="10:49" ht="15">
      <c r="J139" s="398"/>
      <c r="K139" s="54"/>
      <c r="L139" s="398"/>
      <c r="M139" s="596"/>
      <c r="N139" s="68"/>
      <c r="O139" s="68"/>
      <c r="P139" s="68"/>
      <c r="Q139" s="68"/>
      <c r="R139" s="68"/>
      <c r="S139" s="68"/>
      <c r="T139" s="68"/>
      <c r="U139" s="54"/>
      <c r="V139" s="54"/>
      <c r="W139" s="54"/>
      <c r="X139" s="54"/>
      <c r="Y139" s="54"/>
      <c r="Z139" s="54"/>
      <c r="AA139" s="55"/>
      <c r="AB139" s="55"/>
      <c r="AC139" s="55"/>
      <c r="AD139" s="55"/>
      <c r="AE139" s="54"/>
      <c r="AF139" s="54"/>
      <c r="AG139" s="54"/>
      <c r="AH139" s="54"/>
      <c r="AI139" s="55"/>
      <c r="AJ139" s="54"/>
      <c r="AW139" s="18">
        <f t="shared" si="1"/>
        <v>0</v>
      </c>
    </row>
    <row r="140" spans="10:49" ht="15">
      <c r="J140" s="398"/>
      <c r="K140" s="54"/>
      <c r="L140" s="398"/>
      <c r="M140" s="596"/>
      <c r="N140" s="68"/>
      <c r="O140" s="68"/>
      <c r="P140" s="68"/>
      <c r="Q140" s="68"/>
      <c r="R140" s="68"/>
      <c r="S140" s="68"/>
      <c r="T140" s="68"/>
      <c r="U140" s="54"/>
      <c r="V140" s="54"/>
      <c r="W140" s="54"/>
      <c r="X140" s="54"/>
      <c r="Y140" s="54"/>
      <c r="Z140" s="54"/>
      <c r="AA140" s="55"/>
      <c r="AB140" s="55"/>
      <c r="AC140" s="55"/>
      <c r="AD140" s="55"/>
      <c r="AE140" s="54"/>
      <c r="AF140" s="54"/>
      <c r="AG140" s="54"/>
      <c r="AH140" s="54"/>
      <c r="AI140" s="55"/>
      <c r="AJ140" s="54"/>
      <c r="AW140" s="18">
        <f t="shared" si="1"/>
        <v>0</v>
      </c>
    </row>
    <row r="141" spans="10:49" ht="15">
      <c r="J141" s="398"/>
      <c r="K141" s="54"/>
      <c r="L141" s="398"/>
      <c r="M141" s="596"/>
      <c r="N141" s="68"/>
      <c r="O141" s="68"/>
      <c r="P141" s="68"/>
      <c r="Q141" s="68"/>
      <c r="R141" s="68"/>
      <c r="S141" s="68"/>
      <c r="T141" s="68"/>
      <c r="U141" s="54"/>
      <c r="V141" s="54"/>
      <c r="W141" s="54"/>
      <c r="X141" s="54"/>
      <c r="Y141" s="54"/>
      <c r="Z141" s="54"/>
      <c r="AA141" s="55"/>
      <c r="AB141" s="55"/>
      <c r="AC141" s="55"/>
      <c r="AD141" s="55"/>
      <c r="AE141" s="54"/>
      <c r="AF141" s="54"/>
      <c r="AG141" s="54"/>
      <c r="AH141" s="54"/>
      <c r="AI141" s="55"/>
      <c r="AJ141" s="54"/>
      <c r="AW141" s="18">
        <f t="shared" ref="AW141:AW204" si="3">LEN(L141)</f>
        <v>0</v>
      </c>
    </row>
    <row r="142" spans="10:49" ht="15">
      <c r="J142" s="398"/>
      <c r="K142" s="54"/>
      <c r="L142" s="398"/>
      <c r="M142" s="596"/>
      <c r="N142" s="68"/>
      <c r="O142" s="68"/>
      <c r="P142" s="68"/>
      <c r="Q142" s="68"/>
      <c r="R142" s="68"/>
      <c r="S142" s="68"/>
      <c r="T142" s="68"/>
      <c r="U142" s="54"/>
      <c r="V142" s="54"/>
      <c r="W142" s="54"/>
      <c r="X142" s="54"/>
      <c r="Y142" s="54"/>
      <c r="Z142" s="54"/>
      <c r="AA142" s="55"/>
      <c r="AB142" s="55"/>
      <c r="AC142" s="55"/>
      <c r="AD142" s="55"/>
      <c r="AE142" s="54"/>
      <c r="AF142" s="54"/>
      <c r="AG142" s="54"/>
      <c r="AH142" s="54"/>
      <c r="AI142" s="55"/>
      <c r="AJ142" s="54"/>
      <c r="AW142" s="18">
        <f t="shared" si="3"/>
        <v>0</v>
      </c>
    </row>
    <row r="143" spans="10:49" ht="15">
      <c r="J143" s="398"/>
      <c r="K143" s="54"/>
      <c r="L143" s="56"/>
      <c r="M143" s="56"/>
      <c r="N143" s="68"/>
      <c r="O143" s="68"/>
      <c r="P143" s="68"/>
      <c r="Q143" s="68"/>
      <c r="R143" s="68"/>
      <c r="S143" s="68"/>
      <c r="T143" s="68"/>
      <c r="U143" s="54"/>
      <c r="V143" s="54"/>
      <c r="W143" s="54"/>
      <c r="X143" s="54"/>
      <c r="Y143" s="54"/>
      <c r="Z143" s="54"/>
      <c r="AA143" s="55"/>
      <c r="AB143" s="55"/>
      <c r="AC143" s="55"/>
      <c r="AD143" s="55"/>
      <c r="AE143" s="54"/>
      <c r="AF143" s="54"/>
      <c r="AG143" s="54"/>
      <c r="AH143" s="54"/>
      <c r="AI143" s="55"/>
      <c r="AJ143" s="54"/>
      <c r="AW143" s="18">
        <f t="shared" si="3"/>
        <v>0</v>
      </c>
    </row>
    <row r="144" spans="10:49" ht="15">
      <c r="J144" s="398"/>
      <c r="K144" s="54"/>
      <c r="L144" s="56"/>
      <c r="M144" s="56"/>
      <c r="N144" s="68"/>
      <c r="O144" s="68"/>
      <c r="P144" s="68"/>
      <c r="Q144" s="68"/>
      <c r="R144" s="68"/>
      <c r="S144" s="68"/>
      <c r="T144" s="68"/>
      <c r="U144" s="54"/>
      <c r="V144" s="54"/>
      <c r="W144" s="54"/>
      <c r="X144" s="54"/>
      <c r="Y144" s="54"/>
      <c r="Z144" s="54"/>
      <c r="AA144" s="55"/>
      <c r="AB144" s="55"/>
      <c r="AC144" s="55"/>
      <c r="AD144" s="55"/>
      <c r="AE144" s="54"/>
      <c r="AF144" s="54"/>
      <c r="AG144" s="54"/>
      <c r="AH144" s="54"/>
      <c r="AI144" s="55"/>
      <c r="AJ144" s="54"/>
      <c r="AW144" s="18">
        <f t="shared" si="3"/>
        <v>0</v>
      </c>
    </row>
    <row r="145" spans="10:49" ht="15">
      <c r="J145" s="398"/>
      <c r="K145" s="54"/>
      <c r="L145" s="398"/>
      <c r="M145" s="596"/>
      <c r="N145" s="68"/>
      <c r="O145" s="68"/>
      <c r="P145" s="68"/>
      <c r="Q145" s="68"/>
      <c r="R145" s="68"/>
      <c r="S145" s="68"/>
      <c r="T145" s="68"/>
      <c r="U145" s="54"/>
      <c r="V145" s="54"/>
      <c r="W145" s="54"/>
      <c r="X145" s="54"/>
      <c r="Y145" s="54"/>
      <c r="Z145" s="54"/>
      <c r="AA145" s="55"/>
      <c r="AB145" s="55"/>
      <c r="AC145" s="55"/>
      <c r="AD145" s="55"/>
      <c r="AE145" s="54"/>
      <c r="AF145" s="54"/>
      <c r="AG145" s="54"/>
      <c r="AH145" s="54"/>
      <c r="AI145" s="55"/>
      <c r="AJ145" s="54"/>
      <c r="AW145" s="18">
        <f t="shared" si="3"/>
        <v>0</v>
      </c>
    </row>
    <row r="146" spans="10:49" ht="15">
      <c r="J146" s="687"/>
      <c r="K146" s="54"/>
      <c r="L146" s="687"/>
      <c r="M146" s="596"/>
      <c r="N146" s="68"/>
      <c r="O146" s="68"/>
      <c r="P146" s="68"/>
      <c r="Q146" s="68"/>
      <c r="R146" s="68"/>
      <c r="S146" s="68"/>
      <c r="T146" s="68"/>
      <c r="U146" s="54"/>
      <c r="V146" s="54"/>
      <c r="W146" s="54"/>
      <c r="X146" s="54"/>
      <c r="Y146" s="54"/>
      <c r="Z146" s="54"/>
      <c r="AA146" s="54"/>
      <c r="AB146" s="54"/>
      <c r="AC146" s="54"/>
      <c r="AD146" s="54"/>
      <c r="AE146" s="54"/>
      <c r="AF146" s="54"/>
      <c r="AG146" s="54"/>
      <c r="AH146" s="54"/>
      <c r="AI146" s="54"/>
      <c r="AJ146" s="54"/>
      <c r="AW146" s="18">
        <f t="shared" si="3"/>
        <v>0</v>
      </c>
    </row>
    <row r="147" spans="10:49" ht="15">
      <c r="J147" s="687"/>
      <c r="K147" s="54"/>
      <c r="L147" s="687"/>
      <c r="M147" s="596"/>
      <c r="N147" s="68"/>
      <c r="O147" s="68"/>
      <c r="P147" s="68"/>
      <c r="Q147" s="68"/>
      <c r="R147" s="68"/>
      <c r="S147" s="68"/>
      <c r="T147" s="68"/>
      <c r="U147" s="54"/>
      <c r="V147" s="54"/>
      <c r="W147" s="54"/>
      <c r="X147" s="54"/>
      <c r="Y147" s="54"/>
      <c r="Z147" s="54"/>
      <c r="AA147" s="54"/>
      <c r="AB147" s="54"/>
      <c r="AC147" s="54"/>
      <c r="AD147" s="54"/>
      <c r="AE147" s="54"/>
      <c r="AF147" s="54"/>
      <c r="AG147" s="54"/>
      <c r="AH147" s="54"/>
      <c r="AI147" s="54"/>
      <c r="AJ147" s="54"/>
      <c r="AW147" s="18">
        <f t="shared" si="3"/>
        <v>0</v>
      </c>
    </row>
    <row r="148" spans="10:49" ht="15">
      <c r="J148" s="687"/>
      <c r="K148" s="54"/>
      <c r="L148" s="687"/>
      <c r="M148" s="596"/>
      <c r="N148" s="68"/>
      <c r="O148" s="68"/>
      <c r="P148" s="68"/>
      <c r="Q148" s="68"/>
      <c r="R148" s="68"/>
      <c r="S148" s="68"/>
      <c r="T148" s="68"/>
      <c r="U148" s="54"/>
      <c r="V148" s="54"/>
      <c r="W148" s="54"/>
      <c r="X148" s="54"/>
      <c r="Y148" s="54"/>
      <c r="Z148" s="54"/>
      <c r="AA148" s="54"/>
      <c r="AB148" s="54"/>
      <c r="AC148" s="54"/>
      <c r="AD148" s="54"/>
      <c r="AE148" s="54"/>
      <c r="AF148" s="54"/>
      <c r="AG148" s="54"/>
      <c r="AH148" s="54"/>
      <c r="AI148" s="54"/>
      <c r="AJ148" s="54"/>
      <c r="AW148" s="18">
        <f t="shared" si="3"/>
        <v>0</v>
      </c>
    </row>
    <row r="149" spans="10:49" ht="15">
      <c r="J149" s="687"/>
      <c r="K149" s="54"/>
      <c r="L149" s="687"/>
      <c r="M149" s="596"/>
      <c r="N149" s="68"/>
      <c r="O149" s="68"/>
      <c r="P149" s="68"/>
      <c r="Q149" s="68"/>
      <c r="R149" s="68"/>
      <c r="S149" s="68"/>
      <c r="T149" s="68"/>
      <c r="U149" s="54"/>
      <c r="V149" s="54"/>
      <c r="W149" s="54"/>
      <c r="X149" s="54"/>
      <c r="Y149" s="54"/>
      <c r="Z149" s="54"/>
      <c r="AA149" s="54"/>
      <c r="AB149" s="54"/>
      <c r="AC149" s="54"/>
      <c r="AD149" s="54"/>
      <c r="AE149" s="54"/>
      <c r="AF149" s="54"/>
      <c r="AG149" s="54"/>
      <c r="AH149" s="54"/>
      <c r="AI149" s="54"/>
      <c r="AJ149" s="54"/>
      <c r="AW149" s="18">
        <f t="shared" si="3"/>
        <v>0</v>
      </c>
    </row>
    <row r="150" spans="10:49" ht="15">
      <c r="J150" s="687"/>
      <c r="K150" s="54"/>
      <c r="L150" s="687"/>
      <c r="M150" s="596"/>
      <c r="N150" s="68"/>
      <c r="O150" s="68"/>
      <c r="P150" s="68"/>
      <c r="Q150" s="68"/>
      <c r="R150" s="68"/>
      <c r="S150" s="68"/>
      <c r="T150" s="68"/>
      <c r="U150" s="54"/>
      <c r="V150" s="54"/>
      <c r="W150" s="54"/>
      <c r="X150" s="54"/>
      <c r="Y150" s="54"/>
      <c r="Z150" s="54"/>
      <c r="AA150" s="54"/>
      <c r="AB150" s="54"/>
      <c r="AC150" s="54"/>
      <c r="AD150" s="54"/>
      <c r="AE150" s="54"/>
      <c r="AF150" s="54"/>
      <c r="AG150" s="54"/>
      <c r="AH150" s="54"/>
      <c r="AI150" s="54"/>
      <c r="AJ150" s="54"/>
      <c r="AW150" s="18">
        <f t="shared" si="3"/>
        <v>0</v>
      </c>
    </row>
    <row r="151" spans="10:49" ht="15">
      <c r="J151" s="687"/>
      <c r="K151" s="54"/>
      <c r="L151" s="687"/>
      <c r="M151" s="596"/>
      <c r="N151" s="68"/>
      <c r="O151" s="68"/>
      <c r="P151" s="68"/>
      <c r="Q151" s="68"/>
      <c r="R151" s="68"/>
      <c r="S151" s="68"/>
      <c r="T151" s="68"/>
      <c r="U151" s="54"/>
      <c r="V151" s="54"/>
      <c r="W151" s="54"/>
      <c r="X151" s="54"/>
      <c r="Y151" s="54"/>
      <c r="Z151" s="54"/>
      <c r="AA151" s="54"/>
      <c r="AB151" s="54"/>
      <c r="AC151" s="54"/>
      <c r="AD151" s="54"/>
      <c r="AE151" s="54"/>
      <c r="AF151" s="54"/>
      <c r="AG151" s="54"/>
      <c r="AH151" s="54"/>
      <c r="AI151" s="54"/>
      <c r="AJ151" s="54"/>
      <c r="AW151" s="18">
        <f t="shared" si="3"/>
        <v>0</v>
      </c>
    </row>
    <row r="152" spans="10:49" ht="15">
      <c r="J152" s="687"/>
      <c r="K152" s="54"/>
      <c r="L152" s="687"/>
      <c r="M152" s="596"/>
      <c r="N152" s="68"/>
      <c r="O152" s="68"/>
      <c r="P152" s="68"/>
      <c r="Q152" s="68"/>
      <c r="R152" s="68"/>
      <c r="S152" s="68"/>
      <c r="T152" s="68"/>
      <c r="U152" s="54"/>
      <c r="V152" s="54"/>
      <c r="W152" s="54"/>
      <c r="X152" s="54"/>
      <c r="Y152" s="54"/>
      <c r="Z152" s="54"/>
      <c r="AA152" s="54"/>
      <c r="AB152" s="54"/>
      <c r="AC152" s="54"/>
      <c r="AD152" s="54"/>
      <c r="AE152" s="54"/>
      <c r="AF152" s="54"/>
      <c r="AG152" s="54"/>
      <c r="AH152" s="54"/>
      <c r="AI152" s="54"/>
      <c r="AJ152" s="54"/>
      <c r="AW152" s="18">
        <f t="shared" si="3"/>
        <v>0</v>
      </c>
    </row>
    <row r="153" spans="10:49" ht="15">
      <c r="J153" s="687"/>
      <c r="K153" s="54"/>
      <c r="L153" s="687"/>
      <c r="M153" s="596"/>
      <c r="N153" s="68"/>
      <c r="O153" s="68"/>
      <c r="P153" s="68"/>
      <c r="Q153" s="68"/>
      <c r="R153" s="68"/>
      <c r="S153" s="68"/>
      <c r="T153" s="68"/>
      <c r="U153" s="54"/>
      <c r="V153" s="54"/>
      <c r="W153" s="54"/>
      <c r="X153" s="54"/>
      <c r="Y153" s="54"/>
      <c r="Z153" s="54"/>
      <c r="AA153" s="54"/>
      <c r="AB153" s="54"/>
      <c r="AC153" s="54"/>
      <c r="AD153" s="54"/>
      <c r="AE153" s="54"/>
      <c r="AF153" s="54"/>
      <c r="AG153" s="54"/>
      <c r="AH153" s="54"/>
      <c r="AI153" s="54"/>
      <c r="AJ153" s="54"/>
      <c r="AW153" s="18">
        <f t="shared" si="3"/>
        <v>0</v>
      </c>
    </row>
    <row r="154" spans="10:49" ht="15">
      <c r="J154" s="687"/>
      <c r="K154" s="54"/>
      <c r="L154" s="687"/>
      <c r="M154" s="596"/>
      <c r="N154" s="68"/>
      <c r="O154" s="68"/>
      <c r="P154" s="68"/>
      <c r="Q154" s="68"/>
      <c r="R154" s="68"/>
      <c r="S154" s="68"/>
      <c r="T154" s="68"/>
      <c r="U154" s="54"/>
      <c r="V154" s="54"/>
      <c r="W154" s="54"/>
      <c r="X154" s="54"/>
      <c r="Y154" s="54"/>
      <c r="Z154" s="54"/>
      <c r="AA154" s="54"/>
      <c r="AB154" s="54"/>
      <c r="AC154" s="54"/>
      <c r="AD154" s="54"/>
      <c r="AE154" s="54"/>
      <c r="AF154" s="54"/>
      <c r="AG154" s="54"/>
      <c r="AH154" s="54"/>
      <c r="AI154" s="54"/>
      <c r="AJ154" s="54"/>
      <c r="AW154" s="18">
        <f t="shared" si="3"/>
        <v>0</v>
      </c>
    </row>
    <row r="155" spans="10:49" ht="15">
      <c r="J155" s="687"/>
      <c r="K155" s="54"/>
      <c r="L155" s="687"/>
      <c r="M155" s="596"/>
      <c r="N155" s="68"/>
      <c r="O155" s="68"/>
      <c r="P155" s="68"/>
      <c r="Q155" s="68"/>
      <c r="R155" s="68"/>
      <c r="S155" s="68"/>
      <c r="T155" s="68"/>
      <c r="U155" s="54"/>
      <c r="V155" s="54"/>
      <c r="W155" s="54"/>
      <c r="X155" s="54"/>
      <c r="Y155" s="54"/>
      <c r="Z155" s="54"/>
      <c r="AA155" s="54"/>
      <c r="AB155" s="54"/>
      <c r="AC155" s="54"/>
      <c r="AD155" s="54"/>
      <c r="AE155" s="54"/>
      <c r="AF155" s="54"/>
      <c r="AG155" s="54"/>
      <c r="AH155" s="54"/>
      <c r="AI155" s="54"/>
      <c r="AJ155" s="54"/>
      <c r="AW155" s="18">
        <f t="shared" si="3"/>
        <v>0</v>
      </c>
    </row>
    <row r="156" spans="10:49" ht="15">
      <c r="J156" s="687"/>
      <c r="K156" s="54"/>
      <c r="L156" s="687"/>
      <c r="M156" s="596"/>
      <c r="N156" s="68"/>
      <c r="O156" s="68"/>
      <c r="P156" s="68"/>
      <c r="Q156" s="68"/>
      <c r="R156" s="68"/>
      <c r="S156" s="68"/>
      <c r="T156" s="68"/>
      <c r="U156" s="54"/>
      <c r="V156" s="54"/>
      <c r="W156" s="54"/>
      <c r="X156" s="54"/>
      <c r="Y156" s="54"/>
      <c r="Z156" s="54"/>
      <c r="AA156" s="54"/>
      <c r="AB156" s="54"/>
      <c r="AC156" s="54"/>
      <c r="AD156" s="54"/>
      <c r="AE156" s="54"/>
      <c r="AF156" s="54"/>
      <c r="AG156" s="54"/>
      <c r="AH156" s="54"/>
      <c r="AI156" s="54"/>
      <c r="AJ156" s="54"/>
      <c r="AW156" s="18">
        <f t="shared" si="3"/>
        <v>0</v>
      </c>
    </row>
    <row r="157" spans="10:49" ht="15">
      <c r="J157" s="687"/>
      <c r="K157" s="54"/>
      <c r="L157" s="687"/>
      <c r="M157" s="596"/>
      <c r="N157" s="68"/>
      <c r="O157" s="68"/>
      <c r="P157" s="68"/>
      <c r="Q157" s="68"/>
      <c r="R157" s="68"/>
      <c r="S157" s="68"/>
      <c r="T157" s="68"/>
      <c r="U157" s="54"/>
      <c r="V157" s="54"/>
      <c r="W157" s="54"/>
      <c r="X157" s="54"/>
      <c r="Y157" s="54"/>
      <c r="Z157" s="54"/>
      <c r="AA157" s="54"/>
      <c r="AB157" s="54"/>
      <c r="AC157" s="54"/>
      <c r="AD157" s="54"/>
      <c r="AE157" s="54"/>
      <c r="AF157" s="54"/>
      <c r="AG157" s="54"/>
      <c r="AH157" s="54"/>
      <c r="AI157" s="54"/>
      <c r="AJ157" s="54"/>
      <c r="AW157" s="18">
        <f t="shared" si="3"/>
        <v>0</v>
      </c>
    </row>
    <row r="158" spans="10:49" ht="15">
      <c r="J158" s="687"/>
      <c r="K158" s="54"/>
      <c r="L158" s="687"/>
      <c r="M158" s="596"/>
      <c r="N158" s="68"/>
      <c r="O158" s="68"/>
      <c r="P158" s="68"/>
      <c r="Q158" s="68"/>
      <c r="R158" s="68"/>
      <c r="S158" s="68"/>
      <c r="T158" s="68"/>
      <c r="U158" s="54"/>
      <c r="V158" s="54"/>
      <c r="W158" s="54"/>
      <c r="X158" s="54"/>
      <c r="Y158" s="54"/>
      <c r="Z158" s="54"/>
      <c r="AA158" s="54"/>
      <c r="AB158" s="54"/>
      <c r="AC158" s="54"/>
      <c r="AD158" s="54"/>
      <c r="AE158" s="54"/>
      <c r="AF158" s="54"/>
      <c r="AG158" s="54"/>
      <c r="AH158" s="54"/>
      <c r="AI158" s="54"/>
      <c r="AJ158" s="54"/>
      <c r="AW158" s="18">
        <f t="shared" si="3"/>
        <v>0</v>
      </c>
    </row>
    <row r="159" spans="10:49" ht="15">
      <c r="J159" s="687"/>
      <c r="K159" s="54"/>
      <c r="L159" s="687"/>
      <c r="M159" s="596"/>
      <c r="N159" s="68"/>
      <c r="O159" s="68"/>
      <c r="P159" s="68"/>
      <c r="Q159" s="68"/>
      <c r="R159" s="68"/>
      <c r="S159" s="68"/>
      <c r="T159" s="68"/>
      <c r="U159" s="54"/>
      <c r="V159" s="54"/>
      <c r="W159" s="54"/>
      <c r="X159" s="54"/>
      <c r="Y159" s="54"/>
      <c r="Z159" s="54"/>
      <c r="AA159" s="54"/>
      <c r="AB159" s="54"/>
      <c r="AC159" s="54"/>
      <c r="AD159" s="54"/>
      <c r="AE159" s="54"/>
      <c r="AF159" s="54"/>
      <c r="AG159" s="54"/>
      <c r="AH159" s="54"/>
      <c r="AI159" s="54"/>
      <c r="AJ159" s="54"/>
      <c r="AW159" s="18">
        <f t="shared" si="3"/>
        <v>0</v>
      </c>
    </row>
    <row r="160" spans="10:49" ht="15">
      <c r="J160" s="687"/>
      <c r="K160" s="54"/>
      <c r="L160" s="687"/>
      <c r="M160" s="596"/>
      <c r="N160" s="68"/>
      <c r="O160" s="68"/>
      <c r="P160" s="68"/>
      <c r="Q160" s="68"/>
      <c r="R160" s="68"/>
      <c r="S160" s="68"/>
      <c r="T160" s="68"/>
      <c r="U160" s="54"/>
      <c r="V160" s="54"/>
      <c r="W160" s="54"/>
      <c r="X160" s="54"/>
      <c r="Y160" s="54"/>
      <c r="Z160" s="54"/>
      <c r="AA160" s="54"/>
      <c r="AB160" s="54"/>
      <c r="AC160" s="54"/>
      <c r="AD160" s="54"/>
      <c r="AE160" s="54"/>
      <c r="AF160" s="54"/>
      <c r="AG160" s="54"/>
      <c r="AH160" s="54"/>
      <c r="AI160" s="54"/>
      <c r="AJ160" s="54"/>
      <c r="AW160" s="18">
        <f t="shared" si="3"/>
        <v>0</v>
      </c>
    </row>
    <row r="161" spans="10:49" ht="15">
      <c r="J161" s="687"/>
      <c r="K161" s="54"/>
      <c r="L161" s="687"/>
      <c r="M161" s="596"/>
      <c r="N161" s="68"/>
      <c r="O161" s="68"/>
      <c r="P161" s="68"/>
      <c r="Q161" s="68"/>
      <c r="R161" s="68"/>
      <c r="S161" s="68"/>
      <c r="T161" s="68"/>
      <c r="U161" s="54"/>
      <c r="V161" s="54"/>
      <c r="W161" s="54"/>
      <c r="X161" s="54"/>
      <c r="Y161" s="54"/>
      <c r="Z161" s="54"/>
      <c r="AA161" s="54"/>
      <c r="AB161" s="54"/>
      <c r="AC161" s="54"/>
      <c r="AD161" s="54"/>
      <c r="AE161" s="54"/>
      <c r="AF161" s="54"/>
      <c r="AG161" s="54"/>
      <c r="AH161" s="54"/>
      <c r="AI161" s="54"/>
      <c r="AJ161" s="54"/>
      <c r="AW161" s="18">
        <f t="shared" si="3"/>
        <v>0</v>
      </c>
    </row>
    <row r="162" spans="10:49" ht="15">
      <c r="J162" s="687"/>
      <c r="K162" s="54"/>
      <c r="L162" s="687"/>
      <c r="M162" s="596"/>
      <c r="N162" s="68"/>
      <c r="O162" s="68"/>
      <c r="P162" s="68"/>
      <c r="Q162" s="68"/>
      <c r="R162" s="68"/>
      <c r="S162" s="68"/>
      <c r="T162" s="68"/>
      <c r="U162" s="54"/>
      <c r="V162" s="54"/>
      <c r="W162" s="54"/>
      <c r="X162" s="54"/>
      <c r="Y162" s="54"/>
      <c r="Z162" s="54"/>
      <c r="AA162" s="54"/>
      <c r="AB162" s="54"/>
      <c r="AC162" s="54"/>
      <c r="AD162" s="54"/>
      <c r="AE162" s="54"/>
      <c r="AF162" s="54"/>
      <c r="AG162" s="54"/>
      <c r="AH162" s="54"/>
      <c r="AI162" s="54"/>
      <c r="AJ162" s="54"/>
      <c r="AW162" s="18">
        <f t="shared" si="3"/>
        <v>0</v>
      </c>
    </row>
    <row r="163" spans="10:49" ht="15">
      <c r="J163" s="687"/>
      <c r="K163" s="54"/>
      <c r="L163" s="687"/>
      <c r="M163" s="596"/>
      <c r="N163" s="68"/>
      <c r="O163" s="68"/>
      <c r="P163" s="68"/>
      <c r="Q163" s="68"/>
      <c r="R163" s="68"/>
      <c r="S163" s="68"/>
      <c r="T163" s="68"/>
      <c r="U163" s="54"/>
      <c r="V163" s="54"/>
      <c r="W163" s="54"/>
      <c r="X163" s="54"/>
      <c r="Y163" s="54"/>
      <c r="Z163" s="54"/>
      <c r="AA163" s="54"/>
      <c r="AB163" s="54"/>
      <c r="AC163" s="54"/>
      <c r="AD163" s="54"/>
      <c r="AE163" s="54"/>
      <c r="AF163" s="54"/>
      <c r="AG163" s="54"/>
      <c r="AH163" s="54"/>
      <c r="AI163" s="54"/>
      <c r="AJ163" s="54"/>
      <c r="AW163" s="18">
        <f t="shared" si="3"/>
        <v>0</v>
      </c>
    </row>
    <row r="164" spans="10:49" ht="15">
      <c r="J164" s="687"/>
      <c r="K164" s="54"/>
      <c r="L164" s="687"/>
      <c r="M164" s="596"/>
      <c r="N164" s="68"/>
      <c r="O164" s="68"/>
      <c r="P164" s="68"/>
      <c r="Q164" s="68"/>
      <c r="R164" s="68"/>
      <c r="S164" s="68"/>
      <c r="T164" s="68"/>
      <c r="U164" s="54"/>
      <c r="V164" s="54"/>
      <c r="W164" s="54"/>
      <c r="X164" s="54"/>
      <c r="Y164" s="54"/>
      <c r="Z164" s="54"/>
      <c r="AA164" s="54"/>
      <c r="AB164" s="54"/>
      <c r="AC164" s="54"/>
      <c r="AD164" s="54"/>
      <c r="AE164" s="54"/>
      <c r="AF164" s="54"/>
      <c r="AG164" s="54"/>
      <c r="AH164" s="54"/>
      <c r="AI164" s="54"/>
      <c r="AJ164" s="54"/>
      <c r="AW164" s="18">
        <f t="shared" si="3"/>
        <v>0</v>
      </c>
    </row>
    <row r="165" spans="10:49" ht="15">
      <c r="J165" s="687"/>
      <c r="K165" s="54"/>
      <c r="L165" s="687"/>
      <c r="M165" s="596"/>
      <c r="N165" s="68"/>
      <c r="O165" s="68"/>
      <c r="P165" s="68"/>
      <c r="Q165" s="68"/>
      <c r="R165" s="68"/>
      <c r="S165" s="68"/>
      <c r="T165" s="68"/>
      <c r="U165" s="54"/>
      <c r="V165" s="54"/>
      <c r="W165" s="54"/>
      <c r="X165" s="54"/>
      <c r="Y165" s="54"/>
      <c r="Z165" s="54"/>
      <c r="AA165" s="54"/>
      <c r="AB165" s="54"/>
      <c r="AC165" s="54"/>
      <c r="AD165" s="54"/>
      <c r="AE165" s="54"/>
      <c r="AF165" s="54"/>
      <c r="AG165" s="54"/>
      <c r="AH165" s="54"/>
      <c r="AI165" s="54"/>
      <c r="AJ165" s="54"/>
      <c r="AW165" s="18">
        <f t="shared" si="3"/>
        <v>0</v>
      </c>
    </row>
    <row r="166" spans="10:49" ht="15">
      <c r="J166" s="687"/>
      <c r="K166" s="54"/>
      <c r="L166" s="687"/>
      <c r="M166" s="596"/>
      <c r="N166" s="68"/>
      <c r="O166" s="68"/>
      <c r="P166" s="68"/>
      <c r="Q166" s="68"/>
      <c r="R166" s="68"/>
      <c r="S166" s="68"/>
      <c r="T166" s="68"/>
      <c r="U166" s="54"/>
      <c r="V166" s="54"/>
      <c r="W166" s="54"/>
      <c r="X166" s="54"/>
      <c r="Y166" s="54"/>
      <c r="Z166" s="54"/>
      <c r="AA166" s="54"/>
      <c r="AB166" s="54"/>
      <c r="AC166" s="54"/>
      <c r="AD166" s="54"/>
      <c r="AE166" s="54"/>
      <c r="AF166" s="54"/>
      <c r="AG166" s="54"/>
      <c r="AH166" s="54"/>
      <c r="AI166" s="54"/>
      <c r="AJ166" s="54"/>
      <c r="AW166" s="18">
        <f t="shared" si="3"/>
        <v>0</v>
      </c>
    </row>
    <row r="167" spans="10:49" ht="15">
      <c r="J167" s="687"/>
      <c r="K167" s="54"/>
      <c r="L167" s="687"/>
      <c r="M167" s="596"/>
      <c r="N167" s="68"/>
      <c r="O167" s="68"/>
      <c r="P167" s="68"/>
      <c r="Q167" s="68"/>
      <c r="R167" s="68"/>
      <c r="S167" s="68"/>
      <c r="T167" s="68"/>
      <c r="U167" s="54"/>
      <c r="V167" s="54"/>
      <c r="W167" s="54"/>
      <c r="X167" s="54"/>
      <c r="Y167" s="54"/>
      <c r="Z167" s="54"/>
      <c r="AA167" s="54"/>
      <c r="AB167" s="54"/>
      <c r="AC167" s="54"/>
      <c r="AD167" s="54"/>
      <c r="AE167" s="54"/>
      <c r="AF167" s="54"/>
      <c r="AG167" s="54"/>
      <c r="AH167" s="54"/>
      <c r="AI167" s="54"/>
      <c r="AJ167" s="54"/>
      <c r="AW167" s="18">
        <f t="shared" si="3"/>
        <v>0</v>
      </c>
    </row>
    <row r="168" spans="10:49" ht="15">
      <c r="J168" s="687"/>
      <c r="K168" s="54"/>
      <c r="L168" s="687"/>
      <c r="M168" s="596"/>
      <c r="N168" s="68"/>
      <c r="O168" s="68"/>
      <c r="P168" s="68"/>
      <c r="Q168" s="68"/>
      <c r="R168" s="68"/>
      <c r="S168" s="68"/>
      <c r="T168" s="68"/>
      <c r="U168" s="54"/>
      <c r="V168" s="54"/>
      <c r="W168" s="54"/>
      <c r="X168" s="54"/>
      <c r="Y168" s="54"/>
      <c r="Z168" s="54"/>
      <c r="AA168" s="54"/>
      <c r="AB168" s="54"/>
      <c r="AC168" s="54"/>
      <c r="AD168" s="54"/>
      <c r="AE168" s="54"/>
      <c r="AF168" s="54"/>
      <c r="AG168" s="54"/>
      <c r="AH168" s="54"/>
      <c r="AI168" s="54"/>
      <c r="AJ168" s="54"/>
      <c r="AW168" s="18">
        <f t="shared" si="3"/>
        <v>0</v>
      </c>
    </row>
    <row r="169" spans="10:49" ht="15">
      <c r="J169" s="687"/>
      <c r="K169" s="54"/>
      <c r="L169" s="687"/>
      <c r="M169" s="596"/>
      <c r="N169" s="68"/>
      <c r="O169" s="68"/>
      <c r="P169" s="68"/>
      <c r="Q169" s="68"/>
      <c r="R169" s="68"/>
      <c r="S169" s="68"/>
      <c r="T169" s="68"/>
      <c r="U169" s="54"/>
      <c r="V169" s="54"/>
      <c r="W169" s="54"/>
      <c r="X169" s="54"/>
      <c r="Y169" s="54"/>
      <c r="Z169" s="54"/>
      <c r="AA169" s="54"/>
      <c r="AB169" s="54"/>
      <c r="AC169" s="54"/>
      <c r="AD169" s="54"/>
      <c r="AE169" s="54"/>
      <c r="AF169" s="54"/>
      <c r="AG169" s="54"/>
      <c r="AH169" s="54"/>
      <c r="AI169" s="54"/>
      <c r="AJ169" s="54"/>
      <c r="AW169" s="18">
        <f t="shared" si="3"/>
        <v>0</v>
      </c>
    </row>
    <row r="170" spans="10:49" ht="15">
      <c r="J170" s="687"/>
      <c r="K170" s="54"/>
      <c r="L170" s="687"/>
      <c r="M170" s="596"/>
      <c r="N170" s="68"/>
      <c r="O170" s="68"/>
      <c r="P170" s="68"/>
      <c r="Q170" s="68"/>
      <c r="R170" s="68"/>
      <c r="S170" s="68"/>
      <c r="T170" s="68"/>
      <c r="U170" s="54"/>
      <c r="V170" s="54"/>
      <c r="W170" s="54"/>
      <c r="X170" s="54"/>
      <c r="Y170" s="54"/>
      <c r="Z170" s="54"/>
      <c r="AA170" s="54"/>
      <c r="AB170" s="54"/>
      <c r="AC170" s="54"/>
      <c r="AD170" s="54"/>
      <c r="AE170" s="54"/>
      <c r="AF170" s="54"/>
      <c r="AG170" s="54"/>
      <c r="AH170" s="54"/>
      <c r="AI170" s="54"/>
      <c r="AJ170" s="54"/>
      <c r="AW170" s="18">
        <f t="shared" si="3"/>
        <v>0</v>
      </c>
    </row>
    <row r="171" spans="10:49" ht="15">
      <c r="J171" s="687"/>
      <c r="K171" s="54"/>
      <c r="L171" s="687"/>
      <c r="M171" s="596"/>
      <c r="N171" s="68"/>
      <c r="O171" s="68"/>
      <c r="P171" s="68"/>
      <c r="Q171" s="68"/>
      <c r="R171" s="68"/>
      <c r="S171" s="68"/>
      <c r="T171" s="68"/>
      <c r="U171" s="54"/>
      <c r="V171" s="54"/>
      <c r="W171" s="54"/>
      <c r="X171" s="54"/>
      <c r="Y171" s="54"/>
      <c r="Z171" s="54"/>
      <c r="AA171" s="54"/>
      <c r="AB171" s="54"/>
      <c r="AC171" s="54"/>
      <c r="AD171" s="54"/>
      <c r="AE171" s="54"/>
      <c r="AF171" s="54"/>
      <c r="AG171" s="54"/>
      <c r="AH171" s="54"/>
      <c r="AI171" s="54"/>
      <c r="AJ171" s="54"/>
      <c r="AW171" s="18">
        <f t="shared" si="3"/>
        <v>0</v>
      </c>
    </row>
    <row r="172" spans="10:49" ht="15">
      <c r="J172" s="687"/>
      <c r="K172" s="54"/>
      <c r="L172" s="687"/>
      <c r="M172" s="596"/>
      <c r="N172" s="68"/>
      <c r="O172" s="68"/>
      <c r="P172" s="68"/>
      <c r="Q172" s="68"/>
      <c r="R172" s="68"/>
      <c r="S172" s="68"/>
      <c r="T172" s="68"/>
      <c r="U172" s="54"/>
      <c r="V172" s="54"/>
      <c r="W172" s="54"/>
      <c r="X172" s="54"/>
      <c r="Y172" s="54"/>
      <c r="Z172" s="54"/>
      <c r="AA172" s="54"/>
      <c r="AB172" s="54"/>
      <c r="AC172" s="54"/>
      <c r="AD172" s="54"/>
      <c r="AE172" s="54"/>
      <c r="AF172" s="54"/>
      <c r="AG172" s="54"/>
      <c r="AH172" s="54"/>
      <c r="AI172" s="54"/>
      <c r="AJ172" s="54"/>
      <c r="AW172" s="18">
        <f t="shared" si="3"/>
        <v>0</v>
      </c>
    </row>
    <row r="173" spans="10:49" ht="15">
      <c r="J173" s="687"/>
      <c r="K173" s="54"/>
      <c r="L173" s="687"/>
      <c r="M173" s="596"/>
      <c r="N173" s="68"/>
      <c r="O173" s="68"/>
      <c r="P173" s="68"/>
      <c r="Q173" s="68"/>
      <c r="R173" s="68"/>
      <c r="S173" s="68"/>
      <c r="T173" s="68"/>
      <c r="U173" s="54"/>
      <c r="V173" s="54"/>
      <c r="W173" s="54"/>
      <c r="X173" s="54"/>
      <c r="Y173" s="54"/>
      <c r="Z173" s="54"/>
      <c r="AA173" s="54"/>
      <c r="AB173" s="54"/>
      <c r="AC173" s="54"/>
      <c r="AD173" s="54"/>
      <c r="AE173" s="54"/>
      <c r="AF173" s="54"/>
      <c r="AG173" s="54"/>
      <c r="AH173" s="54"/>
      <c r="AI173" s="54"/>
      <c r="AJ173" s="54"/>
      <c r="AW173" s="18">
        <f t="shared" si="3"/>
        <v>0</v>
      </c>
    </row>
    <row r="174" spans="10:49" ht="15">
      <c r="J174" s="687"/>
      <c r="K174" s="54"/>
      <c r="L174" s="687"/>
      <c r="M174" s="596"/>
      <c r="N174" s="68"/>
      <c r="O174" s="68"/>
      <c r="P174" s="68"/>
      <c r="Q174" s="68"/>
      <c r="R174" s="68"/>
      <c r="S174" s="68"/>
      <c r="T174" s="68"/>
      <c r="U174" s="54"/>
      <c r="V174" s="54"/>
      <c r="W174" s="54"/>
      <c r="X174" s="54"/>
      <c r="Y174" s="54"/>
      <c r="Z174" s="54"/>
      <c r="AA174" s="54"/>
      <c r="AB174" s="54"/>
      <c r="AC174" s="54"/>
      <c r="AD174" s="54"/>
      <c r="AE174" s="54"/>
      <c r="AF174" s="54"/>
      <c r="AG174" s="54"/>
      <c r="AH174" s="54"/>
      <c r="AI174" s="54"/>
      <c r="AJ174" s="54"/>
      <c r="AW174" s="18">
        <f t="shared" si="3"/>
        <v>0</v>
      </c>
    </row>
    <row r="175" spans="10:49" ht="15">
      <c r="J175" s="687"/>
      <c r="K175" s="54"/>
      <c r="L175" s="687"/>
      <c r="M175" s="596"/>
      <c r="N175" s="68"/>
      <c r="O175" s="68"/>
      <c r="P175" s="68"/>
      <c r="Q175" s="68"/>
      <c r="R175" s="68"/>
      <c r="S175" s="68"/>
      <c r="T175" s="68"/>
      <c r="U175" s="54"/>
      <c r="V175" s="54"/>
      <c r="W175" s="54"/>
      <c r="X175" s="54"/>
      <c r="Y175" s="54"/>
      <c r="Z175" s="54"/>
      <c r="AA175" s="54"/>
      <c r="AB175" s="54"/>
      <c r="AC175" s="54"/>
      <c r="AD175" s="54"/>
      <c r="AE175" s="54"/>
      <c r="AF175" s="54"/>
      <c r="AG175" s="54"/>
      <c r="AH175" s="54"/>
      <c r="AI175" s="54"/>
      <c r="AJ175" s="54"/>
      <c r="AW175" s="18">
        <f t="shared" si="3"/>
        <v>0</v>
      </c>
    </row>
    <row r="176" spans="10:49" ht="15">
      <c r="J176" s="687"/>
      <c r="K176" s="54"/>
      <c r="L176" s="687"/>
      <c r="M176" s="596"/>
      <c r="N176" s="68"/>
      <c r="O176" s="68"/>
      <c r="P176" s="68"/>
      <c r="Q176" s="68"/>
      <c r="R176" s="68"/>
      <c r="S176" s="68"/>
      <c r="T176" s="68"/>
      <c r="U176" s="54"/>
      <c r="V176" s="54"/>
      <c r="W176" s="54"/>
      <c r="X176" s="54"/>
      <c r="Y176" s="54"/>
      <c r="Z176" s="54"/>
      <c r="AA176" s="54"/>
      <c r="AB176" s="54"/>
      <c r="AC176" s="54"/>
      <c r="AD176" s="54"/>
      <c r="AE176" s="54"/>
      <c r="AF176" s="54"/>
      <c r="AG176" s="54"/>
      <c r="AH176" s="54"/>
      <c r="AI176" s="54"/>
      <c r="AJ176" s="54"/>
      <c r="AW176" s="18">
        <f t="shared" si="3"/>
        <v>0</v>
      </c>
    </row>
    <row r="177" spans="10:49" ht="15">
      <c r="J177" s="687"/>
      <c r="K177" s="54"/>
      <c r="L177" s="687"/>
      <c r="M177" s="596"/>
      <c r="N177" s="68"/>
      <c r="O177" s="68"/>
      <c r="P177" s="68"/>
      <c r="Q177" s="68"/>
      <c r="R177" s="68"/>
      <c r="S177" s="68"/>
      <c r="T177" s="68"/>
      <c r="U177" s="54"/>
      <c r="V177" s="54"/>
      <c r="W177" s="54"/>
      <c r="X177" s="54"/>
      <c r="Y177" s="54"/>
      <c r="Z177" s="54"/>
      <c r="AA177" s="54"/>
      <c r="AB177" s="54"/>
      <c r="AC177" s="54"/>
      <c r="AD177" s="54"/>
      <c r="AE177" s="54"/>
      <c r="AF177" s="54"/>
      <c r="AG177" s="54"/>
      <c r="AH177" s="54"/>
      <c r="AI177" s="54"/>
      <c r="AJ177" s="54"/>
      <c r="AW177" s="18">
        <f t="shared" si="3"/>
        <v>0</v>
      </c>
    </row>
    <row r="178" spans="10:49" ht="15">
      <c r="J178" s="687"/>
      <c r="K178" s="54"/>
      <c r="L178" s="687"/>
      <c r="M178" s="596"/>
      <c r="N178" s="68"/>
      <c r="O178" s="68"/>
      <c r="P178" s="68"/>
      <c r="Q178" s="68"/>
      <c r="R178" s="68"/>
      <c r="S178" s="68"/>
      <c r="T178" s="68"/>
      <c r="U178" s="54"/>
      <c r="V178" s="54"/>
      <c r="W178" s="54"/>
      <c r="X178" s="54"/>
      <c r="Y178" s="54"/>
      <c r="Z178" s="54"/>
      <c r="AA178" s="54"/>
      <c r="AB178" s="54"/>
      <c r="AC178" s="54"/>
      <c r="AD178" s="54"/>
      <c r="AE178" s="54"/>
      <c r="AF178" s="54"/>
      <c r="AG178" s="54"/>
      <c r="AH178" s="54"/>
      <c r="AI178" s="54"/>
      <c r="AJ178" s="54"/>
      <c r="AW178" s="18">
        <f t="shared" si="3"/>
        <v>0</v>
      </c>
    </row>
    <row r="179" spans="10:49" ht="15">
      <c r="J179" s="687"/>
      <c r="K179" s="54"/>
      <c r="L179" s="687"/>
      <c r="M179" s="596"/>
      <c r="N179" s="68"/>
      <c r="O179" s="68"/>
      <c r="P179" s="68"/>
      <c r="Q179" s="68"/>
      <c r="R179" s="68"/>
      <c r="S179" s="68"/>
      <c r="T179" s="68"/>
      <c r="U179" s="54"/>
      <c r="V179" s="54"/>
      <c r="W179" s="54"/>
      <c r="X179" s="54"/>
      <c r="Y179" s="54"/>
      <c r="Z179" s="54"/>
      <c r="AA179" s="54"/>
      <c r="AB179" s="54"/>
      <c r="AC179" s="54"/>
      <c r="AD179" s="54"/>
      <c r="AE179" s="54"/>
      <c r="AF179" s="54"/>
      <c r="AG179" s="54"/>
      <c r="AH179" s="54"/>
      <c r="AI179" s="54"/>
      <c r="AJ179" s="54"/>
      <c r="AW179" s="18">
        <f t="shared" si="3"/>
        <v>0</v>
      </c>
    </row>
    <row r="180" spans="10:49" ht="15">
      <c r="J180" s="687"/>
      <c r="K180" s="54"/>
      <c r="L180" s="687"/>
      <c r="M180" s="596"/>
      <c r="N180" s="68"/>
      <c r="O180" s="68"/>
      <c r="P180" s="68"/>
      <c r="Q180" s="68"/>
      <c r="R180" s="68"/>
      <c r="S180" s="68"/>
      <c r="T180" s="68"/>
      <c r="U180" s="54"/>
      <c r="V180" s="54"/>
      <c r="W180" s="54"/>
      <c r="X180" s="54"/>
      <c r="Y180" s="54"/>
      <c r="Z180" s="54"/>
      <c r="AA180" s="54"/>
      <c r="AB180" s="54"/>
      <c r="AC180" s="54"/>
      <c r="AD180" s="54"/>
      <c r="AE180" s="54"/>
      <c r="AF180" s="54"/>
      <c r="AG180" s="54"/>
      <c r="AH180" s="54"/>
      <c r="AI180" s="54"/>
      <c r="AJ180" s="54"/>
      <c r="AW180" s="18">
        <f t="shared" si="3"/>
        <v>0</v>
      </c>
    </row>
    <row r="181" spans="10:49" ht="15">
      <c r="J181" s="687"/>
      <c r="K181" s="54"/>
      <c r="L181" s="687"/>
      <c r="M181" s="596"/>
      <c r="N181" s="68"/>
      <c r="O181" s="68"/>
      <c r="P181" s="68"/>
      <c r="Q181" s="68"/>
      <c r="R181" s="68"/>
      <c r="S181" s="68"/>
      <c r="T181" s="68"/>
      <c r="U181" s="54"/>
      <c r="V181" s="54"/>
      <c r="W181" s="54"/>
      <c r="X181" s="54"/>
      <c r="Y181" s="54"/>
      <c r="Z181" s="54"/>
      <c r="AA181" s="54"/>
      <c r="AB181" s="54"/>
      <c r="AC181" s="54"/>
      <c r="AD181" s="54"/>
      <c r="AE181" s="54"/>
      <c r="AF181" s="54"/>
      <c r="AG181" s="54"/>
      <c r="AH181" s="54"/>
      <c r="AI181" s="54"/>
      <c r="AJ181" s="54"/>
      <c r="AW181" s="18">
        <f t="shared" si="3"/>
        <v>0</v>
      </c>
    </row>
    <row r="182" spans="10:49" ht="15">
      <c r="J182" s="687"/>
      <c r="K182" s="54"/>
      <c r="L182" s="687"/>
      <c r="M182" s="596"/>
      <c r="N182" s="68"/>
      <c r="O182" s="68"/>
      <c r="P182" s="68"/>
      <c r="Q182" s="68"/>
      <c r="R182" s="68"/>
      <c r="S182" s="68"/>
      <c r="T182" s="68"/>
      <c r="U182" s="54"/>
      <c r="V182" s="54"/>
      <c r="W182" s="54"/>
      <c r="X182" s="54"/>
      <c r="Y182" s="54"/>
      <c r="Z182" s="54"/>
      <c r="AA182" s="54"/>
      <c r="AB182" s="54"/>
      <c r="AC182" s="54"/>
      <c r="AD182" s="54"/>
      <c r="AE182" s="54"/>
      <c r="AF182" s="54"/>
      <c r="AG182" s="54"/>
      <c r="AH182" s="54"/>
      <c r="AI182" s="54"/>
      <c r="AJ182" s="54"/>
      <c r="AW182" s="18">
        <f t="shared" si="3"/>
        <v>0</v>
      </c>
    </row>
    <row r="183" spans="10:49" ht="15">
      <c r="J183" s="687"/>
      <c r="K183" s="54"/>
      <c r="L183" s="687"/>
      <c r="M183" s="596"/>
      <c r="N183" s="68"/>
      <c r="O183" s="68"/>
      <c r="P183" s="68"/>
      <c r="Q183" s="68"/>
      <c r="R183" s="68"/>
      <c r="S183" s="68"/>
      <c r="T183" s="68"/>
      <c r="U183" s="54"/>
      <c r="V183" s="54"/>
      <c r="W183" s="54"/>
      <c r="X183" s="54"/>
      <c r="Y183" s="54"/>
      <c r="Z183" s="54"/>
      <c r="AA183" s="54"/>
      <c r="AB183" s="54"/>
      <c r="AC183" s="54"/>
      <c r="AD183" s="54"/>
      <c r="AE183" s="54"/>
      <c r="AF183" s="54"/>
      <c r="AG183" s="54"/>
      <c r="AH183" s="54"/>
      <c r="AI183" s="54"/>
      <c r="AJ183" s="54"/>
      <c r="AW183" s="18">
        <f t="shared" si="3"/>
        <v>0</v>
      </c>
    </row>
    <row r="184" spans="10:49" ht="15">
      <c r="J184" s="687"/>
      <c r="K184" s="54"/>
      <c r="L184" s="687"/>
      <c r="M184" s="596"/>
      <c r="N184" s="68"/>
      <c r="O184" s="68"/>
      <c r="P184" s="68"/>
      <c r="Q184" s="68"/>
      <c r="R184" s="68"/>
      <c r="S184" s="68"/>
      <c r="T184" s="68"/>
      <c r="U184" s="54"/>
      <c r="V184" s="54"/>
      <c r="W184" s="54"/>
      <c r="X184" s="54"/>
      <c r="Y184" s="54"/>
      <c r="Z184" s="54"/>
      <c r="AA184" s="54"/>
      <c r="AB184" s="54"/>
      <c r="AC184" s="54"/>
      <c r="AD184" s="54"/>
      <c r="AE184" s="54"/>
      <c r="AF184" s="54"/>
      <c r="AG184" s="54"/>
      <c r="AH184" s="54"/>
      <c r="AI184" s="54"/>
      <c r="AJ184" s="54"/>
      <c r="AW184" s="18">
        <f t="shared" si="3"/>
        <v>0</v>
      </c>
    </row>
    <row r="185" spans="10:49" ht="15">
      <c r="J185" s="687"/>
      <c r="K185" s="54"/>
      <c r="L185" s="687"/>
      <c r="M185" s="596"/>
      <c r="N185" s="68"/>
      <c r="O185" s="68"/>
      <c r="P185" s="68"/>
      <c r="Q185" s="68"/>
      <c r="R185" s="68"/>
      <c r="S185" s="68"/>
      <c r="T185" s="68"/>
      <c r="U185" s="54"/>
      <c r="V185" s="54"/>
      <c r="W185" s="54"/>
      <c r="X185" s="54"/>
      <c r="Y185" s="54"/>
      <c r="Z185" s="54"/>
      <c r="AA185" s="54"/>
      <c r="AB185" s="54"/>
      <c r="AC185" s="54"/>
      <c r="AD185" s="54"/>
      <c r="AE185" s="54"/>
      <c r="AF185" s="54"/>
      <c r="AG185" s="54"/>
      <c r="AH185" s="54"/>
      <c r="AI185" s="54"/>
      <c r="AJ185" s="54"/>
      <c r="AW185" s="18">
        <f t="shared" si="3"/>
        <v>0</v>
      </c>
    </row>
    <row r="186" spans="10:49" ht="15">
      <c r="J186" s="687"/>
      <c r="K186" s="54"/>
      <c r="L186" s="687"/>
      <c r="M186" s="596"/>
      <c r="N186" s="68"/>
      <c r="O186" s="68"/>
      <c r="P186" s="68"/>
      <c r="Q186" s="68"/>
      <c r="R186" s="68"/>
      <c r="S186" s="68"/>
      <c r="T186" s="68"/>
      <c r="U186" s="54"/>
      <c r="V186" s="54"/>
      <c r="W186" s="54"/>
      <c r="X186" s="54"/>
      <c r="Y186" s="54"/>
      <c r="Z186" s="54"/>
      <c r="AA186" s="54"/>
      <c r="AB186" s="54"/>
      <c r="AC186" s="54"/>
      <c r="AD186" s="54"/>
      <c r="AE186" s="54"/>
      <c r="AF186" s="54"/>
      <c r="AG186" s="54"/>
      <c r="AH186" s="54"/>
      <c r="AI186" s="54"/>
      <c r="AJ186" s="54"/>
      <c r="AW186" s="18">
        <f t="shared" si="3"/>
        <v>0</v>
      </c>
    </row>
    <row r="187" spans="10:49" ht="15">
      <c r="J187" s="687"/>
      <c r="K187" s="54"/>
      <c r="L187" s="687"/>
      <c r="M187" s="596"/>
      <c r="N187" s="68"/>
      <c r="O187" s="68"/>
      <c r="P187" s="68"/>
      <c r="Q187" s="68"/>
      <c r="R187" s="68"/>
      <c r="S187" s="68"/>
      <c r="T187" s="68"/>
      <c r="U187" s="54"/>
      <c r="V187" s="54"/>
      <c r="W187" s="54"/>
      <c r="X187" s="54"/>
      <c r="Y187" s="54"/>
      <c r="Z187" s="54"/>
      <c r="AA187" s="54"/>
      <c r="AB187" s="54"/>
      <c r="AC187" s="54"/>
      <c r="AD187" s="54"/>
      <c r="AE187" s="54"/>
      <c r="AF187" s="54"/>
      <c r="AG187" s="54"/>
      <c r="AH187" s="54"/>
      <c r="AI187" s="54"/>
      <c r="AJ187" s="54"/>
      <c r="AW187" s="18">
        <f t="shared" si="3"/>
        <v>0</v>
      </c>
    </row>
    <row r="188" spans="10:49" ht="15">
      <c r="J188" s="687"/>
      <c r="K188" s="54"/>
      <c r="L188" s="687"/>
      <c r="M188" s="596"/>
      <c r="N188" s="68"/>
      <c r="O188" s="68"/>
      <c r="P188" s="68"/>
      <c r="Q188" s="68"/>
      <c r="R188" s="68"/>
      <c r="S188" s="68"/>
      <c r="T188" s="68"/>
      <c r="U188" s="54"/>
      <c r="V188" s="54"/>
      <c r="W188" s="54"/>
      <c r="X188" s="54"/>
      <c r="Y188" s="54"/>
      <c r="Z188" s="54"/>
      <c r="AA188" s="54"/>
      <c r="AB188" s="54"/>
      <c r="AC188" s="54"/>
      <c r="AD188" s="54"/>
      <c r="AE188" s="54"/>
      <c r="AF188" s="54"/>
      <c r="AG188" s="54"/>
      <c r="AH188" s="54"/>
      <c r="AI188" s="54"/>
      <c r="AJ188" s="54"/>
      <c r="AW188" s="18">
        <f t="shared" si="3"/>
        <v>0</v>
      </c>
    </row>
    <row r="189" spans="10:49" ht="15">
      <c r="J189" s="687"/>
      <c r="K189" s="54"/>
      <c r="L189" s="687"/>
      <c r="M189" s="596"/>
      <c r="N189" s="68"/>
      <c r="O189" s="68"/>
      <c r="P189" s="68"/>
      <c r="Q189" s="68"/>
      <c r="R189" s="68"/>
      <c r="S189" s="68"/>
      <c r="T189" s="68"/>
      <c r="U189" s="54"/>
      <c r="V189" s="54"/>
      <c r="W189" s="54"/>
      <c r="X189" s="54"/>
      <c r="Y189" s="54"/>
      <c r="Z189" s="54"/>
      <c r="AA189" s="54"/>
      <c r="AB189" s="54"/>
      <c r="AC189" s="54"/>
      <c r="AD189" s="54"/>
      <c r="AE189" s="54"/>
      <c r="AF189" s="54"/>
      <c r="AG189" s="54"/>
      <c r="AH189" s="54"/>
      <c r="AI189" s="54"/>
      <c r="AJ189" s="54"/>
      <c r="AW189" s="18">
        <f t="shared" si="3"/>
        <v>0</v>
      </c>
    </row>
    <row r="190" spans="10:49" ht="15">
      <c r="J190" s="687"/>
      <c r="K190" s="54"/>
      <c r="L190" s="687"/>
      <c r="M190" s="596"/>
      <c r="N190" s="68"/>
      <c r="O190" s="68"/>
      <c r="P190" s="68"/>
      <c r="Q190" s="68"/>
      <c r="R190" s="68"/>
      <c r="S190" s="68"/>
      <c r="T190" s="68"/>
      <c r="U190" s="54"/>
      <c r="V190" s="54"/>
      <c r="W190" s="54"/>
      <c r="X190" s="54"/>
      <c r="Y190" s="54"/>
      <c r="Z190" s="54"/>
      <c r="AA190" s="54"/>
      <c r="AB190" s="54"/>
      <c r="AC190" s="54"/>
      <c r="AD190" s="54"/>
      <c r="AE190" s="54"/>
      <c r="AF190" s="54"/>
      <c r="AG190" s="54"/>
      <c r="AH190" s="54"/>
      <c r="AI190" s="54"/>
      <c r="AJ190" s="54"/>
      <c r="AW190" s="18">
        <f t="shared" si="3"/>
        <v>0</v>
      </c>
    </row>
    <row r="191" spans="10:49" ht="15">
      <c r="J191" s="687"/>
      <c r="K191" s="54"/>
      <c r="L191" s="687"/>
      <c r="M191" s="596"/>
      <c r="N191" s="68"/>
      <c r="O191" s="68"/>
      <c r="P191" s="68"/>
      <c r="Q191" s="68"/>
      <c r="R191" s="68"/>
      <c r="S191" s="68"/>
      <c r="T191" s="68"/>
      <c r="U191" s="54"/>
      <c r="V191" s="54"/>
      <c r="W191" s="54"/>
      <c r="X191" s="54"/>
      <c r="Y191" s="54"/>
      <c r="Z191" s="54"/>
      <c r="AA191" s="54"/>
      <c r="AB191" s="54"/>
      <c r="AC191" s="54"/>
      <c r="AD191" s="54"/>
      <c r="AE191" s="54"/>
      <c r="AF191" s="54"/>
      <c r="AG191" s="54"/>
      <c r="AH191" s="54"/>
      <c r="AI191" s="54"/>
      <c r="AJ191" s="54"/>
      <c r="AW191" s="18">
        <f t="shared" si="3"/>
        <v>0</v>
      </c>
    </row>
    <row r="192" spans="10:49" ht="15">
      <c r="J192" s="687"/>
      <c r="K192" s="54"/>
      <c r="L192" s="687"/>
      <c r="M192" s="596"/>
      <c r="N192" s="68"/>
      <c r="O192" s="68"/>
      <c r="P192" s="68"/>
      <c r="Q192" s="68"/>
      <c r="R192" s="68"/>
      <c r="S192" s="68"/>
      <c r="T192" s="68"/>
      <c r="U192" s="54"/>
      <c r="V192" s="54"/>
      <c r="W192" s="54"/>
      <c r="X192" s="54"/>
      <c r="Y192" s="54"/>
      <c r="Z192" s="54"/>
      <c r="AA192" s="54"/>
      <c r="AB192" s="54"/>
      <c r="AC192" s="54"/>
      <c r="AD192" s="54"/>
      <c r="AE192" s="54"/>
      <c r="AF192" s="54"/>
      <c r="AG192" s="54"/>
      <c r="AH192" s="54"/>
      <c r="AI192" s="54"/>
      <c r="AJ192" s="54"/>
      <c r="AW192" s="18">
        <f t="shared" si="3"/>
        <v>0</v>
      </c>
    </row>
    <row r="193" spans="10:49" ht="15">
      <c r="J193" s="687"/>
      <c r="K193" s="54"/>
      <c r="L193" s="687"/>
      <c r="M193" s="596"/>
      <c r="N193" s="68"/>
      <c r="O193" s="68"/>
      <c r="P193" s="68"/>
      <c r="Q193" s="68"/>
      <c r="R193" s="68"/>
      <c r="S193" s="68"/>
      <c r="T193" s="68"/>
      <c r="U193" s="54"/>
      <c r="V193" s="54"/>
      <c r="W193" s="54"/>
      <c r="X193" s="54"/>
      <c r="Y193" s="54"/>
      <c r="Z193" s="54"/>
      <c r="AA193" s="54"/>
      <c r="AB193" s="54"/>
      <c r="AC193" s="54"/>
      <c r="AD193" s="54"/>
      <c r="AE193" s="54"/>
      <c r="AF193" s="54"/>
      <c r="AG193" s="54"/>
      <c r="AH193" s="54"/>
      <c r="AI193" s="54"/>
      <c r="AJ193" s="54"/>
      <c r="AW193" s="18">
        <f t="shared" si="3"/>
        <v>0</v>
      </c>
    </row>
    <row r="194" spans="10:49" ht="15">
      <c r="J194" s="687"/>
      <c r="K194" s="54"/>
      <c r="L194" s="687"/>
      <c r="M194" s="596"/>
      <c r="N194" s="68"/>
      <c r="O194" s="68"/>
      <c r="P194" s="68"/>
      <c r="Q194" s="68"/>
      <c r="R194" s="68"/>
      <c r="S194" s="68"/>
      <c r="T194" s="68"/>
      <c r="U194" s="54"/>
      <c r="V194" s="54"/>
      <c r="W194" s="54"/>
      <c r="X194" s="54"/>
      <c r="Y194" s="54"/>
      <c r="Z194" s="54"/>
      <c r="AA194" s="54"/>
      <c r="AB194" s="54"/>
      <c r="AC194" s="54"/>
      <c r="AD194" s="54"/>
      <c r="AE194" s="54"/>
      <c r="AF194" s="54"/>
      <c r="AG194" s="54"/>
      <c r="AH194" s="54"/>
      <c r="AI194" s="54"/>
      <c r="AJ194" s="54"/>
      <c r="AW194" s="18">
        <f t="shared" si="3"/>
        <v>0</v>
      </c>
    </row>
    <row r="195" spans="10:49" ht="15">
      <c r="J195" s="687"/>
      <c r="K195" s="54"/>
      <c r="L195" s="687"/>
      <c r="M195" s="596"/>
      <c r="N195" s="68"/>
      <c r="O195" s="68"/>
      <c r="P195" s="68"/>
      <c r="Q195" s="68"/>
      <c r="R195" s="68"/>
      <c r="S195" s="68"/>
      <c r="T195" s="68"/>
      <c r="U195" s="54"/>
      <c r="V195" s="54"/>
      <c r="W195" s="54"/>
      <c r="X195" s="54"/>
      <c r="Y195" s="54"/>
      <c r="Z195" s="54"/>
      <c r="AA195" s="54"/>
      <c r="AB195" s="54"/>
      <c r="AC195" s="54"/>
      <c r="AD195" s="54"/>
      <c r="AE195" s="54"/>
      <c r="AF195" s="54"/>
      <c r="AG195" s="54"/>
      <c r="AH195" s="54"/>
      <c r="AI195" s="54"/>
      <c r="AJ195" s="54"/>
      <c r="AW195" s="18">
        <f t="shared" si="3"/>
        <v>0</v>
      </c>
    </row>
    <row r="196" spans="10:49" ht="15">
      <c r="J196" s="687"/>
      <c r="K196" s="54"/>
      <c r="L196" s="687"/>
      <c r="M196" s="596"/>
      <c r="N196" s="68"/>
      <c r="O196" s="68"/>
      <c r="P196" s="68"/>
      <c r="Q196" s="68"/>
      <c r="R196" s="68"/>
      <c r="S196" s="68"/>
      <c r="T196" s="68"/>
      <c r="U196" s="54"/>
      <c r="V196" s="54"/>
      <c r="W196" s="54"/>
      <c r="X196" s="54"/>
      <c r="Y196" s="54"/>
      <c r="Z196" s="54"/>
      <c r="AA196" s="54"/>
      <c r="AB196" s="54"/>
      <c r="AC196" s="54"/>
      <c r="AD196" s="54"/>
      <c r="AE196" s="54"/>
      <c r="AF196" s="54"/>
      <c r="AG196" s="54"/>
      <c r="AH196" s="54"/>
      <c r="AI196" s="54"/>
      <c r="AJ196" s="54"/>
      <c r="AW196" s="18">
        <f t="shared" si="3"/>
        <v>0</v>
      </c>
    </row>
    <row r="197" spans="10:49" ht="15">
      <c r="J197" s="687"/>
      <c r="K197" s="54"/>
      <c r="L197" s="687"/>
      <c r="M197" s="596"/>
      <c r="N197" s="68"/>
      <c r="O197" s="68"/>
      <c r="P197" s="68"/>
      <c r="Q197" s="68"/>
      <c r="R197" s="68"/>
      <c r="S197" s="68"/>
      <c r="T197" s="68"/>
      <c r="U197" s="54"/>
      <c r="V197" s="54"/>
      <c r="W197" s="54"/>
      <c r="X197" s="54"/>
      <c r="Y197" s="54"/>
      <c r="Z197" s="54"/>
      <c r="AA197" s="54"/>
      <c r="AB197" s="54"/>
      <c r="AC197" s="54"/>
      <c r="AD197" s="54"/>
      <c r="AE197" s="54"/>
      <c r="AF197" s="54"/>
      <c r="AG197" s="54"/>
      <c r="AH197" s="54"/>
      <c r="AI197" s="54"/>
      <c r="AJ197" s="54"/>
      <c r="AW197" s="18">
        <f t="shared" si="3"/>
        <v>0</v>
      </c>
    </row>
    <row r="198" spans="10:49" ht="15">
      <c r="J198" s="687"/>
      <c r="K198" s="54"/>
      <c r="L198" s="687"/>
      <c r="M198" s="596"/>
      <c r="N198" s="68"/>
      <c r="O198" s="68"/>
      <c r="P198" s="68"/>
      <c r="Q198" s="68"/>
      <c r="R198" s="68"/>
      <c r="S198" s="68"/>
      <c r="T198" s="68"/>
      <c r="U198" s="54"/>
      <c r="V198" s="54"/>
      <c r="W198" s="54"/>
      <c r="X198" s="54"/>
      <c r="Y198" s="54"/>
      <c r="Z198" s="54"/>
      <c r="AA198" s="54"/>
      <c r="AB198" s="54"/>
      <c r="AC198" s="54"/>
      <c r="AD198" s="54"/>
      <c r="AE198" s="54"/>
      <c r="AF198" s="54"/>
      <c r="AG198" s="54"/>
      <c r="AH198" s="54"/>
      <c r="AI198" s="54"/>
      <c r="AJ198" s="54"/>
      <c r="AW198" s="18">
        <f t="shared" si="3"/>
        <v>0</v>
      </c>
    </row>
    <row r="199" spans="10:49" ht="15">
      <c r="J199" s="687"/>
      <c r="K199" s="54"/>
      <c r="L199" s="687"/>
      <c r="M199" s="596"/>
      <c r="N199" s="68"/>
      <c r="O199" s="68"/>
      <c r="P199" s="68"/>
      <c r="Q199" s="68"/>
      <c r="R199" s="68"/>
      <c r="S199" s="68"/>
      <c r="T199" s="68"/>
      <c r="U199" s="54"/>
      <c r="V199" s="54"/>
      <c r="W199" s="54"/>
      <c r="X199" s="54"/>
      <c r="Y199" s="54"/>
      <c r="Z199" s="54"/>
      <c r="AA199" s="54"/>
      <c r="AB199" s="54"/>
      <c r="AC199" s="54"/>
      <c r="AD199" s="54"/>
      <c r="AE199" s="54"/>
      <c r="AF199" s="54"/>
      <c r="AG199" s="54"/>
      <c r="AH199" s="54"/>
      <c r="AI199" s="54"/>
      <c r="AJ199" s="54"/>
      <c r="AW199" s="18">
        <f t="shared" si="3"/>
        <v>0</v>
      </c>
    </row>
    <row r="200" spans="10:49" ht="15">
      <c r="J200" s="687"/>
      <c r="K200" s="54"/>
      <c r="L200" s="687"/>
      <c r="M200" s="596"/>
      <c r="N200" s="68"/>
      <c r="O200" s="68"/>
      <c r="P200" s="68"/>
      <c r="Q200" s="68"/>
      <c r="R200" s="68"/>
      <c r="S200" s="68"/>
      <c r="T200" s="68"/>
      <c r="U200" s="54"/>
      <c r="V200" s="54"/>
      <c r="W200" s="54"/>
      <c r="X200" s="54"/>
      <c r="Y200" s="54"/>
      <c r="Z200" s="54"/>
      <c r="AA200" s="54"/>
      <c r="AB200" s="54"/>
      <c r="AC200" s="54"/>
      <c r="AD200" s="54"/>
      <c r="AE200" s="54"/>
      <c r="AF200" s="54"/>
      <c r="AG200" s="54"/>
      <c r="AH200" s="54"/>
      <c r="AI200" s="54"/>
      <c r="AJ200" s="54"/>
      <c r="AW200" s="18">
        <f t="shared" si="3"/>
        <v>0</v>
      </c>
    </row>
    <row r="201" spans="10:49" ht="15">
      <c r="J201" s="687"/>
      <c r="K201" s="54"/>
      <c r="L201" s="687"/>
      <c r="M201" s="596"/>
      <c r="N201" s="68"/>
      <c r="O201" s="68"/>
      <c r="P201" s="68"/>
      <c r="Q201" s="68"/>
      <c r="R201" s="68"/>
      <c r="S201" s="68"/>
      <c r="T201" s="68"/>
      <c r="U201" s="54"/>
      <c r="V201" s="54"/>
      <c r="W201" s="54"/>
      <c r="X201" s="54"/>
      <c r="Y201" s="54"/>
      <c r="Z201" s="54"/>
      <c r="AA201" s="54"/>
      <c r="AB201" s="54"/>
      <c r="AC201" s="54"/>
      <c r="AD201" s="54"/>
      <c r="AE201" s="54"/>
      <c r="AF201" s="54"/>
      <c r="AG201" s="54"/>
      <c r="AH201" s="54"/>
      <c r="AI201" s="54"/>
      <c r="AJ201" s="54"/>
      <c r="AW201" s="18">
        <f t="shared" si="3"/>
        <v>0</v>
      </c>
    </row>
    <row r="202" spans="10:49" ht="15">
      <c r="J202" s="687"/>
      <c r="K202" s="54"/>
      <c r="L202" s="687"/>
      <c r="M202" s="596"/>
      <c r="N202" s="68"/>
      <c r="O202" s="68"/>
      <c r="P202" s="68"/>
      <c r="Q202" s="68"/>
      <c r="R202" s="68"/>
      <c r="S202" s="68"/>
      <c r="T202" s="68"/>
      <c r="U202" s="54"/>
      <c r="V202" s="54"/>
      <c r="W202" s="54"/>
      <c r="X202" s="54"/>
      <c r="Y202" s="54"/>
      <c r="Z202" s="54"/>
      <c r="AA202" s="54"/>
      <c r="AB202" s="54"/>
      <c r="AC202" s="54"/>
      <c r="AD202" s="54"/>
      <c r="AE202" s="54"/>
      <c r="AF202" s="54"/>
      <c r="AG202" s="54"/>
      <c r="AH202" s="54"/>
      <c r="AI202" s="54"/>
      <c r="AJ202" s="54"/>
      <c r="AW202" s="18">
        <f t="shared" si="3"/>
        <v>0</v>
      </c>
    </row>
    <row r="203" spans="10:49" ht="15">
      <c r="J203" s="687"/>
      <c r="K203" s="54"/>
      <c r="L203" s="687"/>
      <c r="M203" s="596"/>
      <c r="N203" s="68"/>
      <c r="O203" s="68"/>
      <c r="P203" s="68"/>
      <c r="Q203" s="68"/>
      <c r="R203" s="68"/>
      <c r="S203" s="68"/>
      <c r="T203" s="68"/>
      <c r="U203" s="54"/>
      <c r="V203" s="54"/>
      <c r="W203" s="54"/>
      <c r="X203" s="54"/>
      <c r="Y203" s="54"/>
      <c r="Z203" s="54"/>
      <c r="AA203" s="54"/>
      <c r="AB203" s="54"/>
      <c r="AC203" s="54"/>
      <c r="AD203" s="54"/>
      <c r="AE203" s="54"/>
      <c r="AF203" s="54"/>
      <c r="AG203" s="54"/>
      <c r="AH203" s="54"/>
      <c r="AI203" s="54"/>
      <c r="AJ203" s="54"/>
      <c r="AW203" s="18">
        <f t="shared" si="3"/>
        <v>0</v>
      </c>
    </row>
    <row r="204" spans="10:49" ht="15">
      <c r="J204" s="687"/>
      <c r="K204" s="54"/>
      <c r="L204" s="687"/>
      <c r="M204" s="596"/>
      <c r="N204" s="68"/>
      <c r="O204" s="68"/>
      <c r="P204" s="68"/>
      <c r="Q204" s="68"/>
      <c r="R204" s="68"/>
      <c r="S204" s="68"/>
      <c r="T204" s="68"/>
      <c r="U204" s="54"/>
      <c r="V204" s="54"/>
      <c r="W204" s="54"/>
      <c r="X204" s="54"/>
      <c r="Y204" s="54"/>
      <c r="Z204" s="54"/>
      <c r="AA204" s="54"/>
      <c r="AB204" s="54"/>
      <c r="AC204" s="54"/>
      <c r="AD204" s="54"/>
      <c r="AE204" s="54"/>
      <c r="AF204" s="54"/>
      <c r="AG204" s="54"/>
      <c r="AH204" s="54"/>
      <c r="AI204" s="54"/>
      <c r="AJ204" s="54"/>
      <c r="AW204" s="18">
        <f t="shared" si="3"/>
        <v>0</v>
      </c>
    </row>
    <row r="205" spans="10:49" ht="15">
      <c r="J205" s="687"/>
      <c r="K205" s="54"/>
      <c r="L205" s="687"/>
      <c r="M205" s="596"/>
      <c r="N205" s="68"/>
      <c r="O205" s="68"/>
      <c r="P205" s="68"/>
      <c r="Q205" s="68"/>
      <c r="R205" s="68"/>
      <c r="S205" s="68"/>
      <c r="T205" s="68"/>
      <c r="U205" s="54"/>
      <c r="V205" s="54"/>
      <c r="W205" s="54"/>
      <c r="X205" s="54"/>
      <c r="Y205" s="54"/>
      <c r="Z205" s="54"/>
      <c r="AA205" s="54"/>
      <c r="AB205" s="54"/>
      <c r="AC205" s="54"/>
      <c r="AD205" s="54"/>
      <c r="AE205" s="54"/>
      <c r="AF205" s="54"/>
      <c r="AG205" s="54"/>
      <c r="AH205" s="54"/>
      <c r="AI205" s="54"/>
      <c r="AJ205" s="54"/>
      <c r="AW205" s="18">
        <f t="shared" ref="AW205:AW268" si="4">LEN(L205)</f>
        <v>0</v>
      </c>
    </row>
    <row r="206" spans="10:49" ht="15">
      <c r="J206" s="687"/>
      <c r="K206" s="54"/>
      <c r="L206" s="687"/>
      <c r="M206" s="596"/>
      <c r="N206" s="68"/>
      <c r="O206" s="68"/>
      <c r="P206" s="68"/>
      <c r="Q206" s="68"/>
      <c r="R206" s="68"/>
      <c r="S206" s="68"/>
      <c r="T206" s="68"/>
      <c r="U206" s="54"/>
      <c r="V206" s="54"/>
      <c r="W206" s="54"/>
      <c r="X206" s="54"/>
      <c r="Y206" s="54"/>
      <c r="Z206" s="54"/>
      <c r="AA206" s="54"/>
      <c r="AB206" s="54"/>
      <c r="AC206" s="54"/>
      <c r="AD206" s="54"/>
      <c r="AE206" s="54"/>
      <c r="AF206" s="54"/>
      <c r="AG206" s="54"/>
      <c r="AH206" s="54"/>
      <c r="AI206" s="54"/>
      <c r="AJ206" s="54"/>
      <c r="AW206" s="18">
        <f t="shared" si="4"/>
        <v>0</v>
      </c>
    </row>
    <row r="207" spans="10:49" ht="15">
      <c r="J207" s="687"/>
      <c r="K207" s="54"/>
      <c r="L207" s="687"/>
      <c r="M207" s="596"/>
      <c r="N207" s="68"/>
      <c r="O207" s="68"/>
      <c r="P207" s="68"/>
      <c r="Q207" s="68"/>
      <c r="R207" s="68"/>
      <c r="S207" s="68"/>
      <c r="T207" s="68"/>
      <c r="U207" s="54"/>
      <c r="V207" s="54"/>
      <c r="W207" s="54"/>
      <c r="X207" s="54"/>
      <c r="Y207" s="54"/>
      <c r="Z207" s="54"/>
      <c r="AA207" s="54"/>
      <c r="AB207" s="54"/>
      <c r="AC207" s="54"/>
      <c r="AD207" s="54"/>
      <c r="AE207" s="54"/>
      <c r="AF207" s="54"/>
      <c r="AG207" s="54"/>
      <c r="AH207" s="54"/>
      <c r="AI207" s="54"/>
      <c r="AJ207" s="54"/>
      <c r="AW207" s="18">
        <f t="shared" si="4"/>
        <v>0</v>
      </c>
    </row>
    <row r="208" spans="10:49" ht="15">
      <c r="J208" s="687"/>
      <c r="K208" s="54"/>
      <c r="L208" s="687"/>
      <c r="M208" s="596"/>
      <c r="N208" s="68"/>
      <c r="O208" s="68"/>
      <c r="P208" s="68"/>
      <c r="Q208" s="68"/>
      <c r="R208" s="68"/>
      <c r="S208" s="68"/>
      <c r="T208" s="68"/>
      <c r="U208" s="54"/>
      <c r="V208" s="54"/>
      <c r="W208" s="54"/>
      <c r="X208" s="54"/>
      <c r="Y208" s="54"/>
      <c r="Z208" s="54"/>
      <c r="AA208" s="54"/>
      <c r="AB208" s="54"/>
      <c r="AC208" s="54"/>
      <c r="AD208" s="54"/>
      <c r="AE208" s="54"/>
      <c r="AF208" s="54"/>
      <c r="AG208" s="54"/>
      <c r="AH208" s="54"/>
      <c r="AI208" s="54"/>
      <c r="AJ208" s="54"/>
      <c r="AW208" s="18">
        <f t="shared" si="4"/>
        <v>0</v>
      </c>
    </row>
    <row r="209" spans="10:49" ht="15">
      <c r="J209" s="687"/>
      <c r="K209" s="54"/>
      <c r="L209" s="687"/>
      <c r="M209" s="596"/>
      <c r="N209" s="68"/>
      <c r="O209" s="68"/>
      <c r="P209" s="68"/>
      <c r="Q209" s="68"/>
      <c r="R209" s="68"/>
      <c r="S209" s="68"/>
      <c r="T209" s="68"/>
      <c r="U209" s="54"/>
      <c r="V209" s="54"/>
      <c r="W209" s="54"/>
      <c r="X209" s="54"/>
      <c r="Y209" s="54"/>
      <c r="Z209" s="54"/>
      <c r="AA209" s="54"/>
      <c r="AB209" s="54"/>
      <c r="AC209" s="54"/>
      <c r="AD209" s="54"/>
      <c r="AE209" s="54"/>
      <c r="AF209" s="54"/>
      <c r="AG209" s="54"/>
      <c r="AH209" s="54"/>
      <c r="AI209" s="54"/>
      <c r="AJ209" s="54"/>
      <c r="AW209" s="18">
        <f t="shared" si="4"/>
        <v>0</v>
      </c>
    </row>
    <row r="210" spans="10:49" ht="15">
      <c r="J210" s="687"/>
      <c r="K210" s="54"/>
      <c r="L210" s="687"/>
      <c r="M210" s="596"/>
      <c r="N210" s="68"/>
      <c r="O210" s="68"/>
      <c r="P210" s="68"/>
      <c r="Q210" s="68"/>
      <c r="R210" s="68"/>
      <c r="S210" s="68"/>
      <c r="T210" s="68"/>
      <c r="U210" s="54"/>
      <c r="V210" s="54"/>
      <c r="W210" s="54"/>
      <c r="X210" s="54"/>
      <c r="Y210" s="54"/>
      <c r="Z210" s="54"/>
      <c r="AA210" s="54"/>
      <c r="AB210" s="54"/>
      <c r="AC210" s="54"/>
      <c r="AD210" s="54"/>
      <c r="AE210" s="54"/>
      <c r="AF210" s="54"/>
      <c r="AG210" s="54"/>
      <c r="AH210" s="54"/>
      <c r="AI210" s="54"/>
      <c r="AJ210" s="54"/>
      <c r="AW210" s="18">
        <f t="shared" si="4"/>
        <v>0</v>
      </c>
    </row>
    <row r="211" spans="10:49" ht="15">
      <c r="J211" s="685"/>
      <c r="L211" s="685"/>
      <c r="M211" s="596"/>
      <c r="AW211" s="18">
        <f t="shared" si="4"/>
        <v>0</v>
      </c>
    </row>
    <row r="212" spans="10:49" ht="15">
      <c r="J212" s="686"/>
      <c r="L212" s="686"/>
      <c r="M212" s="596"/>
      <c r="AW212" s="18">
        <f t="shared" si="4"/>
        <v>0</v>
      </c>
    </row>
    <row r="213" spans="10:49" ht="15">
      <c r="J213" s="686"/>
      <c r="L213" s="686"/>
      <c r="M213" s="596"/>
      <c r="AW213" s="18">
        <f t="shared" si="4"/>
        <v>0</v>
      </c>
    </row>
    <row r="214" spans="10:49" ht="15">
      <c r="J214" s="686"/>
      <c r="L214" s="686"/>
      <c r="M214" s="596"/>
      <c r="AW214" s="18">
        <f t="shared" si="4"/>
        <v>0</v>
      </c>
    </row>
    <row r="215" spans="10:49" ht="15">
      <c r="J215" s="686"/>
      <c r="L215" s="686"/>
      <c r="M215" s="596"/>
      <c r="AW215" s="18">
        <f t="shared" si="4"/>
        <v>0</v>
      </c>
    </row>
    <row r="216" spans="10:49" ht="15">
      <c r="J216" s="686"/>
      <c r="L216" s="686"/>
      <c r="M216" s="596"/>
      <c r="AW216" s="18">
        <f t="shared" si="4"/>
        <v>0</v>
      </c>
    </row>
    <row r="217" spans="10:49" ht="15">
      <c r="J217" s="686"/>
      <c r="L217" s="686"/>
      <c r="M217" s="596"/>
      <c r="AW217" s="18">
        <f t="shared" si="4"/>
        <v>0</v>
      </c>
    </row>
    <row r="218" spans="10:49" ht="15">
      <c r="J218" s="686"/>
      <c r="L218" s="686"/>
      <c r="M218" s="596"/>
      <c r="AW218" s="18">
        <f t="shared" si="4"/>
        <v>0</v>
      </c>
    </row>
    <row r="219" spans="10:49" ht="15">
      <c r="J219" s="686"/>
      <c r="L219" s="686"/>
      <c r="M219" s="596"/>
      <c r="AW219" s="18">
        <f t="shared" si="4"/>
        <v>0</v>
      </c>
    </row>
    <row r="220" spans="10:49" ht="15">
      <c r="J220" s="686"/>
      <c r="L220" s="686"/>
      <c r="M220" s="596"/>
      <c r="AW220" s="18">
        <f t="shared" si="4"/>
        <v>0</v>
      </c>
    </row>
    <row r="221" spans="10:49" ht="15">
      <c r="J221" s="686"/>
      <c r="L221" s="686"/>
      <c r="M221" s="596"/>
      <c r="AW221" s="18">
        <f t="shared" si="4"/>
        <v>0</v>
      </c>
    </row>
    <row r="222" spans="10:49" ht="15">
      <c r="J222" s="686"/>
      <c r="L222" s="686"/>
      <c r="M222" s="596"/>
      <c r="AW222" s="18">
        <f t="shared" si="4"/>
        <v>0</v>
      </c>
    </row>
    <row r="223" spans="10:49" ht="15">
      <c r="J223" s="686"/>
      <c r="L223" s="686"/>
      <c r="M223" s="596"/>
      <c r="AW223" s="18">
        <f t="shared" si="4"/>
        <v>0</v>
      </c>
    </row>
    <row r="224" spans="10:49" ht="15">
      <c r="J224" s="397"/>
      <c r="L224" s="397"/>
      <c r="M224" s="596"/>
      <c r="AW224" s="18">
        <f t="shared" si="4"/>
        <v>0</v>
      </c>
    </row>
    <row r="225" spans="49:49" ht="15">
      <c r="AW225" s="18">
        <f t="shared" si="4"/>
        <v>0</v>
      </c>
    </row>
    <row r="226" spans="49:49" ht="15">
      <c r="AW226" s="18">
        <f t="shared" si="4"/>
        <v>0</v>
      </c>
    </row>
    <row r="227" spans="49:49" ht="15">
      <c r="AW227" s="18">
        <f t="shared" si="4"/>
        <v>0</v>
      </c>
    </row>
    <row r="228" spans="49:49" ht="15">
      <c r="AW228" s="18">
        <f t="shared" si="4"/>
        <v>0</v>
      </c>
    </row>
    <row r="229" spans="49:49" ht="15">
      <c r="AW229" s="18">
        <f t="shared" si="4"/>
        <v>0</v>
      </c>
    </row>
    <row r="230" spans="49:49" ht="15">
      <c r="AW230" s="18">
        <f t="shared" si="4"/>
        <v>0</v>
      </c>
    </row>
    <row r="231" spans="49:49" ht="15">
      <c r="AW231" s="18">
        <f t="shared" si="4"/>
        <v>0</v>
      </c>
    </row>
    <row r="232" spans="49:49" ht="15">
      <c r="AW232" s="18">
        <f t="shared" si="4"/>
        <v>0</v>
      </c>
    </row>
    <row r="233" spans="49:49" ht="15">
      <c r="AW233" s="18">
        <f t="shared" si="4"/>
        <v>0</v>
      </c>
    </row>
    <row r="234" spans="49:49" ht="15">
      <c r="AW234" s="18">
        <f t="shared" si="4"/>
        <v>0</v>
      </c>
    </row>
    <row r="235" spans="49:49" ht="15">
      <c r="AW235" s="18">
        <f t="shared" si="4"/>
        <v>0</v>
      </c>
    </row>
    <row r="236" spans="49:49" ht="15">
      <c r="AW236" s="18">
        <f t="shared" si="4"/>
        <v>0</v>
      </c>
    </row>
    <row r="237" spans="49:49" ht="15">
      <c r="AW237" s="18">
        <f t="shared" si="4"/>
        <v>0</v>
      </c>
    </row>
    <row r="238" spans="49:49" ht="15">
      <c r="AW238" s="18">
        <f t="shared" si="4"/>
        <v>0</v>
      </c>
    </row>
    <row r="239" spans="49:49" ht="15">
      <c r="AW239" s="18">
        <f t="shared" si="4"/>
        <v>0</v>
      </c>
    </row>
    <row r="240" spans="49:49" ht="15">
      <c r="AW240" s="18">
        <f t="shared" si="4"/>
        <v>0</v>
      </c>
    </row>
    <row r="241" spans="49:49" ht="15">
      <c r="AW241" s="18">
        <f t="shared" si="4"/>
        <v>0</v>
      </c>
    </row>
    <row r="242" spans="49:49" ht="15">
      <c r="AW242" s="18">
        <f t="shared" si="4"/>
        <v>0</v>
      </c>
    </row>
    <row r="243" spans="49:49" ht="15">
      <c r="AW243" s="18">
        <f t="shared" si="4"/>
        <v>0</v>
      </c>
    </row>
    <row r="244" spans="49:49" ht="15">
      <c r="AW244" s="18">
        <f t="shared" si="4"/>
        <v>0</v>
      </c>
    </row>
    <row r="245" spans="49:49" ht="15">
      <c r="AW245" s="18">
        <f t="shared" si="4"/>
        <v>0</v>
      </c>
    </row>
    <row r="246" spans="49:49" ht="15">
      <c r="AW246" s="18">
        <f t="shared" si="4"/>
        <v>0</v>
      </c>
    </row>
    <row r="247" spans="49:49" ht="15">
      <c r="AW247" s="18">
        <f t="shared" si="4"/>
        <v>0</v>
      </c>
    </row>
    <row r="248" spans="49:49" ht="15">
      <c r="AW248" s="18">
        <f t="shared" si="4"/>
        <v>0</v>
      </c>
    </row>
    <row r="249" spans="49:49" ht="15">
      <c r="AW249" s="18">
        <f t="shared" si="4"/>
        <v>0</v>
      </c>
    </row>
    <row r="250" spans="49:49" ht="15">
      <c r="AW250" s="18">
        <f t="shared" si="4"/>
        <v>0</v>
      </c>
    </row>
    <row r="251" spans="49:49" ht="15">
      <c r="AW251" s="18">
        <f t="shared" si="4"/>
        <v>0</v>
      </c>
    </row>
    <row r="252" spans="49:49" ht="15">
      <c r="AW252" s="18">
        <f t="shared" si="4"/>
        <v>0</v>
      </c>
    </row>
    <row r="253" spans="49:49" ht="15">
      <c r="AW253" s="18">
        <f t="shared" si="4"/>
        <v>0</v>
      </c>
    </row>
    <row r="254" spans="49:49" ht="15">
      <c r="AW254" s="18">
        <f t="shared" si="4"/>
        <v>0</v>
      </c>
    </row>
    <row r="255" spans="49:49" ht="15">
      <c r="AW255" s="18">
        <f t="shared" si="4"/>
        <v>0</v>
      </c>
    </row>
    <row r="256" spans="49:49" ht="15">
      <c r="AW256" s="18">
        <f t="shared" si="4"/>
        <v>0</v>
      </c>
    </row>
    <row r="257" spans="49:49" ht="15">
      <c r="AW257" s="18">
        <f t="shared" si="4"/>
        <v>0</v>
      </c>
    </row>
    <row r="258" spans="49:49" ht="15">
      <c r="AW258" s="18">
        <f t="shared" si="4"/>
        <v>0</v>
      </c>
    </row>
    <row r="259" spans="49:49" ht="15">
      <c r="AW259" s="18">
        <f t="shared" si="4"/>
        <v>0</v>
      </c>
    </row>
    <row r="260" spans="49:49" ht="15">
      <c r="AW260" s="18">
        <f t="shared" si="4"/>
        <v>0</v>
      </c>
    </row>
    <row r="261" spans="49:49" ht="15">
      <c r="AW261" s="18">
        <f t="shared" si="4"/>
        <v>0</v>
      </c>
    </row>
    <row r="262" spans="49:49" ht="15">
      <c r="AW262" s="18">
        <f t="shared" si="4"/>
        <v>0</v>
      </c>
    </row>
    <row r="263" spans="49:49" ht="15">
      <c r="AW263" s="18">
        <f t="shared" si="4"/>
        <v>0</v>
      </c>
    </row>
    <row r="264" spans="49:49" ht="15">
      <c r="AW264" s="18">
        <f t="shared" si="4"/>
        <v>0</v>
      </c>
    </row>
    <row r="265" spans="49:49" ht="15">
      <c r="AW265" s="18">
        <f t="shared" si="4"/>
        <v>0</v>
      </c>
    </row>
    <row r="266" spans="49:49" ht="15">
      <c r="AW266" s="18">
        <f t="shared" si="4"/>
        <v>0</v>
      </c>
    </row>
    <row r="267" spans="49:49" ht="15">
      <c r="AW267" s="18">
        <f t="shared" si="4"/>
        <v>0</v>
      </c>
    </row>
    <row r="268" spans="49:49" ht="15">
      <c r="AW268" s="18">
        <f t="shared" si="4"/>
        <v>0</v>
      </c>
    </row>
    <row r="269" spans="49:49" ht="15">
      <c r="AW269" s="18">
        <f t="shared" ref="AW269:AW332" si="5">LEN(L269)</f>
        <v>0</v>
      </c>
    </row>
    <row r="270" spans="49:49" ht="15">
      <c r="AW270" s="18">
        <f t="shared" si="5"/>
        <v>0</v>
      </c>
    </row>
    <row r="271" spans="49:49" ht="15">
      <c r="AW271" s="18">
        <f t="shared" si="5"/>
        <v>0</v>
      </c>
    </row>
    <row r="272" spans="49:49" ht="15">
      <c r="AW272" s="18">
        <f t="shared" si="5"/>
        <v>0</v>
      </c>
    </row>
    <row r="273" spans="49:49" ht="15">
      <c r="AW273" s="18">
        <f t="shared" si="5"/>
        <v>0</v>
      </c>
    </row>
    <row r="274" spans="49:49" ht="15">
      <c r="AW274" s="18">
        <f t="shared" si="5"/>
        <v>0</v>
      </c>
    </row>
    <row r="275" spans="49:49" ht="15">
      <c r="AW275" s="18">
        <f t="shared" si="5"/>
        <v>0</v>
      </c>
    </row>
    <row r="276" spans="49:49" ht="15">
      <c r="AW276" s="18">
        <f t="shared" si="5"/>
        <v>0</v>
      </c>
    </row>
    <row r="277" spans="49:49" ht="15">
      <c r="AW277" s="18">
        <f t="shared" si="5"/>
        <v>0</v>
      </c>
    </row>
    <row r="278" spans="49:49" ht="15">
      <c r="AW278" s="18">
        <f t="shared" si="5"/>
        <v>0</v>
      </c>
    </row>
    <row r="279" spans="49:49" ht="15">
      <c r="AW279" s="18">
        <f t="shared" si="5"/>
        <v>0</v>
      </c>
    </row>
    <row r="280" spans="49:49" ht="15">
      <c r="AW280" s="18">
        <f t="shared" si="5"/>
        <v>0</v>
      </c>
    </row>
    <row r="281" spans="49:49" ht="15">
      <c r="AW281" s="18">
        <f t="shared" si="5"/>
        <v>0</v>
      </c>
    </row>
    <row r="282" spans="49:49" ht="15">
      <c r="AW282" s="18">
        <f t="shared" si="5"/>
        <v>0</v>
      </c>
    </row>
    <row r="283" spans="49:49" ht="15">
      <c r="AW283" s="18">
        <f t="shared" si="5"/>
        <v>0</v>
      </c>
    </row>
    <row r="284" spans="49:49" ht="15">
      <c r="AW284" s="18">
        <f t="shared" si="5"/>
        <v>0</v>
      </c>
    </row>
    <row r="285" spans="49:49" ht="15">
      <c r="AW285" s="18">
        <f t="shared" si="5"/>
        <v>0</v>
      </c>
    </row>
    <row r="286" spans="49:49" ht="15">
      <c r="AW286" s="18">
        <f t="shared" si="5"/>
        <v>0</v>
      </c>
    </row>
    <row r="287" spans="49:49" ht="15">
      <c r="AW287" s="18">
        <f t="shared" si="5"/>
        <v>0</v>
      </c>
    </row>
    <row r="288" spans="49:49" ht="15">
      <c r="AW288" s="18">
        <f t="shared" si="5"/>
        <v>0</v>
      </c>
    </row>
    <row r="289" spans="49:49" ht="15">
      <c r="AW289" s="18">
        <f t="shared" si="5"/>
        <v>0</v>
      </c>
    </row>
    <row r="290" spans="49:49" ht="15">
      <c r="AW290" s="18">
        <f t="shared" si="5"/>
        <v>0</v>
      </c>
    </row>
    <row r="291" spans="49:49" ht="15">
      <c r="AW291" s="18">
        <f t="shared" si="5"/>
        <v>0</v>
      </c>
    </row>
    <row r="292" spans="49:49" ht="15">
      <c r="AW292" s="18">
        <f t="shared" si="5"/>
        <v>0</v>
      </c>
    </row>
    <row r="293" spans="49:49" ht="15">
      <c r="AW293" s="18">
        <f t="shared" si="5"/>
        <v>0</v>
      </c>
    </row>
    <row r="294" spans="49:49" ht="15">
      <c r="AW294" s="18">
        <f t="shared" si="5"/>
        <v>0</v>
      </c>
    </row>
    <row r="295" spans="49:49" ht="15">
      <c r="AW295" s="18">
        <f t="shared" si="5"/>
        <v>0</v>
      </c>
    </row>
    <row r="296" spans="49:49" ht="15">
      <c r="AW296" s="18">
        <f t="shared" si="5"/>
        <v>0</v>
      </c>
    </row>
    <row r="297" spans="49:49" ht="15">
      <c r="AW297" s="18">
        <f t="shared" si="5"/>
        <v>0</v>
      </c>
    </row>
    <row r="298" spans="49:49" ht="15">
      <c r="AW298" s="18">
        <f t="shared" si="5"/>
        <v>0</v>
      </c>
    </row>
    <row r="299" spans="49:49" ht="15">
      <c r="AW299" s="18">
        <f t="shared" si="5"/>
        <v>0</v>
      </c>
    </row>
    <row r="300" spans="49:49" ht="15">
      <c r="AW300" s="18">
        <f t="shared" si="5"/>
        <v>0</v>
      </c>
    </row>
    <row r="301" spans="49:49" ht="15">
      <c r="AW301" s="18">
        <f t="shared" si="5"/>
        <v>0</v>
      </c>
    </row>
    <row r="302" spans="49:49" ht="15">
      <c r="AW302" s="18">
        <f t="shared" si="5"/>
        <v>0</v>
      </c>
    </row>
    <row r="303" spans="49:49" ht="15">
      <c r="AW303" s="18">
        <f t="shared" si="5"/>
        <v>0</v>
      </c>
    </row>
    <row r="304" spans="49:49" ht="15">
      <c r="AW304" s="18">
        <f t="shared" si="5"/>
        <v>0</v>
      </c>
    </row>
    <row r="305" spans="49:49" ht="15">
      <c r="AW305" s="18">
        <f t="shared" si="5"/>
        <v>0</v>
      </c>
    </row>
    <row r="306" spans="49:49" ht="15">
      <c r="AW306" s="18">
        <f t="shared" si="5"/>
        <v>0</v>
      </c>
    </row>
    <row r="307" spans="49:49" ht="15">
      <c r="AW307" s="18">
        <f t="shared" si="5"/>
        <v>0</v>
      </c>
    </row>
    <row r="308" spans="49:49" ht="15">
      <c r="AW308" s="18">
        <f t="shared" si="5"/>
        <v>0</v>
      </c>
    </row>
    <row r="309" spans="49:49" ht="15">
      <c r="AW309" s="18">
        <f t="shared" si="5"/>
        <v>0</v>
      </c>
    </row>
    <row r="310" spans="49:49" ht="15">
      <c r="AW310" s="18">
        <f t="shared" si="5"/>
        <v>0</v>
      </c>
    </row>
    <row r="311" spans="49:49" ht="15">
      <c r="AW311" s="18">
        <f t="shared" si="5"/>
        <v>0</v>
      </c>
    </row>
    <row r="312" spans="49:49" ht="15">
      <c r="AW312" s="18">
        <f t="shared" si="5"/>
        <v>0</v>
      </c>
    </row>
    <row r="313" spans="49:49" ht="15">
      <c r="AW313" s="18">
        <f t="shared" si="5"/>
        <v>0</v>
      </c>
    </row>
    <row r="314" spans="49:49" ht="15">
      <c r="AW314" s="18">
        <f t="shared" si="5"/>
        <v>0</v>
      </c>
    </row>
    <row r="315" spans="49:49" ht="15">
      <c r="AW315" s="18">
        <f t="shared" si="5"/>
        <v>0</v>
      </c>
    </row>
    <row r="316" spans="49:49" ht="15">
      <c r="AW316" s="18">
        <f t="shared" si="5"/>
        <v>0</v>
      </c>
    </row>
    <row r="317" spans="49:49" ht="15">
      <c r="AW317" s="18">
        <f t="shared" si="5"/>
        <v>0</v>
      </c>
    </row>
    <row r="318" spans="49:49" ht="15">
      <c r="AW318" s="18">
        <f t="shared" si="5"/>
        <v>0</v>
      </c>
    </row>
    <row r="319" spans="49:49" ht="15">
      <c r="AW319" s="18">
        <f t="shared" si="5"/>
        <v>0</v>
      </c>
    </row>
    <row r="320" spans="49:49" ht="15">
      <c r="AW320" s="18">
        <f t="shared" si="5"/>
        <v>0</v>
      </c>
    </row>
    <row r="321" spans="49:49" ht="15">
      <c r="AW321" s="18">
        <f t="shared" si="5"/>
        <v>0</v>
      </c>
    </row>
    <row r="322" spans="49:49" ht="15">
      <c r="AW322" s="18">
        <f t="shared" si="5"/>
        <v>0</v>
      </c>
    </row>
    <row r="323" spans="49:49" ht="15">
      <c r="AW323" s="18">
        <f t="shared" si="5"/>
        <v>0</v>
      </c>
    </row>
    <row r="324" spans="49:49" ht="15">
      <c r="AW324" s="18">
        <f t="shared" si="5"/>
        <v>0</v>
      </c>
    </row>
    <row r="325" spans="49:49" ht="15">
      <c r="AW325" s="18">
        <f t="shared" si="5"/>
        <v>0</v>
      </c>
    </row>
    <row r="326" spans="49:49" ht="15">
      <c r="AW326" s="18">
        <f t="shared" si="5"/>
        <v>0</v>
      </c>
    </row>
    <row r="327" spans="49:49" ht="15">
      <c r="AW327" s="18">
        <f t="shared" si="5"/>
        <v>0</v>
      </c>
    </row>
    <row r="328" spans="49:49" ht="15">
      <c r="AW328" s="18">
        <f t="shared" si="5"/>
        <v>0</v>
      </c>
    </row>
    <row r="329" spans="49:49" ht="15">
      <c r="AW329" s="18">
        <f t="shared" si="5"/>
        <v>0</v>
      </c>
    </row>
    <row r="330" spans="49:49" ht="15">
      <c r="AW330" s="18">
        <f t="shared" si="5"/>
        <v>0</v>
      </c>
    </row>
    <row r="331" spans="49:49" ht="15">
      <c r="AW331" s="18">
        <f t="shared" si="5"/>
        <v>0</v>
      </c>
    </row>
    <row r="332" spans="49:49" ht="15">
      <c r="AW332" s="18">
        <f t="shared" si="5"/>
        <v>0</v>
      </c>
    </row>
    <row r="333" spans="49:49" ht="15">
      <c r="AW333" s="18">
        <f t="shared" ref="AW333:AW396" si="6">LEN(L333)</f>
        <v>0</v>
      </c>
    </row>
    <row r="334" spans="49:49" ht="15">
      <c r="AW334" s="18">
        <f t="shared" si="6"/>
        <v>0</v>
      </c>
    </row>
    <row r="335" spans="49:49" ht="15">
      <c r="AW335" s="18">
        <f t="shared" si="6"/>
        <v>0</v>
      </c>
    </row>
    <row r="336" spans="49:49" ht="15">
      <c r="AW336" s="18">
        <f t="shared" si="6"/>
        <v>0</v>
      </c>
    </row>
    <row r="337" spans="49:49" ht="15">
      <c r="AW337" s="18">
        <f t="shared" si="6"/>
        <v>0</v>
      </c>
    </row>
    <row r="338" spans="49:49" ht="15">
      <c r="AW338" s="18">
        <f t="shared" si="6"/>
        <v>0</v>
      </c>
    </row>
    <row r="339" spans="49:49" ht="15">
      <c r="AW339" s="18">
        <f t="shared" si="6"/>
        <v>0</v>
      </c>
    </row>
    <row r="340" spans="49:49" ht="15">
      <c r="AW340" s="18">
        <f t="shared" si="6"/>
        <v>0</v>
      </c>
    </row>
    <row r="341" spans="49:49" ht="15">
      <c r="AW341" s="18">
        <f t="shared" si="6"/>
        <v>0</v>
      </c>
    </row>
    <row r="342" spans="49:49" ht="15">
      <c r="AW342" s="18">
        <f t="shared" si="6"/>
        <v>0</v>
      </c>
    </row>
    <row r="343" spans="49:49" ht="15">
      <c r="AW343" s="18">
        <f t="shared" si="6"/>
        <v>0</v>
      </c>
    </row>
    <row r="344" spans="49:49" ht="15">
      <c r="AW344" s="18">
        <f t="shared" si="6"/>
        <v>0</v>
      </c>
    </row>
    <row r="345" spans="49:49" ht="15">
      <c r="AW345" s="18">
        <f t="shared" si="6"/>
        <v>0</v>
      </c>
    </row>
    <row r="346" spans="49:49" ht="15">
      <c r="AW346" s="18">
        <f t="shared" si="6"/>
        <v>0</v>
      </c>
    </row>
    <row r="347" spans="49:49" ht="15">
      <c r="AW347" s="18">
        <f t="shared" si="6"/>
        <v>0</v>
      </c>
    </row>
    <row r="348" spans="49:49" ht="15">
      <c r="AW348" s="18">
        <f t="shared" si="6"/>
        <v>0</v>
      </c>
    </row>
    <row r="349" spans="49:49" ht="15">
      <c r="AW349" s="18">
        <f t="shared" si="6"/>
        <v>0</v>
      </c>
    </row>
    <row r="350" spans="49:49" ht="15">
      <c r="AW350" s="18">
        <f t="shared" si="6"/>
        <v>0</v>
      </c>
    </row>
    <row r="351" spans="49:49" ht="15">
      <c r="AW351" s="18">
        <f t="shared" si="6"/>
        <v>0</v>
      </c>
    </row>
    <row r="352" spans="49:49" ht="15">
      <c r="AW352" s="18">
        <f t="shared" si="6"/>
        <v>0</v>
      </c>
    </row>
    <row r="353" spans="49:49" ht="15">
      <c r="AW353" s="18">
        <f t="shared" si="6"/>
        <v>0</v>
      </c>
    </row>
    <row r="354" spans="49:49" ht="15">
      <c r="AW354" s="18">
        <f t="shared" si="6"/>
        <v>0</v>
      </c>
    </row>
    <row r="355" spans="49:49" ht="15">
      <c r="AW355" s="18">
        <f t="shared" si="6"/>
        <v>0</v>
      </c>
    </row>
    <row r="356" spans="49:49" ht="15">
      <c r="AW356" s="18">
        <f t="shared" si="6"/>
        <v>0</v>
      </c>
    </row>
    <row r="357" spans="49:49" ht="15">
      <c r="AW357" s="18">
        <f t="shared" si="6"/>
        <v>0</v>
      </c>
    </row>
    <row r="358" spans="49:49" ht="15">
      <c r="AW358" s="18">
        <f t="shared" si="6"/>
        <v>0</v>
      </c>
    </row>
    <row r="359" spans="49:49" ht="15">
      <c r="AW359" s="18">
        <f t="shared" si="6"/>
        <v>0</v>
      </c>
    </row>
    <row r="360" spans="49:49" ht="15">
      <c r="AW360" s="18">
        <f t="shared" si="6"/>
        <v>0</v>
      </c>
    </row>
    <row r="361" spans="49:49" ht="15">
      <c r="AW361" s="18">
        <f t="shared" si="6"/>
        <v>0</v>
      </c>
    </row>
    <row r="362" spans="49:49" ht="15">
      <c r="AW362" s="18">
        <f t="shared" si="6"/>
        <v>0</v>
      </c>
    </row>
    <row r="363" spans="49:49" ht="15">
      <c r="AW363" s="18">
        <f t="shared" si="6"/>
        <v>0</v>
      </c>
    </row>
    <row r="364" spans="49:49" ht="15">
      <c r="AW364" s="18">
        <f t="shared" si="6"/>
        <v>0</v>
      </c>
    </row>
    <row r="365" spans="49:49" ht="15">
      <c r="AW365" s="18">
        <f t="shared" si="6"/>
        <v>0</v>
      </c>
    </row>
    <row r="366" spans="49:49" ht="15">
      <c r="AW366" s="18">
        <f t="shared" si="6"/>
        <v>0</v>
      </c>
    </row>
    <row r="367" spans="49:49" ht="15">
      <c r="AW367" s="18">
        <f t="shared" si="6"/>
        <v>0</v>
      </c>
    </row>
    <row r="368" spans="49:49" ht="15">
      <c r="AW368" s="18">
        <f t="shared" si="6"/>
        <v>0</v>
      </c>
    </row>
    <row r="369" spans="49:49" ht="15">
      <c r="AW369" s="18">
        <f t="shared" si="6"/>
        <v>0</v>
      </c>
    </row>
    <row r="370" spans="49:49" ht="15">
      <c r="AW370" s="18">
        <f t="shared" si="6"/>
        <v>0</v>
      </c>
    </row>
    <row r="371" spans="49:49" ht="15">
      <c r="AW371" s="18">
        <f t="shared" si="6"/>
        <v>0</v>
      </c>
    </row>
    <row r="372" spans="49:49" ht="15">
      <c r="AW372" s="18">
        <f t="shared" si="6"/>
        <v>0</v>
      </c>
    </row>
    <row r="373" spans="49:49" ht="15">
      <c r="AW373" s="18">
        <f t="shared" si="6"/>
        <v>0</v>
      </c>
    </row>
    <row r="374" spans="49:49" ht="15">
      <c r="AW374" s="18">
        <f t="shared" si="6"/>
        <v>0</v>
      </c>
    </row>
    <row r="375" spans="49:49" ht="15">
      <c r="AW375" s="18">
        <f t="shared" si="6"/>
        <v>0</v>
      </c>
    </row>
    <row r="376" spans="49:49" ht="15">
      <c r="AW376" s="18">
        <f t="shared" si="6"/>
        <v>0</v>
      </c>
    </row>
    <row r="377" spans="49:49" ht="15">
      <c r="AW377" s="18">
        <f t="shared" si="6"/>
        <v>0</v>
      </c>
    </row>
    <row r="378" spans="49:49" ht="15">
      <c r="AW378" s="18">
        <f t="shared" si="6"/>
        <v>0</v>
      </c>
    </row>
    <row r="379" spans="49:49" ht="15">
      <c r="AW379" s="18">
        <f t="shared" si="6"/>
        <v>0</v>
      </c>
    </row>
    <row r="380" spans="49:49" ht="15">
      <c r="AW380" s="18">
        <f t="shared" si="6"/>
        <v>0</v>
      </c>
    </row>
    <row r="381" spans="49:49" ht="15">
      <c r="AW381" s="18">
        <f t="shared" si="6"/>
        <v>0</v>
      </c>
    </row>
    <row r="382" spans="49:49" ht="15">
      <c r="AW382" s="18">
        <f t="shared" si="6"/>
        <v>0</v>
      </c>
    </row>
    <row r="383" spans="49:49" ht="15">
      <c r="AW383" s="18">
        <f t="shared" si="6"/>
        <v>0</v>
      </c>
    </row>
    <row r="384" spans="49:49" ht="15">
      <c r="AW384" s="18">
        <f t="shared" si="6"/>
        <v>0</v>
      </c>
    </row>
    <row r="385" spans="49:49" ht="15">
      <c r="AW385" s="18">
        <f t="shared" si="6"/>
        <v>0</v>
      </c>
    </row>
    <row r="386" spans="49:49" ht="15">
      <c r="AW386" s="18">
        <f t="shared" si="6"/>
        <v>0</v>
      </c>
    </row>
    <row r="387" spans="49:49" ht="15">
      <c r="AW387" s="18">
        <f t="shared" si="6"/>
        <v>0</v>
      </c>
    </row>
    <row r="388" spans="49:49" ht="15">
      <c r="AW388" s="18">
        <f t="shared" si="6"/>
        <v>0</v>
      </c>
    </row>
    <row r="389" spans="49:49" ht="15">
      <c r="AW389" s="18">
        <f t="shared" si="6"/>
        <v>0</v>
      </c>
    </row>
    <row r="390" spans="49:49" ht="15">
      <c r="AW390" s="18">
        <f t="shared" si="6"/>
        <v>0</v>
      </c>
    </row>
    <row r="391" spans="49:49" ht="15">
      <c r="AW391" s="18">
        <f t="shared" si="6"/>
        <v>0</v>
      </c>
    </row>
    <row r="392" spans="49:49" ht="15">
      <c r="AW392" s="18">
        <f t="shared" si="6"/>
        <v>0</v>
      </c>
    </row>
    <row r="393" spans="49:49" ht="15">
      <c r="AW393" s="18">
        <f t="shared" si="6"/>
        <v>0</v>
      </c>
    </row>
    <row r="394" spans="49:49" ht="15">
      <c r="AW394" s="18">
        <f t="shared" si="6"/>
        <v>0</v>
      </c>
    </row>
    <row r="395" spans="49:49" ht="15">
      <c r="AW395" s="18">
        <f t="shared" si="6"/>
        <v>0</v>
      </c>
    </row>
    <row r="396" spans="49:49" ht="15">
      <c r="AW396" s="18">
        <f t="shared" si="6"/>
        <v>0</v>
      </c>
    </row>
    <row r="397" spans="49:49" ht="15">
      <c r="AW397" s="18">
        <f t="shared" ref="AW397:AW460" si="7">LEN(L397)</f>
        <v>0</v>
      </c>
    </row>
    <row r="398" spans="49:49" ht="15">
      <c r="AW398" s="18">
        <f t="shared" si="7"/>
        <v>0</v>
      </c>
    </row>
    <row r="399" spans="49:49" ht="15">
      <c r="AW399" s="18">
        <f t="shared" si="7"/>
        <v>0</v>
      </c>
    </row>
    <row r="400" spans="49:49" ht="15">
      <c r="AW400" s="18">
        <f t="shared" si="7"/>
        <v>0</v>
      </c>
    </row>
    <row r="401" spans="49:49" ht="15">
      <c r="AW401" s="18">
        <f t="shared" si="7"/>
        <v>0</v>
      </c>
    </row>
    <row r="402" spans="49:49" ht="15">
      <c r="AW402" s="18">
        <f t="shared" si="7"/>
        <v>0</v>
      </c>
    </row>
    <row r="403" spans="49:49" ht="15">
      <c r="AW403" s="18">
        <f t="shared" si="7"/>
        <v>0</v>
      </c>
    </row>
    <row r="404" spans="49:49" ht="15">
      <c r="AW404" s="18">
        <f t="shared" si="7"/>
        <v>0</v>
      </c>
    </row>
    <row r="405" spans="49:49" ht="15">
      <c r="AW405" s="18">
        <f t="shared" si="7"/>
        <v>0</v>
      </c>
    </row>
    <row r="406" spans="49:49" ht="15">
      <c r="AW406" s="18">
        <f t="shared" si="7"/>
        <v>0</v>
      </c>
    </row>
    <row r="407" spans="49:49" ht="15">
      <c r="AW407" s="18">
        <f t="shared" si="7"/>
        <v>0</v>
      </c>
    </row>
    <row r="408" spans="49:49" ht="15">
      <c r="AW408" s="18">
        <f t="shared" si="7"/>
        <v>0</v>
      </c>
    </row>
    <row r="409" spans="49:49" ht="15">
      <c r="AW409" s="18">
        <f t="shared" si="7"/>
        <v>0</v>
      </c>
    </row>
    <row r="410" spans="49:49" ht="15">
      <c r="AW410" s="18">
        <f t="shared" si="7"/>
        <v>0</v>
      </c>
    </row>
    <row r="411" spans="49:49" ht="15">
      <c r="AW411" s="18">
        <f t="shared" si="7"/>
        <v>0</v>
      </c>
    </row>
    <row r="412" spans="49:49" ht="15">
      <c r="AW412" s="18">
        <f t="shared" si="7"/>
        <v>0</v>
      </c>
    </row>
    <row r="413" spans="49:49" ht="15">
      <c r="AW413" s="18">
        <f t="shared" si="7"/>
        <v>0</v>
      </c>
    </row>
    <row r="414" spans="49:49" ht="15">
      <c r="AW414" s="18">
        <f t="shared" si="7"/>
        <v>0</v>
      </c>
    </row>
    <row r="415" spans="49:49" ht="15">
      <c r="AW415" s="18">
        <f t="shared" si="7"/>
        <v>0</v>
      </c>
    </row>
    <row r="416" spans="49:49" ht="15">
      <c r="AW416" s="18">
        <f t="shared" si="7"/>
        <v>0</v>
      </c>
    </row>
    <row r="417" spans="49:49" ht="15">
      <c r="AW417" s="18">
        <f t="shared" si="7"/>
        <v>0</v>
      </c>
    </row>
    <row r="418" spans="49:49" ht="15">
      <c r="AW418" s="18">
        <f t="shared" si="7"/>
        <v>0</v>
      </c>
    </row>
    <row r="419" spans="49:49" ht="15">
      <c r="AW419" s="18">
        <f t="shared" si="7"/>
        <v>0</v>
      </c>
    </row>
    <row r="420" spans="49:49" ht="15">
      <c r="AW420" s="18">
        <f t="shared" si="7"/>
        <v>0</v>
      </c>
    </row>
    <row r="421" spans="49:49" ht="15">
      <c r="AW421" s="18">
        <f t="shared" si="7"/>
        <v>0</v>
      </c>
    </row>
    <row r="422" spans="49:49" ht="15">
      <c r="AW422" s="18">
        <f t="shared" si="7"/>
        <v>0</v>
      </c>
    </row>
    <row r="423" spans="49:49" ht="15">
      <c r="AW423" s="18">
        <f t="shared" si="7"/>
        <v>0</v>
      </c>
    </row>
    <row r="424" spans="49:49" ht="15">
      <c r="AW424" s="18">
        <f t="shared" si="7"/>
        <v>0</v>
      </c>
    </row>
    <row r="425" spans="49:49" ht="15">
      <c r="AW425" s="18">
        <f t="shared" si="7"/>
        <v>0</v>
      </c>
    </row>
    <row r="426" spans="49:49" ht="15">
      <c r="AW426" s="18">
        <f t="shared" si="7"/>
        <v>0</v>
      </c>
    </row>
    <row r="427" spans="49:49" ht="15">
      <c r="AW427" s="18">
        <f t="shared" si="7"/>
        <v>0</v>
      </c>
    </row>
    <row r="428" spans="49:49" ht="15">
      <c r="AW428" s="18">
        <f t="shared" si="7"/>
        <v>0</v>
      </c>
    </row>
    <row r="429" spans="49:49" ht="15">
      <c r="AW429" s="18">
        <f t="shared" si="7"/>
        <v>0</v>
      </c>
    </row>
    <row r="430" spans="49:49" ht="15">
      <c r="AW430" s="18">
        <f t="shared" si="7"/>
        <v>0</v>
      </c>
    </row>
    <row r="431" spans="49:49" ht="15">
      <c r="AW431" s="18">
        <f t="shared" si="7"/>
        <v>0</v>
      </c>
    </row>
    <row r="432" spans="49:49" ht="15">
      <c r="AW432" s="18">
        <f t="shared" si="7"/>
        <v>0</v>
      </c>
    </row>
    <row r="433" spans="49:49" ht="15">
      <c r="AW433" s="18">
        <f t="shared" si="7"/>
        <v>0</v>
      </c>
    </row>
    <row r="434" spans="49:49" ht="15">
      <c r="AW434" s="18">
        <f t="shared" si="7"/>
        <v>0</v>
      </c>
    </row>
    <row r="435" spans="49:49" ht="15">
      <c r="AW435" s="18">
        <f t="shared" si="7"/>
        <v>0</v>
      </c>
    </row>
    <row r="436" spans="49:49" ht="15">
      <c r="AW436" s="18">
        <f t="shared" si="7"/>
        <v>0</v>
      </c>
    </row>
    <row r="437" spans="49:49" ht="15">
      <c r="AW437" s="18">
        <f t="shared" si="7"/>
        <v>0</v>
      </c>
    </row>
    <row r="438" spans="49:49" ht="15">
      <c r="AW438" s="18">
        <f t="shared" si="7"/>
        <v>0</v>
      </c>
    </row>
    <row r="439" spans="49:49" ht="15">
      <c r="AW439" s="18">
        <f t="shared" si="7"/>
        <v>0</v>
      </c>
    </row>
    <row r="440" spans="49:49" ht="15">
      <c r="AW440" s="18">
        <f t="shared" si="7"/>
        <v>0</v>
      </c>
    </row>
    <row r="441" spans="49:49" ht="15">
      <c r="AW441" s="18">
        <f t="shared" si="7"/>
        <v>0</v>
      </c>
    </row>
    <row r="442" spans="49:49" ht="15">
      <c r="AW442" s="18">
        <f t="shared" si="7"/>
        <v>0</v>
      </c>
    </row>
    <row r="443" spans="49:49" ht="15">
      <c r="AW443" s="18">
        <f t="shared" si="7"/>
        <v>0</v>
      </c>
    </row>
    <row r="444" spans="49:49" ht="15">
      <c r="AW444" s="18">
        <f t="shared" si="7"/>
        <v>0</v>
      </c>
    </row>
    <row r="445" spans="49:49" ht="15">
      <c r="AW445" s="18">
        <f t="shared" si="7"/>
        <v>0</v>
      </c>
    </row>
    <row r="446" spans="49:49" ht="15">
      <c r="AW446" s="18">
        <f t="shared" si="7"/>
        <v>0</v>
      </c>
    </row>
    <row r="447" spans="49:49" ht="15">
      <c r="AW447" s="18">
        <f t="shared" si="7"/>
        <v>0</v>
      </c>
    </row>
    <row r="448" spans="49:49" ht="15">
      <c r="AW448" s="18">
        <f t="shared" si="7"/>
        <v>0</v>
      </c>
    </row>
    <row r="449" spans="49:49" ht="15">
      <c r="AW449" s="18">
        <f t="shared" si="7"/>
        <v>0</v>
      </c>
    </row>
    <row r="450" spans="49:49" ht="15">
      <c r="AW450" s="18">
        <f t="shared" si="7"/>
        <v>0</v>
      </c>
    </row>
    <row r="451" spans="49:49" ht="15">
      <c r="AW451" s="18">
        <f t="shared" si="7"/>
        <v>0</v>
      </c>
    </row>
    <row r="452" spans="49:49" ht="15">
      <c r="AW452" s="18">
        <f t="shared" si="7"/>
        <v>0</v>
      </c>
    </row>
    <row r="453" spans="49:49" ht="15">
      <c r="AW453" s="18">
        <f t="shared" si="7"/>
        <v>0</v>
      </c>
    </row>
    <row r="454" spans="49:49" ht="15">
      <c r="AW454" s="18">
        <f t="shared" si="7"/>
        <v>0</v>
      </c>
    </row>
    <row r="455" spans="49:49" ht="15">
      <c r="AW455" s="18">
        <f t="shared" si="7"/>
        <v>0</v>
      </c>
    </row>
    <row r="456" spans="49:49" ht="15">
      <c r="AW456" s="18">
        <f t="shared" si="7"/>
        <v>0</v>
      </c>
    </row>
    <row r="457" spans="49:49" ht="15">
      <c r="AW457" s="18">
        <f t="shared" si="7"/>
        <v>0</v>
      </c>
    </row>
    <row r="458" spans="49:49" ht="15">
      <c r="AW458" s="18">
        <f t="shared" si="7"/>
        <v>0</v>
      </c>
    </row>
    <row r="459" spans="49:49" ht="15">
      <c r="AW459" s="18">
        <f t="shared" si="7"/>
        <v>0</v>
      </c>
    </row>
    <row r="460" spans="49:49" ht="15">
      <c r="AW460" s="18">
        <f t="shared" si="7"/>
        <v>0</v>
      </c>
    </row>
    <row r="461" spans="49:49" ht="15">
      <c r="AW461" s="18">
        <f t="shared" ref="AW461:AW515" si="8">LEN(L461)</f>
        <v>0</v>
      </c>
    </row>
    <row r="462" spans="49:49" ht="15">
      <c r="AW462" s="18">
        <f t="shared" si="8"/>
        <v>0</v>
      </c>
    </row>
    <row r="463" spans="49:49" ht="15">
      <c r="AW463" s="18">
        <f t="shared" si="8"/>
        <v>0</v>
      </c>
    </row>
    <row r="464" spans="49:49" ht="15">
      <c r="AW464" s="18">
        <f t="shared" si="8"/>
        <v>0</v>
      </c>
    </row>
    <row r="465" spans="49:49" ht="15">
      <c r="AW465" s="18">
        <f t="shared" si="8"/>
        <v>0</v>
      </c>
    </row>
    <row r="466" spans="49:49" ht="15">
      <c r="AW466" s="18">
        <f t="shared" si="8"/>
        <v>0</v>
      </c>
    </row>
    <row r="467" spans="49:49" ht="15">
      <c r="AW467" s="18">
        <f t="shared" si="8"/>
        <v>0</v>
      </c>
    </row>
    <row r="468" spans="49:49" ht="15">
      <c r="AW468" s="18">
        <f t="shared" si="8"/>
        <v>0</v>
      </c>
    </row>
    <row r="469" spans="49:49" ht="15">
      <c r="AW469" s="18">
        <f t="shared" si="8"/>
        <v>0</v>
      </c>
    </row>
    <row r="470" spans="49:49" ht="15">
      <c r="AW470" s="18">
        <f t="shared" si="8"/>
        <v>0</v>
      </c>
    </row>
    <row r="471" spans="49:49" ht="15">
      <c r="AW471" s="18">
        <f t="shared" si="8"/>
        <v>0</v>
      </c>
    </row>
    <row r="472" spans="49:49" ht="15">
      <c r="AW472" s="18">
        <f t="shared" si="8"/>
        <v>0</v>
      </c>
    </row>
    <row r="473" spans="49:49" ht="15">
      <c r="AW473" s="18">
        <f t="shared" si="8"/>
        <v>0</v>
      </c>
    </row>
    <row r="474" spans="49:49" ht="15">
      <c r="AW474" s="18">
        <f t="shared" si="8"/>
        <v>0</v>
      </c>
    </row>
    <row r="475" spans="49:49" ht="15">
      <c r="AW475" s="18">
        <f t="shared" si="8"/>
        <v>0</v>
      </c>
    </row>
    <row r="476" spans="49:49" ht="15">
      <c r="AW476" s="18">
        <f t="shared" si="8"/>
        <v>0</v>
      </c>
    </row>
    <row r="477" spans="49:49" ht="15">
      <c r="AW477" s="18">
        <f t="shared" si="8"/>
        <v>0</v>
      </c>
    </row>
    <row r="478" spans="49:49" ht="15">
      <c r="AW478" s="18">
        <f t="shared" si="8"/>
        <v>0</v>
      </c>
    </row>
    <row r="479" spans="49:49" ht="15">
      <c r="AW479" s="18">
        <f t="shared" si="8"/>
        <v>0</v>
      </c>
    </row>
    <row r="480" spans="49:49" ht="15">
      <c r="AW480" s="18">
        <f t="shared" si="8"/>
        <v>0</v>
      </c>
    </row>
    <row r="481" spans="49:49" ht="15">
      <c r="AW481" s="18">
        <f t="shared" si="8"/>
        <v>0</v>
      </c>
    </row>
    <row r="482" spans="49:49" ht="15">
      <c r="AW482" s="18">
        <f t="shared" si="8"/>
        <v>0</v>
      </c>
    </row>
    <row r="483" spans="49:49" ht="15">
      <c r="AW483" s="18">
        <f t="shared" si="8"/>
        <v>0</v>
      </c>
    </row>
    <row r="484" spans="49:49" ht="15">
      <c r="AW484" s="18">
        <f t="shared" si="8"/>
        <v>0</v>
      </c>
    </row>
    <row r="485" spans="49:49" ht="15">
      <c r="AW485" s="18">
        <f t="shared" si="8"/>
        <v>0</v>
      </c>
    </row>
    <row r="486" spans="49:49" ht="15">
      <c r="AW486" s="18">
        <f t="shared" si="8"/>
        <v>0</v>
      </c>
    </row>
    <row r="487" spans="49:49" ht="15">
      <c r="AW487" s="18">
        <f t="shared" si="8"/>
        <v>0</v>
      </c>
    </row>
    <row r="488" spans="49:49" ht="15">
      <c r="AW488" s="18">
        <f t="shared" si="8"/>
        <v>0</v>
      </c>
    </row>
    <row r="489" spans="49:49" ht="15">
      <c r="AW489" s="18">
        <f t="shared" si="8"/>
        <v>0</v>
      </c>
    </row>
    <row r="490" spans="49:49" ht="15">
      <c r="AW490" s="18">
        <f t="shared" si="8"/>
        <v>0</v>
      </c>
    </row>
    <row r="491" spans="49:49" ht="15">
      <c r="AW491" s="18">
        <f t="shared" si="8"/>
        <v>0</v>
      </c>
    </row>
    <row r="492" spans="49:49" ht="15">
      <c r="AW492" s="18">
        <f t="shared" si="8"/>
        <v>0</v>
      </c>
    </row>
    <row r="493" spans="49:49" ht="15">
      <c r="AW493" s="18">
        <f t="shared" si="8"/>
        <v>0</v>
      </c>
    </row>
    <row r="494" spans="49:49" ht="15">
      <c r="AW494" s="18">
        <f t="shared" si="8"/>
        <v>0</v>
      </c>
    </row>
    <row r="495" spans="49:49" ht="15">
      <c r="AW495" s="18">
        <f t="shared" si="8"/>
        <v>0</v>
      </c>
    </row>
    <row r="496" spans="49:49" ht="15">
      <c r="AW496" s="18">
        <f t="shared" si="8"/>
        <v>0</v>
      </c>
    </row>
    <row r="497" spans="49:49" ht="15">
      <c r="AW497" s="18">
        <f t="shared" si="8"/>
        <v>0</v>
      </c>
    </row>
    <row r="498" spans="49:49" ht="15">
      <c r="AW498" s="18">
        <f t="shared" si="8"/>
        <v>0</v>
      </c>
    </row>
    <row r="499" spans="49:49" ht="15">
      <c r="AW499" s="18">
        <f t="shared" si="8"/>
        <v>0</v>
      </c>
    </row>
    <row r="500" spans="49:49" ht="15">
      <c r="AW500" s="18">
        <f t="shared" si="8"/>
        <v>0</v>
      </c>
    </row>
    <row r="501" spans="49:49" ht="15">
      <c r="AW501" s="18">
        <f t="shared" si="8"/>
        <v>0</v>
      </c>
    </row>
    <row r="502" spans="49:49" ht="15">
      <c r="AW502" s="18">
        <f t="shared" si="8"/>
        <v>0</v>
      </c>
    </row>
    <row r="503" spans="49:49" ht="15">
      <c r="AW503" s="18">
        <f t="shared" si="8"/>
        <v>0</v>
      </c>
    </row>
    <row r="504" spans="49:49" ht="15">
      <c r="AW504" s="18">
        <f t="shared" si="8"/>
        <v>0</v>
      </c>
    </row>
    <row r="505" spans="49:49" ht="15">
      <c r="AW505" s="18">
        <f t="shared" si="8"/>
        <v>0</v>
      </c>
    </row>
    <row r="506" spans="49:49" ht="15">
      <c r="AW506" s="18">
        <f t="shared" si="8"/>
        <v>0</v>
      </c>
    </row>
    <row r="507" spans="49:49" ht="15">
      <c r="AW507" s="18">
        <f t="shared" si="8"/>
        <v>0</v>
      </c>
    </row>
    <row r="508" spans="49:49" ht="15">
      <c r="AW508" s="18">
        <f t="shared" si="8"/>
        <v>0</v>
      </c>
    </row>
    <row r="509" spans="49:49" ht="15">
      <c r="AW509" s="18">
        <f t="shared" si="8"/>
        <v>0</v>
      </c>
    </row>
    <row r="510" spans="49:49" ht="15">
      <c r="AW510" s="18">
        <f t="shared" si="8"/>
        <v>0</v>
      </c>
    </row>
    <row r="511" spans="49:49" ht="15">
      <c r="AW511" s="18">
        <f t="shared" si="8"/>
        <v>0</v>
      </c>
    </row>
    <row r="512" spans="49:49" ht="15">
      <c r="AW512" s="18">
        <f t="shared" si="8"/>
        <v>0</v>
      </c>
    </row>
    <row r="513" spans="49:49" ht="15">
      <c r="AW513" s="18">
        <f t="shared" si="8"/>
        <v>0</v>
      </c>
    </row>
    <row r="514" spans="49:49" ht="15">
      <c r="AW514" s="18">
        <f t="shared" si="8"/>
        <v>0</v>
      </c>
    </row>
    <row r="515" spans="49:49" ht="15">
      <c r="AW515" s="18">
        <f t="shared" si="8"/>
        <v>0</v>
      </c>
    </row>
  </sheetData>
  <mergeCells count="60">
    <mergeCell ref="J221:J223"/>
    <mergeCell ref="L221:L223"/>
    <mergeCell ref="BZ5:CB5"/>
    <mergeCell ref="CC5:CD5"/>
    <mergeCell ref="J146:J210"/>
    <mergeCell ref="L146:L210"/>
    <mergeCell ref="J211:J220"/>
    <mergeCell ref="L211:L220"/>
    <mergeCell ref="AX5:AX6"/>
    <mergeCell ref="AZ5:AZ6"/>
    <mergeCell ref="BA5:BE5"/>
    <mergeCell ref="BF5:BS5"/>
    <mergeCell ref="BT5:BW5"/>
    <mergeCell ref="BX5:BY5"/>
    <mergeCell ref="AQ5:AQ6"/>
    <mergeCell ref="AR5:AR6"/>
    <mergeCell ref="AS5:AS6"/>
    <mergeCell ref="AT5:AT6"/>
    <mergeCell ref="AU5:AU6"/>
    <mergeCell ref="AV5:AV6"/>
    <mergeCell ref="AI5:AI6"/>
    <mergeCell ref="AJ5:AJ6"/>
    <mergeCell ref="AK5:AK6"/>
    <mergeCell ref="AL5:AL6"/>
    <mergeCell ref="AO5:AO6"/>
    <mergeCell ref="AP5:AP6"/>
    <mergeCell ref="U5:U6"/>
    <mergeCell ref="AH5:AH6"/>
    <mergeCell ref="W5:W6"/>
    <mergeCell ref="X5:X6"/>
    <mergeCell ref="Y5:Y6"/>
    <mergeCell ref="Z5:Z6"/>
    <mergeCell ref="AA5:AA6"/>
    <mergeCell ref="AB5:AB6"/>
    <mergeCell ref="AC5:AC6"/>
    <mergeCell ref="AD5:AD6"/>
    <mergeCell ref="AE5:AE6"/>
    <mergeCell ref="AF5:AF6"/>
    <mergeCell ref="AG5:AG6"/>
    <mergeCell ref="P5:P6"/>
    <mergeCell ref="Q5:Q6"/>
    <mergeCell ref="R5:R6"/>
    <mergeCell ref="S5:S6"/>
    <mergeCell ref="T5:T6"/>
    <mergeCell ref="B4:C4"/>
    <mergeCell ref="W4:AD4"/>
    <mergeCell ref="AE4:AL4"/>
    <mergeCell ref="AO4:AU4"/>
    <mergeCell ref="B5:B6"/>
    <mergeCell ref="C5:C6"/>
    <mergeCell ref="D5:D6"/>
    <mergeCell ref="E5:E6"/>
    <mergeCell ref="H5:H6"/>
    <mergeCell ref="I5:I6"/>
    <mergeCell ref="V5:V6"/>
    <mergeCell ref="J5:J6"/>
    <mergeCell ref="K5:K6"/>
    <mergeCell ref="L5:L6"/>
    <mergeCell ref="N5:N6"/>
    <mergeCell ref="O5:O6"/>
  </mergeCells>
  <conditionalFormatting sqref="AW1:AW65582">
    <cfRule type="cellIs" dxfId="19" priority="1" stopIfTrue="1" operator="greaterThan">
      <formula>42</formula>
    </cfRule>
  </conditionalFormatting>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CI515"/>
  <sheetViews>
    <sheetView showGridLines="0" topLeftCell="A4" zoomScale="60" zoomScaleNormal="60" workbookViewId="0">
      <selection activeCell="A98" sqref="A98"/>
    </sheetView>
  </sheetViews>
  <sheetFormatPr defaultColWidth="8.88671875" defaultRowHeight="13.2"/>
  <cols>
    <col min="1" max="1" width="5.6640625" style="144" customWidth="1"/>
    <col min="2" max="2" width="46.44140625" hidden="1" customWidth="1"/>
    <col min="3" max="3" width="8.6640625" hidden="1" customWidth="1"/>
    <col min="4" max="4" width="0" hidden="1" customWidth="1"/>
    <col min="5" max="7" width="10" hidden="1" customWidth="1"/>
    <col min="8" max="9" width="0" hidden="1" customWidth="1"/>
    <col min="10" max="10" width="42.88671875" customWidth="1"/>
    <col min="11" max="11" width="34.33203125" customWidth="1"/>
    <col min="12" max="12" width="43.109375" customWidth="1"/>
    <col min="13" max="13" width="30.6640625" customWidth="1"/>
    <col min="14" max="14" width="12.109375" style="138" bestFit="1" customWidth="1"/>
    <col min="15" max="16" width="5.6640625" style="138" customWidth="1"/>
    <col min="17" max="20" width="4.6640625" style="138" customWidth="1"/>
    <col min="21" max="21" width="73.88671875" customWidth="1"/>
    <col min="22" max="22" width="32.6640625" customWidth="1"/>
    <col min="23" max="23" width="19.109375" customWidth="1"/>
    <col min="24" max="25" width="5.6640625" customWidth="1"/>
    <col min="26" max="27" width="4.6640625" customWidth="1"/>
    <col min="28" max="28" width="19.109375" customWidth="1"/>
    <col min="29" max="29" width="16.109375" customWidth="1"/>
    <col min="30" max="30" width="22.109375" customWidth="1"/>
    <col min="31" max="31" width="19.109375" customWidth="1"/>
    <col min="32" max="33" width="5.6640625" customWidth="1"/>
    <col min="34" max="35" width="4.6640625" customWidth="1"/>
    <col min="36" max="36" width="33.6640625" customWidth="1"/>
    <col min="37" max="37" width="8.88671875" customWidth="1"/>
    <col min="38" max="38" width="24.44140625" customWidth="1"/>
    <col min="40" max="40" width="30.6640625" customWidth="1"/>
    <col min="48" max="48" width="30.6640625" customWidth="1"/>
    <col min="49" max="49" width="0" hidden="1" customWidth="1"/>
  </cols>
  <sheetData>
    <row r="1" spans="1:87" ht="13.8" hidden="1" thickBot="1"/>
    <row r="2" spans="1:87" ht="13.8" hidden="1" thickBot="1"/>
    <row r="3" spans="1:87" s="1" customFormat="1" ht="13.8" hidden="1" thickBot="1">
      <c r="A3" s="146"/>
      <c r="C3" s="2"/>
      <c r="E3" s="3"/>
      <c r="F3" s="3"/>
      <c r="G3" s="3"/>
      <c r="H3" s="3"/>
      <c r="I3" s="3"/>
      <c r="J3" s="3"/>
      <c r="K3" s="3"/>
      <c r="L3" s="3"/>
      <c r="M3" s="3"/>
      <c r="N3" s="136"/>
      <c r="O3" s="136"/>
      <c r="P3" s="136"/>
      <c r="Q3" s="136"/>
      <c r="R3" s="136"/>
      <c r="S3" s="136"/>
      <c r="T3" s="136"/>
      <c r="U3" s="3"/>
      <c r="V3" s="3"/>
      <c r="W3" s="3"/>
      <c r="X3" s="4"/>
      <c r="Y3" s="5"/>
      <c r="Z3" s="5"/>
      <c r="AA3" s="3"/>
      <c r="AB3" s="3"/>
      <c r="AC3" s="3"/>
      <c r="AD3" s="3"/>
      <c r="AE3" s="3"/>
      <c r="AF3" s="4"/>
      <c r="AG3" s="5"/>
      <c r="AH3" s="5"/>
      <c r="AI3" s="3"/>
      <c r="AJ3" s="3"/>
      <c r="AK3" s="2"/>
      <c r="AL3" s="2"/>
      <c r="AM3" s="2"/>
      <c r="AN3" s="2"/>
      <c r="AO3" s="2"/>
      <c r="AP3" s="2"/>
      <c r="AQ3" s="2"/>
    </row>
    <row r="4" spans="1:87" s="1" customFormat="1" ht="16.2" thickBot="1">
      <c r="A4" s="149"/>
      <c r="B4" s="679" t="s">
        <v>462</v>
      </c>
      <c r="C4" s="680"/>
      <c r="D4" s="22" t="s">
        <v>463</v>
      </c>
      <c r="E4" s="23"/>
      <c r="F4" s="23"/>
      <c r="G4" s="23"/>
      <c r="H4" s="23"/>
      <c r="I4" s="23"/>
      <c r="J4" s="24" t="s">
        <v>464</v>
      </c>
      <c r="K4" s="25"/>
      <c r="L4" s="25"/>
      <c r="M4" s="25"/>
      <c r="N4" s="81"/>
      <c r="O4" s="81"/>
      <c r="P4" s="81"/>
      <c r="Q4" s="81"/>
      <c r="R4" s="81"/>
      <c r="S4" s="81"/>
      <c r="T4" s="81"/>
      <c r="U4" s="25"/>
      <c r="V4" s="25"/>
      <c r="W4" s="666" t="s">
        <v>465</v>
      </c>
      <c r="X4" s="667"/>
      <c r="Y4" s="667"/>
      <c r="Z4" s="667"/>
      <c r="AA4" s="667"/>
      <c r="AB4" s="667"/>
      <c r="AC4" s="667"/>
      <c r="AD4" s="668"/>
      <c r="AE4" s="669" t="s">
        <v>466</v>
      </c>
      <c r="AF4" s="639"/>
      <c r="AG4" s="639"/>
      <c r="AH4" s="639"/>
      <c r="AI4" s="639"/>
      <c r="AJ4" s="639"/>
      <c r="AK4" s="639"/>
      <c r="AL4" s="639"/>
      <c r="AM4" s="421" t="s">
        <v>467</v>
      </c>
      <c r="AN4" s="27"/>
      <c r="AO4" s="661" t="s">
        <v>468</v>
      </c>
      <c r="AP4" s="662"/>
      <c r="AQ4" s="662"/>
      <c r="AR4" s="662"/>
      <c r="AS4" s="662"/>
      <c r="AT4" s="662"/>
      <c r="AU4" s="663"/>
      <c r="AV4" s="28"/>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row>
    <row r="5" spans="1:87" s="1" customFormat="1" ht="18" thickBot="1">
      <c r="A5" s="159"/>
      <c r="B5" s="654" t="s">
        <v>469</v>
      </c>
      <c r="C5" s="654" t="s">
        <v>470</v>
      </c>
      <c r="D5" s="637" t="s">
        <v>471</v>
      </c>
      <c r="E5" s="637" t="s">
        <v>472</v>
      </c>
      <c r="F5" s="390"/>
      <c r="G5" s="390"/>
      <c r="H5" s="637" t="s">
        <v>475</v>
      </c>
      <c r="I5" s="646" t="s">
        <v>476</v>
      </c>
      <c r="J5" s="648" t="s">
        <v>477</v>
      </c>
      <c r="K5" s="648" t="s">
        <v>478</v>
      </c>
      <c r="L5" s="648" t="s">
        <v>479</v>
      </c>
      <c r="M5" s="593"/>
      <c r="N5" s="648" t="s">
        <v>480</v>
      </c>
      <c r="O5" s="648" t="s">
        <v>481</v>
      </c>
      <c r="P5" s="648" t="s">
        <v>482</v>
      </c>
      <c r="Q5" s="648" t="s">
        <v>483</v>
      </c>
      <c r="R5" s="648" t="s">
        <v>484</v>
      </c>
      <c r="S5" s="648" t="s">
        <v>485</v>
      </c>
      <c r="T5" s="648" t="s">
        <v>486</v>
      </c>
      <c r="U5" s="648" t="s">
        <v>487</v>
      </c>
      <c r="V5" s="648" t="s">
        <v>488</v>
      </c>
      <c r="W5" s="635" t="s">
        <v>478</v>
      </c>
      <c r="X5" s="635" t="s">
        <v>489</v>
      </c>
      <c r="Y5" s="635" t="s">
        <v>482</v>
      </c>
      <c r="Z5" s="640" t="s">
        <v>490</v>
      </c>
      <c r="AA5" s="635" t="s">
        <v>485</v>
      </c>
      <c r="AB5" s="635" t="s">
        <v>487</v>
      </c>
      <c r="AC5" s="635" t="s">
        <v>491</v>
      </c>
      <c r="AD5" s="672" t="s">
        <v>488</v>
      </c>
      <c r="AE5" s="675" t="s">
        <v>478</v>
      </c>
      <c r="AF5" s="675" t="s">
        <v>489</v>
      </c>
      <c r="AG5" s="675" t="s">
        <v>482</v>
      </c>
      <c r="AH5" s="637" t="s">
        <v>490</v>
      </c>
      <c r="AI5" s="677" t="s">
        <v>485</v>
      </c>
      <c r="AJ5" s="637" t="s">
        <v>487</v>
      </c>
      <c r="AK5" s="637" t="s">
        <v>491</v>
      </c>
      <c r="AL5" s="637" t="s">
        <v>488</v>
      </c>
      <c r="AM5" s="30" t="s">
        <v>492</v>
      </c>
      <c r="AN5" s="31"/>
      <c r="AO5" s="654" t="s">
        <v>493</v>
      </c>
      <c r="AP5" s="654" t="s">
        <v>494</v>
      </c>
      <c r="AQ5" s="654" t="s">
        <v>495</v>
      </c>
      <c r="AR5" s="654" t="s">
        <v>496</v>
      </c>
      <c r="AS5" s="654" t="s">
        <v>497</v>
      </c>
      <c r="AT5" s="654" t="s">
        <v>498</v>
      </c>
      <c r="AU5" s="674" t="s">
        <v>499</v>
      </c>
      <c r="AV5" s="643" t="s">
        <v>500</v>
      </c>
      <c r="AX5" s="645"/>
      <c r="AY5" s="393"/>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6"/>
      <c r="CF5" s="6"/>
      <c r="CG5" s="6"/>
      <c r="CH5" s="6"/>
    </row>
    <row r="6" spans="1:87" s="7" customFormat="1" ht="153" customHeight="1" thickBot="1">
      <c r="A6" s="58" t="s">
        <v>501</v>
      </c>
      <c r="B6" s="655"/>
      <c r="C6" s="655"/>
      <c r="D6" s="638"/>
      <c r="E6" s="638"/>
      <c r="F6" s="396" t="s">
        <v>473</v>
      </c>
      <c r="G6" s="396" t="s">
        <v>474</v>
      </c>
      <c r="H6" s="638"/>
      <c r="I6" s="647"/>
      <c r="J6" s="649"/>
      <c r="K6" s="649"/>
      <c r="L6" s="649"/>
      <c r="M6" s="594" t="s">
        <v>3506</v>
      </c>
      <c r="N6" s="649"/>
      <c r="O6" s="649"/>
      <c r="P6" s="649"/>
      <c r="Q6" s="649"/>
      <c r="R6" s="649"/>
      <c r="S6" s="649"/>
      <c r="T6" s="649"/>
      <c r="U6" s="649"/>
      <c r="V6" s="649"/>
      <c r="W6" s="636"/>
      <c r="X6" s="636"/>
      <c r="Y6" s="636"/>
      <c r="Z6" s="641"/>
      <c r="AA6" s="636"/>
      <c r="AB6" s="636"/>
      <c r="AC6" s="636"/>
      <c r="AD6" s="673"/>
      <c r="AE6" s="676"/>
      <c r="AF6" s="676"/>
      <c r="AG6" s="676"/>
      <c r="AH6" s="638"/>
      <c r="AI6" s="678"/>
      <c r="AJ6" s="638"/>
      <c r="AK6" s="638"/>
      <c r="AL6" s="638"/>
      <c r="AM6" s="32" t="s">
        <v>502</v>
      </c>
      <c r="AN6" s="32" t="s">
        <v>479</v>
      </c>
      <c r="AO6" s="655"/>
      <c r="AP6" s="655"/>
      <c r="AQ6" s="655"/>
      <c r="AR6" s="655"/>
      <c r="AS6" s="655"/>
      <c r="AT6" s="655"/>
      <c r="AU6" s="665"/>
      <c r="AV6" s="644"/>
      <c r="AX6" s="645"/>
      <c r="AY6" s="395"/>
      <c r="AZ6" s="656"/>
      <c r="BA6" s="392"/>
      <c r="BB6" s="392"/>
      <c r="BC6" s="392"/>
      <c r="BD6" s="392"/>
      <c r="BE6" s="392"/>
      <c r="BF6" s="394"/>
      <c r="BG6" s="394"/>
      <c r="BH6" s="394"/>
      <c r="BI6" s="394"/>
      <c r="BJ6" s="394"/>
      <c r="BK6" s="394"/>
      <c r="BL6" s="394"/>
      <c r="BM6" s="394"/>
      <c r="BN6" s="394"/>
      <c r="BO6" s="394"/>
      <c r="BP6" s="394"/>
      <c r="BQ6" s="394"/>
      <c r="BR6" s="394"/>
      <c r="BS6" s="394"/>
      <c r="BT6" s="8"/>
      <c r="BU6" s="8"/>
      <c r="BV6" s="8"/>
      <c r="BW6" s="8"/>
      <c r="BX6" s="9"/>
      <c r="BY6" s="9"/>
      <c r="BZ6" s="10"/>
      <c r="CA6" s="10"/>
      <c r="CB6" s="10"/>
      <c r="CC6" s="11"/>
      <c r="CD6" s="11"/>
      <c r="CE6" s="6"/>
      <c r="CF6" s="6"/>
      <c r="CG6" s="6"/>
      <c r="CH6" s="6"/>
    </row>
    <row r="7" spans="1:87" ht="15">
      <c r="A7" s="451">
        <f>ROW() - 6</f>
        <v>1</v>
      </c>
      <c r="B7" s="65"/>
      <c r="C7" s="65"/>
      <c r="D7" s="65"/>
      <c r="E7" s="65"/>
      <c r="F7" s="65"/>
      <c r="G7" s="65"/>
      <c r="H7" s="65"/>
      <c r="I7" s="65"/>
      <c r="J7" s="508" t="s">
        <v>503</v>
      </c>
      <c r="K7" s="65"/>
      <c r="L7" s="65"/>
      <c r="M7" s="65"/>
      <c r="N7" s="137"/>
      <c r="O7" s="137"/>
      <c r="P7" s="137"/>
      <c r="Q7" s="137"/>
      <c r="R7" s="137"/>
      <c r="S7" s="137"/>
      <c r="T7" s="137"/>
      <c r="U7" s="73"/>
      <c r="V7" s="73"/>
      <c r="W7" s="65"/>
      <c r="X7" s="65"/>
      <c r="Y7" s="65"/>
      <c r="Z7" s="65"/>
      <c r="AA7" s="65"/>
      <c r="AB7" s="65"/>
      <c r="AC7" s="65"/>
      <c r="AD7" s="65"/>
      <c r="AE7" s="65"/>
      <c r="AF7" s="65"/>
      <c r="AG7" s="65"/>
      <c r="AH7" s="65"/>
      <c r="AI7" s="65"/>
      <c r="AJ7" s="73"/>
      <c r="AK7" s="65"/>
      <c r="AL7" s="65"/>
      <c r="AM7" s="65"/>
      <c r="AN7" s="65"/>
      <c r="AO7" s="65"/>
      <c r="AP7" s="65"/>
      <c r="AQ7" s="65"/>
      <c r="AR7" s="65"/>
      <c r="AS7" s="65"/>
      <c r="AT7" s="65"/>
      <c r="AU7" s="65"/>
      <c r="AV7" s="65"/>
      <c r="AW7" s="18">
        <f>LEN(L7)</f>
        <v>0</v>
      </c>
    </row>
    <row r="8" spans="1:87" s="20" customFormat="1" ht="15">
      <c r="A8" s="40">
        <f t="shared" ref="A8:A99" si="0">ROW() - 6</f>
        <v>2</v>
      </c>
      <c r="B8" s="59"/>
      <c r="C8" s="59"/>
      <c r="D8" s="59"/>
      <c r="E8" s="59"/>
      <c r="F8" s="59"/>
      <c r="G8" s="59"/>
      <c r="H8" s="59"/>
      <c r="I8" s="59"/>
      <c r="J8" s="298" t="s">
        <v>2941</v>
      </c>
      <c r="K8" s="297" t="s">
        <v>2942</v>
      </c>
      <c r="L8" s="231" t="s">
        <v>2943</v>
      </c>
      <c r="M8" s="231"/>
      <c r="N8" s="295" t="s">
        <v>504</v>
      </c>
      <c r="O8" s="295"/>
      <c r="P8" s="295"/>
      <c r="Q8" s="292" t="s">
        <v>6</v>
      </c>
      <c r="R8" s="292" t="s">
        <v>6</v>
      </c>
      <c r="S8" s="292" t="s">
        <v>6</v>
      </c>
      <c r="T8" s="292"/>
      <c r="U8" s="315" t="s">
        <v>2944</v>
      </c>
      <c r="V8" s="206"/>
      <c r="W8" s="399"/>
      <c r="X8" s="59"/>
      <c r="Y8" s="59"/>
      <c r="Z8" s="59"/>
      <c r="AA8" s="40"/>
      <c r="AB8" s="15"/>
      <c r="AC8" s="59"/>
      <c r="AD8" s="59"/>
      <c r="AE8" s="399"/>
      <c r="AF8" s="59"/>
      <c r="AG8" s="59"/>
      <c r="AH8" s="59"/>
      <c r="AI8" s="40"/>
      <c r="AJ8" s="15"/>
      <c r="AK8" s="59"/>
      <c r="AL8" s="59"/>
      <c r="AM8" s="59"/>
      <c r="AN8" s="59"/>
      <c r="AO8" s="59"/>
      <c r="AP8" s="59"/>
      <c r="AQ8" s="59"/>
      <c r="AR8" s="59"/>
      <c r="AS8" s="59"/>
      <c r="AT8" s="59"/>
      <c r="AU8" s="59"/>
      <c r="AV8" s="59"/>
      <c r="AW8" s="18">
        <f>LEN(L8)</f>
        <v>20</v>
      </c>
    </row>
    <row r="9" spans="1:87" s="20" customFormat="1" ht="15">
      <c r="A9" s="40">
        <f t="shared" si="0"/>
        <v>3</v>
      </c>
      <c r="B9" s="59"/>
      <c r="C9" s="59"/>
      <c r="D9" s="59"/>
      <c r="E9" s="59"/>
      <c r="F9" s="59"/>
      <c r="G9" s="59"/>
      <c r="H9" s="59"/>
      <c r="I9" s="59"/>
      <c r="J9" s="298" t="s">
        <v>2945</v>
      </c>
      <c r="K9" s="297" t="s">
        <v>103</v>
      </c>
      <c r="L9" s="231" t="s">
        <v>2946</v>
      </c>
      <c r="M9" s="231"/>
      <c r="N9" s="295" t="s">
        <v>504</v>
      </c>
      <c r="O9" s="295"/>
      <c r="P9" s="295"/>
      <c r="Q9" s="292" t="s">
        <v>6</v>
      </c>
      <c r="R9" s="292" t="s">
        <v>6</v>
      </c>
      <c r="S9" s="292" t="s">
        <v>6</v>
      </c>
      <c r="T9" s="292"/>
      <c r="U9" s="315" t="s">
        <v>2947</v>
      </c>
      <c r="V9" s="206"/>
      <c r="W9" s="399"/>
      <c r="X9" s="59"/>
      <c r="Y9" s="59"/>
      <c r="Z9" s="59"/>
      <c r="AA9" s="40"/>
      <c r="AB9" s="15"/>
      <c r="AC9" s="59"/>
      <c r="AD9" s="59"/>
      <c r="AE9" s="399"/>
      <c r="AF9" s="59"/>
      <c r="AG9" s="59"/>
      <c r="AH9" s="59"/>
      <c r="AI9" s="40"/>
      <c r="AJ9" s="15"/>
      <c r="AK9" s="59"/>
      <c r="AL9" s="59"/>
      <c r="AM9" s="59"/>
      <c r="AN9" s="59"/>
      <c r="AO9" s="59"/>
      <c r="AP9" s="59"/>
      <c r="AQ9" s="59"/>
      <c r="AR9" s="59"/>
      <c r="AS9" s="59"/>
      <c r="AT9" s="59"/>
      <c r="AU9" s="59"/>
      <c r="AV9" s="59"/>
      <c r="AW9" s="18"/>
    </row>
    <row r="10" spans="1:87" s="20" customFormat="1" ht="15">
      <c r="A10" s="40">
        <f t="shared" si="0"/>
        <v>4</v>
      </c>
      <c r="B10" s="59"/>
      <c r="C10" s="59"/>
      <c r="D10" s="59"/>
      <c r="E10" s="59"/>
      <c r="F10" s="59"/>
      <c r="G10" s="59"/>
      <c r="H10" s="59"/>
      <c r="I10" s="59"/>
      <c r="J10" s="298" t="s">
        <v>2948</v>
      </c>
      <c r="K10" s="297" t="s">
        <v>103</v>
      </c>
      <c r="L10" s="231" t="s">
        <v>2949</v>
      </c>
      <c r="M10" s="231"/>
      <c r="N10" s="292" t="s">
        <v>504</v>
      </c>
      <c r="O10" s="295"/>
      <c r="P10" s="295"/>
      <c r="Q10" s="292" t="s">
        <v>6</v>
      </c>
      <c r="R10" s="292" t="s">
        <v>6</v>
      </c>
      <c r="S10" s="292" t="s">
        <v>6</v>
      </c>
      <c r="T10" s="292"/>
      <c r="U10" s="315"/>
      <c r="V10" s="206"/>
      <c r="W10" s="399"/>
      <c r="X10" s="59"/>
      <c r="Y10" s="59"/>
      <c r="Z10" s="59"/>
      <c r="AA10" s="40"/>
      <c r="AB10" s="15"/>
      <c r="AC10" s="59"/>
      <c r="AD10" s="59"/>
      <c r="AE10" s="399"/>
      <c r="AF10" s="59"/>
      <c r="AG10" s="59"/>
      <c r="AH10" s="59"/>
      <c r="AI10" s="40"/>
      <c r="AJ10" s="15"/>
      <c r="AK10" s="59"/>
      <c r="AL10" s="59"/>
      <c r="AM10" s="59"/>
      <c r="AN10" s="59"/>
      <c r="AO10" s="59"/>
      <c r="AP10" s="59"/>
      <c r="AQ10" s="59"/>
      <c r="AR10" s="59"/>
      <c r="AS10" s="59"/>
      <c r="AT10" s="59"/>
      <c r="AU10" s="59"/>
      <c r="AV10" s="59"/>
      <c r="AW10" s="18"/>
    </row>
    <row r="11" spans="1:87" ht="15">
      <c r="A11" s="451">
        <f t="shared" si="0"/>
        <v>5</v>
      </c>
      <c r="B11" s="65"/>
      <c r="C11" s="65"/>
      <c r="D11" s="65"/>
      <c r="E11" s="65"/>
      <c r="F11" s="65"/>
      <c r="G11" s="65"/>
      <c r="H11" s="65"/>
      <c r="I11" s="65"/>
      <c r="J11" s="508" t="s">
        <v>821</v>
      </c>
      <c r="K11" s="65"/>
      <c r="L11" s="65"/>
      <c r="M11" s="65"/>
      <c r="N11" s="137"/>
      <c r="O11" s="137"/>
      <c r="P11" s="137"/>
      <c r="Q11" s="137"/>
      <c r="R11" s="137"/>
      <c r="S11" s="137"/>
      <c r="T11" s="137"/>
      <c r="U11" s="73"/>
      <c r="V11" s="73"/>
      <c r="W11" s="65"/>
      <c r="X11" s="65"/>
      <c r="Y11" s="65"/>
      <c r="Z11" s="65"/>
      <c r="AA11" s="65"/>
      <c r="AB11" s="65"/>
      <c r="AC11" s="65"/>
      <c r="AD11" s="65"/>
      <c r="AE11" s="65"/>
      <c r="AF11" s="65"/>
      <c r="AG11" s="65"/>
      <c r="AH11" s="65"/>
      <c r="AI11" s="65"/>
      <c r="AJ11" s="73"/>
      <c r="AK11" s="65"/>
      <c r="AL11" s="65"/>
      <c r="AM11" s="65"/>
      <c r="AN11" s="65"/>
      <c r="AO11" s="65"/>
      <c r="AP11" s="65"/>
      <c r="AQ11" s="65"/>
      <c r="AR11" s="65"/>
      <c r="AS11" s="65"/>
      <c r="AT11" s="65"/>
      <c r="AU11" s="65"/>
      <c r="AV11" s="65"/>
      <c r="AW11" s="18">
        <f>LEN(L11)</f>
        <v>0</v>
      </c>
    </row>
    <row r="12" spans="1:87" s="20" customFormat="1" ht="15">
      <c r="A12" s="40">
        <f t="shared" si="0"/>
        <v>6</v>
      </c>
      <c r="B12" s="59"/>
      <c r="C12" s="59"/>
      <c r="D12" s="59"/>
      <c r="E12" s="59"/>
      <c r="F12" s="59"/>
      <c r="G12" s="59"/>
      <c r="H12" s="59"/>
      <c r="I12" s="59"/>
      <c r="J12" s="298" t="s">
        <v>2950</v>
      </c>
      <c r="K12" s="297" t="s">
        <v>163</v>
      </c>
      <c r="L12" s="231" t="s">
        <v>2951</v>
      </c>
      <c r="M12" s="231"/>
      <c r="N12" s="295" t="s">
        <v>2877</v>
      </c>
      <c r="O12" s="295"/>
      <c r="P12" s="295" t="s">
        <v>2882</v>
      </c>
      <c r="Q12" s="292" t="s">
        <v>6</v>
      </c>
      <c r="R12" s="292"/>
      <c r="S12" s="292"/>
      <c r="T12" s="292"/>
      <c r="U12" s="315" t="s">
        <v>2952</v>
      </c>
      <c r="V12" s="206"/>
      <c r="W12" s="399"/>
      <c r="X12" s="59"/>
      <c r="Y12" s="59"/>
      <c r="Z12" s="59"/>
      <c r="AA12" s="40"/>
      <c r="AB12" s="15"/>
      <c r="AC12" s="59"/>
      <c r="AD12" s="59"/>
      <c r="AE12" s="399"/>
      <c r="AF12" s="59"/>
      <c r="AG12" s="59"/>
      <c r="AH12" s="59"/>
      <c r="AI12" s="40"/>
      <c r="AJ12" s="15"/>
      <c r="AK12" s="59"/>
      <c r="AL12" s="59"/>
      <c r="AM12" s="59"/>
      <c r="AN12" s="59"/>
      <c r="AO12" s="59"/>
      <c r="AP12" s="59"/>
      <c r="AQ12" s="59"/>
      <c r="AR12" s="59"/>
      <c r="AS12" s="59"/>
      <c r="AT12" s="59"/>
      <c r="AU12" s="59"/>
      <c r="AV12" s="59"/>
      <c r="AW12" s="18">
        <f>LEN(L12)</f>
        <v>13</v>
      </c>
    </row>
    <row r="13" spans="1:87" s="236" customFormat="1" ht="15">
      <c r="A13" s="40">
        <f t="shared" si="0"/>
        <v>7</v>
      </c>
      <c r="B13" s="199"/>
      <c r="C13" s="199"/>
      <c r="D13" s="199"/>
      <c r="E13" s="199"/>
      <c r="F13" s="199"/>
      <c r="G13" s="199"/>
      <c r="H13" s="199"/>
      <c r="I13" s="199"/>
      <c r="J13" s="298" t="s">
        <v>2953</v>
      </c>
      <c r="K13" s="297" t="s">
        <v>163</v>
      </c>
      <c r="L13" s="231" t="s">
        <v>2954</v>
      </c>
      <c r="M13" s="231"/>
      <c r="N13" s="295"/>
      <c r="O13" s="295"/>
      <c r="P13" s="295" t="s">
        <v>2955</v>
      </c>
      <c r="Q13" s="292" t="s">
        <v>6</v>
      </c>
      <c r="R13" s="292"/>
      <c r="S13" s="292"/>
      <c r="T13" s="292"/>
      <c r="U13" s="315" t="s">
        <v>2952</v>
      </c>
      <c r="V13" s="204"/>
      <c r="W13" s="232"/>
      <c r="X13" s="211"/>
      <c r="Y13" s="211"/>
      <c r="Z13" s="211"/>
      <c r="AA13" s="126"/>
      <c r="AB13" s="198"/>
      <c r="AC13" s="199"/>
      <c r="AD13" s="199"/>
      <c r="AE13" s="232"/>
      <c r="AF13" s="211"/>
      <c r="AG13" s="211"/>
      <c r="AH13" s="211"/>
      <c r="AI13" s="126"/>
      <c r="AJ13" s="198"/>
      <c r="AK13" s="199"/>
      <c r="AL13" s="199"/>
      <c r="AM13" s="199"/>
      <c r="AN13" s="199"/>
      <c r="AO13" s="199"/>
      <c r="AP13" s="199"/>
      <c r="AQ13" s="199"/>
      <c r="AR13" s="199"/>
      <c r="AS13" s="199"/>
      <c r="AT13" s="199"/>
      <c r="AU13" s="199"/>
      <c r="AV13" s="199"/>
      <c r="AW13" s="155">
        <f>LEN(L13)</f>
        <v>18</v>
      </c>
    </row>
    <row r="14" spans="1:87" s="236" customFormat="1" ht="15">
      <c r="A14" s="40">
        <f t="shared" si="0"/>
        <v>8</v>
      </c>
      <c r="B14" s="199"/>
      <c r="C14" s="199"/>
      <c r="D14" s="199"/>
      <c r="E14" s="199"/>
      <c r="F14" s="199"/>
      <c r="G14" s="199"/>
      <c r="H14" s="199"/>
      <c r="I14" s="199"/>
      <c r="J14" s="298" t="s">
        <v>2956</v>
      </c>
      <c r="K14" s="297" t="s">
        <v>163</v>
      </c>
      <c r="L14" s="231" t="s">
        <v>2957</v>
      </c>
      <c r="M14" s="231"/>
      <c r="N14" s="295"/>
      <c r="O14" s="295"/>
      <c r="P14" s="295" t="s">
        <v>2955</v>
      </c>
      <c r="Q14" s="292" t="s">
        <v>6</v>
      </c>
      <c r="R14" s="292"/>
      <c r="S14" s="292"/>
      <c r="T14" s="292"/>
      <c r="U14" s="315" t="s">
        <v>2952</v>
      </c>
      <c r="V14" s="204"/>
      <c r="W14" s="232"/>
      <c r="X14" s="199"/>
      <c r="Y14" s="199"/>
      <c r="Z14" s="199"/>
      <c r="AA14" s="126"/>
      <c r="AB14" s="198"/>
      <c r="AC14" s="199"/>
      <c r="AD14" s="199"/>
      <c r="AE14" s="232"/>
      <c r="AF14" s="199"/>
      <c r="AG14" s="199"/>
      <c r="AH14" s="199"/>
      <c r="AI14" s="126"/>
      <c r="AJ14" s="198"/>
      <c r="AK14" s="199"/>
      <c r="AL14" s="199"/>
      <c r="AM14" s="199"/>
      <c r="AN14" s="199"/>
      <c r="AO14" s="199"/>
      <c r="AP14" s="199"/>
      <c r="AQ14" s="199"/>
      <c r="AR14" s="199"/>
      <c r="AS14" s="199"/>
      <c r="AT14" s="199"/>
      <c r="AU14" s="199"/>
      <c r="AV14" s="199"/>
      <c r="AW14" s="155">
        <f>LEN(L14)</f>
        <v>18</v>
      </c>
    </row>
    <row r="15" spans="1:87" s="236" customFormat="1" ht="15">
      <c r="A15" s="40">
        <f t="shared" si="0"/>
        <v>9</v>
      </c>
      <c r="B15" s="199"/>
      <c r="C15" s="199"/>
      <c r="D15" s="199"/>
      <c r="E15" s="199"/>
      <c r="F15" s="199"/>
      <c r="G15" s="199"/>
      <c r="H15" s="199"/>
      <c r="I15" s="199"/>
      <c r="J15" s="298" t="s">
        <v>2958</v>
      </c>
      <c r="K15" s="297" t="s">
        <v>163</v>
      </c>
      <c r="L15" s="231" t="s">
        <v>2959</v>
      </c>
      <c r="M15" s="231"/>
      <c r="N15" s="295"/>
      <c r="O15" s="295"/>
      <c r="P15" s="295" t="s">
        <v>2955</v>
      </c>
      <c r="Q15" s="292" t="s">
        <v>6</v>
      </c>
      <c r="R15" s="292"/>
      <c r="S15" s="292"/>
      <c r="T15" s="292"/>
      <c r="U15" s="315" t="s">
        <v>2952</v>
      </c>
      <c r="V15" s="204"/>
      <c r="W15" s="232"/>
      <c r="X15" s="199"/>
      <c r="Y15" s="199"/>
      <c r="Z15" s="199"/>
      <c r="AA15" s="126"/>
      <c r="AB15" s="198"/>
      <c r="AC15" s="199"/>
      <c r="AD15" s="199"/>
      <c r="AE15" s="232"/>
      <c r="AF15" s="199"/>
      <c r="AG15" s="199"/>
      <c r="AH15" s="199"/>
      <c r="AI15" s="126"/>
      <c r="AJ15" s="198"/>
      <c r="AK15" s="199"/>
      <c r="AL15" s="199"/>
      <c r="AM15" s="199"/>
      <c r="AN15" s="199"/>
      <c r="AO15" s="199"/>
      <c r="AP15" s="199"/>
      <c r="AQ15" s="199"/>
      <c r="AR15" s="199"/>
      <c r="AS15" s="199"/>
      <c r="AT15" s="199"/>
      <c r="AU15" s="199"/>
      <c r="AV15" s="199"/>
      <c r="AW15" s="155">
        <f>LEN(L15)</f>
        <v>18</v>
      </c>
    </row>
    <row r="16" spans="1:87" s="18" customFormat="1" ht="15">
      <c r="A16" s="40">
        <f t="shared" si="0"/>
        <v>10</v>
      </c>
      <c r="B16" s="19"/>
      <c r="C16" s="41"/>
      <c r="D16" s="19"/>
      <c r="E16" s="19"/>
      <c r="F16" s="19"/>
      <c r="G16" s="19"/>
      <c r="H16" s="13"/>
      <c r="I16" s="13"/>
      <c r="J16" s="298" t="s">
        <v>2960</v>
      </c>
      <c r="K16" s="297" t="s">
        <v>163</v>
      </c>
      <c r="L16" s="231" t="s">
        <v>2961</v>
      </c>
      <c r="M16" s="231"/>
      <c r="N16" s="295"/>
      <c r="O16" s="295"/>
      <c r="P16" s="295" t="s">
        <v>2955</v>
      </c>
      <c r="Q16" s="292" t="s">
        <v>6</v>
      </c>
      <c r="R16" s="292"/>
      <c r="S16" s="292"/>
      <c r="T16" s="292"/>
      <c r="U16" s="315" t="s">
        <v>2952</v>
      </c>
      <c r="V16" s="206"/>
      <c r="W16" s="399"/>
      <c r="X16" s="59"/>
      <c r="Y16" s="59"/>
      <c r="Z16" s="59"/>
      <c r="AA16" s="40"/>
      <c r="AB16" s="45"/>
      <c r="AC16" s="403"/>
      <c r="AD16" s="403"/>
      <c r="AE16" s="399"/>
      <c r="AF16" s="59"/>
      <c r="AG16" s="59"/>
      <c r="AH16" s="59"/>
      <c r="AI16" s="40"/>
      <c r="AJ16" s="45"/>
      <c r="AK16" s="403"/>
      <c r="AL16" s="403"/>
      <c r="AM16" s="43"/>
      <c r="AN16" s="13"/>
      <c r="AO16" s="15"/>
      <c r="AP16" s="15"/>
      <c r="AQ16" s="15"/>
      <c r="AR16" s="15"/>
      <c r="AS16" s="15"/>
      <c r="AT16" s="15"/>
      <c r="AU16" s="13"/>
      <c r="AV16" s="15"/>
      <c r="AW16" s="18">
        <f t="shared" ref="AW16:AW140" si="1">LEN(L16)</f>
        <v>28</v>
      </c>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row>
    <row r="17" spans="1:87" s="18" customFormat="1" ht="15">
      <c r="A17" s="40">
        <f t="shared" si="0"/>
        <v>11</v>
      </c>
      <c r="B17" s="19"/>
      <c r="C17" s="41"/>
      <c r="D17" s="19"/>
      <c r="E17" s="19"/>
      <c r="F17" s="19"/>
      <c r="G17" s="19"/>
      <c r="H17" s="13"/>
      <c r="I17" s="13"/>
      <c r="J17" s="298" t="s">
        <v>2962</v>
      </c>
      <c r="K17" s="297" t="s">
        <v>163</v>
      </c>
      <c r="L17" s="231" t="s">
        <v>2963</v>
      </c>
      <c r="M17" s="231"/>
      <c r="N17" s="295"/>
      <c r="O17" s="295"/>
      <c r="P17" s="295" t="s">
        <v>2955</v>
      </c>
      <c r="Q17" s="292" t="s">
        <v>6</v>
      </c>
      <c r="R17" s="292"/>
      <c r="S17" s="292"/>
      <c r="T17" s="292"/>
      <c r="U17" s="315" t="s">
        <v>2952</v>
      </c>
      <c r="V17" s="206"/>
      <c r="W17" s="399"/>
      <c r="X17" s="59"/>
      <c r="Y17" s="59"/>
      <c r="Z17" s="59"/>
      <c r="AA17" s="40"/>
      <c r="AB17" s="45"/>
      <c r="AC17" s="403"/>
      <c r="AD17" s="403"/>
      <c r="AE17" s="399"/>
      <c r="AF17" s="59"/>
      <c r="AG17" s="59"/>
      <c r="AH17" s="59"/>
      <c r="AI17" s="40"/>
      <c r="AJ17" s="45"/>
      <c r="AK17" s="403"/>
      <c r="AL17" s="403"/>
      <c r="AM17" s="43"/>
      <c r="AN17" s="13"/>
      <c r="AO17" s="15"/>
      <c r="AP17" s="15"/>
      <c r="AQ17" s="15"/>
      <c r="AR17" s="15"/>
      <c r="AS17" s="15"/>
      <c r="AT17" s="15"/>
      <c r="AU17" s="13"/>
      <c r="AV17" s="15"/>
      <c r="AW17" s="18">
        <f t="shared" si="1"/>
        <v>22</v>
      </c>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row>
    <row r="18" spans="1:87" s="18" customFormat="1" ht="15">
      <c r="A18" s="40">
        <f t="shared" si="0"/>
        <v>12</v>
      </c>
      <c r="B18" s="19"/>
      <c r="C18" s="41"/>
      <c r="D18" s="19"/>
      <c r="E18" s="19"/>
      <c r="F18" s="19"/>
      <c r="G18" s="19"/>
      <c r="H18" s="13"/>
      <c r="I18" s="13"/>
      <c r="J18" s="298" t="s">
        <v>2964</v>
      </c>
      <c r="K18" s="297" t="s">
        <v>163</v>
      </c>
      <c r="L18" s="231" t="s">
        <v>2965</v>
      </c>
      <c r="M18" s="231"/>
      <c r="N18" s="295"/>
      <c r="O18" s="295"/>
      <c r="P18" s="295" t="s">
        <v>2955</v>
      </c>
      <c r="Q18" s="292" t="s">
        <v>6</v>
      </c>
      <c r="R18" s="292"/>
      <c r="S18" s="292"/>
      <c r="T18" s="292"/>
      <c r="U18" s="315" t="s">
        <v>2952</v>
      </c>
      <c r="V18" s="206"/>
      <c r="W18" s="399"/>
      <c r="X18" s="59"/>
      <c r="Y18" s="59"/>
      <c r="Z18" s="59"/>
      <c r="AA18" s="40"/>
      <c r="AB18" s="45"/>
      <c r="AC18" s="403"/>
      <c r="AD18" s="403"/>
      <c r="AE18" s="399"/>
      <c r="AF18" s="59"/>
      <c r="AG18" s="59"/>
      <c r="AH18" s="59"/>
      <c r="AI18" s="40"/>
      <c r="AJ18" s="45"/>
      <c r="AK18" s="403"/>
      <c r="AL18" s="403"/>
      <c r="AM18" s="43"/>
      <c r="AN18" s="13"/>
      <c r="AO18" s="15"/>
      <c r="AP18" s="15"/>
      <c r="AQ18" s="15"/>
      <c r="AR18" s="15"/>
      <c r="AS18" s="15"/>
      <c r="AT18" s="15"/>
      <c r="AU18" s="13"/>
      <c r="AV18" s="15"/>
      <c r="AW18" s="18">
        <f t="shared" si="1"/>
        <v>35</v>
      </c>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row>
    <row r="19" spans="1:87" s="18" customFormat="1" ht="15">
      <c r="A19" s="40">
        <f t="shared" si="0"/>
        <v>13</v>
      </c>
      <c r="B19" s="19"/>
      <c r="C19" s="41"/>
      <c r="D19" s="19"/>
      <c r="E19" s="19"/>
      <c r="F19" s="19"/>
      <c r="G19" s="19"/>
      <c r="H19" s="13"/>
      <c r="I19" s="13"/>
      <c r="J19" s="298" t="s">
        <v>2966</v>
      </c>
      <c r="K19" s="297" t="s">
        <v>163</v>
      </c>
      <c r="L19" s="231" t="s">
        <v>2967</v>
      </c>
      <c r="M19" s="231"/>
      <c r="N19" s="295"/>
      <c r="O19" s="295"/>
      <c r="P19" s="295" t="s">
        <v>2955</v>
      </c>
      <c r="Q19" s="292" t="s">
        <v>6</v>
      </c>
      <c r="R19" s="292"/>
      <c r="S19" s="292"/>
      <c r="T19" s="292"/>
      <c r="U19" s="315" t="s">
        <v>2952</v>
      </c>
      <c r="V19" s="206"/>
      <c r="W19" s="399"/>
      <c r="X19" s="59"/>
      <c r="Y19" s="59"/>
      <c r="Z19" s="59"/>
      <c r="AA19" s="40"/>
      <c r="AB19" s="45"/>
      <c r="AC19" s="403"/>
      <c r="AD19" s="403"/>
      <c r="AE19" s="399"/>
      <c r="AF19" s="59"/>
      <c r="AG19" s="59"/>
      <c r="AH19" s="59"/>
      <c r="AI19" s="40"/>
      <c r="AJ19" s="45"/>
      <c r="AK19" s="403"/>
      <c r="AL19" s="403"/>
      <c r="AM19" s="43"/>
      <c r="AN19" s="13"/>
      <c r="AO19" s="15"/>
      <c r="AP19" s="15"/>
      <c r="AQ19" s="15"/>
      <c r="AR19" s="15"/>
      <c r="AS19" s="15"/>
      <c r="AT19" s="15"/>
      <c r="AU19" s="13"/>
      <c r="AV19" s="15"/>
      <c r="AW19" s="18">
        <f t="shared" si="1"/>
        <v>34</v>
      </c>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row>
    <row r="20" spans="1:87" s="18" customFormat="1" ht="15">
      <c r="A20" s="40">
        <f t="shared" si="0"/>
        <v>14</v>
      </c>
      <c r="B20" s="19"/>
      <c r="C20" s="41"/>
      <c r="D20" s="19"/>
      <c r="E20" s="19"/>
      <c r="F20" s="19"/>
      <c r="G20" s="19"/>
      <c r="H20" s="13"/>
      <c r="I20" s="13"/>
      <c r="J20" s="298" t="s">
        <v>2968</v>
      </c>
      <c r="K20" s="297" t="s">
        <v>163</v>
      </c>
      <c r="L20" s="231" t="s">
        <v>2969</v>
      </c>
      <c r="M20" s="231"/>
      <c r="N20" s="295"/>
      <c r="O20" s="295"/>
      <c r="P20" s="295" t="s">
        <v>2955</v>
      </c>
      <c r="Q20" s="292" t="s">
        <v>6</v>
      </c>
      <c r="R20" s="292"/>
      <c r="S20" s="292"/>
      <c r="T20" s="292"/>
      <c r="U20" s="315" t="s">
        <v>2952</v>
      </c>
      <c r="V20" s="206"/>
      <c r="W20" s="399"/>
      <c r="X20" s="59"/>
      <c r="Y20" s="59"/>
      <c r="Z20" s="59"/>
      <c r="AA20" s="40"/>
      <c r="AB20" s="45"/>
      <c r="AC20" s="403"/>
      <c r="AD20" s="403"/>
      <c r="AE20" s="399"/>
      <c r="AF20" s="59"/>
      <c r="AG20" s="59"/>
      <c r="AH20" s="59"/>
      <c r="AI20" s="40"/>
      <c r="AJ20" s="45"/>
      <c r="AK20" s="403"/>
      <c r="AL20" s="403"/>
      <c r="AM20" s="43"/>
      <c r="AN20" s="13"/>
      <c r="AO20" s="15"/>
      <c r="AP20" s="15"/>
      <c r="AQ20" s="15"/>
      <c r="AR20" s="15"/>
      <c r="AS20" s="15"/>
      <c r="AT20" s="15"/>
      <c r="AU20" s="13"/>
      <c r="AV20" s="15"/>
      <c r="AW20" s="18">
        <f t="shared" si="1"/>
        <v>38</v>
      </c>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row>
    <row r="21" spans="1:87" s="20" customFormat="1" ht="15">
      <c r="A21" s="40">
        <f t="shared" si="0"/>
        <v>15</v>
      </c>
      <c r="B21" s="59"/>
      <c r="C21" s="59"/>
      <c r="D21" s="59"/>
      <c r="E21" s="59"/>
      <c r="F21" s="59"/>
      <c r="G21" s="59"/>
      <c r="H21" s="59"/>
      <c r="I21" s="59"/>
      <c r="J21" s="298" t="s">
        <v>2970</v>
      </c>
      <c r="K21" s="297" t="s">
        <v>163</v>
      </c>
      <c r="L21" s="231" t="s">
        <v>2971</v>
      </c>
      <c r="M21" s="231"/>
      <c r="N21" s="295"/>
      <c r="O21" s="295"/>
      <c r="P21" s="295" t="s">
        <v>2955</v>
      </c>
      <c r="Q21" s="292" t="s">
        <v>6</v>
      </c>
      <c r="R21" s="292"/>
      <c r="S21" s="292"/>
      <c r="T21" s="292"/>
      <c r="U21" s="315" t="s">
        <v>2952</v>
      </c>
      <c r="V21" s="206"/>
      <c r="W21" s="204"/>
      <c r="X21" s="59"/>
      <c r="Y21" s="59"/>
      <c r="Z21" s="59"/>
      <c r="AA21" s="40"/>
      <c r="AB21" s="15"/>
      <c r="AC21" s="59"/>
      <c r="AD21" s="59"/>
      <c r="AE21" s="204"/>
      <c r="AF21" s="59"/>
      <c r="AG21" s="59"/>
      <c r="AH21" s="59"/>
      <c r="AI21" s="40"/>
      <c r="AJ21" s="15"/>
      <c r="AK21" s="59"/>
      <c r="AL21" s="59"/>
      <c r="AM21" s="59"/>
      <c r="AN21" s="59"/>
      <c r="AO21" s="59"/>
      <c r="AP21" s="59"/>
      <c r="AQ21" s="59"/>
      <c r="AR21" s="59"/>
      <c r="AS21" s="59"/>
      <c r="AT21" s="59"/>
      <c r="AU21" s="59"/>
      <c r="AV21" s="59"/>
      <c r="AW21" s="18">
        <f t="shared" si="1"/>
        <v>26</v>
      </c>
    </row>
    <row r="22" spans="1:87" s="20" customFormat="1" ht="15">
      <c r="A22" s="40">
        <f t="shared" si="0"/>
        <v>16</v>
      </c>
      <c r="B22" s="59"/>
      <c r="C22" s="59"/>
      <c r="D22" s="59"/>
      <c r="E22" s="59"/>
      <c r="F22" s="59"/>
      <c r="G22" s="59"/>
      <c r="H22" s="59"/>
      <c r="I22" s="59"/>
      <c r="J22" s="298" t="s">
        <v>2972</v>
      </c>
      <c r="K22" s="297" t="s">
        <v>163</v>
      </c>
      <c r="L22" s="231" t="s">
        <v>2973</v>
      </c>
      <c r="M22" s="231"/>
      <c r="N22" s="295"/>
      <c r="O22" s="295"/>
      <c r="P22" s="295" t="s">
        <v>2955</v>
      </c>
      <c r="Q22" s="292" t="s">
        <v>6</v>
      </c>
      <c r="R22" s="292"/>
      <c r="S22" s="292"/>
      <c r="T22" s="292"/>
      <c r="U22" s="315" t="s">
        <v>2952</v>
      </c>
      <c r="V22" s="206"/>
      <c r="W22" s="204"/>
      <c r="X22" s="59"/>
      <c r="Y22" s="59"/>
      <c r="Z22" s="59"/>
      <c r="AA22" s="40"/>
      <c r="AB22" s="15"/>
      <c r="AC22" s="59"/>
      <c r="AD22" s="59"/>
      <c r="AE22" s="204"/>
      <c r="AF22" s="59"/>
      <c r="AG22" s="59"/>
      <c r="AH22" s="59"/>
      <c r="AI22" s="40"/>
      <c r="AJ22" s="15"/>
      <c r="AK22" s="59"/>
      <c r="AL22" s="59"/>
      <c r="AM22" s="59"/>
      <c r="AN22" s="59"/>
      <c r="AO22" s="59"/>
      <c r="AP22" s="59"/>
      <c r="AQ22" s="59"/>
      <c r="AR22" s="59"/>
      <c r="AS22" s="59"/>
      <c r="AT22" s="59"/>
      <c r="AU22" s="59"/>
      <c r="AV22" s="59"/>
      <c r="AW22" s="18">
        <f t="shared" si="1"/>
        <v>25</v>
      </c>
    </row>
    <row r="23" spans="1:87" s="20" customFormat="1" ht="15">
      <c r="A23" s="40">
        <f t="shared" si="0"/>
        <v>17</v>
      </c>
      <c r="B23" s="59"/>
      <c r="C23" s="59"/>
      <c r="D23" s="59"/>
      <c r="E23" s="59"/>
      <c r="F23" s="59"/>
      <c r="G23" s="59"/>
      <c r="H23" s="59"/>
      <c r="I23" s="59"/>
      <c r="J23" s="298" t="s">
        <v>2974</v>
      </c>
      <c r="K23" s="297" t="s">
        <v>163</v>
      </c>
      <c r="L23" s="231" t="s">
        <v>2975</v>
      </c>
      <c r="M23" s="231"/>
      <c r="N23" s="295"/>
      <c r="O23" s="295"/>
      <c r="P23" s="295" t="s">
        <v>2955</v>
      </c>
      <c r="Q23" s="292" t="s">
        <v>6</v>
      </c>
      <c r="R23" s="292"/>
      <c r="S23" s="292"/>
      <c r="T23" s="292"/>
      <c r="U23" s="315" t="s">
        <v>2952</v>
      </c>
      <c r="V23" s="206"/>
      <c r="W23" s="204"/>
      <c r="X23" s="59"/>
      <c r="Y23" s="59"/>
      <c r="Z23" s="59"/>
      <c r="AA23" s="40"/>
      <c r="AB23" s="15"/>
      <c r="AC23" s="59"/>
      <c r="AD23" s="59"/>
      <c r="AE23" s="204"/>
      <c r="AF23" s="59"/>
      <c r="AG23" s="59"/>
      <c r="AH23" s="59"/>
      <c r="AI23" s="40"/>
      <c r="AJ23" s="15"/>
      <c r="AK23" s="59"/>
      <c r="AL23" s="59"/>
      <c r="AM23" s="59"/>
      <c r="AN23" s="59"/>
      <c r="AO23" s="59"/>
      <c r="AP23" s="59"/>
      <c r="AQ23" s="59"/>
      <c r="AR23" s="59"/>
      <c r="AS23" s="59"/>
      <c r="AT23" s="59"/>
      <c r="AU23" s="59"/>
      <c r="AV23" s="59"/>
      <c r="AW23" s="18">
        <f t="shared" si="1"/>
        <v>29</v>
      </c>
    </row>
    <row r="24" spans="1:87" s="20" customFormat="1" ht="15">
      <c r="A24" s="40">
        <f t="shared" si="0"/>
        <v>18</v>
      </c>
      <c r="B24" s="59"/>
      <c r="C24" s="59"/>
      <c r="D24" s="59"/>
      <c r="E24" s="59"/>
      <c r="F24" s="59"/>
      <c r="G24" s="59"/>
      <c r="H24" s="59"/>
      <c r="I24" s="59"/>
      <c r="J24" s="298" t="s">
        <v>2976</v>
      </c>
      <c r="K24" s="297" t="s">
        <v>163</v>
      </c>
      <c r="L24" s="231" t="s">
        <v>2977</v>
      </c>
      <c r="M24" s="231"/>
      <c r="N24" s="295"/>
      <c r="O24" s="295"/>
      <c r="P24" s="295" t="s">
        <v>2978</v>
      </c>
      <c r="Q24" s="292" t="s">
        <v>6</v>
      </c>
      <c r="R24" s="292"/>
      <c r="S24" s="292"/>
      <c r="T24" s="292"/>
      <c r="U24" s="315" t="s">
        <v>2952</v>
      </c>
      <c r="V24" s="206"/>
      <c r="W24" s="215"/>
      <c r="X24" s="59"/>
      <c r="Y24" s="59"/>
      <c r="Z24" s="40"/>
      <c r="AA24" s="40"/>
      <c r="AB24" s="218"/>
      <c r="AC24" s="59"/>
      <c r="AD24" s="59"/>
      <c r="AE24" s="215"/>
      <c r="AF24" s="59"/>
      <c r="AG24" s="59"/>
      <c r="AH24" s="40"/>
      <c r="AI24" s="40"/>
      <c r="AJ24" s="218"/>
      <c r="AK24" s="59"/>
      <c r="AL24" s="59"/>
      <c r="AM24" s="59"/>
      <c r="AN24" s="59"/>
      <c r="AO24" s="59"/>
      <c r="AP24" s="59"/>
      <c r="AQ24" s="59"/>
      <c r="AR24" s="59"/>
      <c r="AS24" s="59"/>
      <c r="AT24" s="59"/>
      <c r="AU24" s="59"/>
      <c r="AV24" s="59"/>
      <c r="AW24" s="18">
        <f t="shared" si="1"/>
        <v>12</v>
      </c>
    </row>
    <row r="25" spans="1:87" s="20" customFormat="1" ht="15">
      <c r="A25" s="40">
        <f t="shared" si="0"/>
        <v>19</v>
      </c>
      <c r="B25" s="59"/>
      <c r="C25" s="59"/>
      <c r="D25" s="59"/>
      <c r="E25" s="59"/>
      <c r="F25" s="59"/>
      <c r="G25" s="59"/>
      <c r="H25" s="59"/>
      <c r="I25" s="59"/>
      <c r="J25" s="298" t="s">
        <v>2979</v>
      </c>
      <c r="K25" s="297" t="s">
        <v>163</v>
      </c>
      <c r="L25" s="231" t="s">
        <v>2980</v>
      </c>
      <c r="M25" s="231"/>
      <c r="N25" s="295" t="s">
        <v>2898</v>
      </c>
      <c r="O25" s="295"/>
      <c r="P25" s="295" t="s">
        <v>2981</v>
      </c>
      <c r="Q25" s="292" t="s">
        <v>6</v>
      </c>
      <c r="R25" s="292"/>
      <c r="S25" s="292"/>
      <c r="T25" s="292"/>
      <c r="U25" s="315" t="s">
        <v>2952</v>
      </c>
      <c r="V25" s="206"/>
      <c r="W25" s="204"/>
      <c r="X25" s="59"/>
      <c r="Y25" s="59"/>
      <c r="Z25" s="40"/>
      <c r="AA25" s="40"/>
      <c r="AB25" s="215"/>
      <c r="AC25" s="59"/>
      <c r="AD25" s="59"/>
      <c r="AE25" s="204"/>
      <c r="AF25" s="59"/>
      <c r="AG25" s="59"/>
      <c r="AH25" s="40"/>
      <c r="AI25" s="40"/>
      <c r="AJ25" s="215"/>
      <c r="AK25" s="59"/>
      <c r="AL25" s="59"/>
      <c r="AM25" s="59"/>
      <c r="AN25" s="59"/>
      <c r="AO25" s="59"/>
      <c r="AP25" s="59"/>
      <c r="AQ25" s="59"/>
      <c r="AR25" s="59"/>
      <c r="AS25" s="59"/>
      <c r="AT25" s="59"/>
      <c r="AU25" s="59"/>
      <c r="AV25" s="59"/>
      <c r="AW25" s="18">
        <f t="shared" si="1"/>
        <v>19</v>
      </c>
    </row>
    <row r="26" spans="1:87" s="20" customFormat="1" ht="15">
      <c r="A26" s="40">
        <f t="shared" si="0"/>
        <v>20</v>
      </c>
      <c r="B26" s="59"/>
      <c r="C26" s="59"/>
      <c r="D26" s="59"/>
      <c r="E26" s="59"/>
      <c r="F26" s="59"/>
      <c r="G26" s="59"/>
      <c r="H26" s="59"/>
      <c r="I26" s="59"/>
      <c r="J26" s="298" t="s">
        <v>2982</v>
      </c>
      <c r="K26" s="297" t="s">
        <v>163</v>
      </c>
      <c r="L26" s="231" t="s">
        <v>2983</v>
      </c>
      <c r="M26" s="231"/>
      <c r="N26" s="295" t="s">
        <v>1505</v>
      </c>
      <c r="O26" s="295"/>
      <c r="P26" s="295" t="s">
        <v>2901</v>
      </c>
      <c r="Q26" s="292" t="s">
        <v>6</v>
      </c>
      <c r="R26" s="292"/>
      <c r="S26" s="292"/>
      <c r="T26" s="292"/>
      <c r="U26" s="315" t="s">
        <v>2952</v>
      </c>
      <c r="V26" s="59"/>
      <c r="W26" s="399"/>
      <c r="X26" s="202"/>
      <c r="Y26" s="59"/>
      <c r="Z26" s="61"/>
      <c r="AA26" s="40"/>
      <c r="AB26" s="59"/>
      <c r="AC26" s="59"/>
      <c r="AD26" s="59"/>
      <c r="AE26" s="399"/>
      <c r="AF26" s="202"/>
      <c r="AG26" s="59"/>
      <c r="AH26" s="61"/>
      <c r="AI26" s="40"/>
      <c r="AJ26" s="59"/>
      <c r="AK26" s="59"/>
      <c r="AL26" s="59"/>
      <c r="AM26" s="59"/>
      <c r="AN26" s="59"/>
      <c r="AO26" s="59"/>
      <c r="AP26" s="59"/>
      <c r="AQ26" s="59"/>
      <c r="AR26" s="59"/>
      <c r="AS26" s="59"/>
      <c r="AT26" s="59"/>
      <c r="AU26" s="59"/>
      <c r="AV26" s="59"/>
      <c r="AW26" s="18">
        <f t="shared" si="1"/>
        <v>11</v>
      </c>
    </row>
    <row r="27" spans="1:87" s="20" customFormat="1" ht="15">
      <c r="A27" s="40">
        <f t="shared" si="0"/>
        <v>21</v>
      </c>
      <c r="B27" s="59"/>
      <c r="C27" s="59"/>
      <c r="D27" s="59"/>
      <c r="E27" s="59"/>
      <c r="F27" s="59"/>
      <c r="G27" s="59"/>
      <c r="H27" s="59"/>
      <c r="I27" s="59"/>
      <c r="J27" s="298" t="s">
        <v>2984</v>
      </c>
      <c r="K27" s="297" t="s">
        <v>163</v>
      </c>
      <c r="L27" s="231" t="s">
        <v>2985</v>
      </c>
      <c r="M27" s="231"/>
      <c r="N27" s="295" t="s">
        <v>1505</v>
      </c>
      <c r="O27" s="295"/>
      <c r="P27" s="295" t="s">
        <v>2901</v>
      </c>
      <c r="Q27" s="292" t="s">
        <v>6</v>
      </c>
      <c r="R27" s="292"/>
      <c r="S27" s="292"/>
      <c r="T27" s="292"/>
      <c r="U27" s="315" t="s">
        <v>2952</v>
      </c>
      <c r="V27" s="59"/>
      <c r="W27" s="399"/>
      <c r="X27" s="202"/>
      <c r="Y27" s="59"/>
      <c r="Z27" s="61"/>
      <c r="AA27" s="40"/>
      <c r="AB27" s="59"/>
      <c r="AC27" s="59"/>
      <c r="AD27" s="59"/>
      <c r="AE27" s="399"/>
      <c r="AF27" s="202"/>
      <c r="AG27" s="59"/>
      <c r="AH27" s="61"/>
      <c r="AI27" s="40"/>
      <c r="AJ27" s="59"/>
      <c r="AK27" s="59"/>
      <c r="AL27" s="59"/>
      <c r="AM27" s="59"/>
      <c r="AN27" s="59"/>
      <c r="AO27" s="59"/>
      <c r="AP27" s="59"/>
      <c r="AQ27" s="59"/>
      <c r="AR27" s="59"/>
      <c r="AS27" s="59"/>
      <c r="AT27" s="59"/>
      <c r="AU27" s="59"/>
      <c r="AV27" s="59"/>
      <c r="AW27" s="18">
        <f>LEN(L27)</f>
        <v>20</v>
      </c>
    </row>
    <row r="28" spans="1:87" s="20" customFormat="1" ht="15">
      <c r="A28" s="40">
        <f t="shared" si="0"/>
        <v>22</v>
      </c>
      <c r="B28" s="59"/>
      <c r="C28" s="59"/>
      <c r="D28" s="59"/>
      <c r="E28" s="59"/>
      <c r="F28" s="59"/>
      <c r="G28" s="59"/>
      <c r="H28" s="59"/>
      <c r="I28" s="59"/>
      <c r="J28" s="298" t="s">
        <v>2986</v>
      </c>
      <c r="K28" s="297" t="s">
        <v>163</v>
      </c>
      <c r="L28" s="231" t="s">
        <v>2987</v>
      </c>
      <c r="M28" s="231"/>
      <c r="N28" s="295" t="s">
        <v>1505</v>
      </c>
      <c r="O28" s="295"/>
      <c r="P28" s="295" t="s">
        <v>2901</v>
      </c>
      <c r="Q28" s="292" t="s">
        <v>6</v>
      </c>
      <c r="R28" s="292"/>
      <c r="S28" s="292"/>
      <c r="T28" s="292"/>
      <c r="U28" s="315" t="s">
        <v>2952</v>
      </c>
      <c r="V28" s="59"/>
      <c r="W28" s="399"/>
      <c r="X28" s="202"/>
      <c r="Y28" s="59"/>
      <c r="Z28" s="61"/>
      <c r="AA28" s="40"/>
      <c r="AB28" s="59"/>
      <c r="AC28" s="59"/>
      <c r="AD28" s="59"/>
      <c r="AE28" s="399"/>
      <c r="AF28" s="202"/>
      <c r="AG28" s="59"/>
      <c r="AH28" s="61"/>
      <c r="AI28" s="40"/>
      <c r="AJ28" s="59"/>
      <c r="AK28" s="59"/>
      <c r="AL28" s="59"/>
      <c r="AM28" s="59"/>
      <c r="AN28" s="59"/>
      <c r="AO28" s="59"/>
      <c r="AP28" s="59"/>
      <c r="AQ28" s="59"/>
      <c r="AR28" s="59"/>
      <c r="AS28" s="59"/>
      <c r="AT28" s="59"/>
      <c r="AU28" s="59"/>
      <c r="AV28" s="59"/>
      <c r="AW28" s="18">
        <f>LEN(L28)</f>
        <v>21</v>
      </c>
    </row>
    <row r="29" spans="1:87" s="20" customFormat="1" ht="15">
      <c r="A29" s="40">
        <f t="shared" si="0"/>
        <v>23</v>
      </c>
      <c r="B29" s="59"/>
      <c r="C29" s="59"/>
      <c r="D29" s="59"/>
      <c r="E29" s="59"/>
      <c r="F29" s="59"/>
      <c r="G29" s="59"/>
      <c r="H29" s="59"/>
      <c r="I29" s="59"/>
      <c r="J29" s="298" t="s">
        <v>2988</v>
      </c>
      <c r="K29" s="297" t="s">
        <v>163</v>
      </c>
      <c r="L29" s="231" t="s">
        <v>2989</v>
      </c>
      <c r="M29" s="231"/>
      <c r="N29" s="295" t="s">
        <v>1505</v>
      </c>
      <c r="O29" s="295"/>
      <c r="P29" s="295" t="s">
        <v>2901</v>
      </c>
      <c r="Q29" s="292" t="s">
        <v>6</v>
      </c>
      <c r="R29" s="292"/>
      <c r="S29" s="292"/>
      <c r="T29" s="292"/>
      <c r="U29" s="315" t="s">
        <v>2952</v>
      </c>
      <c r="V29" s="59"/>
      <c r="W29" s="399"/>
      <c r="X29" s="202"/>
      <c r="Y29" s="59"/>
      <c r="Z29" s="61"/>
      <c r="AA29" s="40"/>
      <c r="AB29" s="59"/>
      <c r="AC29" s="59"/>
      <c r="AD29" s="59"/>
      <c r="AE29" s="399"/>
      <c r="AF29" s="202"/>
      <c r="AG29" s="59"/>
      <c r="AH29" s="61"/>
      <c r="AI29" s="40"/>
      <c r="AJ29" s="59"/>
      <c r="AK29" s="59"/>
      <c r="AL29" s="59"/>
      <c r="AM29" s="59"/>
      <c r="AN29" s="59"/>
      <c r="AO29" s="59"/>
      <c r="AP29" s="59"/>
      <c r="AQ29" s="59"/>
      <c r="AR29" s="59"/>
      <c r="AS29" s="59"/>
      <c r="AT29" s="59"/>
      <c r="AU29" s="59"/>
      <c r="AV29" s="59"/>
      <c r="AW29" s="18">
        <f t="shared" si="1"/>
        <v>23</v>
      </c>
    </row>
    <row r="30" spans="1:87" s="20" customFormat="1" ht="15">
      <c r="A30" s="40">
        <f t="shared" si="0"/>
        <v>24</v>
      </c>
      <c r="B30" s="59"/>
      <c r="C30" s="59"/>
      <c r="D30" s="59"/>
      <c r="E30" s="59"/>
      <c r="F30" s="59"/>
      <c r="G30" s="59"/>
      <c r="H30" s="59"/>
      <c r="I30" s="59"/>
      <c r="J30" s="298" t="s">
        <v>2990</v>
      </c>
      <c r="K30" s="297" t="s">
        <v>163</v>
      </c>
      <c r="L30" s="231" t="s">
        <v>2989</v>
      </c>
      <c r="M30" s="231"/>
      <c r="N30" s="295" t="s">
        <v>2991</v>
      </c>
      <c r="O30" s="295"/>
      <c r="P30" s="295" t="s">
        <v>2901</v>
      </c>
      <c r="Q30" s="292" t="s">
        <v>6</v>
      </c>
      <c r="R30" s="292"/>
      <c r="S30" s="292"/>
      <c r="T30" s="292"/>
      <c r="U30" s="315" t="s">
        <v>2952</v>
      </c>
      <c r="V30" s="206"/>
      <c r="W30" s="399"/>
      <c r="X30" s="202"/>
      <c r="Y30" s="59"/>
      <c r="Z30" s="59"/>
      <c r="AA30" s="40"/>
      <c r="AB30" s="59"/>
      <c r="AC30" s="59"/>
      <c r="AD30" s="59"/>
      <c r="AE30" s="399"/>
      <c r="AF30" s="202"/>
      <c r="AG30" s="59"/>
      <c r="AH30" s="59"/>
      <c r="AI30" s="40"/>
      <c r="AJ30" s="59"/>
      <c r="AK30" s="59"/>
      <c r="AL30" s="59"/>
      <c r="AM30" s="59"/>
      <c r="AN30" s="59"/>
      <c r="AO30" s="59"/>
      <c r="AP30" s="59"/>
      <c r="AQ30" s="59"/>
      <c r="AR30" s="59"/>
      <c r="AS30" s="59"/>
      <c r="AT30" s="59"/>
      <c r="AU30" s="59"/>
      <c r="AV30" s="59"/>
      <c r="AW30" s="18">
        <f t="shared" si="1"/>
        <v>23</v>
      </c>
    </row>
    <row r="31" spans="1:87" s="20" customFormat="1" ht="15">
      <c r="A31" s="40">
        <f t="shared" si="0"/>
        <v>25</v>
      </c>
      <c r="B31" s="59"/>
      <c r="C31" s="59"/>
      <c r="D31" s="59"/>
      <c r="E31" s="59"/>
      <c r="F31" s="59"/>
      <c r="G31" s="59"/>
      <c r="H31" s="59"/>
      <c r="I31" s="59"/>
      <c r="J31" s="298" t="s">
        <v>2992</v>
      </c>
      <c r="K31" s="297" t="s">
        <v>163</v>
      </c>
      <c r="L31" s="231" t="s">
        <v>2993</v>
      </c>
      <c r="M31" s="231"/>
      <c r="N31" s="295"/>
      <c r="O31" s="295"/>
      <c r="P31" s="295" t="s">
        <v>2889</v>
      </c>
      <c r="Q31" s="292" t="s">
        <v>6</v>
      </c>
      <c r="R31" s="292"/>
      <c r="S31" s="292"/>
      <c r="T31" s="292"/>
      <c r="U31" s="315" t="s">
        <v>2952</v>
      </c>
      <c r="V31" s="206"/>
      <c r="W31" s="399"/>
      <c r="X31" s="202"/>
      <c r="Y31" s="59"/>
      <c r="Z31" s="59"/>
      <c r="AA31" s="40"/>
      <c r="AB31" s="59"/>
      <c r="AC31" s="59"/>
      <c r="AD31" s="59"/>
      <c r="AE31" s="399"/>
      <c r="AF31" s="202"/>
      <c r="AG31" s="59"/>
      <c r="AH31" s="59"/>
      <c r="AI31" s="40"/>
      <c r="AJ31" s="59"/>
      <c r="AK31" s="59"/>
      <c r="AL31" s="59"/>
      <c r="AM31" s="59"/>
      <c r="AN31" s="59"/>
      <c r="AO31" s="59"/>
      <c r="AP31" s="59"/>
      <c r="AQ31" s="59"/>
      <c r="AR31" s="59"/>
      <c r="AS31" s="59"/>
      <c r="AT31" s="59"/>
      <c r="AU31" s="59"/>
      <c r="AV31" s="59"/>
      <c r="AW31" s="18">
        <f t="shared" si="1"/>
        <v>19</v>
      </c>
    </row>
    <row r="32" spans="1:87" s="20" customFormat="1" ht="15">
      <c r="A32" s="40">
        <f t="shared" si="0"/>
        <v>26</v>
      </c>
      <c r="B32" s="38"/>
      <c r="C32" s="41"/>
      <c r="D32" s="38"/>
      <c r="E32" s="46"/>
      <c r="F32" s="46"/>
      <c r="G32" s="46"/>
      <c r="H32" s="13"/>
      <c r="I32" s="40"/>
      <c r="J32" s="298" t="s">
        <v>2994</v>
      </c>
      <c r="K32" s="297" t="s">
        <v>163</v>
      </c>
      <c r="L32" s="231" t="s">
        <v>2995</v>
      </c>
      <c r="M32" s="231"/>
      <c r="N32" s="295"/>
      <c r="O32" s="295"/>
      <c r="P32" s="295" t="s">
        <v>2894</v>
      </c>
      <c r="Q32" s="292" t="s">
        <v>6</v>
      </c>
      <c r="R32" s="292"/>
      <c r="S32" s="292"/>
      <c r="T32" s="292"/>
      <c r="U32" s="315" t="s">
        <v>2952</v>
      </c>
      <c r="V32" s="206"/>
      <c r="W32" s="399"/>
      <c r="X32" s="59"/>
      <c r="Y32" s="59"/>
      <c r="Z32" s="59"/>
      <c r="AA32" s="61"/>
      <c r="AB32" s="79"/>
      <c r="AC32" s="59"/>
      <c r="AD32" s="59"/>
      <c r="AE32" s="399"/>
      <c r="AF32" s="59"/>
      <c r="AG32" s="59"/>
      <c r="AH32" s="59"/>
      <c r="AI32" s="61"/>
      <c r="AJ32" s="79"/>
      <c r="AK32" s="59"/>
      <c r="AL32" s="59"/>
      <c r="AM32" s="43"/>
      <c r="AN32" s="19"/>
      <c r="AO32" s="13"/>
      <c r="AP32" s="13"/>
      <c r="AQ32" s="13"/>
      <c r="AR32" s="13"/>
      <c r="AS32" s="13"/>
      <c r="AT32" s="13"/>
      <c r="AU32" s="13"/>
      <c r="AV32" s="19"/>
      <c r="AW32" s="18">
        <f>LEN(L32)</f>
        <v>16</v>
      </c>
    </row>
    <row r="33" spans="1:87" s="20" customFormat="1" ht="15">
      <c r="A33" s="40">
        <f t="shared" si="0"/>
        <v>27</v>
      </c>
      <c r="B33" s="38"/>
      <c r="C33" s="41"/>
      <c r="D33" s="38"/>
      <c r="E33" s="46"/>
      <c r="F33" s="46"/>
      <c r="G33" s="46"/>
      <c r="H33" s="13"/>
      <c r="I33" s="40"/>
      <c r="J33" s="298" t="s">
        <v>2996</v>
      </c>
      <c r="K33" s="297" t="s">
        <v>163</v>
      </c>
      <c r="L33" s="231" t="s">
        <v>2997</v>
      </c>
      <c r="M33" s="231"/>
      <c r="N33" s="295" t="s">
        <v>1505</v>
      </c>
      <c r="O33" s="295"/>
      <c r="P33" s="295" t="s">
        <v>2901</v>
      </c>
      <c r="Q33" s="292" t="s">
        <v>6</v>
      </c>
      <c r="R33" s="292"/>
      <c r="S33" s="292"/>
      <c r="T33" s="292"/>
      <c r="U33" s="315"/>
      <c r="V33" s="206"/>
      <c r="W33" s="399"/>
      <c r="X33" s="59"/>
      <c r="Y33" s="59"/>
      <c r="Z33" s="59"/>
      <c r="AA33" s="61"/>
      <c r="AB33" s="79"/>
      <c r="AC33" s="59"/>
      <c r="AD33" s="59"/>
      <c r="AE33" s="399"/>
      <c r="AF33" s="59"/>
      <c r="AG33" s="59"/>
      <c r="AH33" s="59"/>
      <c r="AI33" s="61"/>
      <c r="AJ33" s="79"/>
      <c r="AK33" s="59"/>
      <c r="AL33" s="59"/>
      <c r="AM33" s="43"/>
      <c r="AN33" s="19"/>
      <c r="AO33" s="13"/>
      <c r="AP33" s="13"/>
      <c r="AQ33" s="13"/>
      <c r="AR33" s="13"/>
      <c r="AS33" s="13"/>
      <c r="AT33" s="13"/>
      <c r="AU33" s="13"/>
      <c r="AV33" s="19"/>
      <c r="AW33" s="18">
        <f t="shared" si="1"/>
        <v>19</v>
      </c>
    </row>
    <row r="34" spans="1:87" s="18" customFormat="1" ht="15">
      <c r="A34" s="40">
        <f t="shared" si="0"/>
        <v>28</v>
      </c>
      <c r="B34" s="38"/>
      <c r="C34" s="42"/>
      <c r="D34" s="38"/>
      <c r="E34" s="46"/>
      <c r="F34" s="46"/>
      <c r="G34" s="46"/>
      <c r="H34" s="13"/>
      <c r="I34" s="40"/>
      <c r="J34" s="298" t="s">
        <v>2998</v>
      </c>
      <c r="K34" s="297" t="s">
        <v>163</v>
      </c>
      <c r="L34" s="231" t="s">
        <v>2999</v>
      </c>
      <c r="M34" s="231"/>
      <c r="N34" s="295" t="s">
        <v>2095</v>
      </c>
      <c r="O34" s="295"/>
      <c r="P34" s="295" t="s">
        <v>846</v>
      </c>
      <c r="Q34" s="292" t="s">
        <v>6</v>
      </c>
      <c r="R34" s="292"/>
      <c r="S34" s="292"/>
      <c r="T34" s="292"/>
      <c r="U34" s="315"/>
      <c r="V34" s="206"/>
      <c r="W34" s="399"/>
      <c r="X34" s="59"/>
      <c r="Y34" s="59"/>
      <c r="Z34" s="59"/>
      <c r="AA34" s="40"/>
      <c r="AB34" s="400"/>
      <c r="AC34" s="400"/>
      <c r="AD34" s="400"/>
      <c r="AE34" s="399"/>
      <c r="AF34" s="59"/>
      <c r="AG34" s="59"/>
      <c r="AH34" s="59"/>
      <c r="AI34" s="40"/>
      <c r="AJ34" s="400"/>
      <c r="AK34" s="400"/>
      <c r="AL34" s="400"/>
      <c r="AM34" s="43"/>
      <c r="AN34" s="19"/>
      <c r="AO34" s="15"/>
      <c r="AP34" s="15"/>
      <c r="AQ34" s="15"/>
      <c r="AR34" s="15"/>
      <c r="AS34" s="15"/>
      <c r="AT34" s="15"/>
      <c r="AU34" s="15"/>
      <c r="AV34" s="13"/>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row>
    <row r="35" spans="1:87" s="236" customFormat="1" ht="15">
      <c r="A35" s="40">
        <f t="shared" si="0"/>
        <v>29</v>
      </c>
      <c r="B35" s="199"/>
      <c r="C35" s="199"/>
      <c r="D35" s="199"/>
      <c r="E35" s="199"/>
      <c r="F35" s="199"/>
      <c r="G35" s="199"/>
      <c r="H35" s="199"/>
      <c r="I35" s="199"/>
      <c r="J35" s="298" t="s">
        <v>3000</v>
      </c>
      <c r="K35" s="297" t="s">
        <v>163</v>
      </c>
      <c r="L35" s="231" t="s">
        <v>3001</v>
      </c>
      <c r="M35" s="231"/>
      <c r="N35" s="295" t="s">
        <v>2095</v>
      </c>
      <c r="O35" s="295"/>
      <c r="P35" s="295" t="s">
        <v>846</v>
      </c>
      <c r="Q35" s="292" t="s">
        <v>6</v>
      </c>
      <c r="R35" s="292"/>
      <c r="S35" s="292"/>
      <c r="T35" s="292"/>
      <c r="U35" s="315"/>
      <c r="V35" s="198"/>
      <c r="W35" s="204"/>
      <c r="X35" s="199"/>
      <c r="Y35" s="199"/>
      <c r="Z35" s="199"/>
      <c r="AA35" s="40"/>
      <c r="AB35" s="198"/>
      <c r="AC35" s="199"/>
      <c r="AD35" s="199"/>
      <c r="AE35" s="204"/>
      <c r="AF35" s="199"/>
      <c r="AG35" s="199"/>
      <c r="AH35" s="199"/>
      <c r="AI35" s="40"/>
      <c r="AJ35" s="198"/>
      <c r="AK35" s="199"/>
      <c r="AL35" s="199"/>
      <c r="AM35" s="199"/>
      <c r="AN35" s="199"/>
      <c r="AO35" s="199"/>
      <c r="AP35" s="199"/>
      <c r="AQ35" s="199"/>
      <c r="AR35" s="199"/>
      <c r="AS35" s="199"/>
      <c r="AT35" s="199"/>
      <c r="AU35" s="199"/>
      <c r="AV35" s="199"/>
      <c r="AW35" s="155"/>
    </row>
    <row r="36" spans="1:87" s="236" customFormat="1" ht="15">
      <c r="A36" s="40">
        <f t="shared" si="0"/>
        <v>30</v>
      </c>
      <c r="B36" s="199"/>
      <c r="C36" s="199"/>
      <c r="D36" s="199"/>
      <c r="E36" s="199"/>
      <c r="F36" s="199"/>
      <c r="G36" s="199"/>
      <c r="H36" s="199"/>
      <c r="I36" s="199"/>
      <c r="J36" s="298" t="s">
        <v>3002</v>
      </c>
      <c r="K36" s="297" t="s">
        <v>163</v>
      </c>
      <c r="L36" s="231" t="s">
        <v>3003</v>
      </c>
      <c r="M36" s="231"/>
      <c r="N36" s="295" t="s">
        <v>2095</v>
      </c>
      <c r="O36" s="295"/>
      <c r="P36" s="295" t="s">
        <v>846</v>
      </c>
      <c r="Q36" s="292" t="s">
        <v>6</v>
      </c>
      <c r="R36" s="292"/>
      <c r="S36" s="292"/>
      <c r="T36" s="292"/>
      <c r="U36" s="315"/>
      <c r="V36" s="198"/>
      <c r="W36" s="204"/>
      <c r="X36" s="199"/>
      <c r="Y36" s="199"/>
      <c r="Z36" s="199"/>
      <c r="AA36" s="40"/>
      <c r="AB36" s="198"/>
      <c r="AC36" s="199"/>
      <c r="AD36" s="199"/>
      <c r="AE36" s="204"/>
      <c r="AF36" s="199"/>
      <c r="AG36" s="199"/>
      <c r="AH36" s="199"/>
      <c r="AI36" s="40"/>
      <c r="AJ36" s="198"/>
      <c r="AK36" s="199"/>
      <c r="AL36" s="199"/>
      <c r="AM36" s="199"/>
      <c r="AN36" s="199"/>
      <c r="AO36" s="199"/>
      <c r="AP36" s="199"/>
      <c r="AQ36" s="199"/>
      <c r="AR36" s="199"/>
      <c r="AS36" s="199"/>
      <c r="AT36" s="199"/>
      <c r="AU36" s="199"/>
      <c r="AV36" s="199"/>
      <c r="AW36" s="155"/>
    </row>
    <row r="37" spans="1:87" s="236" customFormat="1" ht="15">
      <c r="A37" s="40">
        <f t="shared" si="0"/>
        <v>31</v>
      </c>
      <c r="B37" s="199"/>
      <c r="C37" s="199"/>
      <c r="D37" s="199"/>
      <c r="E37" s="199"/>
      <c r="F37" s="199"/>
      <c r="G37" s="199"/>
      <c r="H37" s="199"/>
      <c r="I37" s="199"/>
      <c r="J37" s="298" t="s">
        <v>3004</v>
      </c>
      <c r="K37" s="297" t="s">
        <v>163</v>
      </c>
      <c r="L37" s="231" t="s">
        <v>3005</v>
      </c>
      <c r="M37" s="231"/>
      <c r="N37" s="295" t="s">
        <v>2095</v>
      </c>
      <c r="O37" s="295"/>
      <c r="P37" s="295" t="s">
        <v>846</v>
      </c>
      <c r="Q37" s="292" t="s">
        <v>6</v>
      </c>
      <c r="R37" s="292"/>
      <c r="S37" s="292"/>
      <c r="T37" s="292"/>
      <c r="U37" s="315"/>
      <c r="V37" s="198"/>
      <c r="W37" s="204"/>
      <c r="X37" s="199"/>
      <c r="Y37" s="199"/>
      <c r="Z37" s="199"/>
      <c r="AA37" s="40"/>
      <c r="AB37" s="198"/>
      <c r="AC37" s="199"/>
      <c r="AD37" s="199"/>
      <c r="AE37" s="204"/>
      <c r="AF37" s="199"/>
      <c r="AG37" s="199"/>
      <c r="AH37" s="199"/>
      <c r="AI37" s="40"/>
      <c r="AJ37" s="198"/>
      <c r="AK37" s="199"/>
      <c r="AL37" s="199"/>
      <c r="AM37" s="199"/>
      <c r="AN37" s="199"/>
      <c r="AO37" s="199"/>
      <c r="AP37" s="199"/>
      <c r="AQ37" s="199"/>
      <c r="AR37" s="199"/>
      <c r="AS37" s="199"/>
      <c r="AT37" s="199"/>
      <c r="AU37" s="199"/>
      <c r="AV37" s="199"/>
      <c r="AW37" s="155"/>
    </row>
    <row r="38" spans="1:87" s="236" customFormat="1" ht="26.4">
      <c r="A38" s="40">
        <f t="shared" si="0"/>
        <v>32</v>
      </c>
      <c r="B38" s="199"/>
      <c r="C38" s="199"/>
      <c r="D38" s="199"/>
      <c r="E38" s="199"/>
      <c r="F38" s="199"/>
      <c r="G38" s="199"/>
      <c r="H38" s="199"/>
      <c r="I38" s="199"/>
      <c r="J38" s="298" t="s">
        <v>3006</v>
      </c>
      <c r="K38" s="297" t="s">
        <v>163</v>
      </c>
      <c r="L38" s="231" t="s">
        <v>3007</v>
      </c>
      <c r="M38" s="231"/>
      <c r="N38" s="295"/>
      <c r="O38" s="295"/>
      <c r="P38" s="295" t="s">
        <v>2924</v>
      </c>
      <c r="Q38" s="292" t="s">
        <v>6</v>
      </c>
      <c r="R38" s="292"/>
      <c r="S38" s="292"/>
      <c r="T38" s="292"/>
      <c r="U38" s="315" t="s">
        <v>3008</v>
      </c>
      <c r="V38" s="198"/>
      <c r="W38" s="204"/>
      <c r="X38" s="199"/>
      <c r="Y38" s="199"/>
      <c r="Z38" s="199"/>
      <c r="AA38" s="40"/>
      <c r="AB38" s="198"/>
      <c r="AC38" s="199"/>
      <c r="AD38" s="199"/>
      <c r="AE38" s="204"/>
      <c r="AF38" s="199"/>
      <c r="AG38" s="199"/>
      <c r="AH38" s="199"/>
      <c r="AI38" s="40"/>
      <c r="AJ38" s="198"/>
      <c r="AK38" s="199"/>
      <c r="AL38" s="199"/>
      <c r="AM38" s="199"/>
      <c r="AN38" s="199"/>
      <c r="AO38" s="199"/>
      <c r="AP38" s="199"/>
      <c r="AQ38" s="199"/>
      <c r="AR38" s="199"/>
      <c r="AS38" s="199"/>
      <c r="AT38" s="199"/>
      <c r="AU38" s="199"/>
      <c r="AV38" s="199"/>
      <c r="AW38" s="155"/>
    </row>
    <row r="39" spans="1:87" s="18" customFormat="1" ht="15">
      <c r="A39" s="40">
        <f t="shared" si="0"/>
        <v>33</v>
      </c>
      <c r="B39" s="38"/>
      <c r="C39" s="42"/>
      <c r="D39" s="38"/>
      <c r="E39" s="46"/>
      <c r="F39" s="46"/>
      <c r="G39" s="46"/>
      <c r="H39" s="13"/>
      <c r="I39" s="40"/>
      <c r="J39" s="298" t="s">
        <v>3009</v>
      </c>
      <c r="K39" s="297" t="s">
        <v>163</v>
      </c>
      <c r="L39" s="231" t="s">
        <v>3010</v>
      </c>
      <c r="M39" s="231"/>
      <c r="N39" s="295"/>
      <c r="O39" s="295"/>
      <c r="P39" s="295" t="s">
        <v>2924</v>
      </c>
      <c r="Q39" s="292" t="s">
        <v>6</v>
      </c>
      <c r="R39" s="292"/>
      <c r="S39" s="292"/>
      <c r="T39" s="292"/>
      <c r="U39" s="315" t="s">
        <v>3011</v>
      </c>
      <c r="V39" s="206"/>
      <c r="W39" s="399"/>
      <c r="X39" s="59"/>
      <c r="Y39" s="59"/>
      <c r="Z39" s="59"/>
      <c r="AA39" s="40"/>
      <c r="AB39" s="400"/>
      <c r="AC39" s="400"/>
      <c r="AD39" s="400"/>
      <c r="AE39" s="399"/>
      <c r="AF39" s="59"/>
      <c r="AG39" s="59"/>
      <c r="AH39" s="59"/>
      <c r="AI39" s="40"/>
      <c r="AJ39" s="400"/>
      <c r="AK39" s="400"/>
      <c r="AL39" s="400"/>
      <c r="AM39" s="43"/>
      <c r="AN39" s="19"/>
      <c r="AO39" s="15"/>
      <c r="AP39" s="15"/>
      <c r="AQ39" s="15"/>
      <c r="AR39" s="15"/>
      <c r="AS39" s="15"/>
      <c r="AT39" s="15"/>
      <c r="AU39" s="15"/>
      <c r="AV39" s="13"/>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row>
    <row r="40" spans="1:87" s="236" customFormat="1" ht="15">
      <c r="A40" s="40">
        <f t="shared" si="0"/>
        <v>34</v>
      </c>
      <c r="B40" s="199"/>
      <c r="C40" s="199"/>
      <c r="D40" s="199"/>
      <c r="E40" s="199"/>
      <c r="F40" s="199"/>
      <c r="G40" s="199"/>
      <c r="H40" s="199"/>
      <c r="I40" s="199"/>
      <c r="J40" s="298" t="s">
        <v>3012</v>
      </c>
      <c r="K40" s="297" t="s">
        <v>163</v>
      </c>
      <c r="L40" s="231" t="s">
        <v>3013</v>
      </c>
      <c r="M40" s="231"/>
      <c r="N40" s="295"/>
      <c r="O40" s="295"/>
      <c r="P40" s="295" t="s">
        <v>2924</v>
      </c>
      <c r="Q40" s="292" t="s">
        <v>6</v>
      </c>
      <c r="R40" s="292"/>
      <c r="S40" s="292"/>
      <c r="T40" s="292"/>
      <c r="U40" s="315" t="s">
        <v>3011</v>
      </c>
      <c r="V40" s="204"/>
      <c r="W40" s="199"/>
      <c r="X40" s="199"/>
      <c r="Y40" s="199"/>
      <c r="Z40" s="226"/>
      <c r="AA40" s="226"/>
      <c r="AB40" s="199"/>
      <c r="AC40" s="199"/>
      <c r="AD40" s="199"/>
      <c r="AE40" s="399"/>
      <c r="AF40" s="199"/>
      <c r="AG40" s="199"/>
      <c r="AH40" s="226"/>
      <c r="AI40" s="226"/>
      <c r="AJ40" s="199"/>
      <c r="AK40" s="199"/>
      <c r="AL40" s="199"/>
      <c r="AM40" s="199"/>
      <c r="AN40" s="199"/>
      <c r="AO40" s="199"/>
      <c r="AP40" s="199"/>
      <c r="AQ40" s="199"/>
      <c r="AR40" s="199"/>
      <c r="AS40" s="199"/>
      <c r="AT40" s="199"/>
      <c r="AU40" s="199"/>
      <c r="AV40" s="199"/>
      <c r="AW40" s="155"/>
    </row>
    <row r="41" spans="1:87" s="236" customFormat="1" ht="15">
      <c r="A41" s="40">
        <f t="shared" si="0"/>
        <v>35</v>
      </c>
      <c r="B41" s="199"/>
      <c r="C41" s="199"/>
      <c r="D41" s="199"/>
      <c r="E41" s="199"/>
      <c r="F41" s="199"/>
      <c r="G41" s="199"/>
      <c r="H41" s="199"/>
      <c r="I41" s="199"/>
      <c r="J41" s="298" t="s">
        <v>3014</v>
      </c>
      <c r="K41" s="297" t="s">
        <v>163</v>
      </c>
      <c r="L41" s="231" t="s">
        <v>3015</v>
      </c>
      <c r="M41" s="231"/>
      <c r="N41" s="295"/>
      <c r="O41" s="295"/>
      <c r="P41" s="295" t="s">
        <v>2690</v>
      </c>
      <c r="Q41" s="292" t="s">
        <v>6</v>
      </c>
      <c r="R41" s="292"/>
      <c r="S41" s="292"/>
      <c r="T41" s="292"/>
      <c r="U41" s="315"/>
      <c r="V41" s="204"/>
      <c r="W41" s="199"/>
      <c r="X41" s="199"/>
      <c r="Y41" s="199"/>
      <c r="Z41" s="226"/>
      <c r="AA41" s="226"/>
      <c r="AB41" s="199"/>
      <c r="AC41" s="199"/>
      <c r="AD41" s="199"/>
      <c r="AE41" s="399"/>
      <c r="AF41" s="199"/>
      <c r="AG41" s="199"/>
      <c r="AH41" s="226"/>
      <c r="AI41" s="226"/>
      <c r="AJ41" s="199"/>
      <c r="AK41" s="199"/>
      <c r="AL41" s="199"/>
      <c r="AM41" s="199"/>
      <c r="AN41" s="199"/>
      <c r="AO41" s="199"/>
      <c r="AP41" s="199"/>
      <c r="AQ41" s="199"/>
      <c r="AR41" s="199"/>
      <c r="AS41" s="199"/>
      <c r="AT41" s="199"/>
      <c r="AU41" s="199"/>
      <c r="AV41" s="199"/>
      <c r="AW41" s="155"/>
    </row>
    <row r="42" spans="1:87" s="236" customFormat="1" ht="15">
      <c r="A42" s="40">
        <f t="shared" si="0"/>
        <v>36</v>
      </c>
      <c r="B42" s="199"/>
      <c r="C42" s="199"/>
      <c r="D42" s="199"/>
      <c r="E42" s="199"/>
      <c r="F42" s="199"/>
      <c r="G42" s="199"/>
      <c r="H42" s="199"/>
      <c r="I42" s="199"/>
      <c r="J42" s="298" t="s">
        <v>3016</v>
      </c>
      <c r="K42" s="297" t="s">
        <v>163</v>
      </c>
      <c r="L42" s="231" t="s">
        <v>3017</v>
      </c>
      <c r="M42" s="231"/>
      <c r="N42" s="295" t="s">
        <v>2095</v>
      </c>
      <c r="O42" s="295"/>
      <c r="P42" s="295" t="s">
        <v>846</v>
      </c>
      <c r="Q42" s="292" t="s">
        <v>6</v>
      </c>
      <c r="R42" s="292"/>
      <c r="S42" s="292"/>
      <c r="T42" s="292"/>
      <c r="U42" s="315" t="s">
        <v>2947</v>
      </c>
      <c r="V42" s="204"/>
      <c r="W42" s="199"/>
      <c r="X42" s="199"/>
      <c r="Y42" s="199"/>
      <c r="Z42" s="226"/>
      <c r="AA42" s="226"/>
      <c r="AB42" s="199"/>
      <c r="AC42" s="199"/>
      <c r="AD42" s="199"/>
      <c r="AE42" s="399"/>
      <c r="AF42" s="199"/>
      <c r="AG42" s="199"/>
      <c r="AH42" s="226"/>
      <c r="AI42" s="226"/>
      <c r="AJ42" s="199"/>
      <c r="AK42" s="199"/>
      <c r="AL42" s="199"/>
      <c r="AM42" s="199"/>
      <c r="AN42" s="199"/>
      <c r="AO42" s="199"/>
      <c r="AP42" s="199"/>
      <c r="AQ42" s="199"/>
      <c r="AR42" s="199"/>
      <c r="AS42" s="199"/>
      <c r="AT42" s="199"/>
      <c r="AU42" s="199"/>
      <c r="AV42" s="199"/>
      <c r="AW42" s="155"/>
    </row>
    <row r="43" spans="1:87" s="236" customFormat="1" ht="15">
      <c r="A43" s="40">
        <f t="shared" si="0"/>
        <v>37</v>
      </c>
      <c r="B43" s="199"/>
      <c r="C43" s="199"/>
      <c r="D43" s="199"/>
      <c r="E43" s="199"/>
      <c r="F43" s="199"/>
      <c r="G43" s="199"/>
      <c r="H43" s="199"/>
      <c r="I43" s="199"/>
      <c r="J43" s="298" t="s">
        <v>3018</v>
      </c>
      <c r="K43" s="297" t="s">
        <v>163</v>
      </c>
      <c r="L43" s="231" t="s">
        <v>3019</v>
      </c>
      <c r="M43" s="231"/>
      <c r="N43" s="295" t="s">
        <v>2095</v>
      </c>
      <c r="O43" s="295"/>
      <c r="P43" s="295" t="s">
        <v>846</v>
      </c>
      <c r="Q43" s="292" t="s">
        <v>6</v>
      </c>
      <c r="R43" s="292"/>
      <c r="S43" s="292"/>
      <c r="T43" s="292"/>
      <c r="U43" s="315"/>
      <c r="V43" s="201"/>
      <c r="W43" s="199"/>
      <c r="X43" s="199"/>
      <c r="Y43" s="199"/>
      <c r="Z43" s="226"/>
      <c r="AA43" s="226"/>
      <c r="AB43" s="199"/>
      <c r="AC43" s="199"/>
      <c r="AD43" s="199"/>
      <c r="AE43" s="399"/>
      <c r="AF43" s="199"/>
      <c r="AG43" s="199"/>
      <c r="AH43" s="226"/>
      <c r="AI43" s="226"/>
      <c r="AJ43" s="199"/>
      <c r="AK43" s="199"/>
      <c r="AL43" s="199"/>
      <c r="AM43" s="199"/>
      <c r="AN43" s="199"/>
      <c r="AO43" s="199"/>
      <c r="AP43" s="199"/>
      <c r="AQ43" s="199"/>
      <c r="AR43" s="199"/>
      <c r="AS43" s="199"/>
      <c r="AT43" s="199"/>
      <c r="AU43" s="199"/>
      <c r="AV43" s="199"/>
      <c r="AW43" s="155"/>
    </row>
    <row r="44" spans="1:87" s="236" customFormat="1" ht="15">
      <c r="A44" s="40">
        <f t="shared" si="0"/>
        <v>38</v>
      </c>
      <c r="B44" s="199"/>
      <c r="C44" s="199"/>
      <c r="D44" s="199"/>
      <c r="E44" s="199"/>
      <c r="F44" s="199"/>
      <c r="G44" s="199"/>
      <c r="H44" s="199"/>
      <c r="I44" s="199"/>
      <c r="J44" s="298" t="s">
        <v>3020</v>
      </c>
      <c r="K44" s="297" t="s">
        <v>163</v>
      </c>
      <c r="L44" s="231" t="s">
        <v>3021</v>
      </c>
      <c r="M44" s="231"/>
      <c r="N44" s="295" t="s">
        <v>2095</v>
      </c>
      <c r="O44" s="295"/>
      <c r="P44" s="295" t="s">
        <v>846</v>
      </c>
      <c r="Q44" s="292" t="s">
        <v>6</v>
      </c>
      <c r="R44" s="292"/>
      <c r="S44" s="292"/>
      <c r="T44" s="292"/>
      <c r="U44" s="315"/>
      <c r="V44" s="201"/>
      <c r="W44" s="199"/>
      <c r="X44" s="199"/>
      <c r="Y44" s="199"/>
      <c r="Z44" s="226"/>
      <c r="AA44" s="226"/>
      <c r="AB44" s="199"/>
      <c r="AC44" s="199"/>
      <c r="AD44" s="199"/>
      <c r="AE44" s="399"/>
      <c r="AF44" s="199"/>
      <c r="AG44" s="199"/>
      <c r="AH44" s="226"/>
      <c r="AI44" s="226"/>
      <c r="AJ44" s="199"/>
      <c r="AK44" s="199"/>
      <c r="AL44" s="199"/>
      <c r="AM44" s="199"/>
      <c r="AN44" s="199"/>
      <c r="AO44" s="199"/>
      <c r="AP44" s="199"/>
      <c r="AQ44" s="199"/>
      <c r="AR44" s="199"/>
      <c r="AS44" s="199"/>
      <c r="AT44" s="199"/>
      <c r="AU44" s="199"/>
      <c r="AV44" s="199"/>
      <c r="AW44" s="155"/>
    </row>
    <row r="45" spans="1:87" s="236" customFormat="1" ht="15">
      <c r="A45" s="40">
        <f t="shared" si="0"/>
        <v>39</v>
      </c>
      <c r="B45" s="199"/>
      <c r="C45" s="199"/>
      <c r="D45" s="199"/>
      <c r="E45" s="199"/>
      <c r="F45" s="199"/>
      <c r="G45" s="199"/>
      <c r="H45" s="199"/>
      <c r="I45" s="199"/>
      <c r="J45" s="298" t="s">
        <v>3022</v>
      </c>
      <c r="K45" s="297" t="s">
        <v>163</v>
      </c>
      <c r="L45" s="231" t="s">
        <v>3023</v>
      </c>
      <c r="M45" s="231"/>
      <c r="N45" s="295" t="s">
        <v>2877</v>
      </c>
      <c r="O45" s="295"/>
      <c r="P45" s="295" t="s">
        <v>2882</v>
      </c>
      <c r="Q45" s="292" t="s">
        <v>6</v>
      </c>
      <c r="R45" s="292"/>
      <c r="S45" s="292"/>
      <c r="T45" s="292"/>
      <c r="U45" s="315"/>
      <c r="V45" s="201"/>
      <c r="W45" s="199"/>
      <c r="X45" s="199"/>
      <c r="Y45" s="199"/>
      <c r="Z45" s="226"/>
      <c r="AA45" s="226"/>
      <c r="AB45" s="199"/>
      <c r="AC45" s="199"/>
      <c r="AD45" s="199"/>
      <c r="AE45" s="399"/>
      <c r="AF45" s="199"/>
      <c r="AG45" s="199"/>
      <c r="AH45" s="226"/>
      <c r="AI45" s="226"/>
      <c r="AJ45" s="199"/>
      <c r="AK45" s="199"/>
      <c r="AL45" s="199"/>
      <c r="AM45" s="199"/>
      <c r="AN45" s="199"/>
      <c r="AO45" s="199"/>
      <c r="AP45" s="199"/>
      <c r="AQ45" s="199"/>
      <c r="AR45" s="199"/>
      <c r="AS45" s="199"/>
      <c r="AT45" s="199"/>
      <c r="AU45" s="199"/>
      <c r="AV45" s="199"/>
      <c r="AW45" s="155"/>
    </row>
    <row r="46" spans="1:87" s="236" customFormat="1" ht="15">
      <c r="A46" s="40">
        <f t="shared" si="0"/>
        <v>40</v>
      </c>
      <c r="B46" s="199"/>
      <c r="C46" s="199"/>
      <c r="D46" s="199"/>
      <c r="E46" s="199"/>
      <c r="F46" s="199"/>
      <c r="G46" s="199"/>
      <c r="H46" s="199"/>
      <c r="I46" s="199"/>
      <c r="J46" s="298" t="s">
        <v>3024</v>
      </c>
      <c r="K46" s="297" t="s">
        <v>163</v>
      </c>
      <c r="L46" s="231" t="s">
        <v>3025</v>
      </c>
      <c r="M46" s="231"/>
      <c r="N46" s="295"/>
      <c r="O46" s="295"/>
      <c r="P46" s="295" t="s">
        <v>2924</v>
      </c>
      <c r="Q46" s="292" t="s">
        <v>6</v>
      </c>
      <c r="R46" s="292"/>
      <c r="S46" s="292"/>
      <c r="T46" s="292"/>
      <c r="U46" s="315"/>
      <c r="V46" s="204"/>
      <c r="W46" s="215"/>
      <c r="X46" s="199"/>
      <c r="Y46" s="199"/>
      <c r="Z46" s="40"/>
      <c r="AA46" s="40"/>
      <c r="AB46" s="218"/>
      <c r="AC46" s="199"/>
      <c r="AD46" s="199"/>
      <c r="AE46" s="215"/>
      <c r="AF46" s="199"/>
      <c r="AG46" s="199"/>
      <c r="AH46" s="40"/>
      <c r="AI46" s="40"/>
      <c r="AJ46" s="218"/>
      <c r="AK46" s="199"/>
      <c r="AL46" s="199"/>
      <c r="AM46" s="199"/>
      <c r="AN46" s="199"/>
      <c r="AO46" s="199"/>
      <c r="AP46" s="199"/>
      <c r="AQ46" s="199"/>
      <c r="AR46" s="199"/>
      <c r="AS46" s="199"/>
      <c r="AT46" s="199"/>
      <c r="AU46" s="199"/>
      <c r="AV46" s="199"/>
      <c r="AW46" s="155"/>
    </row>
    <row r="47" spans="1:87" s="18" customFormat="1" ht="15">
      <c r="A47" s="40">
        <f t="shared" si="0"/>
        <v>41</v>
      </c>
      <c r="B47" s="19"/>
      <c r="C47" s="41"/>
      <c r="D47" s="19"/>
      <c r="E47" s="19"/>
      <c r="F47" s="19"/>
      <c r="G47" s="19"/>
      <c r="H47" s="13"/>
      <c r="I47" s="13"/>
      <c r="J47" s="298" t="s">
        <v>3026</v>
      </c>
      <c r="K47" s="297" t="s">
        <v>163</v>
      </c>
      <c r="L47" s="231" t="s">
        <v>3027</v>
      </c>
      <c r="M47" s="231"/>
      <c r="N47" s="295"/>
      <c r="O47" s="295"/>
      <c r="P47" s="295" t="s">
        <v>2924</v>
      </c>
      <c r="Q47" s="292" t="s">
        <v>6</v>
      </c>
      <c r="R47" s="292"/>
      <c r="S47" s="292"/>
      <c r="T47" s="292"/>
      <c r="U47" s="315"/>
      <c r="V47" s="206"/>
      <c r="W47" s="399"/>
      <c r="X47" s="59"/>
      <c r="Y47" s="59"/>
      <c r="Z47" s="59"/>
      <c r="AA47" s="61"/>
      <c r="AB47" s="79"/>
      <c r="AC47" s="59"/>
      <c r="AD47" s="218"/>
      <c r="AE47" s="399"/>
      <c r="AF47" s="59"/>
      <c r="AG47" s="59"/>
      <c r="AH47" s="59"/>
      <c r="AI47" s="61"/>
      <c r="AJ47" s="79"/>
      <c r="AK47" s="59"/>
      <c r="AL47" s="218"/>
      <c r="AM47" s="43"/>
      <c r="AN47" s="19"/>
      <c r="AO47" s="15"/>
      <c r="AP47" s="15"/>
      <c r="AQ47" s="15"/>
      <c r="AR47" s="15"/>
      <c r="AS47" s="15"/>
      <c r="AT47" s="15"/>
      <c r="AU47" s="13"/>
      <c r="AV47" s="15"/>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row>
    <row r="48" spans="1:87" s="18" customFormat="1" ht="15">
      <c r="A48" s="40">
        <f t="shared" si="0"/>
        <v>42</v>
      </c>
      <c r="B48" s="19"/>
      <c r="C48" s="41"/>
      <c r="D48" s="19"/>
      <c r="E48" s="19"/>
      <c r="F48" s="19"/>
      <c r="G48" s="19"/>
      <c r="H48" s="13"/>
      <c r="I48" s="13"/>
      <c r="J48" s="298" t="s">
        <v>3028</v>
      </c>
      <c r="K48" s="297" t="s">
        <v>163</v>
      </c>
      <c r="L48" s="231" t="s">
        <v>3029</v>
      </c>
      <c r="M48" s="231"/>
      <c r="N48" s="295"/>
      <c r="O48" s="295"/>
      <c r="P48" s="295" t="s">
        <v>2924</v>
      </c>
      <c r="Q48" s="292" t="s">
        <v>6</v>
      </c>
      <c r="R48" s="292"/>
      <c r="S48" s="292"/>
      <c r="T48" s="292"/>
      <c r="U48" s="315"/>
      <c r="V48" s="206"/>
      <c r="W48" s="399"/>
      <c r="X48" s="59"/>
      <c r="Y48" s="59"/>
      <c r="Z48" s="59"/>
      <c r="AA48" s="61"/>
      <c r="AB48" s="79"/>
      <c r="AC48" s="59"/>
      <c r="AD48" s="218"/>
      <c r="AE48" s="399"/>
      <c r="AF48" s="59"/>
      <c r="AG48" s="59"/>
      <c r="AH48" s="59"/>
      <c r="AI48" s="61"/>
      <c r="AJ48" s="79"/>
      <c r="AK48" s="59"/>
      <c r="AL48" s="218"/>
      <c r="AM48" s="43"/>
      <c r="AN48" s="19"/>
      <c r="AO48" s="15"/>
      <c r="AP48" s="15"/>
      <c r="AQ48" s="15"/>
      <c r="AR48" s="15"/>
      <c r="AS48" s="15"/>
      <c r="AT48" s="15"/>
      <c r="AU48" s="13"/>
      <c r="AV48" s="15"/>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row>
    <row r="49" spans="1:87" s="18" customFormat="1" ht="15">
      <c r="A49" s="40">
        <f t="shared" si="0"/>
        <v>43</v>
      </c>
      <c r="B49" s="19"/>
      <c r="C49" s="41"/>
      <c r="D49" s="19"/>
      <c r="E49" s="19"/>
      <c r="F49" s="19"/>
      <c r="G49" s="19"/>
      <c r="H49" s="13"/>
      <c r="I49" s="13"/>
      <c r="J49" s="298" t="s">
        <v>3030</v>
      </c>
      <c r="K49" s="297" t="s">
        <v>163</v>
      </c>
      <c r="L49" s="231" t="s">
        <v>3031</v>
      </c>
      <c r="M49" s="608"/>
      <c r="N49" s="317" t="s">
        <v>2101</v>
      </c>
      <c r="O49" s="295"/>
      <c r="P49" s="295" t="s">
        <v>2531</v>
      </c>
      <c r="Q49" s="305" t="s">
        <v>6</v>
      </c>
      <c r="R49" s="305"/>
      <c r="S49" s="292"/>
      <c r="T49" s="292"/>
      <c r="U49" s="315"/>
      <c r="V49" s="206"/>
      <c r="W49" s="399"/>
      <c r="X49" s="59"/>
      <c r="Y49" s="59"/>
      <c r="Z49" s="59"/>
      <c r="AA49" s="61"/>
      <c r="AB49" s="309"/>
      <c r="AC49" s="260"/>
      <c r="AD49" s="310"/>
      <c r="AE49" s="399"/>
      <c r="AF49" s="59"/>
      <c r="AG49" s="59"/>
      <c r="AH49" s="59"/>
      <c r="AI49" s="61"/>
      <c r="AJ49" s="309"/>
      <c r="AK49" s="260"/>
      <c r="AL49" s="310"/>
      <c r="AM49" s="43"/>
      <c r="AN49" s="19"/>
      <c r="AO49" s="15"/>
      <c r="AP49" s="15"/>
      <c r="AQ49" s="15"/>
      <c r="AR49" s="15"/>
      <c r="AS49" s="15"/>
      <c r="AT49" s="15"/>
      <c r="AU49" s="13"/>
      <c r="AV49" s="15"/>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row>
    <row r="50" spans="1:87" s="18" customFormat="1" ht="15">
      <c r="A50" s="40">
        <f t="shared" si="0"/>
        <v>44</v>
      </c>
      <c r="B50" s="19"/>
      <c r="C50" s="41"/>
      <c r="D50" s="19"/>
      <c r="E50" s="19"/>
      <c r="F50" s="19"/>
      <c r="G50" s="19"/>
      <c r="H50" s="13"/>
      <c r="I50" s="13"/>
      <c r="J50" s="298" t="s">
        <v>3032</v>
      </c>
      <c r="K50" s="297" t="s">
        <v>163</v>
      </c>
      <c r="L50" s="231" t="s">
        <v>3033</v>
      </c>
      <c r="M50" s="608"/>
      <c r="N50" s="317"/>
      <c r="O50" s="295"/>
      <c r="P50" s="295" t="s">
        <v>2690</v>
      </c>
      <c r="Q50" s="305" t="s">
        <v>6</v>
      </c>
      <c r="R50" s="305"/>
      <c r="S50" s="292"/>
      <c r="T50" s="292"/>
      <c r="U50" s="315"/>
      <c r="V50" s="206"/>
      <c r="W50" s="399"/>
      <c r="X50" s="59"/>
      <c r="Y50" s="59"/>
      <c r="Z50" s="59"/>
      <c r="AA50" s="61"/>
      <c r="AB50" s="309"/>
      <c r="AC50" s="260"/>
      <c r="AD50" s="310"/>
      <c r="AE50" s="399"/>
      <c r="AF50" s="59"/>
      <c r="AG50" s="59"/>
      <c r="AH50" s="59"/>
      <c r="AI50" s="61"/>
      <c r="AJ50" s="309"/>
      <c r="AK50" s="260"/>
      <c r="AL50" s="310"/>
      <c r="AM50" s="43"/>
      <c r="AN50" s="19"/>
      <c r="AO50" s="15"/>
      <c r="AP50" s="15"/>
      <c r="AQ50" s="15"/>
      <c r="AR50" s="15"/>
      <c r="AS50" s="15"/>
      <c r="AT50" s="15"/>
      <c r="AU50" s="13"/>
      <c r="AV50" s="15"/>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row>
    <row r="51" spans="1:87" s="18" customFormat="1" ht="15">
      <c r="A51" s="40">
        <f t="shared" si="0"/>
        <v>45</v>
      </c>
      <c r="B51" s="19"/>
      <c r="C51" s="41"/>
      <c r="D51" s="19"/>
      <c r="E51" s="19"/>
      <c r="F51" s="19"/>
      <c r="G51" s="19"/>
      <c r="H51" s="13"/>
      <c r="I51" s="13"/>
      <c r="J51" s="298" t="s">
        <v>3034</v>
      </c>
      <c r="K51" s="297" t="s">
        <v>163</v>
      </c>
      <c r="L51" s="231" t="s">
        <v>3035</v>
      </c>
      <c r="M51" s="608"/>
      <c r="N51" s="317"/>
      <c r="O51" s="295"/>
      <c r="P51" s="295" t="s">
        <v>2690</v>
      </c>
      <c r="Q51" s="305" t="s">
        <v>6</v>
      </c>
      <c r="R51" s="305"/>
      <c r="S51" s="292"/>
      <c r="T51" s="292"/>
      <c r="U51" s="315" t="s">
        <v>3036</v>
      </c>
      <c r="V51" s="206"/>
      <c r="W51" s="399"/>
      <c r="X51" s="59"/>
      <c r="Y51" s="59"/>
      <c r="Z51" s="59"/>
      <c r="AA51" s="61"/>
      <c r="AB51" s="309"/>
      <c r="AC51" s="260"/>
      <c r="AD51" s="310"/>
      <c r="AE51" s="399"/>
      <c r="AF51" s="59"/>
      <c r="AG51" s="59"/>
      <c r="AH51" s="59"/>
      <c r="AI51" s="61"/>
      <c r="AJ51" s="309"/>
      <c r="AK51" s="260"/>
      <c r="AL51" s="310"/>
      <c r="AM51" s="43"/>
      <c r="AN51" s="19"/>
      <c r="AO51" s="15"/>
      <c r="AP51" s="15"/>
      <c r="AQ51" s="15"/>
      <c r="AR51" s="15"/>
      <c r="AS51" s="15"/>
      <c r="AT51" s="15"/>
      <c r="AU51" s="13"/>
      <c r="AV51" s="15"/>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row>
    <row r="52" spans="1:87" s="18" customFormat="1" ht="15">
      <c r="A52" s="40">
        <f t="shared" si="0"/>
        <v>46</v>
      </c>
      <c r="B52" s="19"/>
      <c r="C52" s="41"/>
      <c r="D52" s="19"/>
      <c r="E52" s="19"/>
      <c r="F52" s="19"/>
      <c r="G52" s="19"/>
      <c r="H52" s="13"/>
      <c r="I52" s="13"/>
      <c r="J52" s="298" t="s">
        <v>3037</v>
      </c>
      <c r="K52" s="297" t="s">
        <v>163</v>
      </c>
      <c r="L52" s="231" t="s">
        <v>3038</v>
      </c>
      <c r="M52" s="608"/>
      <c r="N52" s="317" t="s">
        <v>2871</v>
      </c>
      <c r="O52" s="295"/>
      <c r="P52" s="295"/>
      <c r="Q52" s="305" t="s">
        <v>6</v>
      </c>
      <c r="R52" s="305"/>
      <c r="S52" s="292"/>
      <c r="T52" s="292"/>
      <c r="U52" s="315"/>
      <c r="V52" s="206"/>
      <c r="W52" s="399"/>
      <c r="X52" s="59"/>
      <c r="Y52" s="59"/>
      <c r="Z52" s="59"/>
      <c r="AA52" s="61"/>
      <c r="AB52" s="309"/>
      <c r="AC52" s="260"/>
      <c r="AD52" s="310"/>
      <c r="AE52" s="399"/>
      <c r="AF52" s="59"/>
      <c r="AG52" s="59"/>
      <c r="AH52" s="59"/>
      <c r="AI52" s="61"/>
      <c r="AJ52" s="309"/>
      <c r="AK52" s="260"/>
      <c r="AL52" s="310"/>
      <c r="AM52" s="43"/>
      <c r="AN52" s="19"/>
      <c r="AO52" s="15"/>
      <c r="AP52" s="15"/>
      <c r="AQ52" s="15"/>
      <c r="AR52" s="15"/>
      <c r="AS52" s="15"/>
      <c r="AT52" s="15"/>
      <c r="AU52" s="13"/>
      <c r="AV52" s="15"/>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row>
    <row r="53" spans="1:87" s="18" customFormat="1" ht="15">
      <c r="A53" s="40">
        <f t="shared" si="0"/>
        <v>47</v>
      </c>
      <c r="B53" s="19"/>
      <c r="C53" s="41"/>
      <c r="D53" s="19"/>
      <c r="E53" s="19"/>
      <c r="F53" s="19"/>
      <c r="G53" s="19"/>
      <c r="H53" s="13"/>
      <c r="I53" s="13"/>
      <c r="J53" s="298" t="s">
        <v>3039</v>
      </c>
      <c r="K53" s="297" t="s">
        <v>163</v>
      </c>
      <c r="L53" s="231" t="s">
        <v>3040</v>
      </c>
      <c r="M53" s="608"/>
      <c r="N53" s="317"/>
      <c r="O53" s="295"/>
      <c r="P53" s="295"/>
      <c r="Q53" s="305" t="s">
        <v>6</v>
      </c>
      <c r="R53" s="305"/>
      <c r="S53" s="292"/>
      <c r="T53" s="292"/>
      <c r="U53" s="315"/>
      <c r="V53" s="206"/>
      <c r="W53" s="399"/>
      <c r="X53" s="59"/>
      <c r="Y53" s="59"/>
      <c r="Z53" s="59"/>
      <c r="AA53" s="61"/>
      <c r="AB53" s="309"/>
      <c r="AC53" s="260"/>
      <c r="AD53" s="310"/>
      <c r="AE53" s="399"/>
      <c r="AF53" s="59"/>
      <c r="AG53" s="59"/>
      <c r="AH53" s="59"/>
      <c r="AI53" s="61"/>
      <c r="AJ53" s="309"/>
      <c r="AK53" s="260"/>
      <c r="AL53" s="310"/>
      <c r="AM53" s="43"/>
      <c r="AN53" s="19"/>
      <c r="AO53" s="15"/>
      <c r="AP53" s="15"/>
      <c r="AQ53" s="15"/>
      <c r="AR53" s="15"/>
      <c r="AS53" s="15"/>
      <c r="AT53" s="15"/>
      <c r="AU53" s="13"/>
      <c r="AV53" s="15"/>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row>
    <row r="54" spans="1:87" s="18" customFormat="1" ht="15">
      <c r="A54" s="40">
        <f t="shared" si="0"/>
        <v>48</v>
      </c>
      <c r="B54" s="19"/>
      <c r="C54" s="41"/>
      <c r="D54" s="19"/>
      <c r="E54" s="19"/>
      <c r="F54" s="19"/>
      <c r="G54" s="19"/>
      <c r="H54" s="13"/>
      <c r="I54" s="13"/>
      <c r="J54" s="298" t="s">
        <v>3041</v>
      </c>
      <c r="K54" s="297" t="s">
        <v>163</v>
      </c>
      <c r="L54" s="231" t="s">
        <v>3042</v>
      </c>
      <c r="M54" s="608"/>
      <c r="N54" s="317"/>
      <c r="O54" s="295"/>
      <c r="P54" s="295" t="s">
        <v>3043</v>
      </c>
      <c r="Q54" s="305" t="s">
        <v>6</v>
      </c>
      <c r="R54" s="305"/>
      <c r="S54" s="292"/>
      <c r="T54" s="292"/>
      <c r="U54" s="315"/>
      <c r="V54" s="206"/>
      <c r="W54" s="399"/>
      <c r="X54" s="59"/>
      <c r="Y54" s="59"/>
      <c r="Z54" s="59"/>
      <c r="AA54" s="61"/>
      <c r="AB54" s="309"/>
      <c r="AC54" s="260"/>
      <c r="AD54" s="310"/>
      <c r="AE54" s="399"/>
      <c r="AF54" s="59"/>
      <c r="AG54" s="59"/>
      <c r="AH54" s="59"/>
      <c r="AI54" s="61"/>
      <c r="AJ54" s="309"/>
      <c r="AK54" s="260"/>
      <c r="AL54" s="310"/>
      <c r="AM54" s="43"/>
      <c r="AN54" s="19"/>
      <c r="AO54" s="15"/>
      <c r="AP54" s="15"/>
      <c r="AQ54" s="15"/>
      <c r="AR54" s="15"/>
      <c r="AS54" s="15"/>
      <c r="AT54" s="15"/>
      <c r="AU54" s="13"/>
      <c r="AV54" s="15"/>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row>
    <row r="55" spans="1:87" s="18" customFormat="1" ht="15">
      <c r="A55" s="40">
        <f t="shared" si="0"/>
        <v>49</v>
      </c>
      <c r="B55" s="19"/>
      <c r="C55" s="41"/>
      <c r="D55" s="19"/>
      <c r="E55" s="19"/>
      <c r="F55" s="19"/>
      <c r="G55" s="19"/>
      <c r="H55" s="13"/>
      <c r="I55" s="13"/>
      <c r="J55" s="298" t="s">
        <v>3044</v>
      </c>
      <c r="K55" s="297" t="s">
        <v>163</v>
      </c>
      <c r="L55" s="231" t="s">
        <v>3045</v>
      </c>
      <c r="M55" s="608"/>
      <c r="N55" s="317"/>
      <c r="O55" s="295"/>
      <c r="P55" s="292" t="s">
        <v>3046</v>
      </c>
      <c r="Q55" s="305" t="s">
        <v>6</v>
      </c>
      <c r="R55" s="305"/>
      <c r="S55" s="292"/>
      <c r="T55" s="292"/>
      <c r="U55" s="315"/>
      <c r="V55" s="206"/>
      <c r="W55" s="399"/>
      <c r="X55" s="59"/>
      <c r="Y55" s="59"/>
      <c r="Z55" s="59"/>
      <c r="AA55" s="61"/>
      <c r="AB55" s="309"/>
      <c r="AC55" s="260"/>
      <c r="AD55" s="310"/>
      <c r="AE55" s="399"/>
      <c r="AF55" s="59"/>
      <c r="AG55" s="59"/>
      <c r="AH55" s="59"/>
      <c r="AI55" s="61"/>
      <c r="AJ55" s="309"/>
      <c r="AK55" s="260"/>
      <c r="AL55" s="310"/>
      <c r="AM55" s="43"/>
      <c r="AN55" s="19"/>
      <c r="AO55" s="15"/>
      <c r="AP55" s="15"/>
      <c r="AQ55" s="15"/>
      <c r="AR55" s="15"/>
      <c r="AS55" s="15"/>
      <c r="AT55" s="15"/>
      <c r="AU55" s="13"/>
      <c r="AV55" s="15"/>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row>
    <row r="56" spans="1:87" s="18" customFormat="1" ht="15">
      <c r="A56" s="40">
        <f t="shared" si="0"/>
        <v>50</v>
      </c>
      <c r="B56" s="19"/>
      <c r="C56" s="41"/>
      <c r="D56" s="19"/>
      <c r="E56" s="19"/>
      <c r="F56" s="19"/>
      <c r="G56" s="19"/>
      <c r="H56" s="13"/>
      <c r="I56" s="13"/>
      <c r="J56" s="298" t="s">
        <v>3047</v>
      </c>
      <c r="K56" s="297" t="s">
        <v>163</v>
      </c>
      <c r="L56" s="231" t="s">
        <v>3048</v>
      </c>
      <c r="M56" s="608"/>
      <c r="N56" s="305" t="s">
        <v>1505</v>
      </c>
      <c r="O56" s="295"/>
      <c r="P56" s="292" t="s">
        <v>2901</v>
      </c>
      <c r="Q56" s="305" t="s">
        <v>6</v>
      </c>
      <c r="R56" s="305"/>
      <c r="S56" s="292"/>
      <c r="T56" s="292"/>
      <c r="U56" s="315" t="s">
        <v>3049</v>
      </c>
      <c r="V56" s="206"/>
      <c r="W56" s="399"/>
      <c r="X56" s="59"/>
      <c r="Y56" s="59"/>
      <c r="Z56" s="59"/>
      <c r="AA56" s="61"/>
      <c r="AB56" s="309"/>
      <c r="AC56" s="260"/>
      <c r="AD56" s="310"/>
      <c r="AE56" s="399"/>
      <c r="AF56" s="59"/>
      <c r="AG56" s="59"/>
      <c r="AH56" s="59"/>
      <c r="AI56" s="61"/>
      <c r="AJ56" s="309"/>
      <c r="AK56" s="260"/>
      <c r="AL56" s="310"/>
      <c r="AM56" s="43"/>
      <c r="AN56" s="19"/>
      <c r="AO56" s="15"/>
      <c r="AP56" s="15"/>
      <c r="AQ56" s="15"/>
      <c r="AR56" s="15"/>
      <c r="AS56" s="15"/>
      <c r="AT56" s="15"/>
      <c r="AU56" s="13"/>
      <c r="AV56" s="15"/>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row>
    <row r="57" spans="1:87" s="18" customFormat="1" ht="15">
      <c r="A57" s="40">
        <f t="shared" si="0"/>
        <v>51</v>
      </c>
      <c r="B57" s="19"/>
      <c r="C57" s="41"/>
      <c r="D57" s="19"/>
      <c r="E57" s="19"/>
      <c r="F57" s="19"/>
      <c r="G57" s="19"/>
      <c r="H57" s="13"/>
      <c r="I57" s="13"/>
      <c r="J57" s="298" t="s">
        <v>3050</v>
      </c>
      <c r="K57" s="297" t="s">
        <v>163</v>
      </c>
      <c r="L57" s="231" t="s">
        <v>3051</v>
      </c>
      <c r="M57" s="608"/>
      <c r="N57" s="305"/>
      <c r="O57" s="295"/>
      <c r="P57" s="292" t="s">
        <v>2109</v>
      </c>
      <c r="Q57" s="305" t="s">
        <v>6</v>
      </c>
      <c r="R57" s="305"/>
      <c r="S57" s="292"/>
      <c r="T57" s="292"/>
      <c r="U57" s="315"/>
      <c r="V57" s="206"/>
      <c r="W57" s="399"/>
      <c r="X57" s="59"/>
      <c r="Y57" s="59"/>
      <c r="Z57" s="59"/>
      <c r="AA57" s="61"/>
      <c r="AB57" s="309"/>
      <c r="AC57" s="260"/>
      <c r="AD57" s="310"/>
      <c r="AE57" s="399"/>
      <c r="AF57" s="59"/>
      <c r="AG57" s="59"/>
      <c r="AH57" s="59"/>
      <c r="AI57" s="61"/>
      <c r="AJ57" s="309"/>
      <c r="AK57" s="260"/>
      <c r="AL57" s="310"/>
      <c r="AM57" s="43"/>
      <c r="AN57" s="19"/>
      <c r="AO57" s="15"/>
      <c r="AP57" s="15"/>
      <c r="AQ57" s="15"/>
      <c r="AR57" s="15"/>
      <c r="AS57" s="15"/>
      <c r="AT57" s="15"/>
      <c r="AU57" s="13"/>
      <c r="AV57" s="15"/>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row>
    <row r="58" spans="1:87" s="18" customFormat="1" ht="15">
      <c r="A58" s="40">
        <f t="shared" si="0"/>
        <v>52</v>
      </c>
      <c r="B58" s="19"/>
      <c r="C58" s="41"/>
      <c r="D58" s="19"/>
      <c r="E58" s="19"/>
      <c r="F58" s="19"/>
      <c r="G58" s="19"/>
      <c r="H58" s="13"/>
      <c r="I58" s="13"/>
      <c r="J58" s="298" t="s">
        <v>3052</v>
      </c>
      <c r="K58" s="297" t="s">
        <v>163</v>
      </c>
      <c r="L58" s="231" t="s">
        <v>3053</v>
      </c>
      <c r="M58" s="608"/>
      <c r="N58" s="305"/>
      <c r="O58" s="295"/>
      <c r="P58" s="292" t="s">
        <v>2109</v>
      </c>
      <c r="Q58" s="305" t="s">
        <v>6</v>
      </c>
      <c r="R58" s="305"/>
      <c r="S58" s="292"/>
      <c r="T58" s="292"/>
      <c r="U58" s="315"/>
      <c r="V58" s="206"/>
      <c r="W58" s="399"/>
      <c r="X58" s="59"/>
      <c r="Y58" s="59"/>
      <c r="Z58" s="59"/>
      <c r="AA58" s="61"/>
      <c r="AB58" s="309"/>
      <c r="AC58" s="260"/>
      <c r="AD58" s="310"/>
      <c r="AE58" s="399"/>
      <c r="AF58" s="59"/>
      <c r="AG58" s="59"/>
      <c r="AH58" s="59"/>
      <c r="AI58" s="61"/>
      <c r="AJ58" s="309"/>
      <c r="AK58" s="260"/>
      <c r="AL58" s="310"/>
      <c r="AM58" s="43"/>
      <c r="AN58" s="19"/>
      <c r="AO58" s="15"/>
      <c r="AP58" s="15"/>
      <c r="AQ58" s="15"/>
      <c r="AR58" s="15"/>
      <c r="AS58" s="15"/>
      <c r="AT58" s="15"/>
      <c r="AU58" s="13"/>
      <c r="AV58" s="15"/>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row>
    <row r="59" spans="1:87" s="18" customFormat="1" ht="15">
      <c r="A59" s="40">
        <f t="shared" si="0"/>
        <v>53</v>
      </c>
      <c r="B59" s="19"/>
      <c r="C59" s="41"/>
      <c r="D59" s="19"/>
      <c r="E59" s="19"/>
      <c r="F59" s="19"/>
      <c r="G59" s="19"/>
      <c r="H59" s="13"/>
      <c r="I59" s="13"/>
      <c r="J59" s="298" t="s">
        <v>3054</v>
      </c>
      <c r="K59" s="297" t="s">
        <v>163</v>
      </c>
      <c r="L59" s="231" t="s">
        <v>3055</v>
      </c>
      <c r="M59" s="608"/>
      <c r="N59" s="305" t="s">
        <v>2095</v>
      </c>
      <c r="O59" s="295"/>
      <c r="P59" s="292" t="s">
        <v>846</v>
      </c>
      <c r="Q59" s="305" t="s">
        <v>6</v>
      </c>
      <c r="R59" s="305"/>
      <c r="S59" s="292"/>
      <c r="T59" s="292"/>
      <c r="U59" s="315"/>
      <c r="V59" s="206"/>
      <c r="W59" s="399"/>
      <c r="X59" s="59"/>
      <c r="Y59" s="59"/>
      <c r="Z59" s="59"/>
      <c r="AA59" s="61"/>
      <c r="AB59" s="309"/>
      <c r="AC59" s="260"/>
      <c r="AD59" s="310"/>
      <c r="AE59" s="399"/>
      <c r="AF59" s="59"/>
      <c r="AG59" s="59"/>
      <c r="AH59" s="59"/>
      <c r="AI59" s="61"/>
      <c r="AJ59" s="309"/>
      <c r="AK59" s="260"/>
      <c r="AL59" s="310"/>
      <c r="AM59" s="43"/>
      <c r="AN59" s="19"/>
      <c r="AO59" s="15"/>
      <c r="AP59" s="15"/>
      <c r="AQ59" s="15"/>
      <c r="AR59" s="15"/>
      <c r="AS59" s="15"/>
      <c r="AT59" s="15"/>
      <c r="AU59" s="13"/>
      <c r="AV59" s="15"/>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row>
    <row r="60" spans="1:87" s="18" customFormat="1" ht="15">
      <c r="A60" s="40">
        <f t="shared" si="0"/>
        <v>54</v>
      </c>
      <c r="B60" s="19"/>
      <c r="C60" s="41"/>
      <c r="D60" s="19"/>
      <c r="E60" s="19"/>
      <c r="F60" s="19"/>
      <c r="G60" s="19"/>
      <c r="H60" s="13"/>
      <c r="I60" s="13"/>
      <c r="J60" s="298" t="s">
        <v>3056</v>
      </c>
      <c r="K60" s="297" t="s">
        <v>163</v>
      </c>
      <c r="L60" s="231" t="s">
        <v>3057</v>
      </c>
      <c r="M60" s="608"/>
      <c r="N60" s="305" t="s">
        <v>2095</v>
      </c>
      <c r="O60" s="295"/>
      <c r="P60" s="292" t="s">
        <v>846</v>
      </c>
      <c r="Q60" s="305" t="s">
        <v>6</v>
      </c>
      <c r="R60" s="305"/>
      <c r="S60" s="292"/>
      <c r="T60" s="292"/>
      <c r="U60" s="315"/>
      <c r="V60" s="206"/>
      <c r="W60" s="399"/>
      <c r="X60" s="59"/>
      <c r="Y60" s="59"/>
      <c r="Z60" s="59"/>
      <c r="AA60" s="61"/>
      <c r="AB60" s="309"/>
      <c r="AC60" s="260"/>
      <c r="AD60" s="310"/>
      <c r="AE60" s="399"/>
      <c r="AF60" s="59"/>
      <c r="AG60" s="59"/>
      <c r="AH60" s="59"/>
      <c r="AI60" s="61"/>
      <c r="AJ60" s="309"/>
      <c r="AK60" s="260"/>
      <c r="AL60" s="310"/>
      <c r="AM60" s="43"/>
      <c r="AN60" s="19"/>
      <c r="AO60" s="15"/>
      <c r="AP60" s="15"/>
      <c r="AQ60" s="15"/>
      <c r="AR60" s="15"/>
      <c r="AS60" s="15"/>
      <c r="AT60" s="15"/>
      <c r="AU60" s="13"/>
      <c r="AV60" s="15"/>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row>
    <row r="61" spans="1:87" s="18" customFormat="1" ht="15">
      <c r="A61" s="40">
        <f t="shared" si="0"/>
        <v>55</v>
      </c>
      <c r="B61" s="19"/>
      <c r="C61" s="41"/>
      <c r="D61" s="19"/>
      <c r="E61" s="19"/>
      <c r="F61" s="19"/>
      <c r="G61" s="19"/>
      <c r="H61" s="13"/>
      <c r="I61" s="13"/>
      <c r="J61" s="298" t="s">
        <v>3058</v>
      </c>
      <c r="K61" s="297" t="s">
        <v>163</v>
      </c>
      <c r="L61" s="231" t="s">
        <v>3059</v>
      </c>
      <c r="M61" s="608"/>
      <c r="N61" s="305" t="s">
        <v>2095</v>
      </c>
      <c r="O61" s="295"/>
      <c r="P61" s="292" t="s">
        <v>846</v>
      </c>
      <c r="Q61" s="305" t="s">
        <v>6</v>
      </c>
      <c r="R61" s="305"/>
      <c r="S61" s="292"/>
      <c r="T61" s="292"/>
      <c r="U61" s="315"/>
      <c r="V61" s="206"/>
      <c r="W61" s="399"/>
      <c r="X61" s="59"/>
      <c r="Y61" s="59"/>
      <c r="Z61" s="59"/>
      <c r="AA61" s="61"/>
      <c r="AB61" s="309"/>
      <c r="AC61" s="260"/>
      <c r="AD61" s="310"/>
      <c r="AE61" s="399"/>
      <c r="AF61" s="59"/>
      <c r="AG61" s="59"/>
      <c r="AH61" s="59"/>
      <c r="AI61" s="61"/>
      <c r="AJ61" s="309"/>
      <c r="AK61" s="260"/>
      <c r="AL61" s="310"/>
      <c r="AM61" s="43"/>
      <c r="AN61" s="19"/>
      <c r="AO61" s="15"/>
      <c r="AP61" s="15"/>
      <c r="AQ61" s="15"/>
      <c r="AR61" s="15"/>
      <c r="AS61" s="15"/>
      <c r="AT61" s="15"/>
      <c r="AU61" s="13"/>
      <c r="AV61" s="15"/>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row>
    <row r="62" spans="1:87" s="18" customFormat="1" ht="15">
      <c r="A62" s="40">
        <f t="shared" si="0"/>
        <v>56</v>
      </c>
      <c r="B62" s="19"/>
      <c r="C62" s="41"/>
      <c r="D62" s="19"/>
      <c r="E62" s="19"/>
      <c r="F62" s="19"/>
      <c r="G62" s="19"/>
      <c r="H62" s="13"/>
      <c r="I62" s="13"/>
      <c r="J62" s="298" t="s">
        <v>3060</v>
      </c>
      <c r="K62" s="297" t="s">
        <v>163</v>
      </c>
      <c r="L62" s="231" t="s">
        <v>3061</v>
      </c>
      <c r="M62" s="608"/>
      <c r="N62" s="305" t="s">
        <v>2095</v>
      </c>
      <c r="O62" s="295"/>
      <c r="P62" s="292" t="s">
        <v>846</v>
      </c>
      <c r="Q62" s="305" t="s">
        <v>6</v>
      </c>
      <c r="R62" s="305"/>
      <c r="S62" s="292"/>
      <c r="T62" s="292"/>
      <c r="U62" s="315"/>
      <c r="V62" s="206"/>
      <c r="W62" s="399"/>
      <c r="X62" s="59"/>
      <c r="Y62" s="59"/>
      <c r="Z62" s="59"/>
      <c r="AA62" s="61"/>
      <c r="AB62" s="309"/>
      <c r="AC62" s="260"/>
      <c r="AD62" s="310"/>
      <c r="AE62" s="399"/>
      <c r="AF62" s="59"/>
      <c r="AG62" s="59"/>
      <c r="AH62" s="59"/>
      <c r="AI62" s="61"/>
      <c r="AJ62" s="309"/>
      <c r="AK62" s="260"/>
      <c r="AL62" s="310"/>
      <c r="AM62" s="43"/>
      <c r="AN62" s="19"/>
      <c r="AO62" s="15"/>
      <c r="AP62" s="15"/>
      <c r="AQ62" s="15"/>
      <c r="AR62" s="15"/>
      <c r="AS62" s="15"/>
      <c r="AT62" s="15"/>
      <c r="AU62" s="13"/>
      <c r="AV62" s="15"/>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row>
    <row r="63" spans="1:87" s="18" customFormat="1" ht="15">
      <c r="A63" s="40">
        <f t="shared" si="0"/>
        <v>57</v>
      </c>
      <c r="B63" s="19"/>
      <c r="C63" s="41"/>
      <c r="D63" s="19"/>
      <c r="E63" s="19"/>
      <c r="F63" s="19"/>
      <c r="G63" s="19"/>
      <c r="H63" s="13"/>
      <c r="I63" s="13"/>
      <c r="J63" s="298" t="s">
        <v>3062</v>
      </c>
      <c r="K63" s="297" t="s">
        <v>163</v>
      </c>
      <c r="L63" s="231" t="s">
        <v>3063</v>
      </c>
      <c r="M63" s="608"/>
      <c r="N63" s="305" t="s">
        <v>2095</v>
      </c>
      <c r="O63" s="295"/>
      <c r="P63" s="292" t="s">
        <v>846</v>
      </c>
      <c r="Q63" s="305" t="s">
        <v>6</v>
      </c>
      <c r="R63" s="305"/>
      <c r="S63" s="292"/>
      <c r="T63" s="292"/>
      <c r="U63" s="315"/>
      <c r="V63" s="206"/>
      <c r="W63" s="399"/>
      <c r="X63" s="59"/>
      <c r="Y63" s="59"/>
      <c r="Z63" s="59"/>
      <c r="AA63" s="61"/>
      <c r="AB63" s="309"/>
      <c r="AC63" s="260"/>
      <c r="AD63" s="310"/>
      <c r="AE63" s="399"/>
      <c r="AF63" s="59"/>
      <c r="AG63" s="59"/>
      <c r="AH63" s="59"/>
      <c r="AI63" s="61"/>
      <c r="AJ63" s="309"/>
      <c r="AK63" s="260"/>
      <c r="AL63" s="310"/>
      <c r="AM63" s="43"/>
      <c r="AN63" s="19"/>
      <c r="AO63" s="15"/>
      <c r="AP63" s="15"/>
      <c r="AQ63" s="15"/>
      <c r="AR63" s="15"/>
      <c r="AS63" s="15"/>
      <c r="AT63" s="15"/>
      <c r="AU63" s="13"/>
      <c r="AV63" s="15"/>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row>
    <row r="64" spans="1:87" s="18" customFormat="1" ht="15">
      <c r="A64" s="40">
        <f t="shared" si="0"/>
        <v>58</v>
      </c>
      <c r="B64" s="19"/>
      <c r="C64" s="41"/>
      <c r="D64" s="19"/>
      <c r="E64" s="19"/>
      <c r="F64" s="19"/>
      <c r="G64" s="19"/>
      <c r="H64" s="13"/>
      <c r="I64" s="13"/>
      <c r="J64" s="298" t="s">
        <v>3064</v>
      </c>
      <c r="K64" s="297" t="s">
        <v>163</v>
      </c>
      <c r="L64" s="231" t="s">
        <v>3065</v>
      </c>
      <c r="M64" s="608"/>
      <c r="N64" s="305"/>
      <c r="O64" s="295"/>
      <c r="P64" s="292" t="s">
        <v>2924</v>
      </c>
      <c r="Q64" s="305" t="s">
        <v>6</v>
      </c>
      <c r="R64" s="305"/>
      <c r="S64" s="292"/>
      <c r="T64" s="292"/>
      <c r="U64" s="315"/>
      <c r="V64" s="206"/>
      <c r="W64" s="399"/>
      <c r="X64" s="59"/>
      <c r="Y64" s="59"/>
      <c r="Z64" s="59"/>
      <c r="AA64" s="61"/>
      <c r="AB64" s="309"/>
      <c r="AC64" s="260"/>
      <c r="AD64" s="310"/>
      <c r="AE64" s="399"/>
      <c r="AF64" s="59"/>
      <c r="AG64" s="59"/>
      <c r="AH64" s="59"/>
      <c r="AI64" s="61"/>
      <c r="AJ64" s="309"/>
      <c r="AK64" s="260"/>
      <c r="AL64" s="310"/>
      <c r="AM64" s="43"/>
      <c r="AN64" s="19"/>
      <c r="AO64" s="15"/>
      <c r="AP64" s="15"/>
      <c r="AQ64" s="15"/>
      <c r="AR64" s="15"/>
      <c r="AS64" s="15"/>
      <c r="AT64" s="15"/>
      <c r="AU64" s="13"/>
      <c r="AV64" s="15"/>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row>
    <row r="65" spans="1:87" s="18" customFormat="1" ht="15">
      <c r="A65" s="40">
        <f t="shared" si="0"/>
        <v>59</v>
      </c>
      <c r="B65" s="19"/>
      <c r="C65" s="41"/>
      <c r="D65" s="19"/>
      <c r="E65" s="19"/>
      <c r="F65" s="19"/>
      <c r="G65" s="19"/>
      <c r="H65" s="13"/>
      <c r="I65" s="13"/>
      <c r="J65" s="298" t="s">
        <v>3066</v>
      </c>
      <c r="K65" s="297" t="s">
        <v>163</v>
      </c>
      <c r="L65" s="231" t="s">
        <v>3067</v>
      </c>
      <c r="M65" s="608"/>
      <c r="N65" s="305"/>
      <c r="O65" s="295"/>
      <c r="P65" s="292" t="s">
        <v>2924</v>
      </c>
      <c r="Q65" s="305" t="s">
        <v>6</v>
      </c>
      <c r="R65" s="305"/>
      <c r="S65" s="292"/>
      <c r="T65" s="292"/>
      <c r="U65" s="315" t="s">
        <v>3036</v>
      </c>
      <c r="V65" s="206"/>
      <c r="W65" s="399"/>
      <c r="X65" s="59"/>
      <c r="Y65" s="59"/>
      <c r="Z65" s="59"/>
      <c r="AA65" s="61"/>
      <c r="AB65" s="309"/>
      <c r="AC65" s="260"/>
      <c r="AD65" s="310"/>
      <c r="AE65" s="399"/>
      <c r="AF65" s="59"/>
      <c r="AG65" s="59"/>
      <c r="AH65" s="59"/>
      <c r="AI65" s="61"/>
      <c r="AJ65" s="309"/>
      <c r="AK65" s="260"/>
      <c r="AL65" s="310"/>
      <c r="AM65" s="43"/>
      <c r="AN65" s="19"/>
      <c r="AO65" s="15"/>
      <c r="AP65" s="15"/>
      <c r="AQ65" s="15"/>
      <c r="AR65" s="15"/>
      <c r="AS65" s="15"/>
      <c r="AT65" s="15"/>
      <c r="AU65" s="13"/>
      <c r="AV65" s="15"/>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row>
    <row r="66" spans="1:87" s="18" customFormat="1" ht="15">
      <c r="A66" s="40">
        <f t="shared" si="0"/>
        <v>60</v>
      </c>
      <c r="B66" s="19"/>
      <c r="C66" s="41"/>
      <c r="D66" s="19"/>
      <c r="E66" s="19"/>
      <c r="F66" s="19"/>
      <c r="G66" s="19"/>
      <c r="H66" s="13"/>
      <c r="I66" s="13"/>
      <c r="J66" s="298" t="s">
        <v>3068</v>
      </c>
      <c r="K66" s="297" t="s">
        <v>163</v>
      </c>
      <c r="L66" s="231" t="s">
        <v>3069</v>
      </c>
      <c r="M66" s="608"/>
      <c r="N66" s="305"/>
      <c r="O66" s="295"/>
      <c r="P66" s="292" t="s">
        <v>2924</v>
      </c>
      <c r="Q66" s="305" t="s">
        <v>6</v>
      </c>
      <c r="R66" s="305"/>
      <c r="S66" s="292"/>
      <c r="T66" s="292"/>
      <c r="U66" s="315"/>
      <c r="V66" s="206"/>
      <c r="W66" s="399"/>
      <c r="X66" s="59"/>
      <c r="Y66" s="59"/>
      <c r="Z66" s="59"/>
      <c r="AA66" s="61"/>
      <c r="AB66" s="309"/>
      <c r="AC66" s="260"/>
      <c r="AD66" s="310"/>
      <c r="AE66" s="399"/>
      <c r="AF66" s="59"/>
      <c r="AG66" s="59"/>
      <c r="AH66" s="59"/>
      <c r="AI66" s="61"/>
      <c r="AJ66" s="309"/>
      <c r="AK66" s="260"/>
      <c r="AL66" s="310"/>
      <c r="AM66" s="43"/>
      <c r="AN66" s="19"/>
      <c r="AO66" s="15"/>
      <c r="AP66" s="15"/>
      <c r="AQ66" s="15"/>
      <c r="AR66" s="15"/>
      <c r="AS66" s="15"/>
      <c r="AT66" s="15"/>
      <c r="AU66" s="13"/>
      <c r="AV66" s="15"/>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row>
    <row r="67" spans="1:87" s="18" customFormat="1" ht="15">
      <c r="A67" s="40">
        <f t="shared" si="0"/>
        <v>61</v>
      </c>
      <c r="B67" s="19"/>
      <c r="C67" s="41"/>
      <c r="D67" s="19"/>
      <c r="E67" s="19"/>
      <c r="F67" s="19"/>
      <c r="G67" s="19"/>
      <c r="H67" s="13"/>
      <c r="I67" s="13"/>
      <c r="J67" s="298" t="s">
        <v>3070</v>
      </c>
      <c r="K67" s="297" t="s">
        <v>163</v>
      </c>
      <c r="L67" s="231" t="s">
        <v>3071</v>
      </c>
      <c r="M67" s="608"/>
      <c r="N67" s="305"/>
      <c r="O67" s="295"/>
      <c r="P67" s="292" t="s">
        <v>2924</v>
      </c>
      <c r="Q67" s="305" t="s">
        <v>6</v>
      </c>
      <c r="R67" s="305"/>
      <c r="S67" s="292"/>
      <c r="T67" s="292"/>
      <c r="U67" s="315"/>
      <c r="V67" s="206"/>
      <c r="W67" s="399"/>
      <c r="X67" s="59"/>
      <c r="Y67" s="59"/>
      <c r="Z67" s="59"/>
      <c r="AA67" s="61"/>
      <c r="AB67" s="309"/>
      <c r="AC67" s="260"/>
      <c r="AD67" s="310"/>
      <c r="AE67" s="399"/>
      <c r="AF67" s="59"/>
      <c r="AG67" s="59"/>
      <c r="AH67" s="59"/>
      <c r="AI67" s="61"/>
      <c r="AJ67" s="309"/>
      <c r="AK67" s="260"/>
      <c r="AL67" s="310"/>
      <c r="AM67" s="43"/>
      <c r="AN67" s="19"/>
      <c r="AO67" s="15"/>
      <c r="AP67" s="15"/>
      <c r="AQ67" s="15"/>
      <c r="AR67" s="15"/>
      <c r="AS67" s="15"/>
      <c r="AT67" s="15"/>
      <c r="AU67" s="13"/>
      <c r="AV67" s="15"/>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row>
    <row r="68" spans="1:87" s="18" customFormat="1" ht="15">
      <c r="A68" s="40">
        <f t="shared" si="0"/>
        <v>62</v>
      </c>
      <c r="B68" s="19"/>
      <c r="C68" s="41"/>
      <c r="D68" s="19"/>
      <c r="E68" s="19"/>
      <c r="F68" s="19"/>
      <c r="G68" s="19"/>
      <c r="H68" s="13"/>
      <c r="I68" s="13"/>
      <c r="J68" s="298" t="s">
        <v>3072</v>
      </c>
      <c r="K68" s="297" t="s">
        <v>163</v>
      </c>
      <c r="L68" s="231" t="s">
        <v>3073</v>
      </c>
      <c r="M68" s="608"/>
      <c r="N68" s="305"/>
      <c r="O68" s="295"/>
      <c r="P68" s="292" t="s">
        <v>2924</v>
      </c>
      <c r="Q68" s="305" t="s">
        <v>6</v>
      </c>
      <c r="R68" s="305"/>
      <c r="S68" s="292"/>
      <c r="T68" s="292"/>
      <c r="U68" s="315" t="s">
        <v>3036</v>
      </c>
      <c r="V68" s="206"/>
      <c r="W68" s="399"/>
      <c r="X68" s="59"/>
      <c r="Y68" s="59"/>
      <c r="Z68" s="59"/>
      <c r="AA68" s="61"/>
      <c r="AB68" s="309"/>
      <c r="AC68" s="260"/>
      <c r="AD68" s="310"/>
      <c r="AE68" s="399"/>
      <c r="AF68" s="59"/>
      <c r="AG68" s="59"/>
      <c r="AH68" s="59"/>
      <c r="AI68" s="61"/>
      <c r="AJ68" s="309"/>
      <c r="AK68" s="260"/>
      <c r="AL68" s="310"/>
      <c r="AM68" s="43"/>
      <c r="AN68" s="19"/>
      <c r="AO68" s="15"/>
      <c r="AP68" s="15"/>
      <c r="AQ68" s="15"/>
      <c r="AR68" s="15"/>
      <c r="AS68" s="15"/>
      <c r="AT68" s="15"/>
      <c r="AU68" s="13"/>
      <c r="AV68" s="15"/>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row>
    <row r="69" spans="1:87" s="18" customFormat="1" ht="15">
      <c r="A69" s="40">
        <f t="shared" si="0"/>
        <v>63</v>
      </c>
      <c r="B69" s="19"/>
      <c r="C69" s="41"/>
      <c r="D69" s="19"/>
      <c r="E69" s="19"/>
      <c r="F69" s="19"/>
      <c r="G69" s="19"/>
      <c r="H69" s="13"/>
      <c r="I69" s="13"/>
      <c r="J69" s="298" t="s">
        <v>3074</v>
      </c>
      <c r="K69" s="297" t="s">
        <v>163</v>
      </c>
      <c r="L69" s="231" t="s">
        <v>3075</v>
      </c>
      <c r="M69" s="608"/>
      <c r="N69" s="305"/>
      <c r="O69" s="295"/>
      <c r="P69" s="292" t="s">
        <v>2924</v>
      </c>
      <c r="Q69" s="305" t="s">
        <v>6</v>
      </c>
      <c r="R69" s="305"/>
      <c r="S69" s="292"/>
      <c r="T69" s="292"/>
      <c r="U69" s="315"/>
      <c r="V69" s="206"/>
      <c r="W69" s="399"/>
      <c r="X69" s="59"/>
      <c r="Y69" s="59"/>
      <c r="Z69" s="59"/>
      <c r="AA69" s="61"/>
      <c r="AB69" s="309"/>
      <c r="AC69" s="260"/>
      <c r="AD69" s="310"/>
      <c r="AE69" s="399"/>
      <c r="AF69" s="59"/>
      <c r="AG69" s="59"/>
      <c r="AH69" s="59"/>
      <c r="AI69" s="61"/>
      <c r="AJ69" s="309"/>
      <c r="AK69" s="260"/>
      <c r="AL69" s="310"/>
      <c r="AM69" s="43"/>
      <c r="AN69" s="19"/>
      <c r="AO69" s="15"/>
      <c r="AP69" s="15"/>
      <c r="AQ69" s="15"/>
      <c r="AR69" s="15"/>
      <c r="AS69" s="15"/>
      <c r="AT69" s="15"/>
      <c r="AU69" s="13"/>
      <c r="AV69" s="15"/>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row>
    <row r="70" spans="1:87" s="18" customFormat="1" ht="15">
      <c r="A70" s="40">
        <f t="shared" si="0"/>
        <v>64</v>
      </c>
      <c r="B70" s="19"/>
      <c r="C70" s="41"/>
      <c r="D70" s="19"/>
      <c r="E70" s="19"/>
      <c r="F70" s="19"/>
      <c r="G70" s="19"/>
      <c r="H70" s="13"/>
      <c r="I70" s="13"/>
      <c r="J70" s="298" t="s">
        <v>3076</v>
      </c>
      <c r="K70" s="297" t="s">
        <v>163</v>
      </c>
      <c r="L70" s="231" t="s">
        <v>3077</v>
      </c>
      <c r="M70" s="608"/>
      <c r="N70" s="305"/>
      <c r="O70" s="295"/>
      <c r="P70" s="292" t="s">
        <v>2690</v>
      </c>
      <c r="Q70" s="305" t="s">
        <v>6</v>
      </c>
      <c r="R70" s="305"/>
      <c r="S70" s="292"/>
      <c r="T70" s="292"/>
      <c r="U70" s="315" t="s">
        <v>3036</v>
      </c>
      <c r="V70" s="206"/>
      <c r="W70" s="399"/>
      <c r="X70" s="59"/>
      <c r="Y70" s="59"/>
      <c r="Z70" s="59"/>
      <c r="AA70" s="61"/>
      <c r="AB70" s="309"/>
      <c r="AC70" s="260"/>
      <c r="AD70" s="310"/>
      <c r="AE70" s="399"/>
      <c r="AF70" s="59"/>
      <c r="AG70" s="59"/>
      <c r="AH70" s="59"/>
      <c r="AI70" s="61"/>
      <c r="AJ70" s="309"/>
      <c r="AK70" s="260"/>
      <c r="AL70" s="310"/>
      <c r="AM70" s="43"/>
      <c r="AN70" s="19"/>
      <c r="AO70" s="15"/>
      <c r="AP70" s="15"/>
      <c r="AQ70" s="15"/>
      <c r="AR70" s="15"/>
      <c r="AS70" s="15"/>
      <c r="AT70" s="15"/>
      <c r="AU70" s="13"/>
      <c r="AV70" s="15"/>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row>
    <row r="71" spans="1:87" s="18" customFormat="1" ht="15">
      <c r="A71" s="40">
        <f t="shared" si="0"/>
        <v>65</v>
      </c>
      <c r="B71" s="19"/>
      <c r="C71" s="41"/>
      <c r="D71" s="19"/>
      <c r="E71" s="19"/>
      <c r="F71" s="19"/>
      <c r="G71" s="19"/>
      <c r="H71" s="13"/>
      <c r="I71" s="13"/>
      <c r="J71" s="298" t="s">
        <v>3078</v>
      </c>
      <c r="K71" s="297" t="s">
        <v>163</v>
      </c>
      <c r="L71" s="231" t="s">
        <v>3079</v>
      </c>
      <c r="M71" s="608"/>
      <c r="N71" s="305"/>
      <c r="O71" s="295"/>
      <c r="P71" s="292" t="s">
        <v>2690</v>
      </c>
      <c r="Q71" s="305" t="s">
        <v>6</v>
      </c>
      <c r="R71" s="305"/>
      <c r="S71" s="292"/>
      <c r="T71" s="292"/>
      <c r="U71" s="315"/>
      <c r="V71" s="206"/>
      <c r="W71" s="399"/>
      <c r="X71" s="59"/>
      <c r="Y71" s="59"/>
      <c r="Z71" s="59"/>
      <c r="AA71" s="61"/>
      <c r="AB71" s="309"/>
      <c r="AC71" s="260"/>
      <c r="AD71" s="310"/>
      <c r="AE71" s="399"/>
      <c r="AF71" s="59"/>
      <c r="AG71" s="59"/>
      <c r="AH71" s="59"/>
      <c r="AI71" s="61"/>
      <c r="AJ71" s="309"/>
      <c r="AK71" s="260"/>
      <c r="AL71" s="310"/>
      <c r="AM71" s="43"/>
      <c r="AN71" s="19"/>
      <c r="AO71" s="15"/>
      <c r="AP71" s="15"/>
      <c r="AQ71" s="15"/>
      <c r="AR71" s="15"/>
      <c r="AS71" s="15"/>
      <c r="AT71" s="15"/>
      <c r="AU71" s="13"/>
      <c r="AV71" s="15"/>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row>
    <row r="72" spans="1:87" s="18" customFormat="1" ht="15">
      <c r="A72" s="40">
        <f t="shared" si="0"/>
        <v>66</v>
      </c>
      <c r="B72" s="19"/>
      <c r="C72" s="41"/>
      <c r="D72" s="19"/>
      <c r="E72" s="19"/>
      <c r="F72" s="19"/>
      <c r="G72" s="19"/>
      <c r="H72" s="13"/>
      <c r="I72" s="13"/>
      <c r="J72" s="298" t="s">
        <v>3080</v>
      </c>
      <c r="K72" s="297" t="s">
        <v>163</v>
      </c>
      <c r="L72" s="231" t="s">
        <v>3081</v>
      </c>
      <c r="M72" s="608"/>
      <c r="N72" s="305"/>
      <c r="O72" s="295"/>
      <c r="P72" s="292" t="s">
        <v>2690</v>
      </c>
      <c r="Q72" s="305" t="s">
        <v>6</v>
      </c>
      <c r="R72" s="305"/>
      <c r="S72" s="292"/>
      <c r="T72" s="292"/>
      <c r="U72" s="315"/>
      <c r="V72" s="206"/>
      <c r="W72" s="399"/>
      <c r="X72" s="59"/>
      <c r="Y72" s="59"/>
      <c r="Z72" s="59"/>
      <c r="AA72" s="61"/>
      <c r="AB72" s="309"/>
      <c r="AC72" s="260"/>
      <c r="AD72" s="310"/>
      <c r="AE72" s="399"/>
      <c r="AF72" s="59"/>
      <c r="AG72" s="59"/>
      <c r="AH72" s="59"/>
      <c r="AI72" s="61"/>
      <c r="AJ72" s="309"/>
      <c r="AK72" s="260"/>
      <c r="AL72" s="310"/>
      <c r="AM72" s="43"/>
      <c r="AN72" s="19"/>
      <c r="AO72" s="15"/>
      <c r="AP72" s="15"/>
      <c r="AQ72" s="15"/>
      <c r="AR72" s="15"/>
      <c r="AS72" s="15"/>
      <c r="AT72" s="15"/>
      <c r="AU72" s="13"/>
      <c r="AV72" s="15"/>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row>
    <row r="73" spans="1:87" s="18" customFormat="1" ht="15">
      <c r="A73" s="40">
        <f t="shared" si="0"/>
        <v>67</v>
      </c>
      <c r="B73" s="19"/>
      <c r="C73" s="41"/>
      <c r="D73" s="19"/>
      <c r="E73" s="19"/>
      <c r="F73" s="19"/>
      <c r="G73" s="19"/>
      <c r="H73" s="13"/>
      <c r="I73" s="13"/>
      <c r="J73" s="298" t="s">
        <v>3082</v>
      </c>
      <c r="K73" s="297" t="s">
        <v>163</v>
      </c>
      <c r="L73" s="231" t="s">
        <v>3083</v>
      </c>
      <c r="M73" s="608"/>
      <c r="N73" s="305"/>
      <c r="O73" s="295"/>
      <c r="P73" s="292" t="s">
        <v>2690</v>
      </c>
      <c r="Q73" s="305" t="s">
        <v>6</v>
      </c>
      <c r="R73" s="305"/>
      <c r="S73" s="292"/>
      <c r="T73" s="292"/>
      <c r="U73" s="315"/>
      <c r="V73" s="206"/>
      <c r="W73" s="399"/>
      <c r="X73" s="59"/>
      <c r="Y73" s="59"/>
      <c r="Z73" s="59"/>
      <c r="AA73" s="61"/>
      <c r="AB73" s="309"/>
      <c r="AC73" s="260"/>
      <c r="AD73" s="310"/>
      <c r="AE73" s="399"/>
      <c r="AF73" s="59"/>
      <c r="AG73" s="59"/>
      <c r="AH73" s="59"/>
      <c r="AI73" s="61"/>
      <c r="AJ73" s="309"/>
      <c r="AK73" s="260"/>
      <c r="AL73" s="310"/>
      <c r="AM73" s="43"/>
      <c r="AN73" s="19"/>
      <c r="AO73" s="15"/>
      <c r="AP73" s="15"/>
      <c r="AQ73" s="15"/>
      <c r="AR73" s="15"/>
      <c r="AS73" s="15"/>
      <c r="AT73" s="15"/>
      <c r="AU73" s="13"/>
      <c r="AV73" s="15"/>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row>
    <row r="74" spans="1:87" s="18" customFormat="1" ht="15">
      <c r="A74" s="40">
        <f t="shared" si="0"/>
        <v>68</v>
      </c>
      <c r="B74" s="19"/>
      <c r="C74" s="41"/>
      <c r="D74" s="19"/>
      <c r="E74" s="19"/>
      <c r="F74" s="19"/>
      <c r="G74" s="19"/>
      <c r="H74" s="13"/>
      <c r="I74" s="13"/>
      <c r="J74" s="298" t="s">
        <v>3084</v>
      </c>
      <c r="K74" s="297" t="s">
        <v>163</v>
      </c>
      <c r="L74" s="231" t="s">
        <v>3085</v>
      </c>
      <c r="M74" s="608"/>
      <c r="N74" s="305"/>
      <c r="O74" s="295"/>
      <c r="P74" s="292" t="s">
        <v>3086</v>
      </c>
      <c r="Q74" s="305" t="s">
        <v>6</v>
      </c>
      <c r="R74" s="305"/>
      <c r="S74" s="292"/>
      <c r="T74" s="292"/>
      <c r="U74" s="315"/>
      <c r="V74" s="206"/>
      <c r="W74" s="399"/>
      <c r="X74" s="59"/>
      <c r="Y74" s="59"/>
      <c r="Z74" s="59"/>
      <c r="AA74" s="61"/>
      <c r="AB74" s="309"/>
      <c r="AC74" s="260"/>
      <c r="AD74" s="310"/>
      <c r="AE74" s="399"/>
      <c r="AF74" s="59"/>
      <c r="AG74" s="59"/>
      <c r="AH74" s="59"/>
      <c r="AI74" s="61"/>
      <c r="AJ74" s="309"/>
      <c r="AK74" s="260"/>
      <c r="AL74" s="310"/>
      <c r="AM74" s="43"/>
      <c r="AN74" s="19"/>
      <c r="AO74" s="15"/>
      <c r="AP74" s="15"/>
      <c r="AQ74" s="15"/>
      <c r="AR74" s="15"/>
      <c r="AS74" s="15"/>
      <c r="AT74" s="15"/>
      <c r="AU74" s="13"/>
      <c r="AV74" s="15"/>
      <c r="AX74" s="12"/>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row>
    <row r="75" spans="1:87" s="18" customFormat="1" ht="15">
      <c r="A75" s="40">
        <f t="shared" si="0"/>
        <v>69</v>
      </c>
      <c r="B75" s="19"/>
      <c r="C75" s="41"/>
      <c r="D75" s="19"/>
      <c r="E75" s="19"/>
      <c r="F75" s="19"/>
      <c r="G75" s="19"/>
      <c r="H75" s="13"/>
      <c r="I75" s="13"/>
      <c r="J75" s="298" t="s">
        <v>3087</v>
      </c>
      <c r="K75" s="297" t="s">
        <v>163</v>
      </c>
      <c r="L75" s="231" t="s">
        <v>3088</v>
      </c>
      <c r="M75" s="608"/>
      <c r="N75" s="305"/>
      <c r="O75" s="295"/>
      <c r="P75" s="292" t="s">
        <v>3086</v>
      </c>
      <c r="Q75" s="305" t="s">
        <v>6</v>
      </c>
      <c r="R75" s="305"/>
      <c r="S75" s="292"/>
      <c r="T75" s="292"/>
      <c r="U75" s="315"/>
      <c r="V75" s="206"/>
      <c r="W75" s="399"/>
      <c r="X75" s="59"/>
      <c r="Y75" s="59"/>
      <c r="Z75" s="59"/>
      <c r="AA75" s="61"/>
      <c r="AB75" s="309"/>
      <c r="AC75" s="260"/>
      <c r="AD75" s="310"/>
      <c r="AE75" s="399"/>
      <c r="AF75" s="59"/>
      <c r="AG75" s="59"/>
      <c r="AH75" s="59"/>
      <c r="AI75" s="61"/>
      <c r="AJ75" s="309"/>
      <c r="AK75" s="260"/>
      <c r="AL75" s="310"/>
      <c r="AM75" s="43"/>
      <c r="AN75" s="19"/>
      <c r="AO75" s="15"/>
      <c r="AP75" s="15"/>
      <c r="AQ75" s="15"/>
      <c r="AR75" s="15"/>
      <c r="AS75" s="15"/>
      <c r="AT75" s="15"/>
      <c r="AU75" s="13"/>
      <c r="AV75" s="15"/>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row>
    <row r="76" spans="1:87" s="18" customFormat="1" ht="15">
      <c r="A76" s="40">
        <f t="shared" si="0"/>
        <v>70</v>
      </c>
      <c r="B76" s="19"/>
      <c r="C76" s="41"/>
      <c r="D76" s="19"/>
      <c r="E76" s="19"/>
      <c r="F76" s="19"/>
      <c r="G76" s="19"/>
      <c r="H76" s="13"/>
      <c r="I76" s="13"/>
      <c r="J76" s="298" t="s">
        <v>3089</v>
      </c>
      <c r="K76" s="297" t="s">
        <v>163</v>
      </c>
      <c r="L76" s="231" t="s">
        <v>3090</v>
      </c>
      <c r="M76" s="608"/>
      <c r="N76" s="305"/>
      <c r="O76" s="295"/>
      <c r="P76" s="292" t="s">
        <v>3086</v>
      </c>
      <c r="Q76" s="305" t="s">
        <v>6</v>
      </c>
      <c r="R76" s="305"/>
      <c r="S76" s="292"/>
      <c r="T76" s="292"/>
      <c r="U76" s="315"/>
      <c r="V76" s="206"/>
      <c r="W76" s="399"/>
      <c r="X76" s="59"/>
      <c r="Y76" s="59"/>
      <c r="Z76" s="59"/>
      <c r="AA76" s="61"/>
      <c r="AB76" s="309"/>
      <c r="AC76" s="260"/>
      <c r="AD76" s="310"/>
      <c r="AE76" s="399"/>
      <c r="AF76" s="59"/>
      <c r="AG76" s="59"/>
      <c r="AH76" s="59"/>
      <c r="AI76" s="61"/>
      <c r="AJ76" s="309"/>
      <c r="AK76" s="260"/>
      <c r="AL76" s="310"/>
      <c r="AM76" s="43"/>
      <c r="AN76" s="19"/>
      <c r="AO76" s="15"/>
      <c r="AP76" s="15"/>
      <c r="AQ76" s="15"/>
      <c r="AR76" s="15"/>
      <c r="AS76" s="15"/>
      <c r="AT76" s="15"/>
      <c r="AU76" s="13"/>
      <c r="AV76" s="15"/>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row>
    <row r="77" spans="1:87" s="18" customFormat="1" ht="15">
      <c r="A77" s="40">
        <f t="shared" si="0"/>
        <v>71</v>
      </c>
      <c r="B77" s="19"/>
      <c r="C77" s="41"/>
      <c r="D77" s="19"/>
      <c r="E77" s="19"/>
      <c r="F77" s="19"/>
      <c r="G77" s="19"/>
      <c r="H77" s="13"/>
      <c r="I77" s="13"/>
      <c r="J77" s="298" t="s">
        <v>3091</v>
      </c>
      <c r="K77" s="297" t="s">
        <v>163</v>
      </c>
      <c r="L77" s="231" t="s">
        <v>3092</v>
      </c>
      <c r="M77" s="608"/>
      <c r="N77" s="305"/>
      <c r="O77" s="295"/>
      <c r="P77" s="292" t="s">
        <v>3086</v>
      </c>
      <c r="Q77" s="305" t="s">
        <v>6</v>
      </c>
      <c r="R77" s="305"/>
      <c r="S77" s="292"/>
      <c r="T77" s="292"/>
      <c r="U77" s="315"/>
      <c r="V77" s="206"/>
      <c r="W77" s="399"/>
      <c r="X77" s="59"/>
      <c r="Y77" s="59"/>
      <c r="Z77" s="59"/>
      <c r="AA77" s="61"/>
      <c r="AB77" s="309"/>
      <c r="AC77" s="260"/>
      <c r="AD77" s="310"/>
      <c r="AE77" s="399"/>
      <c r="AF77" s="59"/>
      <c r="AG77" s="59"/>
      <c r="AH77" s="59"/>
      <c r="AI77" s="61"/>
      <c r="AJ77" s="309"/>
      <c r="AK77" s="260"/>
      <c r="AL77" s="310"/>
      <c r="AM77" s="43"/>
      <c r="AN77" s="19"/>
      <c r="AO77" s="15"/>
      <c r="AP77" s="15"/>
      <c r="AQ77" s="15"/>
      <c r="AR77" s="15"/>
      <c r="AS77" s="15"/>
      <c r="AT77" s="15"/>
      <c r="AU77" s="13"/>
      <c r="AV77" s="15"/>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row>
    <row r="78" spans="1:87" s="18" customFormat="1" ht="15">
      <c r="A78" s="40">
        <f t="shared" si="0"/>
        <v>72</v>
      </c>
      <c r="B78" s="19"/>
      <c r="C78" s="41"/>
      <c r="D78" s="19"/>
      <c r="E78" s="19"/>
      <c r="F78" s="19"/>
      <c r="G78" s="19"/>
      <c r="H78" s="13"/>
      <c r="I78" s="13"/>
      <c r="J78" s="298" t="s">
        <v>3093</v>
      </c>
      <c r="K78" s="297" t="s">
        <v>163</v>
      </c>
      <c r="L78" s="231" t="s">
        <v>3094</v>
      </c>
      <c r="M78" s="608"/>
      <c r="N78" s="305"/>
      <c r="O78" s="295"/>
      <c r="P78" s="292" t="s">
        <v>3043</v>
      </c>
      <c r="Q78" s="305" t="s">
        <v>6</v>
      </c>
      <c r="R78" s="305"/>
      <c r="S78" s="292"/>
      <c r="T78" s="292"/>
      <c r="U78" s="315" t="s">
        <v>3036</v>
      </c>
      <c r="V78" s="206"/>
      <c r="W78" s="399"/>
      <c r="X78" s="59"/>
      <c r="Y78" s="59"/>
      <c r="Z78" s="59"/>
      <c r="AA78" s="61"/>
      <c r="AB78" s="309"/>
      <c r="AC78" s="260"/>
      <c r="AD78" s="310"/>
      <c r="AE78" s="399"/>
      <c r="AF78" s="59"/>
      <c r="AG78" s="59"/>
      <c r="AH78" s="59"/>
      <c r="AI78" s="61"/>
      <c r="AJ78" s="309"/>
      <c r="AK78" s="260"/>
      <c r="AL78" s="310"/>
      <c r="AM78" s="43"/>
      <c r="AN78" s="19"/>
      <c r="AO78" s="15"/>
      <c r="AP78" s="15"/>
      <c r="AQ78" s="15"/>
      <c r="AR78" s="15"/>
      <c r="AS78" s="15"/>
      <c r="AT78" s="15"/>
      <c r="AU78" s="13"/>
      <c r="AV78" s="15"/>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row>
    <row r="79" spans="1:87" s="18" customFormat="1" ht="15">
      <c r="A79" s="40">
        <f t="shared" si="0"/>
        <v>73</v>
      </c>
      <c r="B79" s="19"/>
      <c r="C79" s="41"/>
      <c r="D79" s="19"/>
      <c r="E79" s="19"/>
      <c r="F79" s="19"/>
      <c r="G79" s="19"/>
      <c r="H79" s="13"/>
      <c r="I79" s="13"/>
      <c r="J79" s="298" t="s">
        <v>3095</v>
      </c>
      <c r="K79" s="297" t="s">
        <v>163</v>
      </c>
      <c r="L79" s="231" t="s">
        <v>3096</v>
      </c>
      <c r="M79" s="608"/>
      <c r="N79" s="305"/>
      <c r="O79" s="295"/>
      <c r="P79" s="292" t="s">
        <v>3043</v>
      </c>
      <c r="Q79" s="305" t="s">
        <v>6</v>
      </c>
      <c r="R79" s="305"/>
      <c r="S79" s="292"/>
      <c r="T79" s="292"/>
      <c r="U79" s="315"/>
      <c r="V79" s="206"/>
      <c r="W79" s="399"/>
      <c r="X79" s="59"/>
      <c r="Y79" s="59"/>
      <c r="Z79" s="59"/>
      <c r="AA79" s="61"/>
      <c r="AB79" s="309"/>
      <c r="AC79" s="260"/>
      <c r="AD79" s="310"/>
      <c r="AE79" s="399"/>
      <c r="AF79" s="59"/>
      <c r="AG79" s="59"/>
      <c r="AH79" s="59"/>
      <c r="AI79" s="61"/>
      <c r="AJ79" s="309"/>
      <c r="AK79" s="260"/>
      <c r="AL79" s="310"/>
      <c r="AM79" s="43"/>
      <c r="AN79" s="19"/>
      <c r="AO79" s="15"/>
      <c r="AP79" s="15"/>
      <c r="AQ79" s="15"/>
      <c r="AR79" s="15"/>
      <c r="AS79" s="15"/>
      <c r="AT79" s="15"/>
      <c r="AU79" s="13"/>
      <c r="AV79" s="15"/>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row>
    <row r="80" spans="1:87" s="18" customFormat="1" ht="15">
      <c r="A80" s="40">
        <f t="shared" si="0"/>
        <v>74</v>
      </c>
      <c r="B80" s="19"/>
      <c r="C80" s="41"/>
      <c r="D80" s="19"/>
      <c r="E80" s="19"/>
      <c r="F80" s="19"/>
      <c r="G80" s="19"/>
      <c r="H80" s="13"/>
      <c r="I80" s="13"/>
      <c r="J80" s="298" t="s">
        <v>3097</v>
      </c>
      <c r="K80" s="297" t="s">
        <v>163</v>
      </c>
      <c r="L80" s="231" t="s">
        <v>3098</v>
      </c>
      <c r="M80" s="608"/>
      <c r="N80" s="305"/>
      <c r="O80" s="295"/>
      <c r="P80" s="292" t="s">
        <v>3043</v>
      </c>
      <c r="Q80" s="305" t="s">
        <v>6</v>
      </c>
      <c r="R80" s="305"/>
      <c r="S80" s="292"/>
      <c r="T80" s="292"/>
      <c r="U80" s="315"/>
      <c r="V80" s="206"/>
      <c r="W80" s="399"/>
      <c r="X80" s="59"/>
      <c r="Y80" s="59"/>
      <c r="Z80" s="59"/>
      <c r="AA80" s="61"/>
      <c r="AB80" s="309"/>
      <c r="AC80" s="260"/>
      <c r="AD80" s="310"/>
      <c r="AE80" s="399"/>
      <c r="AF80" s="59"/>
      <c r="AG80" s="59"/>
      <c r="AH80" s="59"/>
      <c r="AI80" s="61"/>
      <c r="AJ80" s="309"/>
      <c r="AK80" s="260"/>
      <c r="AL80" s="310"/>
      <c r="AM80" s="43"/>
      <c r="AN80" s="19"/>
      <c r="AO80" s="15"/>
      <c r="AP80" s="15"/>
      <c r="AQ80" s="15"/>
      <c r="AR80" s="15"/>
      <c r="AS80" s="15"/>
      <c r="AT80" s="15"/>
      <c r="AU80" s="13"/>
      <c r="AV80" s="15"/>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row>
    <row r="81" spans="1:87" s="18" customFormat="1" ht="15">
      <c r="A81" s="40">
        <f t="shared" si="0"/>
        <v>75</v>
      </c>
      <c r="B81" s="19"/>
      <c r="C81" s="41"/>
      <c r="D81" s="19"/>
      <c r="E81" s="19"/>
      <c r="F81" s="19"/>
      <c r="G81" s="19"/>
      <c r="H81" s="13"/>
      <c r="I81" s="13"/>
      <c r="J81" s="298" t="s">
        <v>3099</v>
      </c>
      <c r="K81" s="297" t="s">
        <v>163</v>
      </c>
      <c r="L81" s="231" t="s">
        <v>3100</v>
      </c>
      <c r="M81" s="608"/>
      <c r="N81" s="305"/>
      <c r="O81" s="295"/>
      <c r="P81" s="292" t="s">
        <v>3043</v>
      </c>
      <c r="Q81" s="305" t="s">
        <v>6</v>
      </c>
      <c r="R81" s="305"/>
      <c r="S81" s="292"/>
      <c r="T81" s="292"/>
      <c r="U81" s="315"/>
      <c r="V81" s="206"/>
      <c r="W81" s="399"/>
      <c r="X81" s="59"/>
      <c r="Y81" s="59"/>
      <c r="Z81" s="59"/>
      <c r="AA81" s="61"/>
      <c r="AB81" s="309"/>
      <c r="AC81" s="260"/>
      <c r="AD81" s="310"/>
      <c r="AE81" s="399"/>
      <c r="AF81" s="59"/>
      <c r="AG81" s="59"/>
      <c r="AH81" s="59"/>
      <c r="AI81" s="61"/>
      <c r="AJ81" s="309"/>
      <c r="AK81" s="260"/>
      <c r="AL81" s="310"/>
      <c r="AM81" s="43"/>
      <c r="AN81" s="19"/>
      <c r="AO81" s="15"/>
      <c r="AP81" s="15"/>
      <c r="AQ81" s="15"/>
      <c r="AR81" s="15"/>
      <c r="AS81" s="15"/>
      <c r="AT81" s="15"/>
      <c r="AU81" s="13"/>
      <c r="AV81" s="15"/>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row>
    <row r="82" spans="1:87" s="18" customFormat="1" ht="15">
      <c r="A82" s="40">
        <f t="shared" si="0"/>
        <v>76</v>
      </c>
      <c r="B82" s="19"/>
      <c r="C82" s="41"/>
      <c r="D82" s="19"/>
      <c r="E82" s="19"/>
      <c r="F82" s="19"/>
      <c r="G82" s="19"/>
      <c r="H82" s="13"/>
      <c r="I82" s="13"/>
      <c r="J82" s="298" t="s">
        <v>3101</v>
      </c>
      <c r="K82" s="297" t="s">
        <v>163</v>
      </c>
      <c r="L82" s="231" t="s">
        <v>3102</v>
      </c>
      <c r="M82" s="608"/>
      <c r="N82" s="305" t="s">
        <v>3103</v>
      </c>
      <c r="O82" s="295"/>
      <c r="P82" s="292" t="s">
        <v>2882</v>
      </c>
      <c r="Q82" s="305" t="s">
        <v>6</v>
      </c>
      <c r="R82" s="305"/>
      <c r="S82" s="292"/>
      <c r="T82" s="292"/>
      <c r="U82" s="315"/>
      <c r="V82" s="206"/>
      <c r="W82" s="399"/>
      <c r="X82" s="59"/>
      <c r="Y82" s="59"/>
      <c r="Z82" s="59"/>
      <c r="AA82" s="61"/>
      <c r="AB82" s="309"/>
      <c r="AC82" s="260"/>
      <c r="AD82" s="310"/>
      <c r="AE82" s="399"/>
      <c r="AF82" s="59"/>
      <c r="AG82" s="59"/>
      <c r="AH82" s="59"/>
      <c r="AI82" s="61"/>
      <c r="AJ82" s="309"/>
      <c r="AK82" s="260"/>
      <c r="AL82" s="310"/>
      <c r="AM82" s="43"/>
      <c r="AN82" s="19"/>
      <c r="AO82" s="15"/>
      <c r="AP82" s="15"/>
      <c r="AQ82" s="15"/>
      <c r="AR82" s="15"/>
      <c r="AS82" s="15"/>
      <c r="AT82" s="15"/>
      <c r="AU82" s="13"/>
      <c r="AV82" s="15"/>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row>
    <row r="83" spans="1:87" s="18" customFormat="1" ht="15">
      <c r="A83" s="40">
        <f t="shared" si="0"/>
        <v>77</v>
      </c>
      <c r="B83" s="19"/>
      <c r="C83" s="41"/>
      <c r="D83" s="19"/>
      <c r="E83" s="19"/>
      <c r="F83" s="19"/>
      <c r="G83" s="19"/>
      <c r="H83" s="13"/>
      <c r="I83" s="13"/>
      <c r="J83" s="298" t="s">
        <v>3104</v>
      </c>
      <c r="K83" s="297" t="s">
        <v>163</v>
      </c>
      <c r="L83" s="231" t="s">
        <v>3105</v>
      </c>
      <c r="M83" s="608"/>
      <c r="N83" s="305" t="s">
        <v>3103</v>
      </c>
      <c r="O83" s="295"/>
      <c r="P83" s="292" t="s">
        <v>2882</v>
      </c>
      <c r="Q83" s="305" t="s">
        <v>6</v>
      </c>
      <c r="R83" s="305"/>
      <c r="S83" s="292"/>
      <c r="T83" s="292"/>
      <c r="U83" s="315"/>
      <c r="V83" s="206"/>
      <c r="W83" s="399"/>
      <c r="X83" s="59"/>
      <c r="Y83" s="59"/>
      <c r="Z83" s="59"/>
      <c r="AA83" s="61"/>
      <c r="AB83" s="309"/>
      <c r="AC83" s="260"/>
      <c r="AD83" s="310"/>
      <c r="AE83" s="399"/>
      <c r="AF83" s="59"/>
      <c r="AG83" s="59"/>
      <c r="AH83" s="59"/>
      <c r="AI83" s="61"/>
      <c r="AJ83" s="309"/>
      <c r="AK83" s="260"/>
      <c r="AL83" s="310"/>
      <c r="AM83" s="43"/>
      <c r="AN83" s="19"/>
      <c r="AO83" s="15"/>
      <c r="AP83" s="15"/>
      <c r="AQ83" s="15"/>
      <c r="AR83" s="15"/>
      <c r="AS83" s="15"/>
      <c r="AT83" s="15"/>
      <c r="AU83" s="13"/>
      <c r="AV83" s="15"/>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row>
    <row r="84" spans="1:87" s="18" customFormat="1" ht="15">
      <c r="A84" s="40">
        <f t="shared" si="0"/>
        <v>78</v>
      </c>
      <c r="B84" s="19"/>
      <c r="C84" s="41"/>
      <c r="D84" s="19"/>
      <c r="E84" s="19"/>
      <c r="F84" s="19"/>
      <c r="G84" s="19"/>
      <c r="H84" s="13"/>
      <c r="I84" s="13"/>
      <c r="J84" s="298" t="s">
        <v>3106</v>
      </c>
      <c r="K84" s="297" t="s">
        <v>163</v>
      </c>
      <c r="L84" s="231" t="s">
        <v>3107</v>
      </c>
      <c r="M84" s="608"/>
      <c r="N84" s="305" t="s">
        <v>3103</v>
      </c>
      <c r="O84" s="295"/>
      <c r="P84" s="292" t="s">
        <v>2882</v>
      </c>
      <c r="Q84" s="305" t="s">
        <v>6</v>
      </c>
      <c r="R84" s="305"/>
      <c r="S84" s="292"/>
      <c r="T84" s="292"/>
      <c r="U84" s="315"/>
      <c r="V84" s="206"/>
      <c r="W84" s="399"/>
      <c r="X84" s="59"/>
      <c r="Y84" s="59"/>
      <c r="Z84" s="59"/>
      <c r="AA84" s="61"/>
      <c r="AB84" s="309"/>
      <c r="AC84" s="260"/>
      <c r="AD84" s="310"/>
      <c r="AE84" s="399"/>
      <c r="AF84" s="59"/>
      <c r="AG84" s="59"/>
      <c r="AH84" s="59"/>
      <c r="AI84" s="61"/>
      <c r="AJ84" s="309"/>
      <c r="AK84" s="260"/>
      <c r="AL84" s="310"/>
      <c r="AM84" s="43"/>
      <c r="AN84" s="19"/>
      <c r="AO84" s="15"/>
      <c r="AP84" s="15"/>
      <c r="AQ84" s="15"/>
      <c r="AR84" s="15"/>
      <c r="AS84" s="15"/>
      <c r="AT84" s="15"/>
      <c r="AU84" s="13"/>
      <c r="AV84" s="15"/>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row>
    <row r="85" spans="1:87" s="18" customFormat="1" ht="15">
      <c r="A85" s="40">
        <f t="shared" si="0"/>
        <v>79</v>
      </c>
      <c r="B85" s="19"/>
      <c r="C85" s="41"/>
      <c r="D85" s="19"/>
      <c r="E85" s="19"/>
      <c r="F85" s="19"/>
      <c r="G85" s="19"/>
      <c r="H85" s="13"/>
      <c r="I85" s="13"/>
      <c r="J85" s="298" t="s">
        <v>3108</v>
      </c>
      <c r="K85" s="297" t="s">
        <v>163</v>
      </c>
      <c r="L85" s="231" t="s">
        <v>3109</v>
      </c>
      <c r="M85" s="608"/>
      <c r="N85" s="305" t="s">
        <v>3103</v>
      </c>
      <c r="O85" s="295"/>
      <c r="P85" s="292" t="s">
        <v>2882</v>
      </c>
      <c r="Q85" s="305" t="s">
        <v>6</v>
      </c>
      <c r="R85" s="305"/>
      <c r="S85" s="292"/>
      <c r="T85" s="292"/>
      <c r="U85" s="315"/>
      <c r="V85" s="206"/>
      <c r="W85" s="399"/>
      <c r="X85" s="59"/>
      <c r="Y85" s="59"/>
      <c r="Z85" s="59"/>
      <c r="AA85" s="61"/>
      <c r="AB85" s="309"/>
      <c r="AC85" s="260"/>
      <c r="AD85" s="310"/>
      <c r="AE85" s="399"/>
      <c r="AF85" s="59"/>
      <c r="AG85" s="59"/>
      <c r="AH85" s="59"/>
      <c r="AI85" s="61"/>
      <c r="AJ85" s="309"/>
      <c r="AK85" s="260"/>
      <c r="AL85" s="310"/>
      <c r="AM85" s="43"/>
      <c r="AN85" s="19"/>
      <c r="AO85" s="15"/>
      <c r="AP85" s="15"/>
      <c r="AQ85" s="15"/>
      <c r="AR85" s="15"/>
      <c r="AS85" s="15"/>
      <c r="AT85" s="15"/>
      <c r="AU85" s="13"/>
      <c r="AV85" s="15"/>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row>
    <row r="86" spans="1:87" s="18" customFormat="1" ht="15">
      <c r="A86" s="40">
        <f t="shared" si="0"/>
        <v>80</v>
      </c>
      <c r="B86" s="19"/>
      <c r="C86" s="41"/>
      <c r="D86" s="19"/>
      <c r="E86" s="19"/>
      <c r="F86" s="19"/>
      <c r="G86" s="19"/>
      <c r="H86" s="13"/>
      <c r="I86" s="13"/>
      <c r="J86" s="298" t="s">
        <v>3110</v>
      </c>
      <c r="K86" s="297" t="s">
        <v>163</v>
      </c>
      <c r="L86" s="231" t="s">
        <v>3111</v>
      </c>
      <c r="M86" s="608"/>
      <c r="N86" s="305" t="s">
        <v>3103</v>
      </c>
      <c r="O86" s="295"/>
      <c r="P86" s="292" t="s">
        <v>2882</v>
      </c>
      <c r="Q86" s="305" t="s">
        <v>6</v>
      </c>
      <c r="R86" s="305"/>
      <c r="S86" s="292"/>
      <c r="T86" s="292"/>
      <c r="U86" s="315"/>
      <c r="V86" s="206"/>
      <c r="W86" s="399"/>
      <c r="X86" s="59"/>
      <c r="Y86" s="59"/>
      <c r="Z86" s="59"/>
      <c r="AA86" s="61"/>
      <c r="AB86" s="309"/>
      <c r="AC86" s="260"/>
      <c r="AD86" s="310"/>
      <c r="AE86" s="399"/>
      <c r="AF86" s="59"/>
      <c r="AG86" s="59"/>
      <c r="AH86" s="59"/>
      <c r="AI86" s="61"/>
      <c r="AJ86" s="309"/>
      <c r="AK86" s="260"/>
      <c r="AL86" s="310"/>
      <c r="AM86" s="43"/>
      <c r="AN86" s="19"/>
      <c r="AO86" s="15"/>
      <c r="AP86" s="15"/>
      <c r="AQ86" s="15"/>
      <c r="AR86" s="15"/>
      <c r="AS86" s="15"/>
      <c r="AT86" s="15"/>
      <c r="AU86" s="13"/>
      <c r="AV86" s="15"/>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row>
    <row r="87" spans="1:87" s="18" customFormat="1" ht="15">
      <c r="A87" s="40">
        <f t="shared" si="0"/>
        <v>81</v>
      </c>
      <c r="B87" s="19"/>
      <c r="C87" s="41"/>
      <c r="D87" s="19"/>
      <c r="E87" s="19"/>
      <c r="F87" s="19"/>
      <c r="G87" s="19"/>
      <c r="H87" s="13"/>
      <c r="I87" s="13"/>
      <c r="J87" s="298" t="s">
        <v>3112</v>
      </c>
      <c r="K87" s="297" t="s">
        <v>163</v>
      </c>
      <c r="L87" s="231" t="s">
        <v>3113</v>
      </c>
      <c r="M87" s="608"/>
      <c r="N87" s="305" t="s">
        <v>3103</v>
      </c>
      <c r="O87" s="295"/>
      <c r="P87" s="292" t="s">
        <v>2882</v>
      </c>
      <c r="Q87" s="305" t="s">
        <v>6</v>
      </c>
      <c r="R87" s="305"/>
      <c r="S87" s="292"/>
      <c r="T87" s="292"/>
      <c r="U87" s="315"/>
      <c r="V87" s="206"/>
      <c r="W87" s="399"/>
      <c r="X87" s="59"/>
      <c r="Y87" s="59"/>
      <c r="Z87" s="59"/>
      <c r="AA87" s="61"/>
      <c r="AB87" s="309"/>
      <c r="AC87" s="260"/>
      <c r="AD87" s="310"/>
      <c r="AE87" s="399"/>
      <c r="AF87" s="59"/>
      <c r="AG87" s="59"/>
      <c r="AH87" s="59"/>
      <c r="AI87" s="61"/>
      <c r="AJ87" s="309"/>
      <c r="AK87" s="260"/>
      <c r="AL87" s="310"/>
      <c r="AM87" s="43"/>
      <c r="AN87" s="19"/>
      <c r="AO87" s="15"/>
      <c r="AP87" s="15"/>
      <c r="AQ87" s="15"/>
      <c r="AR87" s="15"/>
      <c r="AS87" s="15"/>
      <c r="AT87" s="15"/>
      <c r="AU87" s="13"/>
      <c r="AV87" s="15"/>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row>
    <row r="88" spans="1:87" s="18" customFormat="1" ht="15">
      <c r="A88" s="40">
        <f t="shared" si="0"/>
        <v>82</v>
      </c>
      <c r="B88" s="19"/>
      <c r="C88" s="41"/>
      <c r="D88" s="19"/>
      <c r="E88" s="19"/>
      <c r="F88" s="19"/>
      <c r="G88" s="19"/>
      <c r="H88" s="13"/>
      <c r="I88" s="13"/>
      <c r="J88" s="298" t="s">
        <v>3114</v>
      </c>
      <c r="K88" s="297" t="s">
        <v>163</v>
      </c>
      <c r="L88" s="231" t="s">
        <v>3115</v>
      </c>
      <c r="M88" s="608"/>
      <c r="N88" s="305"/>
      <c r="O88" s="295"/>
      <c r="P88" s="292" t="s">
        <v>2109</v>
      </c>
      <c r="Q88" s="305" t="s">
        <v>6</v>
      </c>
      <c r="R88" s="305"/>
      <c r="S88" s="292"/>
      <c r="T88" s="292"/>
      <c r="U88" s="315"/>
      <c r="V88" s="206"/>
      <c r="W88" s="399"/>
      <c r="X88" s="59"/>
      <c r="Y88" s="59"/>
      <c r="Z88" s="59"/>
      <c r="AA88" s="61"/>
      <c r="AB88" s="309"/>
      <c r="AC88" s="260"/>
      <c r="AD88" s="310"/>
      <c r="AE88" s="399"/>
      <c r="AF88" s="59"/>
      <c r="AG88" s="59"/>
      <c r="AH88" s="59"/>
      <c r="AI88" s="61"/>
      <c r="AJ88" s="309"/>
      <c r="AK88" s="260"/>
      <c r="AL88" s="310"/>
      <c r="AM88" s="43"/>
      <c r="AN88" s="19"/>
      <c r="AO88" s="15"/>
      <c r="AP88" s="15"/>
      <c r="AQ88" s="15"/>
      <c r="AR88" s="15"/>
      <c r="AS88" s="15"/>
      <c r="AT88" s="15"/>
      <c r="AU88" s="13"/>
      <c r="AV88" s="15"/>
      <c r="AX88" s="12"/>
      <c r="AY88" s="12"/>
      <c r="AZ88" s="12"/>
      <c r="BA88" s="12"/>
      <c r="BB88" s="12"/>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c r="CA88" s="12"/>
      <c r="CB88" s="12"/>
      <c r="CC88" s="12"/>
      <c r="CD88" s="12"/>
      <c r="CE88" s="12"/>
      <c r="CF88" s="12"/>
      <c r="CG88" s="12"/>
      <c r="CH88" s="12"/>
      <c r="CI88" s="12"/>
    </row>
    <row r="89" spans="1:87" s="18" customFormat="1" ht="15">
      <c r="A89" s="40">
        <f t="shared" si="0"/>
        <v>83</v>
      </c>
      <c r="B89" s="19"/>
      <c r="C89" s="41"/>
      <c r="D89" s="19"/>
      <c r="E89" s="19"/>
      <c r="F89" s="19"/>
      <c r="G89" s="19"/>
      <c r="H89" s="13"/>
      <c r="I89" s="13"/>
      <c r="J89" s="298" t="s">
        <v>3116</v>
      </c>
      <c r="K89" s="297" t="s">
        <v>163</v>
      </c>
      <c r="L89" s="231" t="s">
        <v>3117</v>
      </c>
      <c r="M89" s="608"/>
      <c r="N89" s="305"/>
      <c r="O89" s="295"/>
      <c r="P89" s="292" t="s">
        <v>2109</v>
      </c>
      <c r="Q89" s="305" t="s">
        <v>6</v>
      </c>
      <c r="R89" s="305"/>
      <c r="S89" s="292"/>
      <c r="T89" s="292"/>
      <c r="U89" s="315"/>
      <c r="V89" s="206"/>
      <c r="W89" s="399"/>
      <c r="X89" s="59"/>
      <c r="Y89" s="59"/>
      <c r="Z89" s="59"/>
      <c r="AA89" s="61"/>
      <c r="AB89" s="309"/>
      <c r="AC89" s="260"/>
      <c r="AD89" s="310"/>
      <c r="AE89" s="399"/>
      <c r="AF89" s="59"/>
      <c r="AG89" s="59"/>
      <c r="AH89" s="59"/>
      <c r="AI89" s="61"/>
      <c r="AJ89" s="309"/>
      <c r="AK89" s="260"/>
      <c r="AL89" s="310"/>
      <c r="AM89" s="43"/>
      <c r="AN89" s="19"/>
      <c r="AO89" s="15"/>
      <c r="AP89" s="15"/>
      <c r="AQ89" s="15"/>
      <c r="AR89" s="15"/>
      <c r="AS89" s="15"/>
      <c r="AT89" s="15"/>
      <c r="AU89" s="13"/>
      <c r="AV89" s="15"/>
      <c r="AX89" s="12"/>
      <c r="AY89" s="12"/>
      <c r="AZ89" s="12"/>
      <c r="BA89" s="12"/>
      <c r="BB89" s="12"/>
      <c r="BC89" s="12"/>
      <c r="BD89" s="12"/>
      <c r="BE89" s="12"/>
      <c r="BF89" s="12"/>
      <c r="BG89" s="12"/>
      <c r="BH89" s="12"/>
      <c r="BI89" s="12"/>
      <c r="BJ89" s="12"/>
      <c r="BK89" s="12"/>
      <c r="BL89" s="12"/>
      <c r="BM89" s="12"/>
      <c r="BN89" s="12"/>
      <c r="BO89" s="12"/>
      <c r="BP89" s="12"/>
      <c r="BQ89" s="12"/>
      <c r="BR89" s="12"/>
      <c r="BS89" s="12"/>
      <c r="BT89" s="12"/>
      <c r="BU89" s="12"/>
      <c r="BV89" s="12"/>
      <c r="BW89" s="12"/>
      <c r="BX89" s="12"/>
      <c r="BY89" s="12"/>
      <c r="BZ89" s="12"/>
      <c r="CA89" s="12"/>
      <c r="CB89" s="12"/>
      <c r="CC89" s="12"/>
      <c r="CD89" s="12"/>
      <c r="CE89" s="12"/>
      <c r="CF89" s="12"/>
      <c r="CG89" s="12"/>
      <c r="CH89" s="12"/>
      <c r="CI89" s="12"/>
    </row>
    <row r="90" spans="1:87" s="18" customFormat="1" ht="15">
      <c r="A90" s="40">
        <f t="shared" si="0"/>
        <v>84</v>
      </c>
      <c r="B90" s="19"/>
      <c r="C90" s="41"/>
      <c r="D90" s="19"/>
      <c r="E90" s="19"/>
      <c r="F90" s="19"/>
      <c r="G90" s="19"/>
      <c r="H90" s="13"/>
      <c r="I90" s="13"/>
      <c r="J90" s="298" t="s">
        <v>3118</v>
      </c>
      <c r="K90" s="297" t="s">
        <v>163</v>
      </c>
      <c r="L90" s="231" t="s">
        <v>3119</v>
      </c>
      <c r="M90" s="608"/>
      <c r="N90" s="305"/>
      <c r="O90" s="295"/>
      <c r="P90" s="292" t="s">
        <v>2109</v>
      </c>
      <c r="Q90" s="305" t="s">
        <v>6</v>
      </c>
      <c r="R90" s="305"/>
      <c r="S90" s="292"/>
      <c r="T90" s="292"/>
      <c r="U90" s="315"/>
      <c r="V90" s="206"/>
      <c r="W90" s="399"/>
      <c r="X90" s="59"/>
      <c r="Y90" s="59"/>
      <c r="Z90" s="59"/>
      <c r="AA90" s="61"/>
      <c r="AB90" s="309"/>
      <c r="AC90" s="260"/>
      <c r="AD90" s="310"/>
      <c r="AE90" s="399"/>
      <c r="AF90" s="59"/>
      <c r="AG90" s="59"/>
      <c r="AH90" s="59"/>
      <c r="AI90" s="61"/>
      <c r="AJ90" s="309"/>
      <c r="AK90" s="260"/>
      <c r="AL90" s="310"/>
      <c r="AM90" s="43"/>
      <c r="AN90" s="19"/>
      <c r="AO90" s="15"/>
      <c r="AP90" s="15"/>
      <c r="AQ90" s="15"/>
      <c r="AR90" s="15"/>
      <c r="AS90" s="15"/>
      <c r="AT90" s="15"/>
      <c r="AU90" s="13"/>
      <c r="AV90" s="15"/>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c r="CA90" s="12"/>
      <c r="CB90" s="12"/>
      <c r="CC90" s="12"/>
      <c r="CD90" s="12"/>
      <c r="CE90" s="12"/>
      <c r="CF90" s="12"/>
      <c r="CG90" s="12"/>
      <c r="CH90" s="12"/>
      <c r="CI90" s="12"/>
    </row>
    <row r="91" spans="1:87" s="18" customFormat="1" ht="15">
      <c r="A91" s="40">
        <f t="shared" si="0"/>
        <v>85</v>
      </c>
      <c r="B91" s="19"/>
      <c r="C91" s="41"/>
      <c r="D91" s="19"/>
      <c r="E91" s="19"/>
      <c r="F91" s="19"/>
      <c r="G91" s="19"/>
      <c r="H91" s="13"/>
      <c r="I91" s="13"/>
      <c r="J91" s="298" t="s">
        <v>3120</v>
      </c>
      <c r="K91" s="297" t="s">
        <v>163</v>
      </c>
      <c r="L91" s="231" t="s">
        <v>3121</v>
      </c>
      <c r="M91" s="608"/>
      <c r="N91" s="305"/>
      <c r="O91" s="295"/>
      <c r="P91" s="292" t="s">
        <v>2109</v>
      </c>
      <c r="Q91" s="305" t="s">
        <v>6</v>
      </c>
      <c r="R91" s="305"/>
      <c r="S91" s="292"/>
      <c r="T91" s="292"/>
      <c r="U91" s="315"/>
      <c r="V91" s="206"/>
      <c r="W91" s="399"/>
      <c r="X91" s="59"/>
      <c r="Y91" s="59"/>
      <c r="Z91" s="59"/>
      <c r="AA91" s="61"/>
      <c r="AB91" s="309"/>
      <c r="AC91" s="260"/>
      <c r="AD91" s="310"/>
      <c r="AE91" s="399"/>
      <c r="AF91" s="59"/>
      <c r="AG91" s="59"/>
      <c r="AH91" s="59"/>
      <c r="AI91" s="61"/>
      <c r="AJ91" s="309"/>
      <c r="AK91" s="260"/>
      <c r="AL91" s="310"/>
      <c r="AM91" s="43"/>
      <c r="AN91" s="19"/>
      <c r="AO91" s="15"/>
      <c r="AP91" s="15"/>
      <c r="AQ91" s="15"/>
      <c r="AR91" s="15"/>
      <c r="AS91" s="15"/>
      <c r="AT91" s="15"/>
      <c r="AU91" s="13"/>
      <c r="AV91" s="15"/>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row>
    <row r="92" spans="1:87" s="18" customFormat="1" ht="15">
      <c r="A92" s="40">
        <f t="shared" si="0"/>
        <v>86</v>
      </c>
      <c r="B92" s="19"/>
      <c r="C92" s="41"/>
      <c r="D92" s="19"/>
      <c r="E92" s="19"/>
      <c r="F92" s="19"/>
      <c r="G92" s="19"/>
      <c r="H92" s="13"/>
      <c r="I92" s="13"/>
      <c r="J92" s="298" t="s">
        <v>3122</v>
      </c>
      <c r="K92" s="297" t="s">
        <v>163</v>
      </c>
      <c r="L92" s="231" t="s">
        <v>3123</v>
      </c>
      <c r="M92" s="608"/>
      <c r="N92" s="305"/>
      <c r="O92" s="295"/>
      <c r="P92" s="292"/>
      <c r="Q92" s="305" t="s">
        <v>6</v>
      </c>
      <c r="R92" s="305"/>
      <c r="S92" s="292"/>
      <c r="T92" s="292"/>
      <c r="U92" s="315"/>
      <c r="V92" s="206"/>
      <c r="W92" s="399"/>
      <c r="X92" s="59"/>
      <c r="Y92" s="59"/>
      <c r="Z92" s="59"/>
      <c r="AA92" s="61"/>
      <c r="AB92" s="309"/>
      <c r="AC92" s="260"/>
      <c r="AD92" s="310"/>
      <c r="AE92" s="399"/>
      <c r="AF92" s="59"/>
      <c r="AG92" s="59"/>
      <c r="AH92" s="59"/>
      <c r="AI92" s="61"/>
      <c r="AJ92" s="309"/>
      <c r="AK92" s="260"/>
      <c r="AL92" s="310"/>
      <c r="AM92" s="43"/>
      <c r="AN92" s="19"/>
      <c r="AO92" s="15"/>
      <c r="AP92" s="15"/>
      <c r="AQ92" s="15"/>
      <c r="AR92" s="15"/>
      <c r="AS92" s="15"/>
      <c r="AT92" s="15"/>
      <c r="AU92" s="13"/>
      <c r="AV92" s="15"/>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row>
    <row r="93" spans="1:87" s="18" customFormat="1" ht="15">
      <c r="A93" s="40">
        <f t="shared" si="0"/>
        <v>87</v>
      </c>
      <c r="B93" s="19"/>
      <c r="C93" s="41"/>
      <c r="D93" s="19"/>
      <c r="E93" s="19"/>
      <c r="F93" s="19"/>
      <c r="G93" s="19"/>
      <c r="H93" s="13"/>
      <c r="I93" s="13"/>
      <c r="J93" s="298" t="s">
        <v>3124</v>
      </c>
      <c r="K93" s="297" t="s">
        <v>163</v>
      </c>
      <c r="L93" s="231" t="s">
        <v>3125</v>
      </c>
      <c r="M93" s="608"/>
      <c r="N93" s="305"/>
      <c r="O93" s="295"/>
      <c r="P93" s="292" t="s">
        <v>2690</v>
      </c>
      <c r="Q93" s="305" t="s">
        <v>6</v>
      </c>
      <c r="R93" s="305"/>
      <c r="S93" s="292"/>
      <c r="T93" s="292"/>
      <c r="U93" s="315"/>
      <c r="V93" s="206"/>
      <c r="W93" s="399"/>
      <c r="X93" s="59"/>
      <c r="Y93" s="59"/>
      <c r="Z93" s="59"/>
      <c r="AA93" s="61"/>
      <c r="AB93" s="309"/>
      <c r="AC93" s="260"/>
      <c r="AD93" s="310"/>
      <c r="AE93" s="399"/>
      <c r="AF93" s="59"/>
      <c r="AG93" s="59"/>
      <c r="AH93" s="59"/>
      <c r="AI93" s="61"/>
      <c r="AJ93" s="309"/>
      <c r="AK93" s="260"/>
      <c r="AL93" s="310"/>
      <c r="AM93" s="43"/>
      <c r="AN93" s="19"/>
      <c r="AO93" s="15"/>
      <c r="AP93" s="15"/>
      <c r="AQ93" s="15"/>
      <c r="AR93" s="15"/>
      <c r="AS93" s="15"/>
      <c r="AT93" s="15"/>
      <c r="AU93" s="13"/>
      <c r="AV93" s="15"/>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row>
    <row r="94" spans="1:87" s="18" customFormat="1" ht="15">
      <c r="A94" s="40">
        <f t="shared" si="0"/>
        <v>88</v>
      </c>
      <c r="B94" s="19"/>
      <c r="C94" s="41"/>
      <c r="D94" s="19"/>
      <c r="E94" s="19"/>
      <c r="F94" s="19"/>
      <c r="G94" s="19"/>
      <c r="H94" s="13"/>
      <c r="I94" s="13"/>
      <c r="J94" s="298" t="s">
        <v>3126</v>
      </c>
      <c r="K94" s="297" t="s">
        <v>163</v>
      </c>
      <c r="L94" s="231" t="s">
        <v>3127</v>
      </c>
      <c r="M94" s="608"/>
      <c r="N94" s="317"/>
      <c r="O94" s="295"/>
      <c r="P94" s="292" t="s">
        <v>2690</v>
      </c>
      <c r="Q94" s="305" t="s">
        <v>6</v>
      </c>
      <c r="R94" s="305"/>
      <c r="S94" s="292"/>
      <c r="T94" s="292"/>
      <c r="U94" s="315"/>
      <c r="V94" s="206"/>
      <c r="W94" s="399"/>
      <c r="X94" s="59"/>
      <c r="Y94" s="59"/>
      <c r="Z94" s="59"/>
      <c r="AA94" s="61"/>
      <c r="AB94" s="309"/>
      <c r="AC94" s="260"/>
      <c r="AD94" s="310"/>
      <c r="AE94" s="399"/>
      <c r="AF94" s="59"/>
      <c r="AG94" s="59"/>
      <c r="AH94" s="59"/>
      <c r="AI94" s="61"/>
      <c r="AJ94" s="309"/>
      <c r="AK94" s="260"/>
      <c r="AL94" s="310"/>
      <c r="AM94" s="43"/>
      <c r="AN94" s="19"/>
      <c r="AO94" s="15"/>
      <c r="AP94" s="15"/>
      <c r="AQ94" s="15"/>
      <c r="AR94" s="15"/>
      <c r="AS94" s="15"/>
      <c r="AT94" s="15"/>
      <c r="AU94" s="13"/>
      <c r="AV94" s="15"/>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row>
    <row r="95" spans="1:87" s="18" customFormat="1" ht="15">
      <c r="A95" s="40">
        <f t="shared" si="0"/>
        <v>89</v>
      </c>
      <c r="B95" s="19"/>
      <c r="C95" s="41"/>
      <c r="D95" s="19"/>
      <c r="E95" s="19"/>
      <c r="F95" s="19"/>
      <c r="G95" s="19"/>
      <c r="H95" s="13"/>
      <c r="I95" s="13"/>
      <c r="J95" s="298" t="s">
        <v>3128</v>
      </c>
      <c r="K95" s="297" t="s">
        <v>163</v>
      </c>
      <c r="L95" s="231" t="s">
        <v>3129</v>
      </c>
      <c r="M95" s="608"/>
      <c r="N95" s="305" t="s">
        <v>2877</v>
      </c>
      <c r="O95" s="295"/>
      <c r="P95" s="292" t="s">
        <v>2882</v>
      </c>
      <c r="Q95" s="305" t="s">
        <v>6</v>
      </c>
      <c r="R95" s="305"/>
      <c r="S95" s="292"/>
      <c r="T95" s="292"/>
      <c r="U95" s="315"/>
      <c r="V95" s="206"/>
      <c r="W95" s="399"/>
      <c r="X95" s="59"/>
      <c r="Y95" s="59"/>
      <c r="Z95" s="59"/>
      <c r="AA95" s="61"/>
      <c r="AB95" s="309"/>
      <c r="AC95" s="260"/>
      <c r="AD95" s="310"/>
      <c r="AE95" s="399"/>
      <c r="AF95" s="59"/>
      <c r="AG95" s="59"/>
      <c r="AH95" s="59"/>
      <c r="AI95" s="61"/>
      <c r="AJ95" s="309"/>
      <c r="AK95" s="260"/>
      <c r="AL95" s="310"/>
      <c r="AM95" s="43"/>
      <c r="AN95" s="19"/>
      <c r="AO95" s="15"/>
      <c r="AP95" s="15"/>
      <c r="AQ95" s="15"/>
      <c r="AR95" s="15"/>
      <c r="AS95" s="15"/>
      <c r="AT95" s="15"/>
      <c r="AU95" s="13"/>
      <c r="AV95" s="15"/>
      <c r="AX95" s="12"/>
      <c r="AY95" s="12"/>
      <c r="AZ95" s="12"/>
      <c r="BA95" s="12"/>
      <c r="BB95" s="12"/>
      <c r="BC95" s="12"/>
      <c r="BD95" s="12"/>
      <c r="BE95" s="12"/>
      <c r="BF95" s="12"/>
      <c r="BG95" s="12"/>
      <c r="BH95" s="12"/>
      <c r="BI95" s="12"/>
      <c r="BJ95" s="12"/>
      <c r="BK95" s="12"/>
      <c r="BL95" s="12"/>
      <c r="BM95" s="12"/>
      <c r="BN95" s="12"/>
      <c r="BO95" s="12"/>
      <c r="BP95" s="12"/>
      <c r="BQ95" s="12"/>
      <c r="BR95" s="12"/>
      <c r="BS95" s="12"/>
      <c r="BT95" s="12"/>
      <c r="BU95" s="12"/>
      <c r="BV95" s="12"/>
      <c r="BW95" s="12"/>
      <c r="BX95" s="12"/>
      <c r="BY95" s="12"/>
      <c r="BZ95" s="12"/>
      <c r="CA95" s="12"/>
      <c r="CB95" s="12"/>
      <c r="CC95" s="12"/>
      <c r="CD95" s="12"/>
      <c r="CE95" s="12"/>
      <c r="CF95" s="12"/>
      <c r="CG95" s="12"/>
      <c r="CH95" s="12"/>
      <c r="CI95" s="12"/>
    </row>
    <row r="96" spans="1:87" s="18" customFormat="1" ht="15">
      <c r="A96" s="40">
        <f t="shared" si="0"/>
        <v>90</v>
      </c>
      <c r="B96" s="19"/>
      <c r="C96" s="41"/>
      <c r="D96" s="19"/>
      <c r="E96" s="19"/>
      <c r="F96" s="19"/>
      <c r="G96" s="19"/>
      <c r="H96" s="13"/>
      <c r="I96" s="13"/>
      <c r="J96" s="298" t="s">
        <v>3130</v>
      </c>
      <c r="K96" s="297" t="s">
        <v>163</v>
      </c>
      <c r="L96" s="231" t="s">
        <v>3131</v>
      </c>
      <c r="M96" s="608"/>
      <c r="N96" s="305" t="s">
        <v>2877</v>
      </c>
      <c r="O96" s="295"/>
      <c r="P96" s="292" t="s">
        <v>2882</v>
      </c>
      <c r="Q96" s="305" t="s">
        <v>6</v>
      </c>
      <c r="R96" s="305"/>
      <c r="S96" s="292"/>
      <c r="T96" s="292"/>
      <c r="U96" s="315"/>
      <c r="V96" s="206"/>
      <c r="W96" s="399"/>
      <c r="X96" s="59"/>
      <c r="Y96" s="59"/>
      <c r="Z96" s="59"/>
      <c r="AA96" s="61"/>
      <c r="AB96" s="309"/>
      <c r="AC96" s="260"/>
      <c r="AD96" s="310"/>
      <c r="AE96" s="399"/>
      <c r="AF96" s="59"/>
      <c r="AG96" s="59"/>
      <c r="AH96" s="59"/>
      <c r="AI96" s="61"/>
      <c r="AJ96" s="309"/>
      <c r="AK96" s="260"/>
      <c r="AL96" s="310"/>
      <c r="AM96" s="43"/>
      <c r="AN96" s="19"/>
      <c r="AO96" s="15"/>
      <c r="AP96" s="15"/>
      <c r="AQ96" s="15"/>
      <c r="AR96" s="15"/>
      <c r="AS96" s="15"/>
      <c r="AT96" s="15"/>
      <c r="AU96" s="13"/>
      <c r="AV96" s="15"/>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row>
    <row r="97" spans="1:87" s="18" customFormat="1" ht="15">
      <c r="A97" s="40">
        <f t="shared" si="0"/>
        <v>91</v>
      </c>
      <c r="B97" s="19"/>
      <c r="C97" s="41"/>
      <c r="D97" s="19"/>
      <c r="E97" s="19"/>
      <c r="F97" s="19"/>
      <c r="G97" s="19"/>
      <c r="H97" s="13"/>
      <c r="I97" s="13"/>
      <c r="J97" s="298" t="s">
        <v>3132</v>
      </c>
      <c r="K97" s="297" t="s">
        <v>163</v>
      </c>
      <c r="L97" s="231" t="s">
        <v>3133</v>
      </c>
      <c r="M97" s="608"/>
      <c r="N97" s="317"/>
      <c r="O97" s="295"/>
      <c r="P97" s="292" t="s">
        <v>3134</v>
      </c>
      <c r="Q97" s="305" t="s">
        <v>6</v>
      </c>
      <c r="R97" s="305"/>
      <c r="S97" s="292"/>
      <c r="T97" s="292"/>
      <c r="U97" s="315"/>
      <c r="V97" s="206"/>
      <c r="W97" s="399"/>
      <c r="X97" s="59"/>
      <c r="Y97" s="59"/>
      <c r="Z97" s="59"/>
      <c r="AA97" s="61"/>
      <c r="AB97" s="309"/>
      <c r="AC97" s="260"/>
      <c r="AD97" s="310"/>
      <c r="AE97" s="399"/>
      <c r="AF97" s="59"/>
      <c r="AG97" s="59"/>
      <c r="AH97" s="59"/>
      <c r="AI97" s="61"/>
      <c r="AJ97" s="309"/>
      <c r="AK97" s="260"/>
      <c r="AL97" s="310"/>
      <c r="AM97" s="43"/>
      <c r="AN97" s="19"/>
      <c r="AO97" s="15"/>
      <c r="AP97" s="15"/>
      <c r="AQ97" s="15"/>
      <c r="AR97" s="15"/>
      <c r="AS97" s="15"/>
      <c r="AT97" s="15"/>
      <c r="AU97" s="13"/>
      <c r="AV97" s="15"/>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row>
    <row r="98" spans="1:87" ht="15">
      <c r="A98" s="451">
        <f t="shared" si="0"/>
        <v>92</v>
      </c>
      <c r="B98" s="62"/>
      <c r="C98" s="62"/>
      <c r="D98" s="62"/>
      <c r="E98" s="62"/>
      <c r="F98" s="62"/>
      <c r="G98" s="62"/>
      <c r="H98" s="62"/>
      <c r="I98" s="62"/>
      <c r="J98" s="483" t="s">
        <v>858</v>
      </c>
      <c r="K98" s="63"/>
      <c r="L98" s="63"/>
      <c r="M98" s="63"/>
      <c r="N98" s="139"/>
      <c r="O98" s="139"/>
      <c r="P98" s="139"/>
      <c r="Q98" s="139"/>
      <c r="R98" s="139"/>
      <c r="S98" s="139"/>
      <c r="T98" s="139"/>
      <c r="U98" s="311"/>
      <c r="V98" s="311"/>
      <c r="W98" s="63"/>
      <c r="X98" s="63"/>
      <c r="Y98" s="63"/>
      <c r="Z98" s="63"/>
      <c r="AA98" s="63"/>
      <c r="AB98" s="312"/>
      <c r="AC98" s="63"/>
      <c r="AD98" s="63"/>
      <c r="AE98" s="63"/>
      <c r="AF98" s="63"/>
      <c r="AG98" s="63"/>
      <c r="AH98" s="63"/>
      <c r="AI98" s="63"/>
      <c r="AJ98" s="312"/>
      <c r="AK98" s="63"/>
      <c r="AL98" s="63"/>
      <c r="AM98" s="63"/>
      <c r="AN98" s="63"/>
      <c r="AO98" s="63"/>
      <c r="AP98" s="63"/>
      <c r="AQ98" s="63"/>
      <c r="AR98" s="63"/>
      <c r="AS98" s="63"/>
      <c r="AT98" s="63"/>
      <c r="AU98" s="63"/>
      <c r="AV98" s="63"/>
      <c r="AW98" s="18">
        <f t="shared" si="1"/>
        <v>0</v>
      </c>
    </row>
    <row r="99" spans="1:87" s="20" customFormat="1" ht="15">
      <c r="A99" s="40">
        <f t="shared" si="0"/>
        <v>93</v>
      </c>
      <c r="B99" s="59"/>
      <c r="C99" s="59"/>
      <c r="D99" s="59"/>
      <c r="E99" s="59"/>
      <c r="F99" s="59"/>
      <c r="G99" s="59"/>
      <c r="H99" s="59"/>
      <c r="I99" s="59"/>
      <c r="J99" s="298" t="s">
        <v>2948</v>
      </c>
      <c r="K99" s="297"/>
      <c r="L99" s="231" t="s">
        <v>2949</v>
      </c>
      <c r="M99" s="231"/>
      <c r="N99" s="292" t="s">
        <v>407</v>
      </c>
      <c r="O99" s="292" t="s">
        <v>861</v>
      </c>
      <c r="P99" s="295"/>
      <c r="Q99" s="292"/>
      <c r="R99" s="292"/>
      <c r="S99" s="292"/>
      <c r="T99" s="292"/>
      <c r="U99" s="231" t="s">
        <v>3135</v>
      </c>
      <c r="V99" s="59"/>
      <c r="W99" s="215"/>
      <c r="X99" s="202"/>
      <c r="Y99" s="59"/>
      <c r="Z99" s="59"/>
      <c r="AA99" s="13"/>
      <c r="AB99" s="59"/>
      <c r="AC99" s="59"/>
      <c r="AD99" s="59"/>
      <c r="AE99" s="215"/>
      <c r="AF99" s="202"/>
      <c r="AG99" s="59"/>
      <c r="AH99" s="59"/>
      <c r="AI99" s="13"/>
      <c r="AJ99" s="59"/>
      <c r="AK99" s="59"/>
      <c r="AL99" s="59"/>
      <c r="AM99" s="59"/>
      <c r="AN99" s="59"/>
      <c r="AO99" s="59"/>
      <c r="AP99" s="59"/>
      <c r="AQ99" s="59"/>
      <c r="AR99" s="59"/>
      <c r="AS99" s="59"/>
      <c r="AT99" s="59"/>
      <c r="AU99" s="59"/>
      <c r="AV99" s="59"/>
      <c r="AW99" s="18">
        <f>LEN(L99)</f>
        <v>13</v>
      </c>
    </row>
    <row r="100" spans="1:87" ht="15">
      <c r="J100" s="398"/>
      <c r="K100" s="54"/>
      <c r="L100" s="398"/>
      <c r="M100" s="596"/>
      <c r="N100" s="68"/>
      <c r="O100" s="68"/>
      <c r="P100" s="68"/>
      <c r="Q100" s="68"/>
      <c r="R100" s="68"/>
      <c r="S100" s="68"/>
      <c r="T100" s="68"/>
      <c r="U100" s="54"/>
      <c r="V100" s="54"/>
      <c r="W100" s="54"/>
      <c r="X100" s="54"/>
      <c r="Y100" s="54"/>
      <c r="Z100" s="54"/>
      <c r="AA100" s="55"/>
      <c r="AB100" s="55"/>
      <c r="AC100" s="55"/>
      <c r="AD100" s="55"/>
      <c r="AE100" s="54"/>
      <c r="AF100" s="54"/>
      <c r="AG100" s="54"/>
      <c r="AH100" s="54"/>
      <c r="AI100" s="55"/>
      <c r="AJ100" s="54"/>
      <c r="AW100" s="18">
        <f t="shared" si="1"/>
        <v>0</v>
      </c>
    </row>
    <row r="101" spans="1:87" ht="15">
      <c r="J101" s="398"/>
      <c r="K101" s="54"/>
      <c r="L101" s="398"/>
      <c r="M101" s="596"/>
      <c r="N101" s="68"/>
      <c r="O101" s="68"/>
      <c r="P101" s="68"/>
      <c r="Q101" s="68"/>
      <c r="R101" s="68"/>
      <c r="S101" s="68"/>
      <c r="T101" s="68"/>
      <c r="U101" s="54"/>
      <c r="V101" s="54"/>
      <c r="W101" s="54"/>
      <c r="X101" s="54"/>
      <c r="Y101" s="54"/>
      <c r="Z101" s="54"/>
      <c r="AA101" s="55"/>
      <c r="AB101" s="55"/>
      <c r="AC101" s="55"/>
      <c r="AD101" s="55"/>
      <c r="AE101" s="54"/>
      <c r="AF101" s="54"/>
      <c r="AG101" s="54"/>
      <c r="AH101" s="54"/>
      <c r="AI101" s="55"/>
      <c r="AJ101" s="54"/>
      <c r="AW101" s="18">
        <f t="shared" si="1"/>
        <v>0</v>
      </c>
    </row>
    <row r="102" spans="1:87" ht="15">
      <c r="J102" s="398"/>
      <c r="K102" s="54"/>
      <c r="L102" s="398"/>
      <c r="M102" s="596"/>
      <c r="N102" s="68"/>
      <c r="O102" s="68"/>
      <c r="P102" s="68"/>
      <c r="Q102" s="68"/>
      <c r="R102" s="68"/>
      <c r="S102" s="68"/>
      <c r="T102" s="68"/>
      <c r="U102" s="54"/>
      <c r="V102" s="54"/>
      <c r="W102" s="54"/>
      <c r="X102" s="54"/>
      <c r="Y102" s="54"/>
      <c r="Z102" s="54"/>
      <c r="AA102" s="55"/>
      <c r="AB102" s="55"/>
      <c r="AC102" s="55"/>
      <c r="AD102" s="55"/>
      <c r="AE102" s="54"/>
      <c r="AF102" s="54"/>
      <c r="AG102" s="54"/>
      <c r="AH102" s="54"/>
      <c r="AI102" s="55"/>
      <c r="AJ102" s="54"/>
      <c r="AW102" s="18">
        <f t="shared" si="1"/>
        <v>0</v>
      </c>
    </row>
    <row r="103" spans="1:87" ht="15">
      <c r="J103" s="398"/>
      <c r="K103" s="54"/>
      <c r="L103" s="398"/>
      <c r="M103" s="596"/>
      <c r="N103" s="68"/>
      <c r="O103" s="68"/>
      <c r="P103" s="68"/>
      <c r="Q103" s="68"/>
      <c r="R103" s="68"/>
      <c r="S103" s="68"/>
      <c r="T103" s="68"/>
      <c r="U103" s="54"/>
      <c r="V103" s="54"/>
      <c r="W103" s="54"/>
      <c r="X103" s="54"/>
      <c r="Y103" s="54"/>
      <c r="Z103" s="54"/>
      <c r="AA103" s="55"/>
      <c r="AB103" s="55"/>
      <c r="AC103" s="55"/>
      <c r="AD103" s="55"/>
      <c r="AE103" s="54"/>
      <c r="AF103" s="54"/>
      <c r="AG103" s="54"/>
      <c r="AH103" s="54"/>
      <c r="AI103" s="55"/>
      <c r="AJ103" s="54"/>
      <c r="AW103" s="18">
        <f t="shared" si="1"/>
        <v>0</v>
      </c>
    </row>
    <row r="104" spans="1:87" ht="15">
      <c r="J104" s="398"/>
      <c r="K104" s="54"/>
      <c r="L104" s="398"/>
      <c r="M104" s="596"/>
      <c r="N104" s="68"/>
      <c r="O104" s="68"/>
      <c r="P104" s="68"/>
      <c r="Q104" s="68"/>
      <c r="R104" s="68"/>
      <c r="S104" s="68"/>
      <c r="T104" s="68"/>
      <c r="U104" s="54"/>
      <c r="V104" s="54"/>
      <c r="W104" s="54"/>
      <c r="X104" s="54"/>
      <c r="Y104" s="54"/>
      <c r="Z104" s="54"/>
      <c r="AA104" s="55"/>
      <c r="AB104" s="55"/>
      <c r="AC104" s="55"/>
      <c r="AD104" s="55"/>
      <c r="AE104" s="54"/>
      <c r="AF104" s="54"/>
      <c r="AG104" s="54"/>
      <c r="AH104" s="54"/>
      <c r="AI104" s="55"/>
      <c r="AJ104" s="54"/>
      <c r="AW104" s="18">
        <f t="shared" si="1"/>
        <v>0</v>
      </c>
    </row>
    <row r="105" spans="1:87" ht="15">
      <c r="J105" s="398"/>
      <c r="K105" s="54"/>
      <c r="L105" s="398"/>
      <c r="M105" s="596"/>
      <c r="N105" s="68"/>
      <c r="O105" s="68"/>
      <c r="P105" s="68"/>
      <c r="Q105" s="68"/>
      <c r="R105" s="68"/>
      <c r="S105" s="68"/>
      <c r="T105" s="68"/>
      <c r="U105" s="54"/>
      <c r="V105" s="54"/>
      <c r="W105" s="54"/>
      <c r="X105" s="54"/>
      <c r="Y105" s="54"/>
      <c r="Z105" s="54"/>
      <c r="AA105" s="55"/>
      <c r="AB105" s="55"/>
      <c r="AC105" s="55"/>
      <c r="AD105" s="55"/>
      <c r="AE105" s="54"/>
      <c r="AF105" s="54"/>
      <c r="AG105" s="54"/>
      <c r="AH105" s="54"/>
      <c r="AI105" s="55"/>
      <c r="AJ105" s="54"/>
      <c r="AW105" s="18">
        <f t="shared" si="1"/>
        <v>0</v>
      </c>
    </row>
    <row r="106" spans="1:87" ht="15">
      <c r="J106" s="398"/>
      <c r="K106" s="54"/>
      <c r="L106" s="398"/>
      <c r="M106" s="596"/>
      <c r="N106" s="68"/>
      <c r="O106" s="68"/>
      <c r="P106" s="68"/>
      <c r="Q106" s="68"/>
      <c r="R106" s="68"/>
      <c r="S106" s="68"/>
      <c r="T106" s="68"/>
      <c r="U106" s="54"/>
      <c r="V106" s="54"/>
      <c r="W106" s="54"/>
      <c r="X106" s="54"/>
      <c r="Y106" s="54"/>
      <c r="Z106" s="54"/>
      <c r="AA106" s="55"/>
      <c r="AB106" s="55"/>
      <c r="AC106" s="55"/>
      <c r="AD106" s="55"/>
      <c r="AE106" s="54"/>
      <c r="AF106" s="54"/>
      <c r="AG106" s="54"/>
      <c r="AH106" s="54"/>
      <c r="AI106" s="55"/>
      <c r="AJ106" s="54"/>
      <c r="AW106" s="18">
        <f t="shared" si="1"/>
        <v>0</v>
      </c>
    </row>
    <row r="107" spans="1:87" ht="15">
      <c r="J107" s="398"/>
      <c r="K107" s="54"/>
      <c r="L107" s="398"/>
      <c r="M107" s="596"/>
      <c r="N107" s="68"/>
      <c r="O107" s="68"/>
      <c r="P107" s="68"/>
      <c r="Q107" s="68"/>
      <c r="R107" s="68"/>
      <c r="S107" s="68"/>
      <c r="T107" s="68"/>
      <c r="U107" s="54"/>
      <c r="V107" s="54"/>
      <c r="W107" s="54"/>
      <c r="X107" s="54"/>
      <c r="Y107" s="54"/>
      <c r="Z107" s="54"/>
      <c r="AA107" s="55"/>
      <c r="AB107" s="55"/>
      <c r="AC107" s="55"/>
      <c r="AD107" s="55"/>
      <c r="AE107" s="54"/>
      <c r="AF107" s="54"/>
      <c r="AG107" s="54"/>
      <c r="AH107" s="54"/>
      <c r="AI107" s="55"/>
      <c r="AJ107" s="54"/>
      <c r="AW107" s="18">
        <f t="shared" si="1"/>
        <v>0</v>
      </c>
    </row>
    <row r="108" spans="1:87" ht="15">
      <c r="J108" s="398"/>
      <c r="K108" s="54"/>
      <c r="L108" s="398"/>
      <c r="M108" s="596"/>
      <c r="N108" s="68"/>
      <c r="O108" s="68"/>
      <c r="P108" s="68"/>
      <c r="Q108" s="68"/>
      <c r="R108" s="68"/>
      <c r="S108" s="68"/>
      <c r="T108" s="68"/>
      <c r="U108" s="54"/>
      <c r="V108" s="54"/>
      <c r="W108" s="54"/>
      <c r="X108" s="54"/>
      <c r="Y108" s="54"/>
      <c r="Z108" s="54"/>
      <c r="AA108" s="55"/>
      <c r="AB108" s="55"/>
      <c r="AC108" s="55"/>
      <c r="AD108" s="55"/>
      <c r="AE108" s="54"/>
      <c r="AF108" s="54"/>
      <c r="AG108" s="54"/>
      <c r="AH108" s="54"/>
      <c r="AI108" s="55"/>
      <c r="AJ108" s="54"/>
      <c r="AW108" s="18">
        <f t="shared" si="1"/>
        <v>0</v>
      </c>
    </row>
    <row r="109" spans="1:87" ht="15">
      <c r="J109" s="398"/>
      <c r="K109" s="54"/>
      <c r="L109" s="398"/>
      <c r="M109" s="596"/>
      <c r="N109" s="68"/>
      <c r="O109" s="68"/>
      <c r="P109" s="68"/>
      <c r="Q109" s="68"/>
      <c r="R109" s="68"/>
      <c r="S109" s="68"/>
      <c r="T109" s="68"/>
      <c r="U109" s="54"/>
      <c r="V109" s="54"/>
      <c r="W109" s="54"/>
      <c r="X109" s="54"/>
      <c r="Y109" s="54"/>
      <c r="Z109" s="54"/>
      <c r="AA109" s="55"/>
      <c r="AB109" s="55"/>
      <c r="AC109" s="55"/>
      <c r="AD109" s="55"/>
      <c r="AE109" s="54"/>
      <c r="AF109" s="54"/>
      <c r="AG109" s="54"/>
      <c r="AH109" s="54"/>
      <c r="AI109" s="55"/>
      <c r="AJ109" s="54"/>
      <c r="AW109" s="18">
        <f t="shared" si="1"/>
        <v>0</v>
      </c>
    </row>
    <row r="110" spans="1:87" ht="15">
      <c r="J110" s="398"/>
      <c r="K110" s="54"/>
      <c r="L110" s="398"/>
      <c r="M110" s="596"/>
      <c r="N110" s="68"/>
      <c r="O110" s="68"/>
      <c r="P110" s="68"/>
      <c r="Q110" s="68"/>
      <c r="R110" s="68"/>
      <c r="S110" s="68"/>
      <c r="T110" s="68"/>
      <c r="U110" s="54"/>
      <c r="V110" s="54"/>
      <c r="W110" s="54"/>
      <c r="X110" s="54"/>
      <c r="Y110" s="54"/>
      <c r="Z110" s="54"/>
      <c r="AA110" s="55"/>
      <c r="AB110" s="55"/>
      <c r="AC110" s="55"/>
      <c r="AD110" s="55"/>
      <c r="AE110" s="54"/>
      <c r="AF110" s="54"/>
      <c r="AG110" s="54"/>
      <c r="AH110" s="54"/>
      <c r="AI110" s="55"/>
      <c r="AJ110" s="54"/>
      <c r="AW110" s="18">
        <f t="shared" si="1"/>
        <v>0</v>
      </c>
    </row>
    <row r="111" spans="1:87" ht="15">
      <c r="J111" s="398"/>
      <c r="K111" s="54"/>
      <c r="L111" s="398"/>
      <c r="M111" s="596"/>
      <c r="N111" s="68"/>
      <c r="O111" s="68"/>
      <c r="P111" s="68"/>
      <c r="Q111" s="68"/>
      <c r="R111" s="68"/>
      <c r="S111" s="68"/>
      <c r="T111" s="68"/>
      <c r="U111" s="54"/>
      <c r="V111" s="54"/>
      <c r="W111" s="54"/>
      <c r="X111" s="54"/>
      <c r="Y111" s="54"/>
      <c r="Z111" s="54"/>
      <c r="AA111" s="55"/>
      <c r="AB111" s="55"/>
      <c r="AC111" s="55"/>
      <c r="AD111" s="55"/>
      <c r="AE111" s="54"/>
      <c r="AF111" s="54"/>
      <c r="AG111" s="54"/>
      <c r="AH111" s="54"/>
      <c r="AI111" s="55"/>
      <c r="AJ111" s="54"/>
      <c r="AW111" s="18">
        <f t="shared" si="1"/>
        <v>0</v>
      </c>
    </row>
    <row r="112" spans="1:87" ht="15">
      <c r="J112" s="398"/>
      <c r="K112" s="54"/>
      <c r="L112" s="398"/>
      <c r="M112" s="596"/>
      <c r="N112" s="68"/>
      <c r="O112" s="68"/>
      <c r="P112" s="68"/>
      <c r="Q112" s="68"/>
      <c r="R112" s="68"/>
      <c r="S112" s="68"/>
      <c r="T112" s="68"/>
      <c r="U112" s="54"/>
      <c r="V112" s="54"/>
      <c r="W112" s="54"/>
      <c r="X112" s="54"/>
      <c r="Y112" s="54"/>
      <c r="Z112" s="54"/>
      <c r="AA112" s="55"/>
      <c r="AB112" s="55"/>
      <c r="AC112" s="55"/>
      <c r="AD112" s="55"/>
      <c r="AE112" s="54"/>
      <c r="AF112" s="54"/>
      <c r="AG112" s="54"/>
      <c r="AH112" s="54"/>
      <c r="AI112" s="55"/>
      <c r="AJ112" s="54"/>
      <c r="AW112" s="18">
        <f t="shared" si="1"/>
        <v>0</v>
      </c>
    </row>
    <row r="113" spans="10:49" ht="15">
      <c r="J113" s="398"/>
      <c r="K113" s="54"/>
      <c r="L113" s="398"/>
      <c r="M113" s="596"/>
      <c r="N113" s="68"/>
      <c r="O113" s="68"/>
      <c r="P113" s="68"/>
      <c r="Q113" s="68"/>
      <c r="R113" s="68"/>
      <c r="S113" s="68"/>
      <c r="T113" s="68"/>
      <c r="U113" s="54"/>
      <c r="V113" s="54"/>
      <c r="W113" s="54"/>
      <c r="X113" s="54"/>
      <c r="Y113" s="54"/>
      <c r="Z113" s="54"/>
      <c r="AA113" s="55"/>
      <c r="AB113" s="55"/>
      <c r="AC113" s="55"/>
      <c r="AD113" s="55"/>
      <c r="AE113" s="54"/>
      <c r="AF113" s="54"/>
      <c r="AG113" s="54"/>
      <c r="AH113" s="54"/>
      <c r="AI113" s="55"/>
      <c r="AJ113" s="54"/>
      <c r="AW113" s="18">
        <f t="shared" si="1"/>
        <v>0</v>
      </c>
    </row>
    <row r="114" spans="10:49" ht="15">
      <c r="J114" s="398"/>
      <c r="K114" s="54"/>
      <c r="L114" s="398"/>
      <c r="M114" s="596"/>
      <c r="N114" s="68"/>
      <c r="O114" s="68"/>
      <c r="P114" s="68"/>
      <c r="Q114" s="68"/>
      <c r="R114" s="68"/>
      <c r="S114" s="68"/>
      <c r="T114" s="68"/>
      <c r="U114" s="54"/>
      <c r="V114" s="54"/>
      <c r="W114" s="54"/>
      <c r="X114" s="54"/>
      <c r="Y114" s="54"/>
      <c r="Z114" s="54"/>
      <c r="AA114" s="55"/>
      <c r="AB114" s="55"/>
      <c r="AC114" s="55"/>
      <c r="AD114" s="55"/>
      <c r="AE114" s="54"/>
      <c r="AF114" s="54"/>
      <c r="AG114" s="54"/>
      <c r="AH114" s="54"/>
      <c r="AI114" s="55"/>
      <c r="AJ114" s="54"/>
      <c r="AW114" s="18">
        <f t="shared" si="1"/>
        <v>0</v>
      </c>
    </row>
    <row r="115" spans="10:49" ht="15">
      <c r="J115" s="398"/>
      <c r="K115" s="54"/>
      <c r="L115" s="398"/>
      <c r="M115" s="596"/>
      <c r="N115" s="68"/>
      <c r="O115" s="68"/>
      <c r="P115" s="68"/>
      <c r="Q115" s="68"/>
      <c r="R115" s="68"/>
      <c r="S115" s="68"/>
      <c r="T115" s="68"/>
      <c r="U115" s="54"/>
      <c r="V115" s="54"/>
      <c r="W115" s="54"/>
      <c r="X115" s="54"/>
      <c r="Y115" s="54"/>
      <c r="Z115" s="54"/>
      <c r="AA115" s="55"/>
      <c r="AB115" s="55"/>
      <c r="AC115" s="55"/>
      <c r="AD115" s="55"/>
      <c r="AE115" s="54"/>
      <c r="AF115" s="54"/>
      <c r="AG115" s="54"/>
      <c r="AH115" s="54"/>
      <c r="AI115" s="55"/>
      <c r="AJ115" s="54"/>
      <c r="AW115" s="18">
        <f t="shared" si="1"/>
        <v>0</v>
      </c>
    </row>
    <row r="116" spans="10:49" ht="15">
      <c r="J116" s="314"/>
      <c r="K116" s="80"/>
      <c r="L116" s="314"/>
      <c r="M116" s="314"/>
      <c r="N116" s="140"/>
      <c r="O116" s="140"/>
      <c r="P116" s="140"/>
      <c r="Q116" s="140"/>
      <c r="R116" s="140"/>
      <c r="S116" s="140"/>
      <c r="T116" s="68"/>
      <c r="U116" s="54"/>
      <c r="V116" s="54"/>
      <c r="W116" s="54"/>
      <c r="X116" s="54"/>
      <c r="Y116" s="54"/>
      <c r="Z116" s="54"/>
      <c r="AA116" s="55"/>
      <c r="AB116" s="55"/>
      <c r="AC116" s="55"/>
      <c r="AD116" s="55"/>
      <c r="AE116" s="54"/>
      <c r="AF116" s="54"/>
      <c r="AG116" s="54"/>
      <c r="AH116" s="54"/>
      <c r="AI116" s="55"/>
      <c r="AJ116" s="54"/>
      <c r="AW116" s="18">
        <f t="shared" si="1"/>
        <v>0</v>
      </c>
    </row>
    <row r="117" spans="10:49" ht="15">
      <c r="J117" s="314"/>
      <c r="K117" s="80"/>
      <c r="L117" s="314"/>
      <c r="M117" s="314"/>
      <c r="N117" s="140"/>
      <c r="O117" s="140"/>
      <c r="P117" s="140"/>
      <c r="Q117" s="140"/>
      <c r="R117" s="140"/>
      <c r="S117" s="140"/>
      <c r="T117" s="68"/>
      <c r="U117" s="54"/>
      <c r="V117" s="54"/>
      <c r="W117" s="54"/>
      <c r="X117" s="54"/>
      <c r="Y117" s="54"/>
      <c r="Z117" s="54"/>
      <c r="AA117" s="55"/>
      <c r="AB117" s="55"/>
      <c r="AC117" s="55"/>
      <c r="AD117" s="55"/>
      <c r="AE117" s="54"/>
      <c r="AF117" s="54"/>
      <c r="AG117" s="54"/>
      <c r="AH117" s="54"/>
      <c r="AI117" s="55"/>
      <c r="AJ117" s="54"/>
      <c r="AW117" s="18">
        <f t="shared" si="1"/>
        <v>0</v>
      </c>
    </row>
    <row r="118" spans="10:49" ht="15">
      <c r="J118" s="314"/>
      <c r="K118" s="80"/>
      <c r="L118" s="314"/>
      <c r="M118" s="314"/>
      <c r="N118" s="140"/>
      <c r="O118" s="140"/>
      <c r="P118" s="140"/>
      <c r="Q118" s="140"/>
      <c r="R118" s="140"/>
      <c r="S118" s="140"/>
      <c r="T118" s="68"/>
      <c r="U118" s="54"/>
      <c r="V118" s="54"/>
      <c r="W118" s="54"/>
      <c r="X118" s="54"/>
      <c r="Y118" s="54"/>
      <c r="Z118" s="54"/>
      <c r="AA118" s="55"/>
      <c r="AB118" s="55"/>
      <c r="AC118" s="55"/>
      <c r="AD118" s="55"/>
      <c r="AE118" s="54"/>
      <c r="AF118" s="54"/>
      <c r="AG118" s="54"/>
      <c r="AH118" s="54"/>
      <c r="AI118" s="55"/>
      <c r="AJ118" s="54"/>
      <c r="AW118" s="18">
        <f t="shared" si="1"/>
        <v>0</v>
      </c>
    </row>
    <row r="119" spans="10:49" ht="15">
      <c r="J119" s="314"/>
      <c r="K119" s="80"/>
      <c r="L119" s="222"/>
      <c r="M119" s="222"/>
      <c r="N119" s="140"/>
      <c r="O119" s="140"/>
      <c r="P119" s="140"/>
      <c r="Q119" s="140"/>
      <c r="R119" s="140"/>
      <c r="S119" s="140"/>
      <c r="T119" s="68"/>
      <c r="U119" s="54"/>
      <c r="V119" s="54"/>
      <c r="W119" s="54"/>
      <c r="X119" s="54"/>
      <c r="Y119" s="54"/>
      <c r="Z119" s="54"/>
      <c r="AA119" s="55"/>
      <c r="AB119" s="55"/>
      <c r="AC119" s="55"/>
      <c r="AD119" s="55"/>
      <c r="AE119" s="54"/>
      <c r="AF119" s="54"/>
      <c r="AG119" s="54"/>
      <c r="AH119" s="54"/>
      <c r="AI119" s="55"/>
      <c r="AJ119" s="54"/>
      <c r="AW119" s="18">
        <f t="shared" si="1"/>
        <v>0</v>
      </c>
    </row>
    <row r="120" spans="10:49" ht="15">
      <c r="J120" s="314"/>
      <c r="K120" s="80"/>
      <c r="L120" s="222"/>
      <c r="M120" s="222"/>
      <c r="N120" s="140"/>
      <c r="O120" s="140"/>
      <c r="P120" s="140"/>
      <c r="Q120" s="140"/>
      <c r="R120" s="140"/>
      <c r="S120" s="140"/>
      <c r="T120" s="68"/>
      <c r="U120" s="54"/>
      <c r="V120" s="54"/>
      <c r="W120" s="54"/>
      <c r="X120" s="54"/>
      <c r="Y120" s="54"/>
      <c r="Z120" s="54"/>
      <c r="AA120" s="55"/>
      <c r="AB120" s="55"/>
      <c r="AC120" s="55"/>
      <c r="AD120" s="55"/>
      <c r="AE120" s="54"/>
      <c r="AF120" s="54"/>
      <c r="AG120" s="54"/>
      <c r="AH120" s="54"/>
      <c r="AI120" s="55"/>
      <c r="AJ120" s="54"/>
      <c r="AW120" s="18">
        <f t="shared" si="1"/>
        <v>0</v>
      </c>
    </row>
    <row r="121" spans="10:49" ht="15">
      <c r="J121" s="314"/>
      <c r="K121" s="80"/>
      <c r="L121" s="314"/>
      <c r="M121" s="314"/>
      <c r="N121" s="140"/>
      <c r="O121" s="140"/>
      <c r="P121" s="140"/>
      <c r="Q121" s="140"/>
      <c r="R121" s="140"/>
      <c r="S121" s="140"/>
      <c r="T121" s="68"/>
      <c r="U121" s="54"/>
      <c r="V121" s="54"/>
      <c r="W121" s="54"/>
      <c r="X121" s="54"/>
      <c r="Y121" s="54"/>
      <c r="Z121" s="54"/>
      <c r="AA121" s="55"/>
      <c r="AB121" s="55"/>
      <c r="AC121" s="55"/>
      <c r="AD121" s="55"/>
      <c r="AE121" s="54"/>
      <c r="AF121" s="54"/>
      <c r="AG121" s="54"/>
      <c r="AH121" s="54"/>
      <c r="AI121" s="55"/>
      <c r="AJ121" s="54"/>
      <c r="AW121" s="18">
        <f t="shared" si="1"/>
        <v>0</v>
      </c>
    </row>
    <row r="122" spans="10:49" ht="15">
      <c r="J122" s="314"/>
      <c r="K122" s="80"/>
      <c r="L122" s="314"/>
      <c r="M122" s="314"/>
      <c r="N122" s="140"/>
      <c r="O122" s="140"/>
      <c r="P122" s="140"/>
      <c r="Q122" s="140"/>
      <c r="R122" s="140"/>
      <c r="S122" s="140"/>
      <c r="T122" s="68"/>
      <c r="U122" s="54"/>
      <c r="V122" s="54"/>
      <c r="W122" s="54"/>
      <c r="X122" s="54"/>
      <c r="Y122" s="54"/>
      <c r="Z122" s="54"/>
      <c r="AA122" s="55"/>
      <c r="AB122" s="55"/>
      <c r="AC122" s="55"/>
      <c r="AD122" s="55"/>
      <c r="AE122" s="54"/>
      <c r="AF122" s="54"/>
      <c r="AG122" s="54"/>
      <c r="AH122" s="54"/>
      <c r="AI122" s="55"/>
      <c r="AJ122" s="54"/>
      <c r="AW122" s="18">
        <f t="shared" si="1"/>
        <v>0</v>
      </c>
    </row>
    <row r="123" spans="10:49" ht="15">
      <c r="J123" s="314"/>
      <c r="K123" s="80"/>
      <c r="L123" s="314"/>
      <c r="M123" s="314"/>
      <c r="N123" s="140"/>
      <c r="O123" s="140"/>
      <c r="P123" s="140"/>
      <c r="Q123" s="140"/>
      <c r="R123" s="140"/>
      <c r="S123" s="140"/>
      <c r="T123" s="68"/>
      <c r="U123" s="54"/>
      <c r="V123" s="54"/>
      <c r="W123" s="54"/>
      <c r="X123" s="54"/>
      <c r="Y123" s="54"/>
      <c r="Z123" s="54"/>
      <c r="AA123" s="55"/>
      <c r="AB123" s="55"/>
      <c r="AC123" s="55"/>
      <c r="AD123" s="55"/>
      <c r="AE123" s="54"/>
      <c r="AF123" s="54"/>
      <c r="AG123" s="54"/>
      <c r="AH123" s="54"/>
      <c r="AI123" s="55"/>
      <c r="AJ123" s="54"/>
      <c r="AW123" s="18">
        <f t="shared" si="1"/>
        <v>0</v>
      </c>
    </row>
    <row r="124" spans="10:49" ht="15">
      <c r="J124" s="314"/>
      <c r="K124" s="80"/>
      <c r="L124" s="314"/>
      <c r="M124" s="314"/>
      <c r="N124" s="140"/>
      <c r="O124" s="140"/>
      <c r="P124" s="140"/>
      <c r="Q124" s="140"/>
      <c r="R124" s="140"/>
      <c r="S124" s="140"/>
      <c r="T124" s="68"/>
      <c r="U124" s="54"/>
      <c r="V124" s="54"/>
      <c r="W124" s="54"/>
      <c r="X124" s="54"/>
      <c r="Y124" s="54"/>
      <c r="Z124" s="54"/>
      <c r="AA124" s="55"/>
      <c r="AB124" s="55"/>
      <c r="AC124" s="55"/>
      <c r="AD124" s="55"/>
      <c r="AE124" s="54"/>
      <c r="AF124" s="54"/>
      <c r="AG124" s="54"/>
      <c r="AH124" s="54"/>
      <c r="AI124" s="55"/>
      <c r="AJ124" s="54"/>
      <c r="AW124" s="18">
        <f t="shared" si="1"/>
        <v>0</v>
      </c>
    </row>
    <row r="125" spans="10:49" ht="15">
      <c r="J125" s="314"/>
      <c r="K125" s="80"/>
      <c r="L125" s="314"/>
      <c r="M125" s="314"/>
      <c r="N125" s="140"/>
      <c r="O125" s="140"/>
      <c r="P125" s="140"/>
      <c r="Q125" s="140"/>
      <c r="R125" s="140"/>
      <c r="S125" s="140"/>
      <c r="T125" s="68"/>
      <c r="U125" s="54"/>
      <c r="V125" s="54"/>
      <c r="W125" s="54"/>
      <c r="X125" s="54"/>
      <c r="Y125" s="54"/>
      <c r="Z125" s="54"/>
      <c r="AA125" s="55"/>
      <c r="AB125" s="55"/>
      <c r="AC125" s="55"/>
      <c r="AD125" s="55"/>
      <c r="AE125" s="54"/>
      <c r="AF125" s="54"/>
      <c r="AG125" s="54"/>
      <c r="AH125" s="54"/>
      <c r="AI125" s="55"/>
      <c r="AJ125" s="54"/>
      <c r="AW125" s="18">
        <f t="shared" si="1"/>
        <v>0</v>
      </c>
    </row>
    <row r="126" spans="10:49" ht="15">
      <c r="J126" s="314"/>
      <c r="K126" s="80"/>
      <c r="L126" s="314"/>
      <c r="M126" s="314"/>
      <c r="N126" s="140"/>
      <c r="O126" s="140"/>
      <c r="P126" s="140"/>
      <c r="Q126" s="140"/>
      <c r="R126" s="140"/>
      <c r="S126" s="140"/>
      <c r="T126" s="68"/>
      <c r="U126" s="54"/>
      <c r="V126" s="54"/>
      <c r="W126" s="54"/>
      <c r="X126" s="54"/>
      <c r="Y126" s="54"/>
      <c r="Z126" s="54"/>
      <c r="AA126" s="55"/>
      <c r="AB126" s="55"/>
      <c r="AC126" s="55"/>
      <c r="AD126" s="55"/>
      <c r="AE126" s="54"/>
      <c r="AF126" s="54"/>
      <c r="AG126" s="54"/>
      <c r="AH126" s="54"/>
      <c r="AI126" s="55"/>
      <c r="AJ126" s="54"/>
      <c r="AW126" s="18">
        <f t="shared" si="1"/>
        <v>0</v>
      </c>
    </row>
    <row r="127" spans="10:49" ht="15">
      <c r="J127" s="314"/>
      <c r="K127" s="80"/>
      <c r="L127" s="314"/>
      <c r="M127" s="314"/>
      <c r="N127" s="140"/>
      <c r="O127" s="140"/>
      <c r="P127" s="140"/>
      <c r="Q127" s="140"/>
      <c r="R127" s="140"/>
      <c r="S127" s="140"/>
      <c r="T127" s="68"/>
      <c r="U127" s="54"/>
      <c r="V127" s="54"/>
      <c r="W127" s="54"/>
      <c r="X127" s="54"/>
      <c r="Y127" s="54"/>
      <c r="Z127" s="54"/>
      <c r="AA127" s="55"/>
      <c r="AB127" s="55"/>
      <c r="AC127" s="55"/>
      <c r="AD127" s="55"/>
      <c r="AE127" s="54"/>
      <c r="AF127" s="54"/>
      <c r="AG127" s="54"/>
      <c r="AH127" s="54"/>
      <c r="AI127" s="55"/>
      <c r="AJ127" s="54"/>
      <c r="AW127" s="18">
        <f t="shared" si="1"/>
        <v>0</v>
      </c>
    </row>
    <row r="128" spans="10:49" ht="15">
      <c r="J128" s="314"/>
      <c r="K128" s="80"/>
      <c r="L128" s="314"/>
      <c r="M128" s="314"/>
      <c r="N128" s="140"/>
      <c r="O128" s="140"/>
      <c r="P128" s="140"/>
      <c r="Q128" s="140"/>
      <c r="R128" s="140"/>
      <c r="S128" s="140"/>
      <c r="T128" s="68"/>
      <c r="U128" s="54"/>
      <c r="V128" s="54"/>
      <c r="W128" s="54"/>
      <c r="X128" s="54"/>
      <c r="Y128" s="54"/>
      <c r="Z128" s="54"/>
      <c r="AA128" s="55"/>
      <c r="AB128" s="55"/>
      <c r="AC128" s="55"/>
      <c r="AD128" s="55"/>
      <c r="AE128" s="54"/>
      <c r="AF128" s="54"/>
      <c r="AG128" s="54"/>
      <c r="AH128" s="54"/>
      <c r="AI128" s="55"/>
      <c r="AJ128" s="54"/>
      <c r="AW128" s="18">
        <f t="shared" si="1"/>
        <v>0</v>
      </c>
    </row>
    <row r="129" spans="10:49" ht="15">
      <c r="J129" s="314"/>
      <c r="K129" s="80"/>
      <c r="L129" s="314"/>
      <c r="M129" s="314"/>
      <c r="N129" s="140"/>
      <c r="O129" s="140"/>
      <c r="P129" s="140"/>
      <c r="Q129" s="140"/>
      <c r="R129" s="140"/>
      <c r="S129" s="140"/>
      <c r="T129" s="68"/>
      <c r="U129" s="54"/>
      <c r="V129" s="54"/>
      <c r="W129" s="54"/>
      <c r="X129" s="54"/>
      <c r="Y129" s="54"/>
      <c r="Z129" s="54"/>
      <c r="AA129" s="55"/>
      <c r="AB129" s="55"/>
      <c r="AC129" s="55"/>
      <c r="AD129" s="55"/>
      <c r="AE129" s="54"/>
      <c r="AF129" s="54"/>
      <c r="AG129" s="54"/>
      <c r="AH129" s="54"/>
      <c r="AI129" s="55"/>
      <c r="AJ129" s="54"/>
      <c r="AW129" s="18">
        <f t="shared" si="1"/>
        <v>0</v>
      </c>
    </row>
    <row r="130" spans="10:49" ht="15">
      <c r="J130" s="314"/>
      <c r="K130" s="80"/>
      <c r="L130" s="314"/>
      <c r="M130" s="314"/>
      <c r="N130" s="140"/>
      <c r="O130" s="140"/>
      <c r="P130" s="140"/>
      <c r="Q130" s="140"/>
      <c r="R130" s="140"/>
      <c r="S130" s="140"/>
      <c r="T130" s="68"/>
      <c r="U130" s="54"/>
      <c r="V130" s="54"/>
      <c r="W130" s="54"/>
      <c r="X130" s="54"/>
      <c r="Y130" s="54"/>
      <c r="Z130" s="54"/>
      <c r="AA130" s="55"/>
      <c r="AB130" s="55"/>
      <c r="AC130" s="55"/>
      <c r="AD130" s="55"/>
      <c r="AE130" s="54"/>
      <c r="AF130" s="54"/>
      <c r="AG130" s="54"/>
      <c r="AH130" s="54"/>
      <c r="AI130" s="55"/>
      <c r="AJ130" s="54"/>
      <c r="AW130" s="18">
        <f t="shared" si="1"/>
        <v>0</v>
      </c>
    </row>
    <row r="131" spans="10:49" ht="15">
      <c r="J131" s="314"/>
      <c r="K131" s="80"/>
      <c r="L131" s="314"/>
      <c r="M131" s="314"/>
      <c r="N131" s="140"/>
      <c r="O131" s="140"/>
      <c r="P131" s="140"/>
      <c r="Q131" s="140"/>
      <c r="R131" s="140"/>
      <c r="S131" s="140"/>
      <c r="T131" s="68"/>
      <c r="U131" s="54"/>
      <c r="V131" s="54"/>
      <c r="W131" s="54"/>
      <c r="X131" s="54"/>
      <c r="Y131" s="54"/>
      <c r="Z131" s="54"/>
      <c r="AA131" s="55"/>
      <c r="AB131" s="55"/>
      <c r="AC131" s="55"/>
      <c r="AD131" s="55"/>
      <c r="AE131" s="54"/>
      <c r="AF131" s="54"/>
      <c r="AG131" s="54"/>
      <c r="AH131" s="54"/>
      <c r="AI131" s="55"/>
      <c r="AJ131" s="54"/>
      <c r="AW131" s="18">
        <f t="shared" si="1"/>
        <v>0</v>
      </c>
    </row>
    <row r="132" spans="10:49" ht="15">
      <c r="J132" s="314"/>
      <c r="K132" s="80"/>
      <c r="L132" s="314"/>
      <c r="M132" s="314"/>
      <c r="N132" s="140"/>
      <c r="O132" s="140"/>
      <c r="P132" s="140"/>
      <c r="Q132" s="140"/>
      <c r="R132" s="140"/>
      <c r="S132" s="140"/>
      <c r="T132" s="68"/>
      <c r="U132" s="54"/>
      <c r="V132" s="54"/>
      <c r="W132" s="54"/>
      <c r="X132" s="54"/>
      <c r="Y132" s="54"/>
      <c r="Z132" s="54"/>
      <c r="AA132" s="55"/>
      <c r="AB132" s="55"/>
      <c r="AC132" s="55"/>
      <c r="AD132" s="55"/>
      <c r="AE132" s="54"/>
      <c r="AF132" s="54"/>
      <c r="AG132" s="54"/>
      <c r="AH132" s="54"/>
      <c r="AI132" s="55"/>
      <c r="AJ132" s="54"/>
      <c r="AW132" s="18">
        <f t="shared" si="1"/>
        <v>0</v>
      </c>
    </row>
    <row r="133" spans="10:49" ht="15">
      <c r="J133" s="314"/>
      <c r="K133" s="80"/>
      <c r="L133" s="314"/>
      <c r="M133" s="314"/>
      <c r="N133" s="140"/>
      <c r="O133" s="140"/>
      <c r="P133" s="140"/>
      <c r="Q133" s="140"/>
      <c r="R133" s="140"/>
      <c r="S133" s="140"/>
      <c r="T133" s="68"/>
      <c r="U133" s="54"/>
      <c r="V133" s="54"/>
      <c r="W133" s="54"/>
      <c r="X133" s="54"/>
      <c r="Y133" s="54"/>
      <c r="Z133" s="54"/>
      <c r="AA133" s="55"/>
      <c r="AB133" s="55"/>
      <c r="AC133" s="55"/>
      <c r="AD133" s="55"/>
      <c r="AE133" s="54"/>
      <c r="AF133" s="54"/>
      <c r="AG133" s="54"/>
      <c r="AH133" s="54"/>
      <c r="AI133" s="55"/>
      <c r="AJ133" s="54"/>
      <c r="AW133" s="18">
        <f t="shared" si="1"/>
        <v>0</v>
      </c>
    </row>
    <row r="134" spans="10:49" ht="15">
      <c r="J134" s="314"/>
      <c r="K134" s="80"/>
      <c r="L134" s="314"/>
      <c r="M134" s="314"/>
      <c r="N134" s="140"/>
      <c r="O134" s="140"/>
      <c r="P134" s="140"/>
      <c r="Q134" s="140"/>
      <c r="R134" s="140"/>
      <c r="S134" s="140"/>
      <c r="T134" s="68"/>
      <c r="U134" s="54"/>
      <c r="V134" s="54"/>
      <c r="W134" s="54"/>
      <c r="X134" s="54"/>
      <c r="Y134" s="54"/>
      <c r="Z134" s="54"/>
      <c r="AA134" s="55"/>
      <c r="AB134" s="55"/>
      <c r="AC134" s="55"/>
      <c r="AD134" s="55"/>
      <c r="AE134" s="54"/>
      <c r="AF134" s="54"/>
      <c r="AG134" s="54"/>
      <c r="AH134" s="54"/>
      <c r="AI134" s="55"/>
      <c r="AJ134" s="54"/>
      <c r="AW134" s="18">
        <f t="shared" si="1"/>
        <v>0</v>
      </c>
    </row>
    <row r="135" spans="10:49" ht="15">
      <c r="J135" s="398"/>
      <c r="K135" s="54"/>
      <c r="L135" s="398"/>
      <c r="M135" s="596"/>
      <c r="N135" s="68"/>
      <c r="O135" s="68"/>
      <c r="P135" s="68"/>
      <c r="Q135" s="68"/>
      <c r="R135" s="68"/>
      <c r="S135" s="68"/>
      <c r="T135" s="68"/>
      <c r="U135" s="54"/>
      <c r="V135" s="54"/>
      <c r="W135" s="54"/>
      <c r="X135" s="54"/>
      <c r="Y135" s="54"/>
      <c r="Z135" s="54"/>
      <c r="AA135" s="55"/>
      <c r="AB135" s="55"/>
      <c r="AC135" s="55"/>
      <c r="AD135" s="55"/>
      <c r="AE135" s="54"/>
      <c r="AF135" s="54"/>
      <c r="AG135" s="54"/>
      <c r="AH135" s="54"/>
      <c r="AI135" s="55"/>
      <c r="AJ135" s="54"/>
      <c r="AW135" s="18">
        <f t="shared" si="1"/>
        <v>0</v>
      </c>
    </row>
    <row r="136" spans="10:49" ht="15">
      <c r="J136" s="398"/>
      <c r="K136" s="54"/>
      <c r="L136" s="398"/>
      <c r="M136" s="596"/>
      <c r="N136" s="68"/>
      <c r="O136" s="68"/>
      <c r="P136" s="68"/>
      <c r="Q136" s="68"/>
      <c r="R136" s="68"/>
      <c r="S136" s="68"/>
      <c r="T136" s="68"/>
      <c r="U136" s="54"/>
      <c r="V136" s="54"/>
      <c r="W136" s="54"/>
      <c r="X136" s="54"/>
      <c r="Y136" s="54"/>
      <c r="Z136" s="54"/>
      <c r="AA136" s="55"/>
      <c r="AB136" s="55"/>
      <c r="AC136" s="55"/>
      <c r="AD136" s="55"/>
      <c r="AE136" s="54"/>
      <c r="AF136" s="54"/>
      <c r="AG136" s="54"/>
      <c r="AH136" s="54"/>
      <c r="AI136" s="55"/>
      <c r="AJ136" s="54"/>
      <c r="AW136" s="18">
        <f t="shared" si="1"/>
        <v>0</v>
      </c>
    </row>
    <row r="137" spans="10:49" ht="15">
      <c r="J137" s="398"/>
      <c r="K137" s="54"/>
      <c r="L137" s="398"/>
      <c r="M137" s="596"/>
      <c r="N137" s="68"/>
      <c r="O137" s="68"/>
      <c r="P137" s="68"/>
      <c r="Q137" s="68"/>
      <c r="R137" s="68"/>
      <c r="S137" s="68"/>
      <c r="T137" s="68"/>
      <c r="U137" s="54"/>
      <c r="V137" s="54"/>
      <c r="W137" s="54"/>
      <c r="X137" s="54"/>
      <c r="Y137" s="54"/>
      <c r="Z137" s="54"/>
      <c r="AA137" s="55"/>
      <c r="AB137" s="55"/>
      <c r="AC137" s="55"/>
      <c r="AD137" s="55"/>
      <c r="AE137" s="54"/>
      <c r="AF137" s="54"/>
      <c r="AG137" s="54"/>
      <c r="AH137" s="54"/>
      <c r="AI137" s="55"/>
      <c r="AJ137" s="54"/>
      <c r="AW137" s="18">
        <f t="shared" si="1"/>
        <v>0</v>
      </c>
    </row>
    <row r="138" spans="10:49" ht="15">
      <c r="J138" s="398"/>
      <c r="K138" s="54"/>
      <c r="L138" s="398"/>
      <c r="M138" s="596"/>
      <c r="N138" s="68"/>
      <c r="O138" s="68"/>
      <c r="P138" s="68"/>
      <c r="Q138" s="68"/>
      <c r="R138" s="68"/>
      <c r="S138" s="68"/>
      <c r="T138" s="68"/>
      <c r="U138" s="54"/>
      <c r="V138" s="54"/>
      <c r="W138" s="54"/>
      <c r="X138" s="54"/>
      <c r="Y138" s="54"/>
      <c r="Z138" s="54"/>
      <c r="AA138" s="55"/>
      <c r="AB138" s="55"/>
      <c r="AC138" s="55"/>
      <c r="AD138" s="55"/>
      <c r="AE138" s="54"/>
      <c r="AF138" s="54"/>
      <c r="AG138" s="54"/>
      <c r="AH138" s="54"/>
      <c r="AI138" s="55"/>
      <c r="AJ138" s="54"/>
      <c r="AW138" s="18">
        <f t="shared" si="1"/>
        <v>0</v>
      </c>
    </row>
    <row r="139" spans="10:49" ht="15">
      <c r="J139" s="398"/>
      <c r="K139" s="54"/>
      <c r="L139" s="398"/>
      <c r="M139" s="596"/>
      <c r="N139" s="68"/>
      <c r="O139" s="68"/>
      <c r="P139" s="68"/>
      <c r="Q139" s="68"/>
      <c r="R139" s="68"/>
      <c r="S139" s="68"/>
      <c r="T139" s="68"/>
      <c r="U139" s="54"/>
      <c r="V139" s="54"/>
      <c r="W139" s="54"/>
      <c r="X139" s="54"/>
      <c r="Y139" s="54"/>
      <c r="Z139" s="54"/>
      <c r="AA139" s="55"/>
      <c r="AB139" s="55"/>
      <c r="AC139" s="55"/>
      <c r="AD139" s="55"/>
      <c r="AE139" s="54"/>
      <c r="AF139" s="54"/>
      <c r="AG139" s="54"/>
      <c r="AH139" s="54"/>
      <c r="AI139" s="55"/>
      <c r="AJ139" s="54"/>
      <c r="AW139" s="18">
        <f t="shared" si="1"/>
        <v>0</v>
      </c>
    </row>
    <row r="140" spans="10:49" ht="15">
      <c r="J140" s="398"/>
      <c r="K140" s="54"/>
      <c r="L140" s="398"/>
      <c r="M140" s="596"/>
      <c r="N140" s="68"/>
      <c r="O140" s="68"/>
      <c r="P140" s="68"/>
      <c r="Q140" s="68"/>
      <c r="R140" s="68"/>
      <c r="S140" s="68"/>
      <c r="T140" s="68"/>
      <c r="U140" s="54"/>
      <c r="V140" s="54"/>
      <c r="W140" s="54"/>
      <c r="X140" s="54"/>
      <c r="Y140" s="54"/>
      <c r="Z140" s="54"/>
      <c r="AA140" s="55"/>
      <c r="AB140" s="55"/>
      <c r="AC140" s="55"/>
      <c r="AD140" s="55"/>
      <c r="AE140" s="54"/>
      <c r="AF140" s="54"/>
      <c r="AG140" s="54"/>
      <c r="AH140" s="54"/>
      <c r="AI140" s="55"/>
      <c r="AJ140" s="54"/>
      <c r="AW140" s="18">
        <f t="shared" si="1"/>
        <v>0</v>
      </c>
    </row>
    <row r="141" spans="10:49" ht="15">
      <c r="J141" s="398"/>
      <c r="K141" s="54"/>
      <c r="L141" s="398"/>
      <c r="M141" s="596"/>
      <c r="N141" s="68"/>
      <c r="O141" s="68"/>
      <c r="P141" s="68"/>
      <c r="Q141" s="68"/>
      <c r="R141" s="68"/>
      <c r="S141" s="68"/>
      <c r="T141" s="68"/>
      <c r="U141" s="54"/>
      <c r="V141" s="54"/>
      <c r="W141" s="54"/>
      <c r="X141" s="54"/>
      <c r="Y141" s="54"/>
      <c r="Z141" s="54"/>
      <c r="AA141" s="55"/>
      <c r="AB141" s="55"/>
      <c r="AC141" s="55"/>
      <c r="AD141" s="55"/>
      <c r="AE141" s="54"/>
      <c r="AF141" s="54"/>
      <c r="AG141" s="54"/>
      <c r="AH141" s="54"/>
      <c r="AI141" s="55"/>
      <c r="AJ141" s="54"/>
      <c r="AW141" s="18">
        <f t="shared" ref="AW141:AW204" si="2">LEN(L141)</f>
        <v>0</v>
      </c>
    </row>
    <row r="142" spans="10:49" ht="15">
      <c r="J142" s="398"/>
      <c r="K142" s="54"/>
      <c r="L142" s="398"/>
      <c r="M142" s="596"/>
      <c r="N142" s="68"/>
      <c r="O142" s="68"/>
      <c r="P142" s="68"/>
      <c r="Q142" s="68"/>
      <c r="R142" s="68"/>
      <c r="S142" s="68"/>
      <c r="T142" s="68"/>
      <c r="U142" s="54"/>
      <c r="V142" s="54"/>
      <c r="W142" s="54"/>
      <c r="X142" s="54"/>
      <c r="Y142" s="54"/>
      <c r="Z142" s="54"/>
      <c r="AA142" s="55"/>
      <c r="AB142" s="55"/>
      <c r="AC142" s="55"/>
      <c r="AD142" s="55"/>
      <c r="AE142" s="54"/>
      <c r="AF142" s="54"/>
      <c r="AG142" s="54"/>
      <c r="AH142" s="54"/>
      <c r="AI142" s="55"/>
      <c r="AJ142" s="54"/>
      <c r="AW142" s="18">
        <f t="shared" si="2"/>
        <v>0</v>
      </c>
    </row>
    <row r="143" spans="10:49" ht="15">
      <c r="J143" s="398"/>
      <c r="K143" s="54"/>
      <c r="L143" s="56"/>
      <c r="M143" s="56"/>
      <c r="N143" s="68"/>
      <c r="O143" s="68"/>
      <c r="P143" s="68"/>
      <c r="Q143" s="68"/>
      <c r="R143" s="68"/>
      <c r="S143" s="68"/>
      <c r="T143" s="68"/>
      <c r="U143" s="54"/>
      <c r="V143" s="54"/>
      <c r="W143" s="54"/>
      <c r="X143" s="54"/>
      <c r="Y143" s="54"/>
      <c r="Z143" s="54"/>
      <c r="AA143" s="55"/>
      <c r="AB143" s="55"/>
      <c r="AC143" s="55"/>
      <c r="AD143" s="55"/>
      <c r="AE143" s="54"/>
      <c r="AF143" s="54"/>
      <c r="AG143" s="54"/>
      <c r="AH143" s="54"/>
      <c r="AI143" s="55"/>
      <c r="AJ143" s="54"/>
      <c r="AW143" s="18">
        <f t="shared" si="2"/>
        <v>0</v>
      </c>
    </row>
    <row r="144" spans="10:49" ht="15">
      <c r="J144" s="398"/>
      <c r="K144" s="54"/>
      <c r="L144" s="56"/>
      <c r="M144" s="56"/>
      <c r="N144" s="68"/>
      <c r="O144" s="68"/>
      <c r="P144" s="68"/>
      <c r="Q144" s="68"/>
      <c r="R144" s="68"/>
      <c r="S144" s="68"/>
      <c r="T144" s="68"/>
      <c r="U144" s="54"/>
      <c r="V144" s="54"/>
      <c r="W144" s="54"/>
      <c r="X144" s="54"/>
      <c r="Y144" s="54"/>
      <c r="Z144" s="54"/>
      <c r="AA144" s="55"/>
      <c r="AB144" s="55"/>
      <c r="AC144" s="55"/>
      <c r="AD144" s="55"/>
      <c r="AE144" s="54"/>
      <c r="AF144" s="54"/>
      <c r="AG144" s="54"/>
      <c r="AH144" s="54"/>
      <c r="AI144" s="55"/>
      <c r="AJ144" s="54"/>
      <c r="AW144" s="18">
        <f t="shared" si="2"/>
        <v>0</v>
      </c>
    </row>
    <row r="145" spans="10:49" ht="15">
      <c r="J145" s="398"/>
      <c r="K145" s="54"/>
      <c r="L145" s="398"/>
      <c r="M145" s="596"/>
      <c r="N145" s="68"/>
      <c r="O145" s="68"/>
      <c r="P145" s="68"/>
      <c r="Q145" s="68"/>
      <c r="R145" s="68"/>
      <c r="S145" s="68"/>
      <c r="T145" s="68"/>
      <c r="U145" s="54"/>
      <c r="V145" s="54"/>
      <c r="W145" s="54"/>
      <c r="X145" s="54"/>
      <c r="Y145" s="54"/>
      <c r="Z145" s="54"/>
      <c r="AA145" s="55"/>
      <c r="AB145" s="55"/>
      <c r="AC145" s="55"/>
      <c r="AD145" s="55"/>
      <c r="AE145" s="54"/>
      <c r="AF145" s="54"/>
      <c r="AG145" s="54"/>
      <c r="AH145" s="54"/>
      <c r="AI145" s="55"/>
      <c r="AJ145" s="54"/>
      <c r="AW145" s="18">
        <f t="shared" si="2"/>
        <v>0</v>
      </c>
    </row>
    <row r="146" spans="10:49" ht="15">
      <c r="J146" s="687"/>
      <c r="K146" s="54"/>
      <c r="L146" s="687"/>
      <c r="M146" s="596"/>
      <c r="N146" s="68"/>
      <c r="O146" s="68"/>
      <c r="P146" s="68"/>
      <c r="Q146" s="68"/>
      <c r="R146" s="68"/>
      <c r="S146" s="68"/>
      <c r="T146" s="68"/>
      <c r="U146" s="54"/>
      <c r="V146" s="54"/>
      <c r="W146" s="54"/>
      <c r="X146" s="54"/>
      <c r="Y146" s="54"/>
      <c r="Z146" s="54"/>
      <c r="AA146" s="54"/>
      <c r="AB146" s="54"/>
      <c r="AC146" s="54"/>
      <c r="AD146" s="54"/>
      <c r="AE146" s="54"/>
      <c r="AF146" s="54"/>
      <c r="AG146" s="54"/>
      <c r="AH146" s="54"/>
      <c r="AI146" s="54"/>
      <c r="AJ146" s="54"/>
      <c r="AW146" s="18">
        <f t="shared" si="2"/>
        <v>0</v>
      </c>
    </row>
    <row r="147" spans="10:49" ht="15">
      <c r="J147" s="687"/>
      <c r="K147" s="54"/>
      <c r="L147" s="687"/>
      <c r="M147" s="596"/>
      <c r="N147" s="68"/>
      <c r="O147" s="68"/>
      <c r="P147" s="68"/>
      <c r="Q147" s="68"/>
      <c r="R147" s="68"/>
      <c r="S147" s="68"/>
      <c r="T147" s="68"/>
      <c r="U147" s="54"/>
      <c r="V147" s="54"/>
      <c r="W147" s="54"/>
      <c r="X147" s="54"/>
      <c r="Y147" s="54"/>
      <c r="Z147" s="54"/>
      <c r="AA147" s="54"/>
      <c r="AB147" s="54"/>
      <c r="AC147" s="54"/>
      <c r="AD147" s="54"/>
      <c r="AE147" s="54"/>
      <c r="AF147" s="54"/>
      <c r="AG147" s="54"/>
      <c r="AH147" s="54"/>
      <c r="AI147" s="54"/>
      <c r="AJ147" s="54"/>
      <c r="AW147" s="18">
        <f t="shared" si="2"/>
        <v>0</v>
      </c>
    </row>
    <row r="148" spans="10:49" ht="15">
      <c r="J148" s="687"/>
      <c r="K148" s="54"/>
      <c r="L148" s="687"/>
      <c r="M148" s="596"/>
      <c r="N148" s="68"/>
      <c r="O148" s="68"/>
      <c r="P148" s="68"/>
      <c r="Q148" s="68"/>
      <c r="R148" s="68"/>
      <c r="S148" s="68"/>
      <c r="T148" s="68"/>
      <c r="U148" s="54"/>
      <c r="V148" s="54"/>
      <c r="W148" s="54"/>
      <c r="X148" s="54"/>
      <c r="Y148" s="54"/>
      <c r="Z148" s="54"/>
      <c r="AA148" s="54"/>
      <c r="AB148" s="54"/>
      <c r="AC148" s="54"/>
      <c r="AD148" s="54"/>
      <c r="AE148" s="54"/>
      <c r="AF148" s="54"/>
      <c r="AG148" s="54"/>
      <c r="AH148" s="54"/>
      <c r="AI148" s="54"/>
      <c r="AJ148" s="54"/>
      <c r="AW148" s="18">
        <f t="shared" si="2"/>
        <v>0</v>
      </c>
    </row>
    <row r="149" spans="10:49" ht="15">
      <c r="J149" s="687"/>
      <c r="K149" s="54"/>
      <c r="L149" s="687"/>
      <c r="M149" s="596"/>
      <c r="N149" s="68"/>
      <c r="O149" s="68"/>
      <c r="P149" s="68"/>
      <c r="Q149" s="68"/>
      <c r="R149" s="68"/>
      <c r="S149" s="68"/>
      <c r="T149" s="68"/>
      <c r="U149" s="54"/>
      <c r="V149" s="54"/>
      <c r="W149" s="54"/>
      <c r="X149" s="54"/>
      <c r="Y149" s="54"/>
      <c r="Z149" s="54"/>
      <c r="AA149" s="54"/>
      <c r="AB149" s="54"/>
      <c r="AC149" s="54"/>
      <c r="AD149" s="54"/>
      <c r="AE149" s="54"/>
      <c r="AF149" s="54"/>
      <c r="AG149" s="54"/>
      <c r="AH149" s="54"/>
      <c r="AI149" s="54"/>
      <c r="AJ149" s="54"/>
      <c r="AW149" s="18">
        <f t="shared" si="2"/>
        <v>0</v>
      </c>
    </row>
    <row r="150" spans="10:49" ht="15">
      <c r="J150" s="687"/>
      <c r="K150" s="54"/>
      <c r="L150" s="687"/>
      <c r="M150" s="596"/>
      <c r="N150" s="68"/>
      <c r="O150" s="68"/>
      <c r="P150" s="68"/>
      <c r="Q150" s="68"/>
      <c r="R150" s="68"/>
      <c r="S150" s="68"/>
      <c r="T150" s="68"/>
      <c r="U150" s="54"/>
      <c r="V150" s="54"/>
      <c r="W150" s="54"/>
      <c r="X150" s="54"/>
      <c r="Y150" s="54"/>
      <c r="Z150" s="54"/>
      <c r="AA150" s="54"/>
      <c r="AB150" s="54"/>
      <c r="AC150" s="54"/>
      <c r="AD150" s="54"/>
      <c r="AE150" s="54"/>
      <c r="AF150" s="54"/>
      <c r="AG150" s="54"/>
      <c r="AH150" s="54"/>
      <c r="AI150" s="54"/>
      <c r="AJ150" s="54"/>
      <c r="AW150" s="18">
        <f t="shared" si="2"/>
        <v>0</v>
      </c>
    </row>
    <row r="151" spans="10:49" ht="15">
      <c r="J151" s="687"/>
      <c r="K151" s="54"/>
      <c r="L151" s="687"/>
      <c r="M151" s="596"/>
      <c r="N151" s="68"/>
      <c r="O151" s="68"/>
      <c r="P151" s="68"/>
      <c r="Q151" s="68"/>
      <c r="R151" s="68"/>
      <c r="S151" s="68"/>
      <c r="T151" s="68"/>
      <c r="U151" s="54"/>
      <c r="V151" s="54"/>
      <c r="W151" s="54"/>
      <c r="X151" s="54"/>
      <c r="Y151" s="54"/>
      <c r="Z151" s="54"/>
      <c r="AA151" s="54"/>
      <c r="AB151" s="54"/>
      <c r="AC151" s="54"/>
      <c r="AD151" s="54"/>
      <c r="AE151" s="54"/>
      <c r="AF151" s="54"/>
      <c r="AG151" s="54"/>
      <c r="AH151" s="54"/>
      <c r="AI151" s="54"/>
      <c r="AJ151" s="54"/>
      <c r="AW151" s="18">
        <f t="shared" si="2"/>
        <v>0</v>
      </c>
    </row>
    <row r="152" spans="10:49" ht="15">
      <c r="J152" s="687"/>
      <c r="K152" s="54"/>
      <c r="L152" s="687"/>
      <c r="M152" s="596"/>
      <c r="N152" s="68"/>
      <c r="O152" s="68"/>
      <c r="P152" s="68"/>
      <c r="Q152" s="68"/>
      <c r="R152" s="68"/>
      <c r="S152" s="68"/>
      <c r="T152" s="68"/>
      <c r="U152" s="54"/>
      <c r="V152" s="54"/>
      <c r="W152" s="54"/>
      <c r="X152" s="54"/>
      <c r="Y152" s="54"/>
      <c r="Z152" s="54"/>
      <c r="AA152" s="54"/>
      <c r="AB152" s="54"/>
      <c r="AC152" s="54"/>
      <c r="AD152" s="54"/>
      <c r="AE152" s="54"/>
      <c r="AF152" s="54"/>
      <c r="AG152" s="54"/>
      <c r="AH152" s="54"/>
      <c r="AI152" s="54"/>
      <c r="AJ152" s="54"/>
      <c r="AW152" s="18">
        <f t="shared" si="2"/>
        <v>0</v>
      </c>
    </row>
    <row r="153" spans="10:49" ht="15">
      <c r="J153" s="687"/>
      <c r="K153" s="54"/>
      <c r="L153" s="687"/>
      <c r="M153" s="596"/>
      <c r="N153" s="68"/>
      <c r="O153" s="68"/>
      <c r="P153" s="68"/>
      <c r="Q153" s="68"/>
      <c r="R153" s="68"/>
      <c r="S153" s="68"/>
      <c r="T153" s="68"/>
      <c r="U153" s="54"/>
      <c r="V153" s="54"/>
      <c r="W153" s="54"/>
      <c r="X153" s="54"/>
      <c r="Y153" s="54"/>
      <c r="Z153" s="54"/>
      <c r="AA153" s="54"/>
      <c r="AB153" s="54"/>
      <c r="AC153" s="54"/>
      <c r="AD153" s="54"/>
      <c r="AE153" s="54"/>
      <c r="AF153" s="54"/>
      <c r="AG153" s="54"/>
      <c r="AH153" s="54"/>
      <c r="AI153" s="54"/>
      <c r="AJ153" s="54"/>
      <c r="AW153" s="18">
        <f t="shared" si="2"/>
        <v>0</v>
      </c>
    </row>
    <row r="154" spans="10:49" ht="15">
      <c r="J154" s="687"/>
      <c r="K154" s="54"/>
      <c r="L154" s="687"/>
      <c r="M154" s="596"/>
      <c r="N154" s="68"/>
      <c r="O154" s="68"/>
      <c r="P154" s="68"/>
      <c r="Q154" s="68"/>
      <c r="R154" s="68"/>
      <c r="S154" s="68"/>
      <c r="T154" s="68"/>
      <c r="U154" s="54"/>
      <c r="V154" s="54"/>
      <c r="W154" s="54"/>
      <c r="X154" s="54"/>
      <c r="Y154" s="54"/>
      <c r="Z154" s="54"/>
      <c r="AA154" s="54"/>
      <c r="AB154" s="54"/>
      <c r="AC154" s="54"/>
      <c r="AD154" s="54"/>
      <c r="AE154" s="54"/>
      <c r="AF154" s="54"/>
      <c r="AG154" s="54"/>
      <c r="AH154" s="54"/>
      <c r="AI154" s="54"/>
      <c r="AJ154" s="54"/>
      <c r="AW154" s="18">
        <f t="shared" si="2"/>
        <v>0</v>
      </c>
    </row>
    <row r="155" spans="10:49" ht="15">
      <c r="J155" s="687"/>
      <c r="K155" s="54"/>
      <c r="L155" s="687"/>
      <c r="M155" s="596"/>
      <c r="N155" s="68"/>
      <c r="O155" s="68"/>
      <c r="P155" s="68"/>
      <c r="Q155" s="68"/>
      <c r="R155" s="68"/>
      <c r="S155" s="68"/>
      <c r="T155" s="68"/>
      <c r="U155" s="54"/>
      <c r="V155" s="54"/>
      <c r="W155" s="54"/>
      <c r="X155" s="54"/>
      <c r="Y155" s="54"/>
      <c r="Z155" s="54"/>
      <c r="AA155" s="54"/>
      <c r="AB155" s="54"/>
      <c r="AC155" s="54"/>
      <c r="AD155" s="54"/>
      <c r="AE155" s="54"/>
      <c r="AF155" s="54"/>
      <c r="AG155" s="54"/>
      <c r="AH155" s="54"/>
      <c r="AI155" s="54"/>
      <c r="AJ155" s="54"/>
      <c r="AW155" s="18">
        <f t="shared" si="2"/>
        <v>0</v>
      </c>
    </row>
    <row r="156" spans="10:49" ht="15">
      <c r="J156" s="687"/>
      <c r="K156" s="54"/>
      <c r="L156" s="687"/>
      <c r="M156" s="596"/>
      <c r="N156" s="68"/>
      <c r="O156" s="68"/>
      <c r="P156" s="68"/>
      <c r="Q156" s="68"/>
      <c r="R156" s="68"/>
      <c r="S156" s="68"/>
      <c r="T156" s="68"/>
      <c r="U156" s="54"/>
      <c r="V156" s="54"/>
      <c r="W156" s="54"/>
      <c r="X156" s="54"/>
      <c r="Y156" s="54"/>
      <c r="Z156" s="54"/>
      <c r="AA156" s="54"/>
      <c r="AB156" s="54"/>
      <c r="AC156" s="54"/>
      <c r="AD156" s="54"/>
      <c r="AE156" s="54"/>
      <c r="AF156" s="54"/>
      <c r="AG156" s="54"/>
      <c r="AH156" s="54"/>
      <c r="AI156" s="54"/>
      <c r="AJ156" s="54"/>
      <c r="AW156" s="18">
        <f t="shared" si="2"/>
        <v>0</v>
      </c>
    </row>
    <row r="157" spans="10:49" ht="15">
      <c r="J157" s="687"/>
      <c r="K157" s="54"/>
      <c r="L157" s="687"/>
      <c r="M157" s="596"/>
      <c r="N157" s="68"/>
      <c r="O157" s="68"/>
      <c r="P157" s="68"/>
      <c r="Q157" s="68"/>
      <c r="R157" s="68"/>
      <c r="S157" s="68"/>
      <c r="T157" s="68"/>
      <c r="U157" s="54"/>
      <c r="V157" s="54"/>
      <c r="W157" s="54"/>
      <c r="X157" s="54"/>
      <c r="Y157" s="54"/>
      <c r="Z157" s="54"/>
      <c r="AA157" s="54"/>
      <c r="AB157" s="54"/>
      <c r="AC157" s="54"/>
      <c r="AD157" s="54"/>
      <c r="AE157" s="54"/>
      <c r="AF157" s="54"/>
      <c r="AG157" s="54"/>
      <c r="AH157" s="54"/>
      <c r="AI157" s="54"/>
      <c r="AJ157" s="54"/>
      <c r="AW157" s="18">
        <f t="shared" si="2"/>
        <v>0</v>
      </c>
    </row>
    <row r="158" spans="10:49" ht="15">
      <c r="J158" s="687"/>
      <c r="K158" s="54"/>
      <c r="L158" s="687"/>
      <c r="M158" s="596"/>
      <c r="N158" s="68"/>
      <c r="O158" s="68"/>
      <c r="P158" s="68"/>
      <c r="Q158" s="68"/>
      <c r="R158" s="68"/>
      <c r="S158" s="68"/>
      <c r="T158" s="68"/>
      <c r="U158" s="54"/>
      <c r="V158" s="54"/>
      <c r="W158" s="54"/>
      <c r="X158" s="54"/>
      <c r="Y158" s="54"/>
      <c r="Z158" s="54"/>
      <c r="AA158" s="54"/>
      <c r="AB158" s="54"/>
      <c r="AC158" s="54"/>
      <c r="AD158" s="54"/>
      <c r="AE158" s="54"/>
      <c r="AF158" s="54"/>
      <c r="AG158" s="54"/>
      <c r="AH158" s="54"/>
      <c r="AI158" s="54"/>
      <c r="AJ158" s="54"/>
      <c r="AW158" s="18">
        <f t="shared" si="2"/>
        <v>0</v>
      </c>
    </row>
    <row r="159" spans="10:49" ht="15">
      <c r="J159" s="687"/>
      <c r="K159" s="54"/>
      <c r="L159" s="687"/>
      <c r="M159" s="596"/>
      <c r="N159" s="68"/>
      <c r="O159" s="68"/>
      <c r="P159" s="68"/>
      <c r="Q159" s="68"/>
      <c r="R159" s="68"/>
      <c r="S159" s="68"/>
      <c r="T159" s="68"/>
      <c r="U159" s="54"/>
      <c r="V159" s="54"/>
      <c r="W159" s="54"/>
      <c r="X159" s="54"/>
      <c r="Y159" s="54"/>
      <c r="Z159" s="54"/>
      <c r="AA159" s="54"/>
      <c r="AB159" s="54"/>
      <c r="AC159" s="54"/>
      <c r="AD159" s="54"/>
      <c r="AE159" s="54"/>
      <c r="AF159" s="54"/>
      <c r="AG159" s="54"/>
      <c r="AH159" s="54"/>
      <c r="AI159" s="54"/>
      <c r="AJ159" s="54"/>
      <c r="AW159" s="18">
        <f t="shared" si="2"/>
        <v>0</v>
      </c>
    </row>
    <row r="160" spans="10:49" ht="15">
      <c r="J160" s="687"/>
      <c r="K160" s="54"/>
      <c r="L160" s="687"/>
      <c r="M160" s="596"/>
      <c r="N160" s="68"/>
      <c r="O160" s="68"/>
      <c r="P160" s="68"/>
      <c r="Q160" s="68"/>
      <c r="R160" s="68"/>
      <c r="S160" s="68"/>
      <c r="T160" s="68"/>
      <c r="U160" s="54"/>
      <c r="V160" s="54"/>
      <c r="W160" s="54"/>
      <c r="X160" s="54"/>
      <c r="Y160" s="54"/>
      <c r="Z160" s="54"/>
      <c r="AA160" s="54"/>
      <c r="AB160" s="54"/>
      <c r="AC160" s="54"/>
      <c r="AD160" s="54"/>
      <c r="AE160" s="54"/>
      <c r="AF160" s="54"/>
      <c r="AG160" s="54"/>
      <c r="AH160" s="54"/>
      <c r="AI160" s="54"/>
      <c r="AJ160" s="54"/>
      <c r="AW160" s="18">
        <f t="shared" si="2"/>
        <v>0</v>
      </c>
    </row>
    <row r="161" spans="10:49" ht="15">
      <c r="J161" s="687"/>
      <c r="K161" s="54"/>
      <c r="L161" s="687"/>
      <c r="M161" s="596"/>
      <c r="N161" s="68"/>
      <c r="O161" s="68"/>
      <c r="P161" s="68"/>
      <c r="Q161" s="68"/>
      <c r="R161" s="68"/>
      <c r="S161" s="68"/>
      <c r="T161" s="68"/>
      <c r="U161" s="54"/>
      <c r="V161" s="54"/>
      <c r="W161" s="54"/>
      <c r="X161" s="54"/>
      <c r="Y161" s="54"/>
      <c r="Z161" s="54"/>
      <c r="AA161" s="54"/>
      <c r="AB161" s="54"/>
      <c r="AC161" s="54"/>
      <c r="AD161" s="54"/>
      <c r="AE161" s="54"/>
      <c r="AF161" s="54"/>
      <c r="AG161" s="54"/>
      <c r="AH161" s="54"/>
      <c r="AI161" s="54"/>
      <c r="AJ161" s="54"/>
      <c r="AW161" s="18">
        <f t="shared" si="2"/>
        <v>0</v>
      </c>
    </row>
    <row r="162" spans="10:49" ht="15">
      <c r="J162" s="687"/>
      <c r="K162" s="54"/>
      <c r="L162" s="687"/>
      <c r="M162" s="596"/>
      <c r="N162" s="68"/>
      <c r="O162" s="68"/>
      <c r="P162" s="68"/>
      <c r="Q162" s="68"/>
      <c r="R162" s="68"/>
      <c r="S162" s="68"/>
      <c r="T162" s="68"/>
      <c r="U162" s="54"/>
      <c r="V162" s="54"/>
      <c r="W162" s="54"/>
      <c r="X162" s="54"/>
      <c r="Y162" s="54"/>
      <c r="Z162" s="54"/>
      <c r="AA162" s="54"/>
      <c r="AB162" s="54"/>
      <c r="AC162" s="54"/>
      <c r="AD162" s="54"/>
      <c r="AE162" s="54"/>
      <c r="AF162" s="54"/>
      <c r="AG162" s="54"/>
      <c r="AH162" s="54"/>
      <c r="AI162" s="54"/>
      <c r="AJ162" s="54"/>
      <c r="AW162" s="18">
        <f t="shared" si="2"/>
        <v>0</v>
      </c>
    </row>
    <row r="163" spans="10:49" ht="15">
      <c r="J163" s="687"/>
      <c r="K163" s="54"/>
      <c r="L163" s="687"/>
      <c r="M163" s="596"/>
      <c r="N163" s="68"/>
      <c r="O163" s="68"/>
      <c r="P163" s="68"/>
      <c r="Q163" s="68"/>
      <c r="R163" s="68"/>
      <c r="S163" s="68"/>
      <c r="T163" s="68"/>
      <c r="U163" s="54"/>
      <c r="V163" s="54"/>
      <c r="W163" s="54"/>
      <c r="X163" s="54"/>
      <c r="Y163" s="54"/>
      <c r="Z163" s="54"/>
      <c r="AA163" s="54"/>
      <c r="AB163" s="54"/>
      <c r="AC163" s="54"/>
      <c r="AD163" s="54"/>
      <c r="AE163" s="54"/>
      <c r="AF163" s="54"/>
      <c r="AG163" s="54"/>
      <c r="AH163" s="54"/>
      <c r="AI163" s="54"/>
      <c r="AJ163" s="54"/>
      <c r="AW163" s="18">
        <f t="shared" si="2"/>
        <v>0</v>
      </c>
    </row>
    <row r="164" spans="10:49" ht="15">
      <c r="J164" s="687"/>
      <c r="K164" s="54"/>
      <c r="L164" s="687"/>
      <c r="M164" s="596"/>
      <c r="N164" s="68"/>
      <c r="O164" s="68"/>
      <c r="P164" s="68"/>
      <c r="Q164" s="68"/>
      <c r="R164" s="68"/>
      <c r="S164" s="68"/>
      <c r="T164" s="68"/>
      <c r="U164" s="54"/>
      <c r="V164" s="54"/>
      <c r="W164" s="54"/>
      <c r="X164" s="54"/>
      <c r="Y164" s="54"/>
      <c r="Z164" s="54"/>
      <c r="AA164" s="54"/>
      <c r="AB164" s="54"/>
      <c r="AC164" s="54"/>
      <c r="AD164" s="54"/>
      <c r="AE164" s="54"/>
      <c r="AF164" s="54"/>
      <c r="AG164" s="54"/>
      <c r="AH164" s="54"/>
      <c r="AI164" s="54"/>
      <c r="AJ164" s="54"/>
      <c r="AW164" s="18">
        <f t="shared" si="2"/>
        <v>0</v>
      </c>
    </row>
    <row r="165" spans="10:49" ht="15">
      <c r="J165" s="687"/>
      <c r="K165" s="54"/>
      <c r="L165" s="687"/>
      <c r="M165" s="596"/>
      <c r="N165" s="68"/>
      <c r="O165" s="68"/>
      <c r="P165" s="68"/>
      <c r="Q165" s="68"/>
      <c r="R165" s="68"/>
      <c r="S165" s="68"/>
      <c r="T165" s="68"/>
      <c r="U165" s="54"/>
      <c r="V165" s="54"/>
      <c r="W165" s="54"/>
      <c r="X165" s="54"/>
      <c r="Y165" s="54"/>
      <c r="Z165" s="54"/>
      <c r="AA165" s="54"/>
      <c r="AB165" s="54"/>
      <c r="AC165" s="54"/>
      <c r="AD165" s="54"/>
      <c r="AE165" s="54"/>
      <c r="AF165" s="54"/>
      <c r="AG165" s="54"/>
      <c r="AH165" s="54"/>
      <c r="AI165" s="54"/>
      <c r="AJ165" s="54"/>
      <c r="AW165" s="18">
        <f t="shared" si="2"/>
        <v>0</v>
      </c>
    </row>
    <row r="166" spans="10:49" ht="15">
      <c r="J166" s="687"/>
      <c r="K166" s="54"/>
      <c r="L166" s="687"/>
      <c r="M166" s="596"/>
      <c r="N166" s="68"/>
      <c r="O166" s="68"/>
      <c r="P166" s="68"/>
      <c r="Q166" s="68"/>
      <c r="R166" s="68"/>
      <c r="S166" s="68"/>
      <c r="T166" s="68"/>
      <c r="U166" s="54"/>
      <c r="V166" s="54"/>
      <c r="W166" s="54"/>
      <c r="X166" s="54"/>
      <c r="Y166" s="54"/>
      <c r="Z166" s="54"/>
      <c r="AA166" s="54"/>
      <c r="AB166" s="54"/>
      <c r="AC166" s="54"/>
      <c r="AD166" s="54"/>
      <c r="AE166" s="54"/>
      <c r="AF166" s="54"/>
      <c r="AG166" s="54"/>
      <c r="AH166" s="54"/>
      <c r="AI166" s="54"/>
      <c r="AJ166" s="54"/>
      <c r="AW166" s="18">
        <f t="shared" si="2"/>
        <v>0</v>
      </c>
    </row>
    <row r="167" spans="10:49" ht="15">
      <c r="J167" s="687"/>
      <c r="K167" s="54"/>
      <c r="L167" s="687"/>
      <c r="M167" s="596"/>
      <c r="N167" s="68"/>
      <c r="O167" s="68"/>
      <c r="P167" s="68"/>
      <c r="Q167" s="68"/>
      <c r="R167" s="68"/>
      <c r="S167" s="68"/>
      <c r="T167" s="68"/>
      <c r="U167" s="54"/>
      <c r="V167" s="54"/>
      <c r="W167" s="54"/>
      <c r="X167" s="54"/>
      <c r="Y167" s="54"/>
      <c r="Z167" s="54"/>
      <c r="AA167" s="54"/>
      <c r="AB167" s="54"/>
      <c r="AC167" s="54"/>
      <c r="AD167" s="54"/>
      <c r="AE167" s="54"/>
      <c r="AF167" s="54"/>
      <c r="AG167" s="54"/>
      <c r="AH167" s="54"/>
      <c r="AI167" s="54"/>
      <c r="AJ167" s="54"/>
      <c r="AW167" s="18">
        <f t="shared" si="2"/>
        <v>0</v>
      </c>
    </row>
    <row r="168" spans="10:49" ht="15">
      <c r="J168" s="687"/>
      <c r="K168" s="54"/>
      <c r="L168" s="687"/>
      <c r="M168" s="596"/>
      <c r="N168" s="68"/>
      <c r="O168" s="68"/>
      <c r="P168" s="68"/>
      <c r="Q168" s="68"/>
      <c r="R168" s="68"/>
      <c r="S168" s="68"/>
      <c r="T168" s="68"/>
      <c r="U168" s="54"/>
      <c r="V168" s="54"/>
      <c r="W168" s="54"/>
      <c r="X168" s="54"/>
      <c r="Y168" s="54"/>
      <c r="Z168" s="54"/>
      <c r="AA168" s="54"/>
      <c r="AB168" s="54"/>
      <c r="AC168" s="54"/>
      <c r="AD168" s="54"/>
      <c r="AE168" s="54"/>
      <c r="AF168" s="54"/>
      <c r="AG168" s="54"/>
      <c r="AH168" s="54"/>
      <c r="AI168" s="54"/>
      <c r="AJ168" s="54"/>
      <c r="AW168" s="18">
        <f t="shared" si="2"/>
        <v>0</v>
      </c>
    </row>
    <row r="169" spans="10:49" ht="15">
      <c r="J169" s="687"/>
      <c r="K169" s="54"/>
      <c r="L169" s="687"/>
      <c r="M169" s="596"/>
      <c r="N169" s="68"/>
      <c r="O169" s="68"/>
      <c r="P169" s="68"/>
      <c r="Q169" s="68"/>
      <c r="R169" s="68"/>
      <c r="S169" s="68"/>
      <c r="T169" s="68"/>
      <c r="U169" s="54"/>
      <c r="V169" s="54"/>
      <c r="W169" s="54"/>
      <c r="X169" s="54"/>
      <c r="Y169" s="54"/>
      <c r="Z169" s="54"/>
      <c r="AA169" s="54"/>
      <c r="AB169" s="54"/>
      <c r="AC169" s="54"/>
      <c r="AD169" s="54"/>
      <c r="AE169" s="54"/>
      <c r="AF169" s="54"/>
      <c r="AG169" s="54"/>
      <c r="AH169" s="54"/>
      <c r="AI169" s="54"/>
      <c r="AJ169" s="54"/>
      <c r="AW169" s="18">
        <f t="shared" si="2"/>
        <v>0</v>
      </c>
    </row>
    <row r="170" spans="10:49" ht="15">
      <c r="J170" s="687"/>
      <c r="K170" s="54"/>
      <c r="L170" s="687"/>
      <c r="M170" s="596"/>
      <c r="N170" s="68"/>
      <c r="O170" s="68"/>
      <c r="P170" s="68"/>
      <c r="Q170" s="68"/>
      <c r="R170" s="68"/>
      <c r="S170" s="68"/>
      <c r="T170" s="68"/>
      <c r="U170" s="54"/>
      <c r="V170" s="54"/>
      <c r="W170" s="54"/>
      <c r="X170" s="54"/>
      <c r="Y170" s="54"/>
      <c r="Z170" s="54"/>
      <c r="AA170" s="54"/>
      <c r="AB170" s="54"/>
      <c r="AC170" s="54"/>
      <c r="AD170" s="54"/>
      <c r="AE170" s="54"/>
      <c r="AF170" s="54"/>
      <c r="AG170" s="54"/>
      <c r="AH170" s="54"/>
      <c r="AI170" s="54"/>
      <c r="AJ170" s="54"/>
      <c r="AW170" s="18">
        <f t="shared" si="2"/>
        <v>0</v>
      </c>
    </row>
    <row r="171" spans="10:49" ht="15">
      <c r="J171" s="687"/>
      <c r="K171" s="54"/>
      <c r="L171" s="687"/>
      <c r="M171" s="596"/>
      <c r="N171" s="68"/>
      <c r="O171" s="68"/>
      <c r="P171" s="68"/>
      <c r="Q171" s="68"/>
      <c r="R171" s="68"/>
      <c r="S171" s="68"/>
      <c r="T171" s="68"/>
      <c r="U171" s="54"/>
      <c r="V171" s="54"/>
      <c r="W171" s="54"/>
      <c r="X171" s="54"/>
      <c r="Y171" s="54"/>
      <c r="Z171" s="54"/>
      <c r="AA171" s="54"/>
      <c r="AB171" s="54"/>
      <c r="AC171" s="54"/>
      <c r="AD171" s="54"/>
      <c r="AE171" s="54"/>
      <c r="AF171" s="54"/>
      <c r="AG171" s="54"/>
      <c r="AH171" s="54"/>
      <c r="AI171" s="54"/>
      <c r="AJ171" s="54"/>
      <c r="AW171" s="18">
        <f t="shared" si="2"/>
        <v>0</v>
      </c>
    </row>
    <row r="172" spans="10:49" ht="15">
      <c r="J172" s="687"/>
      <c r="K172" s="54"/>
      <c r="L172" s="687"/>
      <c r="M172" s="596"/>
      <c r="N172" s="68"/>
      <c r="O172" s="68"/>
      <c r="P172" s="68"/>
      <c r="Q172" s="68"/>
      <c r="R172" s="68"/>
      <c r="S172" s="68"/>
      <c r="T172" s="68"/>
      <c r="U172" s="54"/>
      <c r="V172" s="54"/>
      <c r="W172" s="54"/>
      <c r="X172" s="54"/>
      <c r="Y172" s="54"/>
      <c r="Z172" s="54"/>
      <c r="AA172" s="54"/>
      <c r="AB172" s="54"/>
      <c r="AC172" s="54"/>
      <c r="AD172" s="54"/>
      <c r="AE172" s="54"/>
      <c r="AF172" s="54"/>
      <c r="AG172" s="54"/>
      <c r="AH172" s="54"/>
      <c r="AI172" s="54"/>
      <c r="AJ172" s="54"/>
      <c r="AW172" s="18">
        <f t="shared" si="2"/>
        <v>0</v>
      </c>
    </row>
    <row r="173" spans="10:49" ht="15">
      <c r="J173" s="687"/>
      <c r="K173" s="54"/>
      <c r="L173" s="687"/>
      <c r="M173" s="596"/>
      <c r="N173" s="68"/>
      <c r="O173" s="68"/>
      <c r="P173" s="68"/>
      <c r="Q173" s="68"/>
      <c r="R173" s="68"/>
      <c r="S173" s="68"/>
      <c r="T173" s="68"/>
      <c r="U173" s="54"/>
      <c r="V173" s="54"/>
      <c r="W173" s="54"/>
      <c r="X173" s="54"/>
      <c r="Y173" s="54"/>
      <c r="Z173" s="54"/>
      <c r="AA173" s="54"/>
      <c r="AB173" s="54"/>
      <c r="AC173" s="54"/>
      <c r="AD173" s="54"/>
      <c r="AE173" s="54"/>
      <c r="AF173" s="54"/>
      <c r="AG173" s="54"/>
      <c r="AH173" s="54"/>
      <c r="AI173" s="54"/>
      <c r="AJ173" s="54"/>
      <c r="AW173" s="18">
        <f t="shared" si="2"/>
        <v>0</v>
      </c>
    </row>
    <row r="174" spans="10:49" ht="15">
      <c r="J174" s="687"/>
      <c r="K174" s="54"/>
      <c r="L174" s="687"/>
      <c r="M174" s="596"/>
      <c r="N174" s="68"/>
      <c r="O174" s="68"/>
      <c r="P174" s="68"/>
      <c r="Q174" s="68"/>
      <c r="R174" s="68"/>
      <c r="S174" s="68"/>
      <c r="T174" s="68"/>
      <c r="U174" s="54"/>
      <c r="V174" s="54"/>
      <c r="W174" s="54"/>
      <c r="X174" s="54"/>
      <c r="Y174" s="54"/>
      <c r="Z174" s="54"/>
      <c r="AA174" s="54"/>
      <c r="AB174" s="54"/>
      <c r="AC174" s="54"/>
      <c r="AD174" s="54"/>
      <c r="AE174" s="54"/>
      <c r="AF174" s="54"/>
      <c r="AG174" s="54"/>
      <c r="AH174" s="54"/>
      <c r="AI174" s="54"/>
      <c r="AJ174" s="54"/>
      <c r="AW174" s="18">
        <f t="shared" si="2"/>
        <v>0</v>
      </c>
    </row>
    <row r="175" spans="10:49" ht="15">
      <c r="J175" s="687"/>
      <c r="K175" s="54"/>
      <c r="L175" s="687"/>
      <c r="M175" s="596"/>
      <c r="N175" s="68"/>
      <c r="O175" s="68"/>
      <c r="P175" s="68"/>
      <c r="Q175" s="68"/>
      <c r="R175" s="68"/>
      <c r="S175" s="68"/>
      <c r="T175" s="68"/>
      <c r="U175" s="54"/>
      <c r="V175" s="54"/>
      <c r="W175" s="54"/>
      <c r="X175" s="54"/>
      <c r="Y175" s="54"/>
      <c r="Z175" s="54"/>
      <c r="AA175" s="54"/>
      <c r="AB175" s="54"/>
      <c r="AC175" s="54"/>
      <c r="AD175" s="54"/>
      <c r="AE175" s="54"/>
      <c r="AF175" s="54"/>
      <c r="AG175" s="54"/>
      <c r="AH175" s="54"/>
      <c r="AI175" s="54"/>
      <c r="AJ175" s="54"/>
      <c r="AW175" s="18">
        <f t="shared" si="2"/>
        <v>0</v>
      </c>
    </row>
    <row r="176" spans="10:49" ht="15">
      <c r="J176" s="687"/>
      <c r="K176" s="54"/>
      <c r="L176" s="687"/>
      <c r="M176" s="596"/>
      <c r="N176" s="68"/>
      <c r="O176" s="68"/>
      <c r="P176" s="68"/>
      <c r="Q176" s="68"/>
      <c r="R176" s="68"/>
      <c r="S176" s="68"/>
      <c r="T176" s="68"/>
      <c r="U176" s="54"/>
      <c r="V176" s="54"/>
      <c r="W176" s="54"/>
      <c r="X176" s="54"/>
      <c r="Y176" s="54"/>
      <c r="Z176" s="54"/>
      <c r="AA176" s="54"/>
      <c r="AB176" s="54"/>
      <c r="AC176" s="54"/>
      <c r="AD176" s="54"/>
      <c r="AE176" s="54"/>
      <c r="AF176" s="54"/>
      <c r="AG176" s="54"/>
      <c r="AH176" s="54"/>
      <c r="AI176" s="54"/>
      <c r="AJ176" s="54"/>
      <c r="AW176" s="18">
        <f t="shared" si="2"/>
        <v>0</v>
      </c>
    </row>
    <row r="177" spans="10:49" ht="15">
      <c r="J177" s="687"/>
      <c r="K177" s="54"/>
      <c r="L177" s="687"/>
      <c r="M177" s="596"/>
      <c r="N177" s="68"/>
      <c r="O177" s="68"/>
      <c r="P177" s="68"/>
      <c r="Q177" s="68"/>
      <c r="R177" s="68"/>
      <c r="S177" s="68"/>
      <c r="T177" s="68"/>
      <c r="U177" s="54"/>
      <c r="V177" s="54"/>
      <c r="W177" s="54"/>
      <c r="X177" s="54"/>
      <c r="Y177" s="54"/>
      <c r="Z177" s="54"/>
      <c r="AA177" s="54"/>
      <c r="AB177" s="54"/>
      <c r="AC177" s="54"/>
      <c r="AD177" s="54"/>
      <c r="AE177" s="54"/>
      <c r="AF177" s="54"/>
      <c r="AG177" s="54"/>
      <c r="AH177" s="54"/>
      <c r="AI177" s="54"/>
      <c r="AJ177" s="54"/>
      <c r="AW177" s="18">
        <f t="shared" si="2"/>
        <v>0</v>
      </c>
    </row>
    <row r="178" spans="10:49" ht="15">
      <c r="J178" s="687"/>
      <c r="K178" s="54"/>
      <c r="L178" s="687"/>
      <c r="M178" s="596"/>
      <c r="N178" s="68"/>
      <c r="O178" s="68"/>
      <c r="P178" s="68"/>
      <c r="Q178" s="68"/>
      <c r="R178" s="68"/>
      <c r="S178" s="68"/>
      <c r="T178" s="68"/>
      <c r="U178" s="54"/>
      <c r="V178" s="54"/>
      <c r="W178" s="54"/>
      <c r="X178" s="54"/>
      <c r="Y178" s="54"/>
      <c r="Z178" s="54"/>
      <c r="AA178" s="54"/>
      <c r="AB178" s="54"/>
      <c r="AC178" s="54"/>
      <c r="AD178" s="54"/>
      <c r="AE178" s="54"/>
      <c r="AF178" s="54"/>
      <c r="AG178" s="54"/>
      <c r="AH178" s="54"/>
      <c r="AI178" s="54"/>
      <c r="AJ178" s="54"/>
      <c r="AW178" s="18">
        <f t="shared" si="2"/>
        <v>0</v>
      </c>
    </row>
    <row r="179" spans="10:49" ht="15">
      <c r="J179" s="687"/>
      <c r="K179" s="54"/>
      <c r="L179" s="687"/>
      <c r="M179" s="596"/>
      <c r="N179" s="68"/>
      <c r="O179" s="68"/>
      <c r="P179" s="68"/>
      <c r="Q179" s="68"/>
      <c r="R179" s="68"/>
      <c r="S179" s="68"/>
      <c r="T179" s="68"/>
      <c r="U179" s="54"/>
      <c r="V179" s="54"/>
      <c r="W179" s="54"/>
      <c r="X179" s="54"/>
      <c r="Y179" s="54"/>
      <c r="Z179" s="54"/>
      <c r="AA179" s="54"/>
      <c r="AB179" s="54"/>
      <c r="AC179" s="54"/>
      <c r="AD179" s="54"/>
      <c r="AE179" s="54"/>
      <c r="AF179" s="54"/>
      <c r="AG179" s="54"/>
      <c r="AH179" s="54"/>
      <c r="AI179" s="54"/>
      <c r="AJ179" s="54"/>
      <c r="AW179" s="18">
        <f t="shared" si="2"/>
        <v>0</v>
      </c>
    </row>
    <row r="180" spans="10:49" ht="15">
      <c r="J180" s="687"/>
      <c r="K180" s="54"/>
      <c r="L180" s="687"/>
      <c r="M180" s="596"/>
      <c r="N180" s="68"/>
      <c r="O180" s="68"/>
      <c r="P180" s="68"/>
      <c r="Q180" s="68"/>
      <c r="R180" s="68"/>
      <c r="S180" s="68"/>
      <c r="T180" s="68"/>
      <c r="U180" s="54"/>
      <c r="V180" s="54"/>
      <c r="W180" s="54"/>
      <c r="X180" s="54"/>
      <c r="Y180" s="54"/>
      <c r="Z180" s="54"/>
      <c r="AA180" s="54"/>
      <c r="AB180" s="54"/>
      <c r="AC180" s="54"/>
      <c r="AD180" s="54"/>
      <c r="AE180" s="54"/>
      <c r="AF180" s="54"/>
      <c r="AG180" s="54"/>
      <c r="AH180" s="54"/>
      <c r="AI180" s="54"/>
      <c r="AJ180" s="54"/>
      <c r="AW180" s="18">
        <f t="shared" si="2"/>
        <v>0</v>
      </c>
    </row>
    <row r="181" spans="10:49" ht="15">
      <c r="J181" s="687"/>
      <c r="K181" s="54"/>
      <c r="L181" s="687"/>
      <c r="M181" s="596"/>
      <c r="N181" s="68"/>
      <c r="O181" s="68"/>
      <c r="P181" s="68"/>
      <c r="Q181" s="68"/>
      <c r="R181" s="68"/>
      <c r="S181" s="68"/>
      <c r="T181" s="68"/>
      <c r="U181" s="54"/>
      <c r="V181" s="54"/>
      <c r="W181" s="54"/>
      <c r="X181" s="54"/>
      <c r="Y181" s="54"/>
      <c r="Z181" s="54"/>
      <c r="AA181" s="54"/>
      <c r="AB181" s="54"/>
      <c r="AC181" s="54"/>
      <c r="AD181" s="54"/>
      <c r="AE181" s="54"/>
      <c r="AF181" s="54"/>
      <c r="AG181" s="54"/>
      <c r="AH181" s="54"/>
      <c r="AI181" s="54"/>
      <c r="AJ181" s="54"/>
      <c r="AW181" s="18">
        <f t="shared" si="2"/>
        <v>0</v>
      </c>
    </row>
    <row r="182" spans="10:49" ht="15">
      <c r="J182" s="687"/>
      <c r="K182" s="54"/>
      <c r="L182" s="687"/>
      <c r="M182" s="596"/>
      <c r="N182" s="68"/>
      <c r="O182" s="68"/>
      <c r="P182" s="68"/>
      <c r="Q182" s="68"/>
      <c r="R182" s="68"/>
      <c r="S182" s="68"/>
      <c r="T182" s="68"/>
      <c r="U182" s="54"/>
      <c r="V182" s="54"/>
      <c r="W182" s="54"/>
      <c r="X182" s="54"/>
      <c r="Y182" s="54"/>
      <c r="Z182" s="54"/>
      <c r="AA182" s="54"/>
      <c r="AB182" s="54"/>
      <c r="AC182" s="54"/>
      <c r="AD182" s="54"/>
      <c r="AE182" s="54"/>
      <c r="AF182" s="54"/>
      <c r="AG182" s="54"/>
      <c r="AH182" s="54"/>
      <c r="AI182" s="54"/>
      <c r="AJ182" s="54"/>
      <c r="AW182" s="18">
        <f t="shared" si="2"/>
        <v>0</v>
      </c>
    </row>
    <row r="183" spans="10:49" ht="15">
      <c r="J183" s="687"/>
      <c r="K183" s="54"/>
      <c r="L183" s="687"/>
      <c r="M183" s="596"/>
      <c r="N183" s="68"/>
      <c r="O183" s="68"/>
      <c r="P183" s="68"/>
      <c r="Q183" s="68"/>
      <c r="R183" s="68"/>
      <c r="S183" s="68"/>
      <c r="T183" s="68"/>
      <c r="U183" s="54"/>
      <c r="V183" s="54"/>
      <c r="W183" s="54"/>
      <c r="X183" s="54"/>
      <c r="Y183" s="54"/>
      <c r="Z183" s="54"/>
      <c r="AA183" s="54"/>
      <c r="AB183" s="54"/>
      <c r="AC183" s="54"/>
      <c r="AD183" s="54"/>
      <c r="AE183" s="54"/>
      <c r="AF183" s="54"/>
      <c r="AG183" s="54"/>
      <c r="AH183" s="54"/>
      <c r="AI183" s="54"/>
      <c r="AJ183" s="54"/>
      <c r="AW183" s="18">
        <f t="shared" si="2"/>
        <v>0</v>
      </c>
    </row>
    <row r="184" spans="10:49" ht="15">
      <c r="J184" s="687"/>
      <c r="K184" s="54"/>
      <c r="L184" s="687"/>
      <c r="M184" s="596"/>
      <c r="N184" s="68"/>
      <c r="O184" s="68"/>
      <c r="P184" s="68"/>
      <c r="Q184" s="68"/>
      <c r="R184" s="68"/>
      <c r="S184" s="68"/>
      <c r="T184" s="68"/>
      <c r="U184" s="54"/>
      <c r="V184" s="54"/>
      <c r="W184" s="54"/>
      <c r="X184" s="54"/>
      <c r="Y184" s="54"/>
      <c r="Z184" s="54"/>
      <c r="AA184" s="54"/>
      <c r="AB184" s="54"/>
      <c r="AC184" s="54"/>
      <c r="AD184" s="54"/>
      <c r="AE184" s="54"/>
      <c r="AF184" s="54"/>
      <c r="AG184" s="54"/>
      <c r="AH184" s="54"/>
      <c r="AI184" s="54"/>
      <c r="AJ184" s="54"/>
      <c r="AW184" s="18">
        <f t="shared" si="2"/>
        <v>0</v>
      </c>
    </row>
    <row r="185" spans="10:49" ht="15">
      <c r="J185" s="687"/>
      <c r="K185" s="54"/>
      <c r="L185" s="687"/>
      <c r="M185" s="596"/>
      <c r="N185" s="68"/>
      <c r="O185" s="68"/>
      <c r="P185" s="68"/>
      <c r="Q185" s="68"/>
      <c r="R185" s="68"/>
      <c r="S185" s="68"/>
      <c r="T185" s="68"/>
      <c r="U185" s="54"/>
      <c r="V185" s="54"/>
      <c r="W185" s="54"/>
      <c r="X185" s="54"/>
      <c r="Y185" s="54"/>
      <c r="Z185" s="54"/>
      <c r="AA185" s="54"/>
      <c r="AB185" s="54"/>
      <c r="AC185" s="54"/>
      <c r="AD185" s="54"/>
      <c r="AE185" s="54"/>
      <c r="AF185" s="54"/>
      <c r="AG185" s="54"/>
      <c r="AH185" s="54"/>
      <c r="AI185" s="54"/>
      <c r="AJ185" s="54"/>
      <c r="AW185" s="18">
        <f t="shared" si="2"/>
        <v>0</v>
      </c>
    </row>
    <row r="186" spans="10:49" ht="15">
      <c r="J186" s="687"/>
      <c r="K186" s="54"/>
      <c r="L186" s="687"/>
      <c r="M186" s="596"/>
      <c r="N186" s="68"/>
      <c r="O186" s="68"/>
      <c r="P186" s="68"/>
      <c r="Q186" s="68"/>
      <c r="R186" s="68"/>
      <c r="S186" s="68"/>
      <c r="T186" s="68"/>
      <c r="U186" s="54"/>
      <c r="V186" s="54"/>
      <c r="W186" s="54"/>
      <c r="X186" s="54"/>
      <c r="Y186" s="54"/>
      <c r="Z186" s="54"/>
      <c r="AA186" s="54"/>
      <c r="AB186" s="54"/>
      <c r="AC186" s="54"/>
      <c r="AD186" s="54"/>
      <c r="AE186" s="54"/>
      <c r="AF186" s="54"/>
      <c r="AG186" s="54"/>
      <c r="AH186" s="54"/>
      <c r="AI186" s="54"/>
      <c r="AJ186" s="54"/>
      <c r="AW186" s="18">
        <f t="shared" si="2"/>
        <v>0</v>
      </c>
    </row>
    <row r="187" spans="10:49" ht="15">
      <c r="J187" s="687"/>
      <c r="K187" s="54"/>
      <c r="L187" s="687"/>
      <c r="M187" s="596"/>
      <c r="N187" s="68"/>
      <c r="O187" s="68"/>
      <c r="P187" s="68"/>
      <c r="Q187" s="68"/>
      <c r="R187" s="68"/>
      <c r="S187" s="68"/>
      <c r="T187" s="68"/>
      <c r="U187" s="54"/>
      <c r="V187" s="54"/>
      <c r="W187" s="54"/>
      <c r="X187" s="54"/>
      <c r="Y187" s="54"/>
      <c r="Z187" s="54"/>
      <c r="AA187" s="54"/>
      <c r="AB187" s="54"/>
      <c r="AC187" s="54"/>
      <c r="AD187" s="54"/>
      <c r="AE187" s="54"/>
      <c r="AF187" s="54"/>
      <c r="AG187" s="54"/>
      <c r="AH187" s="54"/>
      <c r="AI187" s="54"/>
      <c r="AJ187" s="54"/>
      <c r="AW187" s="18">
        <f t="shared" si="2"/>
        <v>0</v>
      </c>
    </row>
    <row r="188" spans="10:49" ht="15">
      <c r="J188" s="687"/>
      <c r="K188" s="54"/>
      <c r="L188" s="687"/>
      <c r="M188" s="596"/>
      <c r="N188" s="68"/>
      <c r="O188" s="68"/>
      <c r="P188" s="68"/>
      <c r="Q188" s="68"/>
      <c r="R188" s="68"/>
      <c r="S188" s="68"/>
      <c r="T188" s="68"/>
      <c r="U188" s="54"/>
      <c r="V188" s="54"/>
      <c r="W188" s="54"/>
      <c r="X188" s="54"/>
      <c r="Y188" s="54"/>
      <c r="Z188" s="54"/>
      <c r="AA188" s="54"/>
      <c r="AB188" s="54"/>
      <c r="AC188" s="54"/>
      <c r="AD188" s="54"/>
      <c r="AE188" s="54"/>
      <c r="AF188" s="54"/>
      <c r="AG188" s="54"/>
      <c r="AH188" s="54"/>
      <c r="AI188" s="54"/>
      <c r="AJ188" s="54"/>
      <c r="AW188" s="18">
        <f t="shared" si="2"/>
        <v>0</v>
      </c>
    </row>
    <row r="189" spans="10:49" ht="15">
      <c r="J189" s="687"/>
      <c r="K189" s="54"/>
      <c r="L189" s="687"/>
      <c r="M189" s="596"/>
      <c r="N189" s="68"/>
      <c r="O189" s="68"/>
      <c r="P189" s="68"/>
      <c r="Q189" s="68"/>
      <c r="R189" s="68"/>
      <c r="S189" s="68"/>
      <c r="T189" s="68"/>
      <c r="U189" s="54"/>
      <c r="V189" s="54"/>
      <c r="W189" s="54"/>
      <c r="X189" s="54"/>
      <c r="Y189" s="54"/>
      <c r="Z189" s="54"/>
      <c r="AA189" s="54"/>
      <c r="AB189" s="54"/>
      <c r="AC189" s="54"/>
      <c r="AD189" s="54"/>
      <c r="AE189" s="54"/>
      <c r="AF189" s="54"/>
      <c r="AG189" s="54"/>
      <c r="AH189" s="54"/>
      <c r="AI189" s="54"/>
      <c r="AJ189" s="54"/>
      <c r="AW189" s="18">
        <f t="shared" si="2"/>
        <v>0</v>
      </c>
    </row>
    <row r="190" spans="10:49" ht="15">
      <c r="J190" s="687"/>
      <c r="K190" s="54"/>
      <c r="L190" s="687"/>
      <c r="M190" s="596"/>
      <c r="N190" s="68"/>
      <c r="O190" s="68"/>
      <c r="P190" s="68"/>
      <c r="Q190" s="68"/>
      <c r="R190" s="68"/>
      <c r="S190" s="68"/>
      <c r="T190" s="68"/>
      <c r="U190" s="54"/>
      <c r="V190" s="54"/>
      <c r="W190" s="54"/>
      <c r="X190" s="54"/>
      <c r="Y190" s="54"/>
      <c r="Z190" s="54"/>
      <c r="AA190" s="54"/>
      <c r="AB190" s="54"/>
      <c r="AC190" s="54"/>
      <c r="AD190" s="54"/>
      <c r="AE190" s="54"/>
      <c r="AF190" s="54"/>
      <c r="AG190" s="54"/>
      <c r="AH190" s="54"/>
      <c r="AI190" s="54"/>
      <c r="AJ190" s="54"/>
      <c r="AW190" s="18">
        <f t="shared" si="2"/>
        <v>0</v>
      </c>
    </row>
    <row r="191" spans="10:49" ht="15">
      <c r="J191" s="687"/>
      <c r="K191" s="54"/>
      <c r="L191" s="687"/>
      <c r="M191" s="596"/>
      <c r="N191" s="68"/>
      <c r="O191" s="68"/>
      <c r="P191" s="68"/>
      <c r="Q191" s="68"/>
      <c r="R191" s="68"/>
      <c r="S191" s="68"/>
      <c r="T191" s="68"/>
      <c r="U191" s="54"/>
      <c r="V191" s="54"/>
      <c r="W191" s="54"/>
      <c r="X191" s="54"/>
      <c r="Y191" s="54"/>
      <c r="Z191" s="54"/>
      <c r="AA191" s="54"/>
      <c r="AB191" s="54"/>
      <c r="AC191" s="54"/>
      <c r="AD191" s="54"/>
      <c r="AE191" s="54"/>
      <c r="AF191" s="54"/>
      <c r="AG191" s="54"/>
      <c r="AH191" s="54"/>
      <c r="AI191" s="54"/>
      <c r="AJ191" s="54"/>
      <c r="AW191" s="18">
        <f t="shared" si="2"/>
        <v>0</v>
      </c>
    </row>
    <row r="192" spans="10:49" ht="15">
      <c r="J192" s="687"/>
      <c r="K192" s="54"/>
      <c r="L192" s="687"/>
      <c r="M192" s="596"/>
      <c r="N192" s="68"/>
      <c r="O192" s="68"/>
      <c r="P192" s="68"/>
      <c r="Q192" s="68"/>
      <c r="R192" s="68"/>
      <c r="S192" s="68"/>
      <c r="T192" s="68"/>
      <c r="U192" s="54"/>
      <c r="V192" s="54"/>
      <c r="W192" s="54"/>
      <c r="X192" s="54"/>
      <c r="Y192" s="54"/>
      <c r="Z192" s="54"/>
      <c r="AA192" s="54"/>
      <c r="AB192" s="54"/>
      <c r="AC192" s="54"/>
      <c r="AD192" s="54"/>
      <c r="AE192" s="54"/>
      <c r="AF192" s="54"/>
      <c r="AG192" s="54"/>
      <c r="AH192" s="54"/>
      <c r="AI192" s="54"/>
      <c r="AJ192" s="54"/>
      <c r="AW192" s="18">
        <f t="shared" si="2"/>
        <v>0</v>
      </c>
    </row>
    <row r="193" spans="10:49" ht="15">
      <c r="J193" s="687"/>
      <c r="K193" s="54"/>
      <c r="L193" s="687"/>
      <c r="M193" s="596"/>
      <c r="N193" s="68"/>
      <c r="O193" s="68"/>
      <c r="P193" s="68"/>
      <c r="Q193" s="68"/>
      <c r="R193" s="68"/>
      <c r="S193" s="68"/>
      <c r="T193" s="68"/>
      <c r="U193" s="54"/>
      <c r="V193" s="54"/>
      <c r="W193" s="54"/>
      <c r="X193" s="54"/>
      <c r="Y193" s="54"/>
      <c r="Z193" s="54"/>
      <c r="AA193" s="54"/>
      <c r="AB193" s="54"/>
      <c r="AC193" s="54"/>
      <c r="AD193" s="54"/>
      <c r="AE193" s="54"/>
      <c r="AF193" s="54"/>
      <c r="AG193" s="54"/>
      <c r="AH193" s="54"/>
      <c r="AI193" s="54"/>
      <c r="AJ193" s="54"/>
      <c r="AW193" s="18">
        <f t="shared" si="2"/>
        <v>0</v>
      </c>
    </row>
    <row r="194" spans="10:49" ht="15">
      <c r="J194" s="687"/>
      <c r="K194" s="54"/>
      <c r="L194" s="687"/>
      <c r="M194" s="596"/>
      <c r="N194" s="68"/>
      <c r="O194" s="68"/>
      <c r="P194" s="68"/>
      <c r="Q194" s="68"/>
      <c r="R194" s="68"/>
      <c r="S194" s="68"/>
      <c r="T194" s="68"/>
      <c r="U194" s="54"/>
      <c r="V194" s="54"/>
      <c r="W194" s="54"/>
      <c r="X194" s="54"/>
      <c r="Y194" s="54"/>
      <c r="Z194" s="54"/>
      <c r="AA194" s="54"/>
      <c r="AB194" s="54"/>
      <c r="AC194" s="54"/>
      <c r="AD194" s="54"/>
      <c r="AE194" s="54"/>
      <c r="AF194" s="54"/>
      <c r="AG194" s="54"/>
      <c r="AH194" s="54"/>
      <c r="AI194" s="54"/>
      <c r="AJ194" s="54"/>
      <c r="AW194" s="18">
        <f t="shared" si="2"/>
        <v>0</v>
      </c>
    </row>
    <row r="195" spans="10:49" ht="15">
      <c r="J195" s="687"/>
      <c r="K195" s="54"/>
      <c r="L195" s="687"/>
      <c r="M195" s="596"/>
      <c r="N195" s="68"/>
      <c r="O195" s="68"/>
      <c r="P195" s="68"/>
      <c r="Q195" s="68"/>
      <c r="R195" s="68"/>
      <c r="S195" s="68"/>
      <c r="T195" s="68"/>
      <c r="U195" s="54"/>
      <c r="V195" s="54"/>
      <c r="W195" s="54"/>
      <c r="X195" s="54"/>
      <c r="Y195" s="54"/>
      <c r="Z195" s="54"/>
      <c r="AA195" s="54"/>
      <c r="AB195" s="54"/>
      <c r="AC195" s="54"/>
      <c r="AD195" s="54"/>
      <c r="AE195" s="54"/>
      <c r="AF195" s="54"/>
      <c r="AG195" s="54"/>
      <c r="AH195" s="54"/>
      <c r="AI195" s="54"/>
      <c r="AJ195" s="54"/>
      <c r="AW195" s="18">
        <f t="shared" si="2"/>
        <v>0</v>
      </c>
    </row>
    <row r="196" spans="10:49" ht="15">
      <c r="J196" s="687"/>
      <c r="K196" s="54"/>
      <c r="L196" s="687"/>
      <c r="M196" s="596"/>
      <c r="N196" s="68"/>
      <c r="O196" s="68"/>
      <c r="P196" s="68"/>
      <c r="Q196" s="68"/>
      <c r="R196" s="68"/>
      <c r="S196" s="68"/>
      <c r="T196" s="68"/>
      <c r="U196" s="54"/>
      <c r="V196" s="54"/>
      <c r="W196" s="54"/>
      <c r="X196" s="54"/>
      <c r="Y196" s="54"/>
      <c r="Z196" s="54"/>
      <c r="AA196" s="54"/>
      <c r="AB196" s="54"/>
      <c r="AC196" s="54"/>
      <c r="AD196" s="54"/>
      <c r="AE196" s="54"/>
      <c r="AF196" s="54"/>
      <c r="AG196" s="54"/>
      <c r="AH196" s="54"/>
      <c r="AI196" s="54"/>
      <c r="AJ196" s="54"/>
      <c r="AW196" s="18">
        <f t="shared" si="2"/>
        <v>0</v>
      </c>
    </row>
    <row r="197" spans="10:49" ht="15">
      <c r="J197" s="687"/>
      <c r="K197" s="54"/>
      <c r="L197" s="687"/>
      <c r="M197" s="596"/>
      <c r="N197" s="68"/>
      <c r="O197" s="68"/>
      <c r="P197" s="68"/>
      <c r="Q197" s="68"/>
      <c r="R197" s="68"/>
      <c r="S197" s="68"/>
      <c r="T197" s="68"/>
      <c r="U197" s="54"/>
      <c r="V197" s="54"/>
      <c r="W197" s="54"/>
      <c r="X197" s="54"/>
      <c r="Y197" s="54"/>
      <c r="Z197" s="54"/>
      <c r="AA197" s="54"/>
      <c r="AB197" s="54"/>
      <c r="AC197" s="54"/>
      <c r="AD197" s="54"/>
      <c r="AE197" s="54"/>
      <c r="AF197" s="54"/>
      <c r="AG197" s="54"/>
      <c r="AH197" s="54"/>
      <c r="AI197" s="54"/>
      <c r="AJ197" s="54"/>
      <c r="AW197" s="18">
        <f t="shared" si="2"/>
        <v>0</v>
      </c>
    </row>
    <row r="198" spans="10:49" ht="15">
      <c r="J198" s="687"/>
      <c r="K198" s="54"/>
      <c r="L198" s="687"/>
      <c r="M198" s="596"/>
      <c r="N198" s="68"/>
      <c r="O198" s="68"/>
      <c r="P198" s="68"/>
      <c r="Q198" s="68"/>
      <c r="R198" s="68"/>
      <c r="S198" s="68"/>
      <c r="T198" s="68"/>
      <c r="U198" s="54"/>
      <c r="V198" s="54"/>
      <c r="W198" s="54"/>
      <c r="X198" s="54"/>
      <c r="Y198" s="54"/>
      <c r="Z198" s="54"/>
      <c r="AA198" s="54"/>
      <c r="AB198" s="54"/>
      <c r="AC198" s="54"/>
      <c r="AD198" s="54"/>
      <c r="AE198" s="54"/>
      <c r="AF198" s="54"/>
      <c r="AG198" s="54"/>
      <c r="AH198" s="54"/>
      <c r="AI198" s="54"/>
      <c r="AJ198" s="54"/>
      <c r="AW198" s="18">
        <f t="shared" si="2"/>
        <v>0</v>
      </c>
    </row>
    <row r="199" spans="10:49" ht="15">
      <c r="J199" s="687"/>
      <c r="K199" s="54"/>
      <c r="L199" s="687"/>
      <c r="M199" s="596"/>
      <c r="N199" s="68"/>
      <c r="O199" s="68"/>
      <c r="P199" s="68"/>
      <c r="Q199" s="68"/>
      <c r="R199" s="68"/>
      <c r="S199" s="68"/>
      <c r="T199" s="68"/>
      <c r="U199" s="54"/>
      <c r="V199" s="54"/>
      <c r="W199" s="54"/>
      <c r="X199" s="54"/>
      <c r="Y199" s="54"/>
      <c r="Z199" s="54"/>
      <c r="AA199" s="54"/>
      <c r="AB199" s="54"/>
      <c r="AC199" s="54"/>
      <c r="AD199" s="54"/>
      <c r="AE199" s="54"/>
      <c r="AF199" s="54"/>
      <c r="AG199" s="54"/>
      <c r="AH199" s="54"/>
      <c r="AI199" s="54"/>
      <c r="AJ199" s="54"/>
      <c r="AW199" s="18">
        <f t="shared" si="2"/>
        <v>0</v>
      </c>
    </row>
    <row r="200" spans="10:49" ht="15">
      <c r="J200" s="687"/>
      <c r="K200" s="54"/>
      <c r="L200" s="687"/>
      <c r="M200" s="596"/>
      <c r="N200" s="68"/>
      <c r="O200" s="68"/>
      <c r="P200" s="68"/>
      <c r="Q200" s="68"/>
      <c r="R200" s="68"/>
      <c r="S200" s="68"/>
      <c r="T200" s="68"/>
      <c r="U200" s="54"/>
      <c r="V200" s="54"/>
      <c r="W200" s="54"/>
      <c r="X200" s="54"/>
      <c r="Y200" s="54"/>
      <c r="Z200" s="54"/>
      <c r="AA200" s="54"/>
      <c r="AB200" s="54"/>
      <c r="AC200" s="54"/>
      <c r="AD200" s="54"/>
      <c r="AE200" s="54"/>
      <c r="AF200" s="54"/>
      <c r="AG200" s="54"/>
      <c r="AH200" s="54"/>
      <c r="AI200" s="54"/>
      <c r="AJ200" s="54"/>
      <c r="AW200" s="18">
        <f t="shared" si="2"/>
        <v>0</v>
      </c>
    </row>
    <row r="201" spans="10:49" ht="15">
      <c r="J201" s="687"/>
      <c r="K201" s="54"/>
      <c r="L201" s="687"/>
      <c r="M201" s="596"/>
      <c r="N201" s="68"/>
      <c r="O201" s="68"/>
      <c r="P201" s="68"/>
      <c r="Q201" s="68"/>
      <c r="R201" s="68"/>
      <c r="S201" s="68"/>
      <c r="T201" s="68"/>
      <c r="U201" s="54"/>
      <c r="V201" s="54"/>
      <c r="W201" s="54"/>
      <c r="X201" s="54"/>
      <c r="Y201" s="54"/>
      <c r="Z201" s="54"/>
      <c r="AA201" s="54"/>
      <c r="AB201" s="54"/>
      <c r="AC201" s="54"/>
      <c r="AD201" s="54"/>
      <c r="AE201" s="54"/>
      <c r="AF201" s="54"/>
      <c r="AG201" s="54"/>
      <c r="AH201" s="54"/>
      <c r="AI201" s="54"/>
      <c r="AJ201" s="54"/>
      <c r="AW201" s="18">
        <f t="shared" si="2"/>
        <v>0</v>
      </c>
    </row>
    <row r="202" spans="10:49" ht="15">
      <c r="J202" s="687"/>
      <c r="K202" s="54"/>
      <c r="L202" s="687"/>
      <c r="M202" s="596"/>
      <c r="N202" s="68"/>
      <c r="O202" s="68"/>
      <c r="P202" s="68"/>
      <c r="Q202" s="68"/>
      <c r="R202" s="68"/>
      <c r="S202" s="68"/>
      <c r="T202" s="68"/>
      <c r="U202" s="54"/>
      <c r="V202" s="54"/>
      <c r="W202" s="54"/>
      <c r="X202" s="54"/>
      <c r="Y202" s="54"/>
      <c r="Z202" s="54"/>
      <c r="AA202" s="54"/>
      <c r="AB202" s="54"/>
      <c r="AC202" s="54"/>
      <c r="AD202" s="54"/>
      <c r="AE202" s="54"/>
      <c r="AF202" s="54"/>
      <c r="AG202" s="54"/>
      <c r="AH202" s="54"/>
      <c r="AI202" s="54"/>
      <c r="AJ202" s="54"/>
      <c r="AW202" s="18">
        <f t="shared" si="2"/>
        <v>0</v>
      </c>
    </row>
    <row r="203" spans="10:49" ht="15">
      <c r="J203" s="687"/>
      <c r="K203" s="54"/>
      <c r="L203" s="687"/>
      <c r="M203" s="596"/>
      <c r="N203" s="68"/>
      <c r="O203" s="68"/>
      <c r="P203" s="68"/>
      <c r="Q203" s="68"/>
      <c r="R203" s="68"/>
      <c r="S203" s="68"/>
      <c r="T203" s="68"/>
      <c r="U203" s="54"/>
      <c r="V203" s="54"/>
      <c r="W203" s="54"/>
      <c r="X203" s="54"/>
      <c r="Y203" s="54"/>
      <c r="Z203" s="54"/>
      <c r="AA203" s="54"/>
      <c r="AB203" s="54"/>
      <c r="AC203" s="54"/>
      <c r="AD203" s="54"/>
      <c r="AE203" s="54"/>
      <c r="AF203" s="54"/>
      <c r="AG203" s="54"/>
      <c r="AH203" s="54"/>
      <c r="AI203" s="54"/>
      <c r="AJ203" s="54"/>
      <c r="AW203" s="18">
        <f t="shared" si="2"/>
        <v>0</v>
      </c>
    </row>
    <row r="204" spans="10:49" ht="15">
      <c r="J204" s="687"/>
      <c r="K204" s="54"/>
      <c r="L204" s="687"/>
      <c r="M204" s="596"/>
      <c r="N204" s="68"/>
      <c r="O204" s="68"/>
      <c r="P204" s="68"/>
      <c r="Q204" s="68"/>
      <c r="R204" s="68"/>
      <c r="S204" s="68"/>
      <c r="T204" s="68"/>
      <c r="U204" s="54"/>
      <c r="V204" s="54"/>
      <c r="W204" s="54"/>
      <c r="X204" s="54"/>
      <c r="Y204" s="54"/>
      <c r="Z204" s="54"/>
      <c r="AA204" s="54"/>
      <c r="AB204" s="54"/>
      <c r="AC204" s="54"/>
      <c r="AD204" s="54"/>
      <c r="AE204" s="54"/>
      <c r="AF204" s="54"/>
      <c r="AG204" s="54"/>
      <c r="AH204" s="54"/>
      <c r="AI204" s="54"/>
      <c r="AJ204" s="54"/>
      <c r="AW204" s="18">
        <f t="shared" si="2"/>
        <v>0</v>
      </c>
    </row>
    <row r="205" spans="10:49" ht="15">
      <c r="J205" s="687"/>
      <c r="K205" s="54"/>
      <c r="L205" s="687"/>
      <c r="M205" s="596"/>
      <c r="N205" s="68"/>
      <c r="O205" s="68"/>
      <c r="P205" s="68"/>
      <c r="Q205" s="68"/>
      <c r="R205" s="68"/>
      <c r="S205" s="68"/>
      <c r="T205" s="68"/>
      <c r="U205" s="54"/>
      <c r="V205" s="54"/>
      <c r="W205" s="54"/>
      <c r="X205" s="54"/>
      <c r="Y205" s="54"/>
      <c r="Z205" s="54"/>
      <c r="AA205" s="54"/>
      <c r="AB205" s="54"/>
      <c r="AC205" s="54"/>
      <c r="AD205" s="54"/>
      <c r="AE205" s="54"/>
      <c r="AF205" s="54"/>
      <c r="AG205" s="54"/>
      <c r="AH205" s="54"/>
      <c r="AI205" s="54"/>
      <c r="AJ205" s="54"/>
      <c r="AW205" s="18">
        <f t="shared" ref="AW205:AW268" si="3">LEN(L205)</f>
        <v>0</v>
      </c>
    </row>
    <row r="206" spans="10:49" ht="15">
      <c r="J206" s="687"/>
      <c r="K206" s="54"/>
      <c r="L206" s="687"/>
      <c r="M206" s="596"/>
      <c r="N206" s="68"/>
      <c r="O206" s="68"/>
      <c r="P206" s="68"/>
      <c r="Q206" s="68"/>
      <c r="R206" s="68"/>
      <c r="S206" s="68"/>
      <c r="T206" s="68"/>
      <c r="U206" s="54"/>
      <c r="V206" s="54"/>
      <c r="W206" s="54"/>
      <c r="X206" s="54"/>
      <c r="Y206" s="54"/>
      <c r="Z206" s="54"/>
      <c r="AA206" s="54"/>
      <c r="AB206" s="54"/>
      <c r="AC206" s="54"/>
      <c r="AD206" s="54"/>
      <c r="AE206" s="54"/>
      <c r="AF206" s="54"/>
      <c r="AG206" s="54"/>
      <c r="AH206" s="54"/>
      <c r="AI206" s="54"/>
      <c r="AJ206" s="54"/>
      <c r="AW206" s="18">
        <f t="shared" si="3"/>
        <v>0</v>
      </c>
    </row>
    <row r="207" spans="10:49" ht="15">
      <c r="J207" s="687"/>
      <c r="K207" s="54"/>
      <c r="L207" s="687"/>
      <c r="M207" s="596"/>
      <c r="N207" s="68"/>
      <c r="O207" s="68"/>
      <c r="P207" s="68"/>
      <c r="Q207" s="68"/>
      <c r="R207" s="68"/>
      <c r="S207" s="68"/>
      <c r="T207" s="68"/>
      <c r="U207" s="54"/>
      <c r="V207" s="54"/>
      <c r="W207" s="54"/>
      <c r="X207" s="54"/>
      <c r="Y207" s="54"/>
      <c r="Z207" s="54"/>
      <c r="AA207" s="54"/>
      <c r="AB207" s="54"/>
      <c r="AC207" s="54"/>
      <c r="AD207" s="54"/>
      <c r="AE207" s="54"/>
      <c r="AF207" s="54"/>
      <c r="AG207" s="54"/>
      <c r="AH207" s="54"/>
      <c r="AI207" s="54"/>
      <c r="AJ207" s="54"/>
      <c r="AW207" s="18">
        <f t="shared" si="3"/>
        <v>0</v>
      </c>
    </row>
    <row r="208" spans="10:49" ht="15">
      <c r="J208" s="687"/>
      <c r="K208" s="54"/>
      <c r="L208" s="687"/>
      <c r="M208" s="596"/>
      <c r="N208" s="68"/>
      <c r="O208" s="68"/>
      <c r="P208" s="68"/>
      <c r="Q208" s="68"/>
      <c r="R208" s="68"/>
      <c r="S208" s="68"/>
      <c r="T208" s="68"/>
      <c r="U208" s="54"/>
      <c r="V208" s="54"/>
      <c r="W208" s="54"/>
      <c r="X208" s="54"/>
      <c r="Y208" s="54"/>
      <c r="Z208" s="54"/>
      <c r="AA208" s="54"/>
      <c r="AB208" s="54"/>
      <c r="AC208" s="54"/>
      <c r="AD208" s="54"/>
      <c r="AE208" s="54"/>
      <c r="AF208" s="54"/>
      <c r="AG208" s="54"/>
      <c r="AH208" s="54"/>
      <c r="AI208" s="54"/>
      <c r="AJ208" s="54"/>
      <c r="AW208" s="18">
        <f t="shared" si="3"/>
        <v>0</v>
      </c>
    </row>
    <row r="209" spans="10:49" ht="15">
      <c r="J209" s="687"/>
      <c r="K209" s="54"/>
      <c r="L209" s="687"/>
      <c r="M209" s="596"/>
      <c r="N209" s="68"/>
      <c r="O209" s="68"/>
      <c r="P209" s="68"/>
      <c r="Q209" s="68"/>
      <c r="R209" s="68"/>
      <c r="S209" s="68"/>
      <c r="T209" s="68"/>
      <c r="U209" s="54"/>
      <c r="V209" s="54"/>
      <c r="W209" s="54"/>
      <c r="X209" s="54"/>
      <c r="Y209" s="54"/>
      <c r="Z209" s="54"/>
      <c r="AA209" s="54"/>
      <c r="AB209" s="54"/>
      <c r="AC209" s="54"/>
      <c r="AD209" s="54"/>
      <c r="AE209" s="54"/>
      <c r="AF209" s="54"/>
      <c r="AG209" s="54"/>
      <c r="AH209" s="54"/>
      <c r="AI209" s="54"/>
      <c r="AJ209" s="54"/>
      <c r="AW209" s="18">
        <f t="shared" si="3"/>
        <v>0</v>
      </c>
    </row>
    <row r="210" spans="10:49" ht="15">
      <c r="J210" s="687"/>
      <c r="K210" s="54"/>
      <c r="L210" s="687"/>
      <c r="M210" s="596"/>
      <c r="N210" s="68"/>
      <c r="O210" s="68"/>
      <c r="P210" s="68"/>
      <c r="Q210" s="68"/>
      <c r="R210" s="68"/>
      <c r="S210" s="68"/>
      <c r="T210" s="68"/>
      <c r="U210" s="54"/>
      <c r="V210" s="54"/>
      <c r="W210" s="54"/>
      <c r="X210" s="54"/>
      <c r="Y210" s="54"/>
      <c r="Z210" s="54"/>
      <c r="AA210" s="54"/>
      <c r="AB210" s="54"/>
      <c r="AC210" s="54"/>
      <c r="AD210" s="54"/>
      <c r="AE210" s="54"/>
      <c r="AF210" s="54"/>
      <c r="AG210" s="54"/>
      <c r="AH210" s="54"/>
      <c r="AI210" s="54"/>
      <c r="AJ210" s="54"/>
      <c r="AW210" s="18">
        <f t="shared" si="3"/>
        <v>0</v>
      </c>
    </row>
    <row r="211" spans="10:49" ht="15">
      <c r="J211" s="685"/>
      <c r="L211" s="685"/>
      <c r="M211" s="596"/>
      <c r="AW211" s="18">
        <f t="shared" si="3"/>
        <v>0</v>
      </c>
    </row>
    <row r="212" spans="10:49" ht="15">
      <c r="J212" s="686"/>
      <c r="L212" s="686"/>
      <c r="M212" s="596"/>
      <c r="AW212" s="18">
        <f t="shared" si="3"/>
        <v>0</v>
      </c>
    </row>
    <row r="213" spans="10:49" ht="15">
      <c r="J213" s="686"/>
      <c r="L213" s="686"/>
      <c r="M213" s="596"/>
      <c r="AW213" s="18">
        <f t="shared" si="3"/>
        <v>0</v>
      </c>
    </row>
    <row r="214" spans="10:49" ht="15">
      <c r="J214" s="686"/>
      <c r="L214" s="686"/>
      <c r="M214" s="596"/>
      <c r="AW214" s="18">
        <f t="shared" si="3"/>
        <v>0</v>
      </c>
    </row>
    <row r="215" spans="10:49" ht="15">
      <c r="J215" s="686"/>
      <c r="L215" s="686"/>
      <c r="M215" s="596"/>
      <c r="AW215" s="18">
        <f t="shared" si="3"/>
        <v>0</v>
      </c>
    </row>
    <row r="216" spans="10:49" ht="15">
      <c r="J216" s="686"/>
      <c r="L216" s="686"/>
      <c r="M216" s="596"/>
      <c r="AW216" s="18">
        <f t="shared" si="3"/>
        <v>0</v>
      </c>
    </row>
    <row r="217" spans="10:49" ht="15">
      <c r="J217" s="686"/>
      <c r="L217" s="686"/>
      <c r="M217" s="596"/>
      <c r="AW217" s="18">
        <f t="shared" si="3"/>
        <v>0</v>
      </c>
    </row>
    <row r="218" spans="10:49" ht="15">
      <c r="J218" s="686"/>
      <c r="L218" s="686"/>
      <c r="M218" s="596"/>
      <c r="AW218" s="18">
        <f t="shared" si="3"/>
        <v>0</v>
      </c>
    </row>
    <row r="219" spans="10:49" ht="15">
      <c r="J219" s="686"/>
      <c r="L219" s="686"/>
      <c r="M219" s="596"/>
      <c r="AW219" s="18">
        <f t="shared" si="3"/>
        <v>0</v>
      </c>
    </row>
    <row r="220" spans="10:49" ht="15">
      <c r="J220" s="686"/>
      <c r="L220" s="686"/>
      <c r="M220" s="596"/>
      <c r="AW220" s="18">
        <f t="shared" si="3"/>
        <v>0</v>
      </c>
    </row>
    <row r="221" spans="10:49" ht="15">
      <c r="J221" s="686"/>
      <c r="L221" s="686"/>
      <c r="M221" s="596"/>
      <c r="AW221" s="18">
        <f t="shared" si="3"/>
        <v>0</v>
      </c>
    </row>
    <row r="222" spans="10:49" ht="15">
      <c r="J222" s="686"/>
      <c r="L222" s="686"/>
      <c r="M222" s="596"/>
      <c r="AW222" s="18">
        <f t="shared" si="3"/>
        <v>0</v>
      </c>
    </row>
    <row r="223" spans="10:49" ht="15">
      <c r="J223" s="686"/>
      <c r="L223" s="686"/>
      <c r="M223" s="596"/>
      <c r="AW223" s="18">
        <f t="shared" si="3"/>
        <v>0</v>
      </c>
    </row>
    <row r="224" spans="10:49" ht="15">
      <c r="J224" s="397"/>
      <c r="L224" s="397"/>
      <c r="M224" s="596"/>
      <c r="AW224" s="18">
        <f t="shared" si="3"/>
        <v>0</v>
      </c>
    </row>
    <row r="225" spans="49:49" ht="15">
      <c r="AW225" s="18">
        <f t="shared" si="3"/>
        <v>0</v>
      </c>
    </row>
    <row r="226" spans="49:49" ht="15">
      <c r="AW226" s="18">
        <f t="shared" si="3"/>
        <v>0</v>
      </c>
    </row>
    <row r="227" spans="49:49" ht="15">
      <c r="AW227" s="18">
        <f t="shared" si="3"/>
        <v>0</v>
      </c>
    </row>
    <row r="228" spans="49:49" ht="15">
      <c r="AW228" s="18">
        <f t="shared" si="3"/>
        <v>0</v>
      </c>
    </row>
    <row r="229" spans="49:49" ht="15">
      <c r="AW229" s="18">
        <f t="shared" si="3"/>
        <v>0</v>
      </c>
    </row>
    <row r="230" spans="49:49" ht="15">
      <c r="AW230" s="18">
        <f t="shared" si="3"/>
        <v>0</v>
      </c>
    </row>
    <row r="231" spans="49:49" ht="15">
      <c r="AW231" s="18">
        <f t="shared" si="3"/>
        <v>0</v>
      </c>
    </row>
    <row r="232" spans="49:49" ht="15">
      <c r="AW232" s="18">
        <f t="shared" si="3"/>
        <v>0</v>
      </c>
    </row>
    <row r="233" spans="49:49" ht="15">
      <c r="AW233" s="18">
        <f t="shared" si="3"/>
        <v>0</v>
      </c>
    </row>
    <row r="234" spans="49:49" ht="15">
      <c r="AW234" s="18">
        <f t="shared" si="3"/>
        <v>0</v>
      </c>
    </row>
    <row r="235" spans="49:49" ht="15">
      <c r="AW235" s="18">
        <f t="shared" si="3"/>
        <v>0</v>
      </c>
    </row>
    <row r="236" spans="49:49" ht="15">
      <c r="AW236" s="18">
        <f t="shared" si="3"/>
        <v>0</v>
      </c>
    </row>
    <row r="237" spans="49:49" ht="15">
      <c r="AW237" s="18">
        <f t="shared" si="3"/>
        <v>0</v>
      </c>
    </row>
    <row r="238" spans="49:49" ht="15">
      <c r="AW238" s="18">
        <f t="shared" si="3"/>
        <v>0</v>
      </c>
    </row>
    <row r="239" spans="49:49" ht="15">
      <c r="AW239" s="18">
        <f t="shared" si="3"/>
        <v>0</v>
      </c>
    </row>
    <row r="240" spans="49:49" ht="15">
      <c r="AW240" s="18">
        <f t="shared" si="3"/>
        <v>0</v>
      </c>
    </row>
    <row r="241" spans="49:49" ht="15">
      <c r="AW241" s="18">
        <f t="shared" si="3"/>
        <v>0</v>
      </c>
    </row>
    <row r="242" spans="49:49" ht="15">
      <c r="AW242" s="18">
        <f t="shared" si="3"/>
        <v>0</v>
      </c>
    </row>
    <row r="243" spans="49:49" ht="15">
      <c r="AW243" s="18">
        <f t="shared" si="3"/>
        <v>0</v>
      </c>
    </row>
    <row r="244" spans="49:49" ht="15">
      <c r="AW244" s="18">
        <f t="shared" si="3"/>
        <v>0</v>
      </c>
    </row>
    <row r="245" spans="49:49" ht="15">
      <c r="AW245" s="18">
        <f t="shared" si="3"/>
        <v>0</v>
      </c>
    </row>
    <row r="246" spans="49:49" ht="15">
      <c r="AW246" s="18">
        <f t="shared" si="3"/>
        <v>0</v>
      </c>
    </row>
    <row r="247" spans="49:49" ht="15">
      <c r="AW247" s="18">
        <f t="shared" si="3"/>
        <v>0</v>
      </c>
    </row>
    <row r="248" spans="49:49" ht="15">
      <c r="AW248" s="18">
        <f t="shared" si="3"/>
        <v>0</v>
      </c>
    </row>
    <row r="249" spans="49:49" ht="15">
      <c r="AW249" s="18">
        <f t="shared" si="3"/>
        <v>0</v>
      </c>
    </row>
    <row r="250" spans="49:49" ht="15">
      <c r="AW250" s="18">
        <f t="shared" si="3"/>
        <v>0</v>
      </c>
    </row>
    <row r="251" spans="49:49" ht="15">
      <c r="AW251" s="18">
        <f t="shared" si="3"/>
        <v>0</v>
      </c>
    </row>
    <row r="252" spans="49:49" ht="15">
      <c r="AW252" s="18">
        <f t="shared" si="3"/>
        <v>0</v>
      </c>
    </row>
    <row r="253" spans="49:49" ht="15">
      <c r="AW253" s="18">
        <f t="shared" si="3"/>
        <v>0</v>
      </c>
    </row>
    <row r="254" spans="49:49" ht="15">
      <c r="AW254" s="18">
        <f t="shared" si="3"/>
        <v>0</v>
      </c>
    </row>
    <row r="255" spans="49:49" ht="15">
      <c r="AW255" s="18">
        <f t="shared" si="3"/>
        <v>0</v>
      </c>
    </row>
    <row r="256" spans="49:49" ht="15">
      <c r="AW256" s="18">
        <f t="shared" si="3"/>
        <v>0</v>
      </c>
    </row>
    <row r="257" spans="49:49" ht="15">
      <c r="AW257" s="18">
        <f t="shared" si="3"/>
        <v>0</v>
      </c>
    </row>
    <row r="258" spans="49:49" ht="15">
      <c r="AW258" s="18">
        <f t="shared" si="3"/>
        <v>0</v>
      </c>
    </row>
    <row r="259" spans="49:49" ht="15">
      <c r="AW259" s="18">
        <f t="shared" si="3"/>
        <v>0</v>
      </c>
    </row>
    <row r="260" spans="49:49" ht="15">
      <c r="AW260" s="18">
        <f t="shared" si="3"/>
        <v>0</v>
      </c>
    </row>
    <row r="261" spans="49:49" ht="15">
      <c r="AW261" s="18">
        <f t="shared" si="3"/>
        <v>0</v>
      </c>
    </row>
    <row r="262" spans="49:49" ht="15">
      <c r="AW262" s="18">
        <f t="shared" si="3"/>
        <v>0</v>
      </c>
    </row>
    <row r="263" spans="49:49" ht="15">
      <c r="AW263" s="18">
        <f t="shared" si="3"/>
        <v>0</v>
      </c>
    </row>
    <row r="264" spans="49:49" ht="15">
      <c r="AW264" s="18">
        <f t="shared" si="3"/>
        <v>0</v>
      </c>
    </row>
    <row r="265" spans="49:49" ht="15">
      <c r="AW265" s="18">
        <f t="shared" si="3"/>
        <v>0</v>
      </c>
    </row>
    <row r="266" spans="49:49" ht="15">
      <c r="AW266" s="18">
        <f t="shared" si="3"/>
        <v>0</v>
      </c>
    </row>
    <row r="267" spans="49:49" ht="15">
      <c r="AW267" s="18">
        <f t="shared" si="3"/>
        <v>0</v>
      </c>
    </row>
    <row r="268" spans="49:49" ht="15">
      <c r="AW268" s="18">
        <f t="shared" si="3"/>
        <v>0</v>
      </c>
    </row>
    <row r="269" spans="49:49" ht="15">
      <c r="AW269" s="18">
        <f t="shared" ref="AW269:AW332" si="4">LEN(L269)</f>
        <v>0</v>
      </c>
    </row>
    <row r="270" spans="49:49" ht="15">
      <c r="AW270" s="18">
        <f t="shared" si="4"/>
        <v>0</v>
      </c>
    </row>
    <row r="271" spans="49:49" ht="15">
      <c r="AW271" s="18">
        <f t="shared" si="4"/>
        <v>0</v>
      </c>
    </row>
    <row r="272" spans="49:49" ht="15">
      <c r="AW272" s="18">
        <f t="shared" si="4"/>
        <v>0</v>
      </c>
    </row>
    <row r="273" spans="49:49" ht="15">
      <c r="AW273" s="18">
        <f t="shared" si="4"/>
        <v>0</v>
      </c>
    </row>
    <row r="274" spans="49:49" ht="15">
      <c r="AW274" s="18">
        <f t="shared" si="4"/>
        <v>0</v>
      </c>
    </row>
    <row r="275" spans="49:49" ht="15">
      <c r="AW275" s="18">
        <f t="shared" si="4"/>
        <v>0</v>
      </c>
    </row>
    <row r="276" spans="49:49" ht="15">
      <c r="AW276" s="18">
        <f t="shared" si="4"/>
        <v>0</v>
      </c>
    </row>
    <row r="277" spans="49:49" ht="15">
      <c r="AW277" s="18">
        <f t="shared" si="4"/>
        <v>0</v>
      </c>
    </row>
    <row r="278" spans="49:49" ht="15">
      <c r="AW278" s="18">
        <f t="shared" si="4"/>
        <v>0</v>
      </c>
    </row>
    <row r="279" spans="49:49" ht="15">
      <c r="AW279" s="18">
        <f t="shared" si="4"/>
        <v>0</v>
      </c>
    </row>
    <row r="280" spans="49:49" ht="15">
      <c r="AW280" s="18">
        <f t="shared" si="4"/>
        <v>0</v>
      </c>
    </row>
    <row r="281" spans="49:49" ht="15">
      <c r="AW281" s="18">
        <f t="shared" si="4"/>
        <v>0</v>
      </c>
    </row>
    <row r="282" spans="49:49" ht="15">
      <c r="AW282" s="18">
        <f t="shared" si="4"/>
        <v>0</v>
      </c>
    </row>
    <row r="283" spans="49:49" ht="15">
      <c r="AW283" s="18">
        <f t="shared" si="4"/>
        <v>0</v>
      </c>
    </row>
    <row r="284" spans="49:49" ht="15">
      <c r="AW284" s="18">
        <f t="shared" si="4"/>
        <v>0</v>
      </c>
    </row>
    <row r="285" spans="49:49" ht="15">
      <c r="AW285" s="18">
        <f t="shared" si="4"/>
        <v>0</v>
      </c>
    </row>
    <row r="286" spans="49:49" ht="15">
      <c r="AW286" s="18">
        <f t="shared" si="4"/>
        <v>0</v>
      </c>
    </row>
    <row r="287" spans="49:49" ht="15">
      <c r="AW287" s="18">
        <f t="shared" si="4"/>
        <v>0</v>
      </c>
    </row>
    <row r="288" spans="49:49" ht="15">
      <c r="AW288" s="18">
        <f t="shared" si="4"/>
        <v>0</v>
      </c>
    </row>
    <row r="289" spans="49:49" ht="15">
      <c r="AW289" s="18">
        <f t="shared" si="4"/>
        <v>0</v>
      </c>
    </row>
    <row r="290" spans="49:49" ht="15">
      <c r="AW290" s="18">
        <f t="shared" si="4"/>
        <v>0</v>
      </c>
    </row>
    <row r="291" spans="49:49" ht="15">
      <c r="AW291" s="18">
        <f t="shared" si="4"/>
        <v>0</v>
      </c>
    </row>
    <row r="292" spans="49:49" ht="15">
      <c r="AW292" s="18">
        <f t="shared" si="4"/>
        <v>0</v>
      </c>
    </row>
    <row r="293" spans="49:49" ht="15">
      <c r="AW293" s="18">
        <f t="shared" si="4"/>
        <v>0</v>
      </c>
    </row>
    <row r="294" spans="49:49" ht="15">
      <c r="AW294" s="18">
        <f t="shared" si="4"/>
        <v>0</v>
      </c>
    </row>
    <row r="295" spans="49:49" ht="15">
      <c r="AW295" s="18">
        <f t="shared" si="4"/>
        <v>0</v>
      </c>
    </row>
    <row r="296" spans="49:49" ht="15">
      <c r="AW296" s="18">
        <f t="shared" si="4"/>
        <v>0</v>
      </c>
    </row>
    <row r="297" spans="49:49" ht="15">
      <c r="AW297" s="18">
        <f t="shared" si="4"/>
        <v>0</v>
      </c>
    </row>
    <row r="298" spans="49:49" ht="15">
      <c r="AW298" s="18">
        <f t="shared" si="4"/>
        <v>0</v>
      </c>
    </row>
    <row r="299" spans="49:49" ht="15">
      <c r="AW299" s="18">
        <f t="shared" si="4"/>
        <v>0</v>
      </c>
    </row>
    <row r="300" spans="49:49" ht="15">
      <c r="AW300" s="18">
        <f t="shared" si="4"/>
        <v>0</v>
      </c>
    </row>
    <row r="301" spans="49:49" ht="15">
      <c r="AW301" s="18">
        <f t="shared" si="4"/>
        <v>0</v>
      </c>
    </row>
    <row r="302" spans="49:49" ht="15">
      <c r="AW302" s="18">
        <f t="shared" si="4"/>
        <v>0</v>
      </c>
    </row>
    <row r="303" spans="49:49" ht="15">
      <c r="AW303" s="18">
        <f t="shared" si="4"/>
        <v>0</v>
      </c>
    </row>
    <row r="304" spans="49:49" ht="15">
      <c r="AW304" s="18">
        <f t="shared" si="4"/>
        <v>0</v>
      </c>
    </row>
    <row r="305" spans="49:49" ht="15">
      <c r="AW305" s="18">
        <f t="shared" si="4"/>
        <v>0</v>
      </c>
    </row>
    <row r="306" spans="49:49" ht="15">
      <c r="AW306" s="18">
        <f t="shared" si="4"/>
        <v>0</v>
      </c>
    </row>
    <row r="307" spans="49:49" ht="15">
      <c r="AW307" s="18">
        <f t="shared" si="4"/>
        <v>0</v>
      </c>
    </row>
    <row r="308" spans="49:49" ht="15">
      <c r="AW308" s="18">
        <f t="shared" si="4"/>
        <v>0</v>
      </c>
    </row>
    <row r="309" spans="49:49" ht="15">
      <c r="AW309" s="18">
        <f t="shared" si="4"/>
        <v>0</v>
      </c>
    </row>
    <row r="310" spans="49:49" ht="15">
      <c r="AW310" s="18">
        <f t="shared" si="4"/>
        <v>0</v>
      </c>
    </row>
    <row r="311" spans="49:49" ht="15">
      <c r="AW311" s="18">
        <f t="shared" si="4"/>
        <v>0</v>
      </c>
    </row>
    <row r="312" spans="49:49" ht="15">
      <c r="AW312" s="18">
        <f t="shared" si="4"/>
        <v>0</v>
      </c>
    </row>
    <row r="313" spans="49:49" ht="15">
      <c r="AW313" s="18">
        <f t="shared" si="4"/>
        <v>0</v>
      </c>
    </row>
    <row r="314" spans="49:49" ht="15">
      <c r="AW314" s="18">
        <f t="shared" si="4"/>
        <v>0</v>
      </c>
    </row>
    <row r="315" spans="49:49" ht="15">
      <c r="AW315" s="18">
        <f t="shared" si="4"/>
        <v>0</v>
      </c>
    </row>
    <row r="316" spans="49:49" ht="15">
      <c r="AW316" s="18">
        <f t="shared" si="4"/>
        <v>0</v>
      </c>
    </row>
    <row r="317" spans="49:49" ht="15">
      <c r="AW317" s="18">
        <f t="shared" si="4"/>
        <v>0</v>
      </c>
    </row>
    <row r="318" spans="49:49" ht="15">
      <c r="AW318" s="18">
        <f t="shared" si="4"/>
        <v>0</v>
      </c>
    </row>
    <row r="319" spans="49:49" ht="15">
      <c r="AW319" s="18">
        <f t="shared" si="4"/>
        <v>0</v>
      </c>
    </row>
    <row r="320" spans="49:49" ht="15">
      <c r="AW320" s="18">
        <f t="shared" si="4"/>
        <v>0</v>
      </c>
    </row>
    <row r="321" spans="49:49" ht="15">
      <c r="AW321" s="18">
        <f t="shared" si="4"/>
        <v>0</v>
      </c>
    </row>
    <row r="322" spans="49:49" ht="15">
      <c r="AW322" s="18">
        <f t="shared" si="4"/>
        <v>0</v>
      </c>
    </row>
    <row r="323" spans="49:49" ht="15">
      <c r="AW323" s="18">
        <f t="shared" si="4"/>
        <v>0</v>
      </c>
    </row>
    <row r="324" spans="49:49" ht="15">
      <c r="AW324" s="18">
        <f t="shared" si="4"/>
        <v>0</v>
      </c>
    </row>
    <row r="325" spans="49:49" ht="15">
      <c r="AW325" s="18">
        <f t="shared" si="4"/>
        <v>0</v>
      </c>
    </row>
    <row r="326" spans="49:49" ht="15">
      <c r="AW326" s="18">
        <f t="shared" si="4"/>
        <v>0</v>
      </c>
    </row>
    <row r="327" spans="49:49" ht="15">
      <c r="AW327" s="18">
        <f t="shared" si="4"/>
        <v>0</v>
      </c>
    </row>
    <row r="328" spans="49:49" ht="15">
      <c r="AW328" s="18">
        <f t="shared" si="4"/>
        <v>0</v>
      </c>
    </row>
    <row r="329" spans="49:49" ht="15">
      <c r="AW329" s="18">
        <f t="shared" si="4"/>
        <v>0</v>
      </c>
    </row>
    <row r="330" spans="49:49" ht="15">
      <c r="AW330" s="18">
        <f t="shared" si="4"/>
        <v>0</v>
      </c>
    </row>
    <row r="331" spans="49:49" ht="15">
      <c r="AW331" s="18">
        <f t="shared" si="4"/>
        <v>0</v>
      </c>
    </row>
    <row r="332" spans="49:49" ht="15">
      <c r="AW332" s="18">
        <f t="shared" si="4"/>
        <v>0</v>
      </c>
    </row>
    <row r="333" spans="49:49" ht="15">
      <c r="AW333" s="18">
        <f t="shared" ref="AW333:AW396" si="5">LEN(L333)</f>
        <v>0</v>
      </c>
    </row>
    <row r="334" spans="49:49" ht="15">
      <c r="AW334" s="18">
        <f t="shared" si="5"/>
        <v>0</v>
      </c>
    </row>
    <row r="335" spans="49:49" ht="15">
      <c r="AW335" s="18">
        <f t="shared" si="5"/>
        <v>0</v>
      </c>
    </row>
    <row r="336" spans="49:49" ht="15">
      <c r="AW336" s="18">
        <f t="shared" si="5"/>
        <v>0</v>
      </c>
    </row>
    <row r="337" spans="49:49" ht="15">
      <c r="AW337" s="18">
        <f t="shared" si="5"/>
        <v>0</v>
      </c>
    </row>
    <row r="338" spans="49:49" ht="15">
      <c r="AW338" s="18">
        <f t="shared" si="5"/>
        <v>0</v>
      </c>
    </row>
    <row r="339" spans="49:49" ht="15">
      <c r="AW339" s="18">
        <f t="shared" si="5"/>
        <v>0</v>
      </c>
    </row>
    <row r="340" spans="49:49" ht="15">
      <c r="AW340" s="18">
        <f t="shared" si="5"/>
        <v>0</v>
      </c>
    </row>
    <row r="341" spans="49:49" ht="15">
      <c r="AW341" s="18">
        <f t="shared" si="5"/>
        <v>0</v>
      </c>
    </row>
    <row r="342" spans="49:49" ht="15">
      <c r="AW342" s="18">
        <f t="shared" si="5"/>
        <v>0</v>
      </c>
    </row>
    <row r="343" spans="49:49" ht="15">
      <c r="AW343" s="18">
        <f t="shared" si="5"/>
        <v>0</v>
      </c>
    </row>
    <row r="344" spans="49:49" ht="15">
      <c r="AW344" s="18">
        <f t="shared" si="5"/>
        <v>0</v>
      </c>
    </row>
    <row r="345" spans="49:49" ht="15">
      <c r="AW345" s="18">
        <f t="shared" si="5"/>
        <v>0</v>
      </c>
    </row>
    <row r="346" spans="49:49" ht="15">
      <c r="AW346" s="18">
        <f t="shared" si="5"/>
        <v>0</v>
      </c>
    </row>
    <row r="347" spans="49:49" ht="15">
      <c r="AW347" s="18">
        <f t="shared" si="5"/>
        <v>0</v>
      </c>
    </row>
    <row r="348" spans="49:49" ht="15">
      <c r="AW348" s="18">
        <f t="shared" si="5"/>
        <v>0</v>
      </c>
    </row>
    <row r="349" spans="49:49" ht="15">
      <c r="AW349" s="18">
        <f t="shared" si="5"/>
        <v>0</v>
      </c>
    </row>
    <row r="350" spans="49:49" ht="15">
      <c r="AW350" s="18">
        <f t="shared" si="5"/>
        <v>0</v>
      </c>
    </row>
    <row r="351" spans="49:49" ht="15">
      <c r="AW351" s="18">
        <f t="shared" si="5"/>
        <v>0</v>
      </c>
    </row>
    <row r="352" spans="49:49" ht="15">
      <c r="AW352" s="18">
        <f t="shared" si="5"/>
        <v>0</v>
      </c>
    </row>
    <row r="353" spans="49:49" ht="15">
      <c r="AW353" s="18">
        <f t="shared" si="5"/>
        <v>0</v>
      </c>
    </row>
    <row r="354" spans="49:49" ht="15">
      <c r="AW354" s="18">
        <f t="shared" si="5"/>
        <v>0</v>
      </c>
    </row>
    <row r="355" spans="49:49" ht="15">
      <c r="AW355" s="18">
        <f t="shared" si="5"/>
        <v>0</v>
      </c>
    </row>
    <row r="356" spans="49:49" ht="15">
      <c r="AW356" s="18">
        <f t="shared" si="5"/>
        <v>0</v>
      </c>
    </row>
    <row r="357" spans="49:49" ht="15">
      <c r="AW357" s="18">
        <f t="shared" si="5"/>
        <v>0</v>
      </c>
    </row>
    <row r="358" spans="49:49" ht="15">
      <c r="AW358" s="18">
        <f t="shared" si="5"/>
        <v>0</v>
      </c>
    </row>
    <row r="359" spans="49:49" ht="15">
      <c r="AW359" s="18">
        <f t="shared" si="5"/>
        <v>0</v>
      </c>
    </row>
    <row r="360" spans="49:49" ht="15">
      <c r="AW360" s="18">
        <f t="shared" si="5"/>
        <v>0</v>
      </c>
    </row>
    <row r="361" spans="49:49" ht="15">
      <c r="AW361" s="18">
        <f t="shared" si="5"/>
        <v>0</v>
      </c>
    </row>
    <row r="362" spans="49:49" ht="15">
      <c r="AW362" s="18">
        <f t="shared" si="5"/>
        <v>0</v>
      </c>
    </row>
    <row r="363" spans="49:49" ht="15">
      <c r="AW363" s="18">
        <f t="shared" si="5"/>
        <v>0</v>
      </c>
    </row>
    <row r="364" spans="49:49" ht="15">
      <c r="AW364" s="18">
        <f t="shared" si="5"/>
        <v>0</v>
      </c>
    </row>
    <row r="365" spans="49:49" ht="15">
      <c r="AW365" s="18">
        <f t="shared" si="5"/>
        <v>0</v>
      </c>
    </row>
    <row r="366" spans="49:49" ht="15">
      <c r="AW366" s="18">
        <f t="shared" si="5"/>
        <v>0</v>
      </c>
    </row>
    <row r="367" spans="49:49" ht="15">
      <c r="AW367" s="18">
        <f t="shared" si="5"/>
        <v>0</v>
      </c>
    </row>
    <row r="368" spans="49:49" ht="15">
      <c r="AW368" s="18">
        <f t="shared" si="5"/>
        <v>0</v>
      </c>
    </row>
    <row r="369" spans="49:49" ht="15">
      <c r="AW369" s="18">
        <f t="shared" si="5"/>
        <v>0</v>
      </c>
    </row>
    <row r="370" spans="49:49" ht="15">
      <c r="AW370" s="18">
        <f t="shared" si="5"/>
        <v>0</v>
      </c>
    </row>
    <row r="371" spans="49:49" ht="15">
      <c r="AW371" s="18">
        <f t="shared" si="5"/>
        <v>0</v>
      </c>
    </row>
    <row r="372" spans="49:49" ht="15">
      <c r="AW372" s="18">
        <f t="shared" si="5"/>
        <v>0</v>
      </c>
    </row>
    <row r="373" spans="49:49" ht="15">
      <c r="AW373" s="18">
        <f t="shared" si="5"/>
        <v>0</v>
      </c>
    </row>
    <row r="374" spans="49:49" ht="15">
      <c r="AW374" s="18">
        <f t="shared" si="5"/>
        <v>0</v>
      </c>
    </row>
    <row r="375" spans="49:49" ht="15">
      <c r="AW375" s="18">
        <f t="shared" si="5"/>
        <v>0</v>
      </c>
    </row>
    <row r="376" spans="49:49" ht="15">
      <c r="AW376" s="18">
        <f t="shared" si="5"/>
        <v>0</v>
      </c>
    </row>
    <row r="377" spans="49:49" ht="15">
      <c r="AW377" s="18">
        <f t="shared" si="5"/>
        <v>0</v>
      </c>
    </row>
    <row r="378" spans="49:49" ht="15">
      <c r="AW378" s="18">
        <f t="shared" si="5"/>
        <v>0</v>
      </c>
    </row>
    <row r="379" spans="49:49" ht="15">
      <c r="AW379" s="18">
        <f t="shared" si="5"/>
        <v>0</v>
      </c>
    </row>
    <row r="380" spans="49:49" ht="15">
      <c r="AW380" s="18">
        <f t="shared" si="5"/>
        <v>0</v>
      </c>
    </row>
    <row r="381" spans="49:49" ht="15">
      <c r="AW381" s="18">
        <f t="shared" si="5"/>
        <v>0</v>
      </c>
    </row>
    <row r="382" spans="49:49" ht="15">
      <c r="AW382" s="18">
        <f t="shared" si="5"/>
        <v>0</v>
      </c>
    </row>
    <row r="383" spans="49:49" ht="15">
      <c r="AW383" s="18">
        <f t="shared" si="5"/>
        <v>0</v>
      </c>
    </row>
    <row r="384" spans="49:49" ht="15">
      <c r="AW384" s="18">
        <f t="shared" si="5"/>
        <v>0</v>
      </c>
    </row>
    <row r="385" spans="49:49" ht="15">
      <c r="AW385" s="18">
        <f t="shared" si="5"/>
        <v>0</v>
      </c>
    </row>
    <row r="386" spans="49:49" ht="15">
      <c r="AW386" s="18">
        <f t="shared" si="5"/>
        <v>0</v>
      </c>
    </row>
    <row r="387" spans="49:49" ht="15">
      <c r="AW387" s="18">
        <f t="shared" si="5"/>
        <v>0</v>
      </c>
    </row>
    <row r="388" spans="49:49" ht="15">
      <c r="AW388" s="18">
        <f t="shared" si="5"/>
        <v>0</v>
      </c>
    </row>
    <row r="389" spans="49:49" ht="15">
      <c r="AW389" s="18">
        <f t="shared" si="5"/>
        <v>0</v>
      </c>
    </row>
    <row r="390" spans="49:49" ht="15">
      <c r="AW390" s="18">
        <f t="shared" si="5"/>
        <v>0</v>
      </c>
    </row>
    <row r="391" spans="49:49" ht="15">
      <c r="AW391" s="18">
        <f t="shared" si="5"/>
        <v>0</v>
      </c>
    </row>
    <row r="392" spans="49:49" ht="15">
      <c r="AW392" s="18">
        <f t="shared" si="5"/>
        <v>0</v>
      </c>
    </row>
    <row r="393" spans="49:49" ht="15">
      <c r="AW393" s="18">
        <f t="shared" si="5"/>
        <v>0</v>
      </c>
    </row>
    <row r="394" spans="49:49" ht="15">
      <c r="AW394" s="18">
        <f t="shared" si="5"/>
        <v>0</v>
      </c>
    </row>
    <row r="395" spans="49:49" ht="15">
      <c r="AW395" s="18">
        <f t="shared" si="5"/>
        <v>0</v>
      </c>
    </row>
    <row r="396" spans="49:49" ht="15">
      <c r="AW396" s="18">
        <f t="shared" si="5"/>
        <v>0</v>
      </c>
    </row>
    <row r="397" spans="49:49" ht="15">
      <c r="AW397" s="18">
        <f t="shared" ref="AW397:AW460" si="6">LEN(L397)</f>
        <v>0</v>
      </c>
    </row>
    <row r="398" spans="49:49" ht="15">
      <c r="AW398" s="18">
        <f t="shared" si="6"/>
        <v>0</v>
      </c>
    </row>
    <row r="399" spans="49:49" ht="15">
      <c r="AW399" s="18">
        <f t="shared" si="6"/>
        <v>0</v>
      </c>
    </row>
    <row r="400" spans="49:49" ht="15">
      <c r="AW400" s="18">
        <f t="shared" si="6"/>
        <v>0</v>
      </c>
    </row>
    <row r="401" spans="49:49" ht="15">
      <c r="AW401" s="18">
        <f t="shared" si="6"/>
        <v>0</v>
      </c>
    </row>
    <row r="402" spans="49:49" ht="15">
      <c r="AW402" s="18">
        <f t="shared" si="6"/>
        <v>0</v>
      </c>
    </row>
    <row r="403" spans="49:49" ht="15">
      <c r="AW403" s="18">
        <f t="shared" si="6"/>
        <v>0</v>
      </c>
    </row>
    <row r="404" spans="49:49" ht="15">
      <c r="AW404" s="18">
        <f t="shared" si="6"/>
        <v>0</v>
      </c>
    </row>
    <row r="405" spans="49:49" ht="15">
      <c r="AW405" s="18">
        <f t="shared" si="6"/>
        <v>0</v>
      </c>
    </row>
    <row r="406" spans="49:49" ht="15">
      <c r="AW406" s="18">
        <f t="shared" si="6"/>
        <v>0</v>
      </c>
    </row>
    <row r="407" spans="49:49" ht="15">
      <c r="AW407" s="18">
        <f t="shared" si="6"/>
        <v>0</v>
      </c>
    </row>
    <row r="408" spans="49:49" ht="15">
      <c r="AW408" s="18">
        <f t="shared" si="6"/>
        <v>0</v>
      </c>
    </row>
    <row r="409" spans="49:49" ht="15">
      <c r="AW409" s="18">
        <f t="shared" si="6"/>
        <v>0</v>
      </c>
    </row>
    <row r="410" spans="49:49" ht="15">
      <c r="AW410" s="18">
        <f t="shared" si="6"/>
        <v>0</v>
      </c>
    </row>
    <row r="411" spans="49:49" ht="15">
      <c r="AW411" s="18">
        <f t="shared" si="6"/>
        <v>0</v>
      </c>
    </row>
    <row r="412" spans="49:49" ht="15">
      <c r="AW412" s="18">
        <f t="shared" si="6"/>
        <v>0</v>
      </c>
    </row>
    <row r="413" spans="49:49" ht="15">
      <c r="AW413" s="18">
        <f t="shared" si="6"/>
        <v>0</v>
      </c>
    </row>
    <row r="414" spans="49:49" ht="15">
      <c r="AW414" s="18">
        <f t="shared" si="6"/>
        <v>0</v>
      </c>
    </row>
    <row r="415" spans="49:49" ht="15">
      <c r="AW415" s="18">
        <f t="shared" si="6"/>
        <v>0</v>
      </c>
    </row>
    <row r="416" spans="49:49" ht="15">
      <c r="AW416" s="18">
        <f t="shared" si="6"/>
        <v>0</v>
      </c>
    </row>
    <row r="417" spans="49:49" ht="15">
      <c r="AW417" s="18">
        <f t="shared" si="6"/>
        <v>0</v>
      </c>
    </row>
    <row r="418" spans="49:49" ht="15">
      <c r="AW418" s="18">
        <f t="shared" si="6"/>
        <v>0</v>
      </c>
    </row>
    <row r="419" spans="49:49" ht="15">
      <c r="AW419" s="18">
        <f t="shared" si="6"/>
        <v>0</v>
      </c>
    </row>
    <row r="420" spans="49:49" ht="15">
      <c r="AW420" s="18">
        <f t="shared" si="6"/>
        <v>0</v>
      </c>
    </row>
    <row r="421" spans="49:49" ht="15">
      <c r="AW421" s="18">
        <f t="shared" si="6"/>
        <v>0</v>
      </c>
    </row>
    <row r="422" spans="49:49" ht="15">
      <c r="AW422" s="18">
        <f t="shared" si="6"/>
        <v>0</v>
      </c>
    </row>
    <row r="423" spans="49:49" ht="15">
      <c r="AW423" s="18">
        <f t="shared" si="6"/>
        <v>0</v>
      </c>
    </row>
    <row r="424" spans="49:49" ht="15">
      <c r="AW424" s="18">
        <f t="shared" si="6"/>
        <v>0</v>
      </c>
    </row>
    <row r="425" spans="49:49" ht="15">
      <c r="AW425" s="18">
        <f t="shared" si="6"/>
        <v>0</v>
      </c>
    </row>
    <row r="426" spans="49:49" ht="15">
      <c r="AW426" s="18">
        <f t="shared" si="6"/>
        <v>0</v>
      </c>
    </row>
    <row r="427" spans="49:49" ht="15">
      <c r="AW427" s="18">
        <f t="shared" si="6"/>
        <v>0</v>
      </c>
    </row>
    <row r="428" spans="49:49" ht="15">
      <c r="AW428" s="18">
        <f t="shared" si="6"/>
        <v>0</v>
      </c>
    </row>
    <row r="429" spans="49:49" ht="15">
      <c r="AW429" s="18">
        <f t="shared" si="6"/>
        <v>0</v>
      </c>
    </row>
    <row r="430" spans="49:49" ht="15">
      <c r="AW430" s="18">
        <f t="shared" si="6"/>
        <v>0</v>
      </c>
    </row>
    <row r="431" spans="49:49" ht="15">
      <c r="AW431" s="18">
        <f t="shared" si="6"/>
        <v>0</v>
      </c>
    </row>
    <row r="432" spans="49:49" ht="15">
      <c r="AW432" s="18">
        <f t="shared" si="6"/>
        <v>0</v>
      </c>
    </row>
    <row r="433" spans="49:49" ht="15">
      <c r="AW433" s="18">
        <f t="shared" si="6"/>
        <v>0</v>
      </c>
    </row>
    <row r="434" spans="49:49" ht="15">
      <c r="AW434" s="18">
        <f t="shared" si="6"/>
        <v>0</v>
      </c>
    </row>
    <row r="435" spans="49:49" ht="15">
      <c r="AW435" s="18">
        <f t="shared" si="6"/>
        <v>0</v>
      </c>
    </row>
    <row r="436" spans="49:49" ht="15">
      <c r="AW436" s="18">
        <f t="shared" si="6"/>
        <v>0</v>
      </c>
    </row>
    <row r="437" spans="49:49" ht="15">
      <c r="AW437" s="18">
        <f t="shared" si="6"/>
        <v>0</v>
      </c>
    </row>
    <row r="438" spans="49:49" ht="15">
      <c r="AW438" s="18">
        <f t="shared" si="6"/>
        <v>0</v>
      </c>
    </row>
    <row r="439" spans="49:49" ht="15">
      <c r="AW439" s="18">
        <f t="shared" si="6"/>
        <v>0</v>
      </c>
    </row>
    <row r="440" spans="49:49" ht="15">
      <c r="AW440" s="18">
        <f t="shared" si="6"/>
        <v>0</v>
      </c>
    </row>
    <row r="441" spans="49:49" ht="15">
      <c r="AW441" s="18">
        <f t="shared" si="6"/>
        <v>0</v>
      </c>
    </row>
    <row r="442" spans="49:49" ht="15">
      <c r="AW442" s="18">
        <f t="shared" si="6"/>
        <v>0</v>
      </c>
    </row>
    <row r="443" spans="49:49" ht="15">
      <c r="AW443" s="18">
        <f t="shared" si="6"/>
        <v>0</v>
      </c>
    </row>
    <row r="444" spans="49:49" ht="15">
      <c r="AW444" s="18">
        <f t="shared" si="6"/>
        <v>0</v>
      </c>
    </row>
    <row r="445" spans="49:49" ht="15">
      <c r="AW445" s="18">
        <f t="shared" si="6"/>
        <v>0</v>
      </c>
    </row>
    <row r="446" spans="49:49" ht="15">
      <c r="AW446" s="18">
        <f t="shared" si="6"/>
        <v>0</v>
      </c>
    </row>
    <row r="447" spans="49:49" ht="15">
      <c r="AW447" s="18">
        <f t="shared" si="6"/>
        <v>0</v>
      </c>
    </row>
    <row r="448" spans="49:49" ht="15">
      <c r="AW448" s="18">
        <f t="shared" si="6"/>
        <v>0</v>
      </c>
    </row>
    <row r="449" spans="49:49" ht="15">
      <c r="AW449" s="18">
        <f t="shared" si="6"/>
        <v>0</v>
      </c>
    </row>
    <row r="450" spans="49:49" ht="15">
      <c r="AW450" s="18">
        <f t="shared" si="6"/>
        <v>0</v>
      </c>
    </row>
    <row r="451" spans="49:49" ht="15">
      <c r="AW451" s="18">
        <f t="shared" si="6"/>
        <v>0</v>
      </c>
    </row>
    <row r="452" spans="49:49" ht="15">
      <c r="AW452" s="18">
        <f t="shared" si="6"/>
        <v>0</v>
      </c>
    </row>
    <row r="453" spans="49:49" ht="15">
      <c r="AW453" s="18">
        <f t="shared" si="6"/>
        <v>0</v>
      </c>
    </row>
    <row r="454" spans="49:49" ht="15">
      <c r="AW454" s="18">
        <f t="shared" si="6"/>
        <v>0</v>
      </c>
    </row>
    <row r="455" spans="49:49" ht="15">
      <c r="AW455" s="18">
        <f t="shared" si="6"/>
        <v>0</v>
      </c>
    </row>
    <row r="456" spans="49:49" ht="15">
      <c r="AW456" s="18">
        <f t="shared" si="6"/>
        <v>0</v>
      </c>
    </row>
    <row r="457" spans="49:49" ht="15">
      <c r="AW457" s="18">
        <f t="shared" si="6"/>
        <v>0</v>
      </c>
    </row>
    <row r="458" spans="49:49" ht="15">
      <c r="AW458" s="18">
        <f t="shared" si="6"/>
        <v>0</v>
      </c>
    </row>
    <row r="459" spans="49:49" ht="15">
      <c r="AW459" s="18">
        <f t="shared" si="6"/>
        <v>0</v>
      </c>
    </row>
    <row r="460" spans="49:49" ht="15">
      <c r="AW460" s="18">
        <f t="shared" si="6"/>
        <v>0</v>
      </c>
    </row>
    <row r="461" spans="49:49" ht="15">
      <c r="AW461" s="18">
        <f t="shared" ref="AW461:AW515" si="7">LEN(L461)</f>
        <v>0</v>
      </c>
    </row>
    <row r="462" spans="49:49" ht="15">
      <c r="AW462" s="18">
        <f t="shared" si="7"/>
        <v>0</v>
      </c>
    </row>
    <row r="463" spans="49:49" ht="15">
      <c r="AW463" s="18">
        <f t="shared" si="7"/>
        <v>0</v>
      </c>
    </row>
    <row r="464" spans="49:49" ht="15">
      <c r="AW464" s="18">
        <f t="shared" si="7"/>
        <v>0</v>
      </c>
    </row>
    <row r="465" spans="49:49" ht="15">
      <c r="AW465" s="18">
        <f t="shared" si="7"/>
        <v>0</v>
      </c>
    </row>
    <row r="466" spans="49:49" ht="15">
      <c r="AW466" s="18">
        <f t="shared" si="7"/>
        <v>0</v>
      </c>
    </row>
    <row r="467" spans="49:49" ht="15">
      <c r="AW467" s="18">
        <f t="shared" si="7"/>
        <v>0</v>
      </c>
    </row>
    <row r="468" spans="49:49" ht="15">
      <c r="AW468" s="18">
        <f t="shared" si="7"/>
        <v>0</v>
      </c>
    </row>
    <row r="469" spans="49:49" ht="15">
      <c r="AW469" s="18">
        <f t="shared" si="7"/>
        <v>0</v>
      </c>
    </row>
    <row r="470" spans="49:49" ht="15">
      <c r="AW470" s="18">
        <f t="shared" si="7"/>
        <v>0</v>
      </c>
    </row>
    <row r="471" spans="49:49" ht="15">
      <c r="AW471" s="18">
        <f t="shared" si="7"/>
        <v>0</v>
      </c>
    </row>
    <row r="472" spans="49:49" ht="15">
      <c r="AW472" s="18">
        <f t="shared" si="7"/>
        <v>0</v>
      </c>
    </row>
    <row r="473" spans="49:49" ht="15">
      <c r="AW473" s="18">
        <f t="shared" si="7"/>
        <v>0</v>
      </c>
    </row>
    <row r="474" spans="49:49" ht="15">
      <c r="AW474" s="18">
        <f t="shared" si="7"/>
        <v>0</v>
      </c>
    </row>
    <row r="475" spans="49:49" ht="15">
      <c r="AW475" s="18">
        <f t="shared" si="7"/>
        <v>0</v>
      </c>
    </row>
    <row r="476" spans="49:49" ht="15">
      <c r="AW476" s="18">
        <f t="shared" si="7"/>
        <v>0</v>
      </c>
    </row>
    <row r="477" spans="49:49" ht="15">
      <c r="AW477" s="18">
        <f t="shared" si="7"/>
        <v>0</v>
      </c>
    </row>
    <row r="478" spans="49:49" ht="15">
      <c r="AW478" s="18">
        <f t="shared" si="7"/>
        <v>0</v>
      </c>
    </row>
    <row r="479" spans="49:49" ht="15">
      <c r="AW479" s="18">
        <f t="shared" si="7"/>
        <v>0</v>
      </c>
    </row>
    <row r="480" spans="49:49" ht="15">
      <c r="AW480" s="18">
        <f t="shared" si="7"/>
        <v>0</v>
      </c>
    </row>
    <row r="481" spans="49:49" ht="15">
      <c r="AW481" s="18">
        <f t="shared" si="7"/>
        <v>0</v>
      </c>
    </row>
    <row r="482" spans="49:49" ht="15">
      <c r="AW482" s="18">
        <f t="shared" si="7"/>
        <v>0</v>
      </c>
    </row>
    <row r="483" spans="49:49" ht="15">
      <c r="AW483" s="18">
        <f t="shared" si="7"/>
        <v>0</v>
      </c>
    </row>
    <row r="484" spans="49:49" ht="15">
      <c r="AW484" s="18">
        <f t="shared" si="7"/>
        <v>0</v>
      </c>
    </row>
    <row r="485" spans="49:49" ht="15">
      <c r="AW485" s="18">
        <f t="shared" si="7"/>
        <v>0</v>
      </c>
    </row>
    <row r="486" spans="49:49" ht="15">
      <c r="AW486" s="18">
        <f t="shared" si="7"/>
        <v>0</v>
      </c>
    </row>
    <row r="487" spans="49:49" ht="15">
      <c r="AW487" s="18">
        <f t="shared" si="7"/>
        <v>0</v>
      </c>
    </row>
    <row r="488" spans="49:49" ht="15">
      <c r="AW488" s="18">
        <f t="shared" si="7"/>
        <v>0</v>
      </c>
    </row>
    <row r="489" spans="49:49" ht="15">
      <c r="AW489" s="18">
        <f t="shared" si="7"/>
        <v>0</v>
      </c>
    </row>
    <row r="490" spans="49:49" ht="15">
      <c r="AW490" s="18">
        <f t="shared" si="7"/>
        <v>0</v>
      </c>
    </row>
    <row r="491" spans="49:49" ht="15">
      <c r="AW491" s="18">
        <f t="shared" si="7"/>
        <v>0</v>
      </c>
    </row>
    <row r="492" spans="49:49" ht="15">
      <c r="AW492" s="18">
        <f t="shared" si="7"/>
        <v>0</v>
      </c>
    </row>
    <row r="493" spans="49:49" ht="15">
      <c r="AW493" s="18">
        <f t="shared" si="7"/>
        <v>0</v>
      </c>
    </row>
    <row r="494" spans="49:49" ht="15">
      <c r="AW494" s="18">
        <f t="shared" si="7"/>
        <v>0</v>
      </c>
    </row>
    <row r="495" spans="49:49" ht="15">
      <c r="AW495" s="18">
        <f t="shared" si="7"/>
        <v>0</v>
      </c>
    </row>
    <row r="496" spans="49:49" ht="15">
      <c r="AW496" s="18">
        <f t="shared" si="7"/>
        <v>0</v>
      </c>
    </row>
    <row r="497" spans="49:49" ht="15">
      <c r="AW497" s="18">
        <f t="shared" si="7"/>
        <v>0</v>
      </c>
    </row>
    <row r="498" spans="49:49" ht="15">
      <c r="AW498" s="18">
        <f t="shared" si="7"/>
        <v>0</v>
      </c>
    </row>
    <row r="499" spans="49:49" ht="15">
      <c r="AW499" s="18">
        <f t="shared" si="7"/>
        <v>0</v>
      </c>
    </row>
    <row r="500" spans="49:49" ht="15">
      <c r="AW500" s="18">
        <f t="shared" si="7"/>
        <v>0</v>
      </c>
    </row>
    <row r="501" spans="49:49" ht="15">
      <c r="AW501" s="18">
        <f t="shared" si="7"/>
        <v>0</v>
      </c>
    </row>
    <row r="502" spans="49:49" ht="15">
      <c r="AW502" s="18">
        <f t="shared" si="7"/>
        <v>0</v>
      </c>
    </row>
    <row r="503" spans="49:49" ht="15">
      <c r="AW503" s="18">
        <f t="shared" si="7"/>
        <v>0</v>
      </c>
    </row>
    <row r="504" spans="49:49" ht="15">
      <c r="AW504" s="18">
        <f t="shared" si="7"/>
        <v>0</v>
      </c>
    </row>
    <row r="505" spans="49:49" ht="15">
      <c r="AW505" s="18">
        <f t="shared" si="7"/>
        <v>0</v>
      </c>
    </row>
    <row r="506" spans="49:49" ht="15">
      <c r="AW506" s="18">
        <f t="shared" si="7"/>
        <v>0</v>
      </c>
    </row>
    <row r="507" spans="49:49" ht="15">
      <c r="AW507" s="18">
        <f t="shared" si="7"/>
        <v>0</v>
      </c>
    </row>
    <row r="508" spans="49:49" ht="15">
      <c r="AW508" s="18">
        <f t="shared" si="7"/>
        <v>0</v>
      </c>
    </row>
    <row r="509" spans="49:49" ht="15">
      <c r="AW509" s="18">
        <f t="shared" si="7"/>
        <v>0</v>
      </c>
    </row>
    <row r="510" spans="49:49" ht="15">
      <c r="AW510" s="18">
        <f t="shared" si="7"/>
        <v>0</v>
      </c>
    </row>
    <row r="511" spans="49:49" ht="15">
      <c r="AW511" s="18">
        <f t="shared" si="7"/>
        <v>0</v>
      </c>
    </row>
    <row r="512" spans="49:49" ht="15">
      <c r="AW512" s="18">
        <f t="shared" si="7"/>
        <v>0</v>
      </c>
    </row>
    <row r="513" spans="49:49" ht="15">
      <c r="AW513" s="18">
        <f t="shared" si="7"/>
        <v>0</v>
      </c>
    </row>
    <row r="514" spans="49:49" ht="15">
      <c r="AW514" s="18">
        <f t="shared" si="7"/>
        <v>0</v>
      </c>
    </row>
    <row r="515" spans="49:49" ht="15">
      <c r="AW515" s="18">
        <f t="shared" si="7"/>
        <v>0</v>
      </c>
    </row>
  </sheetData>
  <mergeCells count="60">
    <mergeCell ref="J221:J223"/>
    <mergeCell ref="L221:L223"/>
    <mergeCell ref="BZ5:CB5"/>
    <mergeCell ref="CC5:CD5"/>
    <mergeCell ref="J146:J210"/>
    <mergeCell ref="L146:L210"/>
    <mergeCell ref="J211:J220"/>
    <mergeCell ref="L211:L220"/>
    <mergeCell ref="AX5:AX6"/>
    <mergeCell ref="AZ5:AZ6"/>
    <mergeCell ref="BA5:BE5"/>
    <mergeCell ref="BF5:BS5"/>
    <mergeCell ref="BT5:BW5"/>
    <mergeCell ref="BX5:BY5"/>
    <mergeCell ref="AQ5:AQ6"/>
    <mergeCell ref="AR5:AR6"/>
    <mergeCell ref="AS5:AS6"/>
    <mergeCell ref="AT5:AT6"/>
    <mergeCell ref="AU5:AU6"/>
    <mergeCell ref="AV5:AV6"/>
    <mergeCell ref="AI5:AI6"/>
    <mergeCell ref="AJ5:AJ6"/>
    <mergeCell ref="AK5:AK6"/>
    <mergeCell ref="AL5:AL6"/>
    <mergeCell ref="AO5:AO6"/>
    <mergeCell ref="AP5:AP6"/>
    <mergeCell ref="U5:U6"/>
    <mergeCell ref="AH5:AH6"/>
    <mergeCell ref="W5:W6"/>
    <mergeCell ref="X5:X6"/>
    <mergeCell ref="Y5:Y6"/>
    <mergeCell ref="Z5:Z6"/>
    <mergeCell ref="AA5:AA6"/>
    <mergeCell ref="AB5:AB6"/>
    <mergeCell ref="AC5:AC6"/>
    <mergeCell ref="AD5:AD6"/>
    <mergeCell ref="AE5:AE6"/>
    <mergeCell ref="AF5:AF6"/>
    <mergeCell ref="AG5:AG6"/>
    <mergeCell ref="P5:P6"/>
    <mergeCell ref="Q5:Q6"/>
    <mergeCell ref="R5:R6"/>
    <mergeCell ref="S5:S6"/>
    <mergeCell ref="T5:T6"/>
    <mergeCell ref="B4:C4"/>
    <mergeCell ref="W4:AD4"/>
    <mergeCell ref="AE4:AL4"/>
    <mergeCell ref="AO4:AU4"/>
    <mergeCell ref="B5:B6"/>
    <mergeCell ref="C5:C6"/>
    <mergeCell ref="D5:D6"/>
    <mergeCell ref="E5:E6"/>
    <mergeCell ref="H5:H6"/>
    <mergeCell ref="I5:I6"/>
    <mergeCell ref="V5:V6"/>
    <mergeCell ref="J5:J6"/>
    <mergeCell ref="K5:K6"/>
    <mergeCell ref="L5:L6"/>
    <mergeCell ref="N5:N6"/>
    <mergeCell ref="O5:O6"/>
  </mergeCells>
  <conditionalFormatting sqref="AW1:AW65582">
    <cfRule type="cellIs" dxfId="18" priority="1" stopIfTrue="1" operator="greaterThan">
      <formula>42</formula>
    </cfRule>
  </conditionalFormatting>
  <pageMargins left="0.511811024" right="0.511811024" top="0.78740157499999996" bottom="0.78740157499999996" header="0.31496062000000002" footer="0.3149606200000000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CI282"/>
  <sheetViews>
    <sheetView showGridLines="0" tabSelected="1" showRuler="0" topLeftCell="A4" zoomScale="80" zoomScaleNormal="80" workbookViewId="0">
      <pane ySplit="3" topLeftCell="A35" activePane="bottomLeft" state="frozenSplit"/>
      <selection activeCell="AV4" sqref="AV1:AV1048576"/>
      <selection pane="bottomLeft" activeCell="L42" sqref="L42"/>
    </sheetView>
  </sheetViews>
  <sheetFormatPr defaultColWidth="9.109375" defaultRowHeight="13.2"/>
  <cols>
    <col min="1" max="1" width="5.6640625" style="144" customWidth="1"/>
    <col min="2" max="2" width="46.44140625" style="144" hidden="1" customWidth="1"/>
    <col min="3" max="3" width="4.33203125" style="144" hidden="1" customWidth="1"/>
    <col min="4" max="4" width="22" style="144" hidden="1" customWidth="1"/>
    <col min="5" max="5" width="4.6640625" style="144" hidden="1" customWidth="1"/>
    <col min="6" max="6" width="4.109375" style="144" hidden="1" customWidth="1"/>
    <col min="7" max="7" width="4.44140625" style="144" hidden="1" customWidth="1"/>
    <col min="8" max="9" width="4.88671875" style="144" hidden="1" customWidth="1"/>
    <col min="10" max="10" width="36.6640625" style="144" customWidth="1"/>
    <col min="11" max="11" width="29" style="144" customWidth="1"/>
    <col min="12" max="12" width="55.109375" style="144" customWidth="1"/>
    <col min="13" max="13" width="37.6640625" style="144" customWidth="1"/>
    <col min="14" max="14" width="8.6640625" style="138" bestFit="1" customWidth="1"/>
    <col min="15" max="15" width="5.44140625" style="144" bestFit="1" customWidth="1"/>
    <col min="16" max="16" width="7.33203125" style="144" bestFit="1" customWidth="1"/>
    <col min="17" max="18" width="4.6640625" style="144" customWidth="1"/>
    <col min="19" max="19" width="4.44140625" style="144" customWidth="1"/>
    <col min="20" max="20" width="4.44140625" style="138" customWidth="1"/>
    <col min="21" max="21" width="75.6640625" style="160" customWidth="1"/>
    <col min="22" max="22" width="32.6640625" style="160" customWidth="1"/>
    <col min="23" max="23" width="19.109375" style="144" customWidth="1"/>
    <col min="24" max="24" width="15.6640625" style="144" customWidth="1"/>
    <col min="25" max="25" width="11.88671875" style="144" customWidth="1"/>
    <col min="26" max="26" width="15" style="168" customWidth="1"/>
    <col min="27" max="27" width="4.6640625" style="144" customWidth="1"/>
    <col min="28" max="28" width="31.109375" style="144" customWidth="1"/>
    <col min="29" max="29" width="16.109375" style="144" customWidth="1"/>
    <col min="30" max="30" width="22.109375" style="144" customWidth="1"/>
    <col min="31" max="31" width="19.109375" style="144" customWidth="1"/>
    <col min="32" max="33" width="5.6640625" style="144" customWidth="1"/>
    <col min="34" max="35" width="4.6640625" style="144" customWidth="1"/>
    <col min="36" max="36" width="34.6640625" style="127" customWidth="1"/>
    <col min="37" max="37" width="9.109375" style="144" customWidth="1"/>
    <col min="38" max="38" width="30.6640625" style="144" customWidth="1"/>
    <col min="39" max="39" width="14" style="144" customWidth="1"/>
    <col min="40" max="40" width="70.6640625" style="144" customWidth="1"/>
    <col min="41" max="47" width="11.44140625" style="144" customWidth="1"/>
    <col min="48" max="48" width="30.6640625" style="144" customWidth="1"/>
    <col min="49" max="49" width="0" style="144" hidden="1" customWidth="1"/>
    <col min="50" max="16384" width="9.109375" style="144"/>
  </cols>
  <sheetData>
    <row r="1" spans="1:86" ht="13.8" hidden="1" thickBot="1">
      <c r="U1" s="346"/>
      <c r="V1" s="346"/>
      <c r="AJ1" s="346"/>
    </row>
    <row r="2" spans="1:86" ht="13.8" hidden="1" thickBot="1">
      <c r="U2" s="346"/>
      <c r="V2" s="346"/>
      <c r="AJ2" s="346"/>
    </row>
    <row r="3" spans="1:86" s="146" customFormat="1" ht="13.8" hidden="1" thickBot="1">
      <c r="C3" s="147"/>
      <c r="E3" s="136"/>
      <c r="F3" s="136"/>
      <c r="G3" s="136"/>
      <c r="H3" s="136"/>
      <c r="I3" s="136"/>
      <c r="J3" s="136"/>
      <c r="K3" s="136"/>
      <c r="L3" s="136"/>
      <c r="M3" s="136"/>
      <c r="N3" s="136"/>
      <c r="O3" s="136"/>
      <c r="P3" s="136"/>
      <c r="Q3" s="136"/>
      <c r="R3" s="136"/>
      <c r="S3" s="136"/>
      <c r="T3" s="136"/>
      <c r="U3" s="136"/>
      <c r="V3" s="136"/>
      <c r="W3" s="136"/>
      <c r="X3" s="148"/>
      <c r="Z3" s="167"/>
      <c r="AA3" s="136"/>
      <c r="AB3" s="136"/>
      <c r="AC3" s="136"/>
      <c r="AD3" s="136"/>
      <c r="AE3" s="136"/>
      <c r="AF3" s="148"/>
      <c r="AI3" s="136"/>
      <c r="AJ3" s="136"/>
      <c r="AK3" s="147"/>
      <c r="AL3" s="147"/>
      <c r="AM3" s="147"/>
      <c r="AN3" s="147"/>
      <c r="AO3" s="147"/>
      <c r="AP3" s="147"/>
      <c r="AQ3" s="147"/>
    </row>
    <row r="4" spans="1:86" s="146" customFormat="1" ht="16.5" customHeight="1" thickBot="1">
      <c r="A4" s="149"/>
      <c r="B4" s="661" t="s">
        <v>462</v>
      </c>
      <c r="C4" s="663"/>
      <c r="D4" s="595" t="s">
        <v>463</v>
      </c>
      <c r="E4" s="156"/>
      <c r="F4" s="156"/>
      <c r="G4" s="156"/>
      <c r="H4" s="156"/>
      <c r="I4" s="156"/>
      <c r="J4" s="24" t="s">
        <v>464</v>
      </c>
      <c r="K4" s="25"/>
      <c r="L4" s="25"/>
      <c r="M4" s="25"/>
      <c r="N4" s="81"/>
      <c r="O4" s="25"/>
      <c r="P4" s="25"/>
      <c r="Q4" s="25"/>
      <c r="R4" s="25"/>
      <c r="S4" s="25"/>
      <c r="T4" s="81"/>
      <c r="U4" s="25"/>
      <c r="V4" s="25"/>
      <c r="W4" s="666" t="s">
        <v>465</v>
      </c>
      <c r="X4" s="667"/>
      <c r="Y4" s="667"/>
      <c r="Z4" s="667"/>
      <c r="AA4" s="667"/>
      <c r="AB4" s="667"/>
      <c r="AC4" s="667"/>
      <c r="AD4" s="668"/>
      <c r="AE4" s="639" t="s">
        <v>466</v>
      </c>
      <c r="AF4" s="639"/>
      <c r="AG4" s="639"/>
      <c r="AH4" s="639"/>
      <c r="AI4" s="639"/>
      <c r="AJ4" s="639"/>
      <c r="AK4" s="639"/>
      <c r="AL4" s="639"/>
      <c r="AM4" s="24" t="s">
        <v>467</v>
      </c>
      <c r="AN4" s="157"/>
      <c r="AO4" s="661" t="s">
        <v>468</v>
      </c>
      <c r="AP4" s="662"/>
      <c r="AQ4" s="662"/>
      <c r="AR4" s="662"/>
      <c r="AS4" s="662"/>
      <c r="AT4" s="662"/>
      <c r="AU4" s="663"/>
      <c r="AV4" s="158"/>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row>
    <row r="5" spans="1:86" s="146" customFormat="1" ht="28.5" customHeight="1" thickBot="1">
      <c r="A5" s="159"/>
      <c r="B5" s="654" t="s">
        <v>469</v>
      </c>
      <c r="C5" s="654" t="s">
        <v>470</v>
      </c>
      <c r="D5" s="637" t="s">
        <v>471</v>
      </c>
      <c r="E5" s="637" t="s">
        <v>472</v>
      </c>
      <c r="F5" s="637" t="s">
        <v>473</v>
      </c>
      <c r="G5" s="637" t="s">
        <v>474</v>
      </c>
      <c r="H5" s="637" t="s">
        <v>475</v>
      </c>
      <c r="I5" s="646" t="s">
        <v>476</v>
      </c>
      <c r="J5" s="648" t="s">
        <v>477</v>
      </c>
      <c r="K5" s="648" t="s">
        <v>478</v>
      </c>
      <c r="L5" s="648" t="s">
        <v>479</v>
      </c>
      <c r="M5" s="593"/>
      <c r="N5" s="648" t="s">
        <v>480</v>
      </c>
      <c r="O5" s="648" t="s">
        <v>481</v>
      </c>
      <c r="P5" s="648" t="s">
        <v>482</v>
      </c>
      <c r="Q5" s="648" t="s">
        <v>483</v>
      </c>
      <c r="R5" s="648" t="s">
        <v>484</v>
      </c>
      <c r="S5" s="648" t="s">
        <v>485</v>
      </c>
      <c r="T5" s="648" t="s">
        <v>486</v>
      </c>
      <c r="U5" s="648" t="s">
        <v>487</v>
      </c>
      <c r="V5" s="648" t="s">
        <v>488</v>
      </c>
      <c r="W5" s="635" t="s">
        <v>478</v>
      </c>
      <c r="X5" s="635" t="s">
        <v>489</v>
      </c>
      <c r="Y5" s="635" t="s">
        <v>482</v>
      </c>
      <c r="Z5" s="640" t="s">
        <v>490</v>
      </c>
      <c r="AA5" s="635" t="s">
        <v>485</v>
      </c>
      <c r="AB5" s="635" t="s">
        <v>487</v>
      </c>
      <c r="AC5" s="635" t="s">
        <v>491</v>
      </c>
      <c r="AD5" s="635" t="s">
        <v>488</v>
      </c>
      <c r="AE5" s="637" t="s">
        <v>478</v>
      </c>
      <c r="AF5" s="637" t="s">
        <v>489</v>
      </c>
      <c r="AG5" s="637" t="s">
        <v>482</v>
      </c>
      <c r="AH5" s="637" t="s">
        <v>490</v>
      </c>
      <c r="AI5" s="637" t="s">
        <v>485</v>
      </c>
      <c r="AJ5" s="637" t="s">
        <v>487</v>
      </c>
      <c r="AK5" s="637" t="s">
        <v>491</v>
      </c>
      <c r="AL5" s="637" t="s">
        <v>488</v>
      </c>
      <c r="AM5" s="30" t="s">
        <v>492</v>
      </c>
      <c r="AN5" s="31"/>
      <c r="AO5" s="654" t="s">
        <v>493</v>
      </c>
      <c r="AP5" s="654" t="s">
        <v>494</v>
      </c>
      <c r="AQ5" s="654" t="s">
        <v>495</v>
      </c>
      <c r="AR5" s="654" t="s">
        <v>496</v>
      </c>
      <c r="AS5" s="654" t="s">
        <v>497</v>
      </c>
      <c r="AT5" s="654" t="s">
        <v>498</v>
      </c>
      <c r="AU5" s="664" t="s">
        <v>499</v>
      </c>
      <c r="AV5" s="643" t="s">
        <v>500</v>
      </c>
      <c r="AX5" s="645"/>
      <c r="AY5" s="411"/>
      <c r="AZ5" s="656"/>
      <c r="BA5" s="642"/>
      <c r="BB5" s="642"/>
      <c r="BC5" s="642"/>
      <c r="BD5" s="642"/>
      <c r="BE5" s="642"/>
      <c r="BF5" s="652"/>
      <c r="BG5" s="652"/>
      <c r="BH5" s="652"/>
      <c r="BI5" s="652"/>
      <c r="BJ5" s="652"/>
      <c r="BK5" s="652"/>
      <c r="BL5" s="652"/>
      <c r="BM5" s="652"/>
      <c r="BN5" s="652"/>
      <c r="BO5" s="652"/>
      <c r="BP5" s="652"/>
      <c r="BQ5" s="652"/>
      <c r="BR5" s="652"/>
      <c r="BS5" s="652"/>
      <c r="BT5" s="653"/>
      <c r="BU5" s="653"/>
      <c r="BV5" s="653"/>
      <c r="BW5" s="653"/>
      <c r="BX5" s="651"/>
      <c r="BY5" s="651"/>
      <c r="BZ5" s="657"/>
      <c r="CA5" s="657"/>
      <c r="CB5" s="657"/>
      <c r="CC5" s="650"/>
      <c r="CD5" s="650"/>
      <c r="CE5" s="153"/>
      <c r="CF5" s="153"/>
      <c r="CG5" s="153"/>
      <c r="CH5" s="153"/>
    </row>
    <row r="6" spans="1:86" s="154" customFormat="1" ht="180.75" customHeight="1" thickBot="1">
      <c r="A6" s="58" t="s">
        <v>501</v>
      </c>
      <c r="B6" s="655"/>
      <c r="C6" s="655"/>
      <c r="D6" s="638"/>
      <c r="E6" s="638"/>
      <c r="F6" s="638"/>
      <c r="G6" s="638"/>
      <c r="H6" s="638"/>
      <c r="I6" s="647"/>
      <c r="J6" s="649"/>
      <c r="K6" s="649"/>
      <c r="L6" s="649"/>
      <c r="M6" s="594" t="s">
        <v>3506</v>
      </c>
      <c r="N6" s="649"/>
      <c r="O6" s="649"/>
      <c r="P6" s="649"/>
      <c r="Q6" s="649"/>
      <c r="R6" s="649"/>
      <c r="S6" s="649"/>
      <c r="T6" s="649"/>
      <c r="U6" s="649"/>
      <c r="V6" s="649"/>
      <c r="W6" s="636"/>
      <c r="X6" s="636"/>
      <c r="Y6" s="636"/>
      <c r="Z6" s="641"/>
      <c r="AA6" s="636"/>
      <c r="AB6" s="636"/>
      <c r="AC6" s="636"/>
      <c r="AD6" s="636"/>
      <c r="AE6" s="638"/>
      <c r="AF6" s="638"/>
      <c r="AG6" s="638"/>
      <c r="AH6" s="638"/>
      <c r="AI6" s="638"/>
      <c r="AJ6" s="638"/>
      <c r="AK6" s="638"/>
      <c r="AL6" s="638"/>
      <c r="AM6" s="32" t="s">
        <v>502</v>
      </c>
      <c r="AN6" s="32" t="s">
        <v>487</v>
      </c>
      <c r="AO6" s="655"/>
      <c r="AP6" s="655"/>
      <c r="AQ6" s="655"/>
      <c r="AR6" s="655"/>
      <c r="AS6" s="655"/>
      <c r="AT6" s="655"/>
      <c r="AU6" s="665"/>
      <c r="AV6" s="644"/>
      <c r="AX6" s="645"/>
      <c r="AY6" s="409"/>
      <c r="AZ6" s="656"/>
      <c r="BA6" s="410"/>
      <c r="BB6" s="410"/>
      <c r="BC6" s="410"/>
      <c r="BD6" s="410"/>
      <c r="BE6" s="410"/>
      <c r="BF6" s="408"/>
      <c r="BG6" s="408"/>
      <c r="BH6" s="408"/>
      <c r="BI6" s="408"/>
      <c r="BJ6" s="408"/>
      <c r="BK6" s="408"/>
      <c r="BL6" s="408"/>
      <c r="BM6" s="408"/>
      <c r="BN6" s="408"/>
      <c r="BO6" s="408"/>
      <c r="BP6" s="408"/>
      <c r="BQ6" s="408"/>
      <c r="BR6" s="408"/>
      <c r="BS6" s="408"/>
      <c r="BT6" s="8"/>
      <c r="BU6" s="8"/>
      <c r="BV6" s="8"/>
      <c r="BW6" s="8"/>
      <c r="BX6" s="9"/>
      <c r="BY6" s="9"/>
      <c r="BZ6" s="10"/>
      <c r="CA6" s="10"/>
      <c r="CB6" s="10"/>
      <c r="CC6" s="11"/>
      <c r="CD6" s="11"/>
      <c r="CE6" s="153"/>
      <c r="CF6" s="153"/>
      <c r="CG6" s="153"/>
      <c r="CH6" s="153"/>
    </row>
    <row r="7" spans="1:86" ht="15">
      <c r="A7" s="452">
        <f>ROW() - 6</f>
        <v>1</v>
      </c>
      <c r="B7" s="658" t="s">
        <v>503</v>
      </c>
      <c r="C7" s="659"/>
      <c r="D7" s="659"/>
      <c r="E7" s="659"/>
      <c r="F7" s="659"/>
      <c r="G7" s="659"/>
      <c r="H7" s="659"/>
      <c r="I7" s="659"/>
      <c r="J7" s="659"/>
      <c r="K7" s="659"/>
      <c r="L7" s="659"/>
      <c r="M7" s="659"/>
      <c r="N7" s="659"/>
      <c r="O7" s="659"/>
      <c r="P7" s="659"/>
      <c r="Q7" s="659"/>
      <c r="R7" s="659"/>
      <c r="S7" s="659"/>
      <c r="T7" s="659"/>
      <c r="U7" s="659"/>
      <c r="V7" s="659"/>
      <c r="W7" s="659"/>
      <c r="X7" s="659"/>
      <c r="Y7" s="659"/>
      <c r="Z7" s="659"/>
      <c r="AA7" s="659"/>
      <c r="AB7" s="659"/>
      <c r="AC7" s="659"/>
      <c r="AD7" s="659"/>
      <c r="AE7" s="659"/>
      <c r="AF7" s="659"/>
      <c r="AG7" s="659"/>
      <c r="AH7" s="659"/>
      <c r="AI7" s="659"/>
      <c r="AJ7" s="659"/>
      <c r="AK7" s="659"/>
      <c r="AL7" s="659"/>
      <c r="AM7" s="659"/>
      <c r="AN7" s="659"/>
      <c r="AO7" s="659"/>
      <c r="AP7" s="659"/>
      <c r="AQ7" s="659"/>
      <c r="AR7" s="659"/>
      <c r="AS7" s="659"/>
      <c r="AT7" s="659"/>
      <c r="AU7" s="659"/>
      <c r="AV7" s="660"/>
      <c r="AW7" s="155">
        <f t="shared" ref="AW7:AW12" si="0">LEN(L7)</f>
        <v>0</v>
      </c>
    </row>
    <row r="8" spans="1:86" s="12" customFormat="1" ht="52.8">
      <c r="A8" s="40">
        <f t="shared" ref="A8:A13" si="1">ROW() - 6</f>
        <v>2</v>
      </c>
      <c r="B8" s="33"/>
      <c r="C8" s="34"/>
      <c r="D8" s="33"/>
      <c r="E8" s="33"/>
      <c r="F8" s="33"/>
      <c r="G8" s="33"/>
      <c r="H8" s="414"/>
      <c r="I8" s="416"/>
      <c r="J8" s="215" t="s">
        <v>1673</v>
      </c>
      <c r="K8" s="215" t="s">
        <v>93</v>
      </c>
      <c r="L8" s="215" t="s">
        <v>1674</v>
      </c>
      <c r="M8" s="509"/>
      <c r="N8" s="366" t="s">
        <v>1675</v>
      </c>
      <c r="O8" s="416"/>
      <c r="P8" s="416"/>
      <c r="Q8" s="416" t="s">
        <v>6</v>
      </c>
      <c r="R8" s="126" t="s">
        <v>6</v>
      </c>
      <c r="S8" s="126" t="s">
        <v>6</v>
      </c>
      <c r="T8" s="416" t="s">
        <v>6</v>
      </c>
      <c r="U8" s="218" t="s">
        <v>3302</v>
      </c>
      <c r="W8" s="215" t="s">
        <v>95</v>
      </c>
      <c r="X8" s="416"/>
      <c r="Y8" s="414"/>
      <c r="Z8" s="61" t="s">
        <v>6</v>
      </c>
      <c r="AA8" s="61" t="s">
        <v>6</v>
      </c>
      <c r="AB8" s="414"/>
      <c r="AC8" s="414"/>
      <c r="AD8" s="414"/>
      <c r="AE8" s="215" t="s">
        <v>95</v>
      </c>
      <c r="AF8" s="416"/>
      <c r="AG8" s="414"/>
      <c r="AH8" s="61" t="s">
        <v>6</v>
      </c>
      <c r="AI8" s="61" t="s">
        <v>6</v>
      </c>
      <c r="AJ8" s="414"/>
      <c r="AK8" s="414"/>
      <c r="AL8" s="414"/>
      <c r="AM8" s="43" t="s">
        <v>1677</v>
      </c>
      <c r="AN8" s="35"/>
      <c r="AO8" s="37"/>
      <c r="AP8" s="37"/>
      <c r="AQ8" s="37"/>
      <c r="AR8" s="37"/>
      <c r="AS8" s="37"/>
      <c r="AT8" s="37"/>
      <c r="AU8" s="13"/>
      <c r="AV8" s="414"/>
      <c r="AW8" s="18">
        <f t="shared" si="0"/>
        <v>14</v>
      </c>
    </row>
    <row r="9" spans="1:86" s="20" customFormat="1" ht="15">
      <c r="A9" s="40">
        <f t="shared" si="1"/>
        <v>3</v>
      </c>
      <c r="B9" s="38"/>
      <c r="C9" s="41"/>
      <c r="D9" s="19"/>
      <c r="E9" s="19"/>
      <c r="F9" s="19"/>
      <c r="G9" s="19"/>
      <c r="H9" s="13"/>
      <c r="I9" s="13"/>
      <c r="J9" s="215" t="s">
        <v>1729</v>
      </c>
      <c r="K9" s="412" t="s">
        <v>140</v>
      </c>
      <c r="L9" s="215" t="s">
        <v>1730</v>
      </c>
      <c r="M9" s="215"/>
      <c r="N9" s="126" t="s">
        <v>504</v>
      </c>
      <c r="O9" s="40"/>
      <c r="P9" s="40"/>
      <c r="Q9" s="126"/>
      <c r="R9" s="126" t="s">
        <v>6</v>
      </c>
      <c r="S9" s="126" t="s">
        <v>6</v>
      </c>
      <c r="T9" s="40" t="s">
        <v>6</v>
      </c>
      <c r="U9" s="204" t="s">
        <v>3303</v>
      </c>
      <c r="V9" s="204"/>
      <c r="W9" s="412" t="s">
        <v>140</v>
      </c>
      <c r="X9" s="13"/>
      <c r="Y9" s="13"/>
      <c r="Z9" s="61"/>
      <c r="AA9" s="61" t="s">
        <v>6</v>
      </c>
      <c r="AB9" s="13"/>
      <c r="AC9" s="40"/>
      <c r="AD9" s="40"/>
      <c r="AE9" s="217" t="s">
        <v>140</v>
      </c>
      <c r="AF9" s="13"/>
      <c r="AG9" s="13"/>
      <c r="AH9" s="61"/>
      <c r="AI9" s="61" t="s">
        <v>6</v>
      </c>
      <c r="AJ9" s="13"/>
      <c r="AK9" s="40"/>
      <c r="AL9" s="40"/>
      <c r="AM9" s="43"/>
      <c r="AN9" s="13"/>
      <c r="AO9" s="15"/>
      <c r="AP9" s="15"/>
      <c r="AQ9" s="15"/>
      <c r="AR9" s="15"/>
      <c r="AS9" s="15"/>
      <c r="AT9" s="15"/>
      <c r="AU9" s="15"/>
      <c r="AV9" s="19"/>
      <c r="AW9" s="18">
        <f t="shared" si="0"/>
        <v>21</v>
      </c>
    </row>
    <row r="10" spans="1:86" s="20" customFormat="1" ht="15">
      <c r="A10" s="40">
        <f t="shared" si="1"/>
        <v>4</v>
      </c>
      <c r="B10" s="19"/>
      <c r="C10" s="41"/>
      <c r="D10" s="19"/>
      <c r="E10" s="19"/>
      <c r="F10" s="19"/>
      <c r="G10" s="19"/>
      <c r="H10" s="13"/>
      <c r="I10" s="13"/>
      <c r="J10" s="215" t="s">
        <v>1731</v>
      </c>
      <c r="K10" s="412" t="s">
        <v>140</v>
      </c>
      <c r="L10" s="215" t="s">
        <v>1732</v>
      </c>
      <c r="M10" s="215"/>
      <c r="N10" s="126" t="s">
        <v>504</v>
      </c>
      <c r="O10" s="40"/>
      <c r="P10" s="40"/>
      <c r="Q10" s="126" t="s">
        <v>6</v>
      </c>
      <c r="R10" s="126" t="s">
        <v>6</v>
      </c>
      <c r="S10" s="126" t="s">
        <v>6</v>
      </c>
      <c r="T10" s="40" t="s">
        <v>6</v>
      </c>
      <c r="U10" s="204" t="s">
        <v>3303</v>
      </c>
      <c r="V10" s="204"/>
      <c r="W10" s="412" t="s">
        <v>140</v>
      </c>
      <c r="X10" s="13"/>
      <c r="Y10" s="13"/>
      <c r="Z10" s="61"/>
      <c r="AA10" s="61" t="s">
        <v>6</v>
      </c>
      <c r="AB10" s="13"/>
      <c r="AC10" s="40"/>
      <c r="AD10" s="40"/>
      <c r="AE10" s="217" t="s">
        <v>140</v>
      </c>
      <c r="AF10" s="13"/>
      <c r="AG10" s="13"/>
      <c r="AH10" s="61"/>
      <c r="AI10" s="61" t="s">
        <v>6</v>
      </c>
      <c r="AJ10" s="13"/>
      <c r="AK10" s="40"/>
      <c r="AL10" s="40"/>
      <c r="AM10" s="43"/>
      <c r="AN10" s="13"/>
      <c r="AO10" s="15"/>
      <c r="AP10" s="15"/>
      <c r="AQ10" s="15"/>
      <c r="AR10" s="15"/>
      <c r="AS10" s="15"/>
      <c r="AT10" s="15"/>
      <c r="AU10" s="15"/>
      <c r="AV10" s="15"/>
      <c r="AW10" s="18">
        <f t="shared" si="0"/>
        <v>20</v>
      </c>
    </row>
    <row r="11" spans="1:86" s="20" customFormat="1" ht="15">
      <c r="A11" s="40">
        <f t="shared" si="1"/>
        <v>5</v>
      </c>
      <c r="B11" s="19"/>
      <c r="C11" s="41"/>
      <c r="D11" s="19"/>
      <c r="E11" s="19"/>
      <c r="F11" s="19"/>
      <c r="G11" s="19"/>
      <c r="H11" s="13"/>
      <c r="I11" s="13"/>
      <c r="J11" s="215" t="s">
        <v>1733</v>
      </c>
      <c r="K11" s="412" t="s">
        <v>140</v>
      </c>
      <c r="L11" s="215" t="s">
        <v>1734</v>
      </c>
      <c r="M11" s="215"/>
      <c r="N11" s="126" t="s">
        <v>504</v>
      </c>
      <c r="O11" s="40"/>
      <c r="P11" s="40"/>
      <c r="Q11" s="126" t="s">
        <v>6</v>
      </c>
      <c r="R11" s="126" t="s">
        <v>6</v>
      </c>
      <c r="S11" s="126" t="s">
        <v>6</v>
      </c>
      <c r="T11" s="40" t="s">
        <v>6</v>
      </c>
      <c r="U11" s="215" t="s">
        <v>3303</v>
      </c>
      <c r="V11" s="214"/>
      <c r="W11" s="412" t="s">
        <v>140</v>
      </c>
      <c r="X11" s="13"/>
      <c r="Y11" s="413"/>
      <c r="Z11" s="61"/>
      <c r="AA11" s="61" t="s">
        <v>6</v>
      </c>
      <c r="AB11" s="413"/>
      <c r="AC11" s="40"/>
      <c r="AD11" s="40"/>
      <c r="AE11" s="217" t="s">
        <v>140</v>
      </c>
      <c r="AF11" s="13"/>
      <c r="AG11" s="413"/>
      <c r="AH11" s="61"/>
      <c r="AI11" s="61" t="s">
        <v>6</v>
      </c>
      <c r="AJ11" s="413"/>
      <c r="AK11" s="40"/>
      <c r="AL11" s="40"/>
      <c r="AM11" s="43"/>
      <c r="AN11" s="13"/>
      <c r="AO11" s="15"/>
      <c r="AP11" s="15"/>
      <c r="AQ11" s="15"/>
      <c r="AR11" s="15"/>
      <c r="AS11" s="15"/>
      <c r="AT11" s="15"/>
      <c r="AU11" s="15"/>
      <c r="AV11" s="15"/>
      <c r="AW11" s="18">
        <f t="shared" si="0"/>
        <v>25</v>
      </c>
    </row>
    <row r="12" spans="1:86" s="12" customFormat="1" ht="15">
      <c r="A12" s="40">
        <f t="shared" si="1"/>
        <v>6</v>
      </c>
      <c r="B12" s="38"/>
      <c r="C12" s="42"/>
      <c r="D12" s="19"/>
      <c r="E12" s="19"/>
      <c r="F12" s="35"/>
      <c r="G12" s="35"/>
      <c r="H12" s="414"/>
      <c r="I12" s="13"/>
      <c r="J12" s="215" t="s">
        <v>1735</v>
      </c>
      <c r="K12" s="412" t="s">
        <v>117</v>
      </c>
      <c r="L12" s="215" t="s">
        <v>1736</v>
      </c>
      <c r="M12" s="215"/>
      <c r="N12" s="126" t="s">
        <v>504</v>
      </c>
      <c r="O12" s="40"/>
      <c r="P12" s="40"/>
      <c r="Q12" s="126" t="s">
        <v>6</v>
      </c>
      <c r="R12" s="126" t="s">
        <v>6</v>
      </c>
      <c r="S12" s="126" t="s">
        <v>6</v>
      </c>
      <c r="T12" s="40" t="s">
        <v>6</v>
      </c>
      <c r="U12" s="204" t="s">
        <v>3303</v>
      </c>
      <c r="V12" s="204"/>
      <c r="W12" s="215" t="s">
        <v>125</v>
      </c>
      <c r="X12" s="13"/>
      <c r="Y12" s="413"/>
      <c r="Z12" s="61"/>
      <c r="AA12" s="61" t="s">
        <v>6</v>
      </c>
      <c r="AB12" s="413"/>
      <c r="AC12" s="415"/>
      <c r="AD12" s="415"/>
      <c r="AE12" s="215" t="s">
        <v>125</v>
      </c>
      <c r="AF12" s="13"/>
      <c r="AG12" s="413"/>
      <c r="AH12" s="61"/>
      <c r="AI12" s="61" t="s">
        <v>6</v>
      </c>
      <c r="AJ12" s="413"/>
      <c r="AK12" s="415"/>
      <c r="AL12" s="415"/>
      <c r="AM12" s="43"/>
      <c r="AN12" s="44"/>
      <c r="AO12" s="13"/>
      <c r="AP12" s="13"/>
      <c r="AQ12" s="13"/>
      <c r="AR12" s="13"/>
      <c r="AS12" s="13"/>
      <c r="AT12" s="13"/>
      <c r="AU12" s="13"/>
      <c r="AV12" s="13"/>
      <c r="AW12" s="18">
        <f t="shared" si="0"/>
        <v>32</v>
      </c>
    </row>
    <row r="13" spans="1:86" s="12" customFormat="1" ht="15">
      <c r="A13" s="40">
        <f t="shared" si="1"/>
        <v>7</v>
      </c>
      <c r="B13" s="38"/>
      <c r="C13" s="42"/>
      <c r="D13" s="19"/>
      <c r="E13" s="19"/>
      <c r="F13" s="19"/>
      <c r="G13" s="19"/>
      <c r="H13" s="13"/>
      <c r="I13" s="13"/>
      <c r="J13" s="215" t="s">
        <v>1741</v>
      </c>
      <c r="K13" s="412" t="s">
        <v>120</v>
      </c>
      <c r="L13" s="215" t="s">
        <v>1742</v>
      </c>
      <c r="M13" s="215"/>
      <c r="N13" s="349" t="s">
        <v>873</v>
      </c>
      <c r="O13" s="40"/>
      <c r="P13" s="40"/>
      <c r="Q13" s="126" t="s">
        <v>6</v>
      </c>
      <c r="R13" s="126" t="s">
        <v>6</v>
      </c>
      <c r="S13" s="126" t="s">
        <v>6</v>
      </c>
      <c r="T13" s="40" t="s">
        <v>6</v>
      </c>
      <c r="U13" s="204" t="s">
        <v>3304</v>
      </c>
      <c r="V13" s="204"/>
      <c r="W13" s="412" t="s">
        <v>123</v>
      </c>
      <c r="X13" s="13"/>
      <c r="Y13" s="413"/>
      <c r="Z13" s="61"/>
      <c r="AA13" s="61" t="s">
        <v>6</v>
      </c>
      <c r="AB13" s="413"/>
      <c r="AC13" s="415"/>
      <c r="AD13" s="415"/>
      <c r="AE13" s="215" t="s">
        <v>125</v>
      </c>
      <c r="AF13" s="13"/>
      <c r="AG13" s="413"/>
      <c r="AH13" s="61"/>
      <c r="AI13" s="61" t="s">
        <v>6</v>
      </c>
      <c r="AJ13" s="413"/>
      <c r="AK13" s="415"/>
      <c r="AL13" s="415"/>
      <c r="AM13" s="43"/>
      <c r="AN13" s="44"/>
      <c r="AO13" s="13"/>
      <c r="AP13" s="13"/>
      <c r="AQ13" s="13"/>
      <c r="AR13" s="13"/>
      <c r="AS13" s="13"/>
      <c r="AT13" s="13"/>
      <c r="AU13" s="13"/>
      <c r="AV13" s="13"/>
      <c r="AW13" s="18">
        <f>LEN(L13)</f>
        <v>39</v>
      </c>
      <c r="AX13" s="16"/>
      <c r="AY13" s="17"/>
    </row>
    <row r="14" spans="1:86" s="12" customFormat="1" ht="15">
      <c r="A14" s="40">
        <v>12</v>
      </c>
      <c r="B14" s="19"/>
      <c r="C14" s="41"/>
      <c r="D14" s="19"/>
      <c r="E14" s="19"/>
      <c r="F14" s="19"/>
      <c r="G14" s="19"/>
      <c r="H14" s="13"/>
      <c r="I14" s="13"/>
      <c r="J14" s="215" t="s">
        <v>1701</v>
      </c>
      <c r="K14" s="412" t="s">
        <v>117</v>
      </c>
      <c r="L14" s="215" t="s">
        <v>1702</v>
      </c>
      <c r="M14" s="215"/>
      <c r="N14" s="126" t="s">
        <v>504</v>
      </c>
      <c r="O14" s="40"/>
      <c r="P14" s="40"/>
      <c r="Q14" s="126" t="s">
        <v>6</v>
      </c>
      <c r="R14" s="126" t="s">
        <v>6</v>
      </c>
      <c r="S14" s="126" t="s">
        <v>6</v>
      </c>
      <c r="T14" s="40" t="s">
        <v>6</v>
      </c>
      <c r="U14" s="204" t="s">
        <v>3303</v>
      </c>
      <c r="V14" s="204"/>
      <c r="W14" s="412" t="s">
        <v>133</v>
      </c>
      <c r="X14" s="13"/>
      <c r="Y14" s="13"/>
      <c r="Z14" s="61" t="s">
        <v>6</v>
      </c>
      <c r="AA14" s="61" t="s">
        <v>6</v>
      </c>
      <c r="AB14" s="413"/>
      <c r="AC14" s="415"/>
      <c r="AD14" s="415"/>
      <c r="AE14" s="412" t="s">
        <v>133</v>
      </c>
      <c r="AF14" s="13"/>
      <c r="AG14" s="13"/>
      <c r="AH14" s="61" t="s">
        <v>6</v>
      </c>
      <c r="AI14" s="61" t="s">
        <v>6</v>
      </c>
      <c r="AJ14" s="413"/>
      <c r="AK14" s="415"/>
      <c r="AL14" s="415"/>
      <c r="AM14" s="43"/>
      <c r="AN14" s="19"/>
      <c r="AO14" s="15"/>
      <c r="AP14" s="15"/>
      <c r="AQ14" s="15"/>
      <c r="AR14" s="15"/>
      <c r="AS14" s="15"/>
      <c r="AT14" s="15"/>
      <c r="AU14" s="13"/>
      <c r="AV14" s="15"/>
      <c r="AW14" s="18">
        <v>17</v>
      </c>
    </row>
    <row r="15" spans="1:86" s="20" customFormat="1" ht="15">
      <c r="A15" s="40">
        <v>13</v>
      </c>
      <c r="B15" s="38"/>
      <c r="C15" s="41"/>
      <c r="D15" s="38"/>
      <c r="E15" s="46"/>
      <c r="F15" s="46"/>
      <c r="G15" s="46"/>
      <c r="H15" s="13"/>
      <c r="I15" s="40"/>
      <c r="J15" s="215" t="s">
        <v>1703</v>
      </c>
      <c r="K15" s="412" t="s">
        <v>117</v>
      </c>
      <c r="L15" s="215" t="s">
        <v>1704</v>
      </c>
      <c r="M15" s="215"/>
      <c r="N15" s="126" t="s">
        <v>504</v>
      </c>
      <c r="O15" s="40"/>
      <c r="P15" s="40"/>
      <c r="Q15" s="126" t="s">
        <v>6</v>
      </c>
      <c r="R15" s="126" t="s">
        <v>6</v>
      </c>
      <c r="S15" s="126" t="s">
        <v>6</v>
      </c>
      <c r="T15" s="40" t="s">
        <v>6</v>
      </c>
      <c r="U15" s="204" t="s">
        <v>3303</v>
      </c>
      <c r="V15" s="204"/>
      <c r="W15" s="412" t="s">
        <v>133</v>
      </c>
      <c r="X15" s="13"/>
      <c r="Y15" s="13"/>
      <c r="Z15" s="61" t="s">
        <v>6</v>
      </c>
      <c r="AA15" s="61" t="s">
        <v>6</v>
      </c>
      <c r="AB15" s="413"/>
      <c r="AC15" s="413"/>
      <c r="AD15" s="413"/>
      <c r="AE15" s="412" t="s">
        <v>133</v>
      </c>
      <c r="AF15" s="13"/>
      <c r="AG15" s="13"/>
      <c r="AH15" s="61" t="s">
        <v>6</v>
      </c>
      <c r="AI15" s="61" t="s">
        <v>6</v>
      </c>
      <c r="AJ15" s="413"/>
      <c r="AK15" s="413"/>
      <c r="AL15" s="413"/>
      <c r="AM15" s="43"/>
      <c r="AN15" s="19"/>
      <c r="AO15" s="13"/>
      <c r="AP15" s="13"/>
      <c r="AQ15" s="13"/>
      <c r="AR15" s="13"/>
      <c r="AS15" s="13"/>
      <c r="AT15" s="13"/>
      <c r="AU15" s="13"/>
      <c r="AV15" s="19"/>
      <c r="AW15" s="18">
        <v>39</v>
      </c>
    </row>
    <row r="16" spans="1:86" s="12" customFormat="1" ht="26.4">
      <c r="A16" s="40">
        <v>15</v>
      </c>
      <c r="B16" s="38"/>
      <c r="C16" s="41"/>
      <c r="D16" s="19"/>
      <c r="E16" s="19"/>
      <c r="F16" s="19"/>
      <c r="G16" s="19"/>
      <c r="H16" s="13"/>
      <c r="I16" s="13"/>
      <c r="J16" s="215" t="s">
        <v>1708</v>
      </c>
      <c r="K16" s="412" t="s">
        <v>120</v>
      </c>
      <c r="L16" s="215" t="s">
        <v>1709</v>
      </c>
      <c r="M16" s="215"/>
      <c r="N16" s="349" t="s">
        <v>873</v>
      </c>
      <c r="O16" s="40"/>
      <c r="P16" s="40"/>
      <c r="Q16" s="126" t="s">
        <v>6</v>
      </c>
      <c r="R16" s="126" t="s">
        <v>6</v>
      </c>
      <c r="S16" s="126" t="s">
        <v>6</v>
      </c>
      <c r="T16" s="40" t="s">
        <v>6</v>
      </c>
      <c r="U16" s="204" t="s">
        <v>3305</v>
      </c>
      <c r="V16" s="204"/>
      <c r="W16" s="412" t="s">
        <v>133</v>
      </c>
      <c r="X16" s="13"/>
      <c r="Y16" s="13"/>
      <c r="Z16" s="61" t="s">
        <v>6</v>
      </c>
      <c r="AA16" s="61" t="s">
        <v>6</v>
      </c>
      <c r="AB16" s="413"/>
      <c r="AC16" s="415"/>
      <c r="AD16" s="415"/>
      <c r="AE16" s="412" t="s">
        <v>133</v>
      </c>
      <c r="AF16" s="13"/>
      <c r="AG16" s="13"/>
      <c r="AH16" s="61" t="s">
        <v>6</v>
      </c>
      <c r="AI16" s="61" t="s">
        <v>6</v>
      </c>
      <c r="AJ16" s="413"/>
      <c r="AK16" s="415"/>
      <c r="AL16" s="415"/>
      <c r="AM16" s="43"/>
      <c r="AN16" s="13"/>
      <c r="AO16" s="15"/>
      <c r="AP16" s="15"/>
      <c r="AQ16" s="15"/>
      <c r="AR16" s="15"/>
      <c r="AS16" s="15"/>
      <c r="AT16" s="15"/>
      <c r="AU16" s="15"/>
      <c r="AV16" s="15"/>
      <c r="AW16" s="18">
        <v>39</v>
      </c>
      <c r="AX16" s="16"/>
      <c r="AY16" s="17"/>
    </row>
    <row r="17" spans="1:49" s="20" customFormat="1" ht="15">
      <c r="A17" s="40">
        <f t="shared" ref="A17:A22" si="2">ROW() - 6</f>
        <v>11</v>
      </c>
      <c r="B17" s="19"/>
      <c r="C17" s="41"/>
      <c r="D17" s="19"/>
      <c r="E17" s="19"/>
      <c r="F17" s="19"/>
      <c r="G17" s="19"/>
      <c r="H17" s="13"/>
      <c r="I17" s="13"/>
      <c r="J17" s="215" t="s">
        <v>1720</v>
      </c>
      <c r="K17" s="219" t="s">
        <v>65</v>
      </c>
      <c r="L17" s="215" t="s">
        <v>1721</v>
      </c>
      <c r="M17" s="215"/>
      <c r="N17" s="126" t="s">
        <v>504</v>
      </c>
      <c r="O17" s="40"/>
      <c r="P17" s="40"/>
      <c r="Q17" s="126" t="s">
        <v>6</v>
      </c>
      <c r="R17" s="126" t="s">
        <v>6</v>
      </c>
      <c r="S17" s="126" t="s">
        <v>6</v>
      </c>
      <c r="T17" s="40" t="s">
        <v>6</v>
      </c>
      <c r="U17" s="204" t="s">
        <v>3300</v>
      </c>
      <c r="V17" s="204"/>
      <c r="W17" s="219" t="s">
        <v>65</v>
      </c>
      <c r="X17" s="13"/>
      <c r="Y17" s="13"/>
      <c r="Z17" s="61" t="s">
        <v>6</v>
      </c>
      <c r="AA17" s="61" t="s">
        <v>6</v>
      </c>
      <c r="AB17" s="413"/>
      <c r="AC17" s="415"/>
      <c r="AD17" s="415"/>
      <c r="AE17" s="219" t="s">
        <v>65</v>
      </c>
      <c r="AF17" s="13"/>
      <c r="AG17" s="13"/>
      <c r="AH17" s="61" t="s">
        <v>6</v>
      </c>
      <c r="AI17" s="61" t="s">
        <v>6</v>
      </c>
      <c r="AJ17" s="413"/>
      <c r="AK17" s="415"/>
      <c r="AL17" s="415"/>
      <c r="AM17" s="43"/>
      <c r="AN17" s="13"/>
      <c r="AO17" s="15"/>
      <c r="AP17" s="15"/>
      <c r="AQ17" s="15"/>
      <c r="AR17" s="15"/>
      <c r="AS17" s="15"/>
      <c r="AT17" s="15"/>
      <c r="AU17" s="15"/>
      <c r="AV17" s="19"/>
      <c r="AW17" s="18">
        <f t="shared" ref="AW17:AW20" si="3">LEN(L17)</f>
        <v>24</v>
      </c>
    </row>
    <row r="18" spans="1:49" s="20" customFormat="1" ht="15">
      <c r="A18" s="40">
        <f t="shared" si="2"/>
        <v>12</v>
      </c>
      <c r="B18" s="19"/>
      <c r="C18" s="41"/>
      <c r="D18" s="19"/>
      <c r="E18" s="19"/>
      <c r="F18" s="19"/>
      <c r="G18" s="19"/>
      <c r="H18" s="13"/>
      <c r="I18" s="13"/>
      <c r="J18" s="215" t="s">
        <v>1722</v>
      </c>
      <c r="K18" s="219" t="s">
        <v>65</v>
      </c>
      <c r="L18" s="215" t="s">
        <v>1723</v>
      </c>
      <c r="M18" s="215"/>
      <c r="N18" s="126" t="s">
        <v>504</v>
      </c>
      <c r="O18" s="40"/>
      <c r="P18" s="40"/>
      <c r="Q18" s="126" t="s">
        <v>6</v>
      </c>
      <c r="R18" s="126" t="s">
        <v>6</v>
      </c>
      <c r="S18" s="126" t="s">
        <v>6</v>
      </c>
      <c r="T18" s="40" t="s">
        <v>6</v>
      </c>
      <c r="U18" s="204" t="s">
        <v>3300</v>
      </c>
      <c r="V18" s="204"/>
      <c r="W18" s="219" t="s">
        <v>65</v>
      </c>
      <c r="X18" s="13"/>
      <c r="Y18" s="13"/>
      <c r="Z18" s="61" t="s">
        <v>6</v>
      </c>
      <c r="AA18" s="61" t="s">
        <v>6</v>
      </c>
      <c r="AB18" s="45"/>
      <c r="AC18" s="415"/>
      <c r="AD18" s="415"/>
      <c r="AE18" s="219" t="s">
        <v>65</v>
      </c>
      <c r="AF18" s="13"/>
      <c r="AG18" s="13"/>
      <c r="AH18" s="61" t="s">
        <v>6</v>
      </c>
      <c r="AI18" s="61" t="s">
        <v>6</v>
      </c>
      <c r="AJ18" s="45"/>
      <c r="AK18" s="415"/>
      <c r="AL18" s="415"/>
      <c r="AM18" s="43"/>
      <c r="AN18" s="19"/>
      <c r="AO18" s="13"/>
      <c r="AP18" s="13"/>
      <c r="AQ18" s="13"/>
      <c r="AR18" s="13"/>
      <c r="AS18" s="13"/>
      <c r="AT18" s="13"/>
      <c r="AU18" s="15"/>
      <c r="AV18" s="15"/>
      <c r="AW18" s="18">
        <f t="shared" si="3"/>
        <v>23</v>
      </c>
    </row>
    <row r="19" spans="1:49" s="20" customFormat="1" ht="15">
      <c r="A19" s="40">
        <f t="shared" si="2"/>
        <v>13</v>
      </c>
      <c r="B19" s="38"/>
      <c r="C19" s="41"/>
      <c r="D19" s="19"/>
      <c r="E19" s="19"/>
      <c r="F19" s="19"/>
      <c r="G19" s="19"/>
      <c r="H19" s="13"/>
      <c r="I19" s="13"/>
      <c r="J19" s="215" t="s">
        <v>1724</v>
      </c>
      <c r="K19" s="219" t="s">
        <v>65</v>
      </c>
      <c r="L19" s="215" t="s">
        <v>1725</v>
      </c>
      <c r="M19" s="215"/>
      <c r="N19" s="126" t="s">
        <v>504</v>
      </c>
      <c r="O19" s="40"/>
      <c r="P19" s="40"/>
      <c r="Q19" s="126" t="s">
        <v>6</v>
      </c>
      <c r="R19" s="126" t="s">
        <v>6</v>
      </c>
      <c r="S19" s="126" t="s">
        <v>6</v>
      </c>
      <c r="T19" s="40" t="s">
        <v>6</v>
      </c>
      <c r="U19" s="204" t="s">
        <v>3300</v>
      </c>
      <c r="V19" s="204"/>
      <c r="W19" s="219" t="s">
        <v>65</v>
      </c>
      <c r="X19" s="13"/>
      <c r="Y19" s="13"/>
      <c r="Z19" s="61" t="s">
        <v>6</v>
      </c>
      <c r="AA19" s="61" t="s">
        <v>6</v>
      </c>
      <c r="AB19" s="13"/>
      <c r="AC19" s="40"/>
      <c r="AD19" s="40"/>
      <c r="AE19" s="219" t="s">
        <v>65</v>
      </c>
      <c r="AF19" s="13"/>
      <c r="AG19" s="13"/>
      <c r="AH19" s="61" t="s">
        <v>6</v>
      </c>
      <c r="AI19" s="61" t="s">
        <v>6</v>
      </c>
      <c r="AJ19" s="13"/>
      <c r="AK19" s="40"/>
      <c r="AL19" s="40"/>
      <c r="AM19" s="43"/>
      <c r="AN19" s="19"/>
      <c r="AO19" s="15"/>
      <c r="AP19" s="15"/>
      <c r="AQ19" s="15"/>
      <c r="AR19" s="15"/>
      <c r="AS19" s="15"/>
      <c r="AT19" s="15"/>
      <c r="AU19" s="15"/>
      <c r="AV19" s="15"/>
      <c r="AW19" s="18">
        <f t="shared" si="3"/>
        <v>23</v>
      </c>
    </row>
    <row r="20" spans="1:49" s="20" customFormat="1" ht="15">
      <c r="A20" s="40">
        <f t="shared" si="2"/>
        <v>14</v>
      </c>
      <c r="B20" s="59"/>
      <c r="C20" s="59"/>
      <c r="D20" s="59"/>
      <c r="E20" s="59"/>
      <c r="F20" s="59"/>
      <c r="G20" s="59"/>
      <c r="H20" s="59"/>
      <c r="I20" s="59"/>
      <c r="J20" s="215" t="s">
        <v>1695</v>
      </c>
      <c r="K20" s="215" t="s">
        <v>117</v>
      </c>
      <c r="L20" s="204" t="s">
        <v>691</v>
      </c>
      <c r="M20" s="204"/>
      <c r="N20" s="126" t="s">
        <v>504</v>
      </c>
      <c r="O20" s="126"/>
      <c r="P20" s="126"/>
      <c r="Q20" s="40" t="s">
        <v>6</v>
      </c>
      <c r="R20" s="40" t="s">
        <v>6</v>
      </c>
      <c r="S20" s="40" t="s">
        <v>6</v>
      </c>
      <c r="T20" s="40" t="s">
        <v>6</v>
      </c>
      <c r="U20" s="204" t="s">
        <v>3307</v>
      </c>
      <c r="V20" s="204"/>
      <c r="W20" s="204" t="s">
        <v>133</v>
      </c>
      <c r="X20" s="59"/>
      <c r="Y20" s="59"/>
      <c r="Z20" s="40" t="s">
        <v>6</v>
      </c>
      <c r="AA20" s="40" t="s">
        <v>6</v>
      </c>
      <c r="AB20" s="204"/>
      <c r="AC20" s="59"/>
      <c r="AD20" s="59"/>
      <c r="AE20" s="204" t="s">
        <v>133</v>
      </c>
      <c r="AF20" s="59"/>
      <c r="AG20" s="59"/>
      <c r="AH20" s="40" t="s">
        <v>6</v>
      </c>
      <c r="AI20" s="40" t="s">
        <v>6</v>
      </c>
      <c r="AJ20" s="204"/>
      <c r="AK20" s="59"/>
      <c r="AL20" s="59"/>
      <c r="AM20" s="59" t="s">
        <v>1697</v>
      </c>
      <c r="AN20" s="59"/>
      <c r="AO20" s="59"/>
      <c r="AP20" s="59"/>
      <c r="AQ20" s="59"/>
      <c r="AR20" s="59"/>
      <c r="AS20" s="59"/>
      <c r="AT20" s="59"/>
      <c r="AU20" s="59"/>
      <c r="AV20" s="59"/>
      <c r="AW20" s="18">
        <f t="shared" si="3"/>
        <v>24</v>
      </c>
    </row>
    <row r="21" spans="1:49" s="20" customFormat="1" ht="15">
      <c r="A21" s="40">
        <f t="shared" si="2"/>
        <v>15</v>
      </c>
      <c r="B21" s="19"/>
      <c r="C21" s="41"/>
      <c r="D21" s="19"/>
      <c r="E21" s="19"/>
      <c r="F21" s="19"/>
      <c r="G21" s="19"/>
      <c r="H21" s="13"/>
      <c r="I21" s="13"/>
      <c r="J21" s="215" t="s">
        <v>1685</v>
      </c>
      <c r="K21" s="412" t="s">
        <v>122</v>
      </c>
      <c r="L21" s="215" t="s">
        <v>1686</v>
      </c>
      <c r="M21" s="215"/>
      <c r="N21" s="349" t="s">
        <v>873</v>
      </c>
      <c r="O21" s="40"/>
      <c r="P21" s="40"/>
      <c r="Q21" s="126" t="s">
        <v>6</v>
      </c>
      <c r="R21" s="126" t="s">
        <v>6</v>
      </c>
      <c r="S21" s="126" t="s">
        <v>6</v>
      </c>
      <c r="T21" s="416" t="s">
        <v>6</v>
      </c>
      <c r="U21" s="204" t="s">
        <v>3300</v>
      </c>
      <c r="V21" s="204"/>
      <c r="W21" s="412" t="s">
        <v>123</v>
      </c>
      <c r="X21" s="13"/>
      <c r="Y21" s="13"/>
      <c r="Z21" s="61" t="s">
        <v>6</v>
      </c>
      <c r="AA21" s="61" t="s">
        <v>6</v>
      </c>
      <c r="AB21" s="413"/>
      <c r="AC21" s="415"/>
      <c r="AD21" s="415"/>
      <c r="AE21" s="412" t="s">
        <v>123</v>
      </c>
      <c r="AF21" s="13"/>
      <c r="AG21" s="13"/>
      <c r="AH21" s="61" t="s">
        <v>6</v>
      </c>
      <c r="AI21" s="61" t="s">
        <v>6</v>
      </c>
      <c r="AJ21" s="413"/>
      <c r="AK21" s="415"/>
      <c r="AL21" s="415"/>
      <c r="AM21" s="43" t="s">
        <v>1687</v>
      </c>
      <c r="AN21" s="13"/>
      <c r="AO21" s="15"/>
      <c r="AP21" s="15"/>
      <c r="AQ21" s="15"/>
      <c r="AR21" s="15"/>
      <c r="AS21" s="15"/>
      <c r="AT21" s="15"/>
      <c r="AU21" s="15"/>
      <c r="AV21" s="15"/>
      <c r="AW21" s="18">
        <f>LEN(L21)</f>
        <v>26</v>
      </c>
    </row>
    <row r="22" spans="1:49" s="236" customFormat="1" ht="15">
      <c r="A22" s="40">
        <f t="shared" si="2"/>
        <v>16</v>
      </c>
      <c r="B22" s="199"/>
      <c r="C22" s="199"/>
      <c r="D22" s="199"/>
      <c r="E22" s="199"/>
      <c r="F22" s="199"/>
      <c r="G22" s="199"/>
      <c r="H22" s="199"/>
      <c r="I22" s="199"/>
      <c r="J22" s="247" t="s">
        <v>1766</v>
      </c>
      <c r="K22" s="204" t="s">
        <v>117</v>
      </c>
      <c r="L22" s="204" t="s">
        <v>1767</v>
      </c>
      <c r="M22" s="204"/>
      <c r="N22" s="40" t="s">
        <v>504</v>
      </c>
      <c r="O22" s="199"/>
      <c r="P22" s="199"/>
      <c r="Q22" s="40" t="s">
        <v>6</v>
      </c>
      <c r="R22" s="40" t="s">
        <v>6</v>
      </c>
      <c r="S22" s="40" t="s">
        <v>6</v>
      </c>
      <c r="T22" s="126" t="s">
        <v>6</v>
      </c>
      <c r="U22" s="200" t="s">
        <v>1768</v>
      </c>
      <c r="V22" s="204"/>
      <c r="W22" s="204" t="s">
        <v>125</v>
      </c>
      <c r="X22" s="199"/>
      <c r="Y22" s="199"/>
      <c r="Z22" s="40" t="s">
        <v>6</v>
      </c>
      <c r="AA22" s="40" t="s">
        <v>6</v>
      </c>
      <c r="AB22" s="218"/>
      <c r="AC22" s="199"/>
      <c r="AD22" s="218"/>
      <c r="AE22" s="204" t="s">
        <v>125</v>
      </c>
      <c r="AF22" s="199"/>
      <c r="AG22" s="199"/>
      <c r="AH22" s="126"/>
      <c r="AI22" s="40" t="s">
        <v>6</v>
      </c>
      <c r="AJ22" s="218"/>
      <c r="AK22" s="199"/>
      <c r="AL22" s="218"/>
      <c r="AM22" s="199"/>
      <c r="AN22" s="199"/>
      <c r="AO22" s="199"/>
      <c r="AP22" s="199"/>
      <c r="AQ22" s="199"/>
      <c r="AR22" s="199"/>
      <c r="AS22" s="199"/>
      <c r="AT22" s="199"/>
      <c r="AU22" s="199"/>
      <c r="AV22" s="199"/>
      <c r="AW22" s="155">
        <f>LEN(L22)</f>
        <v>39</v>
      </c>
    </row>
    <row r="23" spans="1:49" s="12" customFormat="1" ht="131.25" customHeight="1">
      <c r="A23" s="40">
        <f t="shared" ref="A23" si="4">ROW() - 6</f>
        <v>17</v>
      </c>
      <c r="B23" s="33"/>
      <c r="C23" s="34"/>
      <c r="D23" s="33"/>
      <c r="E23" s="33"/>
      <c r="F23" s="33"/>
      <c r="G23" s="33"/>
      <c r="H23" s="414"/>
      <c r="I23" s="416"/>
      <c r="J23" s="217" t="s">
        <v>1783</v>
      </c>
      <c r="K23" s="217" t="s">
        <v>79</v>
      </c>
      <c r="L23" s="239" t="s">
        <v>1784</v>
      </c>
      <c r="M23" s="519"/>
      <c r="N23" s="416" t="s">
        <v>1785</v>
      </c>
      <c r="O23" s="40"/>
      <c r="P23" s="40"/>
      <c r="Q23" s="40" t="s">
        <v>6</v>
      </c>
      <c r="R23" s="40" t="s">
        <v>6</v>
      </c>
      <c r="S23" s="40" t="s">
        <v>6</v>
      </c>
      <c r="T23" s="40" t="s">
        <v>6</v>
      </c>
      <c r="U23" s="218" t="s">
        <v>3302</v>
      </c>
      <c r="V23" s="59"/>
      <c r="W23" s="217" t="s">
        <v>79</v>
      </c>
      <c r="X23" s="414"/>
      <c r="Y23" s="414"/>
      <c r="Z23" s="416" t="s">
        <v>6</v>
      </c>
      <c r="AA23" s="416" t="s">
        <v>6</v>
      </c>
      <c r="AB23" s="416"/>
      <c r="AC23" s="416"/>
      <c r="AD23" s="416"/>
      <c r="AE23" s="217" t="s">
        <v>79</v>
      </c>
      <c r="AF23" s="414"/>
      <c r="AG23" s="414"/>
      <c r="AH23" s="416" t="s">
        <v>6</v>
      </c>
      <c r="AI23" s="416" t="s">
        <v>6</v>
      </c>
      <c r="AJ23" s="414"/>
      <c r="AK23" s="414"/>
      <c r="AL23" s="414"/>
      <c r="AM23" s="36" t="s">
        <v>1786</v>
      </c>
      <c r="AN23" s="35"/>
      <c r="AO23" s="37"/>
      <c r="AP23" s="37"/>
      <c r="AQ23" s="37"/>
      <c r="AR23" s="37"/>
      <c r="AS23" s="37"/>
      <c r="AT23" s="37"/>
      <c r="AU23" s="13"/>
      <c r="AV23" s="414"/>
      <c r="AW23" s="18">
        <f t="shared" ref="AW23" si="5">LEN(L23)</f>
        <v>19</v>
      </c>
    </row>
    <row r="24" spans="1:49" s="14" customFormat="1" ht="26.4">
      <c r="A24" s="40">
        <f t="shared" ref="A24" si="6">ROW() - 6</f>
        <v>18</v>
      </c>
      <c r="B24" s="38"/>
      <c r="C24" s="42"/>
      <c r="D24" s="19"/>
      <c r="E24" s="19"/>
      <c r="F24" s="35"/>
      <c r="G24" s="35"/>
      <c r="H24" s="414"/>
      <c r="I24" s="13"/>
      <c r="J24" s="412" t="s">
        <v>3291</v>
      </c>
      <c r="K24" s="412" t="s">
        <v>122</v>
      </c>
      <c r="L24" s="412" t="s">
        <v>674</v>
      </c>
      <c r="M24" s="412"/>
      <c r="N24" s="349" t="s">
        <v>873</v>
      </c>
      <c r="O24" s="40"/>
      <c r="P24" s="40"/>
      <c r="Q24" s="416" t="s">
        <v>6</v>
      </c>
      <c r="R24" s="416" t="s">
        <v>6</v>
      </c>
      <c r="S24" s="40" t="s">
        <v>6</v>
      </c>
      <c r="T24" s="416" t="s">
        <v>6</v>
      </c>
      <c r="U24" s="204" t="s">
        <v>3308</v>
      </c>
      <c r="V24" s="206"/>
      <c r="W24" s="412" t="s">
        <v>123</v>
      </c>
      <c r="X24" s="413"/>
      <c r="Y24" s="413"/>
      <c r="Z24" s="416" t="s">
        <v>6</v>
      </c>
      <c r="AA24" s="13" t="s">
        <v>6</v>
      </c>
      <c r="AB24" s="204"/>
      <c r="AC24" s="206"/>
      <c r="AD24" s="40"/>
      <c r="AE24" s="412" t="s">
        <v>123</v>
      </c>
      <c r="AF24" s="413"/>
      <c r="AG24" s="413"/>
      <c r="AH24" s="416" t="s">
        <v>6</v>
      </c>
      <c r="AI24" s="13" t="s">
        <v>6</v>
      </c>
      <c r="AK24" s="206"/>
      <c r="AL24" s="40"/>
      <c r="AM24" s="36" t="s">
        <v>3139</v>
      </c>
      <c r="AN24" s="204" t="e">
        <f>"Atende também ao agrupamento dos itens "&amp;#REF!&amp;" a "&amp;#REF!&amp;" para ONS."</f>
        <v>#REF!</v>
      </c>
      <c r="AO24" s="13"/>
      <c r="AP24" s="13"/>
      <c r="AQ24" s="13"/>
      <c r="AR24" s="13"/>
      <c r="AS24" s="13"/>
      <c r="AT24" s="13"/>
      <c r="AU24" s="13"/>
      <c r="AV24" s="13"/>
      <c r="AW24" s="18">
        <f t="shared" ref="AW24" si="7">LEN(L24)</f>
        <v>24</v>
      </c>
    </row>
    <row r="25" spans="1:49" s="236" customFormat="1" ht="15">
      <c r="A25" s="40">
        <f t="shared" ref="A25" si="8">ROW() - 6</f>
        <v>19</v>
      </c>
      <c r="B25" s="199"/>
      <c r="C25" s="199"/>
      <c r="D25" s="199"/>
      <c r="E25" s="199"/>
      <c r="F25" s="199"/>
      <c r="G25" s="199"/>
      <c r="H25" s="199"/>
      <c r="I25" s="199"/>
      <c r="J25" s="417" t="s">
        <v>3290</v>
      </c>
      <c r="K25" s="204" t="s">
        <v>128</v>
      </c>
      <c r="L25" s="204" t="s">
        <v>557</v>
      </c>
      <c r="M25" s="204"/>
      <c r="N25" s="40" t="s">
        <v>504</v>
      </c>
      <c r="O25" s="40"/>
      <c r="P25" s="40"/>
      <c r="Q25" s="40"/>
      <c r="R25" s="40"/>
      <c r="S25" s="40" t="s">
        <v>6</v>
      </c>
      <c r="T25" s="126" t="s">
        <v>6</v>
      </c>
      <c r="U25" s="204" t="s">
        <v>3300</v>
      </c>
      <c r="V25" s="204"/>
      <c r="W25" s="204" t="s">
        <v>128</v>
      </c>
      <c r="X25" s="40"/>
      <c r="Y25" s="40"/>
      <c r="Z25" s="40" t="s">
        <v>6</v>
      </c>
      <c r="AA25" s="40" t="s">
        <v>6</v>
      </c>
      <c r="AB25" s="204"/>
      <c r="AC25" s="40"/>
      <c r="AD25" s="40"/>
      <c r="AE25" s="204" t="s">
        <v>128</v>
      </c>
      <c r="AF25" s="40"/>
      <c r="AG25" s="40"/>
      <c r="AH25" s="40" t="s">
        <v>6</v>
      </c>
      <c r="AI25" s="40" t="s">
        <v>6</v>
      </c>
      <c r="AJ25" s="204"/>
      <c r="AK25" s="40"/>
      <c r="AL25" s="40"/>
      <c r="AM25" s="198"/>
      <c r="AN25" s="40"/>
      <c r="AO25" s="198"/>
      <c r="AP25" s="198"/>
      <c r="AQ25" s="198"/>
      <c r="AR25" s="198"/>
      <c r="AS25" s="198"/>
      <c r="AT25" s="198"/>
      <c r="AU25" s="198"/>
      <c r="AV25" s="198"/>
      <c r="AW25" s="155">
        <f t="shared" ref="AW25:AW42" si="9">LEN(L25)</f>
        <v>36</v>
      </c>
    </row>
    <row r="26" spans="1:49" s="243" customFormat="1" ht="15">
      <c r="A26" s="40">
        <f t="shared" ref="A26:A48" si="10">ROW() - 6</f>
        <v>20</v>
      </c>
      <c r="B26" s="198"/>
      <c r="C26" s="198"/>
      <c r="D26" s="198"/>
      <c r="E26" s="198"/>
      <c r="F26" s="198"/>
      <c r="G26" s="198"/>
      <c r="H26" s="198"/>
      <c r="I26" s="198"/>
      <c r="J26" s="240" t="s">
        <v>3292</v>
      </c>
      <c r="K26" s="204" t="s">
        <v>132</v>
      </c>
      <c r="L26" s="212" t="s">
        <v>701</v>
      </c>
      <c r="M26" s="212"/>
      <c r="N26" s="40" t="s">
        <v>504</v>
      </c>
      <c r="O26" s="232"/>
      <c r="P26" s="232"/>
      <c r="Q26" s="40" t="s">
        <v>6</v>
      </c>
      <c r="R26" s="40" t="s">
        <v>6</v>
      </c>
      <c r="S26" s="40" t="s">
        <v>6</v>
      </c>
      <c r="T26" s="126" t="s">
        <v>6</v>
      </c>
      <c r="U26" s="215" t="s">
        <v>3312</v>
      </c>
      <c r="V26" s="209"/>
      <c r="W26" s="204" t="s">
        <v>133</v>
      </c>
      <c r="X26" s="198"/>
      <c r="Y26" s="198"/>
      <c r="Z26" s="40" t="s">
        <v>6</v>
      </c>
      <c r="AA26" s="40" t="s">
        <v>6</v>
      </c>
      <c r="AB26" s="198"/>
      <c r="AC26" s="198"/>
      <c r="AD26" s="198"/>
      <c r="AE26" s="204" t="s">
        <v>133</v>
      </c>
      <c r="AF26" s="198"/>
      <c r="AG26" s="198"/>
      <c r="AH26" s="40" t="s">
        <v>6</v>
      </c>
      <c r="AI26" s="40" t="s">
        <v>6</v>
      </c>
      <c r="AJ26" s="198"/>
      <c r="AK26" s="198"/>
      <c r="AL26" s="198"/>
      <c r="AM26" s="198" t="s">
        <v>516</v>
      </c>
      <c r="AN26" s="198"/>
      <c r="AO26" s="198"/>
      <c r="AP26" s="198"/>
      <c r="AQ26" s="198"/>
      <c r="AR26" s="198"/>
      <c r="AS26" s="198"/>
      <c r="AT26" s="198"/>
      <c r="AU26" s="198"/>
      <c r="AV26" s="198"/>
      <c r="AW26" s="155">
        <f t="shared" si="9"/>
        <v>18</v>
      </c>
    </row>
    <row r="27" spans="1:49" s="236" customFormat="1" ht="15">
      <c r="A27" s="40">
        <f t="shared" si="10"/>
        <v>21</v>
      </c>
      <c r="B27" s="199"/>
      <c r="C27" s="199"/>
      <c r="D27" s="199"/>
      <c r="E27" s="199"/>
      <c r="F27" s="199"/>
      <c r="G27" s="199"/>
      <c r="H27" s="199"/>
      <c r="I27" s="199"/>
      <c r="J27" s="218" t="s">
        <v>3295</v>
      </c>
      <c r="K27" s="204" t="s">
        <v>128</v>
      </c>
      <c r="L27" s="204" t="s">
        <v>703</v>
      </c>
      <c r="M27" s="204"/>
      <c r="N27" s="40" t="s">
        <v>504</v>
      </c>
      <c r="O27" s="199"/>
      <c r="P27" s="199"/>
      <c r="Q27" s="40" t="s">
        <v>6</v>
      </c>
      <c r="R27" s="40" t="s">
        <v>6</v>
      </c>
      <c r="S27" s="40" t="s">
        <v>6</v>
      </c>
      <c r="T27" s="126" t="s">
        <v>6</v>
      </c>
      <c r="U27" s="204" t="s">
        <v>5624</v>
      </c>
      <c r="V27" s="204"/>
      <c r="W27" s="204" t="s">
        <v>125</v>
      </c>
      <c r="X27" s="199"/>
      <c r="Y27" s="199"/>
      <c r="Z27" s="40" t="s">
        <v>6</v>
      </c>
      <c r="AA27" s="40" t="s">
        <v>6</v>
      </c>
      <c r="AB27" s="198"/>
      <c r="AC27" s="199"/>
      <c r="AD27" s="199"/>
      <c r="AE27" s="204" t="s">
        <v>125</v>
      </c>
      <c r="AF27" s="199"/>
      <c r="AG27" s="199"/>
      <c r="AH27" s="199"/>
      <c r="AI27" s="40" t="s">
        <v>6</v>
      </c>
      <c r="AJ27" s="198"/>
      <c r="AK27" s="199"/>
      <c r="AL27" s="199"/>
      <c r="AM27" s="199"/>
      <c r="AN27" s="199"/>
      <c r="AO27" s="199"/>
      <c r="AP27" s="199"/>
      <c r="AQ27" s="199"/>
      <c r="AR27" s="199"/>
      <c r="AS27" s="199"/>
      <c r="AT27" s="199"/>
      <c r="AU27" s="199"/>
      <c r="AV27" s="199"/>
      <c r="AW27" s="155">
        <f t="shared" si="9"/>
        <v>19</v>
      </c>
    </row>
    <row r="28" spans="1:49" s="236" customFormat="1" ht="26.4">
      <c r="A28" s="40">
        <f t="shared" si="10"/>
        <v>22</v>
      </c>
      <c r="B28" s="199"/>
      <c r="C28" s="199"/>
      <c r="D28" s="199"/>
      <c r="E28" s="199"/>
      <c r="F28" s="199"/>
      <c r="G28" s="199"/>
      <c r="H28" s="199"/>
      <c r="I28" s="199"/>
      <c r="J28" s="418" t="s">
        <v>3294</v>
      </c>
      <c r="K28" s="204" t="s">
        <v>117</v>
      </c>
      <c r="L28" s="204" t="s">
        <v>735</v>
      </c>
      <c r="M28" s="204"/>
      <c r="N28" s="40" t="s">
        <v>504</v>
      </c>
      <c r="O28" s="199"/>
      <c r="P28" s="199"/>
      <c r="Q28" s="40" t="s">
        <v>6</v>
      </c>
      <c r="R28" s="40" t="s">
        <v>6</v>
      </c>
      <c r="S28" s="40" t="s">
        <v>6</v>
      </c>
      <c r="T28" s="126" t="s">
        <v>6</v>
      </c>
      <c r="U28" s="204" t="s">
        <v>3314</v>
      </c>
      <c r="V28" s="204"/>
      <c r="W28" s="204" t="s">
        <v>125</v>
      </c>
      <c r="X28" s="199"/>
      <c r="Y28" s="199"/>
      <c r="Z28" s="40" t="s">
        <v>6</v>
      </c>
      <c r="AA28" s="40" t="s">
        <v>6</v>
      </c>
      <c r="AB28" s="218"/>
      <c r="AC28" s="199"/>
      <c r="AD28" s="218" t="s">
        <v>709</v>
      </c>
      <c r="AE28" s="204" t="s">
        <v>125</v>
      </c>
      <c r="AF28" s="199"/>
      <c r="AG28" s="199"/>
      <c r="AH28" s="199"/>
      <c r="AI28" s="40" t="s">
        <v>6</v>
      </c>
      <c r="AJ28" s="218"/>
      <c r="AK28" s="199"/>
      <c r="AL28" s="218" t="s">
        <v>709</v>
      </c>
      <c r="AM28" s="199"/>
      <c r="AN28" s="199"/>
      <c r="AO28" s="199"/>
      <c r="AP28" s="199"/>
      <c r="AQ28" s="199"/>
      <c r="AR28" s="199"/>
      <c r="AS28" s="199"/>
      <c r="AT28" s="199"/>
      <c r="AU28" s="199"/>
      <c r="AV28" s="199"/>
      <c r="AW28" s="155">
        <f t="shared" si="9"/>
        <v>14</v>
      </c>
    </row>
    <row r="29" spans="1:49" s="236" customFormat="1" ht="26.4">
      <c r="A29" s="40">
        <f t="shared" si="10"/>
        <v>23</v>
      </c>
      <c r="B29" s="199"/>
      <c r="C29" s="199"/>
      <c r="D29" s="199"/>
      <c r="E29" s="199"/>
      <c r="F29" s="199"/>
      <c r="G29" s="199"/>
      <c r="H29" s="199"/>
      <c r="I29" s="199"/>
      <c r="J29" s="418" t="s">
        <v>3297</v>
      </c>
      <c r="K29" s="204" t="s">
        <v>117</v>
      </c>
      <c r="L29" s="204" t="s">
        <v>737</v>
      </c>
      <c r="M29" s="204"/>
      <c r="N29" s="40" t="s">
        <v>504</v>
      </c>
      <c r="O29" s="199"/>
      <c r="P29" s="199"/>
      <c r="Q29" s="40" t="s">
        <v>6</v>
      </c>
      <c r="R29" s="40" t="s">
        <v>6</v>
      </c>
      <c r="S29" s="40" t="s">
        <v>6</v>
      </c>
      <c r="T29" s="126" t="s">
        <v>6</v>
      </c>
      <c r="U29" s="204" t="s">
        <v>3313</v>
      </c>
      <c r="V29" s="204"/>
      <c r="W29" s="204" t="s">
        <v>125</v>
      </c>
      <c r="X29" s="199"/>
      <c r="Y29" s="199"/>
      <c r="Z29" s="40" t="s">
        <v>6</v>
      </c>
      <c r="AA29" s="40" t="s">
        <v>6</v>
      </c>
      <c r="AB29" s="218"/>
      <c r="AC29" s="199"/>
      <c r="AD29" s="218" t="s">
        <v>709</v>
      </c>
      <c r="AE29" s="204" t="s">
        <v>125</v>
      </c>
      <c r="AF29" s="199"/>
      <c r="AG29" s="199"/>
      <c r="AH29" s="199"/>
      <c r="AI29" s="40" t="s">
        <v>6</v>
      </c>
      <c r="AJ29" s="218"/>
      <c r="AK29" s="199"/>
      <c r="AL29" s="218" t="s">
        <v>709</v>
      </c>
      <c r="AM29" s="199"/>
      <c r="AN29" s="199"/>
      <c r="AO29" s="199"/>
      <c r="AP29" s="199"/>
      <c r="AQ29" s="199"/>
      <c r="AR29" s="199"/>
      <c r="AS29" s="199"/>
      <c r="AT29" s="199"/>
      <c r="AU29" s="199"/>
      <c r="AV29" s="199"/>
      <c r="AW29" s="155">
        <f t="shared" si="9"/>
        <v>28</v>
      </c>
    </row>
    <row r="30" spans="1:49" s="236" customFormat="1" ht="26.4">
      <c r="A30" s="40">
        <f t="shared" si="10"/>
        <v>24</v>
      </c>
      <c r="B30" s="199"/>
      <c r="C30" s="199"/>
      <c r="D30" s="199"/>
      <c r="E30" s="199"/>
      <c r="F30" s="199"/>
      <c r="G30" s="199"/>
      <c r="H30" s="199"/>
      <c r="I30" s="199"/>
      <c r="J30" s="218" t="s">
        <v>3296</v>
      </c>
      <c r="K30" s="204" t="s">
        <v>117</v>
      </c>
      <c r="L30" s="204" t="s">
        <v>740</v>
      </c>
      <c r="M30" s="204"/>
      <c r="N30" s="40" t="s">
        <v>504</v>
      </c>
      <c r="O30" s="199"/>
      <c r="P30" s="199"/>
      <c r="Q30" s="40" t="s">
        <v>6</v>
      </c>
      <c r="R30" s="40" t="s">
        <v>6</v>
      </c>
      <c r="S30" s="40" t="s">
        <v>6</v>
      </c>
      <c r="T30" s="126" t="s">
        <v>6</v>
      </c>
      <c r="U30" s="204" t="s">
        <v>3311</v>
      </c>
      <c r="V30" s="204"/>
      <c r="W30" s="204" t="s">
        <v>125</v>
      </c>
      <c r="X30" s="199"/>
      <c r="Y30" s="199"/>
      <c r="Z30" s="40" t="s">
        <v>6</v>
      </c>
      <c r="AA30" s="40" t="s">
        <v>6</v>
      </c>
      <c r="AB30" s="218"/>
      <c r="AC30" s="199"/>
      <c r="AD30" s="218" t="s">
        <v>709</v>
      </c>
      <c r="AE30" s="204" t="s">
        <v>125</v>
      </c>
      <c r="AF30" s="199"/>
      <c r="AG30" s="199"/>
      <c r="AH30" s="199"/>
      <c r="AI30" s="40" t="s">
        <v>6</v>
      </c>
      <c r="AJ30" s="218"/>
      <c r="AK30" s="199"/>
      <c r="AL30" s="218" t="s">
        <v>709</v>
      </c>
      <c r="AM30" s="199"/>
      <c r="AN30" s="199"/>
      <c r="AO30" s="199"/>
      <c r="AP30" s="199"/>
      <c r="AQ30" s="199"/>
      <c r="AR30" s="199"/>
      <c r="AS30" s="199"/>
      <c r="AT30" s="199"/>
      <c r="AU30" s="199"/>
      <c r="AV30" s="199"/>
      <c r="AW30" s="155">
        <f t="shared" si="9"/>
        <v>26</v>
      </c>
    </row>
    <row r="31" spans="1:49" s="20" customFormat="1" ht="26.4">
      <c r="A31" s="40">
        <f t="shared" si="10"/>
        <v>25</v>
      </c>
      <c r="B31" s="59"/>
      <c r="C31" s="59"/>
      <c r="D31" s="59"/>
      <c r="E31" s="59"/>
      <c r="F31" s="59"/>
      <c r="G31" s="59"/>
      <c r="H31" s="59"/>
      <c r="I31" s="59"/>
      <c r="J31" s="218" t="s">
        <v>3208</v>
      </c>
      <c r="K31" s="412" t="s">
        <v>117</v>
      </c>
      <c r="L31" s="204" t="s">
        <v>3209</v>
      </c>
      <c r="M31" s="204"/>
      <c r="N31" s="126" t="s">
        <v>504</v>
      </c>
      <c r="O31" s="126"/>
      <c r="P31" s="126"/>
      <c r="Q31" s="40" t="s">
        <v>6</v>
      </c>
      <c r="R31" s="40" t="s">
        <v>6</v>
      </c>
      <c r="S31" s="40" t="s">
        <v>6</v>
      </c>
      <c r="T31" s="40" t="s">
        <v>6</v>
      </c>
      <c r="U31" s="204" t="s">
        <v>5623</v>
      </c>
      <c r="V31" s="206"/>
      <c r="W31" s="412" t="s">
        <v>125</v>
      </c>
      <c r="X31" s="59"/>
      <c r="Y31" s="59"/>
      <c r="Z31" s="59"/>
      <c r="AA31" s="40" t="s">
        <v>6</v>
      </c>
      <c r="AB31" s="15"/>
      <c r="AC31" s="59"/>
      <c r="AD31" s="59"/>
      <c r="AE31" s="412" t="s">
        <v>125</v>
      </c>
      <c r="AF31" s="59"/>
      <c r="AG31" s="59"/>
      <c r="AH31" s="59"/>
      <c r="AI31" s="40" t="s">
        <v>6</v>
      </c>
      <c r="AJ31" s="15"/>
      <c r="AK31" s="59"/>
      <c r="AL31" s="59"/>
      <c r="AM31" s="59"/>
      <c r="AN31" s="59"/>
      <c r="AO31" s="59"/>
      <c r="AP31" s="59"/>
      <c r="AQ31" s="59"/>
      <c r="AR31" s="59"/>
      <c r="AS31" s="59"/>
      <c r="AT31" s="59"/>
      <c r="AU31" s="59"/>
      <c r="AV31" s="59"/>
      <c r="AW31" s="18">
        <f t="shared" si="9"/>
        <v>23</v>
      </c>
    </row>
    <row r="32" spans="1:49" s="236" customFormat="1" ht="26.4">
      <c r="A32" s="40">
        <f t="shared" si="10"/>
        <v>26</v>
      </c>
      <c r="B32" s="199"/>
      <c r="C32" s="199"/>
      <c r="D32" s="199"/>
      <c r="E32" s="199"/>
      <c r="F32" s="199"/>
      <c r="G32" s="199"/>
      <c r="H32" s="199"/>
      <c r="I32" s="199"/>
      <c r="J32" s="418" t="s">
        <v>3293</v>
      </c>
      <c r="K32" s="204" t="s">
        <v>134</v>
      </c>
      <c r="L32" s="204" t="s">
        <v>744</v>
      </c>
      <c r="M32" s="204"/>
      <c r="N32" s="40" t="s">
        <v>504</v>
      </c>
      <c r="O32" s="199"/>
      <c r="P32" s="199"/>
      <c r="Q32" s="40" t="s">
        <v>6</v>
      </c>
      <c r="R32" s="40" t="s">
        <v>6</v>
      </c>
      <c r="S32" s="40" t="s">
        <v>6</v>
      </c>
      <c r="T32" s="126" t="s">
        <v>6</v>
      </c>
      <c r="U32" s="204" t="s">
        <v>3300</v>
      </c>
      <c r="V32" s="204"/>
      <c r="W32" s="204" t="s">
        <v>137</v>
      </c>
      <c r="X32" s="199"/>
      <c r="Y32" s="199"/>
      <c r="Z32" s="40" t="s">
        <v>6</v>
      </c>
      <c r="AA32" s="40" t="s">
        <v>6</v>
      </c>
      <c r="AB32" s="218"/>
      <c r="AC32" s="199"/>
      <c r="AD32" s="218" t="s">
        <v>709</v>
      </c>
      <c r="AE32" s="204" t="s">
        <v>137</v>
      </c>
      <c r="AF32" s="199"/>
      <c r="AG32" s="199"/>
      <c r="AH32" s="199"/>
      <c r="AI32" s="40" t="s">
        <v>6</v>
      </c>
      <c r="AJ32" s="218"/>
      <c r="AK32" s="199"/>
      <c r="AL32" s="218" t="s">
        <v>709</v>
      </c>
      <c r="AM32" s="199"/>
      <c r="AN32" s="199"/>
      <c r="AO32" s="199"/>
      <c r="AP32" s="199"/>
      <c r="AQ32" s="199"/>
      <c r="AR32" s="199"/>
      <c r="AS32" s="199"/>
      <c r="AT32" s="199"/>
      <c r="AU32" s="199"/>
      <c r="AV32" s="199"/>
      <c r="AW32" s="155">
        <f t="shared" si="9"/>
        <v>17</v>
      </c>
    </row>
    <row r="33" spans="1:87" s="236" customFormat="1" ht="26.4">
      <c r="A33" s="40">
        <f t="shared" si="10"/>
        <v>27</v>
      </c>
      <c r="B33" s="199"/>
      <c r="C33" s="199"/>
      <c r="D33" s="199"/>
      <c r="E33" s="199"/>
      <c r="F33" s="199"/>
      <c r="G33" s="199"/>
      <c r="H33" s="199"/>
      <c r="I33" s="199"/>
      <c r="J33" s="218" t="s">
        <v>3231</v>
      </c>
      <c r="K33" s="204" t="s">
        <v>117</v>
      </c>
      <c r="L33" s="204" t="s">
        <v>759</v>
      </c>
      <c r="M33" s="204"/>
      <c r="N33" s="40" t="s">
        <v>504</v>
      </c>
      <c r="O33" s="199"/>
      <c r="P33" s="199"/>
      <c r="Q33" s="40" t="s">
        <v>6</v>
      </c>
      <c r="R33" s="40" t="s">
        <v>6</v>
      </c>
      <c r="S33" s="40" t="s">
        <v>6</v>
      </c>
      <c r="T33" s="126" t="s">
        <v>6</v>
      </c>
      <c r="U33" s="204" t="s">
        <v>3314</v>
      </c>
      <c r="V33" s="204"/>
      <c r="W33" s="204" t="s">
        <v>133</v>
      </c>
      <c r="X33" s="199"/>
      <c r="Y33" s="199"/>
      <c r="Z33" s="40" t="s">
        <v>6</v>
      </c>
      <c r="AA33" s="40" t="s">
        <v>6</v>
      </c>
      <c r="AB33" s="218"/>
      <c r="AC33" s="199"/>
      <c r="AD33" s="218" t="s">
        <v>709</v>
      </c>
      <c r="AE33" s="204" t="s">
        <v>125</v>
      </c>
      <c r="AF33" s="199"/>
      <c r="AG33" s="199"/>
      <c r="AH33" s="199"/>
      <c r="AI33" s="40" t="s">
        <v>6</v>
      </c>
      <c r="AJ33" s="218"/>
      <c r="AK33" s="199"/>
      <c r="AL33" s="218" t="s">
        <v>709</v>
      </c>
      <c r="AM33" s="199"/>
      <c r="AN33" s="199"/>
      <c r="AO33" s="199"/>
      <c r="AP33" s="199"/>
      <c r="AQ33" s="199"/>
      <c r="AR33" s="199"/>
      <c r="AS33" s="199"/>
      <c r="AT33" s="199"/>
      <c r="AU33" s="199"/>
      <c r="AV33" s="199"/>
      <c r="AW33" s="155">
        <f t="shared" si="9"/>
        <v>33</v>
      </c>
    </row>
    <row r="34" spans="1:87" s="236" customFormat="1" ht="26.4">
      <c r="A34" s="40">
        <f t="shared" si="10"/>
        <v>28</v>
      </c>
      <c r="B34" s="199"/>
      <c r="C34" s="199"/>
      <c r="D34" s="199"/>
      <c r="E34" s="199"/>
      <c r="F34" s="199"/>
      <c r="G34" s="199"/>
      <c r="H34" s="199"/>
      <c r="I34" s="199"/>
      <c r="J34" s="218" t="s">
        <v>3215</v>
      </c>
      <c r="K34" s="204" t="s">
        <v>117</v>
      </c>
      <c r="L34" s="204" t="s">
        <v>763</v>
      </c>
      <c r="M34" s="204"/>
      <c r="N34" s="40" t="s">
        <v>504</v>
      </c>
      <c r="O34" s="199"/>
      <c r="P34" s="199"/>
      <c r="Q34" s="40" t="s">
        <v>6</v>
      </c>
      <c r="R34" s="40" t="s">
        <v>6</v>
      </c>
      <c r="S34" s="40" t="s">
        <v>6</v>
      </c>
      <c r="T34" s="126" t="s">
        <v>6</v>
      </c>
      <c r="U34" s="204" t="s">
        <v>5625</v>
      </c>
      <c r="V34" s="204"/>
      <c r="W34" s="204" t="s">
        <v>133</v>
      </c>
      <c r="X34" s="199"/>
      <c r="Y34" s="199"/>
      <c r="Z34" s="40" t="s">
        <v>6</v>
      </c>
      <c r="AA34" s="40" t="s">
        <v>6</v>
      </c>
      <c r="AB34" s="218"/>
      <c r="AC34" s="199"/>
      <c r="AD34" s="218" t="s">
        <v>709</v>
      </c>
      <c r="AE34" s="204" t="s">
        <v>125</v>
      </c>
      <c r="AF34" s="199"/>
      <c r="AG34" s="199"/>
      <c r="AH34" s="199"/>
      <c r="AI34" s="40" t="s">
        <v>6</v>
      </c>
      <c r="AJ34" s="218"/>
      <c r="AK34" s="199"/>
      <c r="AL34" s="218" t="s">
        <v>709</v>
      </c>
      <c r="AM34" s="199"/>
      <c r="AN34" s="199"/>
      <c r="AO34" s="199"/>
      <c r="AP34" s="199"/>
      <c r="AQ34" s="199"/>
      <c r="AR34" s="199"/>
      <c r="AS34" s="199"/>
      <c r="AT34" s="199"/>
      <c r="AU34" s="199"/>
      <c r="AV34" s="199"/>
      <c r="AW34" s="155">
        <f t="shared" si="9"/>
        <v>24</v>
      </c>
    </row>
    <row r="35" spans="1:87" s="236" customFormat="1" ht="26.4">
      <c r="A35" s="40">
        <f t="shared" si="10"/>
        <v>29</v>
      </c>
      <c r="B35" s="199"/>
      <c r="C35" s="199"/>
      <c r="D35" s="199"/>
      <c r="E35" s="199"/>
      <c r="F35" s="199"/>
      <c r="G35" s="199"/>
      <c r="H35" s="199"/>
      <c r="I35" s="199"/>
      <c r="J35" s="218" t="s">
        <v>3216</v>
      </c>
      <c r="K35" s="232" t="s">
        <v>117</v>
      </c>
      <c r="L35" s="204" t="s">
        <v>765</v>
      </c>
      <c r="M35" s="204"/>
      <c r="N35" s="126" t="s">
        <v>504</v>
      </c>
      <c r="O35" s="126"/>
      <c r="P35" s="126"/>
      <c r="Q35" s="40" t="s">
        <v>6</v>
      </c>
      <c r="R35" s="40" t="s">
        <v>6</v>
      </c>
      <c r="S35" s="126" t="s">
        <v>6</v>
      </c>
      <c r="T35" s="40" t="s">
        <v>6</v>
      </c>
      <c r="U35" s="204" t="s">
        <v>5626</v>
      </c>
      <c r="V35" s="204"/>
      <c r="W35" s="204" t="s">
        <v>133</v>
      </c>
      <c r="X35" s="199"/>
      <c r="Y35" s="199"/>
      <c r="Z35" s="40" t="s">
        <v>6</v>
      </c>
      <c r="AA35" s="126" t="s">
        <v>6</v>
      </c>
      <c r="AB35" s="198"/>
      <c r="AC35" s="199"/>
      <c r="AD35" s="199"/>
      <c r="AE35" s="232" t="s">
        <v>125</v>
      </c>
      <c r="AF35" s="199"/>
      <c r="AG35" s="199"/>
      <c r="AH35" s="199"/>
      <c r="AI35" s="126" t="s">
        <v>6</v>
      </c>
      <c r="AJ35" s="198"/>
      <c r="AK35" s="199"/>
      <c r="AL35" s="199"/>
      <c r="AM35" s="199"/>
      <c r="AN35" s="199"/>
      <c r="AO35" s="199"/>
      <c r="AP35" s="199"/>
      <c r="AQ35" s="199"/>
      <c r="AR35" s="199"/>
      <c r="AS35" s="199"/>
      <c r="AT35" s="199"/>
      <c r="AU35" s="199"/>
      <c r="AV35" s="199"/>
      <c r="AW35" s="155">
        <f t="shared" si="9"/>
        <v>25</v>
      </c>
    </row>
    <row r="36" spans="1:87" s="236" customFormat="1" ht="26.4">
      <c r="A36" s="40">
        <f t="shared" si="10"/>
        <v>30</v>
      </c>
      <c r="B36" s="199"/>
      <c r="C36" s="199"/>
      <c r="D36" s="199"/>
      <c r="E36" s="199"/>
      <c r="F36" s="199"/>
      <c r="G36" s="199"/>
      <c r="H36" s="199"/>
      <c r="I36" s="199"/>
      <c r="J36" s="218" t="s">
        <v>3217</v>
      </c>
      <c r="K36" s="232" t="s">
        <v>117</v>
      </c>
      <c r="L36" s="204" t="s">
        <v>767</v>
      </c>
      <c r="M36" s="204"/>
      <c r="N36" s="126" t="s">
        <v>504</v>
      </c>
      <c r="O36" s="126"/>
      <c r="P36" s="126"/>
      <c r="Q36" s="40" t="s">
        <v>6</v>
      </c>
      <c r="R36" s="40" t="s">
        <v>6</v>
      </c>
      <c r="S36" s="126" t="s">
        <v>6</v>
      </c>
      <c r="T36" s="40" t="s">
        <v>6</v>
      </c>
      <c r="U36" s="204" t="s">
        <v>5626</v>
      </c>
      <c r="V36" s="204"/>
      <c r="W36" s="204" t="s">
        <v>133</v>
      </c>
      <c r="X36" s="199"/>
      <c r="Y36" s="199"/>
      <c r="Z36" s="40" t="s">
        <v>6</v>
      </c>
      <c r="AA36" s="126" t="s">
        <v>6</v>
      </c>
      <c r="AB36" s="198"/>
      <c r="AC36" s="199"/>
      <c r="AD36" s="199"/>
      <c r="AE36" s="232" t="s">
        <v>125</v>
      </c>
      <c r="AF36" s="199"/>
      <c r="AG36" s="199"/>
      <c r="AH36" s="199"/>
      <c r="AI36" s="126" t="s">
        <v>6</v>
      </c>
      <c r="AJ36" s="198"/>
      <c r="AK36" s="199"/>
      <c r="AL36" s="199"/>
      <c r="AM36" s="199"/>
      <c r="AN36" s="199"/>
      <c r="AO36" s="199"/>
      <c r="AP36" s="199"/>
      <c r="AQ36" s="199"/>
      <c r="AR36" s="199"/>
      <c r="AS36" s="199"/>
      <c r="AT36" s="199"/>
      <c r="AU36" s="199"/>
      <c r="AV36" s="199"/>
      <c r="AW36" s="155">
        <f t="shared" si="9"/>
        <v>25</v>
      </c>
    </row>
    <row r="37" spans="1:87" s="12" customFormat="1" ht="15">
      <c r="A37" s="40">
        <f t="shared" si="10"/>
        <v>31</v>
      </c>
      <c r="B37" s="38"/>
      <c r="C37" s="42"/>
      <c r="D37" s="19"/>
      <c r="E37" s="19"/>
      <c r="F37" s="19"/>
      <c r="G37" s="19"/>
      <c r="H37" s="13"/>
      <c r="I37" s="13"/>
      <c r="J37" s="218" t="s">
        <v>800</v>
      </c>
      <c r="K37" s="412" t="s">
        <v>117</v>
      </c>
      <c r="L37" s="204" t="s">
        <v>801</v>
      </c>
      <c r="M37" s="204"/>
      <c r="N37" s="40" t="s">
        <v>504</v>
      </c>
      <c r="O37" s="126"/>
      <c r="P37" s="126"/>
      <c r="Q37" s="40" t="s">
        <v>6</v>
      </c>
      <c r="R37" s="40" t="s">
        <v>6</v>
      </c>
      <c r="S37" s="40" t="s">
        <v>6</v>
      </c>
      <c r="T37" s="40" t="s">
        <v>6</v>
      </c>
      <c r="U37" s="204" t="s">
        <v>3309</v>
      </c>
      <c r="V37" s="206"/>
      <c r="W37" s="204" t="s">
        <v>133</v>
      </c>
      <c r="X37" s="59"/>
      <c r="Y37" s="59"/>
      <c r="Z37" s="40" t="s">
        <v>6</v>
      </c>
      <c r="AA37" s="40" t="s">
        <v>6</v>
      </c>
      <c r="AB37" s="13"/>
      <c r="AC37" s="40"/>
      <c r="AD37" s="40"/>
      <c r="AE37" s="412" t="s">
        <v>125</v>
      </c>
      <c r="AF37" s="59"/>
      <c r="AG37" s="59"/>
      <c r="AH37" s="59"/>
      <c r="AI37" s="40" t="s">
        <v>6</v>
      </c>
      <c r="AJ37" s="13"/>
      <c r="AK37" s="40"/>
      <c r="AL37" s="40"/>
      <c r="AM37" s="43"/>
      <c r="AN37" s="13"/>
      <c r="AO37" s="13"/>
      <c r="AP37" s="13"/>
      <c r="AQ37" s="13"/>
      <c r="AR37" s="13"/>
      <c r="AS37" s="13"/>
      <c r="AT37" s="13"/>
      <c r="AU37" s="13"/>
      <c r="AV37" s="13"/>
      <c r="AW37" s="18">
        <f t="shared" si="9"/>
        <v>21</v>
      </c>
      <c r="AX37" s="16"/>
      <c r="AY37" s="17"/>
    </row>
    <row r="38" spans="1:87" s="18" customFormat="1" ht="15">
      <c r="A38" s="40">
        <f t="shared" si="10"/>
        <v>32</v>
      </c>
      <c r="B38" s="38"/>
      <c r="C38" s="42"/>
      <c r="D38" s="38"/>
      <c r="E38" s="46"/>
      <c r="F38" s="46"/>
      <c r="G38" s="46"/>
      <c r="H38" s="13"/>
      <c r="I38" s="40"/>
      <c r="J38" s="218" t="s">
        <v>803</v>
      </c>
      <c r="K38" s="412" t="s">
        <v>117</v>
      </c>
      <c r="L38" s="204" t="s">
        <v>804</v>
      </c>
      <c r="M38" s="204"/>
      <c r="N38" s="40" t="s">
        <v>504</v>
      </c>
      <c r="O38" s="126"/>
      <c r="P38" s="126"/>
      <c r="Q38" s="40" t="s">
        <v>6</v>
      </c>
      <c r="R38" s="40" t="s">
        <v>6</v>
      </c>
      <c r="S38" s="40" t="s">
        <v>6</v>
      </c>
      <c r="T38" s="40" t="s">
        <v>6</v>
      </c>
      <c r="U38" s="204" t="s">
        <v>3309</v>
      </c>
      <c r="V38" s="206"/>
      <c r="W38" s="204" t="s">
        <v>133</v>
      </c>
      <c r="X38" s="59"/>
      <c r="Y38" s="59"/>
      <c r="Z38" s="40" t="s">
        <v>6</v>
      </c>
      <c r="AA38" s="40" t="s">
        <v>6</v>
      </c>
      <c r="AB38" s="13"/>
      <c r="AC38" s="13"/>
      <c r="AD38" s="13"/>
      <c r="AE38" s="412" t="s">
        <v>125</v>
      </c>
      <c r="AF38" s="59"/>
      <c r="AG38" s="59"/>
      <c r="AH38" s="59"/>
      <c r="AI38" s="40" t="s">
        <v>6</v>
      </c>
      <c r="AJ38" s="13"/>
      <c r="AK38" s="13"/>
      <c r="AL38" s="13"/>
      <c r="AM38" s="43"/>
      <c r="AN38" s="19"/>
      <c r="AO38" s="15"/>
      <c r="AP38" s="15"/>
      <c r="AQ38" s="15"/>
      <c r="AR38" s="15"/>
      <c r="AS38" s="15"/>
      <c r="AT38" s="15"/>
      <c r="AU38" s="15"/>
      <c r="AV38" s="13"/>
      <c r="AW38" s="18">
        <f t="shared" si="9"/>
        <v>25</v>
      </c>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row>
    <row r="39" spans="1:87" s="236" customFormat="1" ht="15">
      <c r="A39" s="40"/>
      <c r="B39" s="199"/>
      <c r="C39" s="199"/>
      <c r="D39" s="199"/>
      <c r="E39" s="199"/>
      <c r="F39" s="199"/>
      <c r="G39" s="199"/>
      <c r="H39" s="199"/>
      <c r="I39" s="199"/>
      <c r="J39" s="218" t="s">
        <v>3363</v>
      </c>
      <c r="K39" s="204" t="s">
        <v>117</v>
      </c>
      <c r="L39" s="204" t="s">
        <v>732</v>
      </c>
      <c r="M39" s="204"/>
      <c r="N39" s="40" t="s">
        <v>504</v>
      </c>
      <c r="O39" s="199"/>
      <c r="P39" s="199"/>
      <c r="Q39" s="40" t="s">
        <v>6</v>
      </c>
      <c r="R39" s="40" t="s">
        <v>6</v>
      </c>
      <c r="S39" s="40" t="s">
        <v>6</v>
      </c>
      <c r="T39" s="40" t="s">
        <v>6</v>
      </c>
      <c r="U39" s="204" t="s">
        <v>733</v>
      </c>
      <c r="V39" s="204"/>
      <c r="W39" s="204"/>
      <c r="X39" s="199"/>
      <c r="Y39" s="199"/>
      <c r="Z39" s="40"/>
      <c r="AA39" s="40"/>
      <c r="AB39" s="218"/>
      <c r="AC39" s="199"/>
      <c r="AD39" s="218"/>
      <c r="AE39" s="204"/>
      <c r="AF39" s="199"/>
      <c r="AG39" s="199"/>
      <c r="AH39" s="199"/>
      <c r="AI39" s="40"/>
      <c r="AJ39" s="218"/>
      <c r="AK39" s="199"/>
      <c r="AL39" s="218"/>
      <c r="AM39" s="199"/>
      <c r="AN39" s="199"/>
      <c r="AO39" s="199"/>
      <c r="AP39" s="199"/>
      <c r="AQ39" s="199"/>
      <c r="AR39" s="199"/>
      <c r="AS39" s="199"/>
      <c r="AT39" s="199"/>
      <c r="AU39" s="199"/>
      <c r="AV39" s="199"/>
      <c r="AW39" s="155">
        <f t="shared" si="9"/>
        <v>29</v>
      </c>
    </row>
    <row r="40" spans="1:87" s="20" customFormat="1" ht="15">
      <c r="A40" s="40">
        <f t="shared" si="10"/>
        <v>34</v>
      </c>
      <c r="B40" s="59"/>
      <c r="C40" s="59"/>
      <c r="D40" s="59"/>
      <c r="E40" s="59"/>
      <c r="F40" s="59"/>
      <c r="G40" s="59"/>
      <c r="H40" s="59"/>
      <c r="I40" s="59"/>
      <c r="J40" s="218" t="s">
        <v>805</v>
      </c>
      <c r="K40" s="232" t="s">
        <v>134</v>
      </c>
      <c r="L40" s="204" t="s">
        <v>744</v>
      </c>
      <c r="M40" s="204"/>
      <c r="N40" s="40" t="s">
        <v>504</v>
      </c>
      <c r="O40" s="126"/>
      <c r="P40" s="126"/>
      <c r="Q40" s="40" t="s">
        <v>6</v>
      </c>
      <c r="R40" s="40" t="s">
        <v>6</v>
      </c>
      <c r="S40" s="40" t="s">
        <v>6</v>
      </c>
      <c r="T40" s="40" t="s">
        <v>6</v>
      </c>
      <c r="U40" s="204" t="s">
        <v>3309</v>
      </c>
      <c r="V40" s="206"/>
      <c r="W40" s="204" t="s">
        <v>133</v>
      </c>
      <c r="X40" s="59"/>
      <c r="Y40" s="59"/>
      <c r="Z40" s="40" t="s">
        <v>6</v>
      </c>
      <c r="AA40" s="40" t="s">
        <v>6</v>
      </c>
      <c r="AB40" s="15"/>
      <c r="AC40" s="59"/>
      <c r="AD40" s="59"/>
      <c r="AE40" s="232" t="s">
        <v>137</v>
      </c>
      <c r="AF40" s="59"/>
      <c r="AG40" s="59"/>
      <c r="AH40" s="59"/>
      <c r="AI40" s="40" t="s">
        <v>6</v>
      </c>
      <c r="AJ40" s="15"/>
      <c r="AK40" s="59"/>
      <c r="AL40" s="59"/>
      <c r="AM40" s="59"/>
      <c r="AN40" s="59"/>
      <c r="AO40" s="59"/>
      <c r="AP40" s="59"/>
      <c r="AQ40" s="59"/>
      <c r="AR40" s="59"/>
      <c r="AS40" s="59"/>
      <c r="AT40" s="59"/>
      <c r="AU40" s="59"/>
      <c r="AV40" s="59"/>
      <c r="AW40" s="18">
        <f t="shared" si="9"/>
        <v>17</v>
      </c>
    </row>
    <row r="41" spans="1:87" s="20" customFormat="1" ht="15">
      <c r="A41" s="40"/>
      <c r="B41" s="59"/>
      <c r="C41" s="59"/>
      <c r="D41" s="59"/>
      <c r="E41" s="59"/>
      <c r="F41" s="59"/>
      <c r="G41" s="59"/>
      <c r="H41" s="59"/>
      <c r="I41" s="59"/>
      <c r="J41" s="218" t="s">
        <v>3364</v>
      </c>
      <c r="K41" s="232" t="s">
        <v>117</v>
      </c>
      <c r="L41" s="204" t="s">
        <v>3362</v>
      </c>
      <c r="M41" s="204"/>
      <c r="N41" s="40" t="s">
        <v>504</v>
      </c>
      <c r="O41" s="126"/>
      <c r="P41" s="126"/>
      <c r="Q41" s="40" t="s">
        <v>6</v>
      </c>
      <c r="R41" s="40" t="s">
        <v>6</v>
      </c>
      <c r="S41" s="40" t="s">
        <v>6</v>
      </c>
      <c r="T41" s="40" t="s">
        <v>6</v>
      </c>
      <c r="U41" s="200" t="s">
        <v>747</v>
      </c>
      <c r="V41" s="206"/>
      <c r="W41" s="204"/>
      <c r="X41" s="59"/>
      <c r="Y41" s="59"/>
      <c r="Z41" s="40"/>
      <c r="AA41" s="40"/>
      <c r="AB41" s="15"/>
      <c r="AC41" s="59"/>
      <c r="AD41" s="59"/>
      <c r="AE41" s="232"/>
      <c r="AF41" s="59"/>
      <c r="AG41" s="59"/>
      <c r="AH41" s="59"/>
      <c r="AI41" s="40"/>
      <c r="AJ41" s="15"/>
      <c r="AK41" s="59"/>
      <c r="AL41" s="59"/>
      <c r="AM41" s="59"/>
      <c r="AN41" s="59"/>
      <c r="AO41" s="59"/>
      <c r="AP41" s="59"/>
      <c r="AQ41" s="59"/>
      <c r="AR41" s="59"/>
      <c r="AS41" s="59"/>
      <c r="AT41" s="59"/>
      <c r="AU41" s="59"/>
      <c r="AV41" s="59"/>
      <c r="AW41" s="18"/>
    </row>
    <row r="42" spans="1:87" s="20" customFormat="1" ht="15">
      <c r="A42" s="40">
        <f t="shared" si="10"/>
        <v>36</v>
      </c>
      <c r="B42" s="59"/>
      <c r="C42" s="59"/>
      <c r="D42" s="59"/>
      <c r="E42" s="59"/>
      <c r="F42" s="59"/>
      <c r="G42" s="59"/>
      <c r="H42" s="59"/>
      <c r="I42" s="59"/>
      <c r="J42" s="218" t="s">
        <v>806</v>
      </c>
      <c r="K42" s="204" t="s">
        <v>117</v>
      </c>
      <c r="L42" s="204" t="s">
        <v>737</v>
      </c>
      <c r="M42" s="204"/>
      <c r="N42" s="40" t="s">
        <v>504</v>
      </c>
      <c r="O42" s="126"/>
      <c r="P42" s="126"/>
      <c r="Q42" s="40" t="s">
        <v>6</v>
      </c>
      <c r="R42" s="40" t="s">
        <v>6</v>
      </c>
      <c r="S42" s="40" t="s">
        <v>6</v>
      </c>
      <c r="T42" s="40" t="s">
        <v>6</v>
      </c>
      <c r="U42" s="204" t="s">
        <v>3309</v>
      </c>
      <c r="V42" s="206"/>
      <c r="W42" s="204" t="s">
        <v>133</v>
      </c>
      <c r="X42" s="59"/>
      <c r="Y42" s="59"/>
      <c r="Z42" s="40" t="s">
        <v>6</v>
      </c>
      <c r="AA42" s="40" t="s">
        <v>6</v>
      </c>
      <c r="AB42" s="15"/>
      <c r="AC42" s="59"/>
      <c r="AD42" s="59"/>
      <c r="AE42" s="204" t="s">
        <v>125</v>
      </c>
      <c r="AF42" s="59"/>
      <c r="AG42" s="59"/>
      <c r="AH42" s="59"/>
      <c r="AI42" s="40" t="s">
        <v>6</v>
      </c>
      <c r="AJ42" s="15"/>
      <c r="AK42" s="59"/>
      <c r="AL42" s="59"/>
      <c r="AM42" s="59"/>
      <c r="AN42" s="59"/>
      <c r="AO42" s="59"/>
      <c r="AP42" s="59"/>
      <c r="AQ42" s="59"/>
      <c r="AR42" s="59"/>
      <c r="AS42" s="59"/>
      <c r="AT42" s="59"/>
      <c r="AU42" s="59"/>
      <c r="AV42" s="59"/>
      <c r="AW42" s="18">
        <f t="shared" si="9"/>
        <v>28</v>
      </c>
    </row>
    <row r="43" spans="1:87" s="20" customFormat="1" ht="15">
      <c r="A43" s="40">
        <v>47</v>
      </c>
      <c r="B43" s="59"/>
      <c r="C43" s="59"/>
      <c r="D43" s="59"/>
      <c r="E43" s="59"/>
      <c r="F43" s="59"/>
      <c r="G43" s="59"/>
      <c r="H43" s="59"/>
      <c r="I43" s="59"/>
      <c r="J43" s="218" t="s">
        <v>807</v>
      </c>
      <c r="K43" s="204" t="s">
        <v>117</v>
      </c>
      <c r="L43" s="204" t="s">
        <v>735</v>
      </c>
      <c r="M43" s="204"/>
      <c r="N43" s="126" t="s">
        <v>504</v>
      </c>
      <c r="O43" s="126"/>
      <c r="P43" s="126"/>
      <c r="Q43" s="40" t="s">
        <v>6</v>
      </c>
      <c r="R43" s="40" t="s">
        <v>6</v>
      </c>
      <c r="S43" s="40" t="s">
        <v>6</v>
      </c>
      <c r="T43" s="40" t="s">
        <v>6</v>
      </c>
      <c r="U43" s="204" t="s">
        <v>3309</v>
      </c>
      <c r="V43" s="206"/>
      <c r="W43" s="204" t="s">
        <v>133</v>
      </c>
      <c r="X43" s="59"/>
      <c r="Y43" s="59"/>
      <c r="Z43" s="40" t="s">
        <v>6</v>
      </c>
      <c r="AA43" s="40" t="s">
        <v>6</v>
      </c>
      <c r="AB43" s="218"/>
      <c r="AC43" s="59"/>
      <c r="AD43" s="218"/>
      <c r="AE43" s="204" t="s">
        <v>125</v>
      </c>
      <c r="AF43" s="59"/>
      <c r="AG43" s="59"/>
      <c r="AH43" s="59"/>
      <c r="AI43" s="40" t="s">
        <v>6</v>
      </c>
      <c r="AJ43" s="218"/>
      <c r="AK43" s="59"/>
      <c r="AL43" s="218"/>
      <c r="AM43" s="59"/>
      <c r="AN43" s="59"/>
      <c r="AO43" s="59"/>
      <c r="AP43" s="59"/>
      <c r="AQ43" s="59"/>
      <c r="AR43" s="59"/>
      <c r="AS43" s="59"/>
      <c r="AT43" s="59"/>
      <c r="AU43" s="59"/>
      <c r="AV43" s="59"/>
      <c r="AW43" s="18">
        <v>14</v>
      </c>
    </row>
    <row r="44" spans="1:87" s="236" customFormat="1" ht="26.4">
      <c r="A44" s="40">
        <f t="shared" ref="A44" si="11">ROW() - 6</f>
        <v>38</v>
      </c>
      <c r="B44" s="199"/>
      <c r="C44" s="199"/>
      <c r="D44" s="199"/>
      <c r="E44" s="199"/>
      <c r="F44" s="199"/>
      <c r="G44" s="199"/>
      <c r="H44" s="199"/>
      <c r="I44" s="199"/>
      <c r="J44" s="218" t="s">
        <v>808</v>
      </c>
      <c r="K44" s="204" t="s">
        <v>117</v>
      </c>
      <c r="L44" s="204" t="s">
        <v>740</v>
      </c>
      <c r="M44" s="204"/>
      <c r="N44" s="40" t="s">
        <v>504</v>
      </c>
      <c r="O44" s="199"/>
      <c r="P44" s="199"/>
      <c r="Q44" s="40" t="s">
        <v>6</v>
      </c>
      <c r="R44" s="40" t="s">
        <v>6</v>
      </c>
      <c r="S44" s="40" t="s">
        <v>6</v>
      </c>
      <c r="T44" s="126" t="s">
        <v>6</v>
      </c>
      <c r="U44" s="204" t="s">
        <v>3310</v>
      </c>
      <c r="V44" s="204"/>
      <c r="W44" s="204" t="s">
        <v>125</v>
      </c>
      <c r="X44" s="199"/>
      <c r="Y44" s="199"/>
      <c r="Z44" s="40" t="s">
        <v>6</v>
      </c>
      <c r="AA44" s="40" t="s">
        <v>6</v>
      </c>
      <c r="AB44" s="218"/>
      <c r="AC44" s="199"/>
      <c r="AD44" s="218" t="s">
        <v>709</v>
      </c>
      <c r="AE44" s="204" t="s">
        <v>125</v>
      </c>
      <c r="AF44" s="199"/>
      <c r="AG44" s="199"/>
      <c r="AH44" s="199"/>
      <c r="AI44" s="40" t="s">
        <v>6</v>
      </c>
      <c r="AJ44" s="218"/>
      <c r="AK44" s="199"/>
      <c r="AL44" s="218" t="s">
        <v>709</v>
      </c>
      <c r="AM44" s="199"/>
      <c r="AN44" s="199"/>
      <c r="AO44" s="199"/>
      <c r="AP44" s="199"/>
      <c r="AQ44" s="199"/>
      <c r="AR44" s="199"/>
      <c r="AS44" s="199"/>
      <c r="AT44" s="199"/>
      <c r="AU44" s="199"/>
      <c r="AV44" s="199"/>
      <c r="AW44" s="155">
        <f>LEN(L44)</f>
        <v>26</v>
      </c>
    </row>
    <row r="45" spans="1:87" s="236" customFormat="1" ht="58.5" customHeight="1">
      <c r="A45" s="40">
        <f t="shared" si="10"/>
        <v>39</v>
      </c>
      <c r="B45" s="199"/>
      <c r="C45" s="199"/>
      <c r="D45" s="199"/>
      <c r="E45" s="199"/>
      <c r="F45" s="199"/>
      <c r="G45" s="199"/>
      <c r="H45" s="199"/>
      <c r="I45" s="199"/>
      <c r="J45" s="215" t="s">
        <v>815</v>
      </c>
      <c r="K45" s="204" t="s">
        <v>132</v>
      </c>
      <c r="L45" s="204" t="s">
        <v>816</v>
      </c>
      <c r="M45" s="204"/>
      <c r="N45" s="40" t="s">
        <v>504</v>
      </c>
      <c r="O45" s="199"/>
      <c r="P45" s="199"/>
      <c r="Q45" s="40" t="s">
        <v>6</v>
      </c>
      <c r="R45" s="40" t="s">
        <v>6</v>
      </c>
      <c r="S45" s="40" t="s">
        <v>6</v>
      </c>
      <c r="T45" s="126" t="s">
        <v>6</v>
      </c>
      <c r="U45" s="204" t="s">
        <v>3306</v>
      </c>
      <c r="V45" s="204"/>
      <c r="W45" s="204" t="s">
        <v>125</v>
      </c>
      <c r="X45" s="199"/>
      <c r="Y45" s="199"/>
      <c r="Z45" s="40" t="s">
        <v>6</v>
      </c>
      <c r="AA45" s="40" t="s">
        <v>6</v>
      </c>
      <c r="AB45" s="218"/>
      <c r="AC45" s="199"/>
      <c r="AD45" s="218"/>
      <c r="AE45" s="204" t="s">
        <v>125</v>
      </c>
      <c r="AF45" s="199"/>
      <c r="AG45" s="199"/>
      <c r="AH45" s="126"/>
      <c r="AI45" s="40" t="s">
        <v>6</v>
      </c>
      <c r="AJ45" s="218"/>
      <c r="AK45" s="199"/>
      <c r="AL45" s="218"/>
      <c r="AM45" s="199"/>
      <c r="AN45" s="199"/>
      <c r="AO45" s="199"/>
      <c r="AP45" s="199"/>
      <c r="AQ45" s="199"/>
      <c r="AR45" s="199"/>
      <c r="AS45" s="199"/>
      <c r="AT45" s="199"/>
      <c r="AU45" s="199"/>
      <c r="AV45" s="199"/>
      <c r="AW45" s="155">
        <f>LEN(L45)</f>
        <v>15</v>
      </c>
    </row>
    <row r="46" spans="1:87" ht="15">
      <c r="A46" s="451">
        <f t="shared" si="10"/>
        <v>40</v>
      </c>
      <c r="B46" s="405" t="s">
        <v>821</v>
      </c>
      <c r="C46" s="406"/>
      <c r="D46" s="406"/>
      <c r="E46" s="406"/>
      <c r="F46" s="406"/>
      <c r="G46" s="406"/>
      <c r="H46" s="406"/>
      <c r="I46" s="406"/>
      <c r="J46" s="465" t="s">
        <v>821</v>
      </c>
      <c r="K46" s="406"/>
      <c r="L46" s="406"/>
      <c r="M46" s="597"/>
      <c r="N46" s="406"/>
      <c r="O46" s="406"/>
      <c r="P46" s="406"/>
      <c r="Q46" s="406"/>
      <c r="R46" s="406"/>
      <c r="S46" s="406"/>
      <c r="T46" s="406"/>
      <c r="U46" s="597"/>
      <c r="V46" s="406"/>
      <c r="W46" s="406"/>
      <c r="X46" s="406"/>
      <c r="Y46" s="406"/>
      <c r="Z46" s="406"/>
      <c r="AA46" s="406"/>
      <c r="AB46" s="406"/>
      <c r="AC46" s="406"/>
      <c r="AD46" s="406"/>
      <c r="AE46" s="406"/>
      <c r="AF46" s="406"/>
      <c r="AG46" s="406"/>
      <c r="AH46" s="406"/>
      <c r="AI46" s="406"/>
      <c r="AJ46" s="406"/>
      <c r="AK46" s="406"/>
      <c r="AL46" s="406"/>
      <c r="AM46" s="406"/>
      <c r="AN46" s="406"/>
      <c r="AO46" s="406"/>
      <c r="AP46" s="406"/>
      <c r="AQ46" s="406"/>
      <c r="AR46" s="406"/>
      <c r="AS46" s="406"/>
      <c r="AT46" s="406"/>
      <c r="AU46" s="406"/>
      <c r="AV46" s="407"/>
      <c r="AW46" s="155">
        <f t="shared" ref="AW46:AW57" si="12">LEN(L46)</f>
        <v>0</v>
      </c>
    </row>
    <row r="47" spans="1:87" s="236" customFormat="1" ht="26.4">
      <c r="A47" s="40">
        <f t="shared" si="10"/>
        <v>41</v>
      </c>
      <c r="B47" s="212"/>
      <c r="C47" s="212"/>
      <c r="D47" s="212"/>
      <c r="E47" s="212"/>
      <c r="F47" s="212"/>
      <c r="G47" s="212"/>
      <c r="H47" s="212"/>
      <c r="I47" s="212"/>
      <c r="J47" s="204" t="s">
        <v>822</v>
      </c>
      <c r="K47" s="204" t="s">
        <v>163</v>
      </c>
      <c r="L47" s="215" t="s">
        <v>823</v>
      </c>
      <c r="M47" s="215"/>
      <c r="N47" s="40" t="s">
        <v>824</v>
      </c>
      <c r="O47" s="40"/>
      <c r="P47" s="40" t="s">
        <v>824</v>
      </c>
      <c r="Q47" s="254" t="s">
        <v>6</v>
      </c>
      <c r="R47" s="40"/>
      <c r="S47" s="40"/>
      <c r="T47" s="126" t="s">
        <v>6</v>
      </c>
      <c r="U47" s="204" t="s">
        <v>3298</v>
      </c>
      <c r="V47" s="204"/>
      <c r="W47" s="204" t="s">
        <v>163</v>
      </c>
      <c r="X47" s="40"/>
      <c r="Y47" s="40" t="s">
        <v>824</v>
      </c>
      <c r="Z47" s="255"/>
      <c r="AA47" s="40"/>
      <c r="AB47" s="204"/>
      <c r="AC47" s="199"/>
      <c r="AD47" s="199"/>
      <c r="AE47" s="204" t="s">
        <v>163</v>
      </c>
      <c r="AF47" s="40"/>
      <c r="AG47" s="40" t="s">
        <v>824</v>
      </c>
      <c r="AH47" s="40"/>
      <c r="AI47" s="40"/>
      <c r="AJ47" s="204"/>
      <c r="AK47" s="199"/>
      <c r="AL47" s="199"/>
      <c r="AM47" s="199" t="s">
        <v>826</v>
      </c>
      <c r="AN47" s="199"/>
      <c r="AO47" s="199"/>
      <c r="AP47" s="199"/>
      <c r="AQ47" s="199"/>
      <c r="AR47" s="199"/>
      <c r="AS47" s="199"/>
      <c r="AT47" s="199"/>
      <c r="AU47" s="199"/>
      <c r="AV47" s="199"/>
      <c r="AW47" s="155">
        <f t="shared" si="12"/>
        <v>21</v>
      </c>
    </row>
    <row r="48" spans="1:87" s="236" customFormat="1" ht="26.4">
      <c r="A48" s="40">
        <f t="shared" si="10"/>
        <v>42</v>
      </c>
      <c r="B48" s="212"/>
      <c r="C48" s="212"/>
      <c r="D48" s="212"/>
      <c r="E48" s="212"/>
      <c r="F48" s="212"/>
      <c r="G48" s="212"/>
      <c r="H48" s="212"/>
      <c r="I48" s="212"/>
      <c r="J48" s="204" t="s">
        <v>827</v>
      </c>
      <c r="K48" s="204" t="s">
        <v>163</v>
      </c>
      <c r="L48" s="215" t="s">
        <v>828</v>
      </c>
      <c r="M48" s="215"/>
      <c r="N48" s="40" t="s">
        <v>829</v>
      </c>
      <c r="O48" s="40"/>
      <c r="P48" s="40" t="s">
        <v>829</v>
      </c>
      <c r="Q48" s="254" t="s">
        <v>6</v>
      </c>
      <c r="R48" s="40"/>
      <c r="S48" s="40"/>
      <c r="T48" s="126" t="s">
        <v>6</v>
      </c>
      <c r="U48" s="204" t="s">
        <v>3298</v>
      </c>
      <c r="V48" s="204"/>
      <c r="W48" s="204" t="s">
        <v>163</v>
      </c>
      <c r="X48" s="40"/>
      <c r="Y48" s="40" t="s">
        <v>829</v>
      </c>
      <c r="Z48" s="255"/>
      <c r="AA48" s="40"/>
      <c r="AB48" s="204"/>
      <c r="AC48" s="199"/>
      <c r="AD48" s="199"/>
      <c r="AE48" s="204" t="s">
        <v>163</v>
      </c>
      <c r="AF48" s="40"/>
      <c r="AG48" s="40" t="s">
        <v>829</v>
      </c>
      <c r="AH48" s="40"/>
      <c r="AI48" s="40"/>
      <c r="AJ48" s="204"/>
      <c r="AK48" s="199"/>
      <c r="AL48" s="199"/>
      <c r="AM48" s="199" t="s">
        <v>826</v>
      </c>
      <c r="AN48" s="199"/>
      <c r="AO48" s="199"/>
      <c r="AP48" s="199"/>
      <c r="AQ48" s="199"/>
      <c r="AR48" s="199"/>
      <c r="AS48" s="199"/>
      <c r="AT48" s="199"/>
      <c r="AU48" s="199"/>
      <c r="AV48" s="199"/>
      <c r="AW48" s="155">
        <f t="shared" si="12"/>
        <v>23</v>
      </c>
    </row>
    <row r="49" spans="1:49" s="236" customFormat="1" ht="39.6">
      <c r="A49" s="40">
        <f t="shared" ref="A49:A57" si="13">ROW() - 6</f>
        <v>43</v>
      </c>
      <c r="B49" s="212"/>
      <c r="C49" s="212"/>
      <c r="D49" s="212"/>
      <c r="E49" s="212"/>
      <c r="F49" s="212"/>
      <c r="G49" s="212"/>
      <c r="H49" s="212"/>
      <c r="I49" s="212"/>
      <c r="J49" s="204" t="s">
        <v>830</v>
      </c>
      <c r="K49" s="204" t="s">
        <v>163</v>
      </c>
      <c r="L49" s="215" t="s">
        <v>831</v>
      </c>
      <c r="M49" s="215"/>
      <c r="N49" s="40" t="s">
        <v>832</v>
      </c>
      <c r="O49" s="40"/>
      <c r="P49" s="40" t="s">
        <v>833</v>
      </c>
      <c r="Q49" s="254" t="s">
        <v>6</v>
      </c>
      <c r="R49" s="40"/>
      <c r="S49" s="40"/>
      <c r="T49" s="126" t="s">
        <v>6</v>
      </c>
      <c r="U49" s="204" t="s">
        <v>3299</v>
      </c>
      <c r="V49" s="204"/>
      <c r="W49" s="204" t="s">
        <v>163</v>
      </c>
      <c r="X49" s="40"/>
      <c r="Y49" s="40" t="s">
        <v>833</v>
      </c>
      <c r="Z49" s="255"/>
      <c r="AA49" s="40"/>
      <c r="AB49" s="204" t="s">
        <v>835</v>
      </c>
      <c r="AC49" s="199"/>
      <c r="AD49" s="199"/>
      <c r="AE49" s="204" t="s">
        <v>163</v>
      </c>
      <c r="AF49" s="40"/>
      <c r="AG49" s="40" t="s">
        <v>833</v>
      </c>
      <c r="AH49" s="40"/>
      <c r="AI49" s="40"/>
      <c r="AJ49" s="204" t="s">
        <v>835</v>
      </c>
      <c r="AK49" s="199"/>
      <c r="AL49" s="199"/>
      <c r="AM49" s="199"/>
      <c r="AN49" s="199"/>
      <c r="AO49" s="199"/>
      <c r="AP49" s="199"/>
      <c r="AQ49" s="199"/>
      <c r="AR49" s="199"/>
      <c r="AS49" s="199"/>
      <c r="AT49" s="199"/>
      <c r="AU49" s="199"/>
      <c r="AV49" s="199"/>
      <c r="AW49" s="155">
        <f t="shared" si="12"/>
        <v>32</v>
      </c>
    </row>
    <row r="50" spans="1:49" s="256" customFormat="1" ht="39.6">
      <c r="A50" s="40">
        <f t="shared" si="13"/>
        <v>44</v>
      </c>
      <c r="B50" s="212"/>
      <c r="C50" s="212"/>
      <c r="D50" s="212"/>
      <c r="E50" s="212"/>
      <c r="F50" s="212"/>
      <c r="G50" s="212"/>
      <c r="H50" s="212"/>
      <c r="I50" s="212"/>
      <c r="J50" s="204" t="s">
        <v>836</v>
      </c>
      <c r="K50" s="204" t="s">
        <v>163</v>
      </c>
      <c r="L50" s="215" t="s">
        <v>837</v>
      </c>
      <c r="M50" s="215"/>
      <c r="N50" s="40" t="s">
        <v>838</v>
      </c>
      <c r="O50" s="40"/>
      <c r="P50" s="40" t="s">
        <v>833</v>
      </c>
      <c r="Q50" s="254" t="s">
        <v>6</v>
      </c>
      <c r="R50" s="40"/>
      <c r="S50" s="40"/>
      <c r="T50" s="126" t="s">
        <v>6</v>
      </c>
      <c r="U50" s="204" t="s">
        <v>3299</v>
      </c>
      <c r="V50" s="204"/>
      <c r="W50" s="204" t="s">
        <v>163</v>
      </c>
      <c r="X50" s="40"/>
      <c r="Y50" s="40" t="s">
        <v>833</v>
      </c>
      <c r="Z50" s="255"/>
      <c r="AA50" s="40"/>
      <c r="AB50" s="204"/>
      <c r="AC50" s="199"/>
      <c r="AD50" s="199"/>
      <c r="AE50" s="204" t="s">
        <v>163</v>
      </c>
      <c r="AF50" s="40"/>
      <c r="AG50" s="40" t="s">
        <v>833</v>
      </c>
      <c r="AH50" s="40"/>
      <c r="AI50" s="40"/>
      <c r="AJ50" s="204"/>
      <c r="AK50" s="199"/>
      <c r="AL50" s="199"/>
      <c r="AM50" s="199" t="s">
        <v>839</v>
      </c>
      <c r="AN50" s="199"/>
      <c r="AO50" s="199"/>
      <c r="AP50" s="199"/>
      <c r="AQ50" s="199"/>
      <c r="AR50" s="199"/>
      <c r="AS50" s="199"/>
      <c r="AT50" s="199"/>
      <c r="AU50" s="199"/>
      <c r="AV50" s="199"/>
      <c r="AW50" s="155">
        <f t="shared" si="12"/>
        <v>32</v>
      </c>
    </row>
    <row r="51" spans="1:49" s="236" customFormat="1" ht="39.6">
      <c r="A51" s="40">
        <f t="shared" si="13"/>
        <v>45</v>
      </c>
      <c r="B51" s="212"/>
      <c r="C51" s="212"/>
      <c r="D51" s="212"/>
      <c r="E51" s="212"/>
      <c r="F51" s="212"/>
      <c r="G51" s="212"/>
      <c r="H51" s="212"/>
      <c r="I51" s="212"/>
      <c r="J51" s="204" t="s">
        <v>840</v>
      </c>
      <c r="K51" s="204" t="s">
        <v>163</v>
      </c>
      <c r="L51" s="215" t="s">
        <v>841</v>
      </c>
      <c r="M51" s="215"/>
      <c r="N51" s="40" t="s">
        <v>842</v>
      </c>
      <c r="O51" s="40"/>
      <c r="P51" s="40" t="s">
        <v>833</v>
      </c>
      <c r="Q51" s="254" t="s">
        <v>6</v>
      </c>
      <c r="R51" s="40"/>
      <c r="S51" s="40"/>
      <c r="T51" s="126" t="s">
        <v>6</v>
      </c>
      <c r="U51" s="204" t="s">
        <v>3299</v>
      </c>
      <c r="V51" s="204"/>
      <c r="W51" s="204" t="s">
        <v>163</v>
      </c>
      <c r="X51" s="40"/>
      <c r="Y51" s="40" t="s">
        <v>833</v>
      </c>
      <c r="Z51" s="255"/>
      <c r="AA51" s="40"/>
      <c r="AB51" s="204" t="s">
        <v>835</v>
      </c>
      <c r="AC51" s="199"/>
      <c r="AD51" s="199"/>
      <c r="AE51" s="204" t="s">
        <v>163</v>
      </c>
      <c r="AF51" s="40"/>
      <c r="AG51" s="40" t="s">
        <v>833</v>
      </c>
      <c r="AH51" s="40"/>
      <c r="AI51" s="40"/>
      <c r="AJ51" s="204" t="s">
        <v>835</v>
      </c>
      <c r="AK51" s="199"/>
      <c r="AL51" s="199"/>
      <c r="AM51" s="199"/>
      <c r="AN51" s="199"/>
      <c r="AO51" s="199"/>
      <c r="AP51" s="199"/>
      <c r="AQ51" s="199"/>
      <c r="AR51" s="199"/>
      <c r="AS51" s="199"/>
      <c r="AT51" s="199"/>
      <c r="AU51" s="199"/>
      <c r="AV51" s="199"/>
      <c r="AW51" s="155">
        <f t="shared" si="12"/>
        <v>32</v>
      </c>
    </row>
    <row r="52" spans="1:49" s="20" customFormat="1" ht="26.4">
      <c r="A52" s="40">
        <f t="shared" si="13"/>
        <v>46</v>
      </c>
      <c r="B52" s="59"/>
      <c r="C52" s="59"/>
      <c r="D52" s="59"/>
      <c r="E52" s="59"/>
      <c r="F52" s="59"/>
      <c r="G52" s="59"/>
      <c r="H52" s="59"/>
      <c r="I52" s="59"/>
      <c r="J52" s="218" t="s">
        <v>3195</v>
      </c>
      <c r="K52" s="204" t="s">
        <v>163</v>
      </c>
      <c r="L52" s="215" t="s">
        <v>3196</v>
      </c>
      <c r="M52" s="215"/>
      <c r="N52" s="40" t="s">
        <v>832</v>
      </c>
      <c r="O52" s="40"/>
      <c r="P52" s="40" t="s">
        <v>833</v>
      </c>
      <c r="Q52" s="40" t="s">
        <v>6</v>
      </c>
      <c r="R52" s="40"/>
      <c r="S52" s="40"/>
      <c r="T52" s="126" t="s">
        <v>6</v>
      </c>
      <c r="U52" s="204" t="s">
        <v>3301</v>
      </c>
      <c r="V52" s="204"/>
      <c r="W52" s="204" t="s">
        <v>163</v>
      </c>
      <c r="X52" s="13"/>
      <c r="Y52" s="40" t="s">
        <v>833</v>
      </c>
      <c r="Z52" s="13"/>
      <c r="AA52" s="40"/>
      <c r="AB52" s="253" t="s">
        <v>835</v>
      </c>
      <c r="AC52" s="59"/>
      <c r="AD52" s="59"/>
      <c r="AE52" s="204" t="s">
        <v>163</v>
      </c>
      <c r="AF52" s="13"/>
      <c r="AG52" s="40" t="s">
        <v>833</v>
      </c>
      <c r="AH52" s="13"/>
      <c r="AI52" s="40"/>
      <c r="AJ52" s="253" t="s">
        <v>835</v>
      </c>
      <c r="AK52" s="59"/>
      <c r="AL52" s="59"/>
      <c r="AM52" s="59"/>
      <c r="AN52" s="59"/>
      <c r="AO52" s="59"/>
      <c r="AP52" s="59"/>
      <c r="AQ52" s="59"/>
      <c r="AR52" s="59"/>
      <c r="AS52" s="59"/>
      <c r="AT52" s="59"/>
      <c r="AU52" s="59"/>
      <c r="AV52" s="59"/>
      <c r="AW52" s="18">
        <f t="shared" si="12"/>
        <v>25</v>
      </c>
    </row>
    <row r="53" spans="1:49" s="20" customFormat="1" ht="26.4">
      <c r="A53" s="40">
        <f t="shared" si="13"/>
        <v>47</v>
      </c>
      <c r="B53" s="59"/>
      <c r="C53" s="59"/>
      <c r="D53" s="59"/>
      <c r="E53" s="59"/>
      <c r="F53" s="59"/>
      <c r="G53" s="59"/>
      <c r="H53" s="59"/>
      <c r="I53" s="59"/>
      <c r="J53" s="218" t="s">
        <v>3197</v>
      </c>
      <c r="K53" s="204" t="s">
        <v>163</v>
      </c>
      <c r="L53" s="215" t="s">
        <v>3198</v>
      </c>
      <c r="M53" s="215"/>
      <c r="N53" s="40" t="s">
        <v>838</v>
      </c>
      <c r="O53" s="40"/>
      <c r="P53" s="40" t="s">
        <v>833</v>
      </c>
      <c r="Q53" s="40" t="s">
        <v>6</v>
      </c>
      <c r="R53" s="40"/>
      <c r="S53" s="40"/>
      <c r="T53" s="126" t="s">
        <v>6</v>
      </c>
      <c r="U53" s="204" t="s">
        <v>3301</v>
      </c>
      <c r="V53" s="204"/>
      <c r="W53" s="204" t="s">
        <v>163</v>
      </c>
      <c r="X53" s="13"/>
      <c r="Y53" s="40" t="s">
        <v>833</v>
      </c>
      <c r="Z53" s="13"/>
      <c r="AA53" s="40"/>
      <c r="AB53" s="253"/>
      <c r="AC53" s="59"/>
      <c r="AD53" s="59"/>
      <c r="AE53" s="204" t="s">
        <v>163</v>
      </c>
      <c r="AF53" s="13"/>
      <c r="AG53" s="40" t="s">
        <v>833</v>
      </c>
      <c r="AH53" s="13"/>
      <c r="AI53" s="40"/>
      <c r="AJ53" s="253"/>
      <c r="AK53" s="59"/>
      <c r="AL53" s="59"/>
      <c r="AM53" s="59" t="s">
        <v>3199</v>
      </c>
      <c r="AN53" s="59"/>
      <c r="AO53" s="59"/>
      <c r="AP53" s="59"/>
      <c r="AQ53" s="59"/>
      <c r="AR53" s="59"/>
      <c r="AS53" s="59"/>
      <c r="AT53" s="59"/>
      <c r="AU53" s="59"/>
      <c r="AV53" s="59"/>
      <c r="AW53" s="18">
        <f t="shared" si="12"/>
        <v>25</v>
      </c>
    </row>
    <row r="54" spans="1:49" s="20" customFormat="1" ht="26.4">
      <c r="A54" s="40">
        <f t="shared" si="13"/>
        <v>48</v>
      </c>
      <c r="B54" s="59"/>
      <c r="C54" s="59"/>
      <c r="D54" s="59"/>
      <c r="E54" s="59"/>
      <c r="F54" s="59"/>
      <c r="G54" s="59"/>
      <c r="H54" s="59"/>
      <c r="I54" s="59"/>
      <c r="J54" s="218" t="s">
        <v>3200</v>
      </c>
      <c r="K54" s="204" t="s">
        <v>163</v>
      </c>
      <c r="L54" s="215" t="s">
        <v>3201</v>
      </c>
      <c r="M54" s="215"/>
      <c r="N54" s="40" t="s">
        <v>842</v>
      </c>
      <c r="O54" s="40"/>
      <c r="P54" s="40" t="s">
        <v>833</v>
      </c>
      <c r="Q54" s="40" t="s">
        <v>6</v>
      </c>
      <c r="R54" s="40"/>
      <c r="S54" s="40"/>
      <c r="T54" s="126" t="s">
        <v>6</v>
      </c>
      <c r="U54" s="204" t="s">
        <v>3301</v>
      </c>
      <c r="V54" s="204"/>
      <c r="W54" s="204" t="s">
        <v>163</v>
      </c>
      <c r="X54" s="13"/>
      <c r="Y54" s="40" t="s">
        <v>833</v>
      </c>
      <c r="Z54" s="13"/>
      <c r="AA54" s="40"/>
      <c r="AB54" s="253" t="s">
        <v>835</v>
      </c>
      <c r="AC54" s="59"/>
      <c r="AD54" s="59"/>
      <c r="AE54" s="204" t="s">
        <v>163</v>
      </c>
      <c r="AF54" s="13"/>
      <c r="AG54" s="40" t="s">
        <v>833</v>
      </c>
      <c r="AH54" s="13"/>
      <c r="AI54" s="40"/>
      <c r="AJ54" s="253" t="s">
        <v>835</v>
      </c>
      <c r="AK54" s="59"/>
      <c r="AL54" s="59"/>
      <c r="AM54" s="59"/>
      <c r="AN54" s="59"/>
      <c r="AO54" s="59"/>
      <c r="AP54" s="59"/>
      <c r="AQ54" s="59"/>
      <c r="AR54" s="59"/>
      <c r="AS54" s="59"/>
      <c r="AT54" s="59"/>
      <c r="AU54" s="59"/>
      <c r="AV54" s="59"/>
      <c r="AW54" s="18">
        <f t="shared" si="12"/>
        <v>25</v>
      </c>
    </row>
    <row r="55" spans="1:49" s="236" customFormat="1" ht="15">
      <c r="A55" s="40">
        <f t="shared" si="13"/>
        <v>49</v>
      </c>
      <c r="B55" s="212"/>
      <c r="C55" s="212"/>
      <c r="D55" s="212"/>
      <c r="E55" s="212"/>
      <c r="F55" s="212"/>
      <c r="G55" s="212"/>
      <c r="H55" s="212"/>
      <c r="I55" s="212"/>
      <c r="J55" s="204" t="s">
        <v>843</v>
      </c>
      <c r="K55" s="204" t="s">
        <v>163</v>
      </c>
      <c r="L55" s="215" t="s">
        <v>844</v>
      </c>
      <c r="M55" s="215"/>
      <c r="N55" s="40" t="s">
        <v>845</v>
      </c>
      <c r="O55" s="40"/>
      <c r="P55" s="40" t="s">
        <v>846</v>
      </c>
      <c r="Q55" s="254" t="s">
        <v>6</v>
      </c>
      <c r="R55" s="40"/>
      <c r="S55" s="40"/>
      <c r="T55" s="126" t="s">
        <v>6</v>
      </c>
      <c r="U55" s="204" t="s">
        <v>3300</v>
      </c>
      <c r="V55" s="204"/>
      <c r="W55" s="204" t="s">
        <v>163</v>
      </c>
      <c r="X55" s="40"/>
      <c r="Y55" s="40" t="s">
        <v>846</v>
      </c>
      <c r="Z55" s="255"/>
      <c r="AA55" s="40"/>
      <c r="AB55" s="204" t="s">
        <v>835</v>
      </c>
      <c r="AC55" s="199"/>
      <c r="AD55" s="199"/>
      <c r="AE55" s="204" t="s">
        <v>163</v>
      </c>
      <c r="AF55" s="40"/>
      <c r="AG55" s="40" t="s">
        <v>846</v>
      </c>
      <c r="AH55" s="40"/>
      <c r="AI55" s="40"/>
      <c r="AJ55" s="204" t="s">
        <v>835</v>
      </c>
      <c r="AK55" s="199"/>
      <c r="AL55" s="199"/>
      <c r="AM55" s="199"/>
      <c r="AN55" s="199"/>
      <c r="AO55" s="199"/>
      <c r="AP55" s="199"/>
      <c r="AQ55" s="199"/>
      <c r="AR55" s="199"/>
      <c r="AS55" s="199"/>
      <c r="AT55" s="199"/>
      <c r="AU55" s="199"/>
      <c r="AV55" s="199"/>
      <c r="AW55" s="155">
        <f t="shared" si="12"/>
        <v>34</v>
      </c>
    </row>
    <row r="56" spans="1:49" s="236" customFormat="1" ht="15">
      <c r="A56" s="40">
        <f t="shared" si="13"/>
        <v>50</v>
      </c>
      <c r="B56" s="212"/>
      <c r="C56" s="212"/>
      <c r="D56" s="212"/>
      <c r="E56" s="212"/>
      <c r="F56" s="212"/>
      <c r="G56" s="212"/>
      <c r="H56" s="212"/>
      <c r="I56" s="212"/>
      <c r="J56" s="204" t="s">
        <v>847</v>
      </c>
      <c r="K56" s="204" t="s">
        <v>163</v>
      </c>
      <c r="L56" s="215" t="s">
        <v>848</v>
      </c>
      <c r="M56" s="215"/>
      <c r="N56" s="40" t="s">
        <v>849</v>
      </c>
      <c r="O56" s="40"/>
      <c r="P56" s="40" t="s">
        <v>846</v>
      </c>
      <c r="Q56" s="254" t="s">
        <v>6</v>
      </c>
      <c r="R56" s="40"/>
      <c r="S56" s="40"/>
      <c r="T56" s="126" t="s">
        <v>6</v>
      </c>
      <c r="U56" s="204" t="s">
        <v>3300</v>
      </c>
      <c r="V56" s="204"/>
      <c r="W56" s="204" t="s">
        <v>163</v>
      </c>
      <c r="X56" s="40"/>
      <c r="Y56" s="40" t="s">
        <v>846</v>
      </c>
      <c r="Z56" s="255"/>
      <c r="AA56" s="40"/>
      <c r="AB56" s="204"/>
      <c r="AC56" s="199"/>
      <c r="AD56" s="199"/>
      <c r="AE56" s="204" t="s">
        <v>163</v>
      </c>
      <c r="AF56" s="40"/>
      <c r="AG56" s="40" t="s">
        <v>846</v>
      </c>
      <c r="AH56" s="40"/>
      <c r="AI56" s="40"/>
      <c r="AJ56" s="204"/>
      <c r="AK56" s="199"/>
      <c r="AL56" s="199"/>
      <c r="AM56" s="199" t="s">
        <v>850</v>
      </c>
      <c r="AN56" s="199"/>
      <c r="AO56" s="199"/>
      <c r="AP56" s="199"/>
      <c r="AQ56" s="199"/>
      <c r="AR56" s="199"/>
      <c r="AS56" s="199"/>
      <c r="AT56" s="199"/>
      <c r="AU56" s="199"/>
      <c r="AV56" s="199"/>
      <c r="AW56" s="155">
        <f t="shared" si="12"/>
        <v>34</v>
      </c>
    </row>
    <row r="57" spans="1:49" s="236" customFormat="1" ht="15">
      <c r="A57" s="40">
        <f t="shared" si="13"/>
        <v>51</v>
      </c>
      <c r="B57" s="212"/>
      <c r="C57" s="212"/>
      <c r="D57" s="212"/>
      <c r="E57" s="212"/>
      <c r="F57" s="212"/>
      <c r="G57" s="212"/>
      <c r="H57" s="212"/>
      <c r="I57" s="212"/>
      <c r="J57" s="204" t="s">
        <v>851</v>
      </c>
      <c r="K57" s="204" t="s">
        <v>163</v>
      </c>
      <c r="L57" s="215" t="s">
        <v>852</v>
      </c>
      <c r="M57" s="215"/>
      <c r="N57" s="40" t="s">
        <v>853</v>
      </c>
      <c r="O57" s="40"/>
      <c r="P57" s="40" t="s">
        <v>846</v>
      </c>
      <c r="Q57" s="254" t="s">
        <v>6</v>
      </c>
      <c r="R57" s="40"/>
      <c r="S57" s="40"/>
      <c r="T57" s="126" t="s">
        <v>6</v>
      </c>
      <c r="U57" s="204" t="s">
        <v>3300</v>
      </c>
      <c r="V57" s="204"/>
      <c r="W57" s="204" t="s">
        <v>163</v>
      </c>
      <c r="X57" s="40"/>
      <c r="Y57" s="40" t="s">
        <v>846</v>
      </c>
      <c r="Z57" s="255"/>
      <c r="AA57" s="40"/>
      <c r="AB57" s="204" t="s">
        <v>835</v>
      </c>
      <c r="AC57" s="199"/>
      <c r="AD57" s="199"/>
      <c r="AE57" s="204" t="s">
        <v>163</v>
      </c>
      <c r="AF57" s="40"/>
      <c r="AG57" s="40" t="s">
        <v>846</v>
      </c>
      <c r="AH57" s="40"/>
      <c r="AI57" s="40"/>
      <c r="AJ57" s="204" t="s">
        <v>835</v>
      </c>
      <c r="AK57" s="199"/>
      <c r="AL57" s="199"/>
      <c r="AM57" s="199"/>
      <c r="AN57" s="199"/>
      <c r="AO57" s="199"/>
      <c r="AP57" s="199"/>
      <c r="AQ57" s="199"/>
      <c r="AR57" s="199"/>
      <c r="AS57" s="199"/>
      <c r="AT57" s="199"/>
      <c r="AU57" s="199"/>
      <c r="AV57" s="199"/>
      <c r="AW57" s="155">
        <f t="shared" si="12"/>
        <v>34</v>
      </c>
    </row>
    <row r="58" spans="1:49" ht="15">
      <c r="U58" s="346"/>
      <c r="V58" s="346"/>
      <c r="AJ58" s="346"/>
      <c r="AW58" s="155">
        <f t="shared" ref="AW58:AW121" si="14">LEN(L58)</f>
        <v>0</v>
      </c>
    </row>
    <row r="59" spans="1:49" ht="15">
      <c r="U59" s="346"/>
      <c r="V59" s="346"/>
      <c r="AJ59" s="346"/>
      <c r="AW59" s="155">
        <f t="shared" si="14"/>
        <v>0</v>
      </c>
    </row>
    <row r="60" spans="1:49" ht="15">
      <c r="U60" s="346"/>
      <c r="V60" s="346"/>
      <c r="AJ60" s="346"/>
      <c r="AW60" s="155">
        <f t="shared" si="14"/>
        <v>0</v>
      </c>
    </row>
    <row r="61" spans="1:49" ht="15">
      <c r="U61" s="346"/>
      <c r="V61" s="346"/>
      <c r="AJ61" s="346"/>
      <c r="AW61" s="155">
        <f t="shared" si="14"/>
        <v>0</v>
      </c>
    </row>
    <row r="62" spans="1:49" ht="15">
      <c r="U62" s="346"/>
      <c r="V62" s="346"/>
      <c r="AJ62" s="346"/>
      <c r="AW62" s="155">
        <f t="shared" si="14"/>
        <v>0</v>
      </c>
    </row>
    <row r="63" spans="1:49" ht="15">
      <c r="U63" s="346"/>
      <c r="V63" s="346"/>
      <c r="AJ63" s="346"/>
      <c r="AW63" s="155">
        <f t="shared" si="14"/>
        <v>0</v>
      </c>
    </row>
    <row r="64" spans="1:49" ht="15">
      <c r="AW64" s="155">
        <f t="shared" si="14"/>
        <v>0</v>
      </c>
    </row>
    <row r="65" spans="49:49" ht="15">
      <c r="AW65" s="155">
        <f t="shared" si="14"/>
        <v>0</v>
      </c>
    </row>
    <row r="66" spans="49:49" ht="15">
      <c r="AW66" s="155">
        <f t="shared" si="14"/>
        <v>0</v>
      </c>
    </row>
    <row r="67" spans="49:49" ht="15">
      <c r="AW67" s="155">
        <f t="shared" si="14"/>
        <v>0</v>
      </c>
    </row>
    <row r="68" spans="49:49" ht="15">
      <c r="AW68" s="155">
        <f t="shared" si="14"/>
        <v>0</v>
      </c>
    </row>
    <row r="69" spans="49:49" ht="15">
      <c r="AW69" s="155">
        <f t="shared" si="14"/>
        <v>0</v>
      </c>
    </row>
    <row r="70" spans="49:49" ht="15">
      <c r="AW70" s="155">
        <f t="shared" si="14"/>
        <v>0</v>
      </c>
    </row>
    <row r="71" spans="49:49" ht="15">
      <c r="AW71" s="155">
        <f t="shared" si="14"/>
        <v>0</v>
      </c>
    </row>
    <row r="72" spans="49:49" ht="15">
      <c r="AW72" s="155">
        <f t="shared" si="14"/>
        <v>0</v>
      </c>
    </row>
    <row r="73" spans="49:49" ht="15">
      <c r="AW73" s="155">
        <f t="shared" si="14"/>
        <v>0</v>
      </c>
    </row>
    <row r="74" spans="49:49" ht="15">
      <c r="AW74" s="155">
        <f t="shared" si="14"/>
        <v>0</v>
      </c>
    </row>
    <row r="75" spans="49:49" ht="15">
      <c r="AW75" s="155">
        <f t="shared" si="14"/>
        <v>0</v>
      </c>
    </row>
    <row r="76" spans="49:49" ht="15">
      <c r="AW76" s="155">
        <f t="shared" si="14"/>
        <v>0</v>
      </c>
    </row>
    <row r="77" spans="49:49" ht="15">
      <c r="AW77" s="155">
        <f t="shared" si="14"/>
        <v>0</v>
      </c>
    </row>
    <row r="78" spans="49:49" ht="15">
      <c r="AW78" s="155">
        <f t="shared" si="14"/>
        <v>0</v>
      </c>
    </row>
    <row r="79" spans="49:49" ht="15">
      <c r="AW79" s="155">
        <f t="shared" si="14"/>
        <v>0</v>
      </c>
    </row>
    <row r="80" spans="49:49" ht="15">
      <c r="AW80" s="155">
        <f t="shared" si="14"/>
        <v>0</v>
      </c>
    </row>
    <row r="81" spans="49:49" ht="15">
      <c r="AW81" s="155">
        <f t="shared" si="14"/>
        <v>0</v>
      </c>
    </row>
    <row r="82" spans="49:49" ht="15">
      <c r="AW82" s="155">
        <f t="shared" si="14"/>
        <v>0</v>
      </c>
    </row>
    <row r="83" spans="49:49" ht="15">
      <c r="AW83" s="155">
        <f t="shared" si="14"/>
        <v>0</v>
      </c>
    </row>
    <row r="84" spans="49:49" ht="15">
      <c r="AW84" s="155">
        <f t="shared" si="14"/>
        <v>0</v>
      </c>
    </row>
    <row r="85" spans="49:49" ht="15">
      <c r="AW85" s="155">
        <f t="shared" si="14"/>
        <v>0</v>
      </c>
    </row>
    <row r="86" spans="49:49" ht="15">
      <c r="AW86" s="155">
        <f t="shared" si="14"/>
        <v>0</v>
      </c>
    </row>
    <row r="87" spans="49:49" ht="15">
      <c r="AW87" s="155">
        <f t="shared" si="14"/>
        <v>0</v>
      </c>
    </row>
    <row r="88" spans="49:49" ht="15">
      <c r="AW88" s="155">
        <f t="shared" si="14"/>
        <v>0</v>
      </c>
    </row>
    <row r="89" spans="49:49" ht="15">
      <c r="AW89" s="155">
        <f t="shared" si="14"/>
        <v>0</v>
      </c>
    </row>
    <row r="90" spans="49:49" ht="15">
      <c r="AW90" s="155">
        <f t="shared" si="14"/>
        <v>0</v>
      </c>
    </row>
    <row r="91" spans="49:49" ht="15">
      <c r="AW91" s="155">
        <f t="shared" si="14"/>
        <v>0</v>
      </c>
    </row>
    <row r="92" spans="49:49" ht="15">
      <c r="AW92" s="155">
        <f t="shared" si="14"/>
        <v>0</v>
      </c>
    </row>
    <row r="93" spans="49:49" ht="15">
      <c r="AW93" s="155">
        <f t="shared" si="14"/>
        <v>0</v>
      </c>
    </row>
    <row r="94" spans="49:49" ht="15">
      <c r="AW94" s="155">
        <f t="shared" si="14"/>
        <v>0</v>
      </c>
    </row>
    <row r="95" spans="49:49" ht="15">
      <c r="AW95" s="155">
        <f t="shared" si="14"/>
        <v>0</v>
      </c>
    </row>
    <row r="96" spans="49:49" ht="15">
      <c r="AW96" s="155">
        <f t="shared" si="14"/>
        <v>0</v>
      </c>
    </row>
    <row r="97" spans="49:49" ht="15">
      <c r="AW97" s="155">
        <f t="shared" si="14"/>
        <v>0</v>
      </c>
    </row>
    <row r="98" spans="49:49" ht="15">
      <c r="AW98" s="155">
        <f t="shared" si="14"/>
        <v>0</v>
      </c>
    </row>
    <row r="99" spans="49:49" ht="15">
      <c r="AW99" s="155">
        <f t="shared" si="14"/>
        <v>0</v>
      </c>
    </row>
    <row r="100" spans="49:49" ht="15">
      <c r="AW100" s="155">
        <f t="shared" si="14"/>
        <v>0</v>
      </c>
    </row>
    <row r="101" spans="49:49" ht="15">
      <c r="AW101" s="155">
        <f t="shared" si="14"/>
        <v>0</v>
      </c>
    </row>
    <row r="102" spans="49:49" ht="15">
      <c r="AW102" s="155">
        <f t="shared" si="14"/>
        <v>0</v>
      </c>
    </row>
    <row r="103" spans="49:49" ht="15">
      <c r="AW103" s="155">
        <f t="shared" si="14"/>
        <v>0</v>
      </c>
    </row>
    <row r="104" spans="49:49" ht="15">
      <c r="AW104" s="155">
        <f t="shared" si="14"/>
        <v>0</v>
      </c>
    </row>
    <row r="105" spans="49:49" ht="15">
      <c r="AW105" s="155">
        <f t="shared" si="14"/>
        <v>0</v>
      </c>
    </row>
    <row r="106" spans="49:49" ht="15">
      <c r="AW106" s="155">
        <f t="shared" si="14"/>
        <v>0</v>
      </c>
    </row>
    <row r="107" spans="49:49" ht="15">
      <c r="AW107" s="155">
        <f t="shared" si="14"/>
        <v>0</v>
      </c>
    </row>
    <row r="108" spans="49:49" ht="15">
      <c r="AW108" s="155">
        <f t="shared" si="14"/>
        <v>0</v>
      </c>
    </row>
    <row r="109" spans="49:49" ht="15">
      <c r="AW109" s="155">
        <f t="shared" si="14"/>
        <v>0</v>
      </c>
    </row>
    <row r="110" spans="49:49" ht="15">
      <c r="AW110" s="155">
        <f t="shared" si="14"/>
        <v>0</v>
      </c>
    </row>
    <row r="111" spans="49:49" ht="15">
      <c r="AW111" s="155">
        <f t="shared" si="14"/>
        <v>0</v>
      </c>
    </row>
    <row r="112" spans="49:49" ht="15">
      <c r="AW112" s="155">
        <f t="shared" si="14"/>
        <v>0</v>
      </c>
    </row>
    <row r="113" spans="49:49" ht="15">
      <c r="AW113" s="155">
        <f t="shared" si="14"/>
        <v>0</v>
      </c>
    </row>
    <row r="114" spans="49:49" ht="15">
      <c r="AW114" s="155">
        <f t="shared" si="14"/>
        <v>0</v>
      </c>
    </row>
    <row r="115" spans="49:49" ht="15">
      <c r="AW115" s="155">
        <f t="shared" si="14"/>
        <v>0</v>
      </c>
    </row>
    <row r="116" spans="49:49" ht="15">
      <c r="AW116" s="155">
        <f t="shared" si="14"/>
        <v>0</v>
      </c>
    </row>
    <row r="117" spans="49:49" ht="15">
      <c r="AW117" s="155">
        <f t="shared" si="14"/>
        <v>0</v>
      </c>
    </row>
    <row r="118" spans="49:49" ht="15">
      <c r="AW118" s="155">
        <f t="shared" si="14"/>
        <v>0</v>
      </c>
    </row>
    <row r="119" spans="49:49" ht="15">
      <c r="AW119" s="155">
        <f t="shared" si="14"/>
        <v>0</v>
      </c>
    </row>
    <row r="120" spans="49:49" ht="15">
      <c r="AW120" s="155">
        <f t="shared" si="14"/>
        <v>0</v>
      </c>
    </row>
    <row r="121" spans="49:49" ht="15">
      <c r="AW121" s="155">
        <f t="shared" si="14"/>
        <v>0</v>
      </c>
    </row>
    <row r="122" spans="49:49" ht="15">
      <c r="AW122" s="155">
        <f t="shared" ref="AW122:AW185" si="15">LEN(L122)</f>
        <v>0</v>
      </c>
    </row>
    <row r="123" spans="49:49" ht="15">
      <c r="AW123" s="155">
        <f t="shared" si="15"/>
        <v>0</v>
      </c>
    </row>
    <row r="124" spans="49:49" ht="15">
      <c r="AW124" s="155">
        <f t="shared" si="15"/>
        <v>0</v>
      </c>
    </row>
    <row r="125" spans="49:49" ht="15">
      <c r="AW125" s="155">
        <f t="shared" si="15"/>
        <v>0</v>
      </c>
    </row>
    <row r="126" spans="49:49" ht="15">
      <c r="AW126" s="155">
        <f t="shared" si="15"/>
        <v>0</v>
      </c>
    </row>
    <row r="127" spans="49:49" ht="15">
      <c r="AW127" s="155">
        <f t="shared" si="15"/>
        <v>0</v>
      </c>
    </row>
    <row r="128" spans="49:49" ht="15">
      <c r="AW128" s="155">
        <f t="shared" si="15"/>
        <v>0</v>
      </c>
    </row>
    <row r="129" spans="49:49" ht="15">
      <c r="AW129" s="155">
        <f t="shared" si="15"/>
        <v>0</v>
      </c>
    </row>
    <row r="130" spans="49:49" ht="15">
      <c r="AW130" s="155">
        <f t="shared" si="15"/>
        <v>0</v>
      </c>
    </row>
    <row r="131" spans="49:49" ht="15">
      <c r="AW131" s="155">
        <f t="shared" si="15"/>
        <v>0</v>
      </c>
    </row>
    <row r="132" spans="49:49" ht="15">
      <c r="AW132" s="155">
        <f t="shared" si="15"/>
        <v>0</v>
      </c>
    </row>
    <row r="133" spans="49:49" ht="15">
      <c r="AW133" s="155">
        <f t="shared" si="15"/>
        <v>0</v>
      </c>
    </row>
    <row r="134" spans="49:49" ht="15">
      <c r="AW134" s="155">
        <f t="shared" si="15"/>
        <v>0</v>
      </c>
    </row>
    <row r="135" spans="49:49" ht="15">
      <c r="AW135" s="155">
        <f t="shared" si="15"/>
        <v>0</v>
      </c>
    </row>
    <row r="136" spans="49:49" ht="15">
      <c r="AW136" s="155">
        <f t="shared" si="15"/>
        <v>0</v>
      </c>
    </row>
    <row r="137" spans="49:49" ht="15">
      <c r="AW137" s="155">
        <f t="shared" si="15"/>
        <v>0</v>
      </c>
    </row>
    <row r="138" spans="49:49" ht="15">
      <c r="AW138" s="155">
        <f t="shared" si="15"/>
        <v>0</v>
      </c>
    </row>
    <row r="139" spans="49:49" ht="15">
      <c r="AW139" s="155">
        <f t="shared" si="15"/>
        <v>0</v>
      </c>
    </row>
    <row r="140" spans="49:49" ht="15">
      <c r="AW140" s="155">
        <f t="shared" si="15"/>
        <v>0</v>
      </c>
    </row>
    <row r="141" spans="49:49" ht="15">
      <c r="AW141" s="155">
        <f t="shared" si="15"/>
        <v>0</v>
      </c>
    </row>
    <row r="142" spans="49:49" ht="15">
      <c r="AW142" s="155">
        <f t="shared" si="15"/>
        <v>0</v>
      </c>
    </row>
    <row r="143" spans="49:49" ht="15">
      <c r="AW143" s="155">
        <f t="shared" si="15"/>
        <v>0</v>
      </c>
    </row>
    <row r="144" spans="49:49" ht="15">
      <c r="AW144" s="155">
        <f t="shared" si="15"/>
        <v>0</v>
      </c>
    </row>
    <row r="145" spans="49:49" ht="15">
      <c r="AW145" s="155">
        <f t="shared" si="15"/>
        <v>0</v>
      </c>
    </row>
    <row r="146" spans="49:49" ht="15">
      <c r="AW146" s="155">
        <f t="shared" si="15"/>
        <v>0</v>
      </c>
    </row>
    <row r="147" spans="49:49" ht="15">
      <c r="AW147" s="155">
        <f t="shared" si="15"/>
        <v>0</v>
      </c>
    </row>
    <row r="148" spans="49:49" ht="15">
      <c r="AW148" s="155">
        <f t="shared" si="15"/>
        <v>0</v>
      </c>
    </row>
    <row r="149" spans="49:49" ht="15">
      <c r="AW149" s="155">
        <f t="shared" si="15"/>
        <v>0</v>
      </c>
    </row>
    <row r="150" spans="49:49" ht="15">
      <c r="AW150" s="155">
        <f t="shared" si="15"/>
        <v>0</v>
      </c>
    </row>
    <row r="151" spans="49:49" ht="15">
      <c r="AW151" s="155">
        <f t="shared" si="15"/>
        <v>0</v>
      </c>
    </row>
    <row r="152" spans="49:49" ht="15">
      <c r="AW152" s="155">
        <f t="shared" si="15"/>
        <v>0</v>
      </c>
    </row>
    <row r="153" spans="49:49" ht="15">
      <c r="AW153" s="155">
        <f t="shared" si="15"/>
        <v>0</v>
      </c>
    </row>
    <row r="154" spans="49:49" ht="15">
      <c r="AW154" s="155">
        <f t="shared" si="15"/>
        <v>0</v>
      </c>
    </row>
    <row r="155" spans="49:49" ht="15">
      <c r="AW155" s="155">
        <f t="shared" si="15"/>
        <v>0</v>
      </c>
    </row>
    <row r="156" spans="49:49" ht="15">
      <c r="AW156" s="155">
        <f t="shared" si="15"/>
        <v>0</v>
      </c>
    </row>
    <row r="157" spans="49:49" ht="15">
      <c r="AW157" s="155">
        <f t="shared" si="15"/>
        <v>0</v>
      </c>
    </row>
    <row r="158" spans="49:49" ht="15">
      <c r="AW158" s="155">
        <f t="shared" si="15"/>
        <v>0</v>
      </c>
    </row>
    <row r="159" spans="49:49" ht="15">
      <c r="AW159" s="155">
        <f t="shared" si="15"/>
        <v>0</v>
      </c>
    </row>
    <row r="160" spans="49:49" ht="15">
      <c r="AW160" s="155">
        <f t="shared" si="15"/>
        <v>0</v>
      </c>
    </row>
    <row r="161" spans="49:49" ht="15">
      <c r="AW161" s="155">
        <f t="shared" si="15"/>
        <v>0</v>
      </c>
    </row>
    <row r="162" spans="49:49" ht="15">
      <c r="AW162" s="155">
        <f t="shared" si="15"/>
        <v>0</v>
      </c>
    </row>
    <row r="163" spans="49:49" ht="15">
      <c r="AW163" s="155">
        <f t="shared" si="15"/>
        <v>0</v>
      </c>
    </row>
    <row r="164" spans="49:49" ht="15">
      <c r="AW164" s="155">
        <f t="shared" si="15"/>
        <v>0</v>
      </c>
    </row>
    <row r="165" spans="49:49" ht="15">
      <c r="AW165" s="155">
        <f t="shared" si="15"/>
        <v>0</v>
      </c>
    </row>
    <row r="166" spans="49:49" ht="15">
      <c r="AW166" s="155">
        <f t="shared" si="15"/>
        <v>0</v>
      </c>
    </row>
    <row r="167" spans="49:49" ht="15">
      <c r="AW167" s="155">
        <f t="shared" si="15"/>
        <v>0</v>
      </c>
    </row>
    <row r="168" spans="49:49" ht="15">
      <c r="AW168" s="155">
        <f t="shared" si="15"/>
        <v>0</v>
      </c>
    </row>
    <row r="169" spans="49:49" ht="15">
      <c r="AW169" s="155">
        <f t="shared" si="15"/>
        <v>0</v>
      </c>
    </row>
    <row r="170" spans="49:49" ht="15">
      <c r="AW170" s="155">
        <f t="shared" si="15"/>
        <v>0</v>
      </c>
    </row>
    <row r="171" spans="49:49" ht="15">
      <c r="AW171" s="155">
        <f t="shared" si="15"/>
        <v>0</v>
      </c>
    </row>
    <row r="172" spans="49:49" ht="15">
      <c r="AW172" s="155">
        <f t="shared" si="15"/>
        <v>0</v>
      </c>
    </row>
    <row r="173" spans="49:49" ht="15">
      <c r="AW173" s="155">
        <f t="shared" si="15"/>
        <v>0</v>
      </c>
    </row>
    <row r="174" spans="49:49" ht="15">
      <c r="AW174" s="155">
        <f t="shared" si="15"/>
        <v>0</v>
      </c>
    </row>
    <row r="175" spans="49:49" ht="15">
      <c r="AW175" s="155">
        <f t="shared" si="15"/>
        <v>0</v>
      </c>
    </row>
    <row r="176" spans="49:49" ht="15">
      <c r="AW176" s="155">
        <f t="shared" si="15"/>
        <v>0</v>
      </c>
    </row>
    <row r="177" spans="49:49" ht="15">
      <c r="AW177" s="155">
        <f t="shared" si="15"/>
        <v>0</v>
      </c>
    </row>
    <row r="178" spans="49:49" ht="15">
      <c r="AW178" s="155">
        <f t="shared" si="15"/>
        <v>0</v>
      </c>
    </row>
    <row r="179" spans="49:49" ht="15">
      <c r="AW179" s="155">
        <f t="shared" si="15"/>
        <v>0</v>
      </c>
    </row>
    <row r="180" spans="49:49" ht="15">
      <c r="AW180" s="155">
        <f t="shared" si="15"/>
        <v>0</v>
      </c>
    </row>
    <row r="181" spans="49:49" ht="15">
      <c r="AW181" s="155">
        <f t="shared" si="15"/>
        <v>0</v>
      </c>
    </row>
    <row r="182" spans="49:49" ht="15">
      <c r="AW182" s="155">
        <f t="shared" si="15"/>
        <v>0</v>
      </c>
    </row>
    <row r="183" spans="49:49" ht="15">
      <c r="AW183" s="155">
        <f t="shared" si="15"/>
        <v>0</v>
      </c>
    </row>
    <row r="184" spans="49:49" ht="15">
      <c r="AW184" s="155">
        <f t="shared" si="15"/>
        <v>0</v>
      </c>
    </row>
    <row r="185" spans="49:49" ht="15">
      <c r="AW185" s="155">
        <f t="shared" si="15"/>
        <v>0</v>
      </c>
    </row>
    <row r="186" spans="49:49" ht="15">
      <c r="AW186" s="155">
        <f t="shared" ref="AW186:AW249" si="16">LEN(L186)</f>
        <v>0</v>
      </c>
    </row>
    <row r="187" spans="49:49" ht="15">
      <c r="AW187" s="155">
        <f t="shared" si="16"/>
        <v>0</v>
      </c>
    </row>
    <row r="188" spans="49:49" ht="15">
      <c r="AW188" s="155">
        <f t="shared" si="16"/>
        <v>0</v>
      </c>
    </row>
    <row r="189" spans="49:49" ht="15">
      <c r="AW189" s="155">
        <f t="shared" si="16"/>
        <v>0</v>
      </c>
    </row>
    <row r="190" spans="49:49" ht="15">
      <c r="AW190" s="155">
        <f t="shared" si="16"/>
        <v>0</v>
      </c>
    </row>
    <row r="191" spans="49:49" ht="15">
      <c r="AW191" s="155">
        <f t="shared" si="16"/>
        <v>0</v>
      </c>
    </row>
    <row r="192" spans="49:49" ht="15">
      <c r="AW192" s="155">
        <f t="shared" si="16"/>
        <v>0</v>
      </c>
    </row>
    <row r="193" spans="49:49" ht="15">
      <c r="AW193" s="155">
        <f t="shared" si="16"/>
        <v>0</v>
      </c>
    </row>
    <row r="194" spans="49:49" ht="15">
      <c r="AW194" s="155">
        <f t="shared" si="16"/>
        <v>0</v>
      </c>
    </row>
    <row r="195" spans="49:49" ht="15">
      <c r="AW195" s="155">
        <f t="shared" si="16"/>
        <v>0</v>
      </c>
    </row>
    <row r="196" spans="49:49" ht="15">
      <c r="AW196" s="155">
        <f t="shared" si="16"/>
        <v>0</v>
      </c>
    </row>
    <row r="197" spans="49:49" ht="15">
      <c r="AW197" s="155">
        <f t="shared" si="16"/>
        <v>0</v>
      </c>
    </row>
    <row r="198" spans="49:49" ht="15">
      <c r="AW198" s="155">
        <f t="shared" si="16"/>
        <v>0</v>
      </c>
    </row>
    <row r="199" spans="49:49" ht="15">
      <c r="AW199" s="155">
        <f t="shared" si="16"/>
        <v>0</v>
      </c>
    </row>
    <row r="200" spans="49:49" ht="15">
      <c r="AW200" s="155">
        <f t="shared" si="16"/>
        <v>0</v>
      </c>
    </row>
    <row r="201" spans="49:49" ht="15">
      <c r="AW201" s="155">
        <f t="shared" si="16"/>
        <v>0</v>
      </c>
    </row>
    <row r="202" spans="49:49" ht="15">
      <c r="AW202" s="155">
        <f t="shared" si="16"/>
        <v>0</v>
      </c>
    </row>
    <row r="203" spans="49:49" ht="15">
      <c r="AW203" s="155">
        <f t="shared" si="16"/>
        <v>0</v>
      </c>
    </row>
    <row r="204" spans="49:49" ht="15">
      <c r="AW204" s="155">
        <f t="shared" si="16"/>
        <v>0</v>
      </c>
    </row>
    <row r="205" spans="49:49" ht="15">
      <c r="AW205" s="155">
        <f t="shared" si="16"/>
        <v>0</v>
      </c>
    </row>
    <row r="206" spans="49:49" ht="15">
      <c r="AW206" s="155">
        <f t="shared" si="16"/>
        <v>0</v>
      </c>
    </row>
    <row r="207" spans="49:49" ht="15">
      <c r="AW207" s="155">
        <f t="shared" si="16"/>
        <v>0</v>
      </c>
    </row>
    <row r="208" spans="49:49" ht="15">
      <c r="AW208" s="155">
        <f t="shared" si="16"/>
        <v>0</v>
      </c>
    </row>
    <row r="209" spans="49:49" ht="15">
      <c r="AW209" s="155">
        <f t="shared" si="16"/>
        <v>0</v>
      </c>
    </row>
    <row r="210" spans="49:49" ht="15">
      <c r="AW210" s="155">
        <f t="shared" si="16"/>
        <v>0</v>
      </c>
    </row>
    <row r="211" spans="49:49" ht="15">
      <c r="AW211" s="155">
        <f t="shared" si="16"/>
        <v>0</v>
      </c>
    </row>
    <row r="212" spans="49:49" ht="15">
      <c r="AW212" s="155">
        <f t="shared" si="16"/>
        <v>0</v>
      </c>
    </row>
    <row r="213" spans="49:49" ht="15">
      <c r="AW213" s="155">
        <f t="shared" si="16"/>
        <v>0</v>
      </c>
    </row>
    <row r="214" spans="49:49" ht="15">
      <c r="AW214" s="155">
        <f t="shared" si="16"/>
        <v>0</v>
      </c>
    </row>
    <row r="215" spans="49:49" ht="15">
      <c r="AW215" s="155">
        <f t="shared" si="16"/>
        <v>0</v>
      </c>
    </row>
    <row r="216" spans="49:49" ht="15">
      <c r="AW216" s="155">
        <f t="shared" si="16"/>
        <v>0</v>
      </c>
    </row>
    <row r="217" spans="49:49" ht="15">
      <c r="AW217" s="155">
        <f t="shared" si="16"/>
        <v>0</v>
      </c>
    </row>
    <row r="218" spans="49:49" ht="15">
      <c r="AW218" s="155">
        <f t="shared" si="16"/>
        <v>0</v>
      </c>
    </row>
    <row r="219" spans="49:49" ht="15">
      <c r="AW219" s="155">
        <f t="shared" si="16"/>
        <v>0</v>
      </c>
    </row>
    <row r="220" spans="49:49" ht="15">
      <c r="AW220" s="155">
        <f t="shared" si="16"/>
        <v>0</v>
      </c>
    </row>
    <row r="221" spans="49:49" ht="15">
      <c r="AW221" s="155">
        <f t="shared" si="16"/>
        <v>0</v>
      </c>
    </row>
    <row r="222" spans="49:49" ht="15">
      <c r="AW222" s="155">
        <f t="shared" si="16"/>
        <v>0</v>
      </c>
    </row>
    <row r="223" spans="49:49" ht="15">
      <c r="AW223" s="155">
        <f t="shared" si="16"/>
        <v>0</v>
      </c>
    </row>
    <row r="224" spans="49:49" ht="15">
      <c r="AW224" s="155">
        <f t="shared" si="16"/>
        <v>0</v>
      </c>
    </row>
    <row r="225" spans="49:49" ht="15">
      <c r="AW225" s="155">
        <f t="shared" si="16"/>
        <v>0</v>
      </c>
    </row>
    <row r="226" spans="49:49" ht="15">
      <c r="AW226" s="155">
        <f t="shared" si="16"/>
        <v>0</v>
      </c>
    </row>
    <row r="227" spans="49:49" ht="15">
      <c r="AW227" s="155">
        <f t="shared" si="16"/>
        <v>0</v>
      </c>
    </row>
    <row r="228" spans="49:49" ht="15">
      <c r="AW228" s="155">
        <f t="shared" si="16"/>
        <v>0</v>
      </c>
    </row>
    <row r="229" spans="49:49" ht="15">
      <c r="AW229" s="155">
        <f t="shared" si="16"/>
        <v>0</v>
      </c>
    </row>
    <row r="230" spans="49:49" ht="15">
      <c r="AW230" s="155">
        <f t="shared" si="16"/>
        <v>0</v>
      </c>
    </row>
    <row r="231" spans="49:49" ht="15">
      <c r="AW231" s="155">
        <f t="shared" si="16"/>
        <v>0</v>
      </c>
    </row>
    <row r="232" spans="49:49" ht="15">
      <c r="AW232" s="155">
        <f t="shared" si="16"/>
        <v>0</v>
      </c>
    </row>
    <row r="233" spans="49:49" ht="15">
      <c r="AW233" s="155">
        <f t="shared" si="16"/>
        <v>0</v>
      </c>
    </row>
    <row r="234" spans="49:49" ht="15">
      <c r="AW234" s="155">
        <f t="shared" si="16"/>
        <v>0</v>
      </c>
    </row>
    <row r="235" spans="49:49" ht="15">
      <c r="AW235" s="155">
        <f t="shared" si="16"/>
        <v>0</v>
      </c>
    </row>
    <row r="236" spans="49:49" ht="15">
      <c r="AW236" s="155">
        <f t="shared" si="16"/>
        <v>0</v>
      </c>
    </row>
    <row r="237" spans="49:49" ht="15">
      <c r="AW237" s="155">
        <f t="shared" si="16"/>
        <v>0</v>
      </c>
    </row>
    <row r="238" spans="49:49" ht="15">
      <c r="AW238" s="155">
        <f t="shared" si="16"/>
        <v>0</v>
      </c>
    </row>
    <row r="239" spans="49:49" ht="15">
      <c r="AW239" s="155">
        <f t="shared" si="16"/>
        <v>0</v>
      </c>
    </row>
    <row r="240" spans="49:49" ht="15">
      <c r="AW240" s="155">
        <f t="shared" si="16"/>
        <v>0</v>
      </c>
    </row>
    <row r="241" spans="49:49" ht="15">
      <c r="AW241" s="155">
        <f t="shared" si="16"/>
        <v>0</v>
      </c>
    </row>
    <row r="242" spans="49:49" ht="15">
      <c r="AW242" s="155">
        <f t="shared" si="16"/>
        <v>0</v>
      </c>
    </row>
    <row r="243" spans="49:49" ht="15">
      <c r="AW243" s="155">
        <f t="shared" si="16"/>
        <v>0</v>
      </c>
    </row>
    <row r="244" spans="49:49" ht="15">
      <c r="AW244" s="155">
        <f t="shared" si="16"/>
        <v>0</v>
      </c>
    </row>
    <row r="245" spans="49:49" ht="15">
      <c r="AW245" s="155">
        <f t="shared" si="16"/>
        <v>0</v>
      </c>
    </row>
    <row r="246" spans="49:49" ht="15">
      <c r="AW246" s="155">
        <f t="shared" si="16"/>
        <v>0</v>
      </c>
    </row>
    <row r="247" spans="49:49" ht="15">
      <c r="AW247" s="155">
        <f t="shared" si="16"/>
        <v>0</v>
      </c>
    </row>
    <row r="248" spans="49:49" ht="15">
      <c r="AW248" s="155">
        <f t="shared" si="16"/>
        <v>0</v>
      </c>
    </row>
    <row r="249" spans="49:49" ht="15">
      <c r="AW249" s="155">
        <f t="shared" si="16"/>
        <v>0</v>
      </c>
    </row>
    <row r="250" spans="49:49" ht="15">
      <c r="AW250" s="155">
        <f t="shared" ref="AW250:AW282" si="17">LEN(L250)</f>
        <v>0</v>
      </c>
    </row>
    <row r="251" spans="49:49" ht="15">
      <c r="AW251" s="155">
        <f t="shared" si="17"/>
        <v>0</v>
      </c>
    </row>
    <row r="252" spans="49:49" ht="15">
      <c r="AW252" s="155">
        <f t="shared" si="17"/>
        <v>0</v>
      </c>
    </row>
    <row r="253" spans="49:49" ht="15">
      <c r="AW253" s="155">
        <f t="shared" si="17"/>
        <v>0</v>
      </c>
    </row>
    <row r="254" spans="49:49" ht="15">
      <c r="AW254" s="155">
        <f t="shared" si="17"/>
        <v>0</v>
      </c>
    </row>
    <row r="255" spans="49:49" ht="15">
      <c r="AW255" s="155">
        <f t="shared" si="17"/>
        <v>0</v>
      </c>
    </row>
    <row r="256" spans="49:49" ht="15">
      <c r="AW256" s="155">
        <f t="shared" si="17"/>
        <v>0</v>
      </c>
    </row>
    <row r="257" spans="49:49" ht="15">
      <c r="AW257" s="155">
        <f t="shared" si="17"/>
        <v>0</v>
      </c>
    </row>
    <row r="258" spans="49:49" ht="15">
      <c r="AW258" s="155">
        <f t="shared" si="17"/>
        <v>0</v>
      </c>
    </row>
    <row r="259" spans="49:49" ht="15">
      <c r="AW259" s="155">
        <f t="shared" si="17"/>
        <v>0</v>
      </c>
    </row>
    <row r="260" spans="49:49" ht="15">
      <c r="AW260" s="155">
        <f t="shared" si="17"/>
        <v>0</v>
      </c>
    </row>
    <row r="261" spans="49:49" ht="15">
      <c r="AW261" s="155">
        <f t="shared" si="17"/>
        <v>0</v>
      </c>
    </row>
    <row r="262" spans="49:49" ht="15">
      <c r="AW262" s="155">
        <f t="shared" si="17"/>
        <v>0</v>
      </c>
    </row>
    <row r="263" spans="49:49" ht="15">
      <c r="AW263" s="155">
        <f t="shared" si="17"/>
        <v>0</v>
      </c>
    </row>
    <row r="264" spans="49:49" ht="15">
      <c r="AW264" s="155">
        <f t="shared" si="17"/>
        <v>0</v>
      </c>
    </row>
    <row r="265" spans="49:49" ht="15">
      <c r="AW265" s="155">
        <f t="shared" si="17"/>
        <v>0</v>
      </c>
    </row>
    <row r="266" spans="49:49" ht="15">
      <c r="AW266" s="155">
        <f t="shared" si="17"/>
        <v>0</v>
      </c>
    </row>
    <row r="267" spans="49:49" ht="15">
      <c r="AW267" s="155">
        <f t="shared" si="17"/>
        <v>0</v>
      </c>
    </row>
    <row r="268" spans="49:49" ht="15">
      <c r="AW268" s="155">
        <f t="shared" si="17"/>
        <v>0</v>
      </c>
    </row>
    <row r="269" spans="49:49" ht="15">
      <c r="AW269" s="155">
        <f t="shared" si="17"/>
        <v>0</v>
      </c>
    </row>
    <row r="270" spans="49:49" ht="15">
      <c r="AW270" s="155">
        <f t="shared" si="17"/>
        <v>0</v>
      </c>
    </row>
    <row r="271" spans="49:49" ht="15">
      <c r="AW271" s="155">
        <f t="shared" si="17"/>
        <v>0</v>
      </c>
    </row>
    <row r="272" spans="49:49" ht="15">
      <c r="AW272" s="155">
        <f t="shared" si="17"/>
        <v>0</v>
      </c>
    </row>
    <row r="273" spans="49:49" ht="15">
      <c r="AW273" s="155">
        <f t="shared" si="17"/>
        <v>0</v>
      </c>
    </row>
    <row r="274" spans="49:49" ht="15">
      <c r="AW274" s="155">
        <f t="shared" si="17"/>
        <v>0</v>
      </c>
    </row>
    <row r="275" spans="49:49" ht="15">
      <c r="AW275" s="155">
        <f t="shared" si="17"/>
        <v>0</v>
      </c>
    </row>
    <row r="276" spans="49:49" ht="15">
      <c r="AW276" s="155">
        <f t="shared" si="17"/>
        <v>0</v>
      </c>
    </row>
    <row r="277" spans="49:49" ht="15">
      <c r="AW277" s="155">
        <f t="shared" si="17"/>
        <v>0</v>
      </c>
    </row>
    <row r="278" spans="49:49" ht="15">
      <c r="AW278" s="155">
        <f t="shared" si="17"/>
        <v>0</v>
      </c>
    </row>
    <row r="279" spans="49:49" ht="15">
      <c r="AW279" s="155">
        <f t="shared" si="17"/>
        <v>0</v>
      </c>
    </row>
    <row r="280" spans="49:49" ht="15">
      <c r="AW280" s="155">
        <f t="shared" si="17"/>
        <v>0</v>
      </c>
    </row>
    <row r="281" spans="49:49" ht="15">
      <c r="AW281" s="155">
        <f t="shared" si="17"/>
        <v>0</v>
      </c>
    </row>
    <row r="282" spans="49:49" ht="15">
      <c r="AW282" s="155">
        <f t="shared" si="17"/>
        <v>0</v>
      </c>
    </row>
  </sheetData>
  <mergeCells count="57">
    <mergeCell ref="BT5:BW5"/>
    <mergeCell ref="BX5:BY5"/>
    <mergeCell ref="BZ5:CB5"/>
    <mergeCell ref="CC5:CD5"/>
    <mergeCell ref="B7:AV7"/>
    <mergeCell ref="AU5:AU6"/>
    <mergeCell ref="AV5:AV6"/>
    <mergeCell ref="AX5:AX6"/>
    <mergeCell ref="AZ5:AZ6"/>
    <mergeCell ref="BA5:BE5"/>
    <mergeCell ref="BF5:BS5"/>
    <mergeCell ref="AO5:AO6"/>
    <mergeCell ref="AP5:AP6"/>
    <mergeCell ref="AQ5:AQ6"/>
    <mergeCell ref="AR5:AR6"/>
    <mergeCell ref="AS5:AS6"/>
    <mergeCell ref="AT5:AT6"/>
    <mergeCell ref="AG5:AG6"/>
    <mergeCell ref="AH5:AH6"/>
    <mergeCell ref="AI5:AI6"/>
    <mergeCell ref="AJ5:AJ6"/>
    <mergeCell ref="AK5:AK6"/>
    <mergeCell ref="AL5:AL6"/>
    <mergeCell ref="S5:S6"/>
    <mergeCell ref="AF5:AF6"/>
    <mergeCell ref="U5:U6"/>
    <mergeCell ref="V5:V6"/>
    <mergeCell ref="W5:W6"/>
    <mergeCell ref="X5:X6"/>
    <mergeCell ref="Y5:Y6"/>
    <mergeCell ref="Z5:Z6"/>
    <mergeCell ref="AA5:AA6"/>
    <mergeCell ref="AB5:AB6"/>
    <mergeCell ref="AC5:AC6"/>
    <mergeCell ref="AD5:AD6"/>
    <mergeCell ref="AE5:AE6"/>
    <mergeCell ref="N5:N6"/>
    <mergeCell ref="O5:O6"/>
    <mergeCell ref="P5:P6"/>
    <mergeCell ref="Q5:Q6"/>
    <mergeCell ref="R5:R6"/>
    <mergeCell ref="B4:C4"/>
    <mergeCell ref="W4:AD4"/>
    <mergeCell ref="AE4:AL4"/>
    <mergeCell ref="AO4:AU4"/>
    <mergeCell ref="B5:B6"/>
    <mergeCell ref="C5:C6"/>
    <mergeCell ref="D5:D6"/>
    <mergeCell ref="E5:E6"/>
    <mergeCell ref="F5:F6"/>
    <mergeCell ref="G5:G6"/>
    <mergeCell ref="T5:T6"/>
    <mergeCell ref="H5:H6"/>
    <mergeCell ref="I5:I6"/>
    <mergeCell ref="J5:J6"/>
    <mergeCell ref="K5:K6"/>
    <mergeCell ref="L5:L6"/>
  </mergeCells>
  <conditionalFormatting sqref="AW1:AW7 AW32 AW9:AW13 AW25:AW29 AW34:AW38 AW45:AW51 AW55:AW65193 AW40 AW42:AW43">
    <cfRule type="cellIs" dxfId="17" priority="31" stopIfTrue="1" operator="greaterThan">
      <formula>42</formula>
    </cfRule>
  </conditionalFormatting>
  <conditionalFormatting sqref="AW30">
    <cfRule type="cellIs" dxfId="16" priority="19" stopIfTrue="1" operator="greaterThan">
      <formula>42</formula>
    </cfRule>
  </conditionalFormatting>
  <conditionalFormatting sqref="AW44">
    <cfRule type="cellIs" dxfId="15" priority="18" stopIfTrue="1" operator="greaterThan">
      <formula>42</formula>
    </cfRule>
  </conditionalFormatting>
  <conditionalFormatting sqref="AW52:AW54">
    <cfRule type="cellIs" dxfId="14" priority="17" stopIfTrue="1" operator="greaterThan">
      <formula>42</formula>
    </cfRule>
  </conditionalFormatting>
  <conditionalFormatting sqref="AW8">
    <cfRule type="cellIs" dxfId="13" priority="16" stopIfTrue="1" operator="greaterThan">
      <formula>42</formula>
    </cfRule>
  </conditionalFormatting>
  <conditionalFormatting sqref="AW14:AW16">
    <cfRule type="cellIs" dxfId="12" priority="13" stopIfTrue="1" operator="greaterThan">
      <formula>42</formula>
    </cfRule>
  </conditionalFormatting>
  <conditionalFormatting sqref="AW17:AW19">
    <cfRule type="cellIs" dxfId="11" priority="12" stopIfTrue="1" operator="greaterThan">
      <formula>42</formula>
    </cfRule>
  </conditionalFormatting>
  <conditionalFormatting sqref="AW20">
    <cfRule type="cellIs" dxfId="10" priority="11" stopIfTrue="1" operator="greaterThan">
      <formula>42</formula>
    </cfRule>
  </conditionalFormatting>
  <conditionalFormatting sqref="AW21">
    <cfRule type="cellIs" dxfId="9" priority="10" stopIfTrue="1" operator="greaterThan">
      <formula>42</formula>
    </cfRule>
  </conditionalFormatting>
  <conditionalFormatting sqref="AW24">
    <cfRule type="cellIs" dxfId="8" priority="9" stopIfTrue="1" operator="greaterThan">
      <formula>42</formula>
    </cfRule>
  </conditionalFormatting>
  <conditionalFormatting sqref="AW23">
    <cfRule type="cellIs" dxfId="7" priority="8" stopIfTrue="1" operator="greaterThan">
      <formula>42</formula>
    </cfRule>
  </conditionalFormatting>
  <conditionalFormatting sqref="AW22">
    <cfRule type="cellIs" dxfId="6" priority="7" stopIfTrue="1" operator="greaterThan">
      <formula>42</formula>
    </cfRule>
  </conditionalFormatting>
  <conditionalFormatting sqref="AW22">
    <cfRule type="cellIs" dxfId="5" priority="6" stopIfTrue="1" operator="greaterThan">
      <formula>42</formula>
    </cfRule>
  </conditionalFormatting>
  <conditionalFormatting sqref="AW22">
    <cfRule type="cellIs" dxfId="4" priority="5" stopIfTrue="1" operator="greaterThan">
      <formula>42</formula>
    </cfRule>
  </conditionalFormatting>
  <conditionalFormatting sqref="AW33">
    <cfRule type="cellIs" dxfId="3" priority="4" stopIfTrue="1" operator="greaterThan">
      <formula>42</formula>
    </cfRule>
  </conditionalFormatting>
  <conditionalFormatting sqref="AW31">
    <cfRule type="cellIs" dxfId="2" priority="3" stopIfTrue="1" operator="greaterThan">
      <formula>42</formula>
    </cfRule>
  </conditionalFormatting>
  <conditionalFormatting sqref="AW39">
    <cfRule type="cellIs" dxfId="1" priority="2" stopIfTrue="1" operator="greaterThan">
      <formula>42</formula>
    </cfRule>
  </conditionalFormatting>
  <conditionalFormatting sqref="AW41">
    <cfRule type="cellIs" dxfId="0" priority="1" stopIfTrue="1" operator="greaterThan">
      <formula>42</formula>
    </cfRule>
  </conditionalFormatting>
  <pageMargins left="0.78740157499999996" right="0.78740157499999996" top="0.984251969" bottom="0.984251969" header="0.49212598499999999" footer="0.49212598499999999"/>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19"/>
  <dimension ref="A1:CG198"/>
  <sheetViews>
    <sheetView showRuler="0" topLeftCell="A4" zoomScale="70" zoomScaleNormal="70" workbookViewId="0">
      <pane xSplit="1" ySplit="3" topLeftCell="C7" activePane="bottomRight" state="frozen"/>
      <selection activeCell="A4" sqref="A4"/>
      <selection pane="topRight" activeCell="B4" sqref="B4"/>
      <selection pane="bottomLeft" activeCell="A7" sqref="A7"/>
      <selection pane="bottomRight" activeCell="J16" sqref="J16"/>
    </sheetView>
  </sheetViews>
  <sheetFormatPr defaultColWidth="8.88671875" defaultRowHeight="13.2"/>
  <cols>
    <col min="1" max="1" width="5.6640625" customWidth="1"/>
    <col min="2" max="2" width="46.44140625" customWidth="1"/>
    <col min="3" max="3" width="8.6640625" customWidth="1"/>
    <col min="5" max="7" width="10" customWidth="1"/>
    <col min="10" max="10" width="36.6640625" customWidth="1"/>
    <col min="11" max="11" width="18.33203125" customWidth="1"/>
    <col min="12" max="12" width="30.6640625" customWidth="1"/>
    <col min="13" max="15" width="5.6640625" customWidth="1"/>
    <col min="16" max="18" width="4.6640625" customWidth="1"/>
    <col min="19" max="20" width="32.6640625" customWidth="1"/>
    <col min="21" max="21" width="18.33203125" customWidth="1"/>
    <col min="22" max="23" width="5.6640625" customWidth="1"/>
    <col min="24" max="28" width="4.6640625" customWidth="1"/>
    <col min="29" max="29" width="18.33203125" customWidth="1"/>
    <col min="30" max="31" width="5.6640625" customWidth="1"/>
    <col min="32" max="33" width="4.6640625" customWidth="1"/>
    <col min="34" max="34" width="33.6640625" customWidth="1"/>
    <col min="36" max="36" width="24.44140625" customWidth="1"/>
    <col min="38" max="38" width="30.6640625" customWidth="1"/>
    <col min="46" max="46" width="30.6640625" customWidth="1"/>
  </cols>
  <sheetData>
    <row r="1" spans="1:85" ht="13.8" hidden="1" thickBot="1"/>
    <row r="2" spans="1:85" ht="13.8" hidden="1" thickBot="1"/>
    <row r="3" spans="1:85" s="1" customFormat="1" ht="13.8" hidden="1" thickBot="1">
      <c r="C3" s="2"/>
      <c r="E3" s="3"/>
      <c r="F3" s="3"/>
      <c r="G3" s="3"/>
      <c r="H3" s="3"/>
      <c r="I3" s="3"/>
      <c r="J3" s="3"/>
      <c r="K3" s="3"/>
      <c r="L3" s="3"/>
      <c r="M3" s="3"/>
      <c r="N3" s="3"/>
      <c r="O3" s="3"/>
      <c r="P3" s="3"/>
      <c r="Q3" s="3"/>
      <c r="R3" s="3"/>
      <c r="S3" s="3"/>
      <c r="T3" s="3"/>
      <c r="U3" s="3"/>
      <c r="V3" s="4"/>
      <c r="W3" s="5"/>
      <c r="X3" s="5"/>
      <c r="Y3" s="3"/>
      <c r="Z3" s="3"/>
      <c r="AA3" s="3"/>
      <c r="AB3" s="3"/>
      <c r="AC3" s="3"/>
      <c r="AD3" s="4"/>
      <c r="AE3" s="5"/>
      <c r="AF3" s="5"/>
      <c r="AG3" s="3"/>
      <c r="AH3" s="3"/>
      <c r="AI3" s="2"/>
      <c r="AJ3" s="2"/>
      <c r="AK3" s="2"/>
      <c r="AL3" s="2"/>
      <c r="AM3" s="2"/>
      <c r="AN3" s="2"/>
      <c r="AO3" s="2"/>
    </row>
    <row r="4" spans="1:85" s="1" customFormat="1" ht="16.5" customHeight="1" thickBot="1">
      <c r="A4" s="21"/>
      <c r="B4" s="679" t="s">
        <v>462</v>
      </c>
      <c r="C4" s="680"/>
      <c r="D4" s="22" t="s">
        <v>463</v>
      </c>
      <c r="E4" s="23"/>
      <c r="F4" s="23"/>
      <c r="G4" s="23"/>
      <c r="H4" s="23"/>
      <c r="I4" s="23"/>
      <c r="J4" s="24" t="s">
        <v>865</v>
      </c>
      <c r="K4" s="25"/>
      <c r="L4" s="25"/>
      <c r="M4" s="25"/>
      <c r="N4" s="25"/>
      <c r="O4" s="25"/>
      <c r="P4" s="25"/>
      <c r="Q4" s="25"/>
      <c r="R4" s="25"/>
      <c r="S4" s="25"/>
      <c r="T4" s="25"/>
      <c r="U4" s="666" t="s">
        <v>465</v>
      </c>
      <c r="V4" s="667"/>
      <c r="W4" s="667"/>
      <c r="X4" s="667"/>
      <c r="Y4" s="667"/>
      <c r="Z4" s="667"/>
      <c r="AA4" s="667"/>
      <c r="AB4" s="668"/>
      <c r="AC4" s="669" t="s">
        <v>466</v>
      </c>
      <c r="AD4" s="639"/>
      <c r="AE4" s="639"/>
      <c r="AF4" s="639"/>
      <c r="AG4" s="639"/>
      <c r="AH4" s="639"/>
      <c r="AI4" s="639"/>
      <c r="AJ4" s="639"/>
      <c r="AK4" s="26" t="s">
        <v>467</v>
      </c>
      <c r="AL4" s="27"/>
      <c r="AM4" s="661" t="s">
        <v>468</v>
      </c>
      <c r="AN4" s="662"/>
      <c r="AO4" s="662"/>
      <c r="AP4" s="662"/>
      <c r="AQ4" s="662"/>
      <c r="AR4" s="662"/>
      <c r="AS4" s="663"/>
      <c r="AT4" s="28"/>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row>
    <row r="5" spans="1:85" s="1" customFormat="1" ht="24" customHeight="1" thickBot="1">
      <c r="A5" s="29"/>
      <c r="B5" s="654" t="s">
        <v>469</v>
      </c>
      <c r="C5" s="654" t="s">
        <v>470</v>
      </c>
      <c r="D5" s="637" t="s">
        <v>471</v>
      </c>
      <c r="E5" s="637" t="s">
        <v>472</v>
      </c>
      <c r="F5" s="390"/>
      <c r="G5" s="390"/>
      <c r="H5" s="637" t="s">
        <v>475</v>
      </c>
      <c r="I5" s="646" t="s">
        <v>476</v>
      </c>
      <c r="J5" s="648" t="s">
        <v>477</v>
      </c>
      <c r="K5" s="648" t="s">
        <v>478</v>
      </c>
      <c r="L5" s="648" t="s">
        <v>479</v>
      </c>
      <c r="M5" s="648" t="s">
        <v>480</v>
      </c>
      <c r="N5" s="648" t="s">
        <v>481</v>
      </c>
      <c r="O5" s="648" t="s">
        <v>482</v>
      </c>
      <c r="P5" s="648" t="s">
        <v>483</v>
      </c>
      <c r="Q5" s="648" t="s">
        <v>484</v>
      </c>
      <c r="R5" s="648" t="s">
        <v>485</v>
      </c>
      <c r="S5" s="648" t="s">
        <v>487</v>
      </c>
      <c r="T5" s="648" t="s">
        <v>488</v>
      </c>
      <c r="U5" s="682" t="s">
        <v>478</v>
      </c>
      <c r="V5" s="682" t="s">
        <v>489</v>
      </c>
      <c r="W5" s="682" t="s">
        <v>482</v>
      </c>
      <c r="X5" s="681" t="s">
        <v>490</v>
      </c>
      <c r="Y5" s="682" t="s">
        <v>485</v>
      </c>
      <c r="Z5" s="682" t="s">
        <v>487</v>
      </c>
      <c r="AA5" s="682" t="s">
        <v>866</v>
      </c>
      <c r="AB5" s="682" t="s">
        <v>488</v>
      </c>
      <c r="AC5" s="675" t="s">
        <v>478</v>
      </c>
      <c r="AD5" s="675" t="s">
        <v>489</v>
      </c>
      <c r="AE5" s="675" t="s">
        <v>482</v>
      </c>
      <c r="AF5" s="637" t="s">
        <v>490</v>
      </c>
      <c r="AG5" s="677" t="s">
        <v>485</v>
      </c>
      <c r="AH5" s="637" t="s">
        <v>487</v>
      </c>
      <c r="AI5" s="637" t="s">
        <v>866</v>
      </c>
      <c r="AJ5" s="637" t="s">
        <v>488</v>
      </c>
      <c r="AK5" s="30" t="s">
        <v>867</v>
      </c>
      <c r="AL5" s="31"/>
      <c r="AM5" s="654" t="s">
        <v>493</v>
      </c>
      <c r="AN5" s="654" t="s">
        <v>494</v>
      </c>
      <c r="AO5" s="654" t="s">
        <v>495</v>
      </c>
      <c r="AP5" s="654" t="s">
        <v>496</v>
      </c>
      <c r="AQ5" s="654" t="s">
        <v>497</v>
      </c>
      <c r="AR5" s="654" t="s">
        <v>498</v>
      </c>
      <c r="AS5" s="674" t="s">
        <v>499</v>
      </c>
      <c r="AT5" s="643" t="s">
        <v>500</v>
      </c>
      <c r="AV5" s="645"/>
      <c r="AW5" s="393"/>
      <c r="AX5" s="656"/>
      <c r="AY5" s="642"/>
      <c r="AZ5" s="642"/>
      <c r="BA5" s="642"/>
      <c r="BB5" s="642"/>
      <c r="BC5" s="642"/>
      <c r="BD5" s="652"/>
      <c r="BE5" s="652"/>
      <c r="BF5" s="652"/>
      <c r="BG5" s="652"/>
      <c r="BH5" s="652"/>
      <c r="BI5" s="652"/>
      <c r="BJ5" s="652"/>
      <c r="BK5" s="652"/>
      <c r="BL5" s="652"/>
      <c r="BM5" s="652"/>
      <c r="BN5" s="652"/>
      <c r="BO5" s="652"/>
      <c r="BP5" s="652"/>
      <c r="BQ5" s="652"/>
      <c r="BR5" s="653"/>
      <c r="BS5" s="653"/>
      <c r="BT5" s="653"/>
      <c r="BU5" s="653"/>
      <c r="BV5" s="651"/>
      <c r="BW5" s="651"/>
      <c r="BX5" s="657"/>
      <c r="BY5" s="657"/>
      <c r="BZ5" s="657"/>
      <c r="CA5" s="650"/>
      <c r="CB5" s="650"/>
      <c r="CC5" s="6"/>
      <c r="CD5" s="6"/>
      <c r="CE5" s="6"/>
      <c r="CF5" s="6"/>
    </row>
    <row r="6" spans="1:85" s="7" customFormat="1" ht="109.5" customHeight="1" thickBot="1">
      <c r="A6" s="58" t="s">
        <v>501</v>
      </c>
      <c r="B6" s="655"/>
      <c r="C6" s="655"/>
      <c r="D6" s="638"/>
      <c r="E6" s="638"/>
      <c r="F6" s="396" t="s">
        <v>473</v>
      </c>
      <c r="G6" s="396" t="s">
        <v>474</v>
      </c>
      <c r="H6" s="638"/>
      <c r="I6" s="647"/>
      <c r="J6" s="649"/>
      <c r="K6" s="649"/>
      <c r="L6" s="649"/>
      <c r="M6" s="649"/>
      <c r="N6" s="649"/>
      <c r="O6" s="649"/>
      <c r="P6" s="649"/>
      <c r="Q6" s="649"/>
      <c r="R6" s="649"/>
      <c r="S6" s="649"/>
      <c r="T6" s="649"/>
      <c r="U6" s="682"/>
      <c r="V6" s="682"/>
      <c r="W6" s="682"/>
      <c r="X6" s="681"/>
      <c r="Y6" s="682"/>
      <c r="Z6" s="682"/>
      <c r="AA6" s="682"/>
      <c r="AB6" s="682"/>
      <c r="AC6" s="676"/>
      <c r="AD6" s="676"/>
      <c r="AE6" s="676"/>
      <c r="AF6" s="638"/>
      <c r="AG6" s="678"/>
      <c r="AH6" s="638"/>
      <c r="AI6" s="638"/>
      <c r="AJ6" s="638"/>
      <c r="AK6" s="32" t="s">
        <v>502</v>
      </c>
      <c r="AL6" s="32" t="s">
        <v>479</v>
      </c>
      <c r="AM6" s="655"/>
      <c r="AN6" s="655"/>
      <c r="AO6" s="655"/>
      <c r="AP6" s="655"/>
      <c r="AQ6" s="655"/>
      <c r="AR6" s="655"/>
      <c r="AS6" s="665"/>
      <c r="AT6" s="644"/>
      <c r="AV6" s="645"/>
      <c r="AW6" s="395"/>
      <c r="AX6" s="656"/>
      <c r="AY6" s="392"/>
      <c r="AZ6" s="392"/>
      <c r="BA6" s="392"/>
      <c r="BB6" s="392"/>
      <c r="BC6" s="392"/>
      <c r="BD6" s="394"/>
      <c r="BE6" s="394"/>
      <c r="BF6" s="394"/>
      <c r="BG6" s="394"/>
      <c r="BH6" s="394"/>
      <c r="BI6" s="394"/>
      <c r="BJ6" s="394"/>
      <c r="BK6" s="394"/>
      <c r="BL6" s="394"/>
      <c r="BM6" s="394"/>
      <c r="BN6" s="394"/>
      <c r="BO6" s="394"/>
      <c r="BP6" s="394"/>
      <c r="BQ6" s="394"/>
      <c r="BR6" s="8"/>
      <c r="BS6" s="8"/>
      <c r="BT6" s="8"/>
      <c r="BU6" s="8"/>
      <c r="BV6" s="9"/>
      <c r="BW6" s="9"/>
      <c r="BX6" s="10"/>
      <c r="BY6" s="10"/>
      <c r="BZ6" s="10"/>
      <c r="CA6" s="11"/>
      <c r="CB6" s="11"/>
      <c r="CC6" s="6"/>
      <c r="CD6" s="6"/>
      <c r="CE6" s="6"/>
      <c r="CF6" s="6"/>
    </row>
    <row r="7" spans="1:85" s="12" customFormat="1" ht="15">
      <c r="A7" s="13">
        <f>ROW() - 6</f>
        <v>1</v>
      </c>
      <c r="B7" s="33"/>
      <c r="C7" s="34"/>
      <c r="D7" s="33"/>
      <c r="E7" s="33"/>
      <c r="F7" s="33"/>
      <c r="G7" s="33"/>
      <c r="H7" s="402"/>
      <c r="I7" s="404"/>
      <c r="J7" s="397"/>
      <c r="K7" s="35"/>
      <c r="L7" s="397"/>
      <c r="M7" s="404"/>
      <c r="N7" s="404"/>
      <c r="O7" s="404"/>
      <c r="P7" s="404"/>
      <c r="Q7" s="404"/>
      <c r="R7" s="404"/>
      <c r="S7" s="404"/>
      <c r="T7" s="404"/>
      <c r="U7" s="35"/>
      <c r="V7" s="402"/>
      <c r="W7" s="402"/>
      <c r="X7" s="402"/>
      <c r="Y7" s="402"/>
      <c r="Z7" s="402"/>
      <c r="AA7" s="402"/>
      <c r="AB7" s="402"/>
      <c r="AC7" s="35"/>
      <c r="AD7" s="402"/>
      <c r="AE7" s="402"/>
      <c r="AF7" s="402"/>
      <c r="AG7" s="402"/>
      <c r="AH7" s="402"/>
      <c r="AI7" s="402"/>
      <c r="AJ7" s="402"/>
      <c r="AK7" s="36"/>
      <c r="AL7" s="35"/>
      <c r="AM7" s="37"/>
      <c r="AN7" s="37"/>
      <c r="AO7" s="37"/>
      <c r="AP7" s="37"/>
      <c r="AQ7" s="37"/>
      <c r="AR7" s="37"/>
      <c r="AS7" s="13"/>
      <c r="AT7" s="402"/>
    </row>
    <row r="8" spans="1:85" s="12" customFormat="1" ht="15">
      <c r="A8" s="13">
        <f t="shared" ref="A8:A55" si="0">ROW() - 6</f>
        <v>2</v>
      </c>
      <c r="B8" s="38"/>
      <c r="C8" s="34"/>
      <c r="D8" s="33"/>
      <c r="E8" s="39"/>
      <c r="F8" s="39"/>
      <c r="G8" s="39"/>
      <c r="H8" s="402"/>
      <c r="I8" s="40"/>
      <c r="J8" s="397"/>
      <c r="K8" s="35"/>
      <c r="L8" s="397"/>
      <c r="M8" s="404"/>
      <c r="N8" s="404"/>
      <c r="O8" s="404"/>
      <c r="P8" s="404"/>
      <c r="Q8" s="404"/>
      <c r="R8" s="404"/>
      <c r="S8" s="40"/>
      <c r="T8" s="404"/>
      <c r="U8" s="35"/>
      <c r="V8" s="13"/>
      <c r="W8" s="13"/>
      <c r="X8" s="13"/>
      <c r="Y8" s="402"/>
      <c r="Z8" s="402"/>
      <c r="AA8" s="402"/>
      <c r="AB8" s="402"/>
      <c r="AC8" s="35"/>
      <c r="AD8" s="13"/>
      <c r="AE8" s="13"/>
      <c r="AF8" s="13"/>
      <c r="AG8" s="402"/>
      <c r="AH8" s="402"/>
      <c r="AI8" s="402"/>
      <c r="AJ8" s="402"/>
      <c r="AK8" s="36"/>
      <c r="AL8" s="35"/>
      <c r="AM8" s="37"/>
      <c r="AN8" s="37"/>
      <c r="AO8" s="37"/>
      <c r="AP8" s="37"/>
      <c r="AQ8" s="37"/>
      <c r="AR8" s="37"/>
      <c r="AS8" s="13"/>
      <c r="AT8" s="13"/>
    </row>
    <row r="9" spans="1:85" s="12" customFormat="1" ht="15">
      <c r="A9" s="13">
        <f t="shared" si="0"/>
        <v>3</v>
      </c>
      <c r="B9" s="38"/>
      <c r="C9" s="41"/>
      <c r="D9" s="33"/>
      <c r="E9" s="39"/>
      <c r="F9" s="39"/>
      <c r="G9" s="39"/>
      <c r="H9" s="402"/>
      <c r="I9" s="40"/>
      <c r="J9" s="397"/>
      <c r="K9" s="35"/>
      <c r="L9" s="397"/>
      <c r="M9" s="404"/>
      <c r="N9" s="404"/>
      <c r="O9" s="404"/>
      <c r="P9" s="404"/>
      <c r="Q9" s="404"/>
      <c r="R9" s="404"/>
      <c r="S9" s="40"/>
      <c r="T9" s="404"/>
      <c r="U9" s="35"/>
      <c r="V9" s="13"/>
      <c r="W9" s="13"/>
      <c r="X9" s="13"/>
      <c r="Y9" s="402"/>
      <c r="Z9" s="402"/>
      <c r="AA9" s="402"/>
      <c r="AB9" s="402"/>
      <c r="AC9" s="35"/>
      <c r="AD9" s="13"/>
      <c r="AE9" s="13"/>
      <c r="AF9" s="13"/>
      <c r="AG9" s="402"/>
      <c r="AH9" s="402"/>
      <c r="AI9" s="402"/>
      <c r="AJ9" s="402"/>
      <c r="AK9" s="36"/>
      <c r="AL9" s="35"/>
      <c r="AM9" s="37"/>
      <c r="AN9" s="37"/>
      <c r="AO9" s="37"/>
      <c r="AP9" s="37"/>
      <c r="AQ9" s="37"/>
      <c r="AR9" s="37"/>
      <c r="AS9" s="13"/>
      <c r="AT9" s="13"/>
    </row>
    <row r="10" spans="1:85" s="14" customFormat="1" ht="15">
      <c r="A10" s="13">
        <f t="shared" si="0"/>
        <v>4</v>
      </c>
      <c r="B10" s="38"/>
      <c r="C10" s="42"/>
      <c r="D10" s="19"/>
      <c r="E10" s="19"/>
      <c r="F10" s="35"/>
      <c r="G10" s="35"/>
      <c r="H10" s="402"/>
      <c r="I10" s="13"/>
      <c r="J10" s="397"/>
      <c r="K10" s="19"/>
      <c r="L10" s="49"/>
      <c r="M10" s="13"/>
      <c r="N10" s="13"/>
      <c r="O10" s="13"/>
      <c r="P10" s="13"/>
      <c r="Q10" s="13"/>
      <c r="R10" s="13"/>
      <c r="S10" s="13"/>
      <c r="T10" s="13"/>
      <c r="U10" s="19"/>
      <c r="V10" s="400"/>
      <c r="W10" s="400"/>
      <c r="X10" s="400"/>
      <c r="Y10" s="402"/>
      <c r="Z10" s="402"/>
      <c r="AA10" s="402"/>
      <c r="AB10" s="402"/>
      <c r="AC10" s="19"/>
      <c r="AD10" s="400"/>
      <c r="AE10" s="400"/>
      <c r="AF10" s="400"/>
      <c r="AG10" s="402"/>
      <c r="AH10" s="400"/>
      <c r="AI10" s="403"/>
      <c r="AJ10" s="403"/>
      <c r="AK10" s="43"/>
      <c r="AL10" s="44"/>
      <c r="AM10" s="13"/>
      <c r="AN10" s="13"/>
      <c r="AO10" s="13"/>
      <c r="AP10" s="13"/>
      <c r="AQ10" s="13"/>
      <c r="AR10" s="13"/>
      <c r="AS10" s="13"/>
      <c r="AT10" s="13"/>
    </row>
    <row r="11" spans="1:85" s="12" customFormat="1" ht="15">
      <c r="A11" s="13">
        <f t="shared" si="0"/>
        <v>5</v>
      </c>
      <c r="B11" s="38"/>
      <c r="C11" s="42"/>
      <c r="D11" s="19"/>
      <c r="E11" s="19"/>
      <c r="F11" s="35"/>
      <c r="G11" s="35"/>
      <c r="H11" s="402"/>
      <c r="I11" s="13"/>
      <c r="J11" s="397"/>
      <c r="K11" s="19"/>
      <c r="L11" s="50"/>
      <c r="M11" s="13"/>
      <c r="N11" s="13"/>
      <c r="O11" s="13"/>
      <c r="P11" s="13"/>
      <c r="Q11" s="13"/>
      <c r="R11" s="13"/>
      <c r="S11" s="13"/>
      <c r="T11" s="13"/>
      <c r="U11" s="19"/>
      <c r="V11" s="400"/>
      <c r="W11" s="400"/>
      <c r="X11" s="400"/>
      <c r="Y11" s="402"/>
      <c r="Z11" s="402"/>
      <c r="AA11" s="402"/>
      <c r="AB11" s="402"/>
      <c r="AC11" s="19"/>
      <c r="AD11" s="400"/>
      <c r="AE11" s="400"/>
      <c r="AF11" s="400"/>
      <c r="AG11" s="402"/>
      <c r="AH11" s="400"/>
      <c r="AI11" s="403"/>
      <c r="AJ11" s="403"/>
      <c r="AK11" s="43"/>
      <c r="AL11" s="44"/>
      <c r="AM11" s="13"/>
      <c r="AN11" s="13"/>
      <c r="AO11" s="13"/>
      <c r="AP11" s="13"/>
      <c r="AQ11" s="13"/>
      <c r="AR11" s="13"/>
      <c r="AS11" s="13"/>
      <c r="AT11" s="13"/>
    </row>
    <row r="12" spans="1:85" s="12" customFormat="1" ht="15">
      <c r="A12" s="13">
        <f t="shared" si="0"/>
        <v>6</v>
      </c>
      <c r="B12" s="19"/>
      <c r="C12" s="41"/>
      <c r="D12" s="19"/>
      <c r="E12" s="19"/>
      <c r="F12" s="19"/>
      <c r="G12" s="19"/>
      <c r="H12" s="13"/>
      <c r="I12" s="13"/>
      <c r="J12" s="397"/>
      <c r="K12" s="19"/>
      <c r="L12" s="50"/>
      <c r="M12" s="13"/>
      <c r="N12" s="13"/>
      <c r="O12" s="13"/>
      <c r="P12" s="13"/>
      <c r="Q12" s="13"/>
      <c r="R12" s="13"/>
      <c r="S12" s="13"/>
      <c r="T12" s="13"/>
      <c r="U12" s="19"/>
      <c r="V12" s="403"/>
      <c r="W12" s="400"/>
      <c r="X12" s="45"/>
      <c r="Y12" s="402"/>
      <c r="Z12" s="402"/>
      <c r="AA12" s="402"/>
      <c r="AB12" s="402"/>
      <c r="AC12" s="19"/>
      <c r="AD12" s="403"/>
      <c r="AE12" s="400"/>
      <c r="AF12" s="45"/>
      <c r="AG12" s="402"/>
      <c r="AH12" s="45"/>
      <c r="AI12" s="403"/>
      <c r="AJ12" s="403"/>
      <c r="AK12" s="43"/>
      <c r="AL12" s="13"/>
      <c r="AM12" s="15"/>
      <c r="AN12" s="15"/>
      <c r="AO12" s="15"/>
      <c r="AP12" s="15"/>
      <c r="AQ12" s="15"/>
      <c r="AR12" s="15"/>
      <c r="AS12" s="13"/>
      <c r="AT12" s="15"/>
      <c r="AV12" s="16"/>
      <c r="AW12" s="17"/>
    </row>
    <row r="13" spans="1:85" s="12" customFormat="1" ht="15">
      <c r="A13" s="13">
        <f t="shared" si="0"/>
        <v>7</v>
      </c>
      <c r="B13" s="38"/>
      <c r="C13" s="42"/>
      <c r="D13" s="19"/>
      <c r="E13" s="19"/>
      <c r="F13" s="19"/>
      <c r="G13" s="19"/>
      <c r="H13" s="13"/>
      <c r="I13" s="13"/>
      <c r="J13" s="397"/>
      <c r="K13" s="19"/>
      <c r="L13" s="51"/>
      <c r="M13" s="13"/>
      <c r="N13" s="13"/>
      <c r="O13" s="13"/>
      <c r="P13" s="13"/>
      <c r="Q13" s="13"/>
      <c r="R13" s="13"/>
      <c r="S13" s="13"/>
      <c r="T13" s="13"/>
      <c r="U13" s="19"/>
      <c r="V13" s="400"/>
      <c r="W13" s="400"/>
      <c r="X13" s="400"/>
      <c r="Y13" s="402"/>
      <c r="Z13" s="402"/>
      <c r="AA13" s="402"/>
      <c r="AB13" s="402"/>
      <c r="AC13" s="19"/>
      <c r="AD13" s="400"/>
      <c r="AE13" s="400"/>
      <c r="AF13" s="400"/>
      <c r="AG13" s="402"/>
      <c r="AH13" s="400"/>
      <c r="AI13" s="403"/>
      <c r="AJ13" s="403"/>
      <c r="AK13" s="43"/>
      <c r="AL13" s="44"/>
      <c r="AM13" s="13"/>
      <c r="AN13" s="13"/>
      <c r="AO13" s="13"/>
      <c r="AP13" s="13"/>
      <c r="AQ13" s="13"/>
      <c r="AR13" s="13"/>
      <c r="AS13" s="13"/>
      <c r="AT13" s="13"/>
      <c r="AV13" s="16"/>
      <c r="AW13" s="17"/>
    </row>
    <row r="14" spans="1:85" s="18" customFormat="1" ht="15">
      <c r="A14" s="13">
        <f t="shared" si="0"/>
        <v>8</v>
      </c>
      <c r="B14" s="38"/>
      <c r="C14" s="42"/>
      <c r="D14" s="38"/>
      <c r="E14" s="46"/>
      <c r="F14" s="46"/>
      <c r="G14" s="46"/>
      <c r="H14" s="13"/>
      <c r="I14" s="40"/>
      <c r="J14" s="397"/>
      <c r="K14" s="19"/>
      <c r="L14" s="397"/>
      <c r="M14" s="40"/>
      <c r="N14" s="40"/>
      <c r="O14" s="40"/>
      <c r="P14" s="40"/>
      <c r="Q14" s="40"/>
      <c r="R14" s="40"/>
      <c r="S14" s="13"/>
      <c r="T14" s="13"/>
      <c r="U14" s="19"/>
      <c r="V14" s="400"/>
      <c r="W14" s="400"/>
      <c r="X14" s="400"/>
      <c r="Y14" s="402"/>
      <c r="Z14" s="402"/>
      <c r="AA14" s="402"/>
      <c r="AB14" s="402"/>
      <c r="AC14" s="19"/>
      <c r="AD14" s="400"/>
      <c r="AE14" s="400"/>
      <c r="AF14" s="400"/>
      <c r="AG14" s="402"/>
      <c r="AH14" s="400"/>
      <c r="AI14" s="400"/>
      <c r="AJ14" s="400"/>
      <c r="AK14" s="43"/>
      <c r="AL14" s="19"/>
      <c r="AM14" s="15"/>
      <c r="AN14" s="15"/>
      <c r="AO14" s="15"/>
      <c r="AP14" s="15"/>
      <c r="AQ14" s="15"/>
      <c r="AR14" s="15"/>
      <c r="AS14" s="15"/>
      <c r="AT14" s="13"/>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row>
    <row r="15" spans="1:85" s="18" customFormat="1" ht="15">
      <c r="A15" s="13">
        <f t="shared" si="0"/>
        <v>9</v>
      </c>
      <c r="B15" s="38"/>
      <c r="C15" s="42"/>
      <c r="D15" s="38"/>
      <c r="E15" s="46"/>
      <c r="F15" s="46"/>
      <c r="G15" s="46"/>
      <c r="H15" s="13"/>
      <c r="I15" s="40"/>
      <c r="J15" s="397"/>
      <c r="K15" s="19"/>
      <c r="L15" s="397"/>
      <c r="M15" s="40"/>
      <c r="N15" s="40"/>
      <c r="O15" s="40"/>
      <c r="P15" s="40"/>
      <c r="Q15" s="40"/>
      <c r="R15" s="40"/>
      <c r="S15" s="13"/>
      <c r="T15" s="13"/>
      <c r="U15" s="19"/>
      <c r="V15" s="13"/>
      <c r="W15" s="13"/>
      <c r="X15" s="13"/>
      <c r="Y15" s="402"/>
      <c r="Z15" s="402"/>
      <c r="AA15" s="402"/>
      <c r="AB15" s="402"/>
      <c r="AC15" s="19"/>
      <c r="AD15" s="13"/>
      <c r="AE15" s="13"/>
      <c r="AF15" s="13"/>
      <c r="AG15" s="402"/>
      <c r="AH15" s="400"/>
      <c r="AI15" s="400"/>
      <c r="AJ15" s="400"/>
      <c r="AK15" s="43"/>
      <c r="AL15" s="19"/>
      <c r="AM15" s="15"/>
      <c r="AN15" s="15"/>
      <c r="AO15" s="15"/>
      <c r="AP15" s="15"/>
      <c r="AQ15" s="15"/>
      <c r="AR15" s="15"/>
      <c r="AS15" s="15"/>
      <c r="AT15" s="13"/>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row>
    <row r="16" spans="1:85" s="12" customFormat="1" ht="15">
      <c r="A16" s="13">
        <f t="shared" si="0"/>
        <v>10</v>
      </c>
      <c r="B16" s="38"/>
      <c r="C16" s="42"/>
      <c r="D16" s="19"/>
      <c r="E16" s="19"/>
      <c r="F16" s="19"/>
      <c r="G16" s="19"/>
      <c r="H16" s="13"/>
      <c r="I16" s="13"/>
      <c r="J16" s="397"/>
      <c r="K16" s="19"/>
      <c r="L16" s="397"/>
      <c r="M16" s="13"/>
      <c r="N16" s="13"/>
      <c r="O16" s="13"/>
      <c r="P16" s="13"/>
      <c r="Q16" s="13"/>
      <c r="R16" s="13"/>
      <c r="S16" s="13"/>
      <c r="T16" s="13"/>
      <c r="U16" s="19"/>
      <c r="V16" s="13"/>
      <c r="W16" s="13"/>
      <c r="X16" s="13"/>
      <c r="Y16" s="402"/>
      <c r="Z16" s="402"/>
      <c r="AA16" s="402"/>
      <c r="AB16" s="402"/>
      <c r="AC16" s="19"/>
      <c r="AD16" s="13"/>
      <c r="AE16" s="13"/>
      <c r="AF16" s="13"/>
      <c r="AG16" s="402"/>
      <c r="AH16" s="13"/>
      <c r="AI16" s="40"/>
      <c r="AJ16" s="40"/>
      <c r="AK16" s="43"/>
      <c r="AL16" s="13"/>
      <c r="AM16" s="13"/>
      <c r="AN16" s="13"/>
      <c r="AO16" s="13"/>
      <c r="AP16" s="13"/>
      <c r="AQ16" s="13"/>
      <c r="AR16" s="13"/>
      <c r="AS16" s="13"/>
      <c r="AT16" s="13"/>
    </row>
    <row r="17" spans="1:85" s="12" customFormat="1" ht="15">
      <c r="A17" s="13">
        <f t="shared" si="0"/>
        <v>11</v>
      </c>
      <c r="B17" s="38"/>
      <c r="C17" s="42"/>
      <c r="D17" s="19"/>
      <c r="E17" s="19"/>
      <c r="F17" s="19"/>
      <c r="G17" s="19"/>
      <c r="H17" s="13"/>
      <c r="I17" s="13"/>
      <c r="J17" s="397"/>
      <c r="K17" s="19"/>
      <c r="L17" s="397"/>
      <c r="M17" s="13"/>
      <c r="N17" s="13"/>
      <c r="O17" s="13"/>
      <c r="P17" s="13"/>
      <c r="Q17" s="13"/>
      <c r="R17" s="13"/>
      <c r="S17" s="13"/>
      <c r="T17" s="13"/>
      <c r="U17" s="19"/>
      <c r="V17" s="13"/>
      <c r="W17" s="13"/>
      <c r="X17" s="13"/>
      <c r="Y17" s="402"/>
      <c r="Z17" s="402"/>
      <c r="AA17" s="402"/>
      <c r="AB17" s="402"/>
      <c r="AC17" s="19"/>
      <c r="AD17" s="13"/>
      <c r="AE17" s="13"/>
      <c r="AF17" s="13"/>
      <c r="AG17" s="402"/>
      <c r="AH17" s="402"/>
      <c r="AI17" s="404"/>
      <c r="AJ17" s="404"/>
      <c r="AK17" s="43"/>
      <c r="AL17" s="13"/>
      <c r="AM17" s="13"/>
      <c r="AN17" s="13"/>
      <c r="AO17" s="13"/>
      <c r="AP17" s="13"/>
      <c r="AQ17" s="13"/>
      <c r="AR17" s="13"/>
      <c r="AS17" s="13"/>
      <c r="AT17" s="13"/>
    </row>
    <row r="18" spans="1:85" s="12" customFormat="1" ht="15">
      <c r="A18" s="13">
        <f t="shared" si="0"/>
        <v>12</v>
      </c>
      <c r="B18" s="38"/>
      <c r="C18" s="42"/>
      <c r="D18" s="19"/>
      <c r="E18" s="19"/>
      <c r="F18" s="19"/>
      <c r="G18" s="19"/>
      <c r="H18" s="13"/>
      <c r="I18" s="13"/>
      <c r="J18" s="397"/>
      <c r="K18" s="19"/>
      <c r="L18" s="397"/>
      <c r="M18" s="13"/>
      <c r="N18" s="13"/>
      <c r="O18" s="13"/>
      <c r="P18" s="13"/>
      <c r="Q18" s="13"/>
      <c r="R18" s="13"/>
      <c r="S18" s="13"/>
      <c r="T18" s="13"/>
      <c r="U18" s="19"/>
      <c r="V18" s="13"/>
      <c r="W18" s="13"/>
      <c r="X18" s="13"/>
      <c r="Y18" s="402"/>
      <c r="Z18" s="402"/>
      <c r="AA18" s="402"/>
      <c r="AB18" s="402"/>
      <c r="AC18" s="19"/>
      <c r="AD18" s="13"/>
      <c r="AE18" s="13"/>
      <c r="AF18" s="13"/>
      <c r="AG18" s="402"/>
      <c r="AH18" s="402"/>
      <c r="AI18" s="404"/>
      <c r="AJ18" s="404"/>
      <c r="AK18" s="43"/>
      <c r="AL18" s="13"/>
      <c r="AM18" s="13"/>
      <c r="AN18" s="13"/>
      <c r="AO18" s="13"/>
      <c r="AP18" s="13"/>
      <c r="AQ18" s="13"/>
      <c r="AR18" s="13"/>
      <c r="AS18" s="13"/>
      <c r="AT18" s="13"/>
    </row>
    <row r="19" spans="1:85" s="18" customFormat="1" ht="15">
      <c r="A19" s="13">
        <f t="shared" si="0"/>
        <v>13</v>
      </c>
      <c r="B19" s="19"/>
      <c r="C19" s="41"/>
      <c r="D19" s="19"/>
      <c r="E19" s="19"/>
      <c r="F19" s="19"/>
      <c r="G19" s="19"/>
      <c r="H19" s="13"/>
      <c r="I19" s="13"/>
      <c r="J19" s="397"/>
      <c r="K19" s="19"/>
      <c r="L19" s="397"/>
      <c r="M19" s="13"/>
      <c r="N19" s="13"/>
      <c r="O19" s="13"/>
      <c r="P19" s="13"/>
      <c r="Q19" s="13"/>
      <c r="R19" s="13"/>
      <c r="S19" s="13"/>
      <c r="T19" s="13"/>
      <c r="U19" s="19"/>
      <c r="V19" s="403"/>
      <c r="W19" s="400"/>
      <c r="X19" s="45"/>
      <c r="Y19" s="402"/>
      <c r="Z19" s="402"/>
      <c r="AA19" s="402"/>
      <c r="AB19" s="402"/>
      <c r="AC19" s="19"/>
      <c r="AD19" s="403"/>
      <c r="AE19" s="400"/>
      <c r="AF19" s="45"/>
      <c r="AG19" s="402"/>
      <c r="AH19" s="45"/>
      <c r="AI19" s="403"/>
      <c r="AJ19" s="403"/>
      <c r="AK19" s="43"/>
      <c r="AL19" s="13"/>
      <c r="AM19" s="15"/>
      <c r="AN19" s="15"/>
      <c r="AO19" s="15"/>
      <c r="AP19" s="15"/>
      <c r="AQ19" s="15"/>
      <c r="AR19" s="15"/>
      <c r="AS19" s="13"/>
      <c r="AT19" s="15"/>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row>
    <row r="20" spans="1:85" s="12" customFormat="1" ht="15">
      <c r="A20" s="13">
        <f t="shared" si="0"/>
        <v>14</v>
      </c>
      <c r="B20" s="38"/>
      <c r="C20" s="42"/>
      <c r="D20" s="19"/>
      <c r="E20" s="19"/>
      <c r="F20" s="19"/>
      <c r="G20" s="19"/>
      <c r="H20" s="13"/>
      <c r="I20" s="13"/>
      <c r="J20" s="397"/>
      <c r="K20" s="19"/>
      <c r="L20" s="397"/>
      <c r="M20" s="13"/>
      <c r="N20" s="13"/>
      <c r="O20" s="13"/>
      <c r="P20" s="13"/>
      <c r="Q20" s="13"/>
      <c r="R20" s="13"/>
      <c r="S20" s="13"/>
      <c r="T20" s="13"/>
      <c r="U20" s="19"/>
      <c r="V20" s="13"/>
      <c r="W20" s="13"/>
      <c r="X20" s="13"/>
      <c r="Y20" s="402"/>
      <c r="Z20" s="402"/>
      <c r="AA20" s="402"/>
      <c r="AB20" s="402"/>
      <c r="AC20" s="19"/>
      <c r="AD20" s="13"/>
      <c r="AE20" s="13"/>
      <c r="AF20" s="13"/>
      <c r="AG20" s="402"/>
      <c r="AH20" s="400"/>
      <c r="AI20" s="403"/>
      <c r="AJ20" s="403"/>
      <c r="AK20" s="43"/>
      <c r="AL20" s="13"/>
      <c r="AM20" s="13"/>
      <c r="AN20" s="13"/>
      <c r="AO20" s="13"/>
      <c r="AP20" s="13"/>
      <c r="AQ20" s="13"/>
      <c r="AR20" s="13"/>
      <c r="AS20" s="13"/>
      <c r="AT20" s="13"/>
      <c r="AV20" s="16"/>
      <c r="AW20" s="17"/>
    </row>
    <row r="21" spans="1:85" s="12" customFormat="1" ht="15">
      <c r="A21" s="13">
        <f t="shared" si="0"/>
        <v>15</v>
      </c>
      <c r="B21" s="38"/>
      <c r="C21" s="42"/>
      <c r="D21" s="38"/>
      <c r="E21" s="46"/>
      <c r="F21" s="46"/>
      <c r="G21" s="46"/>
      <c r="H21" s="13"/>
      <c r="I21" s="40"/>
      <c r="J21" s="397"/>
      <c r="K21" s="19"/>
      <c r="L21" s="397"/>
      <c r="M21" s="40"/>
      <c r="N21" s="40"/>
      <c r="O21" s="40"/>
      <c r="P21" s="40"/>
      <c r="Q21" s="40"/>
      <c r="R21" s="40"/>
      <c r="S21" s="13"/>
      <c r="T21" s="13"/>
      <c r="U21" s="19"/>
      <c r="V21" s="400"/>
      <c r="W21" s="400"/>
      <c r="X21" s="400"/>
      <c r="Y21" s="402"/>
      <c r="Z21" s="402"/>
      <c r="AA21" s="402"/>
      <c r="AB21" s="402"/>
      <c r="AC21" s="19"/>
      <c r="AD21" s="400"/>
      <c r="AE21" s="400"/>
      <c r="AF21" s="400"/>
      <c r="AG21" s="402"/>
      <c r="AH21" s="400"/>
      <c r="AI21" s="400"/>
      <c r="AJ21" s="400"/>
      <c r="AK21" s="43"/>
      <c r="AL21" s="47"/>
      <c r="AM21" s="15"/>
      <c r="AN21" s="15"/>
      <c r="AO21" s="15"/>
      <c r="AP21" s="15"/>
      <c r="AQ21" s="15"/>
      <c r="AR21" s="15"/>
      <c r="AS21" s="15"/>
      <c r="AT21" s="13"/>
    </row>
    <row r="22" spans="1:85" s="12" customFormat="1" ht="15">
      <c r="A22" s="13">
        <f t="shared" si="0"/>
        <v>16</v>
      </c>
      <c r="B22" s="38"/>
      <c r="C22" s="42"/>
      <c r="D22" s="38"/>
      <c r="E22" s="46"/>
      <c r="F22" s="46"/>
      <c r="G22" s="46"/>
      <c r="H22" s="13"/>
      <c r="I22" s="40"/>
      <c r="J22" s="397"/>
      <c r="K22" s="19"/>
      <c r="L22" s="397"/>
      <c r="M22" s="40"/>
      <c r="N22" s="40"/>
      <c r="O22" s="40"/>
      <c r="P22" s="40"/>
      <c r="Q22" s="40"/>
      <c r="R22" s="40"/>
      <c r="S22" s="13"/>
      <c r="T22" s="13"/>
      <c r="U22" s="19"/>
      <c r="V22" s="13"/>
      <c r="W22" s="13"/>
      <c r="X22" s="13"/>
      <c r="Y22" s="402"/>
      <c r="Z22" s="402"/>
      <c r="AA22" s="402"/>
      <c r="AB22" s="402"/>
      <c r="AC22" s="19"/>
      <c r="AD22" s="13"/>
      <c r="AE22" s="13"/>
      <c r="AF22" s="13"/>
      <c r="AG22" s="402"/>
      <c r="AH22" s="400"/>
      <c r="AI22" s="400"/>
      <c r="AJ22" s="400"/>
      <c r="AK22" s="43"/>
      <c r="AL22" s="19"/>
      <c r="AM22" s="15"/>
      <c r="AN22" s="15"/>
      <c r="AO22" s="15"/>
      <c r="AP22" s="15"/>
      <c r="AQ22" s="15"/>
      <c r="AR22" s="15"/>
      <c r="AS22" s="15"/>
      <c r="AT22" s="13"/>
    </row>
    <row r="23" spans="1:85" s="12" customFormat="1" ht="15">
      <c r="A23" s="13">
        <f t="shared" si="0"/>
        <v>17</v>
      </c>
      <c r="B23" s="19"/>
      <c r="C23" s="41"/>
      <c r="D23" s="19"/>
      <c r="E23" s="19"/>
      <c r="F23" s="19"/>
      <c r="G23" s="19"/>
      <c r="H23" s="13"/>
      <c r="I23" s="13"/>
      <c r="J23" s="397"/>
      <c r="K23" s="19"/>
      <c r="L23" s="397"/>
      <c r="M23" s="13"/>
      <c r="N23" s="13"/>
      <c r="O23" s="13"/>
      <c r="P23" s="13"/>
      <c r="Q23" s="13"/>
      <c r="R23" s="13"/>
      <c r="S23" s="13"/>
      <c r="T23" s="13"/>
      <c r="U23" s="19"/>
      <c r="V23" s="13"/>
      <c r="W23" s="13"/>
      <c r="X23" s="13"/>
      <c r="Y23" s="402"/>
      <c r="Z23" s="402"/>
      <c r="AA23" s="402"/>
      <c r="AB23" s="402"/>
      <c r="AC23" s="19"/>
      <c r="AD23" s="13"/>
      <c r="AE23" s="13"/>
      <c r="AF23" s="13"/>
      <c r="AG23" s="402"/>
      <c r="AH23" s="400"/>
      <c r="AI23" s="403"/>
      <c r="AJ23" s="403"/>
      <c r="AK23" s="43"/>
      <c r="AL23" s="19"/>
      <c r="AM23" s="15"/>
      <c r="AN23" s="15"/>
      <c r="AO23" s="15"/>
      <c r="AP23" s="15"/>
      <c r="AQ23" s="15"/>
      <c r="AR23" s="15"/>
      <c r="AS23" s="15"/>
      <c r="AT23" s="15"/>
      <c r="AV23" s="16"/>
      <c r="AW23" s="17"/>
    </row>
    <row r="24" spans="1:85" s="12" customFormat="1" ht="15">
      <c r="A24" s="13">
        <f t="shared" si="0"/>
        <v>18</v>
      </c>
      <c r="B24" s="19"/>
      <c r="C24" s="41"/>
      <c r="D24" s="19"/>
      <c r="E24" s="19"/>
      <c r="F24" s="19"/>
      <c r="G24" s="19"/>
      <c r="H24" s="13"/>
      <c r="I24" s="13"/>
      <c r="J24" s="397"/>
      <c r="K24" s="19"/>
      <c r="L24" s="397"/>
      <c r="M24" s="13"/>
      <c r="N24" s="13"/>
      <c r="O24" s="13"/>
      <c r="P24" s="13"/>
      <c r="Q24" s="13"/>
      <c r="R24" s="13"/>
      <c r="S24" s="13"/>
      <c r="T24" s="13"/>
      <c r="U24" s="19"/>
      <c r="V24" s="13"/>
      <c r="W24" s="13"/>
      <c r="X24" s="13"/>
      <c r="Y24" s="402"/>
      <c r="Z24" s="402"/>
      <c r="AA24" s="402"/>
      <c r="AB24" s="402"/>
      <c r="AC24" s="19"/>
      <c r="AD24" s="13"/>
      <c r="AE24" s="13"/>
      <c r="AF24" s="13"/>
      <c r="AG24" s="402"/>
      <c r="AH24" s="400"/>
      <c r="AI24" s="403"/>
      <c r="AJ24" s="403"/>
      <c r="AK24" s="43"/>
      <c r="AL24" s="19"/>
      <c r="AM24" s="15"/>
      <c r="AN24" s="15"/>
      <c r="AO24" s="15"/>
      <c r="AP24" s="15"/>
      <c r="AQ24" s="15"/>
      <c r="AR24" s="15"/>
      <c r="AS24" s="13"/>
      <c r="AT24" s="15"/>
    </row>
    <row r="25" spans="1:85" s="12" customFormat="1" ht="15">
      <c r="A25" s="13">
        <f t="shared" si="0"/>
        <v>19</v>
      </c>
      <c r="B25" s="19"/>
      <c r="C25" s="41"/>
      <c r="D25" s="19"/>
      <c r="E25" s="19"/>
      <c r="F25" s="19"/>
      <c r="G25" s="19"/>
      <c r="H25" s="13"/>
      <c r="I25" s="13"/>
      <c r="J25" s="397"/>
      <c r="K25" s="19"/>
      <c r="L25" s="397"/>
      <c r="M25" s="13"/>
      <c r="N25" s="13"/>
      <c r="O25" s="13"/>
      <c r="P25" s="13"/>
      <c r="Q25" s="13"/>
      <c r="R25" s="13"/>
      <c r="S25" s="13"/>
      <c r="T25" s="13"/>
      <c r="U25" s="19"/>
      <c r="V25" s="13"/>
      <c r="W25" s="13"/>
      <c r="X25" s="13"/>
      <c r="Y25" s="402"/>
      <c r="Z25" s="402"/>
      <c r="AA25" s="402"/>
      <c r="AB25" s="402"/>
      <c r="AC25" s="19"/>
      <c r="AD25" s="13"/>
      <c r="AE25" s="13"/>
      <c r="AF25" s="13"/>
      <c r="AG25" s="402"/>
      <c r="AH25" s="400"/>
      <c r="AI25" s="403"/>
      <c r="AJ25" s="403"/>
      <c r="AK25" s="43"/>
      <c r="AL25" s="19"/>
      <c r="AM25" s="15"/>
      <c r="AN25" s="15"/>
      <c r="AO25" s="15"/>
      <c r="AP25" s="15"/>
      <c r="AQ25" s="15"/>
      <c r="AR25" s="15"/>
      <c r="AS25" s="13"/>
      <c r="AT25" s="15"/>
    </row>
    <row r="26" spans="1:85" s="18" customFormat="1" ht="15">
      <c r="A26" s="13">
        <f t="shared" si="0"/>
        <v>20</v>
      </c>
      <c r="B26" s="19"/>
      <c r="C26" s="41"/>
      <c r="D26" s="19"/>
      <c r="E26" s="19"/>
      <c r="F26" s="19"/>
      <c r="G26" s="19"/>
      <c r="H26" s="13"/>
      <c r="I26" s="13"/>
      <c r="J26" s="397"/>
      <c r="K26" s="19"/>
      <c r="L26" s="397"/>
      <c r="M26" s="13"/>
      <c r="N26" s="13"/>
      <c r="O26" s="13"/>
      <c r="P26" s="13"/>
      <c r="Q26" s="13"/>
      <c r="R26" s="13"/>
      <c r="S26" s="13"/>
      <c r="T26" s="13"/>
      <c r="U26" s="19"/>
      <c r="V26" s="13"/>
      <c r="W26" s="13"/>
      <c r="X26" s="13"/>
      <c r="Y26" s="402"/>
      <c r="Z26" s="402"/>
      <c r="AA26" s="402"/>
      <c r="AB26" s="402"/>
      <c r="AC26" s="19"/>
      <c r="AD26" s="13"/>
      <c r="AE26" s="13"/>
      <c r="AF26" s="13"/>
      <c r="AG26" s="402"/>
      <c r="AH26" s="400"/>
      <c r="AI26" s="403"/>
      <c r="AJ26" s="403"/>
      <c r="AK26" s="43"/>
      <c r="AL26" s="19"/>
      <c r="AM26" s="15"/>
      <c r="AN26" s="15"/>
      <c r="AO26" s="15"/>
      <c r="AP26" s="15"/>
      <c r="AQ26" s="15"/>
      <c r="AR26" s="15"/>
      <c r="AS26" s="15"/>
      <c r="AT26" s="15"/>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row>
    <row r="27" spans="1:85" s="18" customFormat="1" ht="15">
      <c r="A27" s="13">
        <f t="shared" si="0"/>
        <v>21</v>
      </c>
      <c r="B27" s="19"/>
      <c r="C27" s="41"/>
      <c r="D27" s="19"/>
      <c r="E27" s="19"/>
      <c r="F27" s="19"/>
      <c r="G27" s="19"/>
      <c r="H27" s="13"/>
      <c r="I27" s="13"/>
      <c r="J27" s="397"/>
      <c r="K27" s="19"/>
      <c r="L27" s="397"/>
      <c r="M27" s="13"/>
      <c r="N27" s="13"/>
      <c r="O27" s="13"/>
      <c r="P27" s="13"/>
      <c r="Q27" s="13"/>
      <c r="R27" s="13"/>
      <c r="S27" s="13"/>
      <c r="T27" s="13"/>
      <c r="U27" s="19"/>
      <c r="V27" s="13"/>
      <c r="W27" s="13"/>
      <c r="X27" s="13"/>
      <c r="Y27" s="402"/>
      <c r="Z27" s="402"/>
      <c r="AA27" s="402"/>
      <c r="AB27" s="402"/>
      <c r="AC27" s="19"/>
      <c r="AD27" s="13"/>
      <c r="AE27" s="13"/>
      <c r="AF27" s="13"/>
      <c r="AG27" s="402"/>
      <c r="AH27" s="400"/>
      <c r="AI27" s="403"/>
      <c r="AJ27" s="403"/>
      <c r="AK27" s="43"/>
      <c r="AL27" s="19"/>
      <c r="AM27" s="15"/>
      <c r="AN27" s="15"/>
      <c r="AO27" s="15"/>
      <c r="AP27" s="15"/>
      <c r="AQ27" s="15"/>
      <c r="AR27" s="15"/>
      <c r="AS27" s="13"/>
      <c r="AT27" s="15"/>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row>
    <row r="28" spans="1:85" s="12" customFormat="1" ht="15">
      <c r="A28" s="13">
        <f t="shared" si="0"/>
        <v>22</v>
      </c>
      <c r="B28" s="19"/>
      <c r="C28" s="41"/>
      <c r="D28" s="19"/>
      <c r="E28" s="19"/>
      <c r="F28" s="19"/>
      <c r="G28" s="19"/>
      <c r="H28" s="13"/>
      <c r="I28" s="13"/>
      <c r="J28" s="397"/>
      <c r="K28" s="19"/>
      <c r="L28" s="397"/>
      <c r="M28" s="13"/>
      <c r="N28" s="13"/>
      <c r="O28" s="13"/>
      <c r="P28" s="13"/>
      <c r="Q28" s="13"/>
      <c r="R28" s="13"/>
      <c r="S28" s="13"/>
      <c r="T28" s="13"/>
      <c r="U28" s="19"/>
      <c r="V28" s="13"/>
      <c r="W28" s="13"/>
      <c r="X28" s="13"/>
      <c r="Y28" s="402"/>
      <c r="Z28" s="402"/>
      <c r="AA28" s="402"/>
      <c r="AB28" s="402"/>
      <c r="AC28" s="19"/>
      <c r="AD28" s="13"/>
      <c r="AE28" s="13"/>
      <c r="AF28" s="13"/>
      <c r="AG28" s="402"/>
      <c r="AH28" s="400"/>
      <c r="AI28" s="403"/>
      <c r="AJ28" s="403"/>
      <c r="AK28" s="43"/>
      <c r="AL28" s="13"/>
      <c r="AM28" s="13"/>
      <c r="AN28" s="13"/>
      <c r="AO28" s="13"/>
      <c r="AP28" s="13"/>
      <c r="AQ28" s="13"/>
      <c r="AR28" s="13"/>
      <c r="AS28" s="15"/>
      <c r="AT28" s="15"/>
    </row>
    <row r="29" spans="1:85" s="12" customFormat="1" ht="15">
      <c r="A29" s="13">
        <f t="shared" si="0"/>
        <v>23</v>
      </c>
      <c r="B29" s="19"/>
      <c r="C29" s="41"/>
      <c r="D29" s="19"/>
      <c r="E29" s="19"/>
      <c r="F29" s="19"/>
      <c r="G29" s="19"/>
      <c r="H29" s="13"/>
      <c r="I29" s="13"/>
      <c r="J29" s="397"/>
      <c r="K29" s="19"/>
      <c r="L29" s="397"/>
      <c r="M29" s="13"/>
      <c r="N29" s="13"/>
      <c r="O29" s="13"/>
      <c r="P29" s="13"/>
      <c r="Q29" s="13"/>
      <c r="R29" s="13"/>
      <c r="S29" s="13"/>
      <c r="T29" s="13"/>
      <c r="U29" s="19"/>
      <c r="V29" s="13"/>
      <c r="W29" s="13"/>
      <c r="X29" s="13"/>
      <c r="Y29" s="402"/>
      <c r="Z29" s="402"/>
      <c r="AA29" s="402"/>
      <c r="AB29" s="402"/>
      <c r="AC29" s="19"/>
      <c r="AD29" s="13"/>
      <c r="AE29" s="13"/>
      <c r="AF29" s="13"/>
      <c r="AG29" s="402"/>
      <c r="AH29" s="400"/>
      <c r="AI29" s="403"/>
      <c r="AJ29" s="403"/>
      <c r="AK29" s="43"/>
      <c r="AL29" s="13"/>
      <c r="AM29" s="13"/>
      <c r="AN29" s="13"/>
      <c r="AO29" s="13"/>
      <c r="AP29" s="13"/>
      <c r="AQ29" s="13"/>
      <c r="AR29" s="13"/>
      <c r="AS29" s="15"/>
      <c r="AT29" s="15"/>
    </row>
    <row r="30" spans="1:85" s="12" customFormat="1" ht="15">
      <c r="A30" s="13">
        <f t="shared" si="0"/>
        <v>24</v>
      </c>
      <c r="B30" s="19"/>
      <c r="C30" s="41"/>
      <c r="D30" s="19"/>
      <c r="E30" s="19"/>
      <c r="F30" s="19"/>
      <c r="G30" s="19"/>
      <c r="H30" s="13"/>
      <c r="I30" s="13"/>
      <c r="J30" s="397"/>
      <c r="K30" s="19"/>
      <c r="L30" s="397"/>
      <c r="M30" s="13"/>
      <c r="N30" s="13"/>
      <c r="O30" s="13"/>
      <c r="P30" s="13"/>
      <c r="Q30" s="13"/>
      <c r="R30" s="13"/>
      <c r="S30" s="13"/>
      <c r="T30" s="13"/>
      <c r="U30" s="19"/>
      <c r="V30" s="43"/>
      <c r="W30" s="43"/>
      <c r="X30" s="13"/>
      <c r="Y30" s="402"/>
      <c r="Z30" s="402"/>
      <c r="AA30" s="402"/>
      <c r="AB30" s="402"/>
      <c r="AC30" s="19"/>
      <c r="AD30" s="43"/>
      <c r="AE30" s="43"/>
      <c r="AF30" s="13"/>
      <c r="AG30" s="402"/>
      <c r="AH30" s="403"/>
      <c r="AI30" s="403"/>
      <c r="AJ30" s="403"/>
      <c r="AK30" s="43"/>
      <c r="AL30" s="19"/>
      <c r="AM30" s="13"/>
      <c r="AN30" s="13"/>
      <c r="AO30" s="13"/>
      <c r="AP30" s="13"/>
      <c r="AQ30" s="13"/>
      <c r="AR30" s="13"/>
      <c r="AS30" s="15"/>
      <c r="AT30" s="15"/>
    </row>
    <row r="31" spans="1:85" s="12" customFormat="1" ht="15">
      <c r="A31" s="13">
        <f t="shared" si="0"/>
        <v>25</v>
      </c>
      <c r="B31" s="38"/>
      <c r="C31" s="41"/>
      <c r="D31" s="19"/>
      <c r="E31" s="19"/>
      <c r="F31" s="19"/>
      <c r="G31" s="19"/>
      <c r="H31" s="13"/>
      <c r="I31" s="13"/>
      <c r="J31" s="397"/>
      <c r="K31" s="19"/>
      <c r="L31" s="397"/>
      <c r="M31" s="13"/>
      <c r="N31" s="13"/>
      <c r="O31" s="13"/>
      <c r="P31" s="13"/>
      <c r="Q31" s="13"/>
      <c r="R31" s="13"/>
      <c r="S31" s="40"/>
      <c r="T31" s="40"/>
      <c r="U31" s="19"/>
      <c r="V31" s="43"/>
      <c r="W31" s="43"/>
      <c r="X31" s="40"/>
      <c r="Y31" s="402"/>
      <c r="Z31" s="402"/>
      <c r="AA31" s="402"/>
      <c r="AB31" s="402"/>
      <c r="AC31" s="19"/>
      <c r="AD31" s="43"/>
      <c r="AE31" s="43"/>
      <c r="AF31" s="40"/>
      <c r="AG31" s="402"/>
      <c r="AH31" s="400"/>
      <c r="AI31" s="403"/>
      <c r="AJ31" s="403"/>
      <c r="AK31" s="43"/>
      <c r="AL31" s="19"/>
      <c r="AM31" s="15"/>
      <c r="AN31" s="15"/>
      <c r="AO31" s="15"/>
      <c r="AP31" s="15"/>
      <c r="AQ31" s="15"/>
      <c r="AR31" s="15"/>
      <c r="AS31" s="15"/>
      <c r="AT31" s="13"/>
    </row>
    <row r="32" spans="1:85" s="12" customFormat="1" ht="15">
      <c r="A32" s="13">
        <f t="shared" si="0"/>
        <v>26</v>
      </c>
      <c r="B32" s="38"/>
      <c r="C32" s="41"/>
      <c r="D32" s="19"/>
      <c r="E32" s="19"/>
      <c r="F32" s="19"/>
      <c r="G32" s="19"/>
      <c r="H32" s="13"/>
      <c r="I32" s="13"/>
      <c r="J32" s="397"/>
      <c r="K32" s="19"/>
      <c r="L32" s="397"/>
      <c r="M32" s="13"/>
      <c r="N32" s="13"/>
      <c r="O32" s="13"/>
      <c r="P32" s="13"/>
      <c r="Q32" s="13"/>
      <c r="R32" s="13"/>
      <c r="S32" s="40"/>
      <c r="T32" s="40"/>
      <c r="U32" s="19"/>
      <c r="V32" s="13"/>
      <c r="W32" s="13"/>
      <c r="X32" s="13"/>
      <c r="Y32" s="402"/>
      <c r="Z32" s="402"/>
      <c r="AA32" s="402"/>
      <c r="AB32" s="402"/>
      <c r="AC32" s="19"/>
      <c r="AD32" s="13"/>
      <c r="AE32" s="13"/>
      <c r="AF32" s="13"/>
      <c r="AG32" s="402"/>
      <c r="AH32" s="400"/>
      <c r="AI32" s="403"/>
      <c r="AJ32" s="403"/>
      <c r="AK32" s="43"/>
      <c r="AL32" s="13"/>
      <c r="AM32" s="15"/>
      <c r="AN32" s="15"/>
      <c r="AO32" s="15"/>
      <c r="AP32" s="15"/>
      <c r="AQ32" s="15"/>
      <c r="AR32" s="15"/>
      <c r="AS32" s="15"/>
      <c r="AT32" s="19"/>
    </row>
    <row r="33" spans="1:49" s="20" customFormat="1">
      <c r="A33" s="13">
        <f t="shared" si="0"/>
        <v>27</v>
      </c>
      <c r="B33" s="38"/>
      <c r="C33" s="41"/>
      <c r="D33" s="38"/>
      <c r="E33" s="46"/>
      <c r="F33" s="46"/>
      <c r="G33" s="46"/>
      <c r="H33" s="13"/>
      <c r="I33" s="40"/>
      <c r="J33" s="397"/>
      <c r="K33" s="19"/>
      <c r="L33" s="397"/>
      <c r="M33" s="13"/>
      <c r="N33" s="13"/>
      <c r="O33" s="13"/>
      <c r="P33" s="13"/>
      <c r="Q33" s="13"/>
      <c r="R33" s="13"/>
      <c r="S33" s="40"/>
      <c r="T33" s="40"/>
      <c r="U33" s="19"/>
      <c r="V33" s="13"/>
      <c r="W33" s="13"/>
      <c r="X33" s="13"/>
      <c r="Y33" s="402"/>
      <c r="Z33" s="402"/>
      <c r="AA33" s="402"/>
      <c r="AB33" s="402"/>
      <c r="AC33" s="19"/>
      <c r="AD33" s="13"/>
      <c r="AE33" s="13"/>
      <c r="AF33" s="13"/>
      <c r="AG33" s="402"/>
      <c r="AH33" s="400"/>
      <c r="AI33" s="400"/>
      <c r="AJ33" s="400"/>
      <c r="AK33" s="43"/>
      <c r="AL33" s="19"/>
      <c r="AM33" s="13"/>
      <c r="AN33" s="13"/>
      <c r="AO33" s="13"/>
      <c r="AP33" s="13"/>
      <c r="AQ33" s="13"/>
      <c r="AR33" s="13"/>
      <c r="AS33" s="13"/>
      <c r="AT33" s="19"/>
    </row>
    <row r="34" spans="1:49" s="20" customFormat="1">
      <c r="A34" s="13">
        <f t="shared" si="0"/>
        <v>28</v>
      </c>
      <c r="B34" s="38"/>
      <c r="C34" s="41"/>
      <c r="D34" s="38"/>
      <c r="E34" s="46"/>
      <c r="F34" s="46"/>
      <c r="G34" s="46"/>
      <c r="H34" s="13"/>
      <c r="I34" s="40"/>
      <c r="J34" s="397"/>
      <c r="K34" s="19"/>
      <c r="L34" s="397"/>
      <c r="M34" s="13"/>
      <c r="N34" s="13"/>
      <c r="O34" s="13"/>
      <c r="P34" s="13"/>
      <c r="Q34" s="13"/>
      <c r="R34" s="13"/>
      <c r="S34" s="40"/>
      <c r="T34" s="40"/>
      <c r="U34" s="19"/>
      <c r="V34" s="13"/>
      <c r="W34" s="13"/>
      <c r="X34" s="13"/>
      <c r="Y34" s="402"/>
      <c r="Z34" s="402"/>
      <c r="AA34" s="402"/>
      <c r="AB34" s="402"/>
      <c r="AC34" s="19"/>
      <c r="AD34" s="13"/>
      <c r="AE34" s="13"/>
      <c r="AF34" s="13"/>
      <c r="AG34" s="402"/>
      <c r="AH34" s="400"/>
      <c r="AI34" s="400"/>
      <c r="AJ34" s="400"/>
      <c r="AK34" s="43"/>
      <c r="AL34" s="19"/>
      <c r="AM34" s="13"/>
      <c r="AN34" s="13"/>
      <c r="AO34" s="13"/>
      <c r="AP34" s="13"/>
      <c r="AQ34" s="13"/>
      <c r="AR34" s="13"/>
      <c r="AS34" s="13"/>
      <c r="AT34" s="19"/>
    </row>
    <row r="35" spans="1:49" s="20" customFormat="1">
      <c r="A35" s="13">
        <f t="shared" si="0"/>
        <v>29</v>
      </c>
      <c r="B35" s="38"/>
      <c r="C35" s="41"/>
      <c r="D35" s="38"/>
      <c r="E35" s="46"/>
      <c r="F35" s="46"/>
      <c r="G35" s="46"/>
      <c r="H35" s="13"/>
      <c r="I35" s="13"/>
      <c r="J35" s="397"/>
      <c r="K35" s="19"/>
      <c r="L35" s="52"/>
      <c r="M35" s="13"/>
      <c r="N35" s="13"/>
      <c r="O35" s="13"/>
      <c r="P35" s="13"/>
      <c r="Q35" s="13"/>
      <c r="R35" s="13"/>
      <c r="S35" s="13"/>
      <c r="T35" s="13"/>
      <c r="U35" s="19"/>
      <c r="V35" s="13"/>
      <c r="W35" s="13"/>
      <c r="X35" s="13"/>
      <c r="Y35" s="402"/>
      <c r="Z35" s="402"/>
      <c r="AA35" s="402"/>
      <c r="AB35" s="402"/>
      <c r="AC35" s="19"/>
      <c r="AD35" s="13"/>
      <c r="AE35" s="13"/>
      <c r="AF35" s="13"/>
      <c r="AG35" s="402"/>
      <c r="AH35" s="400"/>
      <c r="AI35" s="400"/>
      <c r="AJ35" s="400"/>
      <c r="AK35" s="43"/>
      <c r="AL35" s="19"/>
      <c r="AM35" s="43"/>
      <c r="AN35" s="43"/>
      <c r="AO35" s="43"/>
      <c r="AP35" s="43"/>
      <c r="AQ35" s="43"/>
      <c r="AR35" s="43"/>
      <c r="AS35" s="43"/>
      <c r="AT35" s="19"/>
    </row>
    <row r="36" spans="1:49" s="20" customFormat="1">
      <c r="A36" s="13">
        <f t="shared" si="0"/>
        <v>30</v>
      </c>
      <c r="B36" s="38"/>
      <c r="C36" s="41"/>
      <c r="D36" s="38"/>
      <c r="E36" s="46"/>
      <c r="F36" s="46"/>
      <c r="G36" s="46"/>
      <c r="H36" s="13"/>
      <c r="I36" s="40"/>
      <c r="J36" s="397"/>
      <c r="K36" s="19"/>
      <c r="L36" s="52"/>
      <c r="M36" s="13"/>
      <c r="N36" s="13"/>
      <c r="O36" s="13"/>
      <c r="P36" s="13"/>
      <c r="Q36" s="13"/>
      <c r="R36" s="13"/>
      <c r="S36" s="40"/>
      <c r="T36" s="40"/>
      <c r="U36" s="19"/>
      <c r="V36" s="13"/>
      <c r="W36" s="13"/>
      <c r="X36" s="13"/>
      <c r="Y36" s="402"/>
      <c r="Z36" s="402"/>
      <c r="AA36" s="402"/>
      <c r="AB36" s="402"/>
      <c r="AC36" s="19"/>
      <c r="AD36" s="13"/>
      <c r="AE36" s="13"/>
      <c r="AF36" s="13"/>
      <c r="AG36" s="402"/>
      <c r="AH36" s="400"/>
      <c r="AI36" s="400"/>
      <c r="AJ36" s="400"/>
      <c r="AK36" s="43"/>
      <c r="AL36" s="19"/>
      <c r="AM36" s="13"/>
      <c r="AN36" s="13"/>
      <c r="AO36" s="13"/>
      <c r="AP36" s="13"/>
      <c r="AQ36" s="13"/>
      <c r="AR36" s="13"/>
      <c r="AS36" s="13"/>
      <c r="AT36" s="19"/>
    </row>
    <row r="37" spans="1:49" s="12" customFormat="1" ht="15">
      <c r="A37" s="13">
        <f t="shared" si="0"/>
        <v>31</v>
      </c>
      <c r="B37" s="38"/>
      <c r="C37" s="41"/>
      <c r="D37" s="19"/>
      <c r="E37" s="19"/>
      <c r="F37" s="19"/>
      <c r="G37" s="19"/>
      <c r="H37" s="13"/>
      <c r="I37" s="13"/>
      <c r="J37" s="397"/>
      <c r="K37" s="19"/>
      <c r="L37" s="50"/>
      <c r="M37" s="13"/>
      <c r="N37" s="13"/>
      <c r="O37" s="13"/>
      <c r="P37" s="13"/>
      <c r="Q37" s="13"/>
      <c r="R37" s="13"/>
      <c r="S37" s="13"/>
      <c r="T37" s="13"/>
      <c r="U37" s="19"/>
      <c r="V37" s="13"/>
      <c r="W37" s="13"/>
      <c r="X37" s="13"/>
      <c r="Y37" s="402"/>
      <c r="Z37" s="402"/>
      <c r="AA37" s="402"/>
      <c r="AB37" s="402"/>
      <c r="AC37" s="19"/>
      <c r="AD37" s="13"/>
      <c r="AE37" s="13"/>
      <c r="AF37" s="13"/>
      <c r="AG37" s="402"/>
      <c r="AH37" s="400"/>
      <c r="AI37" s="403"/>
      <c r="AJ37" s="403"/>
      <c r="AK37" s="43"/>
      <c r="AL37" s="13"/>
      <c r="AM37" s="15"/>
      <c r="AN37" s="15"/>
      <c r="AO37" s="15"/>
      <c r="AP37" s="15"/>
      <c r="AQ37" s="15"/>
      <c r="AR37" s="15"/>
      <c r="AS37" s="15"/>
      <c r="AT37" s="15"/>
      <c r="AV37" s="16"/>
      <c r="AW37" s="17"/>
    </row>
    <row r="38" spans="1:49" s="20" customFormat="1">
      <c r="A38" s="13">
        <f t="shared" si="0"/>
        <v>32</v>
      </c>
      <c r="B38" s="19"/>
      <c r="C38" s="41"/>
      <c r="D38" s="19"/>
      <c r="E38" s="19"/>
      <c r="F38" s="19"/>
      <c r="G38" s="19"/>
      <c r="H38" s="13"/>
      <c r="I38" s="13"/>
      <c r="J38" s="397"/>
      <c r="K38" s="19"/>
      <c r="L38" s="397"/>
      <c r="M38" s="13"/>
      <c r="N38" s="13"/>
      <c r="O38" s="13"/>
      <c r="P38" s="13"/>
      <c r="Q38" s="13"/>
      <c r="R38" s="13"/>
      <c r="S38" s="13"/>
      <c r="T38" s="13"/>
      <c r="U38" s="19"/>
      <c r="V38" s="13"/>
      <c r="W38" s="13"/>
      <c r="X38" s="13"/>
      <c r="Y38" s="402"/>
      <c r="Z38" s="402"/>
      <c r="AA38" s="402"/>
      <c r="AB38" s="402"/>
      <c r="AC38" s="19"/>
      <c r="AD38" s="13"/>
      <c r="AE38" s="13"/>
      <c r="AF38" s="13"/>
      <c r="AG38" s="402"/>
      <c r="AH38" s="400"/>
      <c r="AI38" s="403"/>
      <c r="AJ38" s="403"/>
      <c r="AK38" s="43"/>
      <c r="AL38" s="13"/>
      <c r="AM38" s="15"/>
      <c r="AN38" s="15"/>
      <c r="AO38" s="15"/>
      <c r="AP38" s="15"/>
      <c r="AQ38" s="15"/>
      <c r="AR38" s="15"/>
      <c r="AS38" s="13"/>
      <c r="AT38" s="15"/>
    </row>
    <row r="39" spans="1:49" s="20" customFormat="1">
      <c r="A39" s="13">
        <f t="shared" si="0"/>
        <v>33</v>
      </c>
      <c r="B39" s="19"/>
      <c r="C39" s="41"/>
      <c r="D39" s="19"/>
      <c r="E39" s="19"/>
      <c r="F39" s="19"/>
      <c r="G39" s="19"/>
      <c r="H39" s="13"/>
      <c r="I39" s="13"/>
      <c r="J39" s="397"/>
      <c r="K39" s="19"/>
      <c r="L39" s="397"/>
      <c r="M39" s="13"/>
      <c r="N39" s="13"/>
      <c r="O39" s="13"/>
      <c r="P39" s="13"/>
      <c r="Q39" s="13"/>
      <c r="R39" s="13"/>
      <c r="S39" s="13"/>
      <c r="T39" s="13"/>
      <c r="U39" s="19"/>
      <c r="V39" s="13"/>
      <c r="W39" s="13"/>
      <c r="X39" s="13"/>
      <c r="Y39" s="402"/>
      <c r="Z39" s="402"/>
      <c r="AA39" s="402"/>
      <c r="AB39" s="402"/>
      <c r="AC39" s="19"/>
      <c r="AD39" s="13"/>
      <c r="AE39" s="13"/>
      <c r="AF39" s="13"/>
      <c r="AG39" s="402"/>
      <c r="AH39" s="400"/>
      <c r="AI39" s="403"/>
      <c r="AJ39" s="403"/>
      <c r="AK39" s="43"/>
      <c r="AL39" s="13"/>
      <c r="AM39" s="15"/>
      <c r="AN39" s="15"/>
      <c r="AO39" s="15"/>
      <c r="AP39" s="15"/>
      <c r="AQ39" s="15"/>
      <c r="AR39" s="15"/>
      <c r="AS39" s="15"/>
      <c r="AT39" s="15"/>
    </row>
    <row r="40" spans="1:49">
      <c r="A40" s="13">
        <f t="shared" si="0"/>
        <v>34</v>
      </c>
      <c r="B40" s="38"/>
      <c r="C40" s="41"/>
      <c r="D40" s="19"/>
      <c r="E40" s="43"/>
      <c r="F40" s="43"/>
      <c r="G40" s="43"/>
      <c r="H40" s="13"/>
      <c r="I40" s="13"/>
      <c r="J40" s="397"/>
      <c r="K40" s="19"/>
      <c r="L40" s="397"/>
      <c r="M40" s="13"/>
      <c r="N40" s="13"/>
      <c r="O40" s="13"/>
      <c r="P40" s="13"/>
      <c r="Q40" s="13"/>
      <c r="R40" s="13"/>
      <c r="S40" s="13"/>
      <c r="T40" s="13"/>
      <c r="U40" s="19"/>
      <c r="V40" s="13"/>
      <c r="W40" s="13"/>
      <c r="X40" s="13"/>
      <c r="Y40" s="402"/>
      <c r="Z40" s="402"/>
      <c r="AA40" s="402"/>
      <c r="AB40" s="402"/>
      <c r="AC40" s="19"/>
      <c r="AD40" s="13"/>
      <c r="AE40" s="13"/>
      <c r="AF40" s="13"/>
      <c r="AG40" s="402"/>
      <c r="AH40" s="400"/>
      <c r="AI40" s="403"/>
      <c r="AJ40" s="403"/>
      <c r="AK40" s="43"/>
      <c r="AL40" s="13"/>
      <c r="AM40" s="15"/>
      <c r="AN40" s="15"/>
      <c r="AO40" s="15"/>
      <c r="AP40" s="15"/>
      <c r="AQ40" s="15"/>
      <c r="AR40" s="15"/>
      <c r="AS40" s="15"/>
      <c r="AT40" s="19"/>
    </row>
    <row r="41" spans="1:49" s="20" customFormat="1">
      <c r="A41" s="13">
        <f t="shared" si="0"/>
        <v>35</v>
      </c>
      <c r="B41" s="19"/>
      <c r="C41" s="41"/>
      <c r="D41" s="19"/>
      <c r="E41" s="19"/>
      <c r="F41" s="19"/>
      <c r="G41" s="19"/>
      <c r="H41" s="13"/>
      <c r="I41" s="13"/>
      <c r="J41" s="397"/>
      <c r="K41" s="19"/>
      <c r="L41" s="397"/>
      <c r="M41" s="13"/>
      <c r="N41" s="13"/>
      <c r="O41" s="13"/>
      <c r="P41" s="13"/>
      <c r="Q41" s="13"/>
      <c r="R41" s="13"/>
      <c r="S41" s="13"/>
      <c r="T41" s="13"/>
      <c r="U41" s="19"/>
      <c r="V41" s="13"/>
      <c r="W41" s="13"/>
      <c r="X41" s="13"/>
      <c r="Y41" s="402"/>
      <c r="Z41" s="402"/>
      <c r="AA41" s="402"/>
      <c r="AB41" s="402"/>
      <c r="AC41" s="19"/>
      <c r="AD41" s="13"/>
      <c r="AE41" s="13"/>
      <c r="AF41" s="13"/>
      <c r="AG41" s="402"/>
      <c r="AH41" s="400"/>
      <c r="AI41" s="403"/>
      <c r="AJ41" s="403"/>
      <c r="AK41" s="43"/>
      <c r="AL41" s="13"/>
      <c r="AM41" s="15"/>
      <c r="AN41" s="15"/>
      <c r="AO41" s="15"/>
      <c r="AP41" s="15"/>
      <c r="AQ41" s="15"/>
      <c r="AR41" s="15"/>
      <c r="AS41" s="15"/>
      <c r="AT41" s="19"/>
    </row>
    <row r="42" spans="1:49">
      <c r="A42" s="13">
        <f t="shared" si="0"/>
        <v>36</v>
      </c>
      <c r="B42" s="19"/>
      <c r="C42" s="41"/>
      <c r="D42" s="19"/>
      <c r="E42" s="19"/>
      <c r="F42" s="19"/>
      <c r="G42" s="19"/>
      <c r="H42" s="13"/>
      <c r="I42" s="13"/>
      <c r="J42" s="397"/>
      <c r="K42" s="19"/>
      <c r="L42" s="397"/>
      <c r="M42" s="13"/>
      <c r="N42" s="13"/>
      <c r="O42" s="13"/>
      <c r="P42" s="13"/>
      <c r="Q42" s="13"/>
      <c r="R42" s="13"/>
      <c r="S42" s="13"/>
      <c r="T42" s="13"/>
      <c r="U42" s="19"/>
      <c r="V42" s="43"/>
      <c r="W42" s="13"/>
      <c r="X42" s="40"/>
      <c r="Y42" s="402"/>
      <c r="Z42" s="402"/>
      <c r="AA42" s="402"/>
      <c r="AB42" s="402"/>
      <c r="AC42" s="19"/>
      <c r="AD42" s="43"/>
      <c r="AE42" s="13"/>
      <c r="AF42" s="40"/>
      <c r="AG42" s="402"/>
      <c r="AH42" s="45"/>
      <c r="AI42" s="403"/>
      <c r="AJ42" s="403"/>
      <c r="AK42" s="43"/>
      <c r="AL42" s="19"/>
      <c r="AM42" s="13"/>
      <c r="AN42" s="13"/>
      <c r="AO42" s="13"/>
      <c r="AP42" s="13"/>
      <c r="AQ42" s="13"/>
      <c r="AR42" s="13"/>
      <c r="AS42" s="15"/>
      <c r="AT42" s="15"/>
    </row>
    <row r="43" spans="1:49">
      <c r="A43" s="13">
        <f t="shared" si="0"/>
        <v>37</v>
      </c>
      <c r="B43" s="19"/>
      <c r="C43" s="48"/>
      <c r="D43" s="19"/>
      <c r="E43" s="19"/>
      <c r="F43" s="19"/>
      <c r="G43" s="19"/>
      <c r="H43" s="13"/>
      <c r="I43" s="13"/>
      <c r="J43" s="397"/>
      <c r="K43" s="19"/>
      <c r="L43" s="397"/>
      <c r="M43" s="13"/>
      <c r="N43" s="13"/>
      <c r="O43" s="13"/>
      <c r="P43" s="13"/>
      <c r="Q43" s="13"/>
      <c r="R43" s="13"/>
      <c r="S43" s="13"/>
      <c r="T43" s="13"/>
      <c r="U43" s="19"/>
      <c r="V43" s="43"/>
      <c r="W43" s="13"/>
      <c r="X43" s="40"/>
      <c r="Y43" s="402"/>
      <c r="Z43" s="402"/>
      <c r="AA43" s="402"/>
      <c r="AB43" s="402"/>
      <c r="AC43" s="19"/>
      <c r="AD43" s="43"/>
      <c r="AE43" s="13"/>
      <c r="AF43" s="40"/>
      <c r="AG43" s="402"/>
      <c r="AH43" s="45"/>
      <c r="AI43" s="403"/>
      <c r="AJ43" s="403"/>
      <c r="AK43" s="43"/>
      <c r="AL43" s="19"/>
      <c r="AM43" s="13"/>
      <c r="AN43" s="13"/>
      <c r="AO43" s="13"/>
      <c r="AP43" s="13"/>
      <c r="AQ43" s="13"/>
      <c r="AR43" s="13"/>
      <c r="AS43" s="15"/>
      <c r="AT43" s="15"/>
    </row>
    <row r="44" spans="1:49">
      <c r="A44" s="13">
        <f t="shared" si="0"/>
        <v>38</v>
      </c>
      <c r="B44" s="19"/>
      <c r="C44" s="41"/>
      <c r="D44" s="19"/>
      <c r="E44" s="19"/>
      <c r="F44" s="19"/>
      <c r="G44" s="19"/>
      <c r="H44" s="13"/>
      <c r="I44" s="13"/>
      <c r="J44" s="397"/>
      <c r="K44" s="19"/>
      <c r="L44" s="397"/>
      <c r="M44" s="13"/>
      <c r="N44" s="13"/>
      <c r="O44" s="13"/>
      <c r="P44" s="13"/>
      <c r="Q44" s="13"/>
      <c r="R44" s="13"/>
      <c r="S44" s="13"/>
      <c r="T44" s="13"/>
      <c r="U44" s="19"/>
      <c r="V44" s="43"/>
      <c r="W44" s="13"/>
      <c r="X44" s="40"/>
      <c r="Y44" s="402"/>
      <c r="Z44" s="402"/>
      <c r="AA44" s="402"/>
      <c r="AB44" s="402"/>
      <c r="AC44" s="19"/>
      <c r="AD44" s="43"/>
      <c r="AE44" s="13"/>
      <c r="AF44" s="40"/>
      <c r="AG44" s="402"/>
      <c r="AH44" s="45"/>
      <c r="AI44" s="403"/>
      <c r="AJ44" s="403"/>
      <c r="AK44" s="43"/>
      <c r="AL44" s="19"/>
      <c r="AM44" s="13"/>
      <c r="AN44" s="13"/>
      <c r="AO44" s="13"/>
      <c r="AP44" s="13"/>
      <c r="AQ44" s="13"/>
      <c r="AR44" s="13"/>
      <c r="AS44" s="15"/>
      <c r="AT44" s="15"/>
    </row>
    <row r="45" spans="1:49">
      <c r="A45" s="13">
        <f t="shared" si="0"/>
        <v>39</v>
      </c>
      <c r="B45" s="38"/>
      <c r="C45" s="41"/>
      <c r="D45" s="19"/>
      <c r="E45" s="19"/>
      <c r="F45" s="19"/>
      <c r="G45" s="19"/>
      <c r="H45" s="13"/>
      <c r="I45" s="13"/>
      <c r="J45" s="397"/>
      <c r="K45" s="19"/>
      <c r="L45" s="397"/>
      <c r="M45" s="13"/>
      <c r="N45" s="13"/>
      <c r="O45" s="13"/>
      <c r="P45" s="13"/>
      <c r="Q45" s="13"/>
      <c r="R45" s="13"/>
      <c r="S45" s="40"/>
      <c r="T45" s="40"/>
      <c r="U45" s="19"/>
      <c r="V45" s="43"/>
      <c r="W45" s="43"/>
      <c r="X45" s="40"/>
      <c r="Y45" s="402"/>
      <c r="Z45" s="402"/>
      <c r="AA45" s="402"/>
      <c r="AB45" s="402"/>
      <c r="AC45" s="19"/>
      <c r="AD45" s="43"/>
      <c r="AE45" s="43"/>
      <c r="AF45" s="40"/>
      <c r="AG45" s="402"/>
      <c r="AH45" s="400"/>
      <c r="AI45" s="403"/>
      <c r="AJ45" s="403"/>
      <c r="AK45" s="43"/>
      <c r="AL45" s="13"/>
      <c r="AM45" s="15"/>
      <c r="AN45" s="15"/>
      <c r="AO45" s="15"/>
      <c r="AP45" s="15"/>
      <c r="AQ45" s="15"/>
      <c r="AR45" s="15"/>
      <c r="AS45" s="15"/>
      <c r="AT45" s="13"/>
    </row>
    <row r="46" spans="1:49">
      <c r="A46" s="13">
        <f t="shared" si="0"/>
        <v>40</v>
      </c>
      <c r="B46" s="38"/>
      <c r="C46" s="41"/>
      <c r="D46" s="19"/>
      <c r="E46" s="19"/>
      <c r="F46" s="19"/>
      <c r="G46" s="19"/>
      <c r="H46" s="13"/>
      <c r="I46" s="13"/>
      <c r="J46" s="397"/>
      <c r="K46" s="19"/>
      <c r="L46" s="397"/>
      <c r="M46" s="13"/>
      <c r="N46" s="13"/>
      <c r="O46" s="13"/>
      <c r="P46" s="13"/>
      <c r="Q46" s="13"/>
      <c r="R46" s="13"/>
      <c r="S46" s="40"/>
      <c r="T46" s="40"/>
      <c r="U46" s="19"/>
      <c r="V46" s="43"/>
      <c r="W46" s="43"/>
      <c r="X46" s="40"/>
      <c r="Y46" s="402"/>
      <c r="Z46" s="402"/>
      <c r="AA46" s="402"/>
      <c r="AB46" s="402"/>
      <c r="AC46" s="19"/>
      <c r="AD46" s="43"/>
      <c r="AE46" s="43"/>
      <c r="AF46" s="40"/>
      <c r="AG46" s="402"/>
      <c r="AH46" s="400"/>
      <c r="AI46" s="403"/>
      <c r="AJ46" s="403"/>
      <c r="AK46" s="43"/>
      <c r="AL46" s="13"/>
      <c r="AM46" s="15"/>
      <c r="AN46" s="15"/>
      <c r="AO46" s="15"/>
      <c r="AP46" s="15"/>
      <c r="AQ46" s="15"/>
      <c r="AR46" s="15"/>
      <c r="AS46" s="15"/>
      <c r="AT46" s="13"/>
    </row>
    <row r="47" spans="1:49">
      <c r="A47" s="13">
        <f t="shared" si="0"/>
        <v>41</v>
      </c>
      <c r="B47" s="38"/>
      <c r="C47" s="41"/>
      <c r="D47" s="19"/>
      <c r="E47" s="19"/>
      <c r="F47" s="19"/>
      <c r="G47" s="19"/>
      <c r="H47" s="13"/>
      <c r="I47" s="13"/>
      <c r="J47" s="397"/>
      <c r="K47" s="19"/>
      <c r="L47" s="397"/>
      <c r="M47" s="13"/>
      <c r="N47" s="13"/>
      <c r="O47" s="13"/>
      <c r="P47" s="13"/>
      <c r="Q47" s="13"/>
      <c r="R47" s="13"/>
      <c r="S47" s="40"/>
      <c r="T47" s="40"/>
      <c r="U47" s="19"/>
      <c r="V47" s="43"/>
      <c r="W47" s="43"/>
      <c r="X47" s="40"/>
      <c r="Y47" s="402"/>
      <c r="Z47" s="402"/>
      <c r="AA47" s="402"/>
      <c r="AB47" s="402"/>
      <c r="AC47" s="19"/>
      <c r="AD47" s="43"/>
      <c r="AE47" s="43"/>
      <c r="AF47" s="40"/>
      <c r="AG47" s="402"/>
      <c r="AH47" s="400"/>
      <c r="AI47" s="403"/>
      <c r="AJ47" s="403"/>
      <c r="AK47" s="43"/>
      <c r="AL47" s="13"/>
      <c r="AM47" s="15"/>
      <c r="AN47" s="15"/>
      <c r="AO47" s="15"/>
      <c r="AP47" s="15"/>
      <c r="AQ47" s="15"/>
      <c r="AR47" s="15"/>
      <c r="AS47" s="15"/>
      <c r="AT47" s="13"/>
    </row>
    <row r="48" spans="1:49">
      <c r="A48" s="13">
        <f t="shared" si="0"/>
        <v>42</v>
      </c>
      <c r="B48" s="38"/>
      <c r="C48" s="41"/>
      <c r="D48" s="19"/>
      <c r="E48" s="19"/>
      <c r="F48" s="19"/>
      <c r="G48" s="19"/>
      <c r="H48" s="13"/>
      <c r="I48" s="13"/>
      <c r="J48" s="397"/>
      <c r="K48" s="19"/>
      <c r="L48" s="397"/>
      <c r="M48" s="13"/>
      <c r="N48" s="13"/>
      <c r="O48" s="13"/>
      <c r="P48" s="13"/>
      <c r="Q48" s="13"/>
      <c r="R48" s="13"/>
      <c r="S48" s="40"/>
      <c r="T48" s="40"/>
      <c r="U48" s="19"/>
      <c r="V48" s="13"/>
      <c r="W48" s="13"/>
      <c r="X48" s="13"/>
      <c r="Y48" s="402"/>
      <c r="Z48" s="402"/>
      <c r="AA48" s="402"/>
      <c r="AB48" s="402"/>
      <c r="AC48" s="19"/>
      <c r="AD48" s="13"/>
      <c r="AE48" s="13"/>
      <c r="AF48" s="13"/>
      <c r="AG48" s="402"/>
      <c r="AH48" s="400"/>
      <c r="AI48" s="403"/>
      <c r="AJ48" s="403"/>
      <c r="AK48" s="43"/>
      <c r="AL48" s="19"/>
      <c r="AM48" s="15"/>
      <c r="AN48" s="15"/>
      <c r="AO48" s="15"/>
      <c r="AP48" s="15"/>
      <c r="AQ48" s="15"/>
      <c r="AR48" s="15"/>
      <c r="AS48" s="15"/>
      <c r="AT48" s="15"/>
    </row>
    <row r="49" spans="1:46">
      <c r="A49" s="13">
        <f t="shared" si="0"/>
        <v>43</v>
      </c>
      <c r="B49" s="38"/>
      <c r="C49" s="41"/>
      <c r="D49" s="38"/>
      <c r="E49" s="46"/>
      <c r="F49" s="46"/>
      <c r="G49" s="46"/>
      <c r="H49" s="13"/>
      <c r="I49" s="40"/>
      <c r="J49" s="397"/>
      <c r="K49" s="19"/>
      <c r="L49" s="397"/>
      <c r="M49" s="13"/>
      <c r="N49" s="13"/>
      <c r="O49" s="13"/>
      <c r="P49" s="13"/>
      <c r="Q49" s="13"/>
      <c r="R49" s="13"/>
      <c r="S49" s="40"/>
      <c r="T49" s="40"/>
      <c r="U49" s="19"/>
      <c r="V49" s="13"/>
      <c r="W49" s="13"/>
      <c r="X49" s="13"/>
      <c r="Y49" s="402"/>
      <c r="Z49" s="402"/>
      <c r="AA49" s="402"/>
      <c r="AB49" s="402"/>
      <c r="AC49" s="19"/>
      <c r="AD49" s="13"/>
      <c r="AE49" s="13"/>
      <c r="AF49" s="13"/>
      <c r="AG49" s="402"/>
      <c r="AH49" s="400"/>
      <c r="AI49" s="400"/>
      <c r="AJ49" s="400"/>
      <c r="AK49" s="43"/>
      <c r="AL49" s="19"/>
      <c r="AM49" s="13"/>
      <c r="AN49" s="13"/>
      <c r="AO49" s="13"/>
      <c r="AP49" s="13"/>
      <c r="AQ49" s="13"/>
      <c r="AR49" s="13"/>
      <c r="AS49" s="13"/>
      <c r="AT49" s="19"/>
    </row>
    <row r="50" spans="1:46">
      <c r="A50" s="13">
        <f t="shared" si="0"/>
        <v>44</v>
      </c>
      <c r="B50" s="38"/>
      <c r="C50" s="41"/>
      <c r="D50" s="19"/>
      <c r="E50" s="43"/>
      <c r="F50" s="43"/>
      <c r="G50" s="43"/>
      <c r="H50" s="13"/>
      <c r="I50" s="13"/>
      <c r="J50" s="397"/>
      <c r="K50" s="19"/>
      <c r="L50" s="50"/>
      <c r="M50" s="13"/>
      <c r="N50" s="13"/>
      <c r="O50" s="13"/>
      <c r="P50" s="13"/>
      <c r="Q50" s="13"/>
      <c r="R50" s="13"/>
      <c r="S50" s="13"/>
      <c r="T50" s="13"/>
      <c r="U50" s="19"/>
      <c r="V50" s="13"/>
      <c r="W50" s="13"/>
      <c r="X50" s="13"/>
      <c r="Y50" s="402"/>
      <c r="Z50" s="402"/>
      <c r="AA50" s="402"/>
      <c r="AB50" s="402"/>
      <c r="AC50" s="19"/>
      <c r="AD50" s="13"/>
      <c r="AE50" s="13"/>
      <c r="AF50" s="13"/>
      <c r="AG50" s="402"/>
      <c r="AH50" s="400"/>
      <c r="AI50" s="403"/>
      <c r="AJ50" s="403"/>
      <c r="AK50" s="43"/>
      <c r="AL50" s="13"/>
      <c r="AM50" s="15"/>
      <c r="AN50" s="15"/>
      <c r="AO50" s="15"/>
      <c r="AP50" s="15"/>
      <c r="AQ50" s="15"/>
      <c r="AR50" s="15"/>
      <c r="AS50" s="15"/>
      <c r="AT50" s="19"/>
    </row>
    <row r="51" spans="1:46">
      <c r="A51" s="13">
        <f t="shared" si="0"/>
        <v>45</v>
      </c>
      <c r="B51" s="19"/>
      <c r="C51" s="41"/>
      <c r="D51" s="19"/>
      <c r="E51" s="19"/>
      <c r="F51" s="19"/>
      <c r="G51" s="19"/>
      <c r="H51" s="13"/>
      <c r="I51" s="13"/>
      <c r="J51" s="397"/>
      <c r="K51" s="19"/>
      <c r="L51" s="50"/>
      <c r="M51" s="13"/>
      <c r="N51" s="13"/>
      <c r="O51" s="13"/>
      <c r="P51" s="13"/>
      <c r="Q51" s="13"/>
      <c r="R51" s="13"/>
      <c r="S51" s="13"/>
      <c r="T51" s="13"/>
      <c r="U51" s="19"/>
      <c r="V51" s="13"/>
      <c r="W51" s="13"/>
      <c r="X51" s="13"/>
      <c r="Y51" s="402"/>
      <c r="Z51" s="402"/>
      <c r="AA51" s="402"/>
      <c r="AB51" s="402"/>
      <c r="AC51" s="19"/>
      <c r="AD51" s="13"/>
      <c r="AE51" s="13"/>
      <c r="AF51" s="13"/>
      <c r="AG51" s="402"/>
      <c r="AH51" s="400"/>
      <c r="AI51" s="403"/>
      <c r="AJ51" s="403"/>
      <c r="AK51" s="43"/>
      <c r="AL51" s="13"/>
      <c r="AM51" s="15"/>
      <c r="AN51" s="15"/>
      <c r="AO51" s="15"/>
      <c r="AP51" s="15"/>
      <c r="AQ51" s="15"/>
      <c r="AR51" s="15"/>
      <c r="AS51" s="15"/>
      <c r="AT51" s="19"/>
    </row>
    <row r="52" spans="1:46">
      <c r="A52" s="13">
        <f t="shared" si="0"/>
        <v>46</v>
      </c>
      <c r="B52" s="19"/>
      <c r="C52" s="41"/>
      <c r="D52" s="19"/>
      <c r="E52" s="19"/>
      <c r="F52" s="19"/>
      <c r="G52" s="19"/>
      <c r="H52" s="13"/>
      <c r="I52" s="13"/>
      <c r="J52" s="397"/>
      <c r="K52" s="19"/>
      <c r="L52" s="50"/>
      <c r="M52" s="13"/>
      <c r="N52" s="13"/>
      <c r="O52" s="13"/>
      <c r="P52" s="13"/>
      <c r="Q52" s="13"/>
      <c r="R52" s="13"/>
      <c r="S52" s="13"/>
      <c r="T52" s="13"/>
      <c r="U52" s="19"/>
      <c r="V52" s="43"/>
      <c r="W52" s="13"/>
      <c r="X52" s="40"/>
      <c r="Y52" s="402"/>
      <c r="Z52" s="402"/>
      <c r="AA52" s="402"/>
      <c r="AB52" s="402"/>
      <c r="AC52" s="19"/>
      <c r="AD52" s="43"/>
      <c r="AE52" s="13"/>
      <c r="AF52" s="40"/>
      <c r="AG52" s="402"/>
      <c r="AH52" s="45"/>
      <c r="AI52" s="403"/>
      <c r="AJ52" s="403"/>
      <c r="AK52" s="43"/>
      <c r="AL52" s="19"/>
      <c r="AM52" s="13"/>
      <c r="AN52" s="13"/>
      <c r="AO52" s="13"/>
      <c r="AP52" s="13"/>
      <c r="AQ52" s="13"/>
      <c r="AR52" s="13"/>
      <c r="AS52" s="15"/>
      <c r="AT52" s="15"/>
    </row>
    <row r="53" spans="1:46">
      <c r="A53" s="13">
        <f t="shared" si="0"/>
        <v>47</v>
      </c>
      <c r="B53" s="38"/>
      <c r="C53" s="41"/>
      <c r="D53" s="19"/>
      <c r="E53" s="19"/>
      <c r="F53" s="19"/>
      <c r="G53" s="19"/>
      <c r="H53" s="13"/>
      <c r="I53" s="13"/>
      <c r="J53" s="397"/>
      <c r="K53" s="19"/>
      <c r="L53" s="50"/>
      <c r="M53" s="13"/>
      <c r="N53" s="13"/>
      <c r="O53" s="13"/>
      <c r="P53" s="13"/>
      <c r="Q53" s="13"/>
      <c r="R53" s="13"/>
      <c r="S53" s="40"/>
      <c r="T53" s="40"/>
      <c r="U53" s="19"/>
      <c r="V53" s="13"/>
      <c r="W53" s="13"/>
      <c r="X53" s="13"/>
      <c r="Y53" s="402"/>
      <c r="Z53" s="402"/>
      <c r="AA53" s="402"/>
      <c r="AB53" s="402"/>
      <c r="AC53" s="19"/>
      <c r="AD53" s="13"/>
      <c r="AE53" s="13"/>
      <c r="AF53" s="13"/>
      <c r="AG53" s="402"/>
      <c r="AH53" s="13"/>
      <c r="AI53" s="40"/>
      <c r="AJ53" s="40"/>
      <c r="AK53" s="43"/>
      <c r="AL53" s="19"/>
      <c r="AM53" s="15"/>
      <c r="AN53" s="15"/>
      <c r="AO53" s="15"/>
      <c r="AP53" s="15"/>
      <c r="AQ53" s="15"/>
      <c r="AR53" s="15"/>
      <c r="AS53" s="15"/>
      <c r="AT53" s="15"/>
    </row>
    <row r="54" spans="1:46">
      <c r="A54" s="13">
        <f t="shared" si="0"/>
        <v>48</v>
      </c>
      <c r="B54" s="38"/>
      <c r="C54" s="41"/>
      <c r="D54" s="19"/>
      <c r="E54" s="19"/>
      <c r="F54" s="19"/>
      <c r="G54" s="19"/>
      <c r="H54" s="13"/>
      <c r="I54" s="13"/>
      <c r="J54" s="397"/>
      <c r="K54" s="19"/>
      <c r="L54" s="50"/>
      <c r="M54" s="13"/>
      <c r="N54" s="13"/>
      <c r="O54" s="13"/>
      <c r="P54" s="13"/>
      <c r="Q54" s="13"/>
      <c r="R54" s="13"/>
      <c r="S54" s="13"/>
      <c r="T54" s="13"/>
      <c r="U54" s="19"/>
      <c r="V54" s="13"/>
      <c r="W54" s="13"/>
      <c r="X54" s="13"/>
      <c r="Y54" s="402"/>
      <c r="Z54" s="402"/>
      <c r="AA54" s="402"/>
      <c r="AB54" s="402"/>
      <c r="AC54" s="19"/>
      <c r="AD54" s="13"/>
      <c r="AE54" s="13"/>
      <c r="AF54" s="13"/>
      <c r="AG54" s="402"/>
      <c r="AH54" s="13"/>
      <c r="AI54" s="40"/>
      <c r="AJ54" s="40"/>
      <c r="AK54" s="43"/>
      <c r="AL54" s="13"/>
      <c r="AM54" s="15"/>
      <c r="AN54" s="15"/>
      <c r="AO54" s="15"/>
      <c r="AP54" s="15"/>
      <c r="AQ54" s="15"/>
      <c r="AR54" s="15"/>
      <c r="AS54" s="15"/>
      <c r="AT54" s="19"/>
    </row>
    <row r="55" spans="1:46">
      <c r="A55" s="13">
        <f t="shared" si="0"/>
        <v>49</v>
      </c>
      <c r="B55" s="19"/>
      <c r="C55" s="41"/>
      <c r="D55" s="19"/>
      <c r="E55" s="19"/>
      <c r="F55" s="19"/>
      <c r="G55" s="19"/>
      <c r="H55" s="13"/>
      <c r="I55" s="13"/>
      <c r="J55" s="397"/>
      <c r="K55" s="19"/>
      <c r="L55" s="397"/>
      <c r="M55" s="13"/>
      <c r="N55" s="13"/>
      <c r="O55" s="13"/>
      <c r="P55" s="13"/>
      <c r="Q55" s="13"/>
      <c r="R55" s="13"/>
      <c r="S55" s="13"/>
      <c r="T55" s="13"/>
      <c r="U55" s="19"/>
      <c r="V55" s="13"/>
      <c r="W55" s="13"/>
      <c r="X55" s="13"/>
      <c r="Y55" s="402"/>
      <c r="Z55" s="402"/>
      <c r="AA55" s="402"/>
      <c r="AB55" s="402"/>
      <c r="AC55" s="19"/>
      <c r="AD55" s="13"/>
      <c r="AE55" s="13"/>
      <c r="AF55" s="13"/>
      <c r="AG55" s="402"/>
      <c r="AH55" s="13"/>
      <c r="AI55" s="40"/>
      <c r="AJ55" s="40"/>
      <c r="AK55" s="43"/>
      <c r="AL55" s="13"/>
      <c r="AM55" s="15"/>
      <c r="AN55" s="15"/>
      <c r="AO55" s="15"/>
      <c r="AP55" s="15"/>
      <c r="AQ55" s="15"/>
      <c r="AR55" s="15"/>
      <c r="AS55" s="15"/>
      <c r="AT55" s="15"/>
    </row>
    <row r="56" spans="1:46">
      <c r="A56" s="13">
        <f>ROW() - 6</f>
        <v>50</v>
      </c>
      <c r="B56" s="19"/>
      <c r="C56" s="41"/>
      <c r="D56" s="19"/>
      <c r="E56" s="19"/>
      <c r="F56" s="19"/>
      <c r="G56" s="19"/>
      <c r="H56" s="13"/>
      <c r="I56" s="13"/>
      <c r="J56" s="377"/>
      <c r="K56" s="53"/>
      <c r="L56" s="377"/>
      <c r="M56" s="400"/>
      <c r="N56" s="400"/>
      <c r="O56" s="400"/>
      <c r="P56" s="400"/>
      <c r="Q56" s="400"/>
      <c r="R56" s="400"/>
      <c r="S56" s="400"/>
      <c r="T56" s="400"/>
      <c r="U56" s="53"/>
      <c r="V56" s="400"/>
      <c r="W56" s="400"/>
      <c r="X56" s="400"/>
      <c r="Y56" s="401"/>
      <c r="Z56" s="401"/>
      <c r="AA56" s="401"/>
      <c r="AB56" s="401"/>
      <c r="AC56" s="53"/>
      <c r="AD56" s="400"/>
      <c r="AE56" s="400"/>
      <c r="AF56" s="400"/>
      <c r="AG56" s="401"/>
      <c r="AH56" s="400"/>
      <c r="AI56" s="40"/>
      <c r="AJ56" s="40"/>
      <c r="AK56" s="43"/>
      <c r="AL56" s="13"/>
      <c r="AM56" s="15"/>
      <c r="AN56" s="15"/>
      <c r="AO56" s="15"/>
      <c r="AP56" s="15"/>
      <c r="AQ56" s="15"/>
      <c r="AR56" s="15"/>
      <c r="AS56" s="15"/>
      <c r="AT56" s="15"/>
    </row>
    <row r="57" spans="1:46">
      <c r="J57" s="398"/>
      <c r="K57" s="54"/>
      <c r="L57" s="398"/>
      <c r="M57" s="54"/>
      <c r="N57" s="54"/>
      <c r="O57" s="54"/>
      <c r="P57" s="54"/>
      <c r="Q57" s="54"/>
      <c r="R57" s="54"/>
      <c r="S57" s="54"/>
      <c r="T57" s="54"/>
      <c r="U57" s="54"/>
      <c r="V57" s="54"/>
      <c r="W57" s="54"/>
      <c r="X57" s="54"/>
      <c r="Y57" s="55"/>
      <c r="Z57" s="55"/>
      <c r="AA57" s="55"/>
      <c r="AB57" s="55"/>
      <c r="AC57" s="54"/>
      <c r="AD57" s="54"/>
      <c r="AE57" s="54"/>
      <c r="AF57" s="54"/>
      <c r="AG57" s="55"/>
      <c r="AH57" s="54"/>
    </row>
    <row r="58" spans="1:46">
      <c r="J58" s="398"/>
      <c r="K58" s="54"/>
      <c r="L58" s="398"/>
      <c r="M58" s="54"/>
      <c r="N58" s="54"/>
      <c r="O58" s="54"/>
      <c r="P58" s="54"/>
      <c r="Q58" s="54"/>
      <c r="R58" s="54"/>
      <c r="S58" s="54"/>
      <c r="T58" s="54"/>
      <c r="U58" s="54"/>
      <c r="V58" s="54"/>
      <c r="W58" s="54"/>
      <c r="X58" s="54"/>
      <c r="Y58" s="55"/>
      <c r="Z58" s="55"/>
      <c r="AA58" s="55"/>
      <c r="AB58" s="55"/>
      <c r="AC58" s="54"/>
      <c r="AD58" s="54"/>
      <c r="AE58" s="54"/>
      <c r="AF58" s="54"/>
      <c r="AG58" s="55"/>
      <c r="AH58" s="54"/>
    </row>
    <row r="59" spans="1:46">
      <c r="J59" s="398"/>
      <c r="K59" s="54"/>
      <c r="L59" s="398"/>
      <c r="M59" s="54"/>
      <c r="N59" s="54"/>
      <c r="O59" s="54"/>
      <c r="P59" s="54"/>
      <c r="Q59" s="54"/>
      <c r="R59" s="54"/>
      <c r="S59" s="54"/>
      <c r="T59" s="54"/>
      <c r="U59" s="54"/>
      <c r="V59" s="54"/>
      <c r="W59" s="54"/>
      <c r="X59" s="54"/>
      <c r="Y59" s="55"/>
      <c r="Z59" s="55"/>
      <c r="AA59" s="55"/>
      <c r="AB59" s="55"/>
      <c r="AC59" s="54"/>
      <c r="AD59" s="54"/>
      <c r="AE59" s="54"/>
      <c r="AF59" s="54"/>
      <c r="AG59" s="55"/>
      <c r="AH59" s="54"/>
    </row>
    <row r="60" spans="1:46">
      <c r="J60" s="398"/>
      <c r="K60" s="54"/>
      <c r="L60" s="398"/>
      <c r="M60" s="54"/>
      <c r="N60" s="54"/>
      <c r="O60" s="54"/>
      <c r="P60" s="54"/>
      <c r="Q60" s="54"/>
      <c r="R60" s="54"/>
      <c r="S60" s="54"/>
      <c r="T60" s="54"/>
      <c r="U60" s="54"/>
      <c r="V60" s="54"/>
      <c r="W60" s="54"/>
      <c r="X60" s="54"/>
      <c r="Y60" s="55"/>
      <c r="Z60" s="55"/>
      <c r="AA60" s="55"/>
      <c r="AB60" s="55"/>
      <c r="AC60" s="54"/>
      <c r="AD60" s="54"/>
      <c r="AE60" s="54"/>
      <c r="AF60" s="54"/>
      <c r="AG60" s="55"/>
      <c r="AH60" s="54"/>
    </row>
    <row r="61" spans="1:46">
      <c r="J61" s="398"/>
      <c r="K61" s="54"/>
      <c r="L61" s="398"/>
      <c r="M61" s="54"/>
      <c r="N61" s="54"/>
      <c r="O61" s="54"/>
      <c r="P61" s="54"/>
      <c r="Q61" s="54"/>
      <c r="R61" s="54"/>
      <c r="S61" s="54"/>
      <c r="T61" s="54"/>
      <c r="U61" s="54"/>
      <c r="V61" s="54"/>
      <c r="W61" s="54"/>
      <c r="X61" s="54"/>
      <c r="Y61" s="55"/>
      <c r="Z61" s="55"/>
      <c r="AA61" s="55"/>
      <c r="AB61" s="55"/>
      <c r="AC61" s="54"/>
      <c r="AD61" s="54"/>
      <c r="AE61" s="54"/>
      <c r="AF61" s="54"/>
      <c r="AG61" s="55"/>
      <c r="AH61" s="54"/>
    </row>
    <row r="62" spans="1:46">
      <c r="J62" s="398"/>
      <c r="K62" s="54"/>
      <c r="L62" s="398"/>
      <c r="M62" s="54"/>
      <c r="N62" s="54"/>
      <c r="O62" s="54"/>
      <c r="P62" s="54"/>
      <c r="Q62" s="54"/>
      <c r="R62" s="54"/>
      <c r="S62" s="54"/>
      <c r="T62" s="54"/>
      <c r="U62" s="54"/>
      <c r="V62" s="54"/>
      <c r="W62" s="54"/>
      <c r="X62" s="54"/>
      <c r="Y62" s="55"/>
      <c r="Z62" s="55"/>
      <c r="AA62" s="55"/>
      <c r="AB62" s="55"/>
      <c r="AC62" s="54"/>
      <c r="AD62" s="54"/>
      <c r="AE62" s="54"/>
      <c r="AF62" s="54"/>
      <c r="AG62" s="55"/>
      <c r="AH62" s="54"/>
    </row>
    <row r="63" spans="1:46">
      <c r="J63" s="398"/>
      <c r="K63" s="54"/>
      <c r="L63" s="398"/>
      <c r="M63" s="54"/>
      <c r="N63" s="54"/>
      <c r="O63" s="54"/>
      <c r="P63" s="54"/>
      <c r="Q63" s="54"/>
      <c r="R63" s="54"/>
      <c r="S63" s="54"/>
      <c r="T63" s="54"/>
      <c r="U63" s="54"/>
      <c r="V63" s="54"/>
      <c r="W63" s="54"/>
      <c r="X63" s="54"/>
      <c r="Y63" s="55"/>
      <c r="Z63" s="55"/>
      <c r="AA63" s="55"/>
      <c r="AB63" s="55"/>
      <c r="AC63" s="54"/>
      <c r="AD63" s="54"/>
      <c r="AE63" s="54"/>
      <c r="AF63" s="54"/>
      <c r="AG63" s="55"/>
      <c r="AH63" s="54"/>
    </row>
    <row r="64" spans="1:46">
      <c r="J64" s="398"/>
      <c r="K64" s="54"/>
      <c r="L64" s="398"/>
      <c r="M64" s="54"/>
      <c r="N64" s="54"/>
      <c r="O64" s="54"/>
      <c r="P64" s="54"/>
      <c r="Q64" s="54"/>
      <c r="R64" s="54"/>
      <c r="S64" s="54"/>
      <c r="T64" s="54"/>
      <c r="U64" s="54"/>
      <c r="V64" s="54"/>
      <c r="W64" s="54"/>
      <c r="X64" s="54"/>
      <c r="Y64" s="55"/>
      <c r="Z64" s="55"/>
      <c r="AA64" s="55"/>
      <c r="AB64" s="55"/>
      <c r="AC64" s="54"/>
      <c r="AD64" s="54"/>
      <c r="AE64" s="54"/>
      <c r="AF64" s="54"/>
      <c r="AG64" s="55"/>
      <c r="AH64" s="54"/>
    </row>
    <row r="65" spans="10:34">
      <c r="J65" s="398"/>
      <c r="K65" s="54"/>
      <c r="L65" s="398"/>
      <c r="M65" s="54"/>
      <c r="N65" s="54"/>
      <c r="O65" s="54"/>
      <c r="P65" s="54"/>
      <c r="Q65" s="54"/>
      <c r="R65" s="54"/>
      <c r="S65" s="54"/>
      <c r="T65" s="54"/>
      <c r="U65" s="54"/>
      <c r="V65" s="54"/>
      <c r="W65" s="54"/>
      <c r="X65" s="54"/>
      <c r="Y65" s="55"/>
      <c r="Z65" s="55"/>
      <c r="AA65" s="55"/>
      <c r="AB65" s="55"/>
      <c r="AC65" s="54"/>
      <c r="AD65" s="54"/>
      <c r="AE65" s="54"/>
      <c r="AF65" s="54"/>
      <c r="AG65" s="55"/>
      <c r="AH65" s="54"/>
    </row>
    <row r="66" spans="10:34">
      <c r="J66" s="398"/>
      <c r="K66" s="54"/>
      <c r="L66" s="398"/>
      <c r="M66" s="54"/>
      <c r="N66" s="54"/>
      <c r="O66" s="54"/>
      <c r="P66" s="54"/>
      <c r="Q66" s="54"/>
      <c r="R66" s="54"/>
      <c r="S66" s="54"/>
      <c r="T66" s="54"/>
      <c r="U66" s="54"/>
      <c r="V66" s="54"/>
      <c r="W66" s="54"/>
      <c r="X66" s="54"/>
      <c r="Y66" s="55"/>
      <c r="Z66" s="55"/>
      <c r="AA66" s="55"/>
      <c r="AB66" s="55"/>
      <c r="AC66" s="54"/>
      <c r="AD66" s="54"/>
      <c r="AE66" s="54"/>
      <c r="AF66" s="54"/>
      <c r="AG66" s="55"/>
      <c r="AH66" s="54"/>
    </row>
    <row r="67" spans="10:34">
      <c r="J67" s="398"/>
      <c r="K67" s="54"/>
      <c r="L67" s="398"/>
      <c r="M67" s="54"/>
      <c r="N67" s="54"/>
      <c r="O67" s="54"/>
      <c r="P67" s="54"/>
      <c r="Q67" s="54"/>
      <c r="R67" s="54"/>
      <c r="S67" s="54"/>
      <c r="T67" s="54"/>
      <c r="U67" s="54"/>
      <c r="V67" s="54"/>
      <c r="W67" s="54"/>
      <c r="X67" s="54"/>
      <c r="Y67" s="55"/>
      <c r="Z67" s="55"/>
      <c r="AA67" s="55"/>
      <c r="AB67" s="55"/>
      <c r="AC67" s="54"/>
      <c r="AD67" s="54"/>
      <c r="AE67" s="54"/>
      <c r="AF67" s="54"/>
      <c r="AG67" s="55"/>
      <c r="AH67" s="54"/>
    </row>
    <row r="68" spans="10:34">
      <c r="J68" s="398"/>
      <c r="K68" s="54"/>
      <c r="L68" s="398"/>
      <c r="M68" s="54"/>
      <c r="N68" s="54"/>
      <c r="O68" s="54"/>
      <c r="P68" s="54"/>
      <c r="Q68" s="54"/>
      <c r="R68" s="54"/>
      <c r="S68" s="54"/>
      <c r="T68" s="54"/>
      <c r="U68" s="54"/>
      <c r="V68" s="54"/>
      <c r="W68" s="54"/>
      <c r="X68" s="54"/>
      <c r="Y68" s="55"/>
      <c r="Z68" s="55"/>
      <c r="AA68" s="55"/>
      <c r="AB68" s="55"/>
      <c r="AC68" s="54"/>
      <c r="AD68" s="54"/>
      <c r="AE68" s="54"/>
      <c r="AF68" s="54"/>
      <c r="AG68" s="55"/>
      <c r="AH68" s="54"/>
    </row>
    <row r="69" spans="10:34">
      <c r="J69" s="398"/>
      <c r="K69" s="54"/>
      <c r="L69" s="398"/>
      <c r="M69" s="54"/>
      <c r="N69" s="54"/>
      <c r="O69" s="54"/>
      <c r="P69" s="54"/>
      <c r="Q69" s="54"/>
      <c r="R69" s="54"/>
      <c r="S69" s="54"/>
      <c r="T69" s="54"/>
      <c r="U69" s="54"/>
      <c r="V69" s="54"/>
      <c r="W69" s="54"/>
      <c r="X69" s="54"/>
      <c r="Y69" s="55"/>
      <c r="Z69" s="55"/>
      <c r="AA69" s="55"/>
      <c r="AB69" s="55"/>
      <c r="AC69" s="54"/>
      <c r="AD69" s="54"/>
      <c r="AE69" s="54"/>
      <c r="AF69" s="54"/>
      <c r="AG69" s="55"/>
      <c r="AH69" s="54"/>
    </row>
    <row r="70" spans="10:34">
      <c r="J70" s="398"/>
      <c r="K70" s="54"/>
      <c r="L70" s="398"/>
      <c r="M70" s="54"/>
      <c r="N70" s="54"/>
      <c r="O70" s="54"/>
      <c r="P70" s="54"/>
      <c r="Q70" s="54"/>
      <c r="R70" s="54"/>
      <c r="S70" s="54"/>
      <c r="T70" s="54"/>
      <c r="U70" s="54"/>
      <c r="V70" s="54"/>
      <c r="W70" s="54"/>
      <c r="X70" s="54"/>
      <c r="Y70" s="55"/>
      <c r="Z70" s="55"/>
      <c r="AA70" s="55"/>
      <c r="AB70" s="55"/>
      <c r="AC70" s="54"/>
      <c r="AD70" s="54"/>
      <c r="AE70" s="54"/>
      <c r="AF70" s="54"/>
      <c r="AG70" s="55"/>
      <c r="AH70" s="54"/>
    </row>
    <row r="71" spans="10:34">
      <c r="J71" s="398"/>
      <c r="K71" s="54"/>
      <c r="L71" s="398"/>
      <c r="M71" s="54"/>
      <c r="N71" s="54"/>
      <c r="O71" s="54"/>
      <c r="P71" s="54"/>
      <c r="Q71" s="54"/>
      <c r="R71" s="54"/>
      <c r="S71" s="54"/>
      <c r="T71" s="54"/>
      <c r="U71" s="54"/>
      <c r="V71" s="54"/>
      <c r="W71" s="54"/>
      <c r="X71" s="54"/>
      <c r="Y71" s="55"/>
      <c r="Z71" s="55"/>
      <c r="AA71" s="55"/>
      <c r="AB71" s="55"/>
      <c r="AC71" s="54"/>
      <c r="AD71" s="54"/>
      <c r="AE71" s="54"/>
      <c r="AF71" s="54"/>
      <c r="AG71" s="55"/>
      <c r="AH71" s="54"/>
    </row>
    <row r="72" spans="10:34">
      <c r="J72" s="398"/>
      <c r="K72" s="54"/>
      <c r="L72" s="398"/>
      <c r="M72" s="54"/>
      <c r="N72" s="54"/>
      <c r="O72" s="54"/>
      <c r="P72" s="54"/>
      <c r="Q72" s="54"/>
      <c r="R72" s="54"/>
      <c r="S72" s="54"/>
      <c r="T72" s="54"/>
      <c r="U72" s="54"/>
      <c r="V72" s="54"/>
      <c r="W72" s="54"/>
      <c r="X72" s="54"/>
      <c r="Y72" s="55"/>
      <c r="Z72" s="55"/>
      <c r="AA72" s="55"/>
      <c r="AB72" s="55"/>
      <c r="AC72" s="54"/>
      <c r="AD72" s="54"/>
      <c r="AE72" s="54"/>
      <c r="AF72" s="54"/>
      <c r="AG72" s="55"/>
      <c r="AH72" s="54"/>
    </row>
    <row r="73" spans="10:34">
      <c r="J73" s="398"/>
      <c r="K73" s="54"/>
      <c r="L73" s="398"/>
      <c r="M73" s="54"/>
      <c r="N73" s="54"/>
      <c r="O73" s="54"/>
      <c r="P73" s="54"/>
      <c r="Q73" s="54"/>
      <c r="R73" s="54"/>
      <c r="S73" s="54"/>
      <c r="T73" s="54"/>
      <c r="U73" s="54"/>
      <c r="V73" s="54"/>
      <c r="W73" s="54"/>
      <c r="X73" s="54"/>
      <c r="Y73" s="55"/>
      <c r="Z73" s="55"/>
      <c r="AA73" s="55"/>
      <c r="AB73" s="55"/>
      <c r="AC73" s="54"/>
      <c r="AD73" s="54"/>
      <c r="AE73" s="54"/>
      <c r="AF73" s="54"/>
      <c r="AG73" s="55"/>
      <c r="AH73" s="54"/>
    </row>
    <row r="74" spans="10:34">
      <c r="J74" s="398"/>
      <c r="K74" s="54"/>
      <c r="L74" s="398"/>
      <c r="M74" s="54"/>
      <c r="N74" s="54"/>
      <c r="O74" s="54"/>
      <c r="P74" s="54"/>
      <c r="Q74" s="54"/>
      <c r="R74" s="54"/>
      <c r="S74" s="54"/>
      <c r="T74" s="54"/>
      <c r="U74" s="54"/>
      <c r="V74" s="54"/>
      <c r="W74" s="54"/>
      <c r="X74" s="54"/>
      <c r="Y74" s="55"/>
      <c r="Z74" s="55"/>
      <c r="AA74" s="55"/>
      <c r="AB74" s="55"/>
      <c r="AC74" s="54"/>
      <c r="AD74" s="54"/>
      <c r="AE74" s="54"/>
      <c r="AF74" s="54"/>
      <c r="AG74" s="55"/>
      <c r="AH74" s="54"/>
    </row>
    <row r="75" spans="10:34">
      <c r="J75" s="398"/>
      <c r="K75" s="54"/>
      <c r="L75" s="398"/>
      <c r="M75" s="54"/>
      <c r="N75" s="54"/>
      <c r="O75" s="54"/>
      <c r="P75" s="54"/>
      <c r="Q75" s="54"/>
      <c r="R75" s="54"/>
      <c r="S75" s="54"/>
      <c r="T75" s="54"/>
      <c r="U75" s="54"/>
      <c r="V75" s="54"/>
      <c r="W75" s="54"/>
      <c r="X75" s="54"/>
      <c r="Y75" s="55"/>
      <c r="Z75" s="55"/>
      <c r="AA75" s="55"/>
      <c r="AB75" s="55"/>
      <c r="AC75" s="54"/>
      <c r="AD75" s="54"/>
      <c r="AE75" s="54"/>
      <c r="AF75" s="54"/>
      <c r="AG75" s="55"/>
      <c r="AH75" s="54"/>
    </row>
    <row r="76" spans="10:34">
      <c r="J76" s="398"/>
      <c r="K76" s="54"/>
      <c r="L76" s="398"/>
      <c r="M76" s="54"/>
      <c r="N76" s="54"/>
      <c r="O76" s="54"/>
      <c r="P76" s="54"/>
      <c r="Q76" s="54"/>
      <c r="R76" s="54"/>
      <c r="S76" s="54"/>
      <c r="T76" s="54"/>
      <c r="U76" s="54"/>
      <c r="V76" s="54"/>
      <c r="W76" s="54"/>
      <c r="X76" s="54"/>
      <c r="Y76" s="55"/>
      <c r="Z76" s="55"/>
      <c r="AA76" s="55"/>
      <c r="AB76" s="55"/>
      <c r="AC76" s="54"/>
      <c r="AD76" s="54"/>
      <c r="AE76" s="54"/>
      <c r="AF76" s="54"/>
      <c r="AG76" s="55"/>
      <c r="AH76" s="54"/>
    </row>
    <row r="77" spans="10:34">
      <c r="J77" s="398"/>
      <c r="K77" s="54"/>
      <c r="L77" s="398"/>
      <c r="M77" s="54"/>
      <c r="N77" s="54"/>
      <c r="O77" s="54"/>
      <c r="P77" s="54"/>
      <c r="Q77" s="54"/>
      <c r="R77" s="54"/>
      <c r="S77" s="54"/>
      <c r="T77" s="54"/>
      <c r="U77" s="54"/>
      <c r="V77" s="54"/>
      <c r="W77" s="54"/>
      <c r="X77" s="54"/>
      <c r="Y77" s="55"/>
      <c r="Z77" s="55"/>
      <c r="AA77" s="55"/>
      <c r="AB77" s="55"/>
      <c r="AC77" s="54"/>
      <c r="AD77" s="54"/>
      <c r="AE77" s="54"/>
      <c r="AF77" s="54"/>
      <c r="AG77" s="55"/>
      <c r="AH77" s="54"/>
    </row>
    <row r="78" spans="10:34">
      <c r="J78" s="398"/>
      <c r="K78" s="54"/>
      <c r="L78" s="398"/>
      <c r="M78" s="54"/>
      <c r="N78" s="54"/>
      <c r="O78" s="54"/>
      <c r="P78" s="54"/>
      <c r="Q78" s="54"/>
      <c r="R78" s="54"/>
      <c r="S78" s="54"/>
      <c r="T78" s="54"/>
      <c r="U78" s="54"/>
      <c r="V78" s="54"/>
      <c r="W78" s="54"/>
      <c r="X78" s="54"/>
      <c r="Y78" s="55"/>
      <c r="Z78" s="55"/>
      <c r="AA78" s="55"/>
      <c r="AB78" s="55"/>
      <c r="AC78" s="54"/>
      <c r="AD78" s="54"/>
      <c r="AE78" s="54"/>
      <c r="AF78" s="54"/>
      <c r="AG78" s="55"/>
      <c r="AH78" s="54"/>
    </row>
    <row r="79" spans="10:34">
      <c r="J79" s="398"/>
      <c r="K79" s="54"/>
      <c r="L79" s="398"/>
      <c r="M79" s="54"/>
      <c r="N79" s="54"/>
      <c r="O79" s="54"/>
      <c r="P79" s="54"/>
      <c r="Q79" s="54"/>
      <c r="R79" s="54"/>
      <c r="S79" s="54"/>
      <c r="T79" s="54"/>
      <c r="U79" s="54"/>
      <c r="V79" s="54"/>
      <c r="W79" s="54"/>
      <c r="X79" s="54"/>
      <c r="Y79" s="55"/>
      <c r="Z79" s="55"/>
      <c r="AA79" s="55"/>
      <c r="AB79" s="55"/>
      <c r="AC79" s="54"/>
      <c r="AD79" s="54"/>
      <c r="AE79" s="54"/>
      <c r="AF79" s="54"/>
      <c r="AG79" s="55"/>
      <c r="AH79" s="54"/>
    </row>
    <row r="80" spans="10:34">
      <c r="J80" s="398"/>
      <c r="K80" s="54"/>
      <c r="L80" s="398"/>
      <c r="M80" s="54"/>
      <c r="N80" s="54"/>
      <c r="O80" s="54"/>
      <c r="P80" s="54"/>
      <c r="Q80" s="54"/>
      <c r="R80" s="54"/>
      <c r="S80" s="54"/>
      <c r="T80" s="54"/>
      <c r="U80" s="54"/>
      <c r="V80" s="54"/>
      <c r="W80" s="54"/>
      <c r="X80" s="54"/>
      <c r="Y80" s="55"/>
      <c r="Z80" s="55"/>
      <c r="AA80" s="55"/>
      <c r="AB80" s="55"/>
      <c r="AC80" s="54"/>
      <c r="AD80" s="54"/>
      <c r="AE80" s="54"/>
      <c r="AF80" s="54"/>
      <c r="AG80" s="55"/>
      <c r="AH80" s="54"/>
    </row>
    <row r="81" spans="10:34">
      <c r="J81" s="398"/>
      <c r="K81" s="54"/>
      <c r="L81" s="398"/>
      <c r="M81" s="54"/>
      <c r="N81" s="54"/>
      <c r="O81" s="54"/>
      <c r="P81" s="54"/>
      <c r="Q81" s="54"/>
      <c r="R81" s="54"/>
      <c r="S81" s="54"/>
      <c r="T81" s="54"/>
      <c r="U81" s="54"/>
      <c r="V81" s="54"/>
      <c r="W81" s="54"/>
      <c r="X81" s="54"/>
      <c r="Y81" s="55"/>
      <c r="Z81" s="55"/>
      <c r="AA81" s="55"/>
      <c r="AB81" s="55"/>
      <c r="AC81" s="54"/>
      <c r="AD81" s="54"/>
      <c r="AE81" s="54"/>
      <c r="AF81" s="54"/>
      <c r="AG81" s="55"/>
      <c r="AH81" s="54"/>
    </row>
    <row r="82" spans="10:34">
      <c r="J82" s="398"/>
      <c r="K82" s="54"/>
      <c r="L82" s="398"/>
      <c r="M82" s="54"/>
      <c r="N82" s="54"/>
      <c r="O82" s="54"/>
      <c r="P82" s="54"/>
      <c r="Q82" s="54"/>
      <c r="R82" s="54"/>
      <c r="S82" s="54"/>
      <c r="T82" s="54"/>
      <c r="U82" s="54"/>
      <c r="V82" s="54"/>
      <c r="W82" s="54"/>
      <c r="X82" s="54"/>
      <c r="Y82" s="55"/>
      <c r="Z82" s="55"/>
      <c r="AA82" s="55"/>
      <c r="AB82" s="55"/>
      <c r="AC82" s="54"/>
      <c r="AD82" s="54"/>
      <c r="AE82" s="54"/>
      <c r="AF82" s="54"/>
      <c r="AG82" s="55"/>
      <c r="AH82" s="54"/>
    </row>
    <row r="83" spans="10:34">
      <c r="J83" s="398"/>
      <c r="K83" s="54"/>
      <c r="L83" s="398"/>
      <c r="M83" s="54"/>
      <c r="N83" s="54"/>
      <c r="O83" s="54"/>
      <c r="P83" s="54"/>
      <c r="Q83" s="54"/>
      <c r="R83" s="54"/>
      <c r="S83" s="54"/>
      <c r="T83" s="54"/>
      <c r="U83" s="54"/>
      <c r="V83" s="54"/>
      <c r="W83" s="54"/>
      <c r="X83" s="54"/>
      <c r="Y83" s="55"/>
      <c r="Z83" s="55"/>
      <c r="AA83" s="55"/>
      <c r="AB83" s="55"/>
      <c r="AC83" s="54"/>
      <c r="AD83" s="54"/>
      <c r="AE83" s="54"/>
      <c r="AF83" s="54"/>
      <c r="AG83" s="55"/>
      <c r="AH83" s="54"/>
    </row>
    <row r="84" spans="10:34">
      <c r="J84" s="398"/>
      <c r="K84" s="54"/>
      <c r="L84" s="398"/>
      <c r="M84" s="54"/>
      <c r="N84" s="54"/>
      <c r="O84" s="54"/>
      <c r="P84" s="54"/>
      <c r="Q84" s="54"/>
      <c r="R84" s="54"/>
      <c r="S84" s="54"/>
      <c r="T84" s="54"/>
      <c r="U84" s="54"/>
      <c r="V84" s="54"/>
      <c r="W84" s="54"/>
      <c r="X84" s="54"/>
      <c r="Y84" s="55"/>
      <c r="Z84" s="55"/>
      <c r="AA84" s="55"/>
      <c r="AB84" s="55"/>
      <c r="AC84" s="54"/>
      <c r="AD84" s="54"/>
      <c r="AE84" s="54"/>
      <c r="AF84" s="54"/>
      <c r="AG84" s="55"/>
      <c r="AH84" s="54"/>
    </row>
    <row r="85" spans="10:34">
      <c r="J85" s="398"/>
      <c r="K85" s="54"/>
      <c r="L85" s="398"/>
      <c r="M85" s="54"/>
      <c r="N85" s="54"/>
      <c r="O85" s="54"/>
      <c r="P85" s="54"/>
      <c r="Q85" s="54"/>
      <c r="R85" s="54"/>
      <c r="S85" s="54"/>
      <c r="T85" s="54"/>
      <c r="U85" s="54"/>
      <c r="V85" s="54"/>
      <c r="W85" s="54"/>
      <c r="X85" s="54"/>
      <c r="Y85" s="55"/>
      <c r="Z85" s="55"/>
      <c r="AA85" s="55"/>
      <c r="AB85" s="55"/>
      <c r="AC85" s="54"/>
      <c r="AD85" s="54"/>
      <c r="AE85" s="54"/>
      <c r="AF85" s="54"/>
      <c r="AG85" s="55"/>
      <c r="AH85" s="54"/>
    </row>
    <row r="86" spans="10:34">
      <c r="J86" s="398"/>
      <c r="K86" s="54"/>
      <c r="L86" s="398"/>
      <c r="M86" s="54"/>
      <c r="N86" s="54"/>
      <c r="O86" s="54"/>
      <c r="P86" s="54"/>
      <c r="Q86" s="54"/>
      <c r="R86" s="54"/>
      <c r="S86" s="54"/>
      <c r="T86" s="54"/>
      <c r="U86" s="54"/>
      <c r="V86" s="54"/>
      <c r="W86" s="54"/>
      <c r="X86" s="54"/>
      <c r="Y86" s="55"/>
      <c r="Z86" s="55"/>
      <c r="AA86" s="55"/>
      <c r="AB86" s="55"/>
      <c r="AC86" s="54"/>
      <c r="AD86" s="54"/>
      <c r="AE86" s="54"/>
      <c r="AF86" s="54"/>
      <c r="AG86" s="55"/>
      <c r="AH86" s="54"/>
    </row>
    <row r="87" spans="10:34">
      <c r="J87" s="398"/>
      <c r="K87" s="54"/>
      <c r="L87" s="398"/>
      <c r="M87" s="54"/>
      <c r="N87" s="54"/>
      <c r="O87" s="54"/>
      <c r="P87" s="54"/>
      <c r="Q87" s="54"/>
      <c r="R87" s="54"/>
      <c r="S87" s="54"/>
      <c r="T87" s="54"/>
      <c r="U87" s="54"/>
      <c r="V87" s="54"/>
      <c r="W87" s="54"/>
      <c r="X87" s="54"/>
      <c r="Y87" s="55"/>
      <c r="Z87" s="55"/>
      <c r="AA87" s="55"/>
      <c r="AB87" s="55"/>
      <c r="AC87" s="54"/>
      <c r="AD87" s="54"/>
      <c r="AE87" s="54"/>
      <c r="AF87" s="54"/>
      <c r="AG87" s="55"/>
      <c r="AH87" s="54"/>
    </row>
    <row r="88" spans="10:34">
      <c r="J88" s="398"/>
      <c r="K88" s="54"/>
      <c r="L88" s="398"/>
      <c r="M88" s="54"/>
      <c r="N88" s="54"/>
      <c r="O88" s="54"/>
      <c r="P88" s="54"/>
      <c r="Q88" s="54"/>
      <c r="R88" s="54"/>
      <c r="S88" s="54"/>
      <c r="T88" s="54"/>
      <c r="U88" s="54"/>
      <c r="V88" s="54"/>
      <c r="W88" s="54"/>
      <c r="X88" s="54"/>
      <c r="Y88" s="55"/>
      <c r="Z88" s="55"/>
      <c r="AA88" s="55"/>
      <c r="AB88" s="55"/>
      <c r="AC88" s="54"/>
      <c r="AD88" s="54"/>
      <c r="AE88" s="54"/>
      <c r="AF88" s="54"/>
      <c r="AG88" s="55"/>
      <c r="AH88" s="54"/>
    </row>
    <row r="89" spans="10:34">
      <c r="J89" s="398"/>
      <c r="K89" s="54"/>
      <c r="L89" s="398"/>
      <c r="M89" s="54"/>
      <c r="N89" s="54"/>
      <c r="O89" s="54"/>
      <c r="P89" s="54"/>
      <c r="Q89" s="54"/>
      <c r="R89" s="54"/>
      <c r="S89" s="54"/>
      <c r="T89" s="54"/>
      <c r="U89" s="54"/>
      <c r="V89" s="54"/>
      <c r="W89" s="54"/>
      <c r="X89" s="54"/>
      <c r="Y89" s="55"/>
      <c r="Z89" s="55"/>
      <c r="AA89" s="55"/>
      <c r="AB89" s="55"/>
      <c r="AC89" s="54"/>
      <c r="AD89" s="54"/>
      <c r="AE89" s="54"/>
      <c r="AF89" s="54"/>
      <c r="AG89" s="55"/>
      <c r="AH89" s="54"/>
    </row>
    <row r="90" spans="10:34">
      <c r="J90" s="398"/>
      <c r="K90" s="54"/>
      <c r="L90" s="398"/>
      <c r="M90" s="54"/>
      <c r="N90" s="54"/>
      <c r="O90" s="54"/>
      <c r="P90" s="54"/>
      <c r="Q90" s="54"/>
      <c r="R90" s="54"/>
      <c r="S90" s="54"/>
      <c r="T90" s="54"/>
      <c r="U90" s="54"/>
      <c r="V90" s="54"/>
      <c r="W90" s="54"/>
      <c r="X90" s="54"/>
      <c r="Y90" s="55"/>
      <c r="Z90" s="55"/>
      <c r="AA90" s="55"/>
      <c r="AB90" s="55"/>
      <c r="AC90" s="54"/>
      <c r="AD90" s="54"/>
      <c r="AE90" s="54"/>
      <c r="AF90" s="54"/>
      <c r="AG90" s="55"/>
      <c r="AH90" s="54"/>
    </row>
    <row r="91" spans="10:34">
      <c r="J91" s="398"/>
      <c r="K91" s="54"/>
      <c r="L91" s="398"/>
      <c r="M91" s="54"/>
      <c r="N91" s="54"/>
      <c r="O91" s="54"/>
      <c r="P91" s="54"/>
      <c r="Q91" s="54"/>
      <c r="R91" s="54"/>
      <c r="S91" s="54"/>
      <c r="T91" s="54"/>
      <c r="U91" s="54"/>
      <c r="V91" s="54"/>
      <c r="W91" s="54"/>
      <c r="X91" s="54"/>
      <c r="Y91" s="55"/>
      <c r="Z91" s="55"/>
      <c r="AA91" s="55"/>
      <c r="AB91" s="55"/>
      <c r="AC91" s="54"/>
      <c r="AD91" s="54"/>
      <c r="AE91" s="54"/>
      <c r="AF91" s="54"/>
      <c r="AG91" s="55"/>
      <c r="AH91" s="54"/>
    </row>
    <row r="92" spans="10:34">
      <c r="J92" s="398"/>
      <c r="K92" s="54"/>
      <c r="L92" s="398"/>
      <c r="M92" s="54"/>
      <c r="N92" s="54"/>
      <c r="O92" s="54"/>
      <c r="P92" s="54"/>
      <c r="Q92" s="54"/>
      <c r="R92" s="54"/>
      <c r="S92" s="54"/>
      <c r="T92" s="54"/>
      <c r="U92" s="54"/>
      <c r="V92" s="54"/>
      <c r="W92" s="54"/>
      <c r="X92" s="54"/>
      <c r="Y92" s="55"/>
      <c r="Z92" s="55"/>
      <c r="AA92" s="55"/>
      <c r="AB92" s="55"/>
      <c r="AC92" s="54"/>
      <c r="AD92" s="54"/>
      <c r="AE92" s="54"/>
      <c r="AF92" s="54"/>
      <c r="AG92" s="55"/>
      <c r="AH92" s="54"/>
    </row>
    <row r="93" spans="10:34">
      <c r="J93" s="398"/>
      <c r="K93" s="54"/>
      <c r="L93" s="56"/>
      <c r="M93" s="54"/>
      <c r="N93" s="54"/>
      <c r="O93" s="54"/>
      <c r="P93" s="54"/>
      <c r="Q93" s="54"/>
      <c r="R93" s="54"/>
      <c r="S93" s="54"/>
      <c r="T93" s="54"/>
      <c r="U93" s="54"/>
      <c r="V93" s="54"/>
      <c r="W93" s="54"/>
      <c r="X93" s="54"/>
      <c r="Y93" s="55"/>
      <c r="Z93" s="55"/>
      <c r="AA93" s="55"/>
      <c r="AB93" s="55"/>
      <c r="AC93" s="54"/>
      <c r="AD93" s="54"/>
      <c r="AE93" s="54"/>
      <c r="AF93" s="54"/>
      <c r="AG93" s="55"/>
      <c r="AH93" s="54"/>
    </row>
    <row r="94" spans="10:34">
      <c r="J94" s="398"/>
      <c r="K94" s="54"/>
      <c r="L94" s="56"/>
      <c r="M94" s="54"/>
      <c r="N94" s="54"/>
      <c r="O94" s="54"/>
      <c r="P94" s="54"/>
      <c r="Q94" s="54"/>
      <c r="R94" s="54"/>
      <c r="S94" s="54"/>
      <c r="T94" s="54"/>
      <c r="U94" s="54"/>
      <c r="V94" s="54"/>
      <c r="W94" s="54"/>
      <c r="X94" s="54"/>
      <c r="Y94" s="55"/>
      <c r="Z94" s="55"/>
      <c r="AA94" s="55"/>
      <c r="AB94" s="55"/>
      <c r="AC94" s="54"/>
      <c r="AD94" s="54"/>
      <c r="AE94" s="54"/>
      <c r="AF94" s="54"/>
      <c r="AG94" s="55"/>
      <c r="AH94" s="54"/>
    </row>
    <row r="95" spans="10:34">
      <c r="J95" s="398"/>
      <c r="K95" s="54"/>
      <c r="L95" s="398"/>
      <c r="M95" s="54"/>
      <c r="N95" s="54"/>
      <c r="O95" s="54"/>
      <c r="P95" s="54"/>
      <c r="Q95" s="54"/>
      <c r="R95" s="54"/>
      <c r="S95" s="54"/>
      <c r="T95" s="54"/>
      <c r="U95" s="54"/>
      <c r="V95" s="54"/>
      <c r="W95" s="54"/>
      <c r="X95" s="54"/>
      <c r="Y95" s="55"/>
      <c r="Z95" s="55"/>
      <c r="AA95" s="55"/>
      <c r="AB95" s="55"/>
      <c r="AC95" s="54"/>
      <c r="AD95" s="54"/>
      <c r="AE95" s="54"/>
      <c r="AF95" s="54"/>
      <c r="AG95" s="55"/>
      <c r="AH95" s="54"/>
    </row>
    <row r="96" spans="10:34">
      <c r="J96" s="398"/>
      <c r="K96" s="54"/>
      <c r="L96" s="398"/>
      <c r="M96" s="54"/>
      <c r="N96" s="54"/>
      <c r="O96" s="54"/>
      <c r="P96" s="54"/>
      <c r="Q96" s="54"/>
      <c r="R96" s="54"/>
      <c r="S96" s="54"/>
      <c r="T96" s="54"/>
      <c r="U96" s="54"/>
      <c r="V96" s="54"/>
      <c r="W96" s="54"/>
      <c r="X96" s="54"/>
      <c r="Y96" s="55"/>
      <c r="Z96" s="55"/>
      <c r="AA96" s="55"/>
      <c r="AB96" s="55"/>
      <c r="AC96" s="54"/>
      <c r="AD96" s="54"/>
      <c r="AE96" s="54"/>
      <c r="AF96" s="54"/>
      <c r="AG96" s="55"/>
      <c r="AH96" s="54"/>
    </row>
    <row r="97" spans="10:34">
      <c r="J97" s="398"/>
      <c r="K97" s="54"/>
      <c r="L97" s="398"/>
      <c r="M97" s="54"/>
      <c r="N97" s="54"/>
      <c r="O97" s="54"/>
      <c r="P97" s="54"/>
      <c r="Q97" s="54"/>
      <c r="R97" s="54"/>
      <c r="S97" s="54"/>
      <c r="T97" s="54"/>
      <c r="U97" s="54"/>
      <c r="V97" s="54"/>
      <c r="W97" s="54"/>
      <c r="X97" s="54"/>
      <c r="Y97" s="55"/>
      <c r="Z97" s="55"/>
      <c r="AA97" s="55"/>
      <c r="AB97" s="55"/>
      <c r="AC97" s="54"/>
      <c r="AD97" s="54"/>
      <c r="AE97" s="54"/>
      <c r="AF97" s="54"/>
      <c r="AG97" s="55"/>
      <c r="AH97" s="54"/>
    </row>
    <row r="98" spans="10:34">
      <c r="J98" s="398"/>
      <c r="K98" s="54"/>
      <c r="L98" s="398"/>
      <c r="M98" s="54"/>
      <c r="N98" s="54"/>
      <c r="O98" s="54"/>
      <c r="P98" s="54"/>
      <c r="Q98" s="54"/>
      <c r="R98" s="54"/>
      <c r="S98" s="54"/>
      <c r="T98" s="54"/>
      <c r="U98" s="54"/>
      <c r="V98" s="54"/>
      <c r="W98" s="54"/>
      <c r="X98" s="54"/>
      <c r="Y98" s="55"/>
      <c r="Z98" s="55"/>
      <c r="AA98" s="55"/>
      <c r="AB98" s="55"/>
      <c r="AC98" s="54"/>
      <c r="AD98" s="54"/>
      <c r="AE98" s="54"/>
      <c r="AF98" s="54"/>
      <c r="AG98" s="55"/>
      <c r="AH98" s="54"/>
    </row>
    <row r="99" spans="10:34">
      <c r="J99" s="398"/>
      <c r="K99" s="54"/>
      <c r="L99" s="398"/>
      <c r="M99" s="54"/>
      <c r="N99" s="54"/>
      <c r="O99" s="54"/>
      <c r="P99" s="54"/>
      <c r="Q99" s="54"/>
      <c r="R99" s="54"/>
      <c r="S99" s="54"/>
      <c r="T99" s="54"/>
      <c r="U99" s="54"/>
      <c r="V99" s="54"/>
      <c r="W99" s="54"/>
      <c r="X99" s="54"/>
      <c r="Y99" s="55"/>
      <c r="Z99" s="55"/>
      <c r="AA99" s="55"/>
      <c r="AB99" s="55"/>
      <c r="AC99" s="54"/>
      <c r="AD99" s="54"/>
      <c r="AE99" s="54"/>
      <c r="AF99" s="54"/>
      <c r="AG99" s="55"/>
      <c r="AH99" s="54"/>
    </row>
    <row r="100" spans="10:34">
      <c r="J100" s="398"/>
      <c r="K100" s="54"/>
      <c r="L100" s="398"/>
      <c r="M100" s="54"/>
      <c r="N100" s="54"/>
      <c r="O100" s="54"/>
      <c r="P100" s="54"/>
      <c r="Q100" s="54"/>
      <c r="R100" s="54"/>
      <c r="S100" s="54"/>
      <c r="T100" s="54"/>
      <c r="U100" s="54"/>
      <c r="V100" s="54"/>
      <c r="W100" s="54"/>
      <c r="X100" s="54"/>
      <c r="Y100" s="55"/>
      <c r="Z100" s="55"/>
      <c r="AA100" s="55"/>
      <c r="AB100" s="55"/>
      <c r="AC100" s="54"/>
      <c r="AD100" s="54"/>
      <c r="AE100" s="54"/>
      <c r="AF100" s="54"/>
      <c r="AG100" s="55"/>
      <c r="AH100" s="54"/>
    </row>
    <row r="101" spans="10:34">
      <c r="J101" s="378"/>
      <c r="K101" s="54"/>
      <c r="L101" s="378"/>
      <c r="M101" s="54"/>
      <c r="N101" s="54"/>
      <c r="O101" s="54"/>
      <c r="P101" s="54"/>
      <c r="Q101" s="54"/>
      <c r="R101" s="54"/>
      <c r="S101" s="54"/>
      <c r="T101" s="54"/>
      <c r="U101" s="54"/>
      <c r="V101" s="54"/>
      <c r="W101" s="54"/>
      <c r="X101" s="54"/>
      <c r="Y101" s="55"/>
      <c r="Z101" s="55"/>
      <c r="AA101" s="55"/>
      <c r="AB101" s="55"/>
      <c r="AC101" s="54"/>
      <c r="AD101" s="54"/>
      <c r="AE101" s="54"/>
      <c r="AF101" s="54"/>
      <c r="AG101" s="55"/>
      <c r="AH101" s="54"/>
    </row>
    <row r="102" spans="10:34">
      <c r="J102" s="398"/>
      <c r="K102" s="54"/>
      <c r="L102" s="398"/>
      <c r="M102" s="54"/>
      <c r="N102" s="54"/>
      <c r="O102" s="54"/>
      <c r="P102" s="54"/>
      <c r="Q102" s="54"/>
      <c r="R102" s="54"/>
      <c r="S102" s="54"/>
      <c r="T102" s="54"/>
      <c r="U102" s="54"/>
      <c r="V102" s="54"/>
      <c r="W102" s="54"/>
      <c r="X102" s="54"/>
      <c r="Y102" s="55"/>
      <c r="Z102" s="55"/>
      <c r="AA102" s="55"/>
      <c r="AB102" s="55"/>
      <c r="AC102" s="54"/>
      <c r="AD102" s="54"/>
      <c r="AE102" s="54"/>
      <c r="AF102" s="54"/>
      <c r="AG102" s="55"/>
      <c r="AH102" s="54"/>
    </row>
    <row r="103" spans="10:34">
      <c r="J103" s="398"/>
      <c r="K103" s="54"/>
      <c r="L103" s="398"/>
      <c r="M103" s="54"/>
      <c r="N103" s="54"/>
      <c r="O103" s="54"/>
      <c r="P103" s="54"/>
      <c r="Q103" s="54"/>
      <c r="R103" s="54"/>
      <c r="S103" s="54"/>
      <c r="T103" s="54"/>
      <c r="U103" s="54"/>
      <c r="V103" s="54"/>
      <c r="W103" s="54"/>
      <c r="X103" s="54"/>
      <c r="Y103" s="55"/>
      <c r="Z103" s="55"/>
      <c r="AA103" s="55"/>
      <c r="AB103" s="55"/>
      <c r="AC103" s="54"/>
      <c r="AD103" s="54"/>
      <c r="AE103" s="54"/>
      <c r="AF103" s="54"/>
      <c r="AG103" s="55"/>
      <c r="AH103" s="54"/>
    </row>
    <row r="104" spans="10:34">
      <c r="J104" s="398"/>
      <c r="K104" s="54"/>
      <c r="L104" s="398"/>
      <c r="M104" s="54"/>
      <c r="N104" s="54"/>
      <c r="O104" s="54"/>
      <c r="P104" s="54"/>
      <c r="Q104" s="54"/>
      <c r="R104" s="54"/>
      <c r="S104" s="54"/>
      <c r="T104" s="54"/>
      <c r="U104" s="54"/>
      <c r="V104" s="54"/>
      <c r="W104" s="54"/>
      <c r="X104" s="54"/>
      <c r="Y104" s="55"/>
      <c r="Z104" s="55"/>
      <c r="AA104" s="55"/>
      <c r="AB104" s="55"/>
      <c r="AC104" s="54"/>
      <c r="AD104" s="54"/>
      <c r="AE104" s="54"/>
      <c r="AF104" s="54"/>
      <c r="AG104" s="55"/>
      <c r="AH104" s="54"/>
    </row>
    <row r="105" spans="10:34">
      <c r="J105" s="398"/>
      <c r="K105" s="54"/>
      <c r="L105" s="398"/>
      <c r="M105" s="54"/>
      <c r="N105" s="54"/>
      <c r="O105" s="54"/>
      <c r="P105" s="54"/>
      <c r="Q105" s="54"/>
      <c r="R105" s="54"/>
      <c r="S105" s="54"/>
      <c r="T105" s="54"/>
      <c r="U105" s="54"/>
      <c r="V105" s="54"/>
      <c r="W105" s="54"/>
      <c r="X105" s="54"/>
      <c r="Y105" s="55"/>
      <c r="Z105" s="55"/>
      <c r="AA105" s="55"/>
      <c r="AB105" s="55"/>
      <c r="AC105" s="54"/>
      <c r="AD105" s="54"/>
      <c r="AE105" s="54"/>
      <c r="AF105" s="54"/>
      <c r="AG105" s="55"/>
      <c r="AH105" s="54"/>
    </row>
    <row r="106" spans="10:34">
      <c r="J106" s="398"/>
      <c r="K106" s="54"/>
      <c r="L106" s="398"/>
      <c r="M106" s="54"/>
      <c r="N106" s="54"/>
      <c r="O106" s="54"/>
      <c r="P106" s="54"/>
      <c r="Q106" s="54"/>
      <c r="R106" s="54"/>
      <c r="S106" s="54"/>
      <c r="T106" s="54"/>
      <c r="U106" s="54"/>
      <c r="V106" s="54"/>
      <c r="W106" s="54"/>
      <c r="X106" s="54"/>
      <c r="Y106" s="55"/>
      <c r="Z106" s="55"/>
      <c r="AA106" s="55"/>
      <c r="AB106" s="55"/>
      <c r="AC106" s="54"/>
      <c r="AD106" s="54"/>
      <c r="AE106" s="54"/>
      <c r="AF106" s="54"/>
      <c r="AG106" s="55"/>
      <c r="AH106" s="54"/>
    </row>
    <row r="107" spans="10:34">
      <c r="J107" s="398"/>
      <c r="K107" s="54"/>
      <c r="L107" s="398"/>
      <c r="M107" s="54"/>
      <c r="N107" s="54"/>
      <c r="O107" s="54"/>
      <c r="P107" s="54"/>
      <c r="Q107" s="54"/>
      <c r="R107" s="54"/>
      <c r="S107" s="54"/>
      <c r="T107" s="54"/>
      <c r="U107" s="54"/>
      <c r="V107" s="54"/>
      <c r="W107" s="54"/>
      <c r="X107" s="54"/>
      <c r="Y107" s="55"/>
      <c r="Z107" s="55"/>
      <c r="AA107" s="55"/>
      <c r="AB107" s="55"/>
      <c r="AC107" s="54"/>
      <c r="AD107" s="54"/>
      <c r="AE107" s="54"/>
      <c r="AF107" s="54"/>
      <c r="AG107" s="55"/>
      <c r="AH107" s="54"/>
    </row>
    <row r="108" spans="10:34">
      <c r="J108" s="398"/>
      <c r="K108" s="54"/>
      <c r="L108" s="398"/>
      <c r="M108" s="54"/>
      <c r="N108" s="54"/>
      <c r="O108" s="54"/>
      <c r="P108" s="54"/>
      <c r="Q108" s="54"/>
      <c r="R108" s="54"/>
      <c r="S108" s="54"/>
      <c r="T108" s="54"/>
      <c r="U108" s="54"/>
      <c r="V108" s="54"/>
      <c r="W108" s="54"/>
      <c r="X108" s="54"/>
      <c r="Y108" s="55"/>
      <c r="Z108" s="55"/>
      <c r="AA108" s="55"/>
      <c r="AB108" s="55"/>
      <c r="AC108" s="54"/>
      <c r="AD108" s="54"/>
      <c r="AE108" s="54"/>
      <c r="AF108" s="54"/>
      <c r="AG108" s="55"/>
      <c r="AH108" s="54"/>
    </row>
    <row r="109" spans="10:34">
      <c r="J109" s="398"/>
      <c r="K109" s="54"/>
      <c r="L109" s="398"/>
      <c r="M109" s="54"/>
      <c r="N109" s="54"/>
      <c r="O109" s="54"/>
      <c r="P109" s="54"/>
      <c r="Q109" s="54"/>
      <c r="R109" s="54"/>
      <c r="S109" s="54"/>
      <c r="T109" s="54"/>
      <c r="U109" s="54"/>
      <c r="V109" s="54"/>
      <c r="W109" s="54"/>
      <c r="X109" s="54"/>
      <c r="Y109" s="55"/>
      <c r="Z109" s="55"/>
      <c r="AA109" s="55"/>
      <c r="AB109" s="55"/>
      <c r="AC109" s="54"/>
      <c r="AD109" s="54"/>
      <c r="AE109" s="54"/>
      <c r="AF109" s="54"/>
      <c r="AG109" s="55"/>
      <c r="AH109" s="54"/>
    </row>
    <row r="110" spans="10:34">
      <c r="J110" s="398"/>
      <c r="K110" s="54"/>
      <c r="L110" s="398"/>
      <c r="M110" s="54"/>
      <c r="N110" s="54"/>
      <c r="O110" s="54"/>
      <c r="P110" s="54"/>
      <c r="Q110" s="54"/>
      <c r="R110" s="54"/>
      <c r="S110" s="54"/>
      <c r="T110" s="54"/>
      <c r="U110" s="54"/>
      <c r="V110" s="54"/>
      <c r="W110" s="54"/>
      <c r="X110" s="54"/>
      <c r="Y110" s="55"/>
      <c r="Z110" s="55"/>
      <c r="AA110" s="55"/>
      <c r="AB110" s="55"/>
      <c r="AC110" s="54"/>
      <c r="AD110" s="54"/>
      <c r="AE110" s="54"/>
      <c r="AF110" s="54"/>
      <c r="AG110" s="55"/>
      <c r="AH110" s="54"/>
    </row>
    <row r="111" spans="10:34">
      <c r="J111" s="398"/>
      <c r="K111" s="54"/>
      <c r="L111" s="398"/>
      <c r="M111" s="54"/>
      <c r="N111" s="54"/>
      <c r="O111" s="54"/>
      <c r="P111" s="54"/>
      <c r="Q111" s="54"/>
      <c r="R111" s="54"/>
      <c r="S111" s="54"/>
      <c r="T111" s="54"/>
      <c r="U111" s="54"/>
      <c r="V111" s="54"/>
      <c r="W111" s="54"/>
      <c r="X111" s="54"/>
      <c r="Y111" s="55"/>
      <c r="Z111" s="55"/>
      <c r="AA111" s="55"/>
      <c r="AB111" s="55"/>
      <c r="AC111" s="54"/>
      <c r="AD111" s="54"/>
      <c r="AE111" s="54"/>
      <c r="AF111" s="54"/>
      <c r="AG111" s="55"/>
      <c r="AH111" s="54"/>
    </row>
    <row r="112" spans="10:34">
      <c r="J112" s="398"/>
      <c r="K112" s="54"/>
      <c r="L112" s="398"/>
      <c r="M112" s="54"/>
      <c r="N112" s="54"/>
      <c r="O112" s="54"/>
      <c r="P112" s="54"/>
      <c r="Q112" s="54"/>
      <c r="R112" s="54"/>
      <c r="S112" s="54"/>
      <c r="T112" s="54"/>
      <c r="U112" s="54"/>
      <c r="V112" s="54"/>
      <c r="W112" s="54"/>
      <c r="X112" s="54"/>
      <c r="Y112" s="55"/>
      <c r="Z112" s="55"/>
      <c r="AA112" s="55"/>
      <c r="AB112" s="55"/>
      <c r="AC112" s="54"/>
      <c r="AD112" s="54"/>
      <c r="AE112" s="54"/>
      <c r="AF112" s="54"/>
      <c r="AG112" s="55"/>
      <c r="AH112" s="54"/>
    </row>
    <row r="113" spans="10:34">
      <c r="J113" s="398"/>
      <c r="K113" s="54"/>
      <c r="L113" s="398"/>
      <c r="M113" s="54"/>
      <c r="N113" s="54"/>
      <c r="O113" s="54"/>
      <c r="P113" s="54"/>
      <c r="Q113" s="54"/>
      <c r="R113" s="54"/>
      <c r="S113" s="54"/>
      <c r="T113" s="54"/>
      <c r="U113" s="54"/>
      <c r="V113" s="54"/>
      <c r="W113" s="54"/>
      <c r="X113" s="54"/>
      <c r="Y113" s="55"/>
      <c r="Z113" s="55"/>
      <c r="AA113" s="55"/>
      <c r="AB113" s="55"/>
      <c r="AC113" s="54"/>
      <c r="AD113" s="54"/>
      <c r="AE113" s="54"/>
      <c r="AF113" s="54"/>
      <c r="AG113" s="55"/>
      <c r="AH113" s="54"/>
    </row>
    <row r="114" spans="10:34">
      <c r="J114" s="398"/>
      <c r="K114" s="54"/>
      <c r="L114" s="398"/>
      <c r="M114" s="54"/>
      <c r="N114" s="54"/>
      <c r="O114" s="54"/>
      <c r="P114" s="54"/>
      <c r="Q114" s="54"/>
      <c r="R114" s="54"/>
      <c r="S114" s="54"/>
      <c r="T114" s="54"/>
      <c r="U114" s="54"/>
      <c r="V114" s="54"/>
      <c r="W114" s="54"/>
      <c r="X114" s="54"/>
      <c r="Y114" s="55"/>
      <c r="Z114" s="55"/>
      <c r="AA114" s="55"/>
      <c r="AB114" s="55"/>
      <c r="AC114" s="54"/>
      <c r="AD114" s="54"/>
      <c r="AE114" s="54"/>
      <c r="AF114" s="54"/>
      <c r="AG114" s="55"/>
      <c r="AH114" s="54"/>
    </row>
    <row r="115" spans="10:34">
      <c r="J115" s="398"/>
      <c r="K115" s="54"/>
      <c r="L115" s="398"/>
      <c r="M115" s="54"/>
      <c r="N115" s="54"/>
      <c r="O115" s="54"/>
      <c r="P115" s="54"/>
      <c r="Q115" s="54"/>
      <c r="R115" s="54"/>
      <c r="S115" s="54"/>
      <c r="T115" s="54"/>
      <c r="U115" s="54"/>
      <c r="V115" s="54"/>
      <c r="W115" s="54"/>
      <c r="X115" s="54"/>
      <c r="Y115" s="55"/>
      <c r="Z115" s="55"/>
      <c r="AA115" s="55"/>
      <c r="AB115" s="55"/>
      <c r="AC115" s="54"/>
      <c r="AD115" s="54"/>
      <c r="AE115" s="54"/>
      <c r="AF115" s="54"/>
      <c r="AG115" s="55"/>
      <c r="AH115" s="54"/>
    </row>
    <row r="116" spans="10:34">
      <c r="J116" s="398"/>
      <c r="K116" s="54"/>
      <c r="L116" s="398"/>
      <c r="M116" s="54"/>
      <c r="N116" s="54"/>
      <c r="O116" s="54"/>
      <c r="P116" s="54"/>
      <c r="Q116" s="54"/>
      <c r="R116" s="54"/>
      <c r="S116" s="54"/>
      <c r="T116" s="54"/>
      <c r="U116" s="54"/>
      <c r="V116" s="54"/>
      <c r="W116" s="54"/>
      <c r="X116" s="54"/>
      <c r="Y116" s="55"/>
      <c r="Z116" s="55"/>
      <c r="AA116" s="55"/>
      <c r="AB116" s="55"/>
      <c r="AC116" s="54"/>
      <c r="AD116" s="54"/>
      <c r="AE116" s="54"/>
      <c r="AF116" s="54"/>
      <c r="AG116" s="55"/>
      <c r="AH116" s="54"/>
    </row>
    <row r="117" spans="10:34">
      <c r="J117" s="398"/>
      <c r="K117" s="54"/>
      <c r="L117" s="56"/>
      <c r="M117" s="54"/>
      <c r="N117" s="54"/>
      <c r="O117" s="54"/>
      <c r="P117" s="54"/>
      <c r="Q117" s="54"/>
      <c r="R117" s="54"/>
      <c r="S117" s="54"/>
      <c r="T117" s="54"/>
      <c r="U117" s="54"/>
      <c r="V117" s="54"/>
      <c r="W117" s="54"/>
      <c r="X117" s="54"/>
      <c r="Y117" s="55"/>
      <c r="Z117" s="55"/>
      <c r="AA117" s="55"/>
      <c r="AB117" s="55"/>
      <c r="AC117" s="54"/>
      <c r="AD117" s="54"/>
      <c r="AE117" s="54"/>
      <c r="AF117" s="54"/>
      <c r="AG117" s="55"/>
      <c r="AH117" s="54"/>
    </row>
    <row r="118" spans="10:34">
      <c r="J118" s="398"/>
      <c r="K118" s="54"/>
      <c r="L118" s="56"/>
      <c r="M118" s="54"/>
      <c r="N118" s="54"/>
      <c r="O118" s="54"/>
      <c r="P118" s="54"/>
      <c r="Q118" s="54"/>
      <c r="R118" s="54"/>
      <c r="S118" s="54"/>
      <c r="T118" s="54"/>
      <c r="U118" s="54"/>
      <c r="V118" s="54"/>
      <c r="W118" s="54"/>
      <c r="X118" s="54"/>
      <c r="Y118" s="55"/>
      <c r="Z118" s="55"/>
      <c r="AA118" s="55"/>
      <c r="AB118" s="55"/>
      <c r="AC118" s="54"/>
      <c r="AD118" s="54"/>
      <c r="AE118" s="54"/>
      <c r="AF118" s="54"/>
      <c r="AG118" s="55"/>
      <c r="AH118" s="54"/>
    </row>
    <row r="119" spans="10:34">
      <c r="J119" s="398"/>
      <c r="K119" s="54"/>
      <c r="L119" s="398"/>
      <c r="M119" s="54"/>
      <c r="N119" s="54"/>
      <c r="O119" s="54"/>
      <c r="P119" s="54"/>
      <c r="Q119" s="54"/>
      <c r="R119" s="54"/>
      <c r="S119" s="54"/>
      <c r="T119" s="54"/>
      <c r="U119" s="54"/>
      <c r="V119" s="54"/>
      <c r="W119" s="54"/>
      <c r="X119" s="54"/>
      <c r="Y119" s="55"/>
      <c r="Z119" s="55"/>
      <c r="AA119" s="55"/>
      <c r="AB119" s="55"/>
      <c r="AC119" s="54"/>
      <c r="AD119" s="54"/>
      <c r="AE119" s="54"/>
      <c r="AF119" s="54"/>
      <c r="AG119" s="55"/>
      <c r="AH119" s="54"/>
    </row>
    <row r="120" spans="10:34">
      <c r="J120" s="687"/>
      <c r="K120" s="54"/>
      <c r="L120" s="687"/>
      <c r="M120" s="54"/>
      <c r="N120" s="54"/>
      <c r="O120" s="54"/>
      <c r="P120" s="54"/>
      <c r="Q120" s="54"/>
      <c r="R120" s="54"/>
      <c r="S120" s="54"/>
      <c r="T120" s="54"/>
      <c r="U120" s="54"/>
      <c r="V120" s="54"/>
      <c r="W120" s="54"/>
      <c r="X120" s="54"/>
      <c r="Y120" s="54"/>
      <c r="Z120" s="54"/>
      <c r="AA120" s="54"/>
      <c r="AB120" s="54"/>
      <c r="AC120" s="54"/>
      <c r="AD120" s="54"/>
      <c r="AE120" s="54"/>
      <c r="AF120" s="54"/>
      <c r="AG120" s="54"/>
      <c r="AH120" s="54"/>
    </row>
    <row r="121" spans="10:34">
      <c r="J121" s="687"/>
      <c r="K121" s="54"/>
      <c r="L121" s="687"/>
      <c r="M121" s="54"/>
      <c r="N121" s="54"/>
      <c r="O121" s="54"/>
      <c r="P121" s="54"/>
      <c r="Q121" s="54"/>
      <c r="R121" s="54"/>
      <c r="S121" s="54"/>
      <c r="T121" s="54"/>
      <c r="U121" s="54"/>
      <c r="V121" s="54"/>
      <c r="W121" s="54"/>
      <c r="X121" s="54"/>
      <c r="Y121" s="54"/>
      <c r="Z121" s="54"/>
      <c r="AA121" s="54"/>
      <c r="AB121" s="54"/>
      <c r="AC121" s="54"/>
      <c r="AD121" s="54"/>
      <c r="AE121" s="54"/>
      <c r="AF121" s="54"/>
      <c r="AG121" s="54"/>
      <c r="AH121" s="54"/>
    </row>
    <row r="122" spans="10:34">
      <c r="J122" s="687"/>
      <c r="K122" s="54"/>
      <c r="L122" s="687"/>
      <c r="M122" s="54"/>
      <c r="N122" s="54"/>
      <c r="O122" s="54"/>
      <c r="P122" s="54"/>
      <c r="Q122" s="54"/>
      <c r="R122" s="54"/>
      <c r="S122" s="54"/>
      <c r="T122" s="54"/>
      <c r="U122" s="54"/>
      <c r="V122" s="54"/>
      <c r="W122" s="54"/>
      <c r="X122" s="54"/>
      <c r="Y122" s="54"/>
      <c r="Z122" s="54"/>
      <c r="AA122" s="54"/>
      <c r="AB122" s="54"/>
      <c r="AC122" s="54"/>
      <c r="AD122" s="54"/>
      <c r="AE122" s="54"/>
      <c r="AF122" s="54"/>
      <c r="AG122" s="54"/>
      <c r="AH122" s="54"/>
    </row>
    <row r="123" spans="10:34">
      <c r="J123" s="687"/>
      <c r="K123" s="54"/>
      <c r="L123" s="687"/>
      <c r="M123" s="54"/>
      <c r="N123" s="54"/>
      <c r="O123" s="54"/>
      <c r="P123" s="54"/>
      <c r="Q123" s="54"/>
      <c r="R123" s="54"/>
      <c r="S123" s="54"/>
      <c r="T123" s="54"/>
      <c r="U123" s="54"/>
      <c r="V123" s="54"/>
      <c r="W123" s="54"/>
      <c r="X123" s="54"/>
      <c r="Y123" s="54"/>
      <c r="Z123" s="54"/>
      <c r="AA123" s="54"/>
      <c r="AB123" s="54"/>
      <c r="AC123" s="54"/>
      <c r="AD123" s="54"/>
      <c r="AE123" s="54"/>
      <c r="AF123" s="54"/>
      <c r="AG123" s="54"/>
      <c r="AH123" s="54"/>
    </row>
    <row r="124" spans="10:34">
      <c r="J124" s="687"/>
      <c r="K124" s="54"/>
      <c r="L124" s="687"/>
      <c r="M124" s="54"/>
      <c r="N124" s="54"/>
      <c r="O124" s="54"/>
      <c r="P124" s="54"/>
      <c r="Q124" s="54"/>
      <c r="R124" s="54"/>
      <c r="S124" s="54"/>
      <c r="T124" s="54"/>
      <c r="U124" s="54"/>
      <c r="V124" s="54"/>
      <c r="W124" s="54"/>
      <c r="X124" s="54"/>
      <c r="Y124" s="54"/>
      <c r="Z124" s="54"/>
      <c r="AA124" s="54"/>
      <c r="AB124" s="54"/>
      <c r="AC124" s="54"/>
      <c r="AD124" s="54"/>
      <c r="AE124" s="54"/>
      <c r="AF124" s="54"/>
      <c r="AG124" s="54"/>
      <c r="AH124" s="54"/>
    </row>
    <row r="125" spans="10:34">
      <c r="J125" s="687"/>
      <c r="K125" s="54"/>
      <c r="L125" s="687"/>
      <c r="M125" s="54"/>
      <c r="N125" s="54"/>
      <c r="O125" s="54"/>
      <c r="P125" s="54"/>
      <c r="Q125" s="54"/>
      <c r="R125" s="54"/>
      <c r="S125" s="54"/>
      <c r="T125" s="54"/>
      <c r="U125" s="54"/>
      <c r="V125" s="54"/>
      <c r="W125" s="54"/>
      <c r="X125" s="54"/>
      <c r="Y125" s="54"/>
      <c r="Z125" s="54"/>
      <c r="AA125" s="54"/>
      <c r="AB125" s="54"/>
      <c r="AC125" s="54"/>
      <c r="AD125" s="54"/>
      <c r="AE125" s="54"/>
      <c r="AF125" s="54"/>
      <c r="AG125" s="54"/>
      <c r="AH125" s="54"/>
    </row>
    <row r="126" spans="10:34">
      <c r="J126" s="687"/>
      <c r="K126" s="54"/>
      <c r="L126" s="687"/>
      <c r="M126" s="54"/>
      <c r="N126" s="54"/>
      <c r="O126" s="54"/>
      <c r="P126" s="54"/>
      <c r="Q126" s="54"/>
      <c r="R126" s="54"/>
      <c r="S126" s="54"/>
      <c r="T126" s="54"/>
      <c r="U126" s="54"/>
      <c r="V126" s="54"/>
      <c r="W126" s="54"/>
      <c r="X126" s="54"/>
      <c r="Y126" s="54"/>
      <c r="Z126" s="54"/>
      <c r="AA126" s="54"/>
      <c r="AB126" s="54"/>
      <c r="AC126" s="54"/>
      <c r="AD126" s="54"/>
      <c r="AE126" s="54"/>
      <c r="AF126" s="54"/>
      <c r="AG126" s="54"/>
      <c r="AH126" s="54"/>
    </row>
    <row r="127" spans="10:34">
      <c r="J127" s="687"/>
      <c r="K127" s="54"/>
      <c r="L127" s="687"/>
      <c r="M127" s="54"/>
      <c r="N127" s="54"/>
      <c r="O127" s="54"/>
      <c r="P127" s="54"/>
      <c r="Q127" s="54"/>
      <c r="R127" s="54"/>
      <c r="S127" s="54"/>
      <c r="T127" s="54"/>
      <c r="U127" s="54"/>
      <c r="V127" s="54"/>
      <c r="W127" s="54"/>
      <c r="X127" s="54"/>
      <c r="Y127" s="54"/>
      <c r="Z127" s="54"/>
      <c r="AA127" s="54"/>
      <c r="AB127" s="54"/>
      <c r="AC127" s="54"/>
      <c r="AD127" s="54"/>
      <c r="AE127" s="54"/>
      <c r="AF127" s="54"/>
      <c r="AG127" s="54"/>
      <c r="AH127" s="54"/>
    </row>
    <row r="128" spans="10:34">
      <c r="J128" s="687"/>
      <c r="K128" s="54"/>
      <c r="L128" s="687"/>
      <c r="M128" s="54"/>
      <c r="N128" s="54"/>
      <c r="O128" s="54"/>
      <c r="P128" s="54"/>
      <c r="Q128" s="54"/>
      <c r="R128" s="54"/>
      <c r="S128" s="54"/>
      <c r="T128" s="54"/>
      <c r="U128" s="54"/>
      <c r="V128" s="54"/>
      <c r="W128" s="54"/>
      <c r="X128" s="54"/>
      <c r="Y128" s="54"/>
      <c r="Z128" s="54"/>
      <c r="AA128" s="54"/>
      <c r="AB128" s="54"/>
      <c r="AC128" s="54"/>
      <c r="AD128" s="54"/>
      <c r="AE128" s="54"/>
      <c r="AF128" s="54"/>
      <c r="AG128" s="54"/>
      <c r="AH128" s="54"/>
    </row>
    <row r="129" spans="10:34">
      <c r="J129" s="687"/>
      <c r="K129" s="54"/>
      <c r="L129" s="687"/>
      <c r="M129" s="54"/>
      <c r="N129" s="54"/>
      <c r="O129" s="54"/>
      <c r="P129" s="54"/>
      <c r="Q129" s="54"/>
      <c r="R129" s="54"/>
      <c r="S129" s="54"/>
      <c r="T129" s="54"/>
      <c r="U129" s="54"/>
      <c r="V129" s="54"/>
      <c r="W129" s="54"/>
      <c r="X129" s="54"/>
      <c r="Y129" s="54"/>
      <c r="Z129" s="54"/>
      <c r="AA129" s="54"/>
      <c r="AB129" s="54"/>
      <c r="AC129" s="54"/>
      <c r="AD129" s="54"/>
      <c r="AE129" s="54"/>
      <c r="AF129" s="54"/>
      <c r="AG129" s="54"/>
      <c r="AH129" s="54"/>
    </row>
    <row r="130" spans="10:34">
      <c r="J130" s="687"/>
      <c r="K130" s="54"/>
      <c r="L130" s="687"/>
      <c r="M130" s="54"/>
      <c r="N130" s="54"/>
      <c r="O130" s="54"/>
      <c r="P130" s="54"/>
      <c r="Q130" s="54"/>
      <c r="R130" s="54"/>
      <c r="S130" s="54"/>
      <c r="T130" s="54"/>
      <c r="U130" s="54"/>
      <c r="V130" s="54"/>
      <c r="W130" s="54"/>
      <c r="X130" s="54"/>
      <c r="Y130" s="54"/>
      <c r="Z130" s="54"/>
      <c r="AA130" s="54"/>
      <c r="AB130" s="54"/>
      <c r="AC130" s="54"/>
      <c r="AD130" s="54"/>
      <c r="AE130" s="54"/>
      <c r="AF130" s="54"/>
      <c r="AG130" s="54"/>
      <c r="AH130" s="54"/>
    </row>
    <row r="131" spans="10:34">
      <c r="J131" s="687"/>
      <c r="K131" s="54"/>
      <c r="L131" s="687"/>
      <c r="M131" s="54"/>
      <c r="N131" s="54"/>
      <c r="O131" s="54"/>
      <c r="P131" s="54"/>
      <c r="Q131" s="54"/>
      <c r="R131" s="54"/>
      <c r="S131" s="54"/>
      <c r="T131" s="54"/>
      <c r="U131" s="54"/>
      <c r="V131" s="54"/>
      <c r="W131" s="54"/>
      <c r="X131" s="54"/>
      <c r="Y131" s="54"/>
      <c r="Z131" s="54"/>
      <c r="AA131" s="54"/>
      <c r="AB131" s="54"/>
      <c r="AC131" s="54"/>
      <c r="AD131" s="54"/>
      <c r="AE131" s="54"/>
      <c r="AF131" s="54"/>
      <c r="AG131" s="54"/>
      <c r="AH131" s="54"/>
    </row>
    <row r="132" spans="10:34">
      <c r="J132" s="687"/>
      <c r="K132" s="54"/>
      <c r="L132" s="687"/>
      <c r="M132" s="54"/>
      <c r="N132" s="54"/>
      <c r="O132" s="54"/>
      <c r="P132" s="54"/>
      <c r="Q132" s="54"/>
      <c r="R132" s="54"/>
      <c r="S132" s="54"/>
      <c r="T132" s="54"/>
      <c r="U132" s="54"/>
      <c r="V132" s="54"/>
      <c r="W132" s="54"/>
      <c r="X132" s="54"/>
      <c r="Y132" s="54"/>
      <c r="Z132" s="54"/>
      <c r="AA132" s="54"/>
      <c r="AB132" s="54"/>
      <c r="AC132" s="54"/>
      <c r="AD132" s="54"/>
      <c r="AE132" s="54"/>
      <c r="AF132" s="54"/>
      <c r="AG132" s="54"/>
      <c r="AH132" s="54"/>
    </row>
    <row r="133" spans="10:34">
      <c r="J133" s="687"/>
      <c r="K133" s="54"/>
      <c r="L133" s="687"/>
      <c r="M133" s="54"/>
      <c r="N133" s="54"/>
      <c r="O133" s="54"/>
      <c r="P133" s="54"/>
      <c r="Q133" s="54"/>
      <c r="R133" s="54"/>
      <c r="S133" s="54"/>
      <c r="T133" s="54"/>
      <c r="U133" s="54"/>
      <c r="V133" s="54"/>
      <c r="W133" s="54"/>
      <c r="X133" s="54"/>
      <c r="Y133" s="54"/>
      <c r="Z133" s="54"/>
      <c r="AA133" s="54"/>
      <c r="AB133" s="54"/>
      <c r="AC133" s="54"/>
      <c r="AD133" s="54"/>
      <c r="AE133" s="54"/>
      <c r="AF133" s="54"/>
      <c r="AG133" s="54"/>
      <c r="AH133" s="54"/>
    </row>
    <row r="134" spans="10:34">
      <c r="J134" s="687"/>
      <c r="K134" s="54"/>
      <c r="L134" s="687"/>
      <c r="M134" s="54"/>
      <c r="N134" s="54"/>
      <c r="O134" s="54"/>
      <c r="P134" s="54"/>
      <c r="Q134" s="54"/>
      <c r="R134" s="54"/>
      <c r="S134" s="54"/>
      <c r="T134" s="54"/>
      <c r="U134" s="54"/>
      <c r="V134" s="54"/>
      <c r="W134" s="54"/>
      <c r="X134" s="54"/>
      <c r="Y134" s="54"/>
      <c r="Z134" s="54"/>
      <c r="AA134" s="54"/>
      <c r="AB134" s="54"/>
      <c r="AC134" s="54"/>
      <c r="AD134" s="54"/>
      <c r="AE134" s="54"/>
      <c r="AF134" s="54"/>
      <c r="AG134" s="54"/>
      <c r="AH134" s="54"/>
    </row>
    <row r="135" spans="10:34">
      <c r="J135" s="687"/>
      <c r="K135" s="54"/>
      <c r="L135" s="687"/>
      <c r="M135" s="54"/>
      <c r="N135" s="54"/>
      <c r="O135" s="54"/>
      <c r="P135" s="54"/>
      <c r="Q135" s="54"/>
      <c r="R135" s="54"/>
      <c r="S135" s="54"/>
      <c r="T135" s="54"/>
      <c r="U135" s="54"/>
      <c r="V135" s="54"/>
      <c r="W135" s="54"/>
      <c r="X135" s="54"/>
      <c r="Y135" s="54"/>
      <c r="Z135" s="54"/>
      <c r="AA135" s="54"/>
      <c r="AB135" s="54"/>
      <c r="AC135" s="54"/>
      <c r="AD135" s="54"/>
      <c r="AE135" s="54"/>
      <c r="AF135" s="54"/>
      <c r="AG135" s="54"/>
      <c r="AH135" s="54"/>
    </row>
    <row r="136" spans="10:34">
      <c r="J136" s="687"/>
      <c r="K136" s="54"/>
      <c r="L136" s="687"/>
      <c r="M136" s="54"/>
      <c r="N136" s="54"/>
      <c r="O136" s="54"/>
      <c r="P136" s="54"/>
      <c r="Q136" s="54"/>
      <c r="R136" s="54"/>
      <c r="S136" s="54"/>
      <c r="T136" s="54"/>
      <c r="U136" s="54"/>
      <c r="V136" s="54"/>
      <c r="W136" s="54"/>
      <c r="X136" s="54"/>
      <c r="Y136" s="54"/>
      <c r="Z136" s="54"/>
      <c r="AA136" s="54"/>
      <c r="AB136" s="54"/>
      <c r="AC136" s="54"/>
      <c r="AD136" s="54"/>
      <c r="AE136" s="54"/>
      <c r="AF136" s="54"/>
      <c r="AG136" s="54"/>
      <c r="AH136" s="54"/>
    </row>
    <row r="137" spans="10:34">
      <c r="J137" s="687"/>
      <c r="K137" s="54"/>
      <c r="L137" s="687"/>
      <c r="M137" s="54"/>
      <c r="N137" s="54"/>
      <c r="O137" s="54"/>
      <c r="P137" s="54"/>
      <c r="Q137" s="54"/>
      <c r="R137" s="54"/>
      <c r="S137" s="54"/>
      <c r="T137" s="54"/>
      <c r="U137" s="54"/>
      <c r="V137" s="54"/>
      <c r="W137" s="54"/>
      <c r="X137" s="54"/>
      <c r="Y137" s="54"/>
      <c r="Z137" s="54"/>
      <c r="AA137" s="54"/>
      <c r="AB137" s="54"/>
      <c r="AC137" s="54"/>
      <c r="AD137" s="54"/>
      <c r="AE137" s="54"/>
      <c r="AF137" s="54"/>
      <c r="AG137" s="54"/>
      <c r="AH137" s="54"/>
    </row>
    <row r="138" spans="10:34">
      <c r="J138" s="687"/>
      <c r="K138" s="54"/>
      <c r="L138" s="687"/>
      <c r="M138" s="54"/>
      <c r="N138" s="54"/>
      <c r="O138" s="54"/>
      <c r="P138" s="54"/>
      <c r="Q138" s="54"/>
      <c r="R138" s="54"/>
      <c r="S138" s="54"/>
      <c r="T138" s="54"/>
      <c r="U138" s="54"/>
      <c r="V138" s="54"/>
      <c r="W138" s="54"/>
      <c r="X138" s="54"/>
      <c r="Y138" s="54"/>
      <c r="Z138" s="54"/>
      <c r="AA138" s="54"/>
      <c r="AB138" s="54"/>
      <c r="AC138" s="54"/>
      <c r="AD138" s="54"/>
      <c r="AE138" s="54"/>
      <c r="AF138" s="54"/>
      <c r="AG138" s="54"/>
      <c r="AH138" s="54"/>
    </row>
    <row r="139" spans="10:34">
      <c r="J139" s="687"/>
      <c r="K139" s="54"/>
      <c r="L139" s="687"/>
      <c r="M139" s="54"/>
      <c r="N139" s="54"/>
      <c r="O139" s="54"/>
      <c r="P139" s="54"/>
      <c r="Q139" s="54"/>
      <c r="R139" s="54"/>
      <c r="S139" s="54"/>
      <c r="T139" s="54"/>
      <c r="U139" s="54"/>
      <c r="V139" s="54"/>
      <c r="W139" s="54"/>
      <c r="X139" s="54"/>
      <c r="Y139" s="54"/>
      <c r="Z139" s="54"/>
      <c r="AA139" s="54"/>
      <c r="AB139" s="54"/>
      <c r="AC139" s="54"/>
      <c r="AD139" s="54"/>
      <c r="AE139" s="54"/>
      <c r="AF139" s="54"/>
      <c r="AG139" s="54"/>
      <c r="AH139" s="54"/>
    </row>
    <row r="140" spans="10:34">
      <c r="J140" s="687"/>
      <c r="K140" s="54"/>
      <c r="L140" s="687"/>
      <c r="M140" s="54"/>
      <c r="N140" s="54"/>
      <c r="O140" s="54"/>
      <c r="P140" s="54"/>
      <c r="Q140" s="54"/>
      <c r="R140" s="54"/>
      <c r="S140" s="54"/>
      <c r="T140" s="54"/>
      <c r="U140" s="54"/>
      <c r="V140" s="54"/>
      <c r="W140" s="54"/>
      <c r="X140" s="54"/>
      <c r="Y140" s="54"/>
      <c r="Z140" s="54"/>
      <c r="AA140" s="54"/>
      <c r="AB140" s="54"/>
      <c r="AC140" s="54"/>
      <c r="AD140" s="54"/>
      <c r="AE140" s="54"/>
      <c r="AF140" s="54"/>
      <c r="AG140" s="54"/>
      <c r="AH140" s="54"/>
    </row>
    <row r="141" spans="10:34">
      <c r="J141" s="687"/>
      <c r="K141" s="54"/>
      <c r="L141" s="687"/>
      <c r="M141" s="54"/>
      <c r="N141" s="54"/>
      <c r="O141" s="54"/>
      <c r="P141" s="54"/>
      <c r="Q141" s="54"/>
      <c r="R141" s="54"/>
      <c r="S141" s="54"/>
      <c r="T141" s="54"/>
      <c r="U141" s="54"/>
      <c r="V141" s="54"/>
      <c r="W141" s="54"/>
      <c r="X141" s="54"/>
      <c r="Y141" s="54"/>
      <c r="Z141" s="54"/>
      <c r="AA141" s="54"/>
      <c r="AB141" s="54"/>
      <c r="AC141" s="54"/>
      <c r="AD141" s="54"/>
      <c r="AE141" s="54"/>
      <c r="AF141" s="54"/>
      <c r="AG141" s="54"/>
      <c r="AH141" s="54"/>
    </row>
    <row r="142" spans="10:34">
      <c r="J142" s="687"/>
      <c r="K142" s="54"/>
      <c r="L142" s="687"/>
      <c r="M142" s="54"/>
      <c r="N142" s="54"/>
      <c r="O142" s="54"/>
      <c r="P142" s="54"/>
      <c r="Q142" s="54"/>
      <c r="R142" s="54"/>
      <c r="S142" s="54"/>
      <c r="T142" s="54"/>
      <c r="U142" s="54"/>
      <c r="V142" s="54"/>
      <c r="W142" s="54"/>
      <c r="X142" s="54"/>
      <c r="Y142" s="54"/>
      <c r="Z142" s="54"/>
      <c r="AA142" s="54"/>
      <c r="AB142" s="54"/>
      <c r="AC142" s="54"/>
      <c r="AD142" s="54"/>
      <c r="AE142" s="54"/>
      <c r="AF142" s="54"/>
      <c r="AG142" s="54"/>
      <c r="AH142" s="54"/>
    </row>
    <row r="143" spans="10:34">
      <c r="J143" s="687"/>
      <c r="K143" s="54"/>
      <c r="L143" s="687"/>
      <c r="M143" s="54"/>
      <c r="N143" s="54"/>
      <c r="O143" s="54"/>
      <c r="P143" s="54"/>
      <c r="Q143" s="54"/>
      <c r="R143" s="54"/>
      <c r="S143" s="54"/>
      <c r="T143" s="54"/>
      <c r="U143" s="54"/>
      <c r="V143" s="54"/>
      <c r="W143" s="54"/>
      <c r="X143" s="54"/>
      <c r="Y143" s="54"/>
      <c r="Z143" s="54"/>
      <c r="AA143" s="54"/>
      <c r="AB143" s="54"/>
      <c r="AC143" s="54"/>
      <c r="AD143" s="54"/>
      <c r="AE143" s="54"/>
      <c r="AF143" s="54"/>
      <c r="AG143" s="54"/>
      <c r="AH143" s="54"/>
    </row>
    <row r="144" spans="10:34">
      <c r="J144" s="687"/>
      <c r="K144" s="54"/>
      <c r="L144" s="687"/>
      <c r="M144" s="54"/>
      <c r="N144" s="54"/>
      <c r="O144" s="54"/>
      <c r="P144" s="54"/>
      <c r="Q144" s="54"/>
      <c r="R144" s="54"/>
      <c r="S144" s="54"/>
      <c r="T144" s="54"/>
      <c r="U144" s="54"/>
      <c r="V144" s="54"/>
      <c r="W144" s="54"/>
      <c r="X144" s="54"/>
      <c r="Y144" s="54"/>
      <c r="Z144" s="54"/>
      <c r="AA144" s="54"/>
      <c r="AB144" s="54"/>
      <c r="AC144" s="54"/>
      <c r="AD144" s="54"/>
      <c r="AE144" s="54"/>
      <c r="AF144" s="54"/>
      <c r="AG144" s="54"/>
      <c r="AH144" s="54"/>
    </row>
    <row r="145" spans="10:34">
      <c r="J145" s="687"/>
      <c r="K145" s="54"/>
      <c r="L145" s="687"/>
      <c r="M145" s="54"/>
      <c r="N145" s="54"/>
      <c r="O145" s="54"/>
      <c r="P145" s="54"/>
      <c r="Q145" s="54"/>
      <c r="R145" s="54"/>
      <c r="S145" s="54"/>
      <c r="T145" s="54"/>
      <c r="U145" s="54"/>
      <c r="V145" s="54"/>
      <c r="W145" s="54"/>
      <c r="X145" s="54"/>
      <c r="Y145" s="54"/>
      <c r="Z145" s="54"/>
      <c r="AA145" s="54"/>
      <c r="AB145" s="54"/>
      <c r="AC145" s="54"/>
      <c r="AD145" s="54"/>
      <c r="AE145" s="54"/>
      <c r="AF145" s="54"/>
      <c r="AG145" s="54"/>
      <c r="AH145" s="54"/>
    </row>
    <row r="146" spans="10:34">
      <c r="J146" s="687"/>
      <c r="K146" s="54"/>
      <c r="L146" s="687"/>
      <c r="M146" s="54"/>
      <c r="N146" s="54"/>
      <c r="O146" s="54"/>
      <c r="P146" s="54"/>
      <c r="Q146" s="54"/>
      <c r="R146" s="54"/>
      <c r="S146" s="54"/>
      <c r="T146" s="54"/>
      <c r="U146" s="54"/>
      <c r="V146" s="54"/>
      <c r="W146" s="54"/>
      <c r="X146" s="54"/>
      <c r="Y146" s="54"/>
      <c r="Z146" s="54"/>
      <c r="AA146" s="54"/>
      <c r="AB146" s="54"/>
      <c r="AC146" s="54"/>
      <c r="AD146" s="54"/>
      <c r="AE146" s="54"/>
      <c r="AF146" s="54"/>
      <c r="AG146" s="54"/>
      <c r="AH146" s="54"/>
    </row>
    <row r="147" spans="10:34">
      <c r="J147" s="687"/>
      <c r="K147" s="54"/>
      <c r="L147" s="687"/>
      <c r="M147" s="54"/>
      <c r="N147" s="54"/>
      <c r="O147" s="54"/>
      <c r="P147" s="54"/>
      <c r="Q147" s="54"/>
      <c r="R147" s="54"/>
      <c r="S147" s="54"/>
      <c r="T147" s="54"/>
      <c r="U147" s="54"/>
      <c r="V147" s="54"/>
      <c r="W147" s="54"/>
      <c r="X147" s="54"/>
      <c r="Y147" s="54"/>
      <c r="Z147" s="54"/>
      <c r="AA147" s="54"/>
      <c r="AB147" s="54"/>
      <c r="AC147" s="54"/>
      <c r="AD147" s="54"/>
      <c r="AE147" s="54"/>
      <c r="AF147" s="54"/>
      <c r="AG147" s="54"/>
      <c r="AH147" s="54"/>
    </row>
    <row r="148" spans="10:34">
      <c r="J148" s="687"/>
      <c r="K148" s="54"/>
      <c r="L148" s="687"/>
      <c r="M148" s="54"/>
      <c r="N148" s="54"/>
      <c r="O148" s="54"/>
      <c r="P148" s="54"/>
      <c r="Q148" s="54"/>
      <c r="R148" s="54"/>
      <c r="S148" s="54"/>
      <c r="T148" s="54"/>
      <c r="U148" s="54"/>
      <c r="V148" s="54"/>
      <c r="W148" s="54"/>
      <c r="X148" s="54"/>
      <c r="Y148" s="54"/>
      <c r="Z148" s="54"/>
      <c r="AA148" s="54"/>
      <c r="AB148" s="54"/>
      <c r="AC148" s="54"/>
      <c r="AD148" s="54"/>
      <c r="AE148" s="54"/>
      <c r="AF148" s="54"/>
      <c r="AG148" s="54"/>
      <c r="AH148" s="54"/>
    </row>
    <row r="149" spans="10:34">
      <c r="J149" s="687"/>
      <c r="K149" s="54"/>
      <c r="L149" s="687"/>
      <c r="M149" s="54"/>
      <c r="N149" s="54"/>
      <c r="O149" s="54"/>
      <c r="P149" s="54"/>
      <c r="Q149" s="54"/>
      <c r="R149" s="54"/>
      <c r="S149" s="54"/>
      <c r="T149" s="54"/>
      <c r="U149" s="54"/>
      <c r="V149" s="54"/>
      <c r="W149" s="54"/>
      <c r="X149" s="54"/>
      <c r="Y149" s="54"/>
      <c r="Z149" s="54"/>
      <c r="AA149" s="54"/>
      <c r="AB149" s="54"/>
      <c r="AC149" s="54"/>
      <c r="AD149" s="54"/>
      <c r="AE149" s="54"/>
      <c r="AF149" s="54"/>
      <c r="AG149" s="54"/>
      <c r="AH149" s="54"/>
    </row>
    <row r="150" spans="10:34">
      <c r="J150" s="687"/>
      <c r="K150" s="54"/>
      <c r="L150" s="687"/>
      <c r="M150" s="54"/>
      <c r="N150" s="54"/>
      <c r="O150" s="54"/>
      <c r="P150" s="54"/>
      <c r="Q150" s="54"/>
      <c r="R150" s="54"/>
      <c r="S150" s="54"/>
      <c r="T150" s="54"/>
      <c r="U150" s="54"/>
      <c r="V150" s="54"/>
      <c r="W150" s="54"/>
      <c r="X150" s="54"/>
      <c r="Y150" s="54"/>
      <c r="Z150" s="54"/>
      <c r="AA150" s="54"/>
      <c r="AB150" s="54"/>
      <c r="AC150" s="54"/>
      <c r="AD150" s="54"/>
      <c r="AE150" s="54"/>
      <c r="AF150" s="54"/>
      <c r="AG150" s="54"/>
      <c r="AH150" s="54"/>
    </row>
    <row r="151" spans="10:34">
      <c r="J151" s="687"/>
      <c r="K151" s="54"/>
      <c r="L151" s="687"/>
      <c r="M151" s="54"/>
      <c r="N151" s="54"/>
      <c r="O151" s="54"/>
      <c r="P151" s="54"/>
      <c r="Q151" s="54"/>
      <c r="R151" s="54"/>
      <c r="S151" s="54"/>
      <c r="T151" s="54"/>
      <c r="U151" s="54"/>
      <c r="V151" s="54"/>
      <c r="W151" s="54"/>
      <c r="X151" s="54"/>
      <c r="Y151" s="54"/>
      <c r="Z151" s="54"/>
      <c r="AA151" s="54"/>
      <c r="AB151" s="54"/>
      <c r="AC151" s="54"/>
      <c r="AD151" s="54"/>
      <c r="AE151" s="54"/>
      <c r="AF151" s="54"/>
      <c r="AG151" s="54"/>
      <c r="AH151" s="54"/>
    </row>
    <row r="152" spans="10:34">
      <c r="J152" s="687"/>
      <c r="K152" s="54"/>
      <c r="L152" s="687"/>
      <c r="M152" s="54"/>
      <c r="N152" s="54"/>
      <c r="O152" s="54"/>
      <c r="P152" s="54"/>
      <c r="Q152" s="54"/>
      <c r="R152" s="54"/>
      <c r="S152" s="54"/>
      <c r="T152" s="54"/>
      <c r="U152" s="54"/>
      <c r="V152" s="54"/>
      <c r="W152" s="54"/>
      <c r="X152" s="54"/>
      <c r="Y152" s="54"/>
      <c r="Z152" s="54"/>
      <c r="AA152" s="54"/>
      <c r="AB152" s="54"/>
      <c r="AC152" s="54"/>
      <c r="AD152" s="54"/>
      <c r="AE152" s="54"/>
      <c r="AF152" s="54"/>
      <c r="AG152" s="54"/>
      <c r="AH152" s="54"/>
    </row>
    <row r="153" spans="10:34">
      <c r="J153" s="687"/>
      <c r="K153" s="54"/>
      <c r="L153" s="687"/>
      <c r="M153" s="54"/>
      <c r="N153" s="54"/>
      <c r="O153" s="54"/>
      <c r="P153" s="54"/>
      <c r="Q153" s="54"/>
      <c r="R153" s="54"/>
      <c r="S153" s="54"/>
      <c r="T153" s="54"/>
      <c r="U153" s="54"/>
      <c r="V153" s="54"/>
      <c r="W153" s="54"/>
      <c r="X153" s="54"/>
      <c r="Y153" s="54"/>
      <c r="Z153" s="54"/>
      <c r="AA153" s="54"/>
      <c r="AB153" s="54"/>
      <c r="AC153" s="54"/>
      <c r="AD153" s="54"/>
      <c r="AE153" s="54"/>
      <c r="AF153" s="54"/>
      <c r="AG153" s="54"/>
      <c r="AH153" s="54"/>
    </row>
    <row r="154" spans="10:34">
      <c r="J154" s="687"/>
      <c r="K154" s="54"/>
      <c r="L154" s="687"/>
      <c r="M154" s="54"/>
      <c r="N154" s="54"/>
      <c r="O154" s="54"/>
      <c r="P154" s="54"/>
      <c r="Q154" s="54"/>
      <c r="R154" s="54"/>
      <c r="S154" s="54"/>
      <c r="T154" s="54"/>
      <c r="U154" s="54"/>
      <c r="V154" s="54"/>
      <c r="W154" s="54"/>
      <c r="X154" s="54"/>
      <c r="Y154" s="54"/>
      <c r="Z154" s="54"/>
      <c r="AA154" s="54"/>
      <c r="AB154" s="54"/>
      <c r="AC154" s="54"/>
      <c r="AD154" s="54"/>
      <c r="AE154" s="54"/>
      <c r="AF154" s="54"/>
      <c r="AG154" s="54"/>
      <c r="AH154" s="54"/>
    </row>
    <row r="155" spans="10:34">
      <c r="J155" s="687"/>
      <c r="K155" s="54"/>
      <c r="L155" s="687"/>
      <c r="M155" s="54"/>
      <c r="N155" s="54"/>
      <c r="O155" s="54"/>
      <c r="P155" s="54"/>
      <c r="Q155" s="54"/>
      <c r="R155" s="54"/>
      <c r="S155" s="54"/>
      <c r="T155" s="54"/>
      <c r="U155" s="54"/>
      <c r="V155" s="54"/>
      <c r="W155" s="54"/>
      <c r="X155" s="54"/>
      <c r="Y155" s="54"/>
      <c r="Z155" s="54"/>
      <c r="AA155" s="54"/>
      <c r="AB155" s="54"/>
      <c r="AC155" s="54"/>
      <c r="AD155" s="54"/>
      <c r="AE155" s="54"/>
      <c r="AF155" s="54"/>
      <c r="AG155" s="54"/>
      <c r="AH155" s="54"/>
    </row>
    <row r="156" spans="10:34">
      <c r="J156" s="687"/>
      <c r="K156" s="54"/>
      <c r="L156" s="687"/>
      <c r="M156" s="54"/>
      <c r="N156" s="54"/>
      <c r="O156" s="54"/>
      <c r="P156" s="54"/>
      <c r="Q156" s="54"/>
      <c r="R156" s="54"/>
      <c r="S156" s="54"/>
      <c r="T156" s="54"/>
      <c r="U156" s="54"/>
      <c r="V156" s="54"/>
      <c r="W156" s="54"/>
      <c r="X156" s="54"/>
      <c r="Y156" s="54"/>
      <c r="Z156" s="54"/>
      <c r="AA156" s="54"/>
      <c r="AB156" s="54"/>
      <c r="AC156" s="54"/>
      <c r="AD156" s="54"/>
      <c r="AE156" s="54"/>
      <c r="AF156" s="54"/>
      <c r="AG156" s="54"/>
      <c r="AH156" s="54"/>
    </row>
    <row r="157" spans="10:34">
      <c r="J157" s="687"/>
      <c r="K157" s="54"/>
      <c r="L157" s="687"/>
      <c r="M157" s="54"/>
      <c r="N157" s="54"/>
      <c r="O157" s="54"/>
      <c r="P157" s="54"/>
      <c r="Q157" s="54"/>
      <c r="R157" s="54"/>
      <c r="S157" s="54"/>
      <c r="T157" s="54"/>
      <c r="U157" s="54"/>
      <c r="V157" s="54"/>
      <c r="W157" s="54"/>
      <c r="X157" s="54"/>
      <c r="Y157" s="54"/>
      <c r="Z157" s="54"/>
      <c r="AA157" s="54"/>
      <c r="AB157" s="54"/>
      <c r="AC157" s="54"/>
      <c r="AD157" s="54"/>
      <c r="AE157" s="54"/>
      <c r="AF157" s="54"/>
      <c r="AG157" s="54"/>
      <c r="AH157" s="54"/>
    </row>
    <row r="158" spans="10:34">
      <c r="J158" s="687"/>
      <c r="K158" s="54"/>
      <c r="L158" s="687"/>
      <c r="M158" s="54"/>
      <c r="N158" s="54"/>
      <c r="O158" s="54"/>
      <c r="P158" s="54"/>
      <c r="Q158" s="54"/>
      <c r="R158" s="54"/>
      <c r="S158" s="54"/>
      <c r="T158" s="54"/>
      <c r="U158" s="54"/>
      <c r="V158" s="54"/>
      <c r="W158" s="54"/>
      <c r="X158" s="54"/>
      <c r="Y158" s="54"/>
      <c r="Z158" s="54"/>
      <c r="AA158" s="54"/>
      <c r="AB158" s="54"/>
      <c r="AC158" s="54"/>
      <c r="AD158" s="54"/>
      <c r="AE158" s="54"/>
      <c r="AF158" s="54"/>
      <c r="AG158" s="54"/>
      <c r="AH158" s="54"/>
    </row>
    <row r="159" spans="10:34">
      <c r="J159" s="687"/>
      <c r="K159" s="54"/>
      <c r="L159" s="687"/>
      <c r="M159" s="54"/>
      <c r="N159" s="54"/>
      <c r="O159" s="54"/>
      <c r="P159" s="54"/>
      <c r="Q159" s="54"/>
      <c r="R159" s="54"/>
      <c r="S159" s="54"/>
      <c r="T159" s="54"/>
      <c r="U159" s="54"/>
      <c r="V159" s="54"/>
      <c r="W159" s="54"/>
      <c r="X159" s="54"/>
      <c r="Y159" s="54"/>
      <c r="Z159" s="54"/>
      <c r="AA159" s="54"/>
      <c r="AB159" s="54"/>
      <c r="AC159" s="54"/>
      <c r="AD159" s="54"/>
      <c r="AE159" s="54"/>
      <c r="AF159" s="54"/>
      <c r="AG159" s="54"/>
      <c r="AH159" s="54"/>
    </row>
    <row r="160" spans="10:34">
      <c r="J160" s="687"/>
      <c r="K160" s="54"/>
      <c r="L160" s="687"/>
      <c r="M160" s="54"/>
      <c r="N160" s="54"/>
      <c r="O160" s="54"/>
      <c r="P160" s="54"/>
      <c r="Q160" s="54"/>
      <c r="R160" s="54"/>
      <c r="S160" s="54"/>
      <c r="T160" s="54"/>
      <c r="U160" s="54"/>
      <c r="V160" s="54"/>
      <c r="W160" s="54"/>
      <c r="X160" s="54"/>
      <c r="Y160" s="54"/>
      <c r="Z160" s="54"/>
      <c r="AA160" s="54"/>
      <c r="AB160" s="54"/>
      <c r="AC160" s="54"/>
      <c r="AD160" s="54"/>
      <c r="AE160" s="54"/>
      <c r="AF160" s="54"/>
      <c r="AG160" s="54"/>
      <c r="AH160" s="54"/>
    </row>
    <row r="161" spans="10:34">
      <c r="J161" s="687"/>
      <c r="K161" s="54"/>
      <c r="L161" s="687"/>
      <c r="M161" s="54"/>
      <c r="N161" s="54"/>
      <c r="O161" s="54"/>
      <c r="P161" s="54"/>
      <c r="Q161" s="54"/>
      <c r="R161" s="54"/>
      <c r="S161" s="54"/>
      <c r="T161" s="54"/>
      <c r="U161" s="54"/>
      <c r="V161" s="54"/>
      <c r="W161" s="54"/>
      <c r="X161" s="54"/>
      <c r="Y161" s="54"/>
      <c r="Z161" s="54"/>
      <c r="AA161" s="54"/>
      <c r="AB161" s="54"/>
      <c r="AC161" s="54"/>
      <c r="AD161" s="54"/>
      <c r="AE161" s="54"/>
      <c r="AF161" s="54"/>
      <c r="AG161" s="54"/>
      <c r="AH161" s="54"/>
    </row>
    <row r="162" spans="10:34">
      <c r="J162" s="687"/>
      <c r="K162" s="54"/>
      <c r="L162" s="687"/>
      <c r="M162" s="54"/>
      <c r="N162" s="54"/>
      <c r="O162" s="54"/>
      <c r="P162" s="54"/>
      <c r="Q162" s="54"/>
      <c r="R162" s="54"/>
      <c r="S162" s="54"/>
      <c r="T162" s="54"/>
      <c r="U162" s="54"/>
      <c r="V162" s="54"/>
      <c r="W162" s="54"/>
      <c r="X162" s="54"/>
      <c r="Y162" s="54"/>
      <c r="Z162" s="54"/>
      <c r="AA162" s="54"/>
      <c r="AB162" s="54"/>
      <c r="AC162" s="54"/>
      <c r="AD162" s="54"/>
      <c r="AE162" s="54"/>
      <c r="AF162" s="54"/>
      <c r="AG162" s="54"/>
      <c r="AH162" s="54"/>
    </row>
    <row r="163" spans="10:34">
      <c r="J163" s="687"/>
      <c r="K163" s="54"/>
      <c r="L163" s="687"/>
      <c r="M163" s="54"/>
      <c r="N163" s="54"/>
      <c r="O163" s="54"/>
      <c r="P163" s="54"/>
      <c r="Q163" s="54"/>
      <c r="R163" s="54"/>
      <c r="S163" s="54"/>
      <c r="T163" s="54"/>
      <c r="U163" s="54"/>
      <c r="V163" s="54"/>
      <c r="W163" s="54"/>
      <c r="X163" s="54"/>
      <c r="Y163" s="54"/>
      <c r="Z163" s="54"/>
      <c r="AA163" s="54"/>
      <c r="AB163" s="54"/>
      <c r="AC163" s="54"/>
      <c r="AD163" s="54"/>
      <c r="AE163" s="54"/>
      <c r="AF163" s="54"/>
      <c r="AG163" s="54"/>
      <c r="AH163" s="54"/>
    </row>
    <row r="164" spans="10:34">
      <c r="J164" s="687"/>
      <c r="K164" s="54"/>
      <c r="L164" s="687"/>
      <c r="M164" s="54"/>
      <c r="N164" s="54"/>
      <c r="O164" s="54"/>
      <c r="P164" s="54"/>
      <c r="Q164" s="54"/>
      <c r="R164" s="54"/>
      <c r="S164" s="54"/>
      <c r="T164" s="54"/>
      <c r="U164" s="54"/>
      <c r="V164" s="54"/>
      <c r="W164" s="54"/>
      <c r="X164" s="54"/>
      <c r="Y164" s="54"/>
      <c r="Z164" s="54"/>
      <c r="AA164" s="54"/>
      <c r="AB164" s="54"/>
      <c r="AC164" s="54"/>
      <c r="AD164" s="54"/>
      <c r="AE164" s="54"/>
      <c r="AF164" s="54"/>
      <c r="AG164" s="54"/>
      <c r="AH164" s="54"/>
    </row>
    <row r="165" spans="10:34">
      <c r="J165" s="687"/>
      <c r="K165" s="54"/>
      <c r="L165" s="687"/>
      <c r="M165" s="54"/>
      <c r="N165" s="54"/>
      <c r="O165" s="54"/>
      <c r="P165" s="54"/>
      <c r="Q165" s="54"/>
      <c r="R165" s="54"/>
      <c r="S165" s="54"/>
      <c r="T165" s="54"/>
      <c r="U165" s="54"/>
      <c r="V165" s="54"/>
      <c r="W165" s="54"/>
      <c r="X165" s="54"/>
      <c r="Y165" s="54"/>
      <c r="Z165" s="54"/>
      <c r="AA165" s="54"/>
      <c r="AB165" s="54"/>
      <c r="AC165" s="54"/>
      <c r="AD165" s="54"/>
      <c r="AE165" s="54"/>
      <c r="AF165" s="54"/>
      <c r="AG165" s="54"/>
      <c r="AH165" s="54"/>
    </row>
    <row r="166" spans="10:34">
      <c r="J166" s="687"/>
      <c r="K166" s="54"/>
      <c r="L166" s="687"/>
      <c r="M166" s="54"/>
      <c r="N166" s="54"/>
      <c r="O166" s="54"/>
      <c r="P166" s="54"/>
      <c r="Q166" s="54"/>
      <c r="R166" s="54"/>
      <c r="S166" s="54"/>
      <c r="T166" s="54"/>
      <c r="U166" s="54"/>
      <c r="V166" s="54"/>
      <c r="W166" s="54"/>
      <c r="X166" s="54"/>
      <c r="Y166" s="54"/>
      <c r="Z166" s="54"/>
      <c r="AA166" s="54"/>
      <c r="AB166" s="54"/>
      <c r="AC166" s="54"/>
      <c r="AD166" s="54"/>
      <c r="AE166" s="54"/>
      <c r="AF166" s="54"/>
      <c r="AG166" s="54"/>
      <c r="AH166" s="54"/>
    </row>
    <row r="167" spans="10:34">
      <c r="J167" s="687"/>
      <c r="K167" s="54"/>
      <c r="L167" s="687"/>
      <c r="M167" s="54"/>
      <c r="N167" s="54"/>
      <c r="O167" s="54"/>
      <c r="P167" s="54"/>
      <c r="Q167" s="54"/>
      <c r="R167" s="54"/>
      <c r="S167" s="54"/>
      <c r="T167" s="54"/>
      <c r="U167" s="54"/>
      <c r="V167" s="54"/>
      <c r="W167" s="54"/>
      <c r="X167" s="54"/>
      <c r="Y167" s="54"/>
      <c r="Z167" s="54"/>
      <c r="AA167" s="54"/>
      <c r="AB167" s="54"/>
      <c r="AC167" s="54"/>
      <c r="AD167" s="54"/>
      <c r="AE167" s="54"/>
      <c r="AF167" s="54"/>
      <c r="AG167" s="54"/>
      <c r="AH167" s="54"/>
    </row>
    <row r="168" spans="10:34">
      <c r="J168" s="687"/>
      <c r="K168" s="54"/>
      <c r="L168" s="687"/>
      <c r="M168" s="54"/>
      <c r="N168" s="54"/>
      <c r="O168" s="54"/>
      <c r="P168" s="54"/>
      <c r="Q168" s="54"/>
      <c r="R168" s="54"/>
      <c r="S168" s="54"/>
      <c r="T168" s="54"/>
      <c r="U168" s="54"/>
      <c r="V168" s="54"/>
      <c r="W168" s="54"/>
      <c r="X168" s="54"/>
      <c r="Y168" s="54"/>
      <c r="Z168" s="54"/>
      <c r="AA168" s="54"/>
      <c r="AB168" s="54"/>
      <c r="AC168" s="54"/>
      <c r="AD168" s="54"/>
      <c r="AE168" s="54"/>
      <c r="AF168" s="54"/>
      <c r="AG168" s="54"/>
      <c r="AH168" s="54"/>
    </row>
    <row r="169" spans="10:34">
      <c r="J169" s="687"/>
      <c r="K169" s="54"/>
      <c r="L169" s="687"/>
      <c r="M169" s="54"/>
      <c r="N169" s="54"/>
      <c r="O169" s="54"/>
      <c r="P169" s="54"/>
      <c r="Q169" s="54"/>
      <c r="R169" s="54"/>
      <c r="S169" s="54"/>
      <c r="T169" s="54"/>
      <c r="U169" s="54"/>
      <c r="V169" s="54"/>
      <c r="W169" s="54"/>
      <c r="X169" s="54"/>
      <c r="Y169" s="54"/>
      <c r="Z169" s="54"/>
      <c r="AA169" s="54"/>
      <c r="AB169" s="54"/>
      <c r="AC169" s="54"/>
      <c r="AD169" s="54"/>
      <c r="AE169" s="54"/>
      <c r="AF169" s="54"/>
      <c r="AG169" s="54"/>
      <c r="AH169" s="54"/>
    </row>
    <row r="170" spans="10:34">
      <c r="J170" s="687"/>
      <c r="K170" s="54"/>
      <c r="L170" s="687"/>
      <c r="M170" s="54"/>
      <c r="N170" s="54"/>
      <c r="O170" s="54"/>
      <c r="P170" s="54"/>
      <c r="Q170" s="54"/>
      <c r="R170" s="54"/>
      <c r="S170" s="54"/>
      <c r="T170" s="54"/>
      <c r="U170" s="54"/>
      <c r="V170" s="54"/>
      <c r="W170" s="54"/>
      <c r="X170" s="54"/>
      <c r="Y170" s="54"/>
      <c r="Z170" s="54"/>
      <c r="AA170" s="54"/>
      <c r="AB170" s="54"/>
      <c r="AC170" s="54"/>
      <c r="AD170" s="54"/>
      <c r="AE170" s="54"/>
      <c r="AF170" s="54"/>
      <c r="AG170" s="54"/>
      <c r="AH170" s="54"/>
    </row>
    <row r="171" spans="10:34">
      <c r="J171" s="687"/>
      <c r="K171" s="54"/>
      <c r="L171" s="687"/>
      <c r="M171" s="54"/>
      <c r="N171" s="54"/>
      <c r="O171" s="54"/>
      <c r="P171" s="54"/>
      <c r="Q171" s="54"/>
      <c r="R171" s="54"/>
      <c r="S171" s="54"/>
      <c r="T171" s="54"/>
      <c r="U171" s="54"/>
      <c r="V171" s="54"/>
      <c r="W171" s="54"/>
      <c r="X171" s="54"/>
      <c r="Y171" s="54"/>
      <c r="Z171" s="54"/>
      <c r="AA171" s="54"/>
      <c r="AB171" s="54"/>
      <c r="AC171" s="54"/>
      <c r="AD171" s="54"/>
      <c r="AE171" s="54"/>
      <c r="AF171" s="54"/>
      <c r="AG171" s="54"/>
      <c r="AH171" s="54"/>
    </row>
    <row r="172" spans="10:34">
      <c r="J172" s="687"/>
      <c r="K172" s="54"/>
      <c r="L172" s="687"/>
      <c r="M172" s="54"/>
      <c r="N172" s="54"/>
      <c r="O172" s="54"/>
      <c r="P172" s="54"/>
      <c r="Q172" s="54"/>
      <c r="R172" s="54"/>
      <c r="S172" s="54"/>
      <c r="T172" s="54"/>
      <c r="U172" s="54"/>
      <c r="V172" s="54"/>
      <c r="W172" s="54"/>
      <c r="X172" s="54"/>
      <c r="Y172" s="54"/>
      <c r="Z172" s="54"/>
      <c r="AA172" s="54"/>
      <c r="AB172" s="54"/>
      <c r="AC172" s="54"/>
      <c r="AD172" s="54"/>
      <c r="AE172" s="54"/>
      <c r="AF172" s="54"/>
      <c r="AG172" s="54"/>
      <c r="AH172" s="54"/>
    </row>
    <row r="173" spans="10:34">
      <c r="J173" s="687"/>
      <c r="K173" s="54"/>
      <c r="L173" s="687"/>
      <c r="M173" s="54"/>
      <c r="N173" s="54"/>
      <c r="O173" s="54"/>
      <c r="P173" s="54"/>
      <c r="Q173" s="54"/>
      <c r="R173" s="54"/>
      <c r="S173" s="54"/>
      <c r="T173" s="54"/>
      <c r="U173" s="54"/>
      <c r="V173" s="54"/>
      <c r="W173" s="54"/>
      <c r="X173" s="54"/>
      <c r="Y173" s="54"/>
      <c r="Z173" s="54"/>
      <c r="AA173" s="54"/>
      <c r="AB173" s="54"/>
      <c r="AC173" s="54"/>
      <c r="AD173" s="54"/>
      <c r="AE173" s="54"/>
      <c r="AF173" s="54"/>
      <c r="AG173" s="54"/>
      <c r="AH173" s="54"/>
    </row>
    <row r="174" spans="10:34">
      <c r="J174" s="687"/>
      <c r="K174" s="54"/>
      <c r="L174" s="687"/>
      <c r="M174" s="54"/>
      <c r="N174" s="54"/>
      <c r="O174" s="54"/>
      <c r="P174" s="54"/>
      <c r="Q174" s="54"/>
      <c r="R174" s="54"/>
      <c r="S174" s="54"/>
      <c r="T174" s="54"/>
      <c r="U174" s="54"/>
      <c r="V174" s="54"/>
      <c r="W174" s="54"/>
      <c r="X174" s="54"/>
      <c r="Y174" s="54"/>
      <c r="Z174" s="54"/>
      <c r="AA174" s="54"/>
      <c r="AB174" s="54"/>
      <c r="AC174" s="54"/>
      <c r="AD174" s="54"/>
      <c r="AE174" s="54"/>
      <c r="AF174" s="54"/>
      <c r="AG174" s="54"/>
      <c r="AH174" s="54"/>
    </row>
    <row r="175" spans="10:34">
      <c r="J175" s="687"/>
      <c r="K175" s="54"/>
      <c r="L175" s="687"/>
      <c r="M175" s="54"/>
      <c r="N175" s="54"/>
      <c r="O175" s="54"/>
      <c r="P175" s="54"/>
      <c r="Q175" s="54"/>
      <c r="R175" s="54"/>
      <c r="S175" s="54"/>
      <c r="T175" s="54"/>
      <c r="U175" s="54"/>
      <c r="V175" s="54"/>
      <c r="W175" s="54"/>
      <c r="X175" s="54"/>
      <c r="Y175" s="54"/>
      <c r="Z175" s="54"/>
      <c r="AA175" s="54"/>
      <c r="AB175" s="54"/>
      <c r="AC175" s="54"/>
      <c r="AD175" s="54"/>
      <c r="AE175" s="54"/>
      <c r="AF175" s="54"/>
      <c r="AG175" s="54"/>
      <c r="AH175" s="54"/>
    </row>
    <row r="176" spans="10:34">
      <c r="J176" s="687"/>
      <c r="K176" s="54"/>
      <c r="L176" s="687"/>
      <c r="M176" s="54"/>
      <c r="N176" s="54"/>
      <c r="O176" s="54"/>
      <c r="P176" s="54"/>
      <c r="Q176" s="54"/>
      <c r="R176" s="54"/>
      <c r="S176" s="54"/>
      <c r="T176" s="54"/>
      <c r="U176" s="54"/>
      <c r="V176" s="54"/>
      <c r="W176" s="54"/>
      <c r="X176" s="54"/>
      <c r="Y176" s="54"/>
      <c r="Z176" s="54"/>
      <c r="AA176" s="54"/>
      <c r="AB176" s="54"/>
      <c r="AC176" s="54"/>
      <c r="AD176" s="54"/>
      <c r="AE176" s="54"/>
      <c r="AF176" s="54"/>
      <c r="AG176" s="54"/>
      <c r="AH176" s="54"/>
    </row>
    <row r="177" spans="10:34">
      <c r="J177" s="687"/>
      <c r="K177" s="54"/>
      <c r="L177" s="687"/>
      <c r="M177" s="54"/>
      <c r="N177" s="54"/>
      <c r="O177" s="54"/>
      <c r="P177" s="54"/>
      <c r="Q177" s="54"/>
      <c r="R177" s="54"/>
      <c r="S177" s="54"/>
      <c r="T177" s="54"/>
      <c r="U177" s="54"/>
      <c r="V177" s="54"/>
      <c r="W177" s="54"/>
      <c r="X177" s="54"/>
      <c r="Y177" s="54"/>
      <c r="Z177" s="54"/>
      <c r="AA177" s="54"/>
      <c r="AB177" s="54"/>
      <c r="AC177" s="54"/>
      <c r="AD177" s="54"/>
      <c r="AE177" s="54"/>
      <c r="AF177" s="54"/>
      <c r="AG177" s="54"/>
      <c r="AH177" s="54"/>
    </row>
    <row r="178" spans="10:34">
      <c r="J178" s="687"/>
      <c r="K178" s="54"/>
      <c r="L178" s="687"/>
      <c r="M178" s="54"/>
      <c r="N178" s="54"/>
      <c r="O178" s="54"/>
      <c r="P178" s="54"/>
      <c r="Q178" s="54"/>
      <c r="R178" s="54"/>
      <c r="S178" s="54"/>
      <c r="T178" s="54"/>
      <c r="U178" s="54"/>
      <c r="V178" s="54"/>
      <c r="W178" s="54"/>
      <c r="X178" s="54"/>
      <c r="Y178" s="54"/>
      <c r="Z178" s="54"/>
      <c r="AA178" s="54"/>
      <c r="AB178" s="54"/>
      <c r="AC178" s="54"/>
      <c r="AD178" s="54"/>
      <c r="AE178" s="54"/>
      <c r="AF178" s="54"/>
      <c r="AG178" s="54"/>
      <c r="AH178" s="54"/>
    </row>
    <row r="179" spans="10:34">
      <c r="J179" s="687"/>
      <c r="K179" s="54"/>
      <c r="L179" s="687"/>
      <c r="M179" s="54"/>
      <c r="N179" s="54"/>
      <c r="O179" s="54"/>
      <c r="P179" s="54"/>
      <c r="Q179" s="54"/>
      <c r="R179" s="54"/>
      <c r="S179" s="54"/>
      <c r="T179" s="54"/>
      <c r="U179" s="54"/>
      <c r="V179" s="54"/>
      <c r="W179" s="54"/>
      <c r="X179" s="54"/>
      <c r="Y179" s="54"/>
      <c r="Z179" s="54"/>
      <c r="AA179" s="54"/>
      <c r="AB179" s="54"/>
      <c r="AC179" s="54"/>
      <c r="AD179" s="54"/>
      <c r="AE179" s="54"/>
      <c r="AF179" s="54"/>
      <c r="AG179" s="54"/>
      <c r="AH179" s="54"/>
    </row>
    <row r="180" spans="10:34">
      <c r="J180" s="687"/>
      <c r="K180" s="54"/>
      <c r="L180" s="687"/>
      <c r="M180" s="54"/>
      <c r="N180" s="54"/>
      <c r="O180" s="54"/>
      <c r="P180" s="54"/>
      <c r="Q180" s="54"/>
      <c r="R180" s="54"/>
      <c r="S180" s="54"/>
      <c r="T180" s="54"/>
      <c r="U180" s="54"/>
      <c r="V180" s="54"/>
      <c r="W180" s="54"/>
      <c r="X180" s="54"/>
      <c r="Y180" s="54"/>
      <c r="Z180" s="54"/>
      <c r="AA180" s="54"/>
      <c r="AB180" s="54"/>
      <c r="AC180" s="54"/>
      <c r="AD180" s="54"/>
      <c r="AE180" s="54"/>
      <c r="AF180" s="54"/>
      <c r="AG180" s="54"/>
      <c r="AH180" s="54"/>
    </row>
    <row r="181" spans="10:34">
      <c r="J181" s="687"/>
      <c r="K181" s="54"/>
      <c r="L181" s="687"/>
      <c r="M181" s="54"/>
      <c r="N181" s="54"/>
      <c r="O181" s="54"/>
      <c r="P181" s="54"/>
      <c r="Q181" s="54"/>
      <c r="R181" s="54"/>
      <c r="S181" s="54"/>
      <c r="T181" s="54"/>
      <c r="U181" s="54"/>
      <c r="V181" s="54"/>
      <c r="W181" s="54"/>
      <c r="X181" s="54"/>
      <c r="Y181" s="54"/>
      <c r="Z181" s="54"/>
      <c r="AA181" s="54"/>
      <c r="AB181" s="54"/>
      <c r="AC181" s="54"/>
      <c r="AD181" s="54"/>
      <c r="AE181" s="54"/>
      <c r="AF181" s="54"/>
      <c r="AG181" s="54"/>
      <c r="AH181" s="54"/>
    </row>
    <row r="182" spans="10:34">
      <c r="J182" s="687"/>
      <c r="K182" s="54"/>
      <c r="L182" s="687"/>
      <c r="M182" s="54"/>
      <c r="N182" s="54"/>
      <c r="O182" s="54"/>
      <c r="P182" s="54"/>
      <c r="Q182" s="54"/>
      <c r="R182" s="54"/>
      <c r="S182" s="54"/>
      <c r="T182" s="54"/>
      <c r="U182" s="54"/>
      <c r="V182" s="54"/>
      <c r="W182" s="54"/>
      <c r="X182" s="54"/>
      <c r="Y182" s="54"/>
      <c r="Z182" s="54"/>
      <c r="AA182" s="54"/>
      <c r="AB182" s="54"/>
      <c r="AC182" s="54"/>
      <c r="AD182" s="54"/>
      <c r="AE182" s="54"/>
      <c r="AF182" s="54"/>
      <c r="AG182" s="54"/>
      <c r="AH182" s="54"/>
    </row>
    <row r="183" spans="10:34">
      <c r="J183" s="687"/>
      <c r="K183" s="54"/>
      <c r="L183" s="687"/>
      <c r="M183" s="54"/>
      <c r="N183" s="54"/>
      <c r="O183" s="54"/>
      <c r="P183" s="54"/>
      <c r="Q183" s="54"/>
      <c r="R183" s="54"/>
      <c r="S183" s="54"/>
      <c r="T183" s="54"/>
      <c r="U183" s="54"/>
      <c r="V183" s="54"/>
      <c r="W183" s="54"/>
      <c r="X183" s="54"/>
      <c r="Y183" s="54"/>
      <c r="Z183" s="54"/>
      <c r="AA183" s="54"/>
      <c r="AB183" s="54"/>
      <c r="AC183" s="54"/>
      <c r="AD183" s="54"/>
      <c r="AE183" s="54"/>
      <c r="AF183" s="54"/>
      <c r="AG183" s="54"/>
      <c r="AH183" s="54"/>
    </row>
    <row r="184" spans="10:34">
      <c r="J184" s="687"/>
      <c r="K184" s="54"/>
      <c r="L184" s="687"/>
      <c r="M184" s="54"/>
      <c r="N184" s="54"/>
      <c r="O184" s="54"/>
      <c r="P184" s="54"/>
      <c r="Q184" s="54"/>
      <c r="R184" s="54"/>
      <c r="S184" s="54"/>
      <c r="T184" s="54"/>
      <c r="U184" s="54"/>
      <c r="V184" s="54"/>
      <c r="W184" s="54"/>
      <c r="X184" s="54"/>
      <c r="Y184" s="54"/>
      <c r="Z184" s="54"/>
      <c r="AA184" s="54"/>
      <c r="AB184" s="54"/>
      <c r="AC184" s="54"/>
      <c r="AD184" s="54"/>
      <c r="AE184" s="54"/>
      <c r="AF184" s="54"/>
      <c r="AG184" s="54"/>
      <c r="AH184" s="54"/>
    </row>
    <row r="185" spans="10:34">
      <c r="J185" s="685"/>
      <c r="L185" s="685"/>
    </row>
    <row r="186" spans="10:34">
      <c r="J186" s="686"/>
      <c r="L186" s="686"/>
    </row>
    <row r="187" spans="10:34">
      <c r="J187" s="686"/>
      <c r="L187" s="686"/>
    </row>
    <row r="188" spans="10:34">
      <c r="J188" s="686"/>
      <c r="L188" s="686"/>
    </row>
    <row r="189" spans="10:34">
      <c r="J189" s="686"/>
      <c r="L189" s="686"/>
    </row>
    <row r="190" spans="10:34">
      <c r="J190" s="686"/>
      <c r="L190" s="686"/>
    </row>
    <row r="191" spans="10:34">
      <c r="J191" s="686"/>
      <c r="L191" s="686"/>
    </row>
    <row r="192" spans="10:34">
      <c r="J192" s="686"/>
      <c r="L192" s="686"/>
    </row>
    <row r="193" spans="10:12">
      <c r="J193" s="686"/>
      <c r="L193" s="686"/>
    </row>
    <row r="194" spans="10:12">
      <c r="J194" s="686"/>
      <c r="L194" s="686"/>
    </row>
    <row r="195" spans="10:12">
      <c r="J195" s="686"/>
      <c r="L195" s="686"/>
    </row>
    <row r="196" spans="10:12">
      <c r="J196" s="686"/>
      <c r="L196" s="686"/>
    </row>
    <row r="197" spans="10:12">
      <c r="J197" s="686"/>
      <c r="L197" s="686"/>
    </row>
    <row r="198" spans="10:12">
      <c r="J198" s="397"/>
      <c r="L198" s="397"/>
    </row>
  </sheetData>
  <mergeCells count="59">
    <mergeCell ref="AM4:AS4"/>
    <mergeCell ref="B5:B6"/>
    <mergeCell ref="C5:C6"/>
    <mergeCell ref="D5:D6"/>
    <mergeCell ref="E5:E6"/>
    <mergeCell ref="H5:H6"/>
    <mergeCell ref="I5:I6"/>
    <mergeCell ref="J5:J6"/>
    <mergeCell ref="O5:O6"/>
    <mergeCell ref="U4:AB4"/>
    <mergeCell ref="Z5:Z6"/>
    <mergeCell ref="AA5:AA6"/>
    <mergeCell ref="AB5:AB6"/>
    <mergeCell ref="P5:P6"/>
    <mergeCell ref="U5:U6"/>
    <mergeCell ref="V5:V6"/>
    <mergeCell ref="AC4:AJ4"/>
    <mergeCell ref="B4:C4"/>
    <mergeCell ref="AE5:AE6"/>
    <mergeCell ref="AF5:AF6"/>
    <mergeCell ref="Q5:Q6"/>
    <mergeCell ref="R5:R6"/>
    <mergeCell ref="AJ5:AJ6"/>
    <mergeCell ref="AG5:AG6"/>
    <mergeCell ref="AH5:AH6"/>
    <mergeCell ref="AI5:AI6"/>
    <mergeCell ref="W5:W6"/>
    <mergeCell ref="X5:X6"/>
    <mergeCell ref="Y5:Y6"/>
    <mergeCell ref="CA5:CB5"/>
    <mergeCell ref="J120:J184"/>
    <mergeCell ref="L120:L184"/>
    <mergeCell ref="AX5:AX6"/>
    <mergeCell ref="AY5:BC5"/>
    <mergeCell ref="BD5:BQ5"/>
    <mergeCell ref="BR5:BU5"/>
    <mergeCell ref="AR5:AR6"/>
    <mergeCell ref="AS5:AS6"/>
    <mergeCell ref="AT5:AT6"/>
    <mergeCell ref="K5:K6"/>
    <mergeCell ref="L5:L6"/>
    <mergeCell ref="M5:M6"/>
    <mergeCell ref="N5:N6"/>
    <mergeCell ref="J195:J197"/>
    <mergeCell ref="L195:L197"/>
    <mergeCell ref="BV5:BW5"/>
    <mergeCell ref="BX5:BZ5"/>
    <mergeCell ref="AV5:AV6"/>
    <mergeCell ref="AN5:AN6"/>
    <mergeCell ref="AO5:AO6"/>
    <mergeCell ref="AP5:AP6"/>
    <mergeCell ref="AQ5:AQ6"/>
    <mergeCell ref="AM5:AM6"/>
    <mergeCell ref="J185:J194"/>
    <mergeCell ref="L185:L194"/>
    <mergeCell ref="S5:S6"/>
    <mergeCell ref="AD5:AD6"/>
    <mergeCell ref="AC5:AC6"/>
    <mergeCell ref="T5:T6"/>
  </mergeCells>
  <phoneticPr fontId="13" type="noConversion"/>
  <pageMargins left="0.78740157499999996" right="0.78740157499999996" top="0.984251969" bottom="0.984251969" header="0.49212598499999999" footer="0.49212598499999999"/>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0"/>
  <dimension ref="B1:E63"/>
  <sheetViews>
    <sheetView showGridLines="0" showRuler="0" zoomScale="80" zoomScaleNormal="80" workbookViewId="0">
      <selection activeCell="D60" sqref="D60"/>
    </sheetView>
  </sheetViews>
  <sheetFormatPr defaultColWidth="8.88671875" defaultRowHeight="13.2"/>
  <cols>
    <col min="1" max="1" width="3.33203125" customWidth="1"/>
    <col min="2" max="2" width="10.5546875" style="138" customWidth="1"/>
    <col min="3" max="3" width="21.5546875" style="138" customWidth="1"/>
    <col min="4" max="4" width="140" style="281" customWidth="1"/>
    <col min="5" max="5" width="19.88671875" style="138" bestFit="1" customWidth="1"/>
  </cols>
  <sheetData>
    <row r="1" spans="2:5" ht="54.75" customHeight="1">
      <c r="B1" s="694" t="s">
        <v>3235</v>
      </c>
      <c r="C1" s="694"/>
      <c r="D1" s="694"/>
      <c r="E1" s="694"/>
    </row>
    <row r="2" spans="2:5" s="72" customFormat="1" ht="15" customHeight="1">
      <c r="B2" s="292" t="s">
        <v>3236</v>
      </c>
      <c r="C2" s="293" t="s">
        <v>3237</v>
      </c>
      <c r="D2" s="293" t="s">
        <v>3238</v>
      </c>
      <c r="E2" s="291"/>
    </row>
    <row r="3" spans="2:5" s="72" customFormat="1" ht="15.75" customHeight="1">
      <c r="B3" s="228" t="s">
        <v>3239</v>
      </c>
      <c r="C3" s="293" t="s">
        <v>3240</v>
      </c>
      <c r="D3" s="293" t="s">
        <v>3241</v>
      </c>
      <c r="E3" s="291"/>
    </row>
    <row r="4" spans="2:5" ht="15.75" customHeight="1">
      <c r="B4" s="292" t="s">
        <v>2109</v>
      </c>
      <c r="C4" s="293" t="s">
        <v>3242</v>
      </c>
      <c r="D4" s="293" t="s">
        <v>3243</v>
      </c>
      <c r="E4" s="290"/>
    </row>
    <row r="5" spans="2:5" ht="15.75" customHeight="1">
      <c r="B5" s="294" t="s">
        <v>3244</v>
      </c>
      <c r="C5" s="293" t="s">
        <v>3245</v>
      </c>
      <c r="D5" s="293" t="s">
        <v>3246</v>
      </c>
      <c r="E5" s="290"/>
    </row>
    <row r="6" spans="2:5" ht="15.75" customHeight="1">
      <c r="B6" s="283"/>
      <c r="C6" s="282"/>
      <c r="D6" s="282"/>
    </row>
    <row r="7" spans="2:5">
      <c r="B7" s="284" t="s">
        <v>3247</v>
      </c>
      <c r="C7" s="284" t="s">
        <v>3248</v>
      </c>
      <c r="D7" s="285" t="s">
        <v>3249</v>
      </c>
      <c r="E7" s="286" t="s">
        <v>3250</v>
      </c>
    </row>
    <row r="8" spans="2:5">
      <c r="B8" s="300" t="s">
        <v>3251</v>
      </c>
      <c r="C8" s="301">
        <v>42478</v>
      </c>
      <c r="D8" s="302" t="s">
        <v>3252</v>
      </c>
      <c r="E8" s="300" t="s">
        <v>3236</v>
      </c>
    </row>
    <row r="9" spans="2:5">
      <c r="B9" s="300" t="s">
        <v>3251</v>
      </c>
      <c r="C9" s="301">
        <v>42478</v>
      </c>
      <c r="D9" s="302" t="s">
        <v>3253</v>
      </c>
      <c r="E9" s="300" t="s">
        <v>3236</v>
      </c>
    </row>
    <row r="10" spans="2:5">
      <c r="B10" s="300" t="s">
        <v>3251</v>
      </c>
      <c r="C10" s="301">
        <v>42478</v>
      </c>
      <c r="D10" s="302" t="s">
        <v>3254</v>
      </c>
      <c r="E10" s="300" t="s">
        <v>3236</v>
      </c>
    </row>
    <row r="11" spans="2:5" ht="39.6">
      <c r="B11" s="287" t="s">
        <v>3251</v>
      </c>
      <c r="C11" s="288">
        <v>42478</v>
      </c>
      <c r="D11" s="289" t="s">
        <v>3255</v>
      </c>
      <c r="E11" s="287" t="s">
        <v>3239</v>
      </c>
    </row>
    <row r="12" spans="2:5" ht="26.4">
      <c r="B12" s="287" t="s">
        <v>3251</v>
      </c>
      <c r="C12" s="288">
        <v>42478</v>
      </c>
      <c r="D12" s="289" t="s">
        <v>3256</v>
      </c>
      <c r="E12" s="287" t="s">
        <v>3239</v>
      </c>
    </row>
    <row r="13" spans="2:5" ht="26.4">
      <c r="B13" s="287" t="s">
        <v>3251</v>
      </c>
      <c r="C13" s="288">
        <v>42478</v>
      </c>
      <c r="D13" s="289" t="s">
        <v>3257</v>
      </c>
      <c r="E13" s="287" t="s">
        <v>3239</v>
      </c>
    </row>
    <row r="14" spans="2:5" ht="26.4">
      <c r="B14" s="287" t="s">
        <v>3251</v>
      </c>
      <c r="C14" s="288">
        <v>42478</v>
      </c>
      <c r="D14" s="289" t="s">
        <v>3258</v>
      </c>
      <c r="E14" s="287" t="s">
        <v>3239</v>
      </c>
    </row>
    <row r="15" spans="2:5" ht="26.4">
      <c r="B15" s="287" t="s">
        <v>3251</v>
      </c>
      <c r="C15" s="288">
        <v>42478</v>
      </c>
      <c r="D15" s="289" t="s">
        <v>3259</v>
      </c>
      <c r="E15" s="287" t="s">
        <v>3239</v>
      </c>
    </row>
    <row r="16" spans="2:5" ht="26.4">
      <c r="B16" s="287" t="s">
        <v>3251</v>
      </c>
      <c r="C16" s="288">
        <v>42479</v>
      </c>
      <c r="D16" s="289" t="s">
        <v>3260</v>
      </c>
      <c r="E16" s="287" t="s">
        <v>3239</v>
      </c>
    </row>
    <row r="17" spans="2:5">
      <c r="B17" s="287" t="s">
        <v>3251</v>
      </c>
      <c r="C17" s="288">
        <v>42479</v>
      </c>
      <c r="D17" s="289" t="s">
        <v>3261</v>
      </c>
      <c r="E17" s="287" t="s">
        <v>3239</v>
      </c>
    </row>
    <row r="18" spans="2:5" ht="26.4">
      <c r="B18" s="287" t="s">
        <v>3251</v>
      </c>
      <c r="C18" s="288">
        <v>42479</v>
      </c>
      <c r="D18" s="289" t="s">
        <v>3262</v>
      </c>
      <c r="E18" s="287" t="s">
        <v>3239</v>
      </c>
    </row>
    <row r="19" spans="2:5">
      <c r="B19" s="287" t="s">
        <v>3251</v>
      </c>
      <c r="C19" s="288">
        <v>42479</v>
      </c>
      <c r="D19" s="289" t="s">
        <v>3263</v>
      </c>
      <c r="E19" s="287" t="s">
        <v>3239</v>
      </c>
    </row>
    <row r="20" spans="2:5" ht="26.4">
      <c r="B20" s="287" t="s">
        <v>3251</v>
      </c>
      <c r="C20" s="288">
        <v>42479</v>
      </c>
      <c r="D20" s="289" t="s">
        <v>3264</v>
      </c>
      <c r="E20" s="287" t="s">
        <v>3239</v>
      </c>
    </row>
    <row r="21" spans="2:5">
      <c r="B21" s="300" t="s">
        <v>3251</v>
      </c>
      <c r="C21" s="301">
        <v>42479</v>
      </c>
      <c r="D21" s="302" t="s">
        <v>3265</v>
      </c>
      <c r="E21" s="300" t="s">
        <v>3236</v>
      </c>
    </row>
    <row r="22" spans="2:5">
      <c r="B22" s="300" t="s">
        <v>3251</v>
      </c>
      <c r="C22" s="301">
        <v>42479</v>
      </c>
      <c r="D22" s="302" t="s">
        <v>3266</v>
      </c>
      <c r="E22" s="300" t="s">
        <v>3236</v>
      </c>
    </row>
    <row r="23" spans="2:5">
      <c r="B23" s="300" t="s">
        <v>3251</v>
      </c>
      <c r="C23" s="301">
        <v>42479</v>
      </c>
      <c r="D23" s="302" t="s">
        <v>3267</v>
      </c>
      <c r="E23" s="300" t="s">
        <v>3236</v>
      </c>
    </row>
    <row r="24" spans="2:5">
      <c r="B24" s="300" t="s">
        <v>3251</v>
      </c>
      <c r="C24" s="301">
        <v>42479</v>
      </c>
      <c r="D24" s="302" t="s">
        <v>3268</v>
      </c>
      <c r="E24" s="300" t="s">
        <v>3236</v>
      </c>
    </row>
    <row r="25" spans="2:5">
      <c r="B25" s="300" t="s">
        <v>3251</v>
      </c>
      <c r="C25" s="301">
        <v>42479</v>
      </c>
      <c r="D25" s="302" t="s">
        <v>3269</v>
      </c>
      <c r="E25" s="300" t="s">
        <v>3236</v>
      </c>
    </row>
    <row r="26" spans="2:5">
      <c r="B26" s="300" t="s">
        <v>3251</v>
      </c>
      <c r="C26" s="301">
        <v>42479</v>
      </c>
      <c r="D26" s="302" t="s">
        <v>3270</v>
      </c>
      <c r="E26" s="300" t="s">
        <v>3236</v>
      </c>
    </row>
    <row r="27" spans="2:5">
      <c r="B27" s="300" t="s">
        <v>3251</v>
      </c>
      <c r="C27" s="301">
        <v>42479</v>
      </c>
      <c r="D27" s="302" t="s">
        <v>3271</v>
      </c>
      <c r="E27" s="300" t="s">
        <v>3236</v>
      </c>
    </row>
    <row r="28" spans="2:5">
      <c r="B28" s="287" t="s">
        <v>3251</v>
      </c>
      <c r="C28" s="288">
        <v>42479</v>
      </c>
      <c r="D28" s="289" t="s">
        <v>3272</v>
      </c>
      <c r="E28" s="287" t="s">
        <v>3239</v>
      </c>
    </row>
    <row r="29" spans="2:5">
      <c r="B29" s="287" t="s">
        <v>3251</v>
      </c>
      <c r="C29" s="288">
        <v>42479</v>
      </c>
      <c r="D29" s="289" t="s">
        <v>3273</v>
      </c>
      <c r="E29" s="287" t="s">
        <v>3239</v>
      </c>
    </row>
    <row r="30" spans="2:5">
      <c r="B30" s="287" t="s">
        <v>3251</v>
      </c>
      <c r="C30" s="288">
        <v>42479</v>
      </c>
      <c r="D30" s="289" t="s">
        <v>3274</v>
      </c>
      <c r="E30" s="287" t="s">
        <v>3239</v>
      </c>
    </row>
    <row r="31" spans="2:5">
      <c r="B31" s="287" t="s">
        <v>3251</v>
      </c>
      <c r="C31" s="288">
        <v>42479</v>
      </c>
      <c r="D31" s="289" t="s">
        <v>3275</v>
      </c>
      <c r="E31" s="287" t="s">
        <v>3239</v>
      </c>
    </row>
    <row r="32" spans="2:5">
      <c r="B32" s="300" t="s">
        <v>3251</v>
      </c>
      <c r="C32" s="301">
        <v>42479</v>
      </c>
      <c r="D32" s="302" t="s">
        <v>3276</v>
      </c>
      <c r="E32" s="300" t="s">
        <v>3236</v>
      </c>
    </row>
    <row r="33" spans="2:5">
      <c r="B33" s="287" t="s">
        <v>3251</v>
      </c>
      <c r="C33" s="288">
        <v>42479</v>
      </c>
      <c r="D33" s="289" t="s">
        <v>3277</v>
      </c>
      <c r="E33" s="287" t="s">
        <v>3239</v>
      </c>
    </row>
    <row r="34" spans="2:5">
      <c r="B34" s="300" t="s">
        <v>3251</v>
      </c>
      <c r="C34" s="301">
        <v>42489</v>
      </c>
      <c r="D34" s="302" t="s">
        <v>3278</v>
      </c>
      <c r="E34" s="300" t="s">
        <v>3236</v>
      </c>
    </row>
    <row r="35" spans="2:5">
      <c r="B35" s="287" t="s">
        <v>3251</v>
      </c>
      <c r="C35" s="288">
        <v>42489</v>
      </c>
      <c r="D35" s="289" t="s">
        <v>3279</v>
      </c>
      <c r="E35" s="287" t="s">
        <v>3239</v>
      </c>
    </row>
    <row r="36" spans="2:5" ht="18.75" customHeight="1">
      <c r="B36" s="287" t="s">
        <v>3251</v>
      </c>
      <c r="C36" s="288">
        <v>42489</v>
      </c>
      <c r="D36" s="289" t="s">
        <v>3280</v>
      </c>
      <c r="E36" s="287" t="s">
        <v>3239</v>
      </c>
    </row>
    <row r="37" spans="2:5">
      <c r="B37" s="287" t="s">
        <v>3251</v>
      </c>
      <c r="C37" s="287" t="s">
        <v>3281</v>
      </c>
      <c r="D37" s="308" t="s">
        <v>3282</v>
      </c>
      <c r="E37" s="287" t="s">
        <v>2109</v>
      </c>
    </row>
    <row r="38" spans="2:5">
      <c r="B38" s="287" t="s">
        <v>3251</v>
      </c>
      <c r="C38" s="287" t="s">
        <v>3281</v>
      </c>
      <c r="D38" s="308" t="s">
        <v>3283</v>
      </c>
      <c r="E38" s="287" t="s">
        <v>2109</v>
      </c>
    </row>
    <row r="39" spans="2:5">
      <c r="B39" s="287" t="s">
        <v>3251</v>
      </c>
      <c r="C39" s="287" t="s">
        <v>3281</v>
      </c>
      <c r="D39" s="308" t="s">
        <v>3284</v>
      </c>
      <c r="E39" s="287" t="s">
        <v>2109</v>
      </c>
    </row>
    <row r="40" spans="2:5">
      <c r="B40" s="287" t="s">
        <v>3251</v>
      </c>
      <c r="C40" s="287" t="s">
        <v>3281</v>
      </c>
      <c r="D40" s="308" t="s">
        <v>3285</v>
      </c>
      <c r="E40" s="287" t="s">
        <v>2109</v>
      </c>
    </row>
    <row r="41" spans="2:5">
      <c r="B41" s="287" t="s">
        <v>3251</v>
      </c>
      <c r="C41" s="287" t="s">
        <v>3281</v>
      </c>
      <c r="D41" s="308" t="s">
        <v>3286</v>
      </c>
      <c r="E41" s="287" t="s">
        <v>2109</v>
      </c>
    </row>
    <row r="42" spans="2:5">
      <c r="B42" s="287" t="s">
        <v>3251</v>
      </c>
      <c r="C42" s="287" t="s">
        <v>3281</v>
      </c>
      <c r="D42" s="308" t="s">
        <v>3287</v>
      </c>
      <c r="E42" s="287" t="s">
        <v>2109</v>
      </c>
    </row>
    <row r="43" spans="2:5">
      <c r="B43" s="287" t="s">
        <v>3251</v>
      </c>
      <c r="C43" s="287" t="s">
        <v>3281</v>
      </c>
      <c r="D43" s="308" t="s">
        <v>3288</v>
      </c>
      <c r="E43" s="287" t="s">
        <v>2109</v>
      </c>
    </row>
    <row r="44" spans="2:5">
      <c r="B44" s="287" t="s">
        <v>3251</v>
      </c>
      <c r="C44" s="307">
        <v>42969</v>
      </c>
      <c r="D44" s="308" t="s">
        <v>3289</v>
      </c>
      <c r="E44" s="287" t="s">
        <v>3236</v>
      </c>
    </row>
    <row r="45" spans="2:5">
      <c r="B45" s="287" t="s">
        <v>3473</v>
      </c>
      <c r="C45" s="307">
        <v>43328</v>
      </c>
      <c r="D45" s="287" t="s">
        <v>3474</v>
      </c>
      <c r="E45" s="287" t="s">
        <v>2109</v>
      </c>
    </row>
    <row r="46" spans="2:5">
      <c r="B46" s="287" t="s">
        <v>3473</v>
      </c>
      <c r="C46" s="307">
        <v>43328</v>
      </c>
      <c r="D46" s="287" t="s">
        <v>3475</v>
      </c>
      <c r="E46" s="287" t="s">
        <v>2109</v>
      </c>
    </row>
    <row r="47" spans="2:5">
      <c r="B47" s="287" t="s">
        <v>3473</v>
      </c>
      <c r="C47" s="307">
        <v>43328</v>
      </c>
      <c r="D47" s="287" t="s">
        <v>3476</v>
      </c>
      <c r="E47" s="287" t="s">
        <v>2109</v>
      </c>
    </row>
    <row r="48" spans="2:5">
      <c r="B48" s="287" t="s">
        <v>3473</v>
      </c>
      <c r="C48" s="307">
        <v>43328</v>
      </c>
      <c r="D48" s="287" t="s">
        <v>3477</v>
      </c>
      <c r="E48" s="287" t="s">
        <v>2109</v>
      </c>
    </row>
    <row r="49" spans="2:5">
      <c r="B49" s="287" t="s">
        <v>3473</v>
      </c>
      <c r="C49" s="307">
        <v>43328</v>
      </c>
      <c r="D49" s="287" t="s">
        <v>3478</v>
      </c>
      <c r="E49" s="287" t="s">
        <v>2109</v>
      </c>
    </row>
    <row r="50" spans="2:5">
      <c r="B50" s="287" t="s">
        <v>3473</v>
      </c>
      <c r="C50" s="288">
        <v>43353</v>
      </c>
      <c r="D50" s="437" t="s">
        <v>3481</v>
      </c>
      <c r="E50" s="287" t="s">
        <v>2109</v>
      </c>
    </row>
    <row r="51" spans="2:5">
      <c r="B51" s="287" t="s">
        <v>3473</v>
      </c>
      <c r="C51" s="288">
        <v>43353</v>
      </c>
      <c r="D51" s="438" t="s">
        <v>3480</v>
      </c>
      <c r="E51" s="287" t="s">
        <v>2109</v>
      </c>
    </row>
    <row r="52" spans="2:5">
      <c r="B52" s="287" t="s">
        <v>3473</v>
      </c>
      <c r="C52" s="288">
        <v>43353</v>
      </c>
      <c r="D52" s="439" t="s">
        <v>3485</v>
      </c>
      <c r="E52" s="287" t="s">
        <v>2109</v>
      </c>
    </row>
    <row r="53" spans="2:5" ht="161.25" customHeight="1">
      <c r="B53" s="287" t="s">
        <v>3473</v>
      </c>
      <c r="C53" s="288">
        <v>43353</v>
      </c>
      <c r="D53" s="437" t="s">
        <v>3488</v>
      </c>
      <c r="E53" s="287" t="s">
        <v>2109</v>
      </c>
    </row>
    <row r="54" spans="2:5">
      <c r="B54" s="287" t="s">
        <v>3473</v>
      </c>
      <c r="C54" s="288">
        <v>43353</v>
      </c>
      <c r="D54" s="439" t="s">
        <v>3500</v>
      </c>
      <c r="E54" s="287" t="s">
        <v>2109</v>
      </c>
    </row>
    <row r="55" spans="2:5">
      <c r="B55" s="287" t="s">
        <v>3473</v>
      </c>
      <c r="C55" s="288">
        <v>43353</v>
      </c>
      <c r="D55" s="439" t="s">
        <v>3501</v>
      </c>
      <c r="E55" s="287" t="s">
        <v>2109</v>
      </c>
    </row>
    <row r="56" spans="2:5" ht="66">
      <c r="B56" s="287" t="s">
        <v>3473</v>
      </c>
      <c r="C56" s="288">
        <v>43353</v>
      </c>
      <c r="D56" s="437" t="s">
        <v>3494</v>
      </c>
      <c r="E56" s="287" t="s">
        <v>2109</v>
      </c>
    </row>
    <row r="57" spans="2:5" ht="79.2">
      <c r="B57" s="287" t="s">
        <v>3473</v>
      </c>
      <c r="C57" s="288">
        <v>43353</v>
      </c>
      <c r="D57" s="440" t="s">
        <v>3499</v>
      </c>
      <c r="E57" s="287" t="s">
        <v>2109</v>
      </c>
    </row>
    <row r="58" spans="2:5">
      <c r="B58" s="287" t="s">
        <v>3473</v>
      </c>
      <c r="C58" s="288">
        <v>43368</v>
      </c>
      <c r="D58" s="439" t="s">
        <v>3505</v>
      </c>
      <c r="E58" s="436" t="s">
        <v>2109</v>
      </c>
    </row>
    <row r="59" spans="2:5">
      <c r="B59" s="440" t="s">
        <v>5616</v>
      </c>
      <c r="C59" s="288">
        <v>43427</v>
      </c>
      <c r="D59" s="624" t="s">
        <v>5617</v>
      </c>
      <c r="E59" s="440" t="s">
        <v>2109</v>
      </c>
    </row>
    <row r="60" spans="2:5">
      <c r="B60" s="440" t="s">
        <v>5616</v>
      </c>
      <c r="C60" s="288">
        <v>43427</v>
      </c>
      <c r="D60" s="624" t="s">
        <v>5618</v>
      </c>
      <c r="E60" s="440" t="s">
        <v>2109</v>
      </c>
    </row>
    <row r="61" spans="2:5" ht="26.4">
      <c r="B61" s="440" t="s">
        <v>5616</v>
      </c>
      <c r="C61" s="288">
        <v>43427</v>
      </c>
      <c r="D61" s="624" t="s">
        <v>5619</v>
      </c>
      <c r="E61" s="440" t="s">
        <v>2109</v>
      </c>
    </row>
    <row r="62" spans="2:5" ht="26.4">
      <c r="B62" s="440" t="s">
        <v>5616</v>
      </c>
      <c r="C62" s="288">
        <v>43427</v>
      </c>
      <c r="D62" s="624" t="s">
        <v>5620</v>
      </c>
      <c r="E62" s="440" t="s">
        <v>2109</v>
      </c>
    </row>
    <row r="63" spans="2:5" ht="26.4">
      <c r="B63" s="440" t="s">
        <v>5616</v>
      </c>
      <c r="C63" s="288">
        <v>43427</v>
      </c>
      <c r="D63" s="624" t="s">
        <v>5621</v>
      </c>
      <c r="E63" s="440" t="s">
        <v>2109</v>
      </c>
    </row>
  </sheetData>
  <mergeCells count="1">
    <mergeCell ref="B1:E1"/>
  </mergeCells>
  <phoneticPr fontId="13" type="noConversion"/>
  <pageMargins left="0.78740157499999996" right="0.78740157499999996" top="0.984251969" bottom="0.984251969" header="0.49212598499999999" footer="0.49212598499999999"/>
  <pageSetup paperSize="9" orientation="portrait" horizontalDpi="4294967293" vertic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A4BE5C51B44A1942AC78503BD2B7399E" ma:contentTypeVersion="5" ma:contentTypeDescription="Crie um novo documento." ma:contentTypeScope="" ma:versionID="d9ebfdd6089157a2946a0d3dfd7c76af">
  <xsd:schema xmlns:xsd="http://www.w3.org/2001/XMLSchema" xmlns:xs="http://www.w3.org/2001/XMLSchema" xmlns:p="http://schemas.microsoft.com/office/2006/metadata/properties" xmlns:ns2="93b81afa-4407-4ebd-8c92-669722cd29b0" xmlns:ns3="2bcbb929-cc94-4894-b5bc-380311898f6e" targetNamespace="http://schemas.microsoft.com/office/2006/metadata/properties" ma:root="true" ma:fieldsID="a1064d9fa2be95cad2c31faf26237cb0" ns2:_="" ns3:_="">
    <xsd:import namespace="93b81afa-4407-4ebd-8c92-669722cd29b0"/>
    <xsd:import namespace="2bcbb929-cc94-4894-b5bc-380311898f6e"/>
    <xsd:element name="properties">
      <xsd:complexType>
        <xsd:sequence>
          <xsd:element name="documentManagement">
            <xsd:complexType>
              <xsd:all>
                <xsd:element ref="ns2:Empreendimento" minOccurs="0"/>
                <xsd:element ref="ns2:Instala_x00e7__x00f5_es" minOccurs="0"/>
                <xsd:element ref="ns3:P_x00fa_blicos_x002d_alvo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3b81afa-4407-4ebd-8c92-669722cd29b0" elementFormDefault="qualified">
    <xsd:import namespace="http://schemas.microsoft.com/office/2006/documentManagement/types"/>
    <xsd:import namespace="http://schemas.microsoft.com/office/infopath/2007/PartnerControls"/>
    <xsd:element name="Empreendimento" ma:index="8" nillable="true" ma:displayName="Empreendimento" ma:list="{e821b9c6-6f18-49e1-a602-55e09b5c1934}" ma:internalName="Empreendimento" ma:showField="Consulta" ma:web="0d3b9002-9aa5-4747-b2e8-8edaf9399900">
      <xsd:simpleType>
        <xsd:restriction base="dms:Lookup"/>
      </xsd:simpleType>
    </xsd:element>
    <xsd:element name="Instala_x00e7__x00f5_es" ma:index="9" nillable="true" ma:displayName="Instalação" ma:list="{61a97293-950f-44ec-afaa-02cdfa1cc66c}" ma:internalName="Instala_x00e7__x00f5_es" ma:showField="Title" ma:web="0d3b9002-9aa5-4747-b2e8-8edaf9399900">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bcbb929-cc94-4894-b5bc-380311898f6e" elementFormDefault="qualified">
    <xsd:import namespace="http://schemas.microsoft.com/office/2006/documentManagement/types"/>
    <xsd:import namespace="http://schemas.microsoft.com/office/infopath/2007/PartnerControls"/>
    <xsd:element name="P_x00fa_blicos_x002d_alvos" ma:index="10" nillable="true" ma:displayName="Públicos-alvos" ma:internalName="P_x00fa_blicos_x002d_alvos">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Descriçã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_x00fa_blicos_x002d_alvos xmlns="2bcbb929-cc94-4894-b5bc-380311898f6e" xsi:nil="true"/>
    <Instala_x00e7__x00f5_es xmlns="93b81afa-4407-4ebd-8c92-669722cd29b0"/>
    <Empreendimento xmlns="93b81afa-4407-4ebd-8c92-669722cd29b0" xsi:nil="true"/>
  </documentManagement>
</p:properties>
</file>

<file path=customXml/itemProps1.xml><?xml version="1.0" encoding="utf-8"?>
<ds:datastoreItem xmlns:ds="http://schemas.openxmlformats.org/officeDocument/2006/customXml" ds:itemID="{C2CCA4FB-9E0A-431B-9215-FD16EBDC52A8}">
  <ds:schemaRefs>
    <ds:schemaRef ds:uri="http://schemas.microsoft.com/sharepoint/v3/contenttype/forms"/>
  </ds:schemaRefs>
</ds:datastoreItem>
</file>

<file path=customXml/itemProps2.xml><?xml version="1.0" encoding="utf-8"?>
<ds:datastoreItem xmlns:ds="http://schemas.openxmlformats.org/officeDocument/2006/customXml" ds:itemID="{0773FCFC-9A73-49A7-B5FD-54AC2DBC39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3b81afa-4407-4ebd-8c92-669722cd29b0"/>
    <ds:schemaRef ds:uri="2bcbb929-cc94-4894-b5bc-380311898f6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7E7E3A8-8D5E-4892-B6C0-25532504A4F3}">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93b81afa-4407-4ebd-8c92-669722cd29b0"/>
    <ds:schemaRef ds:uri="2bcbb929-cc94-4894-b5bc-380311898f6e"/>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24</vt:i4>
      </vt:variant>
      <vt:variant>
        <vt:lpstr>Intervalos Nomeados</vt:lpstr>
      </vt:variant>
      <vt:variant>
        <vt:i4>3</vt:i4>
      </vt:variant>
    </vt:vector>
  </HeadingPairs>
  <TitlesOfParts>
    <vt:vector size="27" baseType="lpstr">
      <vt:lpstr>Identificadores</vt:lpstr>
      <vt:lpstr>OCRs</vt:lpstr>
      <vt:lpstr>TCTL</vt:lpstr>
      <vt:lpstr>LT</vt:lpstr>
      <vt:lpstr>Trafo</vt:lpstr>
      <vt:lpstr>T_Terra</vt:lpstr>
      <vt:lpstr>B_CAP</vt:lpstr>
      <vt:lpstr>Disjuntor</vt:lpstr>
      <vt:lpstr>Secc</vt:lpstr>
      <vt:lpstr>ECE</vt:lpstr>
      <vt:lpstr>CS</vt:lpstr>
      <vt:lpstr>CE</vt:lpstr>
      <vt:lpstr>BCS</vt:lpstr>
      <vt:lpstr>Reator</vt:lpstr>
      <vt:lpstr>Prep. Reen.</vt:lpstr>
      <vt:lpstr>SAs</vt:lpstr>
      <vt:lpstr>BARRA</vt:lpstr>
      <vt:lpstr>SD</vt:lpstr>
      <vt:lpstr>SEP</vt:lpstr>
      <vt:lpstr>P_Eolico</vt:lpstr>
      <vt:lpstr>P_Solar</vt:lpstr>
      <vt:lpstr>P. Interface</vt:lpstr>
      <vt:lpstr>PADRAO</vt:lpstr>
      <vt:lpstr>Controle de Alterações</vt:lpstr>
      <vt:lpstr>OCRs!Area_de_impressao</vt:lpstr>
      <vt:lpstr>'Prep. Reen.'!Area_de_impressao</vt:lpstr>
      <vt:lpstr>'Prep. Reen.'!Titulos_de_impressao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Ernani</dc:creator>
  <cp:lastModifiedBy>Leonardo Gomes Magalhães</cp:lastModifiedBy>
  <dcterms:created xsi:type="dcterms:W3CDTF">2007-10-08T12:44:25Z</dcterms:created>
  <dcterms:modified xsi:type="dcterms:W3CDTF">2020-10-09T13:13:18Z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0x010100A4BE5C51B44A1942AC78503BD2B7399E</vt:lpwstr>
  </property>
  <property fmtid="{D5CDD505-2E9C-101B-9397-08002B2CF9AE}" pid="3" name="Order">
    <vt:r8>407300</vt:r8>
  </property>
  <property fmtid="{D5CDD505-2E9C-101B-9397-08002B2CF9AE}" pid="4" name="TemplateUrl">
    <vt:lpwstr/>
  </property>
  <property fmtid="{D5CDD505-2E9C-101B-9397-08002B2CF9AE}" pid="5" name="_SourceUrl">
    <vt:lpwstr/>
  </property>
  <property fmtid="{D5CDD505-2E9C-101B-9397-08002B2CF9AE}" pid="6" name="_SharedFileIndex">
    <vt:lpwstr/>
  </property>
  <property fmtid="{D5CDD505-2E9C-101B-9397-08002B2CF9AE}" pid="7" name="xd_Signature">
    <vt:bool>false</vt:bool>
  </property>
  <property fmtid="{D5CDD505-2E9C-101B-9397-08002B2CF9AE}" pid="8" name="xd_ProgID">
    <vt:lpwstr/>
  </property>
</Properties>
</file>